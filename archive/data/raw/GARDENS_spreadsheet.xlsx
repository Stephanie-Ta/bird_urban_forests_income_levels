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bcca-my.sharepoint.com/personal/matthew_mitchell_ubc_ca/Documents/MESH Lab Files/Undergraduate Students/2025S/Ichin Hong/DataRoberta/"/>
    </mc:Choice>
  </mc:AlternateContent>
  <xr:revisionPtr revIDLastSave="4" documentId="13_ncr:1_{6F7483B8-E443-40FB-A0B1-1626841C925B}" xr6:coauthVersionLast="47" xr6:coauthVersionMax="47" xr10:uidLastSave="{72E8B902-0817-4C5C-8184-8789F53EAC3B}"/>
  <bookViews>
    <workbookView xWindow="-108" yWindow="-108" windowWidth="23256" windowHeight="12456" firstSheet="1" activeTab="2" xr2:uid="{58B5343F-B254-4471-A136-6ECB31A18E21}"/>
  </bookViews>
  <sheets>
    <sheet name="garden_data" sheetId="1" r:id="rId1"/>
    <sheet name="Tree_per_garden" sheetId="7" r:id="rId2"/>
    <sheet name="Native_vs_not_GRAPHING" sheetId="28" r:id="rId3"/>
    <sheet name="Plantsnshrub_per_garden" sheetId="8" r:id="rId4"/>
    <sheet name="Shrub_plantNative_Nonnative" sheetId="5" r:id="rId5"/>
    <sheet name="Unique_plant_species" sheetId="2" r:id="rId6"/>
    <sheet name="Unique_shrub_species" sheetId="3" r:id="rId7"/>
    <sheet name="Unique_total_plant_shrubspecies" sheetId="4" r:id="rId8"/>
    <sheet name="total_all_species" sheetId="10" r:id="rId9"/>
    <sheet name="Everything_statistics" sheetId="31" r:id="rId10"/>
    <sheet name="Treesall_nativeness_con_dec" sheetId="9" r:id="rId11"/>
    <sheet name="Van_trees_count" sheetId="12" r:id="rId12"/>
    <sheet name="Table_Garden_trees_count" sheetId="22" r:id="rId13"/>
    <sheet name="Table_plants_count" sheetId="27" r:id="rId14"/>
    <sheet name="Shannon_garden_trees" sheetId="13" r:id="rId15"/>
    <sheet name="(notusing)Trees_complete" sheetId="29" r:id="rId16"/>
    <sheet name="Basal_area_Shannon" sheetId="30" r:id="rId17"/>
    <sheet name="Trees_density" sheetId="6" r:id="rId18"/>
  </sheets>
  <calcPr calcId="191029"/>
  <pivotCaches>
    <pivotCache cacheId="0" r:id="rId19"/>
    <pivotCache cacheId="1" r:id="rId20"/>
    <pivotCache cacheId="2" r:id="rId21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7" l="1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3" i="7"/>
  <c r="M4" i="7"/>
  <c r="M5" i="7"/>
  <c r="M6" i="7"/>
  <c r="M2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" i="7"/>
  <c r="K9" i="7"/>
  <c r="L9" i="7" s="1"/>
  <c r="K10" i="7"/>
  <c r="L10" i="7" s="1"/>
  <c r="K11" i="7"/>
  <c r="L11" i="7" s="1"/>
  <c r="K12" i="7"/>
  <c r="L12" i="7" s="1"/>
  <c r="K13" i="7"/>
  <c r="L13" i="7" s="1"/>
  <c r="K14" i="7"/>
  <c r="L14" i="7" s="1"/>
  <c r="K15" i="7"/>
  <c r="L15" i="7" s="1"/>
  <c r="K16" i="7"/>
  <c r="L16" i="7" s="1"/>
  <c r="K17" i="7"/>
  <c r="L17" i="7" s="1"/>
  <c r="K18" i="7"/>
  <c r="L18" i="7" s="1"/>
  <c r="K19" i="7"/>
  <c r="L19" i="7" s="1"/>
  <c r="K20" i="7"/>
  <c r="L20" i="7" s="1"/>
  <c r="K21" i="7"/>
  <c r="L21" i="7" s="1"/>
  <c r="K22" i="7"/>
  <c r="L22" i="7" s="1"/>
  <c r="K23" i="7"/>
  <c r="L23" i="7" s="1"/>
  <c r="K24" i="7"/>
  <c r="L24" i="7" s="1"/>
  <c r="K25" i="7"/>
  <c r="L25" i="7" s="1"/>
  <c r="K26" i="7"/>
  <c r="L26" i="7" s="1"/>
  <c r="K27" i="7"/>
  <c r="L27" i="7" s="1"/>
  <c r="K28" i="7"/>
  <c r="L28" i="7" s="1"/>
  <c r="K29" i="7"/>
  <c r="L29" i="7" s="1"/>
  <c r="K30" i="7"/>
  <c r="L30" i="7" s="1"/>
  <c r="K31" i="7"/>
  <c r="L31" i="7" s="1"/>
  <c r="K32" i="7"/>
  <c r="L32" i="7" s="1"/>
  <c r="K33" i="7"/>
  <c r="L33" i="7" s="1"/>
  <c r="K34" i="7"/>
  <c r="L34" i="7" s="1"/>
  <c r="K35" i="7"/>
  <c r="L35" i="7" s="1"/>
  <c r="K36" i="7"/>
  <c r="L36" i="7" s="1"/>
  <c r="K37" i="7"/>
  <c r="L37" i="7" s="1"/>
  <c r="K38" i="7"/>
  <c r="L38" i="7" s="1"/>
  <c r="K39" i="7"/>
  <c r="L39" i="7" s="1"/>
  <c r="K40" i="7"/>
  <c r="L40" i="7" s="1"/>
  <c r="K41" i="7"/>
  <c r="L41" i="7" s="1"/>
  <c r="K42" i="7"/>
  <c r="L42" i="7" s="1"/>
  <c r="K43" i="7"/>
  <c r="L43" i="7" s="1"/>
  <c r="K44" i="7"/>
  <c r="L44" i="7" s="1"/>
  <c r="K45" i="7"/>
  <c r="L45" i="7" s="1"/>
  <c r="K46" i="7"/>
  <c r="L46" i="7" s="1"/>
  <c r="K47" i="7"/>
  <c r="L47" i="7" s="1"/>
  <c r="K48" i="7"/>
  <c r="L48" i="7" s="1"/>
  <c r="K49" i="7"/>
  <c r="L49" i="7" s="1"/>
  <c r="K50" i="7"/>
  <c r="L50" i="7" s="1"/>
  <c r="K51" i="7"/>
  <c r="L51" i="7" s="1"/>
  <c r="K52" i="7"/>
  <c r="L52" i="7" s="1"/>
  <c r="K53" i="7"/>
  <c r="L53" i="7" s="1"/>
  <c r="K54" i="7"/>
  <c r="L54" i="7" s="1"/>
  <c r="K55" i="7"/>
  <c r="L55" i="7" s="1"/>
  <c r="K56" i="7"/>
  <c r="L56" i="7" s="1"/>
  <c r="K57" i="7"/>
  <c r="L57" i="7" s="1"/>
  <c r="K58" i="7"/>
  <c r="L58" i="7" s="1"/>
  <c r="K59" i="7"/>
  <c r="L59" i="7" s="1"/>
  <c r="K60" i="7"/>
  <c r="L60" i="7" s="1"/>
  <c r="K61" i="7"/>
  <c r="L61" i="7" s="1"/>
  <c r="K62" i="7"/>
  <c r="L62" i="7" s="1"/>
  <c r="K63" i="7"/>
  <c r="L63" i="7" s="1"/>
  <c r="K64" i="7"/>
  <c r="L64" i="7" s="1"/>
  <c r="K65" i="7"/>
  <c r="L65" i="7" s="1"/>
  <c r="K66" i="7"/>
  <c r="L66" i="7" s="1"/>
  <c r="K67" i="7"/>
  <c r="L67" i="7" s="1"/>
  <c r="K68" i="7"/>
  <c r="L68" i="7" s="1"/>
  <c r="K69" i="7"/>
  <c r="L69" i="7" s="1"/>
  <c r="K70" i="7"/>
  <c r="L70" i="7" s="1"/>
  <c r="K71" i="7"/>
  <c r="L71" i="7" s="1"/>
  <c r="K72" i="7"/>
  <c r="L72" i="7" s="1"/>
  <c r="K73" i="7"/>
  <c r="L73" i="7" s="1"/>
  <c r="K74" i="7"/>
  <c r="L74" i="7" s="1"/>
  <c r="K75" i="7"/>
  <c r="L75" i="7" s="1"/>
  <c r="K76" i="7"/>
  <c r="L76" i="7" s="1"/>
  <c r="K77" i="7"/>
  <c r="L77" i="7" s="1"/>
  <c r="K78" i="7"/>
  <c r="L78" i="7" s="1"/>
  <c r="K79" i="7"/>
  <c r="L79" i="7" s="1"/>
  <c r="K80" i="7"/>
  <c r="L80" i="7" s="1"/>
  <c r="K81" i="7"/>
  <c r="L81" i="7" s="1"/>
  <c r="K82" i="7"/>
  <c r="L82" i="7" s="1"/>
  <c r="K83" i="7"/>
  <c r="L83" i="7" s="1"/>
  <c r="K84" i="7"/>
  <c r="L84" i="7" s="1"/>
  <c r="K85" i="7"/>
  <c r="L85" i="7" s="1"/>
  <c r="K86" i="7"/>
  <c r="L86" i="7" s="1"/>
  <c r="K87" i="7"/>
  <c r="L87" i="7" s="1"/>
  <c r="K88" i="7"/>
  <c r="L88" i="7" s="1"/>
  <c r="K89" i="7"/>
  <c r="L89" i="7" s="1"/>
  <c r="K90" i="7"/>
  <c r="L90" i="7" s="1"/>
  <c r="K91" i="7"/>
  <c r="L91" i="7" s="1"/>
  <c r="K92" i="7"/>
  <c r="L92" i="7" s="1"/>
  <c r="K93" i="7"/>
  <c r="L93" i="7" s="1"/>
  <c r="K94" i="7"/>
  <c r="L94" i="7" s="1"/>
  <c r="K95" i="7"/>
  <c r="L95" i="7" s="1"/>
  <c r="K96" i="7"/>
  <c r="L96" i="7" s="1"/>
  <c r="K97" i="7"/>
  <c r="L97" i="7" s="1"/>
  <c r="K98" i="7"/>
  <c r="L98" i="7" s="1"/>
  <c r="K99" i="7"/>
  <c r="L99" i="7" s="1"/>
  <c r="K100" i="7"/>
  <c r="L100" i="7" s="1"/>
  <c r="K101" i="7"/>
  <c r="L101" i="7" s="1"/>
  <c r="K102" i="7"/>
  <c r="L102" i="7" s="1"/>
  <c r="K103" i="7"/>
  <c r="L103" i="7" s="1"/>
  <c r="K104" i="7"/>
  <c r="L104" i="7" s="1"/>
  <c r="K105" i="7"/>
  <c r="L105" i="7" s="1"/>
  <c r="K106" i="7"/>
  <c r="L106" i="7" s="1"/>
  <c r="K107" i="7"/>
  <c r="L107" i="7" s="1"/>
  <c r="K108" i="7"/>
  <c r="L108" i="7" s="1"/>
  <c r="K109" i="7"/>
  <c r="L109" i="7" s="1"/>
  <c r="K110" i="7"/>
  <c r="L110" i="7" s="1"/>
  <c r="K111" i="7"/>
  <c r="L111" i="7" s="1"/>
  <c r="K112" i="7"/>
  <c r="L112" i="7" s="1"/>
  <c r="K113" i="7"/>
  <c r="L113" i="7" s="1"/>
  <c r="K114" i="7"/>
  <c r="L114" i="7" s="1"/>
  <c r="K115" i="7"/>
  <c r="L115" i="7" s="1"/>
  <c r="K116" i="7"/>
  <c r="L116" i="7" s="1"/>
  <c r="K117" i="7"/>
  <c r="L117" i="7" s="1"/>
  <c r="K118" i="7"/>
  <c r="L118" i="7" s="1"/>
  <c r="K3" i="7"/>
  <c r="L3" i="7" s="1"/>
  <c r="K4" i="7"/>
  <c r="L4" i="7" s="1"/>
  <c r="K5" i="7"/>
  <c r="L5" i="7" s="1"/>
  <c r="K6" i="7"/>
  <c r="L6" i="7" s="1"/>
  <c r="K7" i="7"/>
  <c r="L7" i="7" s="1"/>
  <c r="K8" i="7"/>
  <c r="L8" i="7" s="1"/>
  <c r="K2" i="7"/>
  <c r="L2" i="7" s="1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" i="28"/>
  <c r="G2" i="28"/>
  <c r="E139" i="8" l="1"/>
  <c r="E140" i="8"/>
  <c r="E141" i="8"/>
  <c r="E142" i="8"/>
  <c r="E143" i="8"/>
  <c r="E144" i="8"/>
  <c r="E145" i="8"/>
  <c r="E146" i="8"/>
  <c r="E147" i="8"/>
  <c r="E148" i="8"/>
  <c r="E150" i="8"/>
  <c r="E151" i="8"/>
  <c r="E152" i="8"/>
  <c r="E154" i="8"/>
  <c r="E156" i="8"/>
  <c r="E157" i="8"/>
  <c r="E158" i="8"/>
  <c r="E198" i="8"/>
  <c r="E199" i="8"/>
  <c r="E203" i="8"/>
  <c r="E204" i="8"/>
  <c r="E205" i="8"/>
  <c r="E208" i="8"/>
  <c r="E209" i="8"/>
  <c r="E211" i="8"/>
  <c r="E212" i="8"/>
  <c r="E213" i="8"/>
  <c r="E214" i="8"/>
  <c r="E215" i="8"/>
  <c r="E247" i="8"/>
  <c r="E249" i="8"/>
  <c r="E250" i="8"/>
  <c r="E253" i="8"/>
  <c r="E254" i="8"/>
  <c r="E255" i="8"/>
  <c r="E256" i="8"/>
  <c r="E257" i="8"/>
  <c r="E261" i="8"/>
  <c r="E262" i="8"/>
  <c r="E263" i="8"/>
  <c r="E264" i="8"/>
  <c r="E265" i="8"/>
  <c r="E266" i="8"/>
  <c r="E267" i="8"/>
  <c r="E268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45" i="8"/>
  <c r="E346" i="8"/>
  <c r="E347" i="8"/>
  <c r="E348" i="8"/>
  <c r="E349" i="8"/>
  <c r="E350" i="8"/>
  <c r="E353" i="8"/>
  <c r="E354" i="8"/>
  <c r="E355" i="8"/>
  <c r="E356" i="8"/>
  <c r="E358" i="8"/>
  <c r="E359" i="8"/>
  <c r="E360" i="8"/>
  <c r="E361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34" i="8"/>
  <c r="E435" i="8"/>
  <c r="E436" i="8"/>
  <c r="E437" i="8"/>
  <c r="E438" i="8"/>
  <c r="E439" i="8"/>
  <c r="E440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" i="8"/>
  <c r="E7" i="8"/>
  <c r="E9" i="8"/>
  <c r="E18" i="8"/>
  <c r="E19" i="8"/>
  <c r="E20" i="8"/>
  <c r="E43" i="8"/>
  <c r="E44" i="8"/>
  <c r="E45" i="8"/>
  <c r="E46" i="8"/>
  <c r="E47" i="8"/>
  <c r="E48" i="8"/>
  <c r="E49" i="8"/>
  <c r="E50" i="8"/>
  <c r="E51" i="8"/>
  <c r="E52" i="8"/>
  <c r="E53" i="8"/>
  <c r="E62" i="8"/>
  <c r="E63" i="8"/>
  <c r="E64" i="8"/>
  <c r="E66" i="8"/>
  <c r="E77" i="8"/>
  <c r="E78" i="8"/>
  <c r="E79" i="8"/>
  <c r="E80" i="8"/>
  <c r="E81" i="8"/>
  <c r="E83" i="8"/>
  <c r="E84" i="8"/>
  <c r="E85" i="8"/>
  <c r="E86" i="8"/>
  <c r="E87" i="8"/>
  <c r="E88" i="8"/>
  <c r="E105" i="8"/>
  <c r="E106" i="8"/>
  <c r="E107" i="8"/>
  <c r="E108" i="8"/>
  <c r="E109" i="8"/>
  <c r="E110" i="8"/>
  <c r="E113" i="8"/>
  <c r="E114" i="8"/>
  <c r="E115" i="8"/>
  <c r="E116" i="8"/>
  <c r="E117" i="8"/>
  <c r="E118" i="8"/>
  <c r="E119" i="8"/>
  <c r="E120" i="8"/>
  <c r="E121" i="8"/>
  <c r="E122" i="8"/>
  <c r="C61" i="8"/>
  <c r="C62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9" i="8"/>
  <c r="C160" i="8"/>
  <c r="C161" i="8"/>
  <c r="C162" i="8"/>
  <c r="C163" i="8"/>
  <c r="C164" i="8"/>
  <c r="C165" i="8"/>
  <c r="C166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3" i="8"/>
  <c r="C184" i="8"/>
  <c r="C185" i="8"/>
  <c r="C187" i="8"/>
  <c r="C188" i="8"/>
  <c r="C189" i="8"/>
  <c r="C190" i="8"/>
  <c r="C192" i="8"/>
  <c r="C193" i="8"/>
  <c r="C194" i="8"/>
  <c r="C195" i="8"/>
  <c r="C196" i="8"/>
  <c r="C197" i="8"/>
  <c r="C198" i="8"/>
  <c r="C200" i="8"/>
  <c r="C201" i="8"/>
  <c r="C202" i="8"/>
  <c r="C203" i="8"/>
  <c r="C204" i="8"/>
  <c r="C207" i="8"/>
  <c r="C208" i="8"/>
  <c r="C209" i="8"/>
  <c r="C210" i="8"/>
  <c r="C211" i="8"/>
  <c r="C212" i="8"/>
  <c r="C213" i="8"/>
  <c r="C214" i="8"/>
  <c r="C215" i="8"/>
  <c r="C216" i="8"/>
  <c r="C217" i="8"/>
  <c r="C219" i="8"/>
  <c r="C220" i="8"/>
  <c r="C221" i="8"/>
  <c r="C222" i="8"/>
  <c r="C223" i="8"/>
  <c r="C225" i="8"/>
  <c r="C226" i="8"/>
  <c r="C227" i="8"/>
  <c r="C229" i="8"/>
  <c r="C230" i="8"/>
  <c r="C231" i="8"/>
  <c r="C232" i="8"/>
  <c r="C233" i="8"/>
  <c r="C234" i="8"/>
  <c r="C235" i="8"/>
  <c r="C238" i="8"/>
  <c r="C239" i="8"/>
  <c r="C240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404" i="8"/>
  <c r="C405" i="8"/>
  <c r="C406" i="8"/>
  <c r="C407" i="8"/>
  <c r="C408" i="8"/>
  <c r="C409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50" i="8"/>
  <c r="C51" i="8"/>
  <c r="C52" i="8"/>
  <c r="C53" i="8"/>
  <c r="C54" i="8"/>
  <c r="C55" i="8"/>
  <c r="C57" i="8"/>
  <c r="C58" i="8"/>
  <c r="C59" i="8"/>
  <c r="C60" i="8"/>
  <c r="C44" i="8"/>
  <c r="C45" i="8"/>
  <c r="C46" i="8"/>
  <c r="C47" i="8"/>
  <c r="C48" i="8"/>
  <c r="C33" i="8"/>
  <c r="C34" i="8"/>
  <c r="C35" i="8"/>
  <c r="C36" i="8"/>
  <c r="C37" i="8"/>
  <c r="C38" i="8"/>
  <c r="C39" i="8"/>
  <c r="C40" i="8"/>
  <c r="C41" i="8"/>
  <c r="C42" i="8"/>
  <c r="C43" i="8"/>
  <c r="C24" i="8"/>
  <c r="C26" i="8"/>
  <c r="C27" i="8"/>
  <c r="C28" i="8"/>
  <c r="C29" i="8"/>
  <c r="C31" i="8"/>
  <c r="C32" i="8"/>
  <c r="C17" i="8"/>
  <c r="C18" i="8"/>
  <c r="C19" i="8"/>
  <c r="C20" i="8"/>
  <c r="C21" i="8"/>
  <c r="C22" i="8"/>
  <c r="C23" i="8"/>
  <c r="C9" i="8"/>
  <c r="C10" i="8"/>
  <c r="C11" i="8"/>
  <c r="C12" i="8"/>
  <c r="C13" i="8"/>
  <c r="C14" i="8"/>
  <c r="C15" i="8"/>
  <c r="C16" i="8"/>
  <c r="C3" i="8"/>
  <c r="C4" i="8"/>
  <c r="C5" i="8"/>
  <c r="C6" i="8"/>
  <c r="C7" i="8"/>
  <c r="C8" i="8"/>
  <c r="C2" i="8"/>
  <c r="C3" i="27" l="1"/>
  <c r="C4" i="27"/>
  <c r="C5" i="27"/>
  <c r="C6" i="27"/>
  <c r="C7" i="27"/>
  <c r="C8" i="27"/>
  <c r="C9" i="27"/>
  <c r="C10" i="27"/>
  <c r="C11" i="27"/>
  <c r="C12" i="27"/>
  <c r="D12" i="27" s="1"/>
  <c r="C13" i="27"/>
  <c r="E13" i="27" s="1"/>
  <c r="C14" i="27"/>
  <c r="E14" i="27" s="1"/>
  <c r="C15" i="27"/>
  <c r="C16" i="27"/>
  <c r="C17" i="27"/>
  <c r="C18" i="27"/>
  <c r="C19" i="27"/>
  <c r="C20" i="27"/>
  <c r="C21" i="27"/>
  <c r="C22" i="27"/>
  <c r="C23" i="27"/>
  <c r="C24" i="27"/>
  <c r="D24" i="27" s="1"/>
  <c r="C25" i="27"/>
  <c r="E25" i="27" s="1"/>
  <c r="C26" i="27"/>
  <c r="E26" i="27" s="1"/>
  <c r="C27" i="27"/>
  <c r="C28" i="27"/>
  <c r="C29" i="27"/>
  <c r="C30" i="27"/>
  <c r="C31" i="27"/>
  <c r="C32" i="27"/>
  <c r="C33" i="27"/>
  <c r="C34" i="27"/>
  <c r="C35" i="27"/>
  <c r="C36" i="27"/>
  <c r="D36" i="27" s="1"/>
  <c r="C37" i="27"/>
  <c r="E37" i="27" s="1"/>
  <c r="C38" i="27"/>
  <c r="E38" i="27" s="1"/>
  <c r="C39" i="27"/>
  <c r="C40" i="27"/>
  <c r="C41" i="27"/>
  <c r="C42" i="27"/>
  <c r="C43" i="27"/>
  <c r="C44" i="27"/>
  <c r="C45" i="27"/>
  <c r="C46" i="27"/>
  <c r="C47" i="27"/>
  <c r="C48" i="27"/>
  <c r="D48" i="27" s="1"/>
  <c r="C49" i="27"/>
  <c r="E49" i="27" s="1"/>
  <c r="C50" i="27"/>
  <c r="E50" i="27" s="1"/>
  <c r="C51" i="27"/>
  <c r="C52" i="27"/>
  <c r="C53" i="27"/>
  <c r="C54" i="27"/>
  <c r="C55" i="27"/>
  <c r="C56" i="27"/>
  <c r="C57" i="27"/>
  <c r="C58" i="27"/>
  <c r="C59" i="27"/>
  <c r="C60" i="27"/>
  <c r="D60" i="27" s="1"/>
  <c r="C61" i="27"/>
  <c r="E61" i="27" s="1"/>
  <c r="C62" i="27"/>
  <c r="E62" i="27" s="1"/>
  <c r="C63" i="27"/>
  <c r="C64" i="27"/>
  <c r="C65" i="27"/>
  <c r="C66" i="27"/>
  <c r="C67" i="27"/>
  <c r="C68" i="27"/>
  <c r="C69" i="27"/>
  <c r="C70" i="27"/>
  <c r="C71" i="27"/>
  <c r="C72" i="27"/>
  <c r="D72" i="27" s="1"/>
  <c r="C73" i="27"/>
  <c r="E73" i="27" s="1"/>
  <c r="C74" i="27"/>
  <c r="E74" i="27" s="1"/>
  <c r="C75" i="27"/>
  <c r="C76" i="27"/>
  <c r="C77" i="27"/>
  <c r="C78" i="27"/>
  <c r="C79" i="27"/>
  <c r="C80" i="27"/>
  <c r="C81" i="27"/>
  <c r="C82" i="27"/>
  <c r="C83" i="27"/>
  <c r="C84" i="27"/>
  <c r="D84" i="27" s="1"/>
  <c r="C85" i="27"/>
  <c r="E85" i="27" s="1"/>
  <c r="C86" i="27"/>
  <c r="E86" i="27" s="1"/>
  <c r="C87" i="27"/>
  <c r="C88" i="27"/>
  <c r="C89" i="27"/>
  <c r="C90" i="27"/>
  <c r="C91" i="27"/>
  <c r="C92" i="27"/>
  <c r="C93" i="27"/>
  <c r="C94" i="27"/>
  <c r="C95" i="27"/>
  <c r="C96" i="27"/>
  <c r="D96" i="27" s="1"/>
  <c r="C97" i="27"/>
  <c r="E97" i="27" s="1"/>
  <c r="C98" i="27"/>
  <c r="E98" i="27" s="1"/>
  <c r="C99" i="27"/>
  <c r="C100" i="27"/>
  <c r="C101" i="27"/>
  <c r="C102" i="27"/>
  <c r="C103" i="27"/>
  <c r="C104" i="27"/>
  <c r="C105" i="27"/>
  <c r="C106" i="27"/>
  <c r="C107" i="27"/>
  <c r="C108" i="27"/>
  <c r="D108" i="27" s="1"/>
  <c r="C109" i="27"/>
  <c r="E109" i="27" s="1"/>
  <c r="C110" i="27"/>
  <c r="E110" i="27" s="1"/>
  <c r="C111" i="27"/>
  <c r="C112" i="27"/>
  <c r="C113" i="27"/>
  <c r="C114" i="27"/>
  <c r="C115" i="27"/>
  <c r="C116" i="27"/>
  <c r="C117" i="27"/>
  <c r="C118" i="27"/>
  <c r="C119" i="27"/>
  <c r="C120" i="27"/>
  <c r="D120" i="27" s="1"/>
  <c r="C121" i="27"/>
  <c r="E121" i="27" s="1"/>
  <c r="C122" i="27"/>
  <c r="E122" i="27" s="1"/>
  <c r="C123" i="27"/>
  <c r="C124" i="27"/>
  <c r="C125" i="27"/>
  <c r="C126" i="27"/>
  <c r="C127" i="27"/>
  <c r="C128" i="27"/>
  <c r="C129" i="27"/>
  <c r="C130" i="27"/>
  <c r="C131" i="27"/>
  <c r="C132" i="27"/>
  <c r="D132" i="27" s="1"/>
  <c r="C133" i="27"/>
  <c r="E133" i="27" s="1"/>
  <c r="C134" i="27"/>
  <c r="E134" i="27" s="1"/>
  <c r="C135" i="27"/>
  <c r="C136" i="27"/>
  <c r="C137" i="27"/>
  <c r="C138" i="27"/>
  <c r="C139" i="27"/>
  <c r="C140" i="27"/>
  <c r="C141" i="27"/>
  <c r="C142" i="27"/>
  <c r="C143" i="27"/>
  <c r="C144" i="27"/>
  <c r="D144" i="27" s="1"/>
  <c r="C145" i="27"/>
  <c r="E145" i="27" s="1"/>
  <c r="C146" i="27"/>
  <c r="E146" i="27" s="1"/>
  <c r="C147" i="27"/>
  <c r="C148" i="27"/>
  <c r="C149" i="27"/>
  <c r="C150" i="27"/>
  <c r="C151" i="27"/>
  <c r="C152" i="27"/>
  <c r="C153" i="27"/>
  <c r="C154" i="27"/>
  <c r="C155" i="27"/>
  <c r="C156" i="27"/>
  <c r="D156" i="27" s="1"/>
  <c r="C157" i="27"/>
  <c r="E157" i="27" s="1"/>
  <c r="C158" i="27"/>
  <c r="E158" i="27" s="1"/>
  <c r="C159" i="27"/>
  <c r="C160" i="27"/>
  <c r="C161" i="27"/>
  <c r="C162" i="27"/>
  <c r="C163" i="27"/>
  <c r="C164" i="27"/>
  <c r="C165" i="27"/>
  <c r="C166" i="27"/>
  <c r="C167" i="27"/>
  <c r="C168" i="27"/>
  <c r="D168" i="27" s="1"/>
  <c r="C169" i="27"/>
  <c r="E169" i="27" s="1"/>
  <c r="C170" i="27"/>
  <c r="E170" i="27" s="1"/>
  <c r="C171" i="27"/>
  <c r="C172" i="27"/>
  <c r="C173" i="27"/>
  <c r="C174" i="27"/>
  <c r="C175" i="27"/>
  <c r="C176" i="27"/>
  <c r="C177" i="27"/>
  <c r="C178" i="27"/>
  <c r="C179" i="27"/>
  <c r="C180" i="27"/>
  <c r="D180" i="27" s="1"/>
  <c r="C181" i="27"/>
  <c r="E181" i="27" s="1"/>
  <c r="C182" i="27"/>
  <c r="E182" i="27" s="1"/>
  <c r="C183" i="27"/>
  <c r="C184" i="27"/>
  <c r="C185" i="27"/>
  <c r="C186" i="27"/>
  <c r="C187" i="27"/>
  <c r="C188" i="27"/>
  <c r="C189" i="27"/>
  <c r="C190" i="27"/>
  <c r="C191" i="27"/>
  <c r="C192" i="27"/>
  <c r="D192" i="27" s="1"/>
  <c r="C193" i="27"/>
  <c r="E193" i="27" s="1"/>
  <c r="C194" i="27"/>
  <c r="E194" i="27" s="1"/>
  <c r="C195" i="27"/>
  <c r="C196" i="27"/>
  <c r="C197" i="27"/>
  <c r="C198" i="27"/>
  <c r="C199" i="27"/>
  <c r="C200" i="27"/>
  <c r="C201" i="27"/>
  <c r="C202" i="27"/>
  <c r="C203" i="27"/>
  <c r="C204" i="27"/>
  <c r="D204" i="27" s="1"/>
  <c r="C205" i="27"/>
  <c r="E205" i="27" s="1"/>
  <c r="C206" i="27"/>
  <c r="E206" i="27" s="1"/>
  <c r="C207" i="27"/>
  <c r="C208" i="27"/>
  <c r="C209" i="27"/>
  <c r="C210" i="27"/>
  <c r="C211" i="27"/>
  <c r="C212" i="27"/>
  <c r="C213" i="27"/>
  <c r="C214" i="27"/>
  <c r="C215" i="27"/>
  <c r="C216" i="27"/>
  <c r="D216" i="27" s="1"/>
  <c r="C217" i="27"/>
  <c r="E217" i="27" s="1"/>
  <c r="C218" i="27"/>
  <c r="E218" i="27" s="1"/>
  <c r="C219" i="27"/>
  <c r="C220" i="27"/>
  <c r="C221" i="27"/>
  <c r="C222" i="27"/>
  <c r="C223" i="27"/>
  <c r="C224" i="27"/>
  <c r="C225" i="27"/>
  <c r="C226" i="27"/>
  <c r="C227" i="27"/>
  <c r="C228" i="27"/>
  <c r="D228" i="27" s="1"/>
  <c r="C229" i="27"/>
  <c r="E229" i="27" s="1"/>
  <c r="C230" i="27"/>
  <c r="E230" i="27" s="1"/>
  <c r="C231" i="27"/>
  <c r="C232" i="27"/>
  <c r="C233" i="27"/>
  <c r="C234" i="27"/>
  <c r="C235" i="27"/>
  <c r="C236" i="27"/>
  <c r="C237" i="27"/>
  <c r="C238" i="27"/>
  <c r="C239" i="27"/>
  <c r="C240" i="27"/>
  <c r="D240" i="27" s="1"/>
  <c r="C241" i="27"/>
  <c r="E241" i="27" s="1"/>
  <c r="C242" i="27"/>
  <c r="E242" i="27" s="1"/>
  <c r="C243" i="27"/>
  <c r="C244" i="27"/>
  <c r="C245" i="27"/>
  <c r="C246" i="27"/>
  <c r="C247" i="27"/>
  <c r="C248" i="27"/>
  <c r="C249" i="27"/>
  <c r="C250" i="27"/>
  <c r="C251" i="27"/>
  <c r="C252" i="27"/>
  <c r="D252" i="27" s="1"/>
  <c r="C253" i="27"/>
  <c r="E253" i="27" s="1"/>
  <c r="C254" i="27"/>
  <c r="E254" i="27" s="1"/>
  <c r="C255" i="27"/>
  <c r="C256" i="27"/>
  <c r="C257" i="27"/>
  <c r="C258" i="27"/>
  <c r="C259" i="27"/>
  <c r="C260" i="27"/>
  <c r="C261" i="27"/>
  <c r="C262" i="27"/>
  <c r="C263" i="27"/>
  <c r="C264" i="27"/>
  <c r="D264" i="27" s="1"/>
  <c r="C265" i="27"/>
  <c r="E265" i="27" s="1"/>
  <c r="C266" i="27"/>
  <c r="E266" i="27" s="1"/>
  <c r="C267" i="27"/>
  <c r="C268" i="27"/>
  <c r="C269" i="27"/>
  <c r="C270" i="27"/>
  <c r="C271" i="27"/>
  <c r="C272" i="27"/>
  <c r="C273" i="27"/>
  <c r="C274" i="27"/>
  <c r="C275" i="27"/>
  <c r="C276" i="27"/>
  <c r="D276" i="27" s="1"/>
  <c r="C277" i="27"/>
  <c r="E277" i="27" s="1"/>
  <c r="C278" i="27"/>
  <c r="E278" i="27" s="1"/>
  <c r="C279" i="27"/>
  <c r="C280" i="27"/>
  <c r="C281" i="27"/>
  <c r="C282" i="27"/>
  <c r="C283" i="27"/>
  <c r="C284" i="27"/>
  <c r="C285" i="27"/>
  <c r="C286" i="27"/>
  <c r="C287" i="27"/>
  <c r="C288" i="27"/>
  <c r="D288" i="27" s="1"/>
  <c r="C289" i="27"/>
  <c r="E289" i="27" s="1"/>
  <c r="C290" i="27"/>
  <c r="E290" i="27" s="1"/>
  <c r="C291" i="27"/>
  <c r="C292" i="27"/>
  <c r="C293" i="27"/>
  <c r="C294" i="27"/>
  <c r="C295" i="27"/>
  <c r="C296" i="27"/>
  <c r="C297" i="27"/>
  <c r="C298" i="27"/>
  <c r="C299" i="27"/>
  <c r="C300" i="27"/>
  <c r="D300" i="27" s="1"/>
  <c r="C301" i="27"/>
  <c r="E301" i="27" s="1"/>
  <c r="C302" i="27"/>
  <c r="E302" i="27" s="1"/>
  <c r="C303" i="27"/>
  <c r="C304" i="27"/>
  <c r="C305" i="27"/>
  <c r="C306" i="27"/>
  <c r="C307" i="27"/>
  <c r="C308" i="27"/>
  <c r="C309" i="27"/>
  <c r="C310" i="27"/>
  <c r="C311" i="27"/>
  <c r="C312" i="27"/>
  <c r="D312" i="27" s="1"/>
  <c r="C313" i="27"/>
  <c r="E313" i="27" s="1"/>
  <c r="C314" i="27"/>
  <c r="E314" i="27" s="1"/>
  <c r="C315" i="27"/>
  <c r="C316" i="27"/>
  <c r="C317" i="27"/>
  <c r="C318" i="27"/>
  <c r="C319" i="27"/>
  <c r="C320" i="27"/>
  <c r="C321" i="27"/>
  <c r="C322" i="27"/>
  <c r="C323" i="27"/>
  <c r="C324" i="27"/>
  <c r="D324" i="27" s="1"/>
  <c r="C325" i="27"/>
  <c r="E325" i="27" s="1"/>
  <c r="C326" i="27"/>
  <c r="E326" i="27" s="1"/>
  <c r="C327" i="27"/>
  <c r="C328" i="27"/>
  <c r="C329" i="27"/>
  <c r="C330" i="27"/>
  <c r="C331" i="27"/>
  <c r="C332" i="27"/>
  <c r="C333" i="27"/>
  <c r="C334" i="27"/>
  <c r="C335" i="27"/>
  <c r="C336" i="27"/>
  <c r="D336" i="27" s="1"/>
  <c r="C337" i="27"/>
  <c r="E337" i="27" s="1"/>
  <c r="C338" i="27"/>
  <c r="E338" i="27" s="1"/>
  <c r="C339" i="27"/>
  <c r="E339" i="27" s="1"/>
  <c r="C340" i="27"/>
  <c r="C341" i="27"/>
  <c r="C342" i="27"/>
  <c r="C343" i="27"/>
  <c r="C344" i="27"/>
  <c r="C345" i="27"/>
  <c r="C346" i="27"/>
  <c r="C347" i="27"/>
  <c r="C348" i="27"/>
  <c r="D348" i="27" s="1"/>
  <c r="C349" i="27"/>
  <c r="E349" i="27" s="1"/>
  <c r="C350" i="27"/>
  <c r="E350" i="27" s="1"/>
  <c r="C351" i="27"/>
  <c r="C352" i="27"/>
  <c r="C353" i="27"/>
  <c r="C354" i="27"/>
  <c r="C355" i="27"/>
  <c r="C356" i="27"/>
  <c r="C357" i="27"/>
  <c r="C358" i="27"/>
  <c r="C359" i="27"/>
  <c r="C360" i="27"/>
  <c r="D360" i="27" s="1"/>
  <c r="C361" i="27"/>
  <c r="E361" i="27" s="1"/>
  <c r="C362" i="27"/>
  <c r="E362" i="27" s="1"/>
  <c r="C2" i="27"/>
  <c r="D2" i="27" s="1"/>
  <c r="E3" i="27"/>
  <c r="E4" i="27"/>
  <c r="E5" i="27"/>
  <c r="E6" i="27"/>
  <c r="E7" i="27"/>
  <c r="E8" i="27"/>
  <c r="E9" i="27"/>
  <c r="E10" i="27"/>
  <c r="E11" i="27"/>
  <c r="E12" i="27"/>
  <c r="E15" i="27"/>
  <c r="E16" i="27"/>
  <c r="E17" i="27"/>
  <c r="E18" i="27"/>
  <c r="E19" i="27"/>
  <c r="E20" i="27"/>
  <c r="E21" i="27"/>
  <c r="E22" i="27"/>
  <c r="E23" i="27"/>
  <c r="E27" i="27"/>
  <c r="E28" i="27"/>
  <c r="E29" i="27"/>
  <c r="E30" i="27"/>
  <c r="E31" i="27"/>
  <c r="E32" i="27"/>
  <c r="E33" i="27"/>
  <c r="E34" i="27"/>
  <c r="E35" i="27"/>
  <c r="E39" i="27"/>
  <c r="E40" i="27"/>
  <c r="E41" i="27"/>
  <c r="E42" i="27"/>
  <c r="E43" i="27"/>
  <c r="E44" i="27"/>
  <c r="E45" i="27"/>
  <c r="E46" i="27"/>
  <c r="E47" i="27"/>
  <c r="E51" i="27"/>
  <c r="E52" i="27"/>
  <c r="E53" i="27"/>
  <c r="E54" i="27"/>
  <c r="E55" i="27"/>
  <c r="E56" i="27"/>
  <c r="E57" i="27"/>
  <c r="E58" i="27"/>
  <c r="E59" i="27"/>
  <c r="E63" i="27"/>
  <c r="E64" i="27"/>
  <c r="E65" i="27"/>
  <c r="E66" i="27"/>
  <c r="E67" i="27"/>
  <c r="E68" i="27"/>
  <c r="E69" i="27"/>
  <c r="E70" i="27"/>
  <c r="E71" i="27"/>
  <c r="E72" i="27"/>
  <c r="E75" i="27"/>
  <c r="E76" i="27"/>
  <c r="E77" i="27"/>
  <c r="E78" i="27"/>
  <c r="E79" i="27"/>
  <c r="E80" i="27"/>
  <c r="E81" i="27"/>
  <c r="E82" i="27"/>
  <c r="E83" i="27"/>
  <c r="E87" i="27"/>
  <c r="E88" i="27"/>
  <c r="E89" i="27"/>
  <c r="E90" i="27"/>
  <c r="E91" i="27"/>
  <c r="E92" i="27"/>
  <c r="E93" i="27"/>
  <c r="E94" i="27"/>
  <c r="E95" i="27"/>
  <c r="E99" i="27"/>
  <c r="E100" i="27"/>
  <c r="E101" i="27"/>
  <c r="E102" i="27"/>
  <c r="E103" i="27"/>
  <c r="E104" i="27"/>
  <c r="E105" i="27"/>
  <c r="E106" i="27"/>
  <c r="E107" i="27"/>
  <c r="E111" i="27"/>
  <c r="E112" i="27"/>
  <c r="E113" i="27"/>
  <c r="E114" i="27"/>
  <c r="E115" i="27"/>
  <c r="E116" i="27"/>
  <c r="E117" i="27"/>
  <c r="E118" i="27"/>
  <c r="E119" i="27"/>
  <c r="E123" i="27"/>
  <c r="E124" i="27"/>
  <c r="E125" i="27"/>
  <c r="E126" i="27"/>
  <c r="E127" i="27"/>
  <c r="E128" i="27"/>
  <c r="E129" i="27"/>
  <c r="E130" i="27"/>
  <c r="E131" i="27"/>
  <c r="E135" i="27"/>
  <c r="E136" i="27"/>
  <c r="E137" i="27"/>
  <c r="E138" i="27"/>
  <c r="E139" i="27"/>
  <c r="E140" i="27"/>
  <c r="E141" i="27"/>
  <c r="E142" i="27"/>
  <c r="E143" i="27"/>
  <c r="E147" i="27"/>
  <c r="E148" i="27"/>
  <c r="E149" i="27"/>
  <c r="E150" i="27"/>
  <c r="E151" i="27"/>
  <c r="E152" i="27"/>
  <c r="E153" i="27"/>
  <c r="E154" i="27"/>
  <c r="E155" i="27"/>
  <c r="E159" i="27"/>
  <c r="E160" i="27"/>
  <c r="E161" i="27"/>
  <c r="E162" i="27"/>
  <c r="E163" i="27"/>
  <c r="E164" i="27"/>
  <c r="E165" i="27"/>
  <c r="E166" i="27"/>
  <c r="E167" i="27"/>
  <c r="E171" i="27"/>
  <c r="E172" i="27"/>
  <c r="E173" i="27"/>
  <c r="E174" i="27"/>
  <c r="E175" i="27"/>
  <c r="E176" i="27"/>
  <c r="E177" i="27"/>
  <c r="E178" i="27"/>
  <c r="E179" i="27"/>
  <c r="E183" i="27"/>
  <c r="E184" i="27"/>
  <c r="E185" i="27"/>
  <c r="E186" i="27"/>
  <c r="E187" i="27"/>
  <c r="E188" i="27"/>
  <c r="E189" i="27"/>
  <c r="E190" i="27"/>
  <c r="E191" i="27"/>
  <c r="E195" i="27"/>
  <c r="E196" i="27"/>
  <c r="E197" i="27"/>
  <c r="E198" i="27"/>
  <c r="E199" i="27"/>
  <c r="E200" i="27"/>
  <c r="E201" i="27"/>
  <c r="E202" i="27"/>
  <c r="E203" i="27"/>
  <c r="E207" i="27"/>
  <c r="E208" i="27"/>
  <c r="E209" i="27"/>
  <c r="E210" i="27"/>
  <c r="E211" i="27"/>
  <c r="E212" i="27"/>
  <c r="E213" i="27"/>
  <c r="E214" i="27"/>
  <c r="E215" i="27"/>
  <c r="E219" i="27"/>
  <c r="E220" i="27"/>
  <c r="E221" i="27"/>
  <c r="E222" i="27"/>
  <c r="E223" i="27"/>
  <c r="E224" i="27"/>
  <c r="E225" i="27"/>
  <c r="E226" i="27"/>
  <c r="E227" i="27"/>
  <c r="E231" i="27"/>
  <c r="E232" i="27"/>
  <c r="E233" i="27"/>
  <c r="E234" i="27"/>
  <c r="E235" i="27"/>
  <c r="E236" i="27"/>
  <c r="E237" i="27"/>
  <c r="E238" i="27"/>
  <c r="E239" i="27"/>
  <c r="E243" i="27"/>
  <c r="E244" i="27"/>
  <c r="E245" i="27"/>
  <c r="E246" i="27"/>
  <c r="E247" i="27"/>
  <c r="E248" i="27"/>
  <c r="E249" i="27"/>
  <c r="E250" i="27"/>
  <c r="E251" i="27"/>
  <c r="E255" i="27"/>
  <c r="E256" i="27"/>
  <c r="E257" i="27"/>
  <c r="E258" i="27"/>
  <c r="E259" i="27"/>
  <c r="E260" i="27"/>
  <c r="E261" i="27"/>
  <c r="E262" i="27"/>
  <c r="E263" i="27"/>
  <c r="E267" i="27"/>
  <c r="E268" i="27"/>
  <c r="E269" i="27"/>
  <c r="E270" i="27"/>
  <c r="E271" i="27"/>
  <c r="E272" i="27"/>
  <c r="E273" i="27"/>
  <c r="E274" i="27"/>
  <c r="E275" i="27"/>
  <c r="E279" i="27"/>
  <c r="E280" i="27"/>
  <c r="E281" i="27"/>
  <c r="E282" i="27"/>
  <c r="E283" i="27"/>
  <c r="E284" i="27"/>
  <c r="E285" i="27"/>
  <c r="E286" i="27"/>
  <c r="E287" i="27"/>
  <c r="E291" i="27"/>
  <c r="E292" i="27"/>
  <c r="E293" i="27"/>
  <c r="E294" i="27"/>
  <c r="E295" i="27"/>
  <c r="E296" i="27"/>
  <c r="E297" i="27"/>
  <c r="E298" i="27"/>
  <c r="E299" i="27"/>
  <c r="E303" i="27"/>
  <c r="E304" i="27"/>
  <c r="E305" i="27"/>
  <c r="E306" i="27"/>
  <c r="E307" i="27"/>
  <c r="E308" i="27"/>
  <c r="E309" i="27"/>
  <c r="E310" i="27"/>
  <c r="E311" i="27"/>
  <c r="E315" i="27"/>
  <c r="E316" i="27"/>
  <c r="E317" i="27"/>
  <c r="E318" i="27"/>
  <c r="E319" i="27"/>
  <c r="E320" i="27"/>
  <c r="E321" i="27"/>
  <c r="E322" i="27"/>
  <c r="E323" i="27"/>
  <c r="E327" i="27"/>
  <c r="E328" i="27"/>
  <c r="E329" i="27"/>
  <c r="E330" i="27"/>
  <c r="E331" i="27"/>
  <c r="E332" i="27"/>
  <c r="E333" i="27"/>
  <c r="E334" i="27"/>
  <c r="E335" i="27"/>
  <c r="E340" i="27"/>
  <c r="E341" i="27"/>
  <c r="E342" i="27"/>
  <c r="E343" i="27"/>
  <c r="E344" i="27"/>
  <c r="E345" i="27"/>
  <c r="E346" i="27"/>
  <c r="E347" i="27"/>
  <c r="E351" i="27"/>
  <c r="E352" i="27"/>
  <c r="E353" i="27"/>
  <c r="E354" i="27"/>
  <c r="E355" i="27"/>
  <c r="E356" i="27"/>
  <c r="E357" i="27"/>
  <c r="E358" i="27"/>
  <c r="E359" i="27"/>
  <c r="E2" i="27"/>
  <c r="D3" i="27"/>
  <c r="D4" i="27"/>
  <c r="D5" i="27"/>
  <c r="D6" i="27"/>
  <c r="D7" i="27"/>
  <c r="D8" i="27"/>
  <c r="D9" i="27"/>
  <c r="D10" i="27"/>
  <c r="D11" i="27"/>
  <c r="D15" i="27"/>
  <c r="D16" i="27"/>
  <c r="D17" i="27"/>
  <c r="D18" i="27"/>
  <c r="D19" i="27"/>
  <c r="D20" i="27"/>
  <c r="D21" i="27"/>
  <c r="D22" i="27"/>
  <c r="D23" i="27"/>
  <c r="D27" i="27"/>
  <c r="D28" i="27"/>
  <c r="D29" i="27"/>
  <c r="D30" i="27"/>
  <c r="D31" i="27"/>
  <c r="D32" i="27"/>
  <c r="D33" i="27"/>
  <c r="D34" i="27"/>
  <c r="D35" i="27"/>
  <c r="D39" i="27"/>
  <c r="D40" i="27"/>
  <c r="D41" i="27"/>
  <c r="D42" i="27"/>
  <c r="D43" i="27"/>
  <c r="D44" i="27"/>
  <c r="D45" i="27"/>
  <c r="D46" i="27"/>
  <c r="D47" i="27"/>
  <c r="D51" i="27"/>
  <c r="D52" i="27"/>
  <c r="D53" i="27"/>
  <c r="D54" i="27"/>
  <c r="D55" i="27"/>
  <c r="D56" i="27"/>
  <c r="D57" i="27"/>
  <c r="D58" i="27"/>
  <c r="D59" i="27"/>
  <c r="D63" i="27"/>
  <c r="D64" i="27"/>
  <c r="D65" i="27"/>
  <c r="D66" i="27"/>
  <c r="D67" i="27"/>
  <c r="D68" i="27"/>
  <c r="D69" i="27"/>
  <c r="D70" i="27"/>
  <c r="D71" i="27"/>
  <c r="D75" i="27"/>
  <c r="D76" i="27"/>
  <c r="D77" i="27"/>
  <c r="D78" i="27"/>
  <c r="D79" i="27"/>
  <c r="D80" i="27"/>
  <c r="D81" i="27"/>
  <c r="D82" i="27"/>
  <c r="D83" i="27"/>
  <c r="D87" i="27"/>
  <c r="D88" i="27"/>
  <c r="D89" i="27"/>
  <c r="D90" i="27"/>
  <c r="D91" i="27"/>
  <c r="D92" i="27"/>
  <c r="D93" i="27"/>
  <c r="D94" i="27"/>
  <c r="D95" i="27"/>
  <c r="D99" i="27"/>
  <c r="D100" i="27"/>
  <c r="D101" i="27"/>
  <c r="D102" i="27"/>
  <c r="D103" i="27"/>
  <c r="D104" i="27"/>
  <c r="D105" i="27"/>
  <c r="D106" i="27"/>
  <c r="D107" i="27"/>
  <c r="D111" i="27"/>
  <c r="D112" i="27"/>
  <c r="D113" i="27"/>
  <c r="D114" i="27"/>
  <c r="D115" i="27"/>
  <c r="D116" i="27"/>
  <c r="D117" i="27"/>
  <c r="D118" i="27"/>
  <c r="D119" i="27"/>
  <c r="D123" i="27"/>
  <c r="D124" i="27"/>
  <c r="D125" i="27"/>
  <c r="D126" i="27"/>
  <c r="D127" i="27"/>
  <c r="D128" i="27"/>
  <c r="D129" i="27"/>
  <c r="D130" i="27"/>
  <c r="D131" i="27"/>
  <c r="D135" i="27"/>
  <c r="D136" i="27"/>
  <c r="D137" i="27"/>
  <c r="D138" i="27"/>
  <c r="D139" i="27"/>
  <c r="D140" i="27"/>
  <c r="D141" i="27"/>
  <c r="D142" i="27"/>
  <c r="D143" i="27"/>
  <c r="D147" i="27"/>
  <c r="D148" i="27"/>
  <c r="D149" i="27"/>
  <c r="D150" i="27"/>
  <c r="D151" i="27"/>
  <c r="D152" i="27"/>
  <c r="D153" i="27"/>
  <c r="D154" i="27"/>
  <c r="D155" i="27"/>
  <c r="D159" i="27"/>
  <c r="D160" i="27"/>
  <c r="D161" i="27"/>
  <c r="D162" i="27"/>
  <c r="D163" i="27"/>
  <c r="D164" i="27"/>
  <c r="D165" i="27"/>
  <c r="D166" i="27"/>
  <c r="D167" i="27"/>
  <c r="D171" i="27"/>
  <c r="D172" i="27"/>
  <c r="D173" i="27"/>
  <c r="D174" i="27"/>
  <c r="D175" i="27"/>
  <c r="D176" i="27"/>
  <c r="D177" i="27"/>
  <c r="D178" i="27"/>
  <c r="D179" i="27"/>
  <c r="D183" i="27"/>
  <c r="D184" i="27"/>
  <c r="D185" i="27"/>
  <c r="D186" i="27"/>
  <c r="D187" i="27"/>
  <c r="D188" i="27"/>
  <c r="D189" i="27"/>
  <c r="D190" i="27"/>
  <c r="D191" i="27"/>
  <c r="D195" i="27"/>
  <c r="D196" i="27"/>
  <c r="D197" i="27"/>
  <c r="D198" i="27"/>
  <c r="D199" i="27"/>
  <c r="D200" i="27"/>
  <c r="D201" i="27"/>
  <c r="D202" i="27"/>
  <c r="D203" i="27"/>
  <c r="D207" i="27"/>
  <c r="D208" i="27"/>
  <c r="D209" i="27"/>
  <c r="D210" i="27"/>
  <c r="D211" i="27"/>
  <c r="D212" i="27"/>
  <c r="D213" i="27"/>
  <c r="D214" i="27"/>
  <c r="D215" i="27"/>
  <c r="D219" i="27"/>
  <c r="D220" i="27"/>
  <c r="D221" i="27"/>
  <c r="D222" i="27"/>
  <c r="D223" i="27"/>
  <c r="D224" i="27"/>
  <c r="D225" i="27"/>
  <c r="D226" i="27"/>
  <c r="D227" i="27"/>
  <c r="D231" i="27"/>
  <c r="D232" i="27"/>
  <c r="D233" i="27"/>
  <c r="D234" i="27"/>
  <c r="D235" i="27"/>
  <c r="D236" i="27"/>
  <c r="D237" i="27"/>
  <c r="D238" i="27"/>
  <c r="D239" i="27"/>
  <c r="D243" i="27"/>
  <c r="D244" i="27"/>
  <c r="D245" i="27"/>
  <c r="D246" i="27"/>
  <c r="D247" i="27"/>
  <c r="D248" i="27"/>
  <c r="D249" i="27"/>
  <c r="D250" i="27"/>
  <c r="D251" i="27"/>
  <c r="D255" i="27"/>
  <c r="D256" i="27"/>
  <c r="D257" i="27"/>
  <c r="D258" i="27"/>
  <c r="D259" i="27"/>
  <c r="D260" i="27"/>
  <c r="D261" i="27"/>
  <c r="D262" i="27"/>
  <c r="D263" i="27"/>
  <c r="D267" i="27"/>
  <c r="D268" i="27"/>
  <c r="D269" i="27"/>
  <c r="D270" i="27"/>
  <c r="D271" i="27"/>
  <c r="D272" i="27"/>
  <c r="D273" i="27"/>
  <c r="D274" i="27"/>
  <c r="D275" i="27"/>
  <c r="D279" i="27"/>
  <c r="D280" i="27"/>
  <c r="D281" i="27"/>
  <c r="D282" i="27"/>
  <c r="D283" i="27"/>
  <c r="D284" i="27"/>
  <c r="D285" i="27"/>
  <c r="D286" i="27"/>
  <c r="D287" i="27"/>
  <c r="D291" i="27"/>
  <c r="D292" i="27"/>
  <c r="D293" i="27"/>
  <c r="D294" i="27"/>
  <c r="D295" i="27"/>
  <c r="D296" i="27"/>
  <c r="D297" i="27"/>
  <c r="D298" i="27"/>
  <c r="D299" i="27"/>
  <c r="D303" i="27"/>
  <c r="D304" i="27"/>
  <c r="D305" i="27"/>
  <c r="D306" i="27"/>
  <c r="D307" i="27"/>
  <c r="D308" i="27"/>
  <c r="D309" i="27"/>
  <c r="D310" i="27"/>
  <c r="D311" i="27"/>
  <c r="D315" i="27"/>
  <c r="D316" i="27"/>
  <c r="D317" i="27"/>
  <c r="D318" i="27"/>
  <c r="D319" i="27"/>
  <c r="D320" i="27"/>
  <c r="D321" i="27"/>
  <c r="D322" i="27"/>
  <c r="D323" i="27"/>
  <c r="D327" i="27"/>
  <c r="D328" i="27"/>
  <c r="D329" i="27"/>
  <c r="D330" i="27"/>
  <c r="D331" i="27"/>
  <c r="D332" i="27"/>
  <c r="D333" i="27"/>
  <c r="D334" i="27"/>
  <c r="D335" i="27"/>
  <c r="D339" i="27"/>
  <c r="D340" i="27"/>
  <c r="D341" i="27"/>
  <c r="D342" i="27"/>
  <c r="D343" i="27"/>
  <c r="D344" i="27"/>
  <c r="D345" i="27"/>
  <c r="D346" i="27"/>
  <c r="D347" i="27"/>
  <c r="D351" i="27"/>
  <c r="D352" i="27"/>
  <c r="D353" i="27"/>
  <c r="D354" i="27"/>
  <c r="D355" i="27"/>
  <c r="D356" i="27"/>
  <c r="D357" i="27"/>
  <c r="D358" i="27"/>
  <c r="D359" i="27"/>
  <c r="E360" i="27" l="1"/>
  <c r="E288" i="27"/>
  <c r="E216" i="27"/>
  <c r="E144" i="27"/>
  <c r="E300" i="27"/>
  <c r="E228" i="27"/>
  <c r="E156" i="27"/>
  <c r="E84" i="27"/>
  <c r="E312" i="27"/>
  <c r="E240" i="27"/>
  <c r="E168" i="27"/>
  <c r="E96" i="27"/>
  <c r="E24" i="27"/>
  <c r="E324" i="27"/>
  <c r="E252" i="27"/>
  <c r="E180" i="27"/>
  <c r="E108" i="27"/>
  <c r="E36" i="27"/>
  <c r="E336" i="27"/>
  <c r="E264" i="27"/>
  <c r="E192" i="27"/>
  <c r="E120" i="27"/>
  <c r="E48" i="27"/>
  <c r="E348" i="27"/>
  <c r="E276" i="27"/>
  <c r="E204" i="27"/>
  <c r="E132" i="27"/>
  <c r="E60" i="27"/>
  <c r="D362" i="27"/>
  <c r="D350" i="27"/>
  <c r="D338" i="27"/>
  <c r="D326" i="27"/>
  <c r="D314" i="27"/>
  <c r="D302" i="27"/>
  <c r="D290" i="27"/>
  <c r="D278" i="27"/>
  <c r="D266" i="27"/>
  <c r="D254" i="27"/>
  <c r="D242" i="27"/>
  <c r="D230" i="27"/>
  <c r="D218" i="27"/>
  <c r="D206" i="27"/>
  <c r="D194" i="27"/>
  <c r="D182" i="27"/>
  <c r="D170" i="27"/>
  <c r="D158" i="27"/>
  <c r="D146" i="27"/>
  <c r="D134" i="27"/>
  <c r="D122" i="27"/>
  <c r="D110" i="27"/>
  <c r="D98" i="27"/>
  <c r="D86" i="27"/>
  <c r="D74" i="27"/>
  <c r="D62" i="27"/>
  <c r="D50" i="27"/>
  <c r="D38" i="27"/>
  <c r="D26" i="27"/>
  <c r="D14" i="27"/>
  <c r="D361" i="27"/>
  <c r="D349" i="27"/>
  <c r="D337" i="27"/>
  <c r="D325" i="27"/>
  <c r="D313" i="27"/>
  <c r="D301" i="27"/>
  <c r="D289" i="27"/>
  <c r="D277" i="27"/>
  <c r="D265" i="27"/>
  <c r="D253" i="27"/>
  <c r="D241" i="27"/>
  <c r="D229" i="27"/>
  <c r="D217" i="27"/>
  <c r="D205" i="27"/>
  <c r="D193" i="27"/>
  <c r="D181" i="27"/>
  <c r="D169" i="27"/>
  <c r="D157" i="27"/>
  <c r="D145" i="27"/>
  <c r="D133" i="27"/>
  <c r="D121" i="27"/>
  <c r="D109" i="27"/>
  <c r="D97" i="27"/>
  <c r="D85" i="27"/>
  <c r="D73" i="27"/>
  <c r="D61" i="27"/>
  <c r="D49" i="27"/>
  <c r="D37" i="27"/>
  <c r="D25" i="27"/>
  <c r="D13" i="27"/>
  <c r="D364" i="27" l="1"/>
  <c r="E364" i="27"/>
  <c r="E368" i="27" s="1"/>
  <c r="E366" i="27" l="1"/>
</calcChain>
</file>

<file path=xl/sharedStrings.xml><?xml version="1.0" encoding="utf-8"?>
<sst xmlns="http://schemas.openxmlformats.org/spreadsheetml/2006/main" count="7367" uniqueCount="2103">
  <si>
    <t>Garden Inventory</t>
  </si>
  <si>
    <t>House ID</t>
  </si>
  <si>
    <t>P11</t>
  </si>
  <si>
    <t>TIME AND DATE START RECORDING</t>
  </si>
  <si>
    <t>ARU ID</t>
  </si>
  <si>
    <t>Garden width and length (m)</t>
  </si>
  <si>
    <t>6*10.6 - (3.1*2.5)</t>
  </si>
  <si>
    <t>Cover %</t>
  </si>
  <si>
    <t>Grass strata</t>
  </si>
  <si>
    <t>Herbaceous strata</t>
  </si>
  <si>
    <t>Shrub strata</t>
  </si>
  <si>
    <t>Tree strata</t>
  </si>
  <si>
    <t>Notes</t>
  </si>
  <si>
    <t xml:space="preserve">Shrub species </t>
  </si>
  <si>
    <t>Family</t>
  </si>
  <si>
    <t>Shrub cover %</t>
  </si>
  <si>
    <t>Native or non-native</t>
  </si>
  <si>
    <t xml:space="preserve">Plant species </t>
  </si>
  <si>
    <t>Plant cover %</t>
  </si>
  <si>
    <t>Juniperus comunis</t>
  </si>
  <si>
    <t>Cupresaceae</t>
  </si>
  <si>
    <t>non-native</t>
  </si>
  <si>
    <t>Hedge</t>
  </si>
  <si>
    <t>Rutabaga</t>
  </si>
  <si>
    <t>Ilex</t>
  </si>
  <si>
    <t>Leek</t>
  </si>
  <si>
    <t>Chamaecyparis</t>
  </si>
  <si>
    <t>Bok choy</t>
  </si>
  <si>
    <t>Garlic</t>
  </si>
  <si>
    <t>English Holly</t>
  </si>
  <si>
    <t xml:space="preserve">Hedge species </t>
  </si>
  <si>
    <t>Height</t>
  </si>
  <si>
    <t>Cupressaceae</t>
  </si>
  <si>
    <t>Ilex aquifolium</t>
  </si>
  <si>
    <t>Aquifoliaceae</t>
  </si>
  <si>
    <t>P12</t>
  </si>
  <si>
    <t>26.9*3.5</t>
  </si>
  <si>
    <t>Actinidia chinensis</t>
  </si>
  <si>
    <t>Actinidiaceae</t>
  </si>
  <si>
    <t>Aloe vera</t>
  </si>
  <si>
    <t>Rosa chinensis</t>
  </si>
  <si>
    <t>Rosaceae</t>
  </si>
  <si>
    <t>Ditch lily</t>
  </si>
  <si>
    <t>Wisteria sinensis</t>
  </si>
  <si>
    <t>Fabaceae</t>
  </si>
  <si>
    <t>Chives</t>
  </si>
  <si>
    <t>Sorrel</t>
  </si>
  <si>
    <t>Pussy willow</t>
  </si>
  <si>
    <t>Tiger lily</t>
  </si>
  <si>
    <t>Peony</t>
  </si>
  <si>
    <t>Native</t>
  </si>
  <si>
    <t>Sweet woodruff</t>
  </si>
  <si>
    <t>New england aster</t>
  </si>
  <si>
    <t>Large yellow loosestrife</t>
  </si>
  <si>
    <t>Indian Shot</t>
  </si>
  <si>
    <t>P13</t>
  </si>
  <si>
    <t>17*11</t>
  </si>
  <si>
    <t>wild backyard</t>
  </si>
  <si>
    <t>china rose</t>
  </si>
  <si>
    <t>buds</t>
  </si>
  <si>
    <t>mugwort</t>
  </si>
  <si>
    <t>10</t>
  </si>
  <si>
    <t>Chinese boxthorn</t>
  </si>
  <si>
    <t>Jerusalem artichoke</t>
  </si>
  <si>
    <t>2</t>
  </si>
  <si>
    <t>Chinese wolfberry</t>
  </si>
  <si>
    <t>sweet fennel</t>
  </si>
  <si>
    <t>7</t>
  </si>
  <si>
    <t>field mustard</t>
  </si>
  <si>
    <t>1</t>
  </si>
  <si>
    <t>flowering</t>
  </si>
  <si>
    <t>rue</t>
  </si>
  <si>
    <t>lady fern</t>
  </si>
  <si>
    <t>dandelion</t>
  </si>
  <si>
    <t>bouncing-bet</t>
  </si>
  <si>
    <t>rhuberb</t>
  </si>
  <si>
    <t>Spanish bluebell</t>
  </si>
  <si>
    <t>garden snapdragon</t>
  </si>
  <si>
    <t>wall lettuce</t>
  </si>
  <si>
    <t>common evening-primrose</t>
  </si>
  <si>
    <t>orpine</t>
  </si>
  <si>
    <t>clustered bellflower</t>
  </si>
  <si>
    <t>feverfew</t>
  </si>
  <si>
    <t>European plum</t>
  </si>
  <si>
    <t>fringed willowherb</t>
  </si>
  <si>
    <t>clammy ground cherry</t>
  </si>
  <si>
    <t>creeping woodsorrel</t>
  </si>
  <si>
    <t>spearmint</t>
  </si>
  <si>
    <t>obedient plant</t>
  </si>
  <si>
    <t>common plantain</t>
  </si>
  <si>
    <t>chives</t>
  </si>
  <si>
    <t>oregano</t>
  </si>
  <si>
    <t>P14</t>
  </si>
  <si>
    <t>2MM15193</t>
  </si>
  <si>
    <t>12*10</t>
  </si>
  <si>
    <t>japanese maple</t>
  </si>
  <si>
    <t>buckwheat</t>
  </si>
  <si>
    <t>flowering/ground cover</t>
  </si>
  <si>
    <t>hortensia</t>
  </si>
  <si>
    <t>creeping jenny</t>
  </si>
  <si>
    <t>japanese pieris</t>
  </si>
  <si>
    <t>common bugle</t>
  </si>
  <si>
    <t>mirror plant</t>
  </si>
  <si>
    <t>montbretia</t>
  </si>
  <si>
    <t>rose of sharon</t>
  </si>
  <si>
    <t>tiger lily</t>
  </si>
  <si>
    <t>dappled willow</t>
  </si>
  <si>
    <t>blue fescue</t>
  </si>
  <si>
    <t>pacific rhododendron</t>
  </si>
  <si>
    <t>P21</t>
  </si>
  <si>
    <t>9.4x16.6 - (little house: 8.1x4.2)</t>
  </si>
  <si>
    <t>outdoor cats, water, bird feeders</t>
  </si>
  <si>
    <t>Vine kiwi</t>
  </si>
  <si>
    <t>Highbush blueberry</t>
  </si>
  <si>
    <t>Creeping buttercup</t>
  </si>
  <si>
    <t>Red raspberry</t>
  </si>
  <si>
    <t>Common boxwood</t>
  </si>
  <si>
    <t>Hot pepper</t>
  </si>
  <si>
    <t>Onion</t>
  </si>
  <si>
    <t>Rosemary</t>
  </si>
  <si>
    <t>garden tulips</t>
  </si>
  <si>
    <t>Plantain lily</t>
  </si>
  <si>
    <t>Spring onion</t>
  </si>
  <si>
    <t>Strawberry</t>
  </si>
  <si>
    <t xml:space="preserve">Flowering </t>
  </si>
  <si>
    <t>Hardy fuchsia</t>
  </si>
  <si>
    <t>Flowering</t>
  </si>
  <si>
    <t>P22</t>
  </si>
  <si>
    <t>10.5*10</t>
  </si>
  <si>
    <t>no grass</t>
  </si>
  <si>
    <t>Pacific rhododendron</t>
  </si>
  <si>
    <t>Ericaceae</t>
  </si>
  <si>
    <t>Japanese skimmia</t>
  </si>
  <si>
    <t>Rutaceae</t>
  </si>
  <si>
    <t>Smooth Solomon's seal</t>
  </si>
  <si>
    <t>Japanese maple</t>
  </si>
  <si>
    <t>Aceraceae</t>
  </si>
  <si>
    <t>lop grass</t>
  </si>
  <si>
    <t>grain</t>
  </si>
  <si>
    <t xml:space="preserve">Japanese camellia </t>
  </si>
  <si>
    <t>Theaceae</t>
  </si>
  <si>
    <t>Spurge laurel</t>
  </si>
  <si>
    <t>Mirtaceae</t>
  </si>
  <si>
    <t>common sowthistle</t>
  </si>
  <si>
    <t>crevice alumroot</t>
  </si>
  <si>
    <t>tiger flower</t>
  </si>
  <si>
    <t>common buglgle</t>
  </si>
  <si>
    <t>chedder pink</t>
  </si>
  <si>
    <t>creeping buttercup</t>
  </si>
  <si>
    <t>red hot poker</t>
  </si>
  <si>
    <t>lenten rose</t>
  </si>
  <si>
    <t>lesser trefoil</t>
  </si>
  <si>
    <t>white clover</t>
  </si>
  <si>
    <t>P31</t>
  </si>
  <si>
    <t>13*6</t>
  </si>
  <si>
    <t>old hong kong lady used all the small garden to plant vegetables</t>
  </si>
  <si>
    <t>Chinese wisteria</t>
  </si>
  <si>
    <t>choy sum</t>
  </si>
  <si>
    <t>Rue</t>
  </si>
  <si>
    <t>crown daisy</t>
  </si>
  <si>
    <t>China rose</t>
  </si>
  <si>
    <t>beet</t>
  </si>
  <si>
    <t>peony</t>
  </si>
  <si>
    <t>potato</t>
  </si>
  <si>
    <t>tree peony</t>
  </si>
  <si>
    <t>garlic</t>
  </si>
  <si>
    <t>blueblossom</t>
  </si>
  <si>
    <t>fruiting</t>
  </si>
  <si>
    <t>lettuce</t>
  </si>
  <si>
    <t>Japanese pieris</t>
  </si>
  <si>
    <t>pea</t>
  </si>
  <si>
    <t>heavenly bamboo</t>
  </si>
  <si>
    <t>strawberry</t>
  </si>
  <si>
    <t>fig</t>
  </si>
  <si>
    <t>raddish</t>
  </si>
  <si>
    <t>chayote</t>
  </si>
  <si>
    <t>common mugwort</t>
  </si>
  <si>
    <t>Iceland poppy</t>
  </si>
  <si>
    <t>garden lupine</t>
  </si>
  <si>
    <t>garden tulip</t>
  </si>
  <si>
    <t>chameleon plant</t>
  </si>
  <si>
    <t>tomato</t>
  </si>
  <si>
    <t>wild dafodil</t>
  </si>
  <si>
    <t>evergreen azalia</t>
  </si>
  <si>
    <t>Serbian bellflower</t>
  </si>
  <si>
    <t>rose campion</t>
  </si>
  <si>
    <t>gardy fuchsia</t>
  </si>
  <si>
    <t>purple bergenia</t>
  </si>
  <si>
    <t>Japanese honeysuckle</t>
  </si>
  <si>
    <t>bearded iris</t>
  </si>
  <si>
    <t>purple rock cress</t>
  </si>
  <si>
    <t>common mallow</t>
  </si>
  <si>
    <t>P32</t>
  </si>
  <si>
    <t>14*14</t>
  </si>
  <si>
    <t>water</t>
  </si>
  <si>
    <t>Kentucky bluegrass</t>
  </si>
  <si>
    <t>5</t>
  </si>
  <si>
    <t>oriental arbovitae</t>
  </si>
  <si>
    <t>hedge</t>
  </si>
  <si>
    <t>highbush blueberry</t>
  </si>
  <si>
    <t>corn speedwell</t>
  </si>
  <si>
    <t>bay laurel</t>
  </si>
  <si>
    <t>common sage</t>
  </si>
  <si>
    <t>common boxwood</t>
  </si>
  <si>
    <t>eastern bluestar</t>
  </si>
  <si>
    <t>large bindweed</t>
  </si>
  <si>
    <t>P41</t>
  </si>
  <si>
    <t>24*12-6*8.5</t>
  </si>
  <si>
    <t>bird feeders, water feature</t>
  </si>
  <si>
    <t>red raspberry</t>
  </si>
  <si>
    <t>rhubarb</t>
  </si>
  <si>
    <t>red currant</t>
  </si>
  <si>
    <t>multiflora rose</t>
  </si>
  <si>
    <t>field pumpkin</t>
  </si>
  <si>
    <t>flowing</t>
  </si>
  <si>
    <t>garden pea</t>
  </si>
  <si>
    <t>western red cedar</t>
  </si>
  <si>
    <t>cucumber</t>
  </si>
  <si>
    <t>lovage</t>
  </si>
  <si>
    <t>bigleaf hydrangea</t>
  </si>
  <si>
    <t>poeny</t>
  </si>
  <si>
    <t>English lavender</t>
  </si>
  <si>
    <t>ditch lily</t>
  </si>
  <si>
    <t>virgin's bower</t>
  </si>
  <si>
    <t>sweet alyssum</t>
  </si>
  <si>
    <t>orange coneflower</t>
  </si>
  <si>
    <t>zonal geranium</t>
  </si>
  <si>
    <t>dense blazing star</t>
  </si>
  <si>
    <t>New York aster</t>
  </si>
  <si>
    <t>Siebold's plantain lily</t>
  </si>
  <si>
    <t>yellow daylily</t>
  </si>
  <si>
    <t>glandular cape marigold</t>
  </si>
  <si>
    <t>garden dahlia</t>
  </si>
  <si>
    <t>sea thrift</t>
  </si>
  <si>
    <t>ballon flower</t>
  </si>
  <si>
    <t>wax begonia</t>
  </si>
  <si>
    <t>regal eranium</t>
  </si>
  <si>
    <t>large-petal globeflower</t>
  </si>
  <si>
    <t>false buck'sbeard</t>
  </si>
  <si>
    <t>M11</t>
  </si>
  <si>
    <t>9.5*6</t>
  </si>
  <si>
    <t>water; no grass</t>
  </si>
  <si>
    <t>red huckleberry</t>
  </si>
  <si>
    <t>seersucker sedge</t>
  </si>
  <si>
    <t>seed</t>
  </si>
  <si>
    <t>Mexican orange</t>
  </si>
  <si>
    <t>British Columbia wild ginger</t>
  </si>
  <si>
    <t>vine</t>
  </si>
  <si>
    <t>common snowberry</t>
  </si>
  <si>
    <t>aleutian maidenhair</t>
  </si>
  <si>
    <t>sweet alysum</t>
  </si>
  <si>
    <t>woodland strawberry</t>
  </si>
  <si>
    <t>vine maple</t>
  </si>
  <si>
    <t>Ram's horn</t>
  </si>
  <si>
    <t>pregnant onion</t>
  </si>
  <si>
    <t>vasevine</t>
  </si>
  <si>
    <t>common columbine</t>
  </si>
  <si>
    <t>evergreen candytuft</t>
  </si>
  <si>
    <t>beefsteak plant</t>
  </si>
  <si>
    <t>spurge laurel</t>
  </si>
  <si>
    <t>virginia sweetspire</t>
  </si>
  <si>
    <t>agueweed</t>
  </si>
  <si>
    <t>Chinese clematis</t>
  </si>
  <si>
    <t>plantain lily</t>
  </si>
  <si>
    <t>common myrtle</t>
  </si>
  <si>
    <t>sweet mock-orange</t>
  </si>
  <si>
    <t>solomon's seal</t>
  </si>
  <si>
    <t>western azalea</t>
  </si>
  <si>
    <t>siberian bugloss</t>
  </si>
  <si>
    <t>tea-oil camellia</t>
  </si>
  <si>
    <t>meadow buttercup</t>
  </si>
  <si>
    <t>buttonwood</t>
  </si>
  <si>
    <t>japanese camellia</t>
  </si>
  <si>
    <t>American beautyberry</t>
  </si>
  <si>
    <t>smooth hydragea</t>
  </si>
  <si>
    <t>ostrich fern</t>
  </si>
  <si>
    <t>cypress spurge</t>
  </si>
  <si>
    <t>barrenwort</t>
  </si>
  <si>
    <t>fringed loosestrife</t>
  </si>
  <si>
    <t>bear's breech</t>
  </si>
  <si>
    <t>paperplant</t>
  </si>
  <si>
    <t>bush lily</t>
  </si>
  <si>
    <t>spotted dead nettles</t>
  </si>
  <si>
    <t>american alumroot</t>
  </si>
  <si>
    <t>western blue virginsbower</t>
  </si>
  <si>
    <t>bacopa</t>
  </si>
  <si>
    <t>oakleaf hydrangea</t>
  </si>
  <si>
    <t>hardy fuchsia</t>
  </si>
  <si>
    <t>new guinea impatiens</t>
  </si>
  <si>
    <t>cleft phlox</t>
  </si>
  <si>
    <t>rocky mountain penstemon</t>
  </si>
  <si>
    <t>poppy anemone</t>
  </si>
  <si>
    <t>Jacob's ladder</t>
  </si>
  <si>
    <t>garden asparagus</t>
  </si>
  <si>
    <t>yellow marsh marigold</t>
  </si>
  <si>
    <t>ground elders</t>
  </si>
  <si>
    <t>cow parsley</t>
  </si>
  <si>
    <t>hakone grass</t>
  </si>
  <si>
    <t>queen of the prairie</t>
  </si>
  <si>
    <t>bloodroot</t>
  </si>
  <si>
    <t>goat's beard</t>
  </si>
  <si>
    <t>culver's rooot</t>
  </si>
  <si>
    <t>leafy spurge</t>
  </si>
  <si>
    <t>hart's-tongue fern</t>
  </si>
  <si>
    <t>lakeshore sedge</t>
  </si>
  <si>
    <t>purple marshlocks</t>
  </si>
  <si>
    <t>common primrose</t>
  </si>
  <si>
    <t>marguerite daisy</t>
  </si>
  <si>
    <t>canadian anemone</t>
  </si>
  <si>
    <t>brook saxifrage</t>
  </si>
  <si>
    <t>M12</t>
  </si>
  <si>
    <t>7.3*10.3</t>
  </si>
  <si>
    <t>neighbor has bird feeder</t>
  </si>
  <si>
    <t>smooth hydrangea</t>
  </si>
  <si>
    <t>pacific bleeding heart</t>
  </si>
  <si>
    <t>Pacific Rhododendron</t>
  </si>
  <si>
    <t>crinklerroot</t>
  </si>
  <si>
    <t>Lewis' mock orange</t>
  </si>
  <si>
    <t>greater masterwort</t>
  </si>
  <si>
    <t>Thuja occcidentalis</t>
  </si>
  <si>
    <t>spanish bluebell</t>
  </si>
  <si>
    <t>M13</t>
  </si>
  <si>
    <t>4.1*3</t>
  </si>
  <si>
    <t>hydrangea</t>
  </si>
  <si>
    <t>siebold's plantain lily</t>
  </si>
  <si>
    <t>oriental arborvitae</t>
  </si>
  <si>
    <t>M14</t>
  </si>
  <si>
    <t>16x10</t>
  </si>
  <si>
    <t>Horse chestnut flower</t>
  </si>
  <si>
    <t>Vanhouttei spires</t>
  </si>
  <si>
    <t>Flower</t>
  </si>
  <si>
    <t xml:space="preserve">Busy Lizzie </t>
  </si>
  <si>
    <t>flower</t>
  </si>
  <si>
    <t xml:space="preserve">China rose </t>
  </si>
  <si>
    <t>3</t>
  </si>
  <si>
    <t>Common foxglove</t>
  </si>
  <si>
    <t>Weeping forsythia</t>
  </si>
  <si>
    <t>Lenten rose</t>
  </si>
  <si>
    <t>Tree peony</t>
  </si>
  <si>
    <t>cornflower</t>
  </si>
  <si>
    <t>Rose of sharon</t>
  </si>
  <si>
    <t>Rhubarb</t>
  </si>
  <si>
    <t>Sweet mock orange</t>
  </si>
  <si>
    <t>common ninebark</t>
  </si>
  <si>
    <t>Rosemint</t>
  </si>
  <si>
    <t>Bigleaf hydrangea</t>
  </si>
  <si>
    <t>False spireae</t>
  </si>
  <si>
    <t>sweet william</t>
  </si>
  <si>
    <t>garden nasturtium</t>
  </si>
  <si>
    <t>African marigold</t>
  </si>
  <si>
    <t>annual honesty</t>
  </si>
  <si>
    <t>common holly lock</t>
  </si>
  <si>
    <t>august lily</t>
  </si>
  <si>
    <t>grapeleaf anemone</t>
  </si>
  <si>
    <t>cabbage</t>
  </si>
  <si>
    <t xml:space="preserve"> Lettuce</t>
  </si>
  <si>
    <t>winter creeper</t>
  </si>
  <si>
    <t>Japanese meadowsweet</t>
  </si>
  <si>
    <t>Asian virginsbower</t>
  </si>
  <si>
    <t>Peruvian lily</t>
  </si>
  <si>
    <t>western wallflower</t>
  </si>
  <si>
    <t xml:space="preserve">cabbage  tree </t>
  </si>
  <si>
    <t xml:space="preserve">crevice alumroot </t>
  </si>
  <si>
    <t>garden petunia</t>
  </si>
  <si>
    <t>basil</t>
  </si>
  <si>
    <t xml:space="preserve">Johnny jump up </t>
  </si>
  <si>
    <t>Sweet alyssum</t>
  </si>
  <si>
    <t>Sticky geranium</t>
  </si>
  <si>
    <t>Western sword fern</t>
  </si>
  <si>
    <t>M21</t>
  </si>
  <si>
    <t>15*9.5</t>
  </si>
  <si>
    <t>nest box in neighbor; chickadee, 20% concrete</t>
  </si>
  <si>
    <t>sweat mock orange</t>
  </si>
  <si>
    <t>field horsetail</t>
  </si>
  <si>
    <t>bindweed</t>
  </si>
  <si>
    <t>M22</t>
  </si>
  <si>
    <t>15*17 - 3.8*8.8</t>
  </si>
  <si>
    <t>15*17-3.8*1.8</t>
  </si>
  <si>
    <t>onion</t>
  </si>
  <si>
    <t>Thuja accidentalis</t>
  </si>
  <si>
    <t>english ivy</t>
  </si>
  <si>
    <t>English holly</t>
  </si>
  <si>
    <t>common hawthorn</t>
  </si>
  <si>
    <t>yellow corydalis</t>
  </si>
  <si>
    <t>english holly</t>
  </si>
  <si>
    <t>M23</t>
  </si>
  <si>
    <t>11*10</t>
  </si>
  <si>
    <t>many nest box; bird feeders; water</t>
  </si>
  <si>
    <t>rockspray coton easter</t>
  </si>
  <si>
    <t>dusty miller</t>
  </si>
  <si>
    <t>autumn sage</t>
  </si>
  <si>
    <t>trmpet honeysucle</t>
  </si>
  <si>
    <t>japanese skimmia</t>
  </si>
  <si>
    <t>herb robert</t>
  </si>
  <si>
    <t>gragrant sweet box</t>
  </si>
  <si>
    <t>common daisy</t>
  </si>
  <si>
    <t>wild daffodil</t>
  </si>
  <si>
    <t>large white petunia</t>
  </si>
  <si>
    <t>dill</t>
  </si>
  <si>
    <t>coriander</t>
  </si>
  <si>
    <t>solommon's seal</t>
  </si>
  <si>
    <t>edging lobelia</t>
  </si>
  <si>
    <t>common yarrow</t>
  </si>
  <si>
    <t>virgenia creeper</t>
  </si>
  <si>
    <t>M24</t>
  </si>
  <si>
    <t>16.5*12</t>
  </si>
  <si>
    <t>common lilac</t>
  </si>
  <si>
    <t>icelandic poppy</t>
  </si>
  <si>
    <t>chinese wisteria</t>
  </si>
  <si>
    <t>flowering, vine</t>
  </si>
  <si>
    <t>Japanese flowering quince</t>
  </si>
  <si>
    <t>lewis' mock orange</t>
  </si>
  <si>
    <t>M31</t>
  </si>
  <si>
    <t>18*14-7.5*10.5</t>
  </si>
  <si>
    <t>sword fern</t>
  </si>
  <si>
    <t>yellow flag</t>
  </si>
  <si>
    <t>rockspray cotoneaster</t>
  </si>
  <si>
    <t>old fashioned weigala</t>
  </si>
  <si>
    <t>doge rose</t>
  </si>
  <si>
    <t>4</t>
  </si>
  <si>
    <t>Thuja occidentalis</t>
  </si>
  <si>
    <t>english lavender</t>
  </si>
  <si>
    <t>french rose</t>
  </si>
  <si>
    <t>giant onion</t>
  </si>
  <si>
    <t>evergreen spindle</t>
  </si>
  <si>
    <t>M41</t>
  </si>
  <si>
    <t>21*7</t>
  </si>
  <si>
    <t>concrete 20%, seen nut breasted nuthatch</t>
  </si>
  <si>
    <t>garden verbena</t>
  </si>
  <si>
    <t>japanese yew</t>
  </si>
  <si>
    <t>lanten rose</t>
  </si>
  <si>
    <t>sweet osmanthus</t>
  </si>
  <si>
    <t>star jasmine</t>
  </si>
  <si>
    <t>upright sedge</t>
  </si>
  <si>
    <t>panicle hydrangea</t>
  </si>
  <si>
    <t>lily of the valley</t>
  </si>
  <si>
    <t>false spriaea</t>
  </si>
  <si>
    <t>alpen rose</t>
  </si>
  <si>
    <t>vasvine</t>
  </si>
  <si>
    <t>false azalea</t>
  </si>
  <si>
    <t>big blue lilyturf</t>
  </si>
  <si>
    <t>great laurel</t>
  </si>
  <si>
    <t>smoketree</t>
  </si>
  <si>
    <t>japanese snowbell</t>
  </si>
  <si>
    <t>M42</t>
  </si>
  <si>
    <t>19*11</t>
  </si>
  <si>
    <t>bird feeder, water</t>
  </si>
  <si>
    <t>japanese cherry</t>
  </si>
  <si>
    <t>wall lattuce</t>
  </si>
  <si>
    <t>ginkgo</t>
  </si>
  <si>
    <t>grape leaf anemone</t>
  </si>
  <si>
    <t>25</t>
  </si>
  <si>
    <t>common nipplewort</t>
  </si>
  <si>
    <t>thimbleberry</t>
  </si>
  <si>
    <t>western sword fern</t>
  </si>
  <si>
    <t>ground elder</t>
  </si>
  <si>
    <t>horse raddish</t>
  </si>
  <si>
    <t>common bean</t>
  </si>
  <si>
    <t xml:space="preserve">parsley </t>
  </si>
  <si>
    <t>R11</t>
  </si>
  <si>
    <t>26*17</t>
  </si>
  <si>
    <t>very large garden</t>
  </si>
  <si>
    <t>Cape jasmine</t>
  </si>
  <si>
    <t xml:space="preserve">common bugloss </t>
  </si>
  <si>
    <t>Japanese yew</t>
  </si>
  <si>
    <t>candle larkspur</t>
  </si>
  <si>
    <t>Canada yew</t>
  </si>
  <si>
    <t xml:space="preserve">Oriental arborvitae </t>
  </si>
  <si>
    <t xml:space="preserve">longleaf speedwell </t>
  </si>
  <si>
    <t>English ivy</t>
  </si>
  <si>
    <t>R12</t>
  </si>
  <si>
    <t>9.9*5</t>
  </si>
  <si>
    <t xml:space="preserve"> </t>
  </si>
  <si>
    <t>Very small garden, fake grass, no trees, dog barking a lot</t>
  </si>
  <si>
    <t>Lavender</t>
  </si>
  <si>
    <t>Parsley</t>
  </si>
  <si>
    <t>Siberian dogwood</t>
  </si>
  <si>
    <t>mint</t>
  </si>
  <si>
    <t>Paeonia lactiflora</t>
  </si>
  <si>
    <t>Sage</t>
  </si>
  <si>
    <t>blueberry</t>
  </si>
  <si>
    <t>white impatiens</t>
  </si>
  <si>
    <t>Syringa vulgaris</t>
  </si>
  <si>
    <t>F</t>
  </si>
  <si>
    <t>false bucks beard</t>
  </si>
  <si>
    <t>Winter creeper</t>
  </si>
  <si>
    <t>R13</t>
  </si>
  <si>
    <t>16.5*18</t>
  </si>
  <si>
    <t>very small garden; water; dog</t>
  </si>
  <si>
    <t>Norway spruce</t>
  </si>
  <si>
    <t>garden tupid</t>
  </si>
  <si>
    <t xml:space="preserve">pacific rhododendron </t>
  </si>
  <si>
    <t>sword fren</t>
  </si>
  <si>
    <t>red cedar</t>
  </si>
  <si>
    <t>false chestnut</t>
  </si>
  <si>
    <t>Icelandic poppy</t>
  </si>
  <si>
    <t>Pieris japonica</t>
  </si>
  <si>
    <t>spurge-laurel</t>
  </si>
  <si>
    <t xml:space="preserve">Chinese photinia </t>
  </si>
  <si>
    <t>Spanish bluewell</t>
  </si>
  <si>
    <t>Japanese laurel</t>
  </si>
  <si>
    <t>Fatsia japonica</t>
  </si>
  <si>
    <t>R21</t>
  </si>
  <si>
    <t>12*12+6.3*5.5</t>
  </si>
  <si>
    <t>Bird feeders</t>
  </si>
  <si>
    <t>Great Laurel</t>
  </si>
  <si>
    <t>Western red cedar</t>
  </si>
  <si>
    <t>Feverfew</t>
  </si>
  <si>
    <t xml:space="preserve">Highbush blueberry </t>
  </si>
  <si>
    <t>old-fashioned weigela</t>
  </si>
  <si>
    <t>Evergreen azalea</t>
  </si>
  <si>
    <t>shasta daisy</t>
  </si>
  <si>
    <t>Peppermint</t>
  </si>
  <si>
    <t>Black cherry</t>
  </si>
  <si>
    <t>Viburnum tinus</t>
  </si>
  <si>
    <t>woodland forget-me-not</t>
  </si>
  <si>
    <t>lemon balm</t>
  </si>
  <si>
    <t>swamp sunflower</t>
  </si>
  <si>
    <t>R22</t>
  </si>
  <si>
    <t>15.5*10</t>
  </si>
  <si>
    <t>douglas fir outside house (canopy over)</t>
  </si>
  <si>
    <t>old fashioned weigela</t>
  </si>
  <si>
    <t>creeping bellflower</t>
  </si>
  <si>
    <t>anise</t>
  </si>
  <si>
    <t>flowering, fruiting</t>
  </si>
  <si>
    <t>blue blossom</t>
  </si>
  <si>
    <t>japanese honeysuckle</t>
  </si>
  <si>
    <t>japanese meadowsweat</t>
  </si>
  <si>
    <t>common periwinkle</t>
  </si>
  <si>
    <t>kousa dogwood</t>
  </si>
  <si>
    <t>siberian dogwood</t>
  </si>
  <si>
    <t>japanese barberry</t>
  </si>
  <si>
    <t>mexican orange</t>
  </si>
  <si>
    <t>koreanspice viburnum</t>
  </si>
  <si>
    <t>R23</t>
  </si>
  <si>
    <t>18*15</t>
  </si>
  <si>
    <t xml:space="preserve">15% concrete </t>
  </si>
  <si>
    <t>Myrsine lessertiana</t>
  </si>
  <si>
    <t>Fruit</t>
  </si>
  <si>
    <t>Polystichum braunii</t>
  </si>
  <si>
    <t>Hydrangea paniculata</t>
  </si>
  <si>
    <t>Lavandula angustifolia</t>
  </si>
  <si>
    <t>Prunus caroliniana</t>
  </si>
  <si>
    <t>Flower, fruit</t>
  </si>
  <si>
    <t>Festuca californica</t>
  </si>
  <si>
    <t>Grain</t>
  </si>
  <si>
    <t>Syringa villosa</t>
  </si>
  <si>
    <t>Viola tricolor</t>
  </si>
  <si>
    <t>Hakonechloa macra</t>
  </si>
  <si>
    <t>Daphne odora</t>
  </si>
  <si>
    <t>R31</t>
  </si>
  <si>
    <t>17*13.5</t>
  </si>
  <si>
    <t>apple tree leaning over the fence (from neighbor); water</t>
  </si>
  <si>
    <t>winter jasmine</t>
  </si>
  <si>
    <t>stinking hellebore</t>
  </si>
  <si>
    <t>holly olive</t>
  </si>
  <si>
    <t>garden phlox</t>
  </si>
  <si>
    <t>lady's mantle</t>
  </si>
  <si>
    <t>scotch heather</t>
  </si>
  <si>
    <t>siberian iris</t>
  </si>
  <si>
    <t>chinese astilbe</t>
  </si>
  <si>
    <t>spreading rush</t>
  </si>
  <si>
    <t>wild geranium</t>
  </si>
  <si>
    <t>common lady fern</t>
  </si>
  <si>
    <t>trumpet honeysucle</t>
  </si>
  <si>
    <t>common comfrey</t>
  </si>
  <si>
    <t>iceland poppy</t>
  </si>
  <si>
    <t>whorled tickseed</t>
  </si>
  <si>
    <t xml:space="preserve">kale </t>
  </si>
  <si>
    <t>raspberry</t>
  </si>
  <si>
    <t>R32</t>
  </si>
  <si>
    <t>20*7</t>
  </si>
  <si>
    <t>cherry laurel</t>
  </si>
  <si>
    <t>border forsythia</t>
  </si>
  <si>
    <t>yellow arch angel</t>
  </si>
  <si>
    <t>redwood-sorrel</t>
  </si>
  <si>
    <t>R33</t>
  </si>
  <si>
    <t>16x16</t>
  </si>
  <si>
    <t>missing information on herbaceous cover</t>
  </si>
  <si>
    <t>notes</t>
  </si>
  <si>
    <t>mountain laurel</t>
  </si>
  <si>
    <t>Creeping bellflower</t>
  </si>
  <si>
    <t>Multiflower rose</t>
  </si>
  <si>
    <t>Norway maple</t>
  </si>
  <si>
    <t>Corn flower</t>
  </si>
  <si>
    <t>Chaemacyparis pisifera</t>
  </si>
  <si>
    <t>Orange coneflower</t>
  </si>
  <si>
    <t>Catawba roseberry</t>
  </si>
  <si>
    <t>White panicle</t>
  </si>
  <si>
    <t>French rose</t>
  </si>
  <si>
    <t>Rhododendron ferrugineum</t>
  </si>
  <si>
    <t>bud</t>
  </si>
  <si>
    <t>Yellow archangel</t>
  </si>
  <si>
    <t>Ruby's laciniatus</t>
  </si>
  <si>
    <t xml:space="preserve">Wax begonia </t>
  </si>
  <si>
    <t>Common lilac</t>
  </si>
  <si>
    <t>Smooth hydrangea</t>
  </si>
  <si>
    <t>Arborvitae</t>
  </si>
  <si>
    <t>ht 8.5m, CD 100%, 10 individuals</t>
  </si>
  <si>
    <t>R34</t>
  </si>
  <si>
    <t>11*12</t>
  </si>
  <si>
    <t>Fruiting</t>
  </si>
  <si>
    <t>Garden petunia</t>
  </si>
  <si>
    <t>Lady's mantel</t>
  </si>
  <si>
    <t>Siberian iris</t>
  </si>
  <si>
    <t>sweet potato vine</t>
  </si>
  <si>
    <t>Garden verbena</t>
  </si>
  <si>
    <t>ivy geranium</t>
  </si>
  <si>
    <t>Lady fern</t>
  </si>
  <si>
    <t>20</t>
  </si>
  <si>
    <t>Pacific bleeding heart</t>
  </si>
  <si>
    <t>sweet violet</t>
  </si>
  <si>
    <t>common holly</t>
  </si>
  <si>
    <t>hardy fuchisa</t>
  </si>
  <si>
    <t>Oregano</t>
  </si>
  <si>
    <t>Tarragon</t>
  </si>
  <si>
    <t>African Marigold</t>
  </si>
  <si>
    <t>Agueweed</t>
  </si>
  <si>
    <t>Aleutian Maidenhair</t>
  </si>
  <si>
    <t>Aloe Vera</t>
  </si>
  <si>
    <t>American Alumroot</t>
  </si>
  <si>
    <t>American Beautyberry</t>
  </si>
  <si>
    <t>Anise</t>
  </si>
  <si>
    <t>Annual Honesty</t>
  </si>
  <si>
    <t>August Lily</t>
  </si>
  <si>
    <t>Asian Virginsbower</t>
  </si>
  <si>
    <t>Bacopa</t>
  </si>
  <si>
    <t>Balloon Flower</t>
  </si>
  <si>
    <t>Barrenwort</t>
  </si>
  <si>
    <t>Basil</t>
  </si>
  <si>
    <t>Bearded Iris</t>
  </si>
  <si>
    <t>Bear's Breech</t>
  </si>
  <si>
    <t>Beefsteak Plant</t>
  </si>
  <si>
    <t>Beet</t>
  </si>
  <si>
    <t>Big Blue Lilyturf</t>
  </si>
  <si>
    <t>Bigleaf Hydrangea</t>
  </si>
  <si>
    <t>Bindweed</t>
  </si>
  <si>
    <t>Blue Fescue</t>
  </si>
  <si>
    <t>Blueberry</t>
  </si>
  <si>
    <t>Bok Choy</t>
  </si>
  <si>
    <t>Bouncing Bet</t>
  </si>
  <si>
    <t>British Columbia Wild Ginger</t>
  </si>
  <si>
    <t>Brook Saxifrage</t>
  </si>
  <si>
    <t>Buckwheat</t>
  </si>
  <si>
    <t>Bush Lily</t>
  </si>
  <si>
    <t>Busy Lizzie</t>
  </si>
  <si>
    <t>Cabbage</t>
  </si>
  <si>
    <t>Cabbage Tree</t>
  </si>
  <si>
    <t>Canadian Anemone</t>
  </si>
  <si>
    <t>Candle Larkspur</t>
  </si>
  <si>
    <t>Chameleon Plant</t>
  </si>
  <si>
    <t>Cheddar Pink</t>
  </si>
  <si>
    <t>China Rose</t>
  </si>
  <si>
    <t>Chinese Astilbe</t>
  </si>
  <si>
    <t>Choy Sum</t>
  </si>
  <si>
    <t>Cleft Phlox</t>
  </si>
  <si>
    <t>Clammy Ground Cherry</t>
  </si>
  <si>
    <t>Clustered Bellflower</t>
  </si>
  <si>
    <t>Common Bean</t>
  </si>
  <si>
    <t>Common Bugle</t>
  </si>
  <si>
    <t>Common Bugloss</t>
  </si>
  <si>
    <t>Common Columbine</t>
  </si>
  <si>
    <t>Common Comfrey</t>
  </si>
  <si>
    <t>Common Daisy</t>
  </si>
  <si>
    <t>Common Evening Primrose</t>
  </si>
  <si>
    <t>Common Foxglove</t>
  </si>
  <si>
    <t>Common Holly</t>
  </si>
  <si>
    <t>Common Hollyhock</t>
  </si>
  <si>
    <t>Common Lady Fern</t>
  </si>
  <si>
    <t>Common Mallow</t>
  </si>
  <si>
    <t>Common Mugwort</t>
  </si>
  <si>
    <t>Common Nipplewort</t>
  </si>
  <si>
    <t>Common Periwinkle</t>
  </si>
  <si>
    <t>Common Plantain</t>
  </si>
  <si>
    <t>Common Primrose</t>
  </si>
  <si>
    <t>Common Sage</t>
  </si>
  <si>
    <t>Common Snowberry</t>
  </si>
  <si>
    <t>Common Sowthistle</t>
  </si>
  <si>
    <t>Common Yarrow</t>
  </si>
  <si>
    <t>Corn Speedwell</t>
  </si>
  <si>
    <t>Cornflower</t>
  </si>
  <si>
    <t>Cow Parsley</t>
  </si>
  <si>
    <t>Creeping Bellflower</t>
  </si>
  <si>
    <t>Creeping Buttercup</t>
  </si>
  <si>
    <t>Creeping Jenny</t>
  </si>
  <si>
    <t>Creeping Woodsorrel</t>
  </si>
  <si>
    <t>Crevice Alumroot</t>
  </si>
  <si>
    <t>Crinkleroot</t>
  </si>
  <si>
    <t>Crown Daisy</t>
  </si>
  <si>
    <t>Cucumber</t>
  </si>
  <si>
    <t>Culver's Root</t>
  </si>
  <si>
    <t>Cypress Spurge</t>
  </si>
  <si>
    <t>Dandelion</t>
  </si>
  <si>
    <t>Dense Blazing Star</t>
  </si>
  <si>
    <t>Dill</t>
  </si>
  <si>
    <t>Ditch Lily</t>
  </si>
  <si>
    <t>Dusty Miller</t>
  </si>
  <si>
    <t>Eastern Bluestar</t>
  </si>
  <si>
    <t>Edging Lobelia</t>
  </si>
  <si>
    <t>English Ivy</t>
  </si>
  <si>
    <t>English Lavender</t>
  </si>
  <si>
    <t>European Plum</t>
  </si>
  <si>
    <t>Evergreen Azalea</t>
  </si>
  <si>
    <t>Evergreen Candytuft</t>
  </si>
  <si>
    <t>False Buck's Beard</t>
  </si>
  <si>
    <t>Fatsia Japonica</t>
  </si>
  <si>
    <t>Field Horsetail</t>
  </si>
  <si>
    <t>Field Mustard</t>
  </si>
  <si>
    <t>Field Pumpkin</t>
  </si>
  <si>
    <t>Fragrant Sweet Box</t>
  </si>
  <si>
    <t>Fringed Loosestrife</t>
  </si>
  <si>
    <t>Fringed Willowherb</t>
  </si>
  <si>
    <t>Garden Asparagus</t>
  </si>
  <si>
    <t>Garden Dahlia</t>
  </si>
  <si>
    <t>Garden Lupine</t>
  </si>
  <si>
    <t>Garden Nasturtium</t>
  </si>
  <si>
    <t>Garden Pea</t>
  </si>
  <si>
    <t>Garden Petunia</t>
  </si>
  <si>
    <t>Garden Phlox</t>
  </si>
  <si>
    <t>Garden Snapdragon</t>
  </si>
  <si>
    <t>Garden Tulip</t>
  </si>
  <si>
    <t>Garden Verbena</t>
  </si>
  <si>
    <t>Giant Onion</t>
  </si>
  <si>
    <t>Glandular Cape Marigold</t>
  </si>
  <si>
    <t>Goat's Beard</t>
  </si>
  <si>
    <t>Grapeleaf Anemone</t>
  </si>
  <si>
    <t>Greater Masterwort</t>
  </si>
  <si>
    <t>Ground Elder</t>
  </si>
  <si>
    <t>Hakone Grass</t>
  </si>
  <si>
    <t>Hardy Fuchsia</t>
  </si>
  <si>
    <t>Hart's Tongue Fern</t>
  </si>
  <si>
    <t>Heavenly Bamboo</t>
  </si>
  <si>
    <t>Herb Robert</t>
  </si>
  <si>
    <t>Horseradish</t>
  </si>
  <si>
    <t>Hot Pepper</t>
  </si>
  <si>
    <t>Iceland Poppy</t>
  </si>
  <si>
    <t>Ivy Geranium</t>
  </si>
  <si>
    <t>Jacob's Ladder</t>
  </si>
  <si>
    <t>Japanese Honeysuckle</t>
  </si>
  <si>
    <t>Japanese Meadowsweet</t>
  </si>
  <si>
    <t>Jerusalem Artichoke</t>
  </si>
  <si>
    <t>Johnny Jump Up</t>
  </si>
  <si>
    <t>Kale</t>
  </si>
  <si>
    <t>Kentucky Bluegrass</t>
  </si>
  <si>
    <t>Lady Fern</t>
  </si>
  <si>
    <t>Lady's Mantle</t>
  </si>
  <si>
    <t>Lakeshore Sedge</t>
  </si>
  <si>
    <t>Large Bindweed</t>
  </si>
  <si>
    <t>Large White Petunia</t>
  </si>
  <si>
    <t>Large Yellow Loosestrife</t>
  </si>
  <si>
    <t>Large-Petal Globeflower</t>
  </si>
  <si>
    <t>Leafy Spurge</t>
  </si>
  <si>
    <t>Lemon Balm</t>
  </si>
  <si>
    <t>Lenten Rose</t>
  </si>
  <si>
    <t>Lesser Trefoil</t>
  </si>
  <si>
    <t>Lettuce</t>
  </si>
  <si>
    <t>Lily of the Valley</t>
  </si>
  <si>
    <t>Longleaf Speedwell</t>
  </si>
  <si>
    <t>Lop Grass</t>
  </si>
  <si>
    <t>Lovage</t>
  </si>
  <si>
    <t>Marguerite Daisy</t>
  </si>
  <si>
    <t>Meadow Buttercup</t>
  </si>
  <si>
    <t>Mint</t>
  </si>
  <si>
    <t>Montbretia</t>
  </si>
  <si>
    <t>Mugwort</t>
  </si>
  <si>
    <t>New England Aster</t>
  </si>
  <si>
    <t>New Guinea Impatiens</t>
  </si>
  <si>
    <t>New York Aster</t>
  </si>
  <si>
    <t>Norway Maple</t>
  </si>
  <si>
    <t>Oakleaf Hydrangea</t>
  </si>
  <si>
    <t>Obedient Plant</t>
  </si>
  <si>
    <t>Old-Fashioned Weigela</t>
  </si>
  <si>
    <t>Orange Coneflower</t>
  </si>
  <si>
    <t>Orpine</t>
  </si>
  <si>
    <t>Pacific Bleeding Heart</t>
  </si>
  <si>
    <t>Paperplant</t>
  </si>
  <si>
    <t>Pea</t>
  </si>
  <si>
    <t>Peruvian Lily</t>
  </si>
  <si>
    <t>Plantain Lily</t>
  </si>
  <si>
    <t>Poppy Anemone</t>
  </si>
  <si>
    <t>Potato</t>
  </si>
  <si>
    <t>Pregnant Onion</t>
  </si>
  <si>
    <t>Purple Bergenia</t>
  </si>
  <si>
    <t>Purple Marshlocks</t>
  </si>
  <si>
    <t>Purple Rock Cress</t>
  </si>
  <si>
    <t>Pussy Willow</t>
  </si>
  <si>
    <t>Queen of the Prairie</t>
  </si>
  <si>
    <t>Radish</t>
  </si>
  <si>
    <t>Ram's Horn</t>
  </si>
  <si>
    <t>Raspberry</t>
  </si>
  <si>
    <t>Red Hot Poker</t>
  </si>
  <si>
    <t>Redwood Sorrel</t>
  </si>
  <si>
    <t>Regal Geranium</t>
  </si>
  <si>
    <t>Rock Rose</t>
  </si>
  <si>
    <t>Rocky Mountain Penstemon</t>
  </si>
  <si>
    <t>Rose Campion</t>
  </si>
  <si>
    <t>Rose of Sharon</t>
  </si>
  <si>
    <t>Sea Thrift</t>
  </si>
  <si>
    <t>Seersucker Sedge</t>
  </si>
  <si>
    <t>Serbian Bellflower</t>
  </si>
  <si>
    <t>Shasta Daisy</t>
  </si>
  <si>
    <t>Siberian Bugloss</t>
  </si>
  <si>
    <t>Siberian Iris</t>
  </si>
  <si>
    <t>Siebold's Plantain Lily</t>
  </si>
  <si>
    <t>Solomon's Seal</t>
  </si>
  <si>
    <t>Spanish Bluebell</t>
  </si>
  <si>
    <t>Spearmint</t>
  </si>
  <si>
    <t>Spotted Dead Nettle</t>
  </si>
  <si>
    <t>Spring Onion</t>
  </si>
  <si>
    <t>Spurge Laurel</t>
  </si>
  <si>
    <t>Spreading Rush</t>
  </si>
  <si>
    <t>Sticky Geranium</t>
  </si>
  <si>
    <t>Swamp Sunflower</t>
  </si>
  <si>
    <t>Sweet Alyssum</t>
  </si>
  <si>
    <t>Sweet Fennel</t>
  </si>
  <si>
    <t>Sweet Potato Vine</t>
  </si>
  <si>
    <t>Sweet Violet</t>
  </si>
  <si>
    <t>Sweet William</t>
  </si>
  <si>
    <t>Sweet Woodruff</t>
  </si>
  <si>
    <t>Sword Fern</t>
  </si>
  <si>
    <t>Thimbleberry</t>
  </si>
  <si>
    <t>Tiger Flower</t>
  </si>
  <si>
    <t>Tiger Lily</t>
  </si>
  <si>
    <t>Tomato</t>
  </si>
  <si>
    <t>Upright Sedge</t>
  </si>
  <si>
    <t>Virginia Creeper</t>
  </si>
  <si>
    <t>Wall Lettuce</t>
  </si>
  <si>
    <t>Wax Begonia</t>
  </si>
  <si>
    <t>Western Blue Virginsbower</t>
  </si>
  <si>
    <t>Western Sword Fern</t>
  </si>
  <si>
    <t>Western Wallflower</t>
  </si>
  <si>
    <t>White Clover</t>
  </si>
  <si>
    <t>White Impatiens</t>
  </si>
  <si>
    <t>White Panicle</t>
  </si>
  <si>
    <t>Whorled Tickseed</t>
  </si>
  <si>
    <t>Wild Daffodil</t>
  </si>
  <si>
    <t>Wild Geranium</t>
  </si>
  <si>
    <t>Winter Creeper</t>
  </si>
  <si>
    <t>Woodland Forget-Me-Not</t>
  </si>
  <si>
    <t>Woodland Strawberry</t>
  </si>
  <si>
    <t>Yellow Archangel</t>
  </si>
  <si>
    <t>Yellow Corydalis</t>
  </si>
  <si>
    <t>Yellow Daylily</t>
  </si>
  <si>
    <t>Yellow Flag</t>
  </si>
  <si>
    <t>Yellow Marsh Marigold</t>
  </si>
  <si>
    <t>Zonal Geranium</t>
  </si>
  <si>
    <t>Shrubs</t>
  </si>
  <si>
    <t>Blueblossom</t>
  </si>
  <si>
    <t>Buttonwood</t>
  </si>
  <si>
    <t>Chayote</t>
  </si>
  <si>
    <t>Dappled willow</t>
  </si>
  <si>
    <t>False spirea</t>
  </si>
  <si>
    <t>Fig</t>
  </si>
  <si>
    <t>Ginkgo</t>
  </si>
  <si>
    <t>Hortensia</t>
  </si>
  <si>
    <t>Hydrangea</t>
  </si>
  <si>
    <t>Japanese camellia</t>
  </si>
  <si>
    <t>Japanese cherry</t>
  </si>
  <si>
    <t>Juniperus communis</t>
  </si>
  <si>
    <t>Koreanspice viburnum</t>
  </si>
  <si>
    <t>Kousa dogwood</t>
  </si>
  <si>
    <t>Red cedar</t>
  </si>
  <si>
    <t>Smoketree</t>
  </si>
  <si>
    <t>Vasevine</t>
  </si>
  <si>
    <t>Actinidia Chinensis</t>
  </si>
  <si>
    <t>Alpen Rose</t>
  </si>
  <si>
    <t>Autumn Sage</t>
  </si>
  <si>
    <t>Bay Laurel</t>
  </si>
  <si>
    <t>Black Cherry</t>
  </si>
  <si>
    <t>Blue Blossom</t>
  </si>
  <si>
    <t>Border Forsythia</t>
  </si>
  <si>
    <t>Canada Yew</t>
  </si>
  <si>
    <t>Catawba Roseberry</t>
  </si>
  <si>
    <t>Cape Jasmine</t>
  </si>
  <si>
    <t>Chaemacyparis Pisifera</t>
  </si>
  <si>
    <t>Cherry Laurel</t>
  </si>
  <si>
    <t>Chinese Boxthorn</t>
  </si>
  <si>
    <t>Chinese Clematis</t>
  </si>
  <si>
    <t>Chinese Photinia</t>
  </si>
  <si>
    <t>Chinese Wisteria</t>
  </si>
  <si>
    <t>Chinese Wolfberry</t>
  </si>
  <si>
    <t>Common Boxwood</t>
  </si>
  <si>
    <t>Common Hawthorn</t>
  </si>
  <si>
    <t>Common Lilac</t>
  </si>
  <si>
    <t>Common Myrtle</t>
  </si>
  <si>
    <t>Common Ninebark</t>
  </si>
  <si>
    <t>Daphne Odora</t>
  </si>
  <si>
    <t>Dappled Willow</t>
  </si>
  <si>
    <t>Dog Rose</t>
  </si>
  <si>
    <t>Evergreen Spindle</t>
  </si>
  <si>
    <t>False Azalea</t>
  </si>
  <si>
    <t>False Chestnut</t>
  </si>
  <si>
    <t>False Spiraea</t>
  </si>
  <si>
    <t>French Rose</t>
  </si>
  <si>
    <t>Highbush Blueberry</t>
  </si>
  <si>
    <t>Holly Olive</t>
  </si>
  <si>
    <t>Hydrangea Paniculata</t>
  </si>
  <si>
    <t>Japanese Barberry</t>
  </si>
  <si>
    <t>Japanese Camellia</t>
  </si>
  <si>
    <t>Japanese Cherry</t>
  </si>
  <si>
    <t>Japanese Flowering Quince</t>
  </si>
  <si>
    <t>Japanese Laurel</t>
  </si>
  <si>
    <t>Japanese Maple</t>
  </si>
  <si>
    <t>Japanese Pieris</t>
  </si>
  <si>
    <t>Japanese Skimmia</t>
  </si>
  <si>
    <t>Japanese Snowbell</t>
  </si>
  <si>
    <t>Japanese Yew</t>
  </si>
  <si>
    <t>Juniperus Communis</t>
  </si>
  <si>
    <t>Koreanspice Viburnum</t>
  </si>
  <si>
    <t>Kousa Dogwood</t>
  </si>
  <si>
    <t>Mexican Orange</t>
  </si>
  <si>
    <t>Mirror Plant</t>
  </si>
  <si>
    <t>Mountain Laurel</t>
  </si>
  <si>
    <t>Multiflora Rose</t>
  </si>
  <si>
    <t>Multiflower Rose</t>
  </si>
  <si>
    <t>Myrsine Lessertiana</t>
  </si>
  <si>
    <t>Nandina Domestica (Heavenly Bamboo already listed but included if distinct)</t>
  </si>
  <si>
    <t>Norway Spruce</t>
  </si>
  <si>
    <t>Old Fashioned Weigela</t>
  </si>
  <si>
    <t>Oriental Arborvitae</t>
  </si>
  <si>
    <t>Oriental Arbovitae</t>
  </si>
  <si>
    <t>Panicle Hydrangea</t>
  </si>
  <si>
    <t>Paeonia Lactiflora</t>
  </si>
  <si>
    <t>Pieris Japonica</t>
  </si>
  <si>
    <t>Prunus Caroliniana</t>
  </si>
  <si>
    <t>Red Cedar</t>
  </si>
  <si>
    <t>Red Currant</t>
  </si>
  <si>
    <t>Red Huckleberry</t>
  </si>
  <si>
    <t>Red Raspberry</t>
  </si>
  <si>
    <t>Rhododendron Ferrugineum</t>
  </si>
  <si>
    <t>Rockspray Cotoneaster</t>
  </si>
  <si>
    <t>Rose Of Sharon</t>
  </si>
  <si>
    <t>Ruby's Laciniatus</t>
  </si>
  <si>
    <t>Scotch Heather</t>
  </si>
  <si>
    <t>Siberian Dogwood</t>
  </si>
  <si>
    <t>Smooth Hydrangea</t>
  </si>
  <si>
    <t>Star Jasmine</t>
  </si>
  <si>
    <t>Stinking Hellebore</t>
  </si>
  <si>
    <t>Sweet Mock Orange</t>
  </si>
  <si>
    <t>Sweet Osmanthus</t>
  </si>
  <si>
    <t>Tea Oil Camellia</t>
  </si>
  <si>
    <t>Thuja Accidentalis</t>
  </si>
  <si>
    <t>Thuja Occidentalis</t>
  </si>
  <si>
    <t>Trumpet Honeysuckle</t>
  </si>
  <si>
    <t>Vanhouttei Spirea</t>
  </si>
  <si>
    <t>Vasvine</t>
  </si>
  <si>
    <t>Viburnum Tinus</t>
  </si>
  <si>
    <t>Virgin's Bower</t>
  </si>
  <si>
    <t>Virginia Sweetspire</t>
  </si>
  <si>
    <t>Vine Kiwi</t>
  </si>
  <si>
    <t>Vine Maple</t>
  </si>
  <si>
    <t>Weeping Forsythia</t>
  </si>
  <si>
    <t>Western Azalea</t>
  </si>
  <si>
    <t>Western Red Cedar</t>
  </si>
  <si>
    <t>Winter Jasmine</t>
  </si>
  <si>
    <t>Wisteria Sinensis</t>
  </si>
  <si>
    <t>Native_or_not</t>
  </si>
  <si>
    <t>Plant_and_shrub_species</t>
  </si>
  <si>
    <t>House</t>
  </si>
  <si>
    <t>Plants</t>
  </si>
  <si>
    <t>Species</t>
  </si>
  <si>
    <t>ID</t>
  </si>
  <si>
    <t>Common name</t>
  </si>
  <si>
    <t xml:space="preserve">Family </t>
  </si>
  <si>
    <t>Common fig</t>
  </si>
  <si>
    <t>Non-native</t>
  </si>
  <si>
    <t>Ficus carica</t>
  </si>
  <si>
    <t>Moraceae</t>
  </si>
  <si>
    <t>Apple</t>
  </si>
  <si>
    <t>Malus domestica</t>
  </si>
  <si>
    <t>Japanese persimmon</t>
  </si>
  <si>
    <t>Diospyros kaki</t>
  </si>
  <si>
    <t>Ebenaceae</t>
  </si>
  <si>
    <t>Grape vine</t>
  </si>
  <si>
    <t>Vitis vinifera</t>
  </si>
  <si>
    <t>Vitaceae</t>
  </si>
  <si>
    <t>Common pear</t>
  </si>
  <si>
    <t>Pyrus communis</t>
  </si>
  <si>
    <t>Prunus domestica</t>
  </si>
  <si>
    <t>Ginkgo biloba</t>
  </si>
  <si>
    <t>Ginkgoaceae</t>
  </si>
  <si>
    <t>Western redcedar</t>
  </si>
  <si>
    <t>Thuja plicata</t>
  </si>
  <si>
    <t>Acer palmatum</t>
  </si>
  <si>
    <t>Paperbark maple</t>
  </si>
  <si>
    <t>Acer griseum</t>
  </si>
  <si>
    <t>Saucer Magnolia</t>
  </si>
  <si>
    <t>Magnolia × soulangeana</t>
  </si>
  <si>
    <t>Magnoliaceae</t>
  </si>
  <si>
    <t>Silver birch</t>
  </si>
  <si>
    <t>Betula pendula</t>
  </si>
  <si>
    <t>Betulaceae</t>
  </si>
  <si>
    <t>Cornus kousa</t>
  </si>
  <si>
    <t>Cornaceae</t>
  </si>
  <si>
    <t>European beech</t>
  </si>
  <si>
    <t>Fagus sylvatica</t>
  </si>
  <si>
    <t>Fagaceae</t>
  </si>
  <si>
    <t>Sawara cypress</t>
  </si>
  <si>
    <t>Chamaecyparis pisifera</t>
  </si>
  <si>
    <t>Southern magnolia</t>
  </si>
  <si>
    <t>Magnolia grandifolia</t>
  </si>
  <si>
    <t>Flowering dogwood</t>
  </si>
  <si>
    <t>Cornus florida</t>
  </si>
  <si>
    <t>Sorbaria sorbifolia</t>
  </si>
  <si>
    <t>Prunus serrulata</t>
  </si>
  <si>
    <t>European mountain-ash</t>
  </si>
  <si>
    <t>Sorbus aucuparia</t>
  </si>
  <si>
    <t>Common juniper</t>
  </si>
  <si>
    <t>Sitka spruce</t>
  </si>
  <si>
    <t>Picea sitchensis</t>
  </si>
  <si>
    <t>Pinaceae</t>
  </si>
  <si>
    <t>Rhododendron macrophyllum</t>
  </si>
  <si>
    <t>Kiwi</t>
  </si>
  <si>
    <t>Actinidia deliciosa</t>
  </si>
  <si>
    <t>Smoke tree</t>
  </si>
  <si>
    <t>Cotinus coggygria</t>
  </si>
  <si>
    <t>Anacardiaceae</t>
  </si>
  <si>
    <t>Deodar cedar</t>
  </si>
  <si>
    <t>Cedrus deodara</t>
  </si>
  <si>
    <t>Subalpine fir</t>
  </si>
  <si>
    <t>Abies lasiocarpa</t>
  </si>
  <si>
    <t>Katsura</t>
  </si>
  <si>
    <t>Cercidiphyllum japonicum</t>
  </si>
  <si>
    <t>Cercidiphyllaceae</t>
  </si>
  <si>
    <t>Cherry plum</t>
  </si>
  <si>
    <t>Prunus cerasifera</t>
  </si>
  <si>
    <t>Lawson's cypress</t>
  </si>
  <si>
    <t>Chamaecyparis lawsoniana</t>
  </si>
  <si>
    <t>Viburnum carlesii</t>
  </si>
  <si>
    <t>Adoxaceae</t>
  </si>
  <si>
    <t>Bigleaf maple</t>
  </si>
  <si>
    <t>Acer macrophyllum</t>
  </si>
  <si>
    <t>Beaked hazelnut</t>
  </si>
  <si>
    <t>Corylus cornuta</t>
  </si>
  <si>
    <t>Black locust</t>
  </si>
  <si>
    <t>Robinia pseudoacacia</t>
  </si>
  <si>
    <t>Manitoba maple</t>
  </si>
  <si>
    <t>Acer negundo</t>
  </si>
  <si>
    <t>Oleaceae</t>
  </si>
  <si>
    <t>Rosebay rhododendron</t>
  </si>
  <si>
    <t>Rhododendron maximum</t>
  </si>
  <si>
    <t>Cherry laurel</t>
  </si>
  <si>
    <t>Prunus laurocerasus</t>
  </si>
  <si>
    <t>Taiwanese photinia</t>
  </si>
  <si>
    <t>Photinia serratifolia</t>
  </si>
  <si>
    <t>Persian ironwood</t>
  </si>
  <si>
    <t>Parrotia persica</t>
  </si>
  <si>
    <t>Hamamelidaceae</t>
  </si>
  <si>
    <t>Katsura tree</t>
  </si>
  <si>
    <t>Salix integra</t>
  </si>
  <si>
    <t>Salicaceae</t>
  </si>
  <si>
    <t>Black currant</t>
  </si>
  <si>
    <t>Ribes nigrum</t>
  </si>
  <si>
    <t>Grossulariaceae</t>
  </si>
  <si>
    <t>Japanese umbrella pine</t>
  </si>
  <si>
    <t>Sciadopitys verticillata</t>
  </si>
  <si>
    <t>Sciadopityaceae</t>
  </si>
  <si>
    <t>Japanese cypress</t>
  </si>
  <si>
    <t>Chamaecyparis obtusa</t>
  </si>
  <si>
    <t>Camellia japonica</t>
  </si>
  <si>
    <t>Nandina Domestica</t>
  </si>
  <si>
    <t>added unique plants, shrubs and trees</t>
  </si>
  <si>
    <t>non</t>
  </si>
  <si>
    <t>native</t>
  </si>
  <si>
    <t>tree_species</t>
  </si>
  <si>
    <t>RUBRUM</t>
  </si>
  <si>
    <t>CALLERYANA</t>
  </si>
  <si>
    <t>JAPONICUM</t>
  </si>
  <si>
    <t>LAWSONIANA</t>
  </si>
  <si>
    <t>CERASIFERA</t>
  </si>
  <si>
    <t>PSEUDOSIEBOLDIANUM</t>
  </si>
  <si>
    <t>KOUSA</t>
  </si>
  <si>
    <t>CAMPESTRE</t>
  </si>
  <si>
    <t>RETICULATA</t>
  </si>
  <si>
    <t>X YEDOENSIS</t>
  </si>
  <si>
    <t>SERRULATA</t>
  </si>
  <si>
    <t>TRUNCATUM</t>
  </si>
  <si>
    <t>PLATANOIDES</t>
  </si>
  <si>
    <t>FLEXILIS</t>
  </si>
  <si>
    <t>SYLVATICA</t>
  </si>
  <si>
    <t>ARIA</t>
  </si>
  <si>
    <t>FREEMANII   X</t>
  </si>
  <si>
    <t>PERSICA</t>
  </si>
  <si>
    <t>CONTROVERSA</t>
  </si>
  <si>
    <t>ZUMI</t>
  </si>
  <si>
    <t>NOOTKATENSIS</t>
  </si>
  <si>
    <t>XX</t>
  </si>
  <si>
    <t>PALUSTRIS</t>
  </si>
  <si>
    <t>GIGANTEUM</t>
  </si>
  <si>
    <t>KOBUS</t>
  </si>
  <si>
    <t>PLICATA</t>
  </si>
  <si>
    <t>VIRGINIANA</t>
  </si>
  <si>
    <t>GLYPTOSTROBOIDES</t>
  </si>
  <si>
    <t>BETULUS</t>
  </si>
  <si>
    <t>PSEUDOACACIA</t>
  </si>
  <si>
    <t>OCCIDENTALIS</t>
  </si>
  <si>
    <t>PALMATUM</t>
  </si>
  <si>
    <t>PSEUDOCAMELLIA</t>
  </si>
  <si>
    <t>SARGENTII</t>
  </si>
  <si>
    <t>CANADENSIS</t>
  </si>
  <si>
    <t>PONDEROSA</t>
  </si>
  <si>
    <t>PSEUDOPLATANUS</t>
  </si>
  <si>
    <t>JAPONICUS</t>
  </si>
  <si>
    <t>SEPTEMLOBUS</t>
  </si>
  <si>
    <t>MORDENENSIS</t>
  </si>
  <si>
    <t>CAROLINIANA</t>
  </si>
  <si>
    <t>DIOICUS</t>
  </si>
  <si>
    <t>AMERICANA</t>
  </si>
  <si>
    <t>CARNEA   X</t>
  </si>
  <si>
    <t>GRANDIFLORA</t>
  </si>
  <si>
    <t>TRIACANTHOS</t>
  </si>
  <si>
    <t>BILOBA</t>
  </si>
  <si>
    <t>CRUS-GALLI</t>
  </si>
  <si>
    <t>SPECIES</t>
  </si>
  <si>
    <t>GRANDIFLORA X</t>
  </si>
  <si>
    <t>PUMILA</t>
  </si>
  <si>
    <t>OXYCARPA</t>
  </si>
  <si>
    <t>AUCUPARIA</t>
  </si>
  <si>
    <t>LAVALLEI  X</t>
  </si>
  <si>
    <t>CHINENSE</t>
  </si>
  <si>
    <t>GRISEUM</t>
  </si>
  <si>
    <t>ACERIFOLIA   X</t>
  </si>
  <si>
    <t>STYRACIFLUA</t>
  </si>
  <si>
    <t>X WAREI</t>
  </si>
  <si>
    <t>DEODARA</t>
  </si>
  <si>
    <t>PANICULATA</t>
  </si>
  <si>
    <t>MIYABEI</t>
  </si>
  <si>
    <t>FRAINETTO</t>
  </si>
  <si>
    <t>ROBUR</t>
  </si>
  <si>
    <t>SERRATA</t>
  </si>
  <si>
    <t>ERUBESCENS</t>
  </si>
  <si>
    <t>MICONIOIDES</t>
  </si>
  <si>
    <t>CHINENSIS</t>
  </si>
  <si>
    <t>CAPPADOCICUM</t>
  </si>
  <si>
    <t>GINNALA</t>
  </si>
  <si>
    <t>JAPONICA</t>
  </si>
  <si>
    <t>PENNSYLVANICA</t>
  </si>
  <si>
    <t>MACROPHYLLUM</t>
  </si>
  <si>
    <t>SIEBOLDII</t>
  </si>
  <si>
    <t>ROBUR X ALBA</t>
  </si>
  <si>
    <t>CONTORTA</t>
  </si>
  <si>
    <t>MENZIESII</t>
  </si>
  <si>
    <t>PENDULA</t>
  </si>
  <si>
    <t>RUBRA</t>
  </si>
  <si>
    <t>TULIPIFERA</t>
  </si>
  <si>
    <t>SACCHARINUM</t>
  </si>
  <si>
    <t>NIGRA</t>
  </si>
  <si>
    <t>STUMP</t>
  </si>
  <si>
    <t>PISIFERA</t>
  </si>
  <si>
    <t>OBASSIA</t>
  </si>
  <si>
    <t>PAPYRIFERA</t>
  </si>
  <si>
    <t>EXCELSIOR</t>
  </si>
  <si>
    <t>HIPPOCASTANUM</t>
  </si>
  <si>
    <t>DECURRENS</t>
  </si>
  <si>
    <t>BIGNONIOIDES</t>
  </si>
  <si>
    <t>ALBA</t>
  </si>
  <si>
    <t>OMORIKA</t>
  </si>
  <si>
    <t>TATARICUM</t>
  </si>
  <si>
    <t>TRICHOCARPA</t>
  </si>
  <si>
    <t>EMARGINATA</t>
  </si>
  <si>
    <t>PLATYPHYLLOS</t>
  </si>
  <si>
    <t>MONOGYNA</t>
  </si>
  <si>
    <t>DECIDUOUS</t>
  </si>
  <si>
    <t>STELLATA</t>
  </si>
  <si>
    <t>BABYLONICA</t>
  </si>
  <si>
    <t>AQUIFOLIUM</t>
  </si>
  <si>
    <t>LARICINA</t>
  </si>
  <si>
    <t>HETEROPHYLLA</t>
  </si>
  <si>
    <t>DISTICHUM</t>
  </si>
  <si>
    <t>BREVIFOLIA</t>
  </si>
  <si>
    <t>SITCHENSIS</t>
  </si>
  <si>
    <t>SOULANGEANA  X</t>
  </si>
  <si>
    <t>COMMUNIS</t>
  </si>
  <si>
    <t>NUTTALLII</t>
  </si>
  <si>
    <t>UNEDO</t>
  </si>
  <si>
    <t>DECIDUA</t>
  </si>
  <si>
    <t>ABIES</t>
  </si>
  <si>
    <t>SYLVESTRIS</t>
  </si>
  <si>
    <t>CIRCINATUM</t>
  </si>
  <si>
    <t>NEGUNDO</t>
  </si>
  <si>
    <t>ORNUS</t>
  </si>
  <si>
    <t>ORIENTALIS</t>
  </si>
  <si>
    <t>UNIDENTIFIED</t>
  </si>
  <si>
    <t>ATLANTICA</t>
  </si>
  <si>
    <t>AVELLANA</t>
  </si>
  <si>
    <t>PURSHIANA</t>
  </si>
  <si>
    <t>CORNUTA</t>
  </si>
  <si>
    <t>PUNGENS</t>
  </si>
  <si>
    <t>EUCHLORA   X</t>
  </si>
  <si>
    <t>TREMULOIDES</t>
  </si>
  <si>
    <t>MAS</t>
  </si>
  <si>
    <t>AVIUM</t>
  </si>
  <si>
    <t>OBTUSA</t>
  </si>
  <si>
    <t>GLABRA</t>
  </si>
  <si>
    <t>SACCHARUM</t>
  </si>
  <si>
    <t>COCCINEA</t>
  </si>
  <si>
    <t>PHELLOS</t>
  </si>
  <si>
    <t>KOREANA</t>
  </si>
  <si>
    <t>MERTENSIANA</t>
  </si>
  <si>
    <t>MONTICOLA</t>
  </si>
  <si>
    <t>DENUDATA</t>
  </si>
  <si>
    <t>SATIVA</t>
  </si>
  <si>
    <t>INSIGNIS</t>
  </si>
  <si>
    <t>FLORIBUNDA</t>
  </si>
  <si>
    <t>RUGOSA</t>
  </si>
  <si>
    <t>MARIANA</t>
  </si>
  <si>
    <t>ACUTISSIMA</t>
  </si>
  <si>
    <t>DOUGLASII</t>
  </si>
  <si>
    <t>INVOLUCRATA</t>
  </si>
  <si>
    <t>ALNIFOLIA</t>
  </si>
  <si>
    <t>ULMOIDES</t>
  </si>
  <si>
    <t>VELUTINA</t>
  </si>
  <si>
    <t>BUNGEI</t>
  </si>
  <si>
    <t>ANTARCTICA</t>
  </si>
  <si>
    <t>SEROTINA</t>
  </si>
  <si>
    <t>KEWENSIS X</t>
  </si>
  <si>
    <t>STENOPTERA</t>
  </si>
  <si>
    <t>CORDATA</t>
  </si>
  <si>
    <t>SPICATUM</t>
  </si>
  <si>
    <t>FLORIDA</t>
  </si>
  <si>
    <t>BACCATA</t>
  </si>
  <si>
    <t>VULGARIS</t>
  </si>
  <si>
    <t>GARRYANA</t>
  </si>
  <si>
    <t>STROBUS</t>
  </si>
  <si>
    <t>ARNOLDIANA  X</t>
  </si>
  <si>
    <t>CRENATA</t>
  </si>
  <si>
    <t>COLURNA</t>
  </si>
  <si>
    <t>PHAENOPYRUM</t>
  </si>
  <si>
    <t>SYRIACUS</t>
  </si>
  <si>
    <t>DAVIDII</t>
  </si>
  <si>
    <t>OXYACANTHA</t>
  </si>
  <si>
    <t>KENTUKEA</t>
  </si>
  <si>
    <t>LEYLANDII</t>
  </si>
  <si>
    <t>EUROPAEA   X</t>
  </si>
  <si>
    <t>NIGRUM</t>
  </si>
  <si>
    <t>PENSYLVANICUM</t>
  </si>
  <si>
    <t>DAVIDIANA</t>
  </si>
  <si>
    <t>CORDIFORMIS</t>
  </si>
  <si>
    <t>MUGO</t>
  </si>
  <si>
    <t>MACROCARPA</t>
  </si>
  <si>
    <t>SUBHIRTELLA</t>
  </si>
  <si>
    <t>GERMANICA</t>
  </si>
  <si>
    <t>DOMESTICA</t>
  </si>
  <si>
    <t>VILMORINII</t>
  </si>
  <si>
    <t>OFFICINALIS</t>
  </si>
  <si>
    <t>GLABRUM</t>
  </si>
  <si>
    <t>CINEREA</t>
  </si>
  <si>
    <t>LILIIFLORA</t>
  </si>
  <si>
    <t>WATERERI  X</t>
  </si>
  <si>
    <t>GRANDIFOLIA</t>
  </si>
  <si>
    <t>RACEMOSA</t>
  </si>
  <si>
    <t>FLAVA</t>
  </si>
  <si>
    <t>MATSUDANA</t>
  </si>
  <si>
    <t>REGIA</t>
  </si>
  <si>
    <t>MYRSINIFOLIA</t>
  </si>
  <si>
    <t>PROCERA</t>
  </si>
  <si>
    <t>CEREA X</t>
  </si>
  <si>
    <t>ARAUCANA</t>
  </si>
  <si>
    <t>CARICA</t>
  </si>
  <si>
    <t>SERRATIFOLIA</t>
  </si>
  <si>
    <t>GLOBULUS</t>
  </si>
  <si>
    <t>HYBRIDA X</t>
  </si>
  <si>
    <t>THOMASII</t>
  </si>
  <si>
    <t>SEMPERVIRENS</t>
  </si>
  <si>
    <t>GRANDIS</t>
  </si>
  <si>
    <t>CERASUS</t>
  </si>
  <si>
    <t>GLAUCA</t>
  </si>
  <si>
    <t>ANDRACHNE</t>
  </si>
  <si>
    <t>CARPINIFOLIA</t>
  </si>
  <si>
    <t>TOMENTOSA</t>
  </si>
  <si>
    <t>ALTISSIMA</t>
  </si>
  <si>
    <t>SANGUINEA</t>
  </si>
  <si>
    <t>BICOLOR</t>
  </si>
  <si>
    <t>FORTUNEI</t>
  </si>
  <si>
    <t>CERRIS</t>
  </si>
  <si>
    <t>HOLLANDICA   X</t>
  </si>
  <si>
    <t>CAPILLIPES</t>
  </si>
  <si>
    <t>ACUMINATA</t>
  </si>
  <si>
    <t>LAUROCERASUS</t>
  </si>
  <si>
    <t>AZAROLUS</t>
  </si>
  <si>
    <t>PUBESCENS</t>
  </si>
  <si>
    <t>LUSITANICA</t>
  </si>
  <si>
    <t>FUSCA</t>
  </si>
  <si>
    <t>VERTICILLATA</t>
  </si>
  <si>
    <t>LUCIDA</t>
  </si>
  <si>
    <t>HISPIDUS</t>
  </si>
  <si>
    <t>JEFFREYI</t>
  </si>
  <si>
    <t>MONADELPHA</t>
  </si>
  <si>
    <t>SINENSIS</t>
  </si>
  <si>
    <t>AMURENSIS</t>
  </si>
  <si>
    <t>MAACKII</t>
  </si>
  <si>
    <t>X MACDANIELII</t>
  </si>
  <si>
    <t>PADUS</t>
  </si>
  <si>
    <t>THYRSIFLORUS</t>
  </si>
  <si>
    <t>ANGUSTIFOLIA</t>
  </si>
  <si>
    <t>SALICIFOLIUS</t>
  </si>
  <si>
    <t>X BIMUNDORUM</t>
  </si>
  <si>
    <t>CONIFEROUS</t>
  </si>
  <si>
    <t>DENTATA</t>
  </si>
  <si>
    <t>TYPHINA</t>
  </si>
  <si>
    <t>SCOULERIANA</t>
  </si>
  <si>
    <t>LAMARCKII</t>
  </si>
  <si>
    <t>GLUTINOSA</t>
  </si>
  <si>
    <t>PARVIFLORA</t>
  </si>
  <si>
    <t>TRANSITORIA</t>
  </si>
  <si>
    <t>BLIREANA</t>
  </si>
  <si>
    <t>ENGELMANNII</t>
  </si>
  <si>
    <t>SERRULA</t>
  </si>
  <si>
    <t>THURINGIACA   X</t>
  </si>
  <si>
    <t>ANAGYROIDES</t>
  </si>
  <si>
    <t>LIBANI</t>
  </si>
  <si>
    <t>TREMULA</t>
  </si>
  <si>
    <t>ELLIPSOIDALIS</t>
  </si>
  <si>
    <t>BALSAMEA</t>
  </si>
  <si>
    <t>SHUMARDII</t>
  </si>
  <si>
    <t>PRINUS</t>
  </si>
  <si>
    <t>SPECIOSA</t>
  </si>
  <si>
    <t>QUADRANGULATA</t>
  </si>
  <si>
    <t>UTILIS</t>
  </si>
  <si>
    <t>FRAXINIFOLIA</t>
  </si>
  <si>
    <t>PLATYPETALA</t>
  </si>
  <si>
    <t>CORONARIA</t>
  </si>
  <si>
    <t>IOENSIS</t>
  </si>
  <si>
    <t>NERVOSA</t>
  </si>
  <si>
    <t>GRIFFITHII</t>
  </si>
  <si>
    <t>TRIFOLIATA</t>
  </si>
  <si>
    <t>HELDREICHII</t>
  </si>
  <si>
    <t>AILANTHIFOLIA</t>
  </si>
  <si>
    <t>EUROPEA</t>
  </si>
  <si>
    <t>MAXIMA</t>
  </si>
  <si>
    <t>DAWSONIANA</t>
  </si>
  <si>
    <t>TEGMENTOSUM</t>
  </si>
  <si>
    <t>SIMONII</t>
  </si>
  <si>
    <t>PROLIXA</t>
  </si>
  <si>
    <t>CONCOLOR</t>
  </si>
  <si>
    <t>ASCENDENS</t>
  </si>
  <si>
    <t>BANKSIANA</t>
  </si>
  <si>
    <t>YUNNANENSIS</t>
  </si>
  <si>
    <t>MOLLIS</t>
  </si>
  <si>
    <t>RHAMNOIDES</t>
  </si>
  <si>
    <t>X HILLIERI</t>
  </si>
  <si>
    <t>POPULIFOLIA</t>
  </si>
  <si>
    <t>AMURENSE</t>
  </si>
  <si>
    <t>PAVIA</t>
  </si>
  <si>
    <t>HOOKERIANA</t>
  </si>
  <si>
    <t>LASIANDRA</t>
  </si>
  <si>
    <t>THUNBERGII</t>
  </si>
  <si>
    <t>LENTAGO</t>
  </si>
  <si>
    <t>CANESCENS   X</t>
  </si>
  <si>
    <t>COCOMILIA</t>
  </si>
  <si>
    <t>SWEETHEART</t>
  </si>
  <si>
    <t>INDICA</t>
  </si>
  <si>
    <t>CISSIFOLIUM</t>
  </si>
  <si>
    <t>ARBOREUM</t>
  </si>
  <si>
    <t>LATIFOLIA</t>
  </si>
  <si>
    <t>ELATA</t>
  </si>
  <si>
    <t>SPECTABILIS</t>
  </si>
  <si>
    <t>NORDMANNIANA</t>
  </si>
  <si>
    <t>HISPIDA</t>
  </si>
  <si>
    <t>SARGENTIANA</t>
  </si>
  <si>
    <t>CAMPBELLII</t>
  </si>
  <si>
    <t>LANCEOLATA</t>
  </si>
  <si>
    <t>RUBENS</t>
  </si>
  <si>
    <t>ALBOSINENSIS</t>
  </si>
  <si>
    <t>VERNICIFLUA</t>
  </si>
  <si>
    <t>OPACA</t>
  </si>
  <si>
    <t>MUTABILIS</t>
  </si>
  <si>
    <t>MACROPHYLLA</t>
  </si>
  <si>
    <t>X BROOKLYNENSIS</t>
  </si>
  <si>
    <t>BREWERIANA</t>
  </si>
  <si>
    <t>PHOENICEA</t>
  </si>
  <si>
    <t>LOEBNERI  X</t>
  </si>
  <si>
    <t>LENTA</t>
  </si>
  <si>
    <t>EMODI</t>
  </si>
  <si>
    <t>CAPREA</t>
  </si>
  <si>
    <t>CALIFORNICA</t>
  </si>
  <si>
    <t>HIRSUTA</t>
  </si>
  <si>
    <t>ALBICAULIS</t>
  </si>
  <si>
    <t>OBLONGA</t>
  </si>
  <si>
    <t>WATERERI X</t>
  </si>
  <si>
    <t>ILEX</t>
  </si>
  <si>
    <t>LAXA</t>
  </si>
  <si>
    <t>HISPANICA</t>
  </si>
  <si>
    <t>TRIANDRA</t>
  </si>
  <si>
    <t>ARALIOIDES</t>
  </si>
  <si>
    <t>TRIPETALA</t>
  </si>
  <si>
    <t>ALTERNIFOLIA</t>
  </si>
  <si>
    <t>CASTANEIFOLIA</t>
  </si>
  <si>
    <t>POMIFERA</t>
  </si>
  <si>
    <t>TRICHOTOMUM</t>
  </si>
  <si>
    <t>PINNATA</t>
  </si>
  <si>
    <t>LASIOCARPA</t>
  </si>
  <si>
    <t>CUSPIDATA</t>
  </si>
  <si>
    <t>AMABILIS</t>
  </si>
  <si>
    <t>SQUAMATA</t>
  </si>
  <si>
    <t>PYRIFOLIA</t>
  </si>
  <si>
    <t>JULIBRISSIN</t>
  </si>
  <si>
    <t>VIRGINICUS</t>
  </si>
  <si>
    <t>OLEIFERA</t>
  </si>
  <si>
    <t>DENSIFLORUS</t>
  </si>
  <si>
    <t>TORMINALIS</t>
  </si>
  <si>
    <t>DECORA</t>
  </si>
  <si>
    <t>ALBIDUM</t>
  </si>
  <si>
    <t>RUTGERSENSIS</t>
  </si>
  <si>
    <t>SPINOSA</t>
  </si>
  <si>
    <t>SEPULCRALIS   X</t>
  </si>
  <si>
    <t>MONTEZUMAE</t>
  </si>
  <si>
    <t>MONSPESSULANUM</t>
  </si>
  <si>
    <t>GLABRESCENS</t>
  </si>
  <si>
    <t>CHIHUAHUANA</t>
  </si>
  <si>
    <t>MICROPHYLLA</t>
  </si>
  <si>
    <t>ESSERTEAUIANA</t>
  </si>
  <si>
    <t>TASHKENTENSIS</t>
  </si>
  <si>
    <t>MUME</t>
  </si>
  <si>
    <t>INTERMEDIA   X</t>
  </si>
  <si>
    <t>CEMBRA</t>
  </si>
  <si>
    <t>BAKERI</t>
  </si>
  <si>
    <t>VEITCHII  X</t>
  </si>
  <si>
    <t>CALYCINA</t>
  </si>
  <si>
    <t>KAEMPFERI</t>
  </si>
  <si>
    <t>SALICIFOLIA</t>
  </si>
  <si>
    <t>COREANA</t>
  </si>
  <si>
    <t>MANDSHURICUM</t>
  </si>
  <si>
    <t>BUNGEANA</t>
  </si>
  <si>
    <t>SMITHIANA</t>
  </si>
  <si>
    <t>DIVERSIFOLIA</t>
  </si>
  <si>
    <t>OVATA</t>
  </si>
  <si>
    <t>MAGNIFICUM</t>
  </si>
  <si>
    <t>STACHYOPHYLLUM</t>
  </si>
  <si>
    <t>BUERGERIANUM</t>
  </si>
  <si>
    <t>WILSONII</t>
  </si>
  <si>
    <t>MOLLISSIMA</t>
  </si>
  <si>
    <t>PECTINATUM</t>
  </si>
  <si>
    <t>BRACHYTYLA</t>
  </si>
  <si>
    <t>INCISA</t>
  </si>
  <si>
    <t>ALTACLERENSIS  X</t>
  </si>
  <si>
    <t>VILLOSA</t>
  </si>
  <si>
    <t>CRYPTOMERIOIDES</t>
  </si>
  <si>
    <t>LONGIPES</t>
  </si>
  <si>
    <t>DOLABRATA</t>
  </si>
  <si>
    <t>ARBUTIFOLIA</t>
  </si>
  <si>
    <t>MAXIMOWICZII</t>
  </si>
  <si>
    <t>POLYCARPA</t>
  </si>
  <si>
    <t>BIPINNATA</t>
  </si>
  <si>
    <t>TSINGLINGENSE</t>
  </si>
  <si>
    <t>WALLICHIANA</t>
  </si>
  <si>
    <t>SPRENGERI</t>
  </si>
  <si>
    <t>PSILOPHYLLUS</t>
  </si>
  <si>
    <t>VEITCHII</t>
  </si>
  <si>
    <t>PURPUREA</t>
  </si>
  <si>
    <t>MANDSHURICA</t>
  </si>
  <si>
    <t>HENRYI</t>
  </si>
  <si>
    <t>LIKIANGENSIS</t>
  </si>
  <si>
    <t>NOBILIS</t>
  </si>
  <si>
    <t>PARVIFOLIA</t>
  </si>
  <si>
    <t>DELTOIDES</t>
  </si>
  <si>
    <t>HUPEHENSIS</t>
  </si>
  <si>
    <t>MEDIA X</t>
  </si>
  <si>
    <t>ARIZONICA</t>
  </si>
  <si>
    <t>OBOVATA</t>
  </si>
  <si>
    <t>CANADENSIS X</t>
  </si>
  <si>
    <t>INTERMEDIA</t>
  </si>
  <si>
    <t>DECORUS</t>
  </si>
  <si>
    <t>COGGYGRIA</t>
  </si>
  <si>
    <t>PLICATUM</t>
  </si>
  <si>
    <t>CORONARIUS</t>
  </si>
  <si>
    <t>ARBORESCENS</t>
  </si>
  <si>
    <t>ALATUS</t>
  </si>
  <si>
    <t>BODNANTENSE X</t>
  </si>
  <si>
    <t>PRUNIFOLIA  X</t>
  </si>
  <si>
    <t>LACTEUS</t>
  </si>
  <si>
    <t>BULLATUS</t>
  </si>
  <si>
    <t>RHYTIDOPHYLLUM</t>
  </si>
  <si>
    <t>LAEVIS</t>
  </si>
  <si>
    <t>LAETUM</t>
  </si>
  <si>
    <t>BRIGANTINA</t>
  </si>
  <si>
    <t>COLUMA</t>
  </si>
  <si>
    <t>BARBATUM</t>
  </si>
  <si>
    <t>TIANSHANICA</t>
  </si>
  <si>
    <t>ARGUTUM</t>
  </si>
  <si>
    <t>CAPITATA</t>
  </si>
  <si>
    <t>CERASIFORMIS</t>
  </si>
  <si>
    <t>FORMOSANA</t>
  </si>
  <si>
    <t>JACQUEMONTIANA</t>
  </si>
  <si>
    <t>FABRI</t>
  </si>
  <si>
    <t>SINUATA</t>
  </si>
  <si>
    <t>LOTUS</t>
  </si>
  <si>
    <t>MACROPTERA</t>
  </si>
  <si>
    <t>FRASERI</t>
  </si>
  <si>
    <t>LAEVIGATA</t>
  </si>
  <si>
    <t>CAVALERIEI</t>
  </si>
  <si>
    <t>COSTATA</t>
  </si>
  <si>
    <t>JACQUEMONTII</t>
  </si>
  <si>
    <t>SHIRASAWANUM</t>
  </si>
  <si>
    <t>FLAVSCENS X</t>
  </si>
  <si>
    <t>TORANO</t>
  </si>
  <si>
    <t>PROCTORIANA X</t>
  </si>
  <si>
    <t>ROSTRATA</t>
  </si>
  <si>
    <t>SIEBOLDIANA</t>
  </si>
  <si>
    <t>MAXIMOWICZIANUM</t>
  </si>
  <si>
    <t>MAXIMOWICZIANA</t>
  </si>
  <si>
    <t>SIEBOLDIANUM</t>
  </si>
  <si>
    <t>SINENSE</t>
  </si>
  <si>
    <t>OLIVERII</t>
  </si>
  <si>
    <t>UMBELLATA</t>
  </si>
  <si>
    <t>MORRISONENSE</t>
  </si>
  <si>
    <t>ALBOPURPURASCENS</t>
  </si>
  <si>
    <t>TRIFLORUM</t>
  </si>
  <si>
    <t>BARBINERVE</t>
  </si>
  <si>
    <t>PENSILIS</t>
  </si>
  <si>
    <t>FARGESII</t>
  </si>
  <si>
    <t>CERIFERUM</t>
  </si>
  <si>
    <t>MORIFOLIUM</t>
  </si>
  <si>
    <t>KORAIENSIS</t>
  </si>
  <si>
    <t>PRATTII</t>
  </si>
  <si>
    <t>FORRESTII</t>
  </si>
  <si>
    <t>KOYAMAE</t>
  </si>
  <si>
    <t>CALONEURA</t>
  </si>
  <si>
    <t>ASPERA</t>
  </si>
  <si>
    <t>TRILOBA</t>
  </si>
  <si>
    <t>CAMPBELLII X</t>
  </si>
  <si>
    <t>AURICULARIS</t>
  </si>
  <si>
    <t>PINNATIFIDA</t>
  </si>
  <si>
    <t>ARISTATA</t>
  </si>
  <si>
    <t>KEWENSIS</t>
  </si>
  <si>
    <t>CHRYSOLEPIS</t>
  </si>
  <si>
    <t>RUPICOLA</t>
  </si>
  <si>
    <t>SCHRADERIANA</t>
  </si>
  <si>
    <t>ALATAMAHA</t>
  </si>
  <si>
    <t>OPALUS</t>
  </si>
  <si>
    <t>VELUTINUM</t>
  </si>
  <si>
    <t>HOMOLEPIS</t>
  </si>
  <si>
    <t>MURICATA</t>
  </si>
  <si>
    <t>ARCHERI</t>
  </si>
  <si>
    <t>DOMBEYI</t>
  </si>
  <si>
    <t>OBLIQUA</t>
  </si>
  <si>
    <t>PAUCIFLORA</t>
  </si>
  <si>
    <t>RUSSICA</t>
  </si>
  <si>
    <t>ALPINUM</t>
  </si>
  <si>
    <t>MICROMALUS   X</t>
  </si>
  <si>
    <t>ZENII</t>
  </si>
  <si>
    <t>PLATYPHYLLA</t>
  </si>
  <si>
    <t>LOEBNERI X</t>
  </si>
  <si>
    <t>DAPHNOIDES</t>
  </si>
  <si>
    <t>LAXIFOLIA</t>
  </si>
  <si>
    <t>ATROCINEREA</t>
  </si>
  <si>
    <t>PYRENAICA</t>
  </si>
  <si>
    <t>AZORICA</t>
  </si>
  <si>
    <t>MINOR</t>
  </si>
  <si>
    <t>HORIZONTALIS</t>
  </si>
  <si>
    <t>TSCHONOSKII</t>
  </si>
  <si>
    <t>PETRAEA</t>
  </si>
  <si>
    <t>PINSAPO</t>
  </si>
  <si>
    <t>SZECHUANICA</t>
  </si>
  <si>
    <t>DISCOLOR</t>
  </si>
  <si>
    <t>PARRYI</t>
  </si>
  <si>
    <t>MUEHLENBERGII</t>
  </si>
  <si>
    <t>INCANA</t>
  </si>
  <si>
    <t>ARMENIACA</t>
  </si>
  <si>
    <t>JEZOENSIS</t>
  </si>
  <si>
    <t>RIGIDA</t>
  </si>
  <si>
    <t>PERNYI</t>
  </si>
  <si>
    <t>AURITA</t>
  </si>
  <si>
    <t>MACRANTHERA</t>
  </si>
  <si>
    <t>PETIOLARIS</t>
  </si>
  <si>
    <t>SORBIFOLIA</t>
  </si>
  <si>
    <t>CANESCENS X</t>
  </si>
  <si>
    <t>TZUMU</t>
  </si>
  <si>
    <t>RECURVATA</t>
  </si>
  <si>
    <t>KAKI</t>
  </si>
  <si>
    <t>TABULIFORMIS</t>
  </si>
  <si>
    <t>ACUTA</t>
  </si>
  <si>
    <t>DENSIFLORA</t>
  </si>
  <si>
    <t>BUSHII   X</t>
  </si>
  <si>
    <t>ZHEJIANGENSIS</t>
  </si>
  <si>
    <t>PERADO</t>
  </si>
  <si>
    <t>ENGLERIANA</t>
  </si>
  <si>
    <t>VIMINALIS</t>
  </si>
  <si>
    <t>CATHAYENSIS</t>
  </si>
  <si>
    <t>XYLOCARPUM</t>
  </si>
  <si>
    <t>LANCIFOLIA</t>
  </si>
  <si>
    <t>AUSTRALIS</t>
  </si>
  <si>
    <t>BRISTOLIENSIS</t>
  </si>
  <si>
    <t>GRAECA</t>
  </si>
  <si>
    <t>PYCNANTHUM</t>
  </si>
  <si>
    <t>NYMANSENSIS   X</t>
  </si>
  <si>
    <t>PINEA</t>
  </si>
  <si>
    <t>NIPPONICUM</t>
  </si>
  <si>
    <t>DANIELLII</t>
  </si>
  <si>
    <t>SCHRENKIANA</t>
  </si>
  <si>
    <t>ERNESTII</t>
  </si>
  <si>
    <t>BROOKLYNENSIS</t>
  </si>
  <si>
    <t>ALLEGHANIENSIS</t>
  </si>
  <si>
    <t>ARBOREA</t>
  </si>
  <si>
    <t>ADSTRINGENS</t>
  </si>
  <si>
    <t>ROBUSTA</t>
  </si>
  <si>
    <t>GREGGII</t>
  </si>
  <si>
    <t>SCHMITTII</t>
  </si>
  <si>
    <t>SILIQUASTRUM</t>
  </si>
  <si>
    <t>BOARIA</t>
  </si>
  <si>
    <t>CHILENSIS</t>
  </si>
  <si>
    <t>SCHINIFOLIUM</t>
  </si>
  <si>
    <t>WRIGHTII</t>
  </si>
  <si>
    <t>Rótulos de Linha</t>
  </si>
  <si>
    <t>(vazio)</t>
  </si>
  <si>
    <t>Total Geral</t>
  </si>
  <si>
    <t>Contagem de SPECIES_NAME</t>
  </si>
  <si>
    <t>Contagem de Trees</t>
  </si>
  <si>
    <r>
      <t xml:space="preserve">• </t>
    </r>
    <r>
      <rPr>
        <b/>
        <sz val="11"/>
        <color theme="1"/>
        <rFont val="Aptos Narrow"/>
        <family val="2"/>
        <scheme val="minor"/>
      </rPr>
      <t>Shannon H'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3.436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</si>
  <si>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Equabilidade J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0.892</t>
    </r>
  </si>
  <si>
    <t>0.118644068</t>
  </si>
  <si>
    <t>-0.25209403</t>
  </si>
  <si>
    <t>0.101694915</t>
  </si>
  <si>
    <t>-0.23237279</t>
  </si>
  <si>
    <t>0.06779661</t>
  </si>
  <si>
    <t>-0.18240778</t>
  </si>
  <si>
    <t>0.059322034</t>
  </si>
  <si>
    <t>-0.16731753</t>
  </si>
  <si>
    <t>0.050847458</t>
  </si>
  <si>
    <t>-0.15118359</t>
  </si>
  <si>
    <t>0.042372881</t>
  </si>
  <si>
    <t>-0.13412127</t>
  </si>
  <si>
    <t>0.033898305</t>
  </si>
  <si>
    <t>-0.11474296</t>
  </si>
  <si>
    <t>0.025423729</t>
  </si>
  <si>
    <t>-0.09340582</t>
  </si>
  <si>
    <t>0.016949153</t>
  </si>
  <si>
    <t>-0.06903214</t>
  </si>
  <si>
    <t>0.008474576</t>
  </si>
  <si>
    <t>-0.04045115</t>
  </si>
  <si>
    <t>Count</t>
  </si>
  <si>
    <t>pi</t>
  </si>
  <si>
    <t>ln(pi)</t>
  </si>
  <si>
    <t>pi*ln(pi)</t>
  </si>
  <si>
    <t>Simpson Results:</t>
  </si>
  <si>
    <t>D= 0,0474</t>
  </si>
  <si>
    <t>1-D= 0,9526</t>
  </si>
  <si>
    <t>1/D=21,10</t>
  </si>
  <si>
    <t>0,0474 is low, low dominance of any species. The closer to 0, the bigger the diversity.</t>
  </si>
  <si>
    <t>0,9526 is high meaning trees are well distributed and diverse.</t>
  </si>
  <si>
    <t>21 species with equal abundance, useful as Shannon tends to overestimate diversity when there are rare species.</t>
  </si>
  <si>
    <t>Usually varies between 0 to 4,5 in extremely diverse communities. 3,4 means there is high structural diversity in the tree community.Species with abundance relatively well distributed, very heterogenous community.</t>
  </si>
  <si>
    <t>0 means very unequal and 1 means completely uniform distribution. 0.89 means there are few dominating species that are not in enough numbers to create inequality. Well balanced distribution.</t>
  </si>
  <si>
    <r>
      <t>Índice de Shannon H'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4.22834</t>
    </r>
  </si>
  <si>
    <r>
      <t>Equabilidade de Pielou J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0.67246</t>
    </r>
  </si>
  <si>
    <r>
      <t>Simpson D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0.0275289</t>
    </r>
  </si>
  <si>
    <r>
      <t>Simpson 1 − D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0.97247</t>
    </r>
  </si>
  <si>
    <r>
      <t>Simpson 1 / D (número efetivo)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36.325</t>
    </r>
  </si>
  <si>
    <t>High diversity value</t>
  </si>
  <si>
    <t>equitability moderate, distribution of abundance is not very uniform</t>
  </si>
  <si>
    <t>Low probability of picking two individuals of the same species, 36 species equally abundant</t>
  </si>
  <si>
    <t>common foxglove</t>
  </si>
  <si>
    <t>corn flower</t>
  </si>
  <si>
    <t>false spireae</t>
  </si>
  <si>
    <t xml:space="preserve">highbush blueberry </t>
  </si>
  <si>
    <t xml:space="preserve">japanese camellia </t>
  </si>
  <si>
    <t xml:space="preserve"> lettuce</t>
  </si>
  <si>
    <t>african marigold</t>
  </si>
  <si>
    <t>aloe vera</t>
  </si>
  <si>
    <t>american beautyberry</t>
  </si>
  <si>
    <t>arborvitae</t>
  </si>
  <si>
    <t>asian virginsbower</t>
  </si>
  <si>
    <t>black cherry</t>
  </si>
  <si>
    <t>bok choy</t>
  </si>
  <si>
    <t>british columbia wild ginger</t>
  </si>
  <si>
    <t xml:space="preserve">busy lizzie </t>
  </si>
  <si>
    <t>canada yew</t>
  </si>
  <si>
    <t>cape jasmine</t>
  </si>
  <si>
    <t>catawba roseberry</t>
  </si>
  <si>
    <t xml:space="preserve">china rose </t>
  </si>
  <si>
    <t>chinese boxthorn</t>
  </si>
  <si>
    <t>chinese clematis</t>
  </si>
  <si>
    <t xml:space="preserve">chinese photinia </t>
  </si>
  <si>
    <t>chinese wolfberry</t>
  </si>
  <si>
    <t>daphne odora</t>
  </si>
  <si>
    <t>european plum</t>
  </si>
  <si>
    <t>evergreen azalea</t>
  </si>
  <si>
    <t>fatsia japonica</t>
  </si>
  <si>
    <t>festuca californica</t>
  </si>
  <si>
    <t>hot pepper</t>
  </si>
  <si>
    <t>ilex</t>
  </si>
  <si>
    <t>indian shot</t>
  </si>
  <si>
    <t>jacob's ladder</t>
  </si>
  <si>
    <t>japanese flowering quince</t>
  </si>
  <si>
    <t>japanese laurel</t>
  </si>
  <si>
    <t>japanese meadowsweet</t>
  </si>
  <si>
    <t>jerusalem artichoke</t>
  </si>
  <si>
    <t xml:space="preserve">johnny jump up </t>
  </si>
  <si>
    <t>juniperus comunis</t>
  </si>
  <si>
    <t>kentucky bluegrass</t>
  </si>
  <si>
    <t>large yellow loosestrife</t>
  </si>
  <si>
    <t>lavandula angustifolia</t>
  </si>
  <si>
    <t>lavender</t>
  </si>
  <si>
    <t>leek</t>
  </si>
  <si>
    <t>myrsine lessertiana</t>
  </si>
  <si>
    <t>new england aster</t>
  </si>
  <si>
    <t>new york aster</t>
  </si>
  <si>
    <t>norway maple</t>
  </si>
  <si>
    <t>norway spruce</t>
  </si>
  <si>
    <t>paeonia lactiflora</t>
  </si>
  <si>
    <t>parsley</t>
  </si>
  <si>
    <t>peppermint</t>
  </si>
  <si>
    <t>peruvian lily</t>
  </si>
  <si>
    <t>pieris japonica</t>
  </si>
  <si>
    <t>polystichum braunii</t>
  </si>
  <si>
    <t>prunus caroliniana</t>
  </si>
  <si>
    <t>pussy willow</t>
  </si>
  <si>
    <t>ram's horn</t>
  </si>
  <si>
    <t>rosa chinensis</t>
  </si>
  <si>
    <t>rosemary</t>
  </si>
  <si>
    <t>rosemint</t>
  </si>
  <si>
    <t>ruby's laciniatus</t>
  </si>
  <si>
    <t>rutabaga</t>
  </si>
  <si>
    <t>sage</t>
  </si>
  <si>
    <t>serbian bellflower</t>
  </si>
  <si>
    <t>sorrel</t>
  </si>
  <si>
    <t>spring onion</t>
  </si>
  <si>
    <t>sticky geranium</t>
  </si>
  <si>
    <t>sweet mock orange</t>
  </si>
  <si>
    <t>sweet woodruff</t>
  </si>
  <si>
    <t>syringa villosa</t>
  </si>
  <si>
    <t>syringa vulgaris</t>
  </si>
  <si>
    <t>tarragon</t>
  </si>
  <si>
    <t>vanhouttei spires</t>
  </si>
  <si>
    <t>viburnum tinus</t>
  </si>
  <si>
    <t>vine kiwi</t>
  </si>
  <si>
    <t>viola tricolor</t>
  </si>
  <si>
    <t xml:space="preserve">wax begonia </t>
  </si>
  <si>
    <t>weeping forsythia</t>
  </si>
  <si>
    <t>white panicle</t>
  </si>
  <si>
    <t>wisteria sinensis</t>
  </si>
  <si>
    <t>yellow archangel</t>
  </si>
  <si>
    <t>virginia creeper</t>
  </si>
  <si>
    <t>regal geranium</t>
  </si>
  <si>
    <t>false spiraea</t>
  </si>
  <si>
    <t>false buck's beard</t>
  </si>
  <si>
    <t>common hollyhock</t>
  </si>
  <si>
    <t xml:space="preserve">arborvitae </t>
  </si>
  <si>
    <t>arbovitae</t>
  </si>
  <si>
    <t>chamaecyparis pisifera</t>
  </si>
  <si>
    <t>dog rose</t>
  </si>
  <si>
    <t>proporção</t>
  </si>
  <si>
    <t>pᵢ * ln(pᵢ)</t>
  </si>
  <si>
    <t>pᵢ²</t>
  </si>
  <si>
    <t>SimpsonD above</t>
  </si>
  <si>
    <t>Shannon value above</t>
  </si>
  <si>
    <t>1 – D above</t>
  </si>
  <si>
    <t>1/D above, Simpson Reciprocal Index</t>
  </si>
  <si>
    <t>Garden_plants</t>
  </si>
  <si>
    <t>Economic_level</t>
  </si>
  <si>
    <t>Overall_garden_diversity</t>
  </si>
  <si>
    <t>Garden_size</t>
  </si>
  <si>
    <t>Native_number_trees</t>
  </si>
  <si>
    <t>Native_number_plantsnshrubs</t>
  </si>
  <si>
    <t>Native_or_non</t>
  </si>
  <si>
    <t>cheddar pink</t>
  </si>
  <si>
    <t>balloon flower</t>
  </si>
  <si>
    <t>culver's root</t>
  </si>
  <si>
    <t xml:space="preserve">cabbage tree </t>
  </si>
  <si>
    <t>radish</t>
  </si>
  <si>
    <t>trumpet honeysuckle</t>
  </si>
  <si>
    <t>fragrant sweet box</t>
  </si>
  <si>
    <t>Solomon's seal</t>
  </si>
  <si>
    <t>hart's tongue fern</t>
  </si>
  <si>
    <t>horseradish</t>
  </si>
  <si>
    <t>Lady's mantle</t>
  </si>
  <si>
    <t>Wax begonia</t>
  </si>
  <si>
    <t>redwood sorrel</t>
  </si>
  <si>
    <t>kale</t>
  </si>
  <si>
    <t>Chinese photinia</t>
  </si>
  <si>
    <t>common bugloss</t>
  </si>
  <si>
    <t>longleaf speedwell</t>
  </si>
  <si>
    <t>Oriental arborvitae</t>
  </si>
  <si>
    <t>common Sage</t>
  </si>
  <si>
    <t>Number_tree_species_total</t>
  </si>
  <si>
    <t>Native_percent_total</t>
  </si>
  <si>
    <t>Coniferous_decidous</t>
  </si>
  <si>
    <t>DBH INP (cm)</t>
  </si>
  <si>
    <t>DBH OUT (cm)</t>
  </si>
  <si>
    <t>Ht (m)</t>
  </si>
  <si>
    <t>CW (m)</t>
  </si>
  <si>
    <t>CA</t>
  </si>
  <si>
    <t>CBH</t>
  </si>
  <si>
    <t>Cavities (C)/ Dead wood (D)</t>
  </si>
  <si>
    <t>Fruit (F)/Nuts (N)</t>
  </si>
  <si>
    <t>13</t>
  </si>
  <si>
    <t>1.7*1.4</t>
  </si>
  <si>
    <t>42</t>
  </si>
  <si>
    <t>2.6*3.9</t>
  </si>
  <si>
    <t>C, D</t>
  </si>
  <si>
    <t>-</t>
  </si>
  <si>
    <t>Trimmed heavily</t>
  </si>
  <si>
    <t>5.3</t>
  </si>
  <si>
    <t>2.2*1.8</t>
  </si>
  <si>
    <t>6</t>
  </si>
  <si>
    <t>2.1*1.9</t>
  </si>
  <si>
    <t>5.1</t>
  </si>
  <si>
    <t>5.5*0.5</t>
  </si>
  <si>
    <t>10.2</t>
  </si>
  <si>
    <t>4.8*3.8</t>
  </si>
  <si>
    <t>25,22</t>
  </si>
  <si>
    <t>6*5.5</t>
  </si>
  <si>
    <t>D</t>
  </si>
  <si>
    <t>11.4</t>
  </si>
  <si>
    <t>3.45*3.1</t>
  </si>
  <si>
    <t>1.5</t>
  </si>
  <si>
    <t>Almost no leaves</t>
  </si>
  <si>
    <t>10.9</t>
  </si>
  <si>
    <t>1.8</t>
  </si>
  <si>
    <t>growing with the other fig in the garden</t>
  </si>
  <si>
    <t>9</t>
  </si>
  <si>
    <t>1*0.9</t>
  </si>
  <si>
    <t>almost dead</t>
  </si>
  <si>
    <t>66.3</t>
  </si>
  <si>
    <t>7.4*7.4</t>
  </si>
  <si>
    <t>0.5</t>
  </si>
  <si>
    <t>many trees with similar metrics</t>
  </si>
  <si>
    <t>47.8</t>
  </si>
  <si>
    <t>7.4*7.5</t>
  </si>
  <si>
    <t>0.4</t>
  </si>
  <si>
    <t>49.4</t>
  </si>
  <si>
    <t>7.4*7.6</t>
  </si>
  <si>
    <t>59.6</t>
  </si>
  <si>
    <t>7.4*7.7</t>
  </si>
  <si>
    <t>0.35</t>
  </si>
  <si>
    <t>48.6</t>
  </si>
  <si>
    <t>7.4*7.8</t>
  </si>
  <si>
    <t>57.8</t>
  </si>
  <si>
    <t>7.4*7.9</t>
  </si>
  <si>
    <t>0.6</t>
  </si>
  <si>
    <t>45</t>
  </si>
  <si>
    <t>7.4*7.10</t>
  </si>
  <si>
    <t>0.55</t>
  </si>
  <si>
    <t>58.6</t>
  </si>
  <si>
    <t>7.4*7.11</t>
  </si>
  <si>
    <t>17</t>
  </si>
  <si>
    <t>3.4*3.5</t>
  </si>
  <si>
    <t>10,14,12,18,15</t>
  </si>
  <si>
    <t>5*6</t>
  </si>
  <si>
    <t>10.5</t>
  </si>
  <si>
    <t>2.4*3.5</t>
  </si>
  <si>
    <t>11.7</t>
  </si>
  <si>
    <t>3.8*2.5</t>
  </si>
  <si>
    <t>29.5</t>
  </si>
  <si>
    <t>7*5.5</t>
  </si>
  <si>
    <t>16,10.5</t>
  </si>
  <si>
    <t>5.7*4</t>
  </si>
  <si>
    <t>35,25</t>
  </si>
  <si>
    <t>4*5</t>
  </si>
  <si>
    <t>3.5*3.5</t>
  </si>
  <si>
    <t>4.5*4.5</t>
  </si>
  <si>
    <t>10,10</t>
  </si>
  <si>
    <t>1.8*2</t>
  </si>
  <si>
    <t>3*3</t>
  </si>
  <si>
    <t>15</t>
  </si>
  <si>
    <t>4.8*3.5</t>
  </si>
  <si>
    <t>5*3</t>
  </si>
  <si>
    <t>11,9,10,9,9</t>
  </si>
  <si>
    <t>3.2*2</t>
  </si>
  <si>
    <t>45,20</t>
  </si>
  <si>
    <t>5.5*6</t>
  </si>
  <si>
    <t>80</t>
  </si>
  <si>
    <t>12*11.3</t>
  </si>
  <si>
    <t>C,D</t>
  </si>
  <si>
    <t>45,40,50</t>
  </si>
  <si>
    <t>11.5*6.3</t>
  </si>
  <si>
    <t>12</t>
  </si>
  <si>
    <t>1*1</t>
  </si>
  <si>
    <t>100</t>
  </si>
  <si>
    <t>9.3*13.3</t>
  </si>
  <si>
    <t>85</t>
  </si>
  <si>
    <t>4*6</t>
  </si>
  <si>
    <t>3* 2.5</t>
  </si>
  <si>
    <t>3.7*4.5</t>
  </si>
  <si>
    <t>0.5*0.4</t>
  </si>
  <si>
    <t>2.3*1.8</t>
  </si>
  <si>
    <t>3.5*2.6</t>
  </si>
  <si>
    <t>11</t>
  </si>
  <si>
    <t>2.7*2.7</t>
  </si>
  <si>
    <t>2*1.5</t>
  </si>
  <si>
    <t>2.6*2.7</t>
  </si>
  <si>
    <t>22,22.7</t>
  </si>
  <si>
    <t>7.5*6</t>
  </si>
  <si>
    <t>64.4</t>
  </si>
  <si>
    <t>5*5</t>
  </si>
  <si>
    <t>12.5,5.5</t>
  </si>
  <si>
    <t>1.2*2</t>
  </si>
  <si>
    <t>76.3</t>
  </si>
  <si>
    <t>4.8*4</t>
  </si>
  <si>
    <t>73</t>
  </si>
  <si>
    <t>6.4*5</t>
  </si>
  <si>
    <t>77,66.8</t>
  </si>
  <si>
    <t>10*7</t>
  </si>
  <si>
    <t>58</t>
  </si>
  <si>
    <t>36,16</t>
  </si>
  <si>
    <t>4.5*2</t>
  </si>
  <si>
    <t>21</t>
  </si>
  <si>
    <t>6.5*5.3</t>
  </si>
  <si>
    <t>37,3</t>
  </si>
  <si>
    <t>8.3*6.7</t>
  </si>
  <si>
    <t>108</t>
  </si>
  <si>
    <t>15.5*16</t>
  </si>
  <si>
    <t>tree hole on bottom</t>
  </si>
  <si>
    <t>10.5,13.3,10.8</t>
  </si>
  <si>
    <t>5.5*7.2</t>
  </si>
  <si>
    <t>13,8</t>
  </si>
  <si>
    <t>5.3*6</t>
  </si>
  <si>
    <t>38</t>
  </si>
  <si>
    <t>3*3.1</t>
  </si>
  <si>
    <t>6,5.3,5.7,7.5,4.3,5.6</t>
  </si>
  <si>
    <t>5.3*4</t>
  </si>
  <si>
    <t>15.5,30,17,12.5,10,10.9</t>
  </si>
  <si>
    <t>6.8*4.5</t>
  </si>
  <si>
    <t>37.3</t>
  </si>
  <si>
    <t>3*4</t>
  </si>
  <si>
    <t>47.3</t>
  </si>
  <si>
    <t>17.9</t>
  </si>
  <si>
    <t>5.7*5</t>
  </si>
  <si>
    <t>96</t>
  </si>
  <si>
    <t>11.5*11.5</t>
  </si>
  <si>
    <t>120</t>
  </si>
  <si>
    <t>6.8*6.8</t>
  </si>
  <si>
    <t>7,6.7,7.3,8.3,5.6</t>
  </si>
  <si>
    <t>5.5*4</t>
  </si>
  <si>
    <t>flower bud, some disease</t>
  </si>
  <si>
    <t>11.8</t>
  </si>
  <si>
    <t>4.8*3.6</t>
  </si>
  <si>
    <t>13.5</t>
  </si>
  <si>
    <t>3.6*4</t>
  </si>
  <si>
    <t>12.2</t>
  </si>
  <si>
    <t>6.6*4</t>
  </si>
  <si>
    <t>57</t>
  </si>
  <si>
    <t>10*11</t>
  </si>
  <si>
    <t>15*10</t>
  </si>
  <si>
    <t>9.7*8</t>
  </si>
  <si>
    <t>9*6.5</t>
  </si>
  <si>
    <t>2,5</t>
  </si>
  <si>
    <t>3*2.5</t>
  </si>
  <si>
    <t>15,10</t>
  </si>
  <si>
    <t>4.3*6.5</t>
  </si>
  <si>
    <t>37</t>
  </si>
  <si>
    <t>4.3*4</t>
  </si>
  <si>
    <t>7,12,10</t>
  </si>
  <si>
    <t>2.2*4.8</t>
  </si>
  <si>
    <t>10,8,10</t>
  </si>
  <si>
    <t>2.7*4.8</t>
  </si>
  <si>
    <t>26,30</t>
  </si>
  <si>
    <t>8,5</t>
  </si>
  <si>
    <t>2*2.5</t>
  </si>
  <si>
    <t>7.64</t>
  </si>
  <si>
    <t>33.44</t>
  </si>
  <si>
    <t>9*7.5</t>
  </si>
  <si>
    <t>12.41</t>
  </si>
  <si>
    <t>2.4*2.4</t>
  </si>
  <si>
    <t>11.14</t>
  </si>
  <si>
    <t>10.51</t>
  </si>
  <si>
    <t>11.78</t>
  </si>
  <si>
    <t>6.37</t>
  </si>
  <si>
    <t>4.77</t>
  </si>
  <si>
    <t>3.18</t>
  </si>
  <si>
    <t>0.8*0.8</t>
  </si>
  <si>
    <t>3.1*2.8</t>
  </si>
  <si>
    <t>6.05</t>
  </si>
  <si>
    <t>2.7*2.8</t>
  </si>
  <si>
    <t>5.41</t>
  </si>
  <si>
    <t>2.1*1.8</t>
  </si>
  <si>
    <t>7.32</t>
  </si>
  <si>
    <t>3*2.4</t>
  </si>
  <si>
    <t>2.8*2.6</t>
  </si>
  <si>
    <t>18.3</t>
  </si>
  <si>
    <t>12.5</t>
  </si>
  <si>
    <t>0.5*0.5</t>
  </si>
  <si>
    <t>2.5*2</t>
  </si>
  <si>
    <t>4.2</t>
  </si>
  <si>
    <t>2.5*2.5</t>
  </si>
  <si>
    <t>1.4</t>
  </si>
  <si>
    <t>4*3.5</t>
  </si>
  <si>
    <t>2.3</t>
  </si>
  <si>
    <t>Potted</t>
  </si>
  <si>
    <t>30.5</t>
  </si>
  <si>
    <t>34.5</t>
  </si>
  <si>
    <t>7.5*8</t>
  </si>
  <si>
    <t>12,12.5</t>
  </si>
  <si>
    <t>6*3</t>
  </si>
  <si>
    <t>0.2,0.2</t>
  </si>
  <si>
    <t>2*2</t>
  </si>
  <si>
    <t>0.3</t>
  </si>
  <si>
    <t>5.7*4.9</t>
  </si>
  <si>
    <t>0.8,0.55</t>
  </si>
  <si>
    <t>5.3*5.3</t>
  </si>
  <si>
    <t>44</t>
  </si>
  <si>
    <t>6.9*6.1</t>
  </si>
  <si>
    <t>129.5</t>
  </si>
  <si>
    <t>15.5*14.7</t>
  </si>
  <si>
    <t>5,5,5</t>
  </si>
  <si>
    <t>2..7*2.1</t>
  </si>
  <si>
    <t>multistem</t>
  </si>
  <si>
    <t>9.5,7.7</t>
  </si>
  <si>
    <t>33.3</t>
  </si>
  <si>
    <t>31.46</t>
  </si>
  <si>
    <t>19.14</t>
  </si>
  <si>
    <t>43.01</t>
  </si>
  <si>
    <t>14.14</t>
  </si>
  <si>
    <t>21.54</t>
  </si>
  <si>
    <t>49.24</t>
  </si>
  <si>
    <t>78.27</t>
  </si>
  <si>
    <t>31.61</t>
  </si>
  <si>
    <t>13.66</t>
  </si>
  <si>
    <t>101.93</t>
  </si>
  <si>
    <t>39.41</t>
  </si>
  <si>
    <t>37.11</t>
  </si>
  <si>
    <t>20.09</t>
  </si>
  <si>
    <t>15.29</t>
  </si>
  <si>
    <t>14.24</t>
  </si>
  <si>
    <t>42.48</t>
  </si>
  <si>
    <t>15.73</t>
  </si>
  <si>
    <t>18.03</t>
  </si>
  <si>
    <t>17.12</t>
  </si>
  <si>
    <t>16.25</t>
  </si>
  <si>
    <t>39.70</t>
  </si>
  <si>
    <t>9.43</t>
  </si>
  <si>
    <t>17.33</t>
  </si>
  <si>
    <t>0.28</t>
  </si>
  <si>
    <t>0.97</t>
  </si>
  <si>
    <t>8.66</t>
  </si>
  <si>
    <t>12.23</t>
  </si>
  <si>
    <t>CanopyDensity(%)</t>
  </si>
  <si>
    <t>canpoy area= pi x (length/2) x (width/2)</t>
  </si>
  <si>
    <t>Coniferous_not</t>
  </si>
  <si>
    <t>con</t>
  </si>
  <si>
    <t>species</t>
  </si>
  <si>
    <t>Density_g_cm3</t>
  </si>
  <si>
    <t>Source</t>
  </si>
  <si>
    <t>Zanne et al. 2009</t>
  </si>
  <si>
    <t>USDA Wood Handbook</t>
  </si>
  <si>
    <t>CIRAD</t>
  </si>
  <si>
    <t>Ogata et al. 2008</t>
  </si>
  <si>
    <t>Wheeler et al. 2007</t>
  </si>
  <si>
    <t>Poorter et al. 2010</t>
  </si>
  <si>
    <t>Salma et al. 2016</t>
  </si>
  <si>
    <t>Chave et al. 2014</t>
  </si>
  <si>
    <t>https://academic.oup.com/forestry/article-abstract/87/1/129/602137?redirectedFrom=fulltext</t>
  </si>
  <si>
    <t>Chojnacky 2013</t>
  </si>
  <si>
    <t>Chave et al formula used:</t>
  </si>
  <si>
    <t>DBH in c</t>
  </si>
  <si>
    <t>Height in m</t>
  </si>
  <si>
    <t>density in gcm-3</t>
  </si>
  <si>
    <t>biomass in kg</t>
  </si>
  <si>
    <t>biomassChave_kg</t>
  </si>
  <si>
    <t>dec</t>
  </si>
  <si>
    <t>crown projection area formula</t>
  </si>
  <si>
    <t>CanopyWidth (m)</t>
  </si>
  <si>
    <t>CanopyLength(m)</t>
  </si>
  <si>
    <t xml:space="preserve">Forest Dynamics, Growth and Yield </t>
  </si>
  <si>
    <t>Hans Pretzsch 2009</t>
  </si>
  <si>
    <t>Area= pi x (width/2) x (length/2)</t>
  </si>
  <si>
    <t>CrownArea(m2)</t>
  </si>
  <si>
    <t>Basal Area = pi x (DBH/2)^2</t>
  </si>
  <si>
    <t>https://link.springer.com/content/pdf/10.1007/978-3-540-88307-4.pdf</t>
  </si>
  <si>
    <t>Husch, B., Beers, T. W., &amp; Kershaw, J. A. 2003. Forest Mensuration. Wiley.</t>
  </si>
  <si>
    <t>Basal_area(m^2)</t>
  </si>
  <si>
    <t>index,House,shannon_garden</t>
  </si>
  <si>
    <t>0,M11,4.4188406077966</t>
  </si>
  <si>
    <t>1,M12,2.54003630382098</t>
  </si>
  <si>
    <t>2,M13,1.6094379124341005</t>
  </si>
  <si>
    <t>3,M14,4.007333185232471</t>
  </si>
  <si>
    <t>4,M21,2.3025850929940455</t>
  </si>
  <si>
    <t>5,M22,2.639057329615258</t>
  </si>
  <si>
    <t>6,M23,3.713572066704308</t>
  </si>
  <si>
    <t>7,M24,2.615630577027551</t>
  </si>
  <si>
    <t>8,M31,3.2444926304072963</t>
  </si>
  <si>
    <t>9,M41,3.5553480614894135</t>
  </si>
  <si>
    <t>10,M42,3.328471881330735</t>
  </si>
  <si>
    <t>11,P11,2.3025850929940455</t>
  </si>
  <si>
    <t>12,P12,2.890371757896165</t>
  </si>
  <si>
    <t>13,P13,3.367295829986473</t>
  </si>
  <si>
    <t>14,P14,2.564949357461537</t>
  </si>
  <si>
    <t>15,P21,2.871476118054867</t>
  </si>
  <si>
    <t>16,P22,2.7380783554095367</t>
  </si>
  <si>
    <t>17,P31,3.6888794541139363</t>
  </si>
  <si>
    <t>18,P32,2.772588722239781</t>
  </si>
  <si>
    <t>19,P41,3.5835189384561104</t>
  </si>
  <si>
    <t>20,R11,2.9829650292177705</t>
  </si>
  <si>
    <t>21,R12,2.9444389791664403</t>
  </si>
  <si>
    <t>22,R13,3.401197381662155</t>
  </si>
  <si>
    <t>23,R21,3.151458510243029</t>
  </si>
  <si>
    <t>24,R22,3.282693997278064</t>
  </si>
  <si>
    <t>25,R23,2.651192975100644</t>
  </si>
  <si>
    <t>26,R31,3.7080940607395387</t>
  </si>
  <si>
    <t>27,R32,2.9444389791664403</t>
  </si>
  <si>
    <t>28,R33,3.4339872044851463</t>
  </si>
  <si>
    <t>29,R34,3.3322045101752034</t>
  </si>
  <si>
    <t>Bird_Diversity</t>
  </si>
  <si>
    <t>Canopy_cover_radius_50m</t>
  </si>
  <si>
    <t>Canopy_cover_radius_100m</t>
  </si>
  <si>
    <t>Plant_and_shrub_diversity</t>
  </si>
  <si>
    <t>Tree_species_diversity</t>
  </si>
  <si>
    <t>Canopy_cover_garden</t>
  </si>
  <si>
    <t>Grass_percentage</t>
  </si>
  <si>
    <t>Herbaceous_percentage</t>
  </si>
  <si>
    <t>Shrub_percentage</t>
  </si>
  <si>
    <t>Tree_percentage</t>
  </si>
  <si>
    <t>Overall_family_diversity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</si>
</sst>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.d"/>
    <numFmt numFmtId="165" formatCode="0.0"/>
    <numFmt numFmtId="166" formatCode="0.000"/>
  </numFmts>
  <fonts count="16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ptos Narrow"/>
      <family val="2"/>
      <scheme val="minor"/>
    </font>
    <font>
      <i/>
      <sz val="10"/>
      <color theme="1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F1115"/>
      <name val="Segoe UI"/>
      <family val="2"/>
    </font>
    <font>
      <i/>
      <sz val="10"/>
      <color rgb="FF101418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92D05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/>
    <xf numFmtId="0" fontId="3" fillId="0" borderId="0" xfId="0" applyFont="1" applyAlignment="1">
      <alignment wrapText="1"/>
    </xf>
    <xf numFmtId="0" fontId="2" fillId="2" borderId="2" xfId="0" applyFont="1" applyFill="1" applyBorder="1"/>
    <xf numFmtId="0" fontId="3" fillId="2" borderId="2" xfId="0" applyFont="1" applyFill="1" applyBorder="1"/>
    <xf numFmtId="0" fontId="3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2" xfId="0" applyFont="1" applyFill="1" applyBorder="1"/>
    <xf numFmtId="0" fontId="3" fillId="0" borderId="2" xfId="0" applyFont="1" applyBorder="1" applyAlignment="1">
      <alignment wrapText="1"/>
    </xf>
    <xf numFmtId="164" fontId="3" fillId="0" borderId="2" xfId="0" applyNumberFormat="1" applyFont="1" applyBorder="1"/>
    <xf numFmtId="164" fontId="3" fillId="0" borderId="0" xfId="0" applyNumberFormat="1" applyFont="1"/>
    <xf numFmtId="0" fontId="2" fillId="4" borderId="2" xfId="0" applyFont="1" applyFill="1" applyBorder="1"/>
    <xf numFmtId="0" fontId="3" fillId="4" borderId="2" xfId="0" applyFont="1" applyFill="1" applyBorder="1"/>
    <xf numFmtId="0" fontId="2" fillId="5" borderId="2" xfId="0" applyFont="1" applyFill="1" applyBorder="1"/>
    <xf numFmtId="0" fontId="3" fillId="5" borderId="2" xfId="0" applyFont="1" applyFill="1" applyBorder="1"/>
    <xf numFmtId="49" fontId="3" fillId="0" borderId="2" xfId="0" applyNumberFormat="1" applyFont="1" applyBorder="1"/>
    <xf numFmtId="49" fontId="3" fillId="0" borderId="2" xfId="0" applyNumberFormat="1" applyFont="1" applyBorder="1" applyAlignment="1">
      <alignment wrapText="1"/>
    </xf>
    <xf numFmtId="0" fontId="4" fillId="5" borderId="2" xfId="0" applyFont="1" applyFill="1" applyBorder="1"/>
    <xf numFmtId="0" fontId="5" fillId="5" borderId="2" xfId="0" applyFont="1" applyFill="1" applyBorder="1"/>
    <xf numFmtId="0" fontId="5" fillId="0" borderId="2" xfId="0" applyFont="1" applyBorder="1"/>
    <xf numFmtId="0" fontId="5" fillId="0" borderId="0" xfId="0" applyFont="1"/>
    <xf numFmtId="0" fontId="4" fillId="0" borderId="2" xfId="0" applyFont="1" applyBorder="1"/>
    <xf numFmtId="0" fontId="3" fillId="6" borderId="2" xfId="0" applyFont="1" applyFill="1" applyBorder="1"/>
    <xf numFmtId="0" fontId="4" fillId="0" borderId="2" xfId="0" applyFont="1" applyBorder="1" applyAlignment="1">
      <alignment wrapText="1"/>
    </xf>
    <xf numFmtId="0" fontId="4" fillId="0" borderId="0" xfId="0" applyFont="1"/>
    <xf numFmtId="0" fontId="5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2" xfId="0" applyNumberFormat="1" applyFont="1" applyBorder="1"/>
    <xf numFmtId="0" fontId="2" fillId="7" borderId="2" xfId="0" applyFont="1" applyFill="1" applyBorder="1"/>
    <xf numFmtId="0" fontId="3" fillId="7" borderId="2" xfId="0" applyFont="1" applyFill="1" applyBorder="1"/>
    <xf numFmtId="49" fontId="3" fillId="0" borderId="0" xfId="0" applyNumberFormat="1" applyFont="1" applyAlignment="1">
      <alignment wrapText="1"/>
    </xf>
    <xf numFmtId="49" fontId="3" fillId="0" borderId="0" xfId="0" applyNumberFormat="1" applyFont="1"/>
    <xf numFmtId="0" fontId="2" fillId="8" borderId="2" xfId="0" applyFont="1" applyFill="1" applyBorder="1"/>
    <xf numFmtId="0" fontId="3" fillId="8" borderId="2" xfId="0" applyFont="1" applyFill="1" applyBorder="1"/>
    <xf numFmtId="0" fontId="5" fillId="0" borderId="2" xfId="0" applyFon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0" xfId="0" applyFill="1"/>
    <xf numFmtId="0" fontId="6" fillId="0" borderId="2" xfId="0" applyFont="1" applyBorder="1" applyAlignment="1">
      <alignment wrapText="1"/>
    </xf>
    <xf numFmtId="0" fontId="2" fillId="10" borderId="2" xfId="0" applyFont="1" applyFill="1" applyBorder="1"/>
    <xf numFmtId="0" fontId="3" fillId="10" borderId="2" xfId="0" applyFont="1" applyFill="1" applyBorder="1"/>
    <xf numFmtId="0" fontId="7" fillId="0" borderId="2" xfId="0" applyFont="1" applyBorder="1"/>
    <xf numFmtId="49" fontId="5" fillId="0" borderId="0" xfId="0" applyNumberFormat="1" applyFont="1"/>
    <xf numFmtId="0" fontId="8" fillId="0" borderId="2" xfId="0" applyFont="1" applyBorder="1"/>
    <xf numFmtId="49" fontId="5" fillId="0" borderId="3" xfId="0" applyNumberFormat="1" applyFont="1" applyBorder="1"/>
    <xf numFmtId="0" fontId="9" fillId="0" borderId="0" xfId="0" applyFont="1"/>
    <xf numFmtId="0" fontId="2" fillId="11" borderId="2" xfId="0" applyFont="1" applyFill="1" applyBorder="1"/>
    <xf numFmtId="0" fontId="3" fillId="11" borderId="2" xfId="0" applyFont="1" applyFill="1" applyBorder="1"/>
    <xf numFmtId="0" fontId="3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2" borderId="2" xfId="0" applyFont="1" applyFill="1" applyBorder="1"/>
    <xf numFmtId="0" fontId="3" fillId="12" borderId="2" xfId="0" applyFont="1" applyFill="1" applyBorder="1"/>
    <xf numFmtId="0" fontId="2" fillId="13" borderId="2" xfId="0" applyFont="1" applyFill="1" applyBorder="1"/>
    <xf numFmtId="0" fontId="3" fillId="13" borderId="2" xfId="0" applyFont="1" applyFill="1" applyBorder="1"/>
    <xf numFmtId="0" fontId="11" fillId="0" borderId="0" xfId="0" applyFont="1"/>
    <xf numFmtId="0" fontId="10" fillId="14" borderId="2" xfId="0" applyFont="1" applyFill="1" applyBorder="1"/>
    <xf numFmtId="0" fontId="3" fillId="6" borderId="2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6" fillId="15" borderId="2" xfId="0" applyFont="1" applyFill="1" applyBorder="1" applyAlignment="1">
      <alignment horizontal="left"/>
    </xf>
    <xf numFmtId="0" fontId="3" fillId="15" borderId="0" xfId="0" applyFont="1" applyFill="1" applyAlignment="1">
      <alignment horizontal="left"/>
    </xf>
    <xf numFmtId="0" fontId="6" fillId="15" borderId="0" xfId="0" applyFont="1" applyFill="1" applyAlignment="1">
      <alignment horizontal="left"/>
    </xf>
    <xf numFmtId="0" fontId="3" fillId="6" borderId="4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3" fillId="6" borderId="5" xfId="0" applyFont="1" applyFill="1" applyBorder="1" applyAlignment="1">
      <alignment horizontal="left"/>
    </xf>
    <xf numFmtId="0" fontId="6" fillId="6" borderId="5" xfId="0" applyFont="1" applyFill="1" applyBorder="1" applyAlignment="1">
      <alignment horizontal="left"/>
    </xf>
    <xf numFmtId="0" fontId="3" fillId="15" borderId="5" xfId="0" applyFont="1" applyFill="1" applyBorder="1" applyAlignment="1">
      <alignment horizontal="left"/>
    </xf>
    <xf numFmtId="0" fontId="6" fillId="15" borderId="5" xfId="0" applyFont="1" applyFill="1" applyBorder="1" applyAlignment="1">
      <alignment horizontal="left"/>
    </xf>
    <xf numFmtId="0" fontId="12" fillId="6" borderId="5" xfId="0" applyFont="1" applyFill="1" applyBorder="1" applyAlignment="1">
      <alignment horizontal="left" wrapText="1"/>
    </xf>
    <xf numFmtId="0" fontId="0" fillId="6" borderId="5" xfId="0" applyFill="1" applyBorder="1" applyAlignment="1">
      <alignment horizontal="left"/>
    </xf>
    <xf numFmtId="0" fontId="3" fillId="6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10" fillId="0" borderId="0" xfId="0" applyFont="1"/>
    <xf numFmtId="0" fontId="3" fillId="0" borderId="4" xfId="0" applyFont="1" applyBorder="1" applyAlignment="1">
      <alignment wrapText="1"/>
    </xf>
    <xf numFmtId="0" fontId="0" fillId="17" borderId="0" xfId="0" applyFill="1"/>
    <xf numFmtId="0" fontId="3" fillId="17" borderId="2" xfId="0" applyFont="1" applyFill="1" applyBorder="1" applyAlignment="1">
      <alignment wrapText="1"/>
    </xf>
    <xf numFmtId="0" fontId="3" fillId="17" borderId="5" xfId="0" applyFont="1" applyFill="1" applyBorder="1"/>
    <xf numFmtId="49" fontId="3" fillId="17" borderId="6" xfId="0" applyNumberFormat="1" applyFont="1" applyFill="1" applyBorder="1" applyAlignment="1">
      <alignment wrapText="1"/>
    </xf>
    <xf numFmtId="49" fontId="3" fillId="17" borderId="2" xfId="0" applyNumberFormat="1" applyFont="1" applyFill="1" applyBorder="1" applyAlignment="1">
      <alignment wrapText="1"/>
    </xf>
    <xf numFmtId="0" fontId="3" fillId="17" borderId="2" xfId="0" applyFont="1" applyFill="1" applyBorder="1"/>
    <xf numFmtId="49" fontId="3" fillId="17" borderId="2" xfId="0" applyNumberFormat="1" applyFont="1" applyFill="1" applyBorder="1"/>
    <xf numFmtId="0" fontId="6" fillId="17" borderId="2" xfId="0" applyFont="1" applyFill="1" applyBorder="1" applyAlignment="1">
      <alignment wrapText="1"/>
    </xf>
    <xf numFmtId="49" fontId="5" fillId="17" borderId="2" xfId="0" applyNumberFormat="1" applyFont="1" applyFill="1" applyBorder="1"/>
    <xf numFmtId="0" fontId="5" fillId="17" borderId="2" xfId="0" applyFont="1" applyFill="1" applyBorder="1"/>
    <xf numFmtId="0" fontId="7" fillId="17" borderId="2" xfId="0" applyFont="1" applyFill="1" applyBorder="1"/>
    <xf numFmtId="49" fontId="5" fillId="17" borderId="3" xfId="0" applyNumberFormat="1" applyFont="1" applyFill="1" applyBorder="1"/>
    <xf numFmtId="165" fontId="0" fillId="0" borderId="0" xfId="0" applyNumberFormat="1"/>
    <xf numFmtId="0" fontId="0" fillId="18" borderId="0" xfId="0" applyFill="1"/>
    <xf numFmtId="0" fontId="0" fillId="3" borderId="0" xfId="0" applyFill="1"/>
    <xf numFmtId="49" fontId="10" fillId="14" borderId="2" xfId="0" applyNumberFormat="1" applyFont="1" applyFill="1" applyBorder="1" applyAlignment="1">
      <alignment horizontal="left"/>
    </xf>
    <xf numFmtId="165" fontId="10" fillId="14" borderId="2" xfId="0" applyNumberFormat="1" applyFont="1" applyFill="1" applyBorder="1"/>
    <xf numFmtId="0" fontId="10" fillId="14" borderId="2" xfId="0" applyFont="1" applyFill="1" applyBorder="1" applyAlignment="1">
      <alignment wrapText="1"/>
    </xf>
    <xf numFmtId="49" fontId="13" fillId="14" borderId="2" xfId="0" applyNumberFormat="1" applyFont="1" applyFill="1" applyBorder="1" applyAlignment="1">
      <alignment wrapText="1"/>
    </xf>
    <xf numFmtId="2" fontId="10" fillId="14" borderId="2" xfId="0" applyNumberFormat="1" applyFont="1" applyFill="1" applyBorder="1" applyAlignment="1">
      <alignment wrapText="1"/>
    </xf>
    <xf numFmtId="165" fontId="2" fillId="14" borderId="2" xfId="0" applyNumberFormat="1" applyFont="1" applyFill="1" applyBorder="1" applyAlignment="1">
      <alignment horizontal="left" wrapText="1"/>
    </xf>
    <xf numFmtId="49" fontId="10" fillId="14" borderId="2" xfId="0" applyNumberFormat="1" applyFont="1" applyFill="1" applyBorder="1" applyAlignment="1">
      <alignment wrapText="1"/>
    </xf>
    <xf numFmtId="49" fontId="3" fillId="6" borderId="2" xfId="0" applyNumberFormat="1" applyFont="1" applyFill="1" applyBorder="1" applyAlignment="1">
      <alignment horizontal="left"/>
    </xf>
    <xf numFmtId="165" fontId="3" fillId="6" borderId="2" xfId="0" applyNumberFormat="1" applyFont="1" applyFill="1" applyBorder="1" applyAlignment="1">
      <alignment horizontal="left"/>
    </xf>
    <xf numFmtId="165" fontId="3" fillId="0" borderId="2" xfId="0" applyNumberFormat="1" applyFont="1" applyBorder="1" applyAlignment="1">
      <alignment horizontal="left"/>
    </xf>
    <xf numFmtId="49" fontId="5" fillId="6" borderId="2" xfId="0" applyNumberFormat="1" applyFont="1" applyFill="1" applyBorder="1" applyAlignment="1">
      <alignment horizontal="left"/>
    </xf>
    <xf numFmtId="2" fontId="3" fillId="6" borderId="2" xfId="0" applyNumberFormat="1" applyFont="1" applyFill="1" applyBorder="1" applyAlignment="1">
      <alignment horizontal="left"/>
    </xf>
    <xf numFmtId="49" fontId="3" fillId="15" borderId="2" xfId="0" applyNumberFormat="1" applyFont="1" applyFill="1" applyBorder="1" applyAlignment="1">
      <alignment horizontal="left"/>
    </xf>
    <xf numFmtId="165" fontId="3" fillId="15" borderId="2" xfId="0" applyNumberFormat="1" applyFont="1" applyFill="1" applyBorder="1" applyAlignment="1">
      <alignment horizontal="left"/>
    </xf>
    <xf numFmtId="2" fontId="3" fillId="15" borderId="2" xfId="0" applyNumberFormat="1" applyFont="1" applyFill="1" applyBorder="1" applyAlignment="1">
      <alignment horizontal="left"/>
    </xf>
    <xf numFmtId="49" fontId="5" fillId="15" borderId="2" xfId="0" applyNumberFormat="1" applyFont="1" applyFill="1" applyBorder="1" applyAlignment="1">
      <alignment horizontal="left"/>
    </xf>
    <xf numFmtId="49" fontId="3" fillId="6" borderId="4" xfId="0" applyNumberFormat="1" applyFont="1" applyFill="1" applyBorder="1" applyAlignment="1">
      <alignment horizontal="left"/>
    </xf>
    <xf numFmtId="165" fontId="3" fillId="6" borderId="4" xfId="0" applyNumberFormat="1" applyFont="1" applyFill="1" applyBorder="1" applyAlignment="1">
      <alignment horizontal="left"/>
    </xf>
    <xf numFmtId="49" fontId="5" fillId="6" borderId="4" xfId="0" applyNumberFormat="1" applyFont="1" applyFill="1" applyBorder="1" applyAlignment="1">
      <alignment horizontal="left"/>
    </xf>
    <xf numFmtId="2" fontId="3" fillId="6" borderId="4" xfId="0" applyNumberFormat="1" applyFont="1" applyFill="1" applyBorder="1" applyAlignment="1">
      <alignment horizontal="left"/>
    </xf>
    <xf numFmtId="165" fontId="3" fillId="19" borderId="2" xfId="0" applyNumberFormat="1" applyFont="1" applyFill="1" applyBorder="1" applyAlignment="1">
      <alignment horizontal="left"/>
    </xf>
    <xf numFmtId="165" fontId="3" fillId="16" borderId="2" xfId="0" applyNumberFormat="1" applyFont="1" applyFill="1" applyBorder="1" applyAlignment="1">
      <alignment horizontal="left"/>
    </xf>
    <xf numFmtId="49" fontId="3" fillId="6" borderId="5" xfId="0" applyNumberFormat="1" applyFont="1" applyFill="1" applyBorder="1" applyAlignment="1">
      <alignment horizontal="left"/>
    </xf>
    <xf numFmtId="165" fontId="3" fillId="6" borderId="5" xfId="0" applyNumberFormat="1" applyFont="1" applyFill="1" applyBorder="1" applyAlignment="1">
      <alignment horizontal="left"/>
    </xf>
    <xf numFmtId="49" fontId="5" fillId="6" borderId="5" xfId="0" applyNumberFormat="1" applyFont="1" applyFill="1" applyBorder="1" applyAlignment="1">
      <alignment horizontal="left"/>
    </xf>
    <xf numFmtId="2" fontId="3" fillId="6" borderId="5" xfId="0" applyNumberFormat="1" applyFont="1" applyFill="1" applyBorder="1" applyAlignment="1">
      <alignment horizontal="left"/>
    </xf>
    <xf numFmtId="49" fontId="3" fillId="15" borderId="5" xfId="0" applyNumberFormat="1" applyFont="1" applyFill="1" applyBorder="1" applyAlignment="1">
      <alignment horizontal="left"/>
    </xf>
    <xf numFmtId="165" fontId="3" fillId="15" borderId="5" xfId="0" applyNumberFormat="1" applyFont="1" applyFill="1" applyBorder="1" applyAlignment="1">
      <alignment horizontal="left"/>
    </xf>
    <xf numFmtId="49" fontId="5" fillId="15" borderId="5" xfId="0" applyNumberFormat="1" applyFont="1" applyFill="1" applyBorder="1" applyAlignment="1">
      <alignment horizontal="left"/>
    </xf>
    <xf numFmtId="2" fontId="3" fillId="15" borderId="5" xfId="0" applyNumberFormat="1" applyFont="1" applyFill="1" applyBorder="1" applyAlignment="1">
      <alignment horizontal="left"/>
    </xf>
    <xf numFmtId="49" fontId="0" fillId="6" borderId="2" xfId="0" applyNumberFormat="1" applyFill="1" applyBorder="1" applyAlignment="1">
      <alignment horizontal="left"/>
    </xf>
    <xf numFmtId="0" fontId="3" fillId="16" borderId="2" xfId="0" applyFont="1" applyFill="1" applyBorder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/>
    </xf>
    <xf numFmtId="2" fontId="3" fillId="6" borderId="0" xfId="0" applyNumberFormat="1" applyFont="1" applyFill="1" applyAlignment="1">
      <alignment horizontal="left"/>
    </xf>
    <xf numFmtId="0" fontId="5" fillId="6" borderId="0" xfId="0" applyFont="1" applyFill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15" borderId="7" xfId="0" applyFont="1" applyFill="1" applyBorder="1"/>
    <xf numFmtId="0" fontId="3" fillId="6" borderId="8" xfId="0" applyFont="1" applyFill="1" applyBorder="1" applyAlignment="1">
      <alignment horizontal="left"/>
    </xf>
    <xf numFmtId="0" fontId="13" fillId="14" borderId="9" xfId="0" applyFont="1" applyFill="1" applyBorder="1" applyAlignment="1">
      <alignment wrapText="1"/>
    </xf>
    <xf numFmtId="0" fontId="5" fillId="6" borderId="9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5" borderId="9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6" borderId="10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6" borderId="8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5" borderId="8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6" borderId="9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5" borderId="9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14" borderId="11" xfId="0" applyFont="1" applyFill="1" applyBorder="1"/>
    <xf numFmtId="0" fontId="3" fillId="6" borderId="11" xfId="0" applyFont="1" applyFill="1" applyBorder="1" applyAlignment="1">
      <alignment horizontal="left"/>
    </xf>
    <xf numFmtId="0" fontId="3" fillId="15" borderId="11" xfId="0" applyFont="1" applyFill="1" applyBorder="1" applyAlignment="1">
      <alignment horizontal="left"/>
    </xf>
    <xf numFmtId="0" fontId="3" fillId="6" borderId="12" xfId="0" applyFont="1" applyFill="1" applyBorder="1" applyAlignment="1">
      <alignment horizontal="left"/>
    </xf>
    <xf numFmtId="0" fontId="3" fillId="6" borderId="13" xfId="0" applyFont="1" applyFill="1" applyBorder="1" applyAlignment="1">
      <alignment horizontal="left"/>
    </xf>
    <xf numFmtId="0" fontId="3" fillId="15" borderId="13" xfId="0" applyFont="1" applyFill="1" applyBorder="1" applyAlignment="1">
      <alignment horizontal="left"/>
    </xf>
    <xf numFmtId="0" fontId="10" fillId="14" borderId="3" xfId="0" applyFont="1" applyFill="1" applyBorder="1"/>
    <xf numFmtId="0" fontId="3" fillId="15" borderId="14" xfId="0" applyFont="1" applyFill="1" applyBorder="1" applyAlignment="1">
      <alignment horizontal="left"/>
    </xf>
    <xf numFmtId="0" fontId="3" fillId="6" borderId="14" xfId="0" applyFont="1" applyFill="1" applyBorder="1" applyAlignment="1">
      <alignment horizontal="left"/>
    </xf>
    <xf numFmtId="0" fontId="3" fillId="15" borderId="15" xfId="0" applyFont="1" applyFill="1" applyBorder="1" applyAlignment="1">
      <alignment horizontal="left"/>
    </xf>
    <xf numFmtId="0" fontId="3" fillId="6" borderId="15" xfId="0" applyFont="1" applyFill="1" applyBorder="1" applyAlignment="1">
      <alignment horizontal="left"/>
    </xf>
    <xf numFmtId="166" fontId="0" fillId="0" borderId="0" xfId="0" applyNumberFormat="1"/>
    <xf numFmtId="0" fontId="5" fillId="20" borderId="16" xfId="0" applyFont="1" applyFill="1" applyBorder="1" applyAlignment="1">
      <alignment vertical="top" wrapText="1"/>
    </xf>
    <xf numFmtId="0" fontId="15" fillId="0" borderId="0" xfId="1"/>
  </cellXfs>
  <cellStyles count="2">
    <cellStyle name="Hiperlink" xfId="1" builtinId="8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123\Downloads\Copy%20spreadsheets%20garden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123" refreshedDate="45976.898675810182" createdVersion="8" refreshedVersion="8" minRefreshableVersion="3" recordCount="183850" xr:uid="{49937562-49B8-46A3-98A8-1B6889ECD046}">
  <cacheSource type="worksheet">
    <worksheetSource ref="C1:C1048576" sheet="Vancouver trees" r:id="rId2"/>
  </cacheSource>
  <cacheFields count="1">
    <cacheField name="SPECIES_NAME" numFmtId="0">
      <sharedItems containsBlank="1" count="539">
        <s v="RUBRUM"/>
        <s v="CALLERYANA"/>
        <s v="JAPONICUM"/>
        <s v="LAWSONIANA"/>
        <s v="CERASIFERA"/>
        <s v="PSEUDOSIEBOLDIANUM"/>
        <s v="KOUSA"/>
        <s v="CAMPESTRE"/>
        <s v="RETICULATA"/>
        <s v="X YEDOENSIS"/>
        <s v="SERRULATA"/>
        <s v="TRUNCATUM"/>
        <s v="PLATANOIDES"/>
        <s v="FLEXILIS"/>
        <s v="SYLVATICA"/>
        <s v="ARIA"/>
        <s v="FREEMANII   X"/>
        <s v="PERSICA"/>
        <s v="CONTROVERSA"/>
        <s v="ZUMI"/>
        <s v="NOOTKATENSIS"/>
        <s v="XX"/>
        <s v="PALUSTRIS"/>
        <s v="GIGANTEUM"/>
        <s v="KOBUS"/>
        <s v="PLICATA"/>
        <s v="VIRGINIANA"/>
        <s v="GLYPTOSTROBOIDES"/>
        <s v="BETULUS"/>
        <s v="PSEUDOACACIA"/>
        <s v="OCCIDENTALIS"/>
        <s v="PALMATUM"/>
        <s v="PSEUDOCAMELLIA"/>
        <s v="SARGENTII"/>
        <s v="CANADENSIS"/>
        <s v="PONDEROSA"/>
        <s v="PSEUDOPLATANUS"/>
        <s v="JAPONICUS"/>
        <s v="SEPTEMLOBUS"/>
        <s v="MORDENENSIS"/>
        <s v="CAROLINIANA"/>
        <s v="DIOICUS"/>
        <s v="AMERICANA"/>
        <s v="CARNEA   X"/>
        <s v="GRANDIFLORA"/>
        <s v="TRIACANTHOS"/>
        <s v="BILOBA"/>
        <s v="CRUS-GALLI"/>
        <s v="SPECIES"/>
        <s v="GRANDIFLORA X"/>
        <s v="PUMILA"/>
        <s v="OXYCARPA"/>
        <s v="AUCUPARIA"/>
        <s v="LAVALLEI  X"/>
        <s v="CHINENSE"/>
        <s v="GRISEUM"/>
        <s v="ACERIFOLIA   X"/>
        <s v="STYRACIFLUA"/>
        <s v="X WAREI"/>
        <s v="DEODARA"/>
        <s v="PANICULATA"/>
        <s v="MIYABEI"/>
        <s v="FRAINETTO"/>
        <s v="ROBUR"/>
        <s v="SERRATA"/>
        <s v="ERUBESCENS"/>
        <s v="MICONIOIDES"/>
        <s v="CHINENSIS"/>
        <s v="CAPPADOCICUM"/>
        <s v="GINNALA"/>
        <s v="JAPONICA"/>
        <s v="PENNSYLVANICA"/>
        <s v="MACROPHYLLUM"/>
        <s v="SIEBOLDII"/>
        <s v="ROBUR X ALBA"/>
        <s v="CONTORTA"/>
        <s v="MENZIESII"/>
        <s v="PENDULA"/>
        <s v="RUBRA"/>
        <s v="TULIPIFERA"/>
        <s v="SACCHARINUM"/>
        <s v="NIGRA"/>
        <s v="STUMP"/>
        <s v="PISIFERA"/>
        <s v="OBASSIA"/>
        <s v="PAPYRIFERA"/>
        <s v="EXCELSIOR"/>
        <s v="HIPPOCASTANUM"/>
        <s v="DECURRENS"/>
        <s v="BIGNONIOIDES"/>
        <s v="ALBA"/>
        <s v="OMORIKA"/>
        <s v="TATARICUM"/>
        <s v="TRICHOCARPA"/>
        <s v="EMARGINATA"/>
        <s v="PLATYPHYLLOS"/>
        <s v="MONOGYNA"/>
        <s v="DECIDUOUS"/>
        <s v="STELLATA"/>
        <s v="BABYLONICA"/>
        <s v="AQUIFOLIUM"/>
        <s v="LARICINA"/>
        <s v="HETEROPHYLLA"/>
        <s v="DISTICHUM"/>
        <s v="BREVIFOLIA"/>
        <s v="SITCHENSIS"/>
        <s v="SOULANGEANA  X"/>
        <s v="COMMUNIS"/>
        <s v="NUTTALLII"/>
        <s v="UNEDO"/>
        <s v="DECIDUA"/>
        <s v="ABIES"/>
        <s v="SYLVESTRIS"/>
        <s v="CIRCINATUM"/>
        <s v="NEGUNDO"/>
        <s v="ORNUS"/>
        <s v="ORIENTALIS"/>
        <s v="UNIDENTIFIED"/>
        <s v="ATLANTICA"/>
        <s v="AVELLANA"/>
        <s v="PURSHIANA"/>
        <s v="CORNUTA"/>
        <s v="PUNGENS"/>
        <s v="EUCHLORA   X"/>
        <s v="TREMULOIDES"/>
        <s v="MAS"/>
        <s v="AVIUM"/>
        <s v="OBTUSA"/>
        <s v="GLABRA"/>
        <s v="SACCHARUM"/>
        <s v="COCCINEA"/>
        <s v="PHELLOS"/>
        <s v="KOREANA"/>
        <s v="MERTENSIANA"/>
        <s v="MONTICOLA"/>
        <s v="DENUDATA"/>
        <s v="SATIVA"/>
        <s v="INSIGNIS"/>
        <s v="FLORIBUNDA"/>
        <s v="RUGOSA"/>
        <s v="MARIANA"/>
        <s v="ACUTISSIMA"/>
        <s v="DOUGLASII"/>
        <s v="INVOLUCRATA"/>
        <s v="ALNIFOLIA"/>
        <s v="ULMOIDES"/>
        <s v="VELUTINA"/>
        <s v="BUNGEI"/>
        <s v="ANTARCTICA"/>
        <s v="SEROTINA"/>
        <s v="KEWENSIS X"/>
        <s v="STENOPTERA"/>
        <s v="CORDATA"/>
        <s v="SPICATUM"/>
        <s v="FLORIDA"/>
        <s v="BACCATA"/>
        <s v="VULGARIS"/>
        <s v="GARRYANA"/>
        <s v="STROBUS"/>
        <s v="ARNOLDIANA  X"/>
        <s v="CRENATA"/>
        <s v="COLURNA"/>
        <s v="PHAENOPYRUM"/>
        <s v="SYRIACUS"/>
        <s v="DAVIDII"/>
        <s v="OXYACANTHA"/>
        <s v="KENTUKEA"/>
        <s v="LEYLANDII"/>
        <s v="EUROPAEA   X"/>
        <s v="NIGRUM"/>
        <s v="PENSYLVANICUM"/>
        <s v="DAVIDIANA"/>
        <s v="CORDIFORMIS"/>
        <s v="MUGO"/>
        <s v="MACROCARPA"/>
        <s v="SUBHIRTELLA"/>
        <s v="GERMANICA"/>
        <s v="DOMESTICA"/>
        <s v="VILMORINII"/>
        <s v="OFFICINALIS"/>
        <s v="GLABRUM"/>
        <s v="CINEREA"/>
        <s v="LILIIFLORA"/>
        <s v="WATERERI  X"/>
        <s v="GRANDIFOLIA"/>
        <s v="RACEMOSA"/>
        <s v="FLAVA"/>
        <s v="MATSUDANA"/>
        <s v="REGIA"/>
        <s v="MYRSINIFOLIA"/>
        <s v="PROCERA"/>
        <s v="CEREA X"/>
        <s v="ARAUCANA"/>
        <s v="CARICA"/>
        <s v="SERRATIFOLIA"/>
        <s v="GLOBULUS"/>
        <s v="HYBRIDA X"/>
        <s v="THOMASII"/>
        <s v="SEMPERVIRENS"/>
        <s v="GRANDIS"/>
        <s v="CERASUS"/>
        <s v="GLAUCA"/>
        <s v="ANDRACHNE"/>
        <s v="CARPINIFOLIA"/>
        <s v="TOMENTOSA"/>
        <s v="ALTISSIMA"/>
        <s v="SANGUINEA"/>
        <s v="BICOLOR"/>
        <s v="FORTUNEI"/>
        <s v="CERRIS"/>
        <s v="HOLLANDICA   X"/>
        <s v="CAPILLIPES"/>
        <s v="ACUMINATA"/>
        <s v="LAUROCERASUS"/>
        <s v="AZAROLUS"/>
        <s v="PUBESCENS"/>
        <s v="LUSITANICA"/>
        <s v="FUSCA"/>
        <s v="VERTICILLATA"/>
        <s v="LUCIDA"/>
        <s v="HISPIDUS"/>
        <s v="JEFFREYI"/>
        <s v="MONADELPHA"/>
        <s v="SINENSIS"/>
        <s v="AMURENSIS"/>
        <s v="MAACKII"/>
        <s v="X MACDANIELII"/>
        <s v="PADUS"/>
        <s v="THYRSIFLORUS"/>
        <s v="ANGUSTIFOLIA"/>
        <s v="SALICIFOLIUS"/>
        <s v="X BIMUNDORUM"/>
        <s v="CONIFEROUS"/>
        <s v="DENTATA"/>
        <s v="TYPHINA"/>
        <s v="SCOULERIANA"/>
        <s v="LAMARCKII"/>
        <s v="GLUTINOSA"/>
        <s v="PARVIFLORA"/>
        <s v="TRANSITORIA"/>
        <s v="BLIREANA"/>
        <s v="ENGELMANNII"/>
        <s v="SERRULA"/>
        <s v="THURINGIACA   X"/>
        <s v="ANAGYROIDES"/>
        <s v="LIBANI"/>
        <s v="TREMULA"/>
        <s v="ELLIPSOIDALIS"/>
        <s v="BALSAMEA"/>
        <s v="SHUMARDII"/>
        <s v="PRINUS"/>
        <s v="SPECIOSA"/>
        <s v="QUADRANGULATA"/>
        <s v="UTILIS"/>
        <s v="FRAXINIFOLIA"/>
        <s v="PLATYPETALA"/>
        <s v="CORONARIA"/>
        <s v="IOENSIS"/>
        <s v="NERVOSA"/>
        <s v="GRIFFITHII"/>
        <s v="TRIFOLIATA"/>
        <s v="HELDREICHII"/>
        <s v="AILANTHIFOLIA"/>
        <s v="EUROPEA"/>
        <s v="MAXIMA"/>
        <s v="DAWSONIANA"/>
        <s v="TEGMENTOSUM"/>
        <s v="SIMONII"/>
        <s v="PROLIXA"/>
        <s v="CONCOLOR"/>
        <s v="ASCENDENS"/>
        <s v="BANKSIANA"/>
        <s v="YUNNANENSIS"/>
        <s v="MOLLIS"/>
        <s v="RHAMNOIDES"/>
        <s v="X HILLIERI"/>
        <s v="POPULIFOLIA"/>
        <s v="AMURENSE"/>
        <s v="PAVIA"/>
        <s v="HOOKERIANA"/>
        <s v="LASIANDRA"/>
        <s v="THUNBERGII"/>
        <s v="LENTAGO"/>
        <s v="CANESCENS   X"/>
        <s v="COCOMILIA"/>
        <s v="SWEETHEART"/>
        <s v="INDICA"/>
        <s v="CISSIFOLIUM"/>
        <s v="ARBOREUM"/>
        <s v="LATIFOLIA"/>
        <s v="ELATA"/>
        <s v="SPECTABILIS"/>
        <s v="NORDMANNIANA"/>
        <s v="HISPIDA"/>
        <s v="SARGENTIANA"/>
        <s v="CAMPBELLII"/>
        <s v="LANCEOLATA"/>
        <s v="RUBENS"/>
        <s v="ALBOSINENSIS"/>
        <s v="VERNICIFLUA"/>
        <s v="OPACA"/>
        <s v="MUTABILIS"/>
        <s v="MACROPHYLLA"/>
        <s v="X BROOKLYNENSIS"/>
        <s v="BREWERIANA"/>
        <s v="PHOENICEA"/>
        <s v="LOEBNERI  X"/>
        <s v="LENTA"/>
        <s v="EMODI"/>
        <s v="CAPREA"/>
        <s v="CALIFORNICA"/>
        <s v="HIRSUTA"/>
        <s v="ALBICAULIS"/>
        <s v="OBLONGA"/>
        <s v="WATERERI X"/>
        <s v="ILEX"/>
        <s v="LAXA"/>
        <s v="HISPANICA"/>
        <s v="TRIANDRA"/>
        <s v="ARALIOIDES"/>
        <s v="TRIPETALA"/>
        <s v="ALTERNIFOLIA"/>
        <s v="CASTANEIFOLIA"/>
        <s v="POMIFERA"/>
        <s v="TRICHOTOMUM"/>
        <s v="PINNATA"/>
        <s v="LASIOCARPA"/>
        <s v="CUSPIDATA"/>
        <s v="AMABILIS"/>
        <s v="SQUAMATA"/>
        <s v="PYRIFOLIA"/>
        <s v="JULIBRISSIN"/>
        <s v="VIRGINICUS"/>
        <s v="OLEIFERA"/>
        <s v="DENSIFLORUS"/>
        <s v="TORMINALIS"/>
        <s v="DECORA"/>
        <s v="ALBIDUM"/>
        <s v="RUTGERSENSIS"/>
        <s v="SPINOSA"/>
        <s v="SEPULCRALIS   X"/>
        <s v="MONTEZUMAE"/>
        <s v="MONSPESSULANUM"/>
        <s v="GLABRESCENS"/>
        <s v="CHIHUAHUANA"/>
        <s v="MICROPHYLLA"/>
        <s v="ESSERTEAUIANA"/>
        <s v="TASHKENTENSIS"/>
        <s v="MUME"/>
        <s v="INTERMEDIA   X"/>
        <s v="CEMBRA"/>
        <s v="BAKERI"/>
        <s v="VEITCHII  X"/>
        <s v="CALYCINA"/>
        <s v="KAEMPFERI"/>
        <s v="SALICIFOLIA"/>
        <s v="COREANA"/>
        <s v="MANDSHURICUM"/>
        <s v="BUNGEANA"/>
        <s v="SMITHIANA"/>
        <s v="DIVERSIFOLIA"/>
        <s v="OVATA"/>
        <s v="MAGNIFICUM"/>
        <s v="STACHYOPHYLLUM"/>
        <s v="BUERGERIANUM"/>
        <s v="WILSONII"/>
        <s v="MOLLISSIMA"/>
        <s v="PECTINATUM"/>
        <s v="BRACHYTYLA"/>
        <s v="INCISA"/>
        <s v="ALTACLERENSIS  X"/>
        <s v="VILLOSA"/>
        <s v="CRYPTOMERIOIDES"/>
        <s v="LONGIPES"/>
        <s v="DOLABRATA"/>
        <s v="ARBUTIFOLIA"/>
        <s v="MAXIMOWICZII"/>
        <s v="POLYCARPA"/>
        <s v="BIPINNATA"/>
        <s v="TSINGLINGENSE"/>
        <s v="WALLICHIANA"/>
        <s v="SPRENGERI"/>
        <s v="PSILOPHYLLUS"/>
        <s v="VEITCHII"/>
        <s v="PURPUREA"/>
        <s v="MANDSHURICA"/>
        <s v="HENRYI"/>
        <s v="LIKIANGENSIS"/>
        <s v="NOBILIS"/>
        <s v="PARVIFOLIA"/>
        <s v="DELTOIDES"/>
        <s v="HUPEHENSIS"/>
        <s v="MEDIA X"/>
        <s v="ARIZONICA"/>
        <s v="OBOVATA"/>
        <s v="CANADENSIS X"/>
        <s v="INTERMEDIA"/>
        <s v="DECORUS"/>
        <s v="COGGYGRIA"/>
        <s v="PLICATUM"/>
        <s v="CORONARIUS"/>
        <s v="ARBORESCENS"/>
        <s v="ALATUS"/>
        <s v="BODNANTENSE X"/>
        <s v="PRUNIFOLIA  X"/>
        <s v="LACTEUS"/>
        <s v="BULLATUS"/>
        <s v="RHYTIDOPHYLLUM"/>
        <s v="LAEVIS"/>
        <s v="LAETUM"/>
        <s v="BRIGANTINA"/>
        <s v="COLUMA"/>
        <s v="BARBATUM"/>
        <s v="TIANSHANICA"/>
        <s v="ARGUTUM"/>
        <s v="CAPITATA"/>
        <s v="CERASIFORMIS"/>
        <s v="FORMOSANA"/>
        <s v="JACQUEMONTIANA"/>
        <s v="FABRI"/>
        <s v="SINUATA"/>
        <s v="LOTUS"/>
        <s v="MACROPTERA"/>
        <s v="FRASERI"/>
        <s v="LAEVIGATA"/>
        <s v="CAVALERIEI"/>
        <s v="COSTATA"/>
        <s v="JACQUEMONTII"/>
        <s v="SHIRASAWANUM"/>
        <s v="FLAVSCENS X"/>
        <s v="TORANO"/>
        <s v="PROCTORIANA X"/>
        <s v="ROSTRATA"/>
        <s v="SIEBOLDIANA"/>
        <s v="MAXIMOWICZIANUM"/>
        <s v="MAXIMOWICZIANA"/>
        <s v="SIEBOLDIANUM"/>
        <s v="SINENSE"/>
        <s v="OLIVERII"/>
        <s v="UMBELLATA"/>
        <s v="MORRISONENSE"/>
        <s v="ALBOPURPURASCENS"/>
        <s v="TRIFLORUM"/>
        <s v="BARBINERVE"/>
        <s v="PENSILIS"/>
        <s v="FARGESII"/>
        <s v="CERIFERUM"/>
        <s v="MORIFOLIUM"/>
        <s v="KORAIENSIS"/>
        <s v="PRATTII"/>
        <s v="FORRESTII"/>
        <s v="KOYAMAE"/>
        <s v="CALONEURA"/>
        <s v="ASPERA"/>
        <s v="TRILOBA"/>
        <s v="CAMPBELLII X"/>
        <s v="AURICULARIS"/>
        <s v="PINNATIFIDA"/>
        <s v="ARISTATA"/>
        <s v="KEWENSIS"/>
        <s v="CHRYSOLEPIS"/>
        <s v="RUPICOLA"/>
        <s v="SCHRADERIANA"/>
        <s v="ALATAMAHA"/>
        <s v="OPALUS"/>
        <s v="VELUTINUM"/>
        <s v="HOMOLEPIS"/>
        <s v="MURICATA"/>
        <s v="ARCHERI"/>
        <s v="DOMBEYI"/>
        <s v="OBLIQUA"/>
        <s v="PAUCIFLORA"/>
        <s v="RUSSICA"/>
        <s v="ALPINUM"/>
        <s v="MICROMALUS   X"/>
        <s v="ZENII"/>
        <s v="PLATYPHYLLA"/>
        <s v="LOEBNERI X"/>
        <s v="DAPHNOIDES"/>
        <s v="LAXIFOLIA"/>
        <s v="ATROCINEREA"/>
        <s v="PYRENAICA"/>
        <s v="AZORICA"/>
        <s v="MINOR"/>
        <s v="HORIZONTALIS"/>
        <s v="TSCHONOSKII"/>
        <s v="PETRAEA"/>
        <s v="PINSAPO"/>
        <s v="SZECHUANICA"/>
        <s v="DISCOLOR"/>
        <s v="PARRYI"/>
        <s v="MUEHLENBERGII"/>
        <s v="INCANA"/>
        <s v="ARMENIACA"/>
        <s v="JEZOENSIS"/>
        <s v="RIGIDA"/>
        <s v="PERNYI"/>
        <s v="AURITA"/>
        <s v="MACRANTHERA"/>
        <s v="PETIOLARIS"/>
        <s v="SORBIFOLIA"/>
        <s v="CANESCENS X"/>
        <s v="TZUMU"/>
        <s v="RECURVATA"/>
        <s v="KAKI"/>
        <s v="TABULIFORMIS"/>
        <s v="ACUTA"/>
        <s v="DENSIFLORA"/>
        <s v="BUSHII   X"/>
        <s v="ZHEJIANGENSIS"/>
        <s v="PERADO"/>
        <s v="ENGLERIANA"/>
        <s v="VIMINALIS"/>
        <s v="CATHAYENSIS"/>
        <s v="XYLOCARPUM"/>
        <s v="LANCIFOLIA"/>
        <s v="AUSTRALIS"/>
        <s v="BRISTOLIENSIS"/>
        <s v="GRAECA"/>
        <s v="PYCNANTHUM"/>
        <s v="NYMANSENSIS   X"/>
        <s v="PINEA"/>
        <s v="NIPPONICUM"/>
        <s v="DANIELLII"/>
        <s v="SCHRENKIANA"/>
        <s v="ERNESTII"/>
        <s v="BROOKLYNENSIS"/>
        <s v="ALLEGHANIENSIS"/>
        <s v="ARBOREA"/>
        <s v="ADSTRINGENS"/>
        <s v="ROBUSTA"/>
        <s v="GREGGII"/>
        <s v="SCHMITTII"/>
        <s v="SILIQUASTRUM"/>
        <s v="BOARIA"/>
        <s v="CHILENSIS"/>
        <s v="SCHINIFOLIUM"/>
        <s v="WRIGHTII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123" refreshedDate="45976.969842361112" createdVersion="8" refreshedVersion="8" minRefreshableVersion="3" recordCount="119" xr:uid="{7AE784EE-91DC-4C72-8553-793AF4600187}">
  <cacheSource type="worksheet">
    <worksheetSource ref="A1:A1048576" sheet="Shannon_garden_trees"/>
  </cacheSource>
  <cacheFields count="1">
    <cacheField name="Trees" numFmtId="0">
      <sharedItems containsBlank="1" count="48">
        <s v="Ficus carica"/>
        <s v="Malus domestica"/>
        <s v="Diospyros kaki"/>
        <s v="Vitis vinifera"/>
        <s v="Pyrus communis"/>
        <s v="Prunus domestica"/>
        <s v="Ginkgo biloba"/>
        <s v="Thuja plicata"/>
        <s v="Acer palmatum"/>
        <s v="Acer griseum"/>
        <s v="Magnolia × soulangeana"/>
        <s v="Betula pendula"/>
        <s v="Cornus kousa"/>
        <s v="Fagus sylvatica"/>
        <s v="Chamaecyparis pisifera"/>
        <s v="Magnolia grandifolia"/>
        <s v="Cornus florida"/>
        <s v="Sorbaria sorbifolia"/>
        <s v="Prunus serrulata"/>
        <s v="Sorbus aucuparia"/>
        <s v="Juniperus communis"/>
        <s v="Picea sitchensis"/>
        <s v="Rhododendron macrophyllum"/>
        <s v="Actinidia deliciosa"/>
        <s v="Cotinus coggygria"/>
        <s v="Cedrus deodara"/>
        <s v="Abies lasiocarpa"/>
        <s v="Cercidiphyllum japonicum"/>
        <s v="Prunus cerasifera"/>
        <s v="Chamaecyparis lawsoniana"/>
        <s v="Viburnum carlesii"/>
        <s v="Acer macrophyllum"/>
        <s v="Corylus cornuta"/>
        <s v="Robinia pseudoacacia"/>
        <s v="Acer negundo"/>
        <s v="Syringa vulgaris"/>
        <s v="Rhododendron maximum"/>
        <s v="Prunus laurocerasus"/>
        <s v="Photinia serratifolia"/>
        <s v="Parrotia persica"/>
        <s v="Salix integra"/>
        <s v="Ribes nigrum"/>
        <s v="Ilex aquifolium"/>
        <s v="Sciadopitys verticillata"/>
        <s v="Chamaecyparis obtusa"/>
        <s v="Thuja occidentalis"/>
        <s v="Camellia japonic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123" refreshedDate="45977.12033784722" createdVersion="8" refreshedVersion="8" minRefreshableVersion="3" recordCount="704" xr:uid="{7F4E5ED4-1564-4118-A9B8-447375C6A0B1}">
  <cacheSource type="worksheet">
    <worksheetSource ref="A1:A1048576" sheet="Garden_plant_listedall"/>
  </cacheSource>
  <cacheFields count="1">
    <cacheField name="plants_shrubs" numFmtId="0">
      <sharedItems containsBlank="1" count="362">
        <s v=" lettuce"/>
        <s v="vine kiwi"/>
        <s v="african marigold"/>
        <s v="agueweed"/>
        <s v="aleutian maidenhair"/>
        <s v="aloe vera"/>
        <s v="alpen rose"/>
        <s v="american alumroot"/>
        <s v="american beautyberry"/>
        <s v="anise"/>
        <s v="annual honesty"/>
        <s v="arborvitae"/>
        <s v="asian virginsbower"/>
        <s v="august lily"/>
        <s v="autumn sage"/>
        <s v="bacopa"/>
        <s v="ballon flower"/>
        <s v="barrenwort"/>
        <s v="basil"/>
        <s v="bay laurel"/>
        <s v="bearded iris"/>
        <s v="bear's breech"/>
        <s v="beefsteak plant"/>
        <s v="beet"/>
        <s v="big blue lilyturf"/>
        <s v="bigleaf hydrangea"/>
        <s v="bindweed"/>
        <s v="black cherry"/>
        <s v="bloodroot"/>
        <s v="blue blossom"/>
        <s v="blue fescue"/>
        <s v="bok choy"/>
        <s v="border forsythia"/>
        <s v="bouncing-bet"/>
        <s v="british columbia wild ginger"/>
        <s v="brook saxifrage"/>
        <s v="buckwheat"/>
        <s v="bush lily"/>
        <s v="busy lizzie "/>
        <s v="buttonwood"/>
        <s v="cabbage"/>
        <s v="cabbage  tree "/>
        <s v="canada yew"/>
        <s v="canadian anemone"/>
        <s v="candle larkspur"/>
        <s v="cape jasmine"/>
        <s v="catawba roseberry"/>
        <s v="chamaecyparis pisifera"/>
        <s v="chameleon plant"/>
        <s v="chayote"/>
        <s v="chedder pink"/>
        <s v="cherry laurel"/>
        <s v="china rose"/>
        <s v="china rose "/>
        <s v="chinese astilbe"/>
        <s v="chinese boxthorn"/>
        <s v="chinese clematis"/>
        <s v="chinese photinia "/>
        <s v="chinese wisteria"/>
        <s v="chinese wolfberry"/>
        <s v="chives"/>
        <s v="choy sum"/>
        <s v="clammy ground cherry"/>
        <s v="cleft phlox"/>
        <s v="clustered bellflower"/>
        <s v="common bean"/>
        <s v="common boxwood"/>
        <s v="common bugle"/>
        <s v="common bugloss "/>
        <s v="common columbine"/>
        <s v="common comfrey"/>
        <s v="common daisy"/>
        <s v="common evening-primrose"/>
        <s v="common foxglove"/>
        <s v="common hawthorn"/>
        <s v="common holly"/>
        <s v="common hollyhock"/>
        <s v="common lady fern"/>
        <s v="common lilac"/>
        <s v="common mallow"/>
        <s v="mugwort"/>
        <s v="common myrtle"/>
        <s v="common ninebark"/>
        <s v="common nipplewort"/>
        <s v="common periwinkle"/>
        <s v="common plantain"/>
        <s v="common primrose"/>
        <s v="sage"/>
        <s v="common snowberry"/>
        <s v="common sowthistle"/>
        <s v="common yarrow"/>
        <s v="coriander"/>
        <s v="corn flower"/>
        <s v="corn speedwell"/>
        <s v="cow parsley"/>
        <s v="creeping bellflower"/>
        <s v="creeping buttercup"/>
        <s v="creeping jenny"/>
        <s v="creeping woodsorrel"/>
        <s v="crevice alumroot"/>
        <s v="crevice alumroot "/>
        <s v="crinklerroot"/>
        <s v="crown daisy"/>
        <s v="cucumber"/>
        <s v="culver's rooot"/>
        <s v="cypress spurge"/>
        <s v="dandelion"/>
        <s v="daphne odora"/>
        <s v="dappled willow"/>
        <s v="dense blazing star"/>
        <s v="dill"/>
        <s v="ditch lily"/>
        <s v="dog rose"/>
        <s v="dusty miller"/>
        <s v="eastern bluestar"/>
        <s v="edging lobelia"/>
        <s v="english holly"/>
        <s v="english ivy"/>
        <s v="english lavender"/>
        <s v="european plum"/>
        <s v="evergreen azalea"/>
        <s v="evergreen candytuft"/>
        <s v="evergreen spindle"/>
        <s v="false azalea"/>
        <s v="false buck's beard"/>
        <s v="false chestnut"/>
        <s v="false spiraea"/>
        <s v="false spireae"/>
        <s v="fatsia japonica"/>
        <s v="festuca californica"/>
        <s v="feverfew"/>
        <s v="field horsetail"/>
        <s v="field mustard"/>
        <s v="field pumpkin"/>
        <s v="fig"/>
        <s v="french rose"/>
        <s v="fringed loosestrife"/>
        <s v="fringed willowherb"/>
        <s v="garden asparagus"/>
        <s v="garden dahlia"/>
        <s v="garden lupine"/>
        <s v="garden nasturtium"/>
        <s v="garden pea"/>
        <s v="garden petunia"/>
        <s v="garden phlox"/>
        <s v="garden snapdragon"/>
        <s v="garden tulip"/>
        <s v="garden verbena"/>
        <s v="garlic"/>
        <s v="giant onion"/>
        <s v="ginkgo"/>
        <s v="glandular cape marigold"/>
        <s v="goat's beard"/>
        <s v="gragrant sweet box"/>
        <s v="grape leaf anemone"/>
        <s v="great laurel"/>
        <s v="greater masterwort"/>
        <s v="ground elder"/>
        <s v="hakone grass"/>
        <s v="hardy fuchisa"/>
        <s v="hardy fuchsia"/>
        <s v="hart's-tongue fern"/>
        <s v="heavenly bamboo"/>
        <s v="herb robert"/>
        <s v="highbush blueberry"/>
        <s v="highbush blueberry "/>
        <s v="holly olive"/>
        <s v="horse raddish"/>
        <s v="hydrangea"/>
        <s v="hot pepper"/>
        <s v="icelandic poppy"/>
        <s v="ilex"/>
        <s v="indian shot"/>
        <s v="ivy geranium"/>
        <s v="jacob's ladder"/>
        <s v="japanese barberry"/>
        <s v="japanese camellia"/>
        <s v="japanese camellia "/>
        <s v="japanese cherry"/>
        <s v="japanese flowering quince"/>
        <s v="japanese honeysuckle"/>
        <s v="japanese laurel"/>
        <s v="japanese maple"/>
        <s v="japanese meadowsweet"/>
        <s v="japanese pieris"/>
        <s v="japanese skimmia"/>
        <s v="japanese snowbell"/>
        <s v="japanese yew"/>
        <s v="jerusalem artichoke"/>
        <s v="johnny jump up "/>
        <s v="juniperus comunis"/>
        <s v="kale "/>
        <s v="kentucky bluegrass"/>
        <s v="koreanspice viburnum"/>
        <s v="kousa dogwood"/>
        <s v="lady fern"/>
        <s v="lady's mantle"/>
        <s v="lakeshore sedge"/>
        <s v="lanten rose"/>
        <s v="large bindweed"/>
        <s v="large white petunia"/>
        <s v="large yellow loosestrife"/>
        <s v="large-petal globeflower"/>
        <s v="lavandula angustifolia"/>
        <s v="lavender"/>
        <s v="leafy spurge"/>
        <s v="leek"/>
        <s v="lemon balm"/>
        <s v="lenten rose"/>
        <s v="lesser trefoil"/>
        <s v="lettuce"/>
        <s v="lily of the valley"/>
        <s v="longleaf speedwell "/>
        <s v="lop grass"/>
        <s v="lovage"/>
        <s v="marguerite daisy"/>
        <s v="meadow buttercup"/>
        <s v="mexican orange"/>
        <s v="mint"/>
        <s v="mirror plant"/>
        <s v="montbretia"/>
        <s v="mountain laurel"/>
        <s v="multiflora rose"/>
        <s v="myrsine lessertiana"/>
        <s v="new england aster"/>
        <s v="new guinea impatiens"/>
        <s v="new york aster"/>
        <s v="norway maple"/>
        <s v="norway spruce"/>
        <s v="oakleaf hydrangea"/>
        <s v="obedient plant"/>
        <s v="old-fashioned weigela"/>
        <s v="onion"/>
        <s v="orange coneflower"/>
        <s v="oregano"/>
        <s v="arborvitae "/>
        <s v="arbovitae"/>
        <s v="orpine"/>
        <s v="ostrich fern"/>
        <s v="pacific bleeding heart"/>
        <s v="pacific rhododendron"/>
        <s v="pacific rhododendron "/>
        <s v="paeonia lactiflora"/>
        <s v="panicle hydrangea"/>
        <s v="paperplant"/>
        <s v="parsley"/>
        <s v="pea"/>
        <s v="peony"/>
        <s v="peppermint"/>
        <s v="peruvian lily"/>
        <s v="pieris japonica"/>
        <s v="plantain lily"/>
        <s v="polystichum braunii"/>
        <s v="poppy anemone"/>
        <s v="potato"/>
        <s v="pregnant onion"/>
        <s v="prunus caroliniana"/>
        <s v="purple bergenia"/>
        <s v="purple marshlocks"/>
        <s v="purple rock cress"/>
        <s v="pussy willow"/>
        <s v="queen of the prairie"/>
        <s v="raddish"/>
        <s v="ram's horn"/>
        <s v="raspberry"/>
        <s v="red cedar"/>
        <s v="red currant"/>
        <s v="red hot poker"/>
        <s v="red huckleberry"/>
        <s v="redwood-sorrel"/>
        <s v="regal geranium"/>
        <s v="rhubarb"/>
        <s v="rockspray cotoneaster"/>
        <s v="rocky mountain penstemon"/>
        <s v="rosa chinensis"/>
        <s v="rose campion"/>
        <s v="rose of sharon"/>
        <s v="rosemary"/>
        <s v="rosemint"/>
        <s v="ruby's laciniatus"/>
        <s v="rue"/>
        <s v="rutabaga"/>
        <s v="scotch heather"/>
        <s v="sea thrift"/>
        <s v="seersucker sedge"/>
        <s v="serbian bellflower"/>
        <s v="shasta daisy"/>
        <s v="siberian bugloss"/>
        <s v="siberian dogwood"/>
        <s v="siberian iris"/>
        <s v="siebold's plantain lily"/>
        <s v="smoketree"/>
        <s v="smooth hydragea"/>
        <s v="smooth hydrangea"/>
        <s v="solomon's seal"/>
        <s v="sorrel"/>
        <s v="spanish bluebell"/>
        <s v="spearmint"/>
        <s v="spotted dead nettles"/>
        <s v="spreading rush"/>
        <s v="spring onion"/>
        <s v="spurge laurel"/>
        <s v="star jasmine"/>
        <s v="sticky geranium"/>
        <s v="stinking hellebore"/>
        <s v="strawberry"/>
        <s v="swamp sunflower"/>
        <s v="sweet alyssum"/>
        <s v="sweet fennel"/>
        <s v="sweet mock orange"/>
        <s v="sweet osmanthus"/>
        <s v="sweet potato vine"/>
        <s v="sweet violet"/>
        <s v="sweet william"/>
        <s v="sweet woodruff"/>
        <s v="sword fern"/>
        <s v="syringa villosa"/>
        <s v="syringa vulgaris"/>
        <s v="tarragon"/>
        <s v="tea-oil camellia"/>
        <s v="thimbleberry"/>
        <s v="tiger flower"/>
        <s v="tiger lily"/>
        <s v="tomato"/>
        <s v="tree peony"/>
        <s v="trumpet honeysucle"/>
        <s v="upright sedge"/>
        <s v="vanhouttei spires"/>
        <s v="vasevine"/>
        <s v="viburnum tinus"/>
        <s v="vine maple"/>
        <s v="viola tricolor"/>
        <s v="virginia creeper"/>
        <s v="virginia sweetspire"/>
        <s v="virgin's bower"/>
        <s v="wall lettuce"/>
        <s v="wax begonia"/>
        <s v="wax begonia "/>
        <s v="weeping forsythia"/>
        <s v="western azalea"/>
        <s v="western blue virginsbower"/>
        <s v="western red cedar"/>
        <s v="western sword fern"/>
        <s v="western wallflower"/>
        <s v="white clover"/>
        <s v="white impatiens"/>
        <s v="white panicle"/>
        <s v="whorled tickseed"/>
        <s v="wild daffodil"/>
        <s v="wild geranium"/>
        <s v="winter creeper"/>
        <s v="winter jasmine"/>
        <s v="wisteria sinensis"/>
        <s v="woodland forget-me-not"/>
        <s v="woodland strawberry"/>
        <s v="yellow archangel"/>
        <s v="yellow corydalis"/>
        <s v="yellow daylily"/>
        <s v="yellow flag"/>
        <s v="yellow marsh marigold"/>
        <s v="zonal geraniu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850">
  <r>
    <x v="0"/>
  </r>
  <r>
    <x v="0"/>
  </r>
  <r>
    <x v="0"/>
  </r>
  <r>
    <x v="0"/>
  </r>
  <r>
    <x v="1"/>
  </r>
  <r>
    <x v="2"/>
  </r>
  <r>
    <x v="3"/>
  </r>
  <r>
    <x v="4"/>
  </r>
  <r>
    <x v="0"/>
  </r>
  <r>
    <x v="5"/>
  </r>
  <r>
    <x v="5"/>
  </r>
  <r>
    <x v="5"/>
  </r>
  <r>
    <x v="4"/>
  </r>
  <r>
    <x v="6"/>
  </r>
  <r>
    <x v="7"/>
  </r>
  <r>
    <x v="8"/>
  </r>
  <r>
    <x v="0"/>
  </r>
  <r>
    <x v="9"/>
  </r>
  <r>
    <x v="4"/>
  </r>
  <r>
    <x v="1"/>
  </r>
  <r>
    <x v="0"/>
  </r>
  <r>
    <x v="10"/>
  </r>
  <r>
    <x v="0"/>
  </r>
  <r>
    <x v="9"/>
  </r>
  <r>
    <x v="11"/>
  </r>
  <r>
    <x v="12"/>
  </r>
  <r>
    <x v="0"/>
  </r>
  <r>
    <x v="12"/>
  </r>
  <r>
    <x v="1"/>
  </r>
  <r>
    <x v="13"/>
  </r>
  <r>
    <x v="13"/>
  </r>
  <r>
    <x v="14"/>
  </r>
  <r>
    <x v="4"/>
  </r>
  <r>
    <x v="7"/>
  </r>
  <r>
    <x v="15"/>
  </r>
  <r>
    <x v="4"/>
  </r>
  <r>
    <x v="4"/>
  </r>
  <r>
    <x v="2"/>
  </r>
  <r>
    <x v="11"/>
  </r>
  <r>
    <x v="11"/>
  </r>
  <r>
    <x v="10"/>
  </r>
  <r>
    <x v="16"/>
  </r>
  <r>
    <x v="16"/>
  </r>
  <r>
    <x v="17"/>
  </r>
  <r>
    <x v="14"/>
  </r>
  <r>
    <x v="8"/>
  </r>
  <r>
    <x v="14"/>
  </r>
  <r>
    <x v="6"/>
  </r>
  <r>
    <x v="18"/>
  </r>
  <r>
    <x v="19"/>
  </r>
  <r>
    <x v="20"/>
  </r>
  <r>
    <x v="20"/>
  </r>
  <r>
    <x v="21"/>
  </r>
  <r>
    <x v="9"/>
  </r>
  <r>
    <x v="7"/>
  </r>
  <r>
    <x v="7"/>
  </r>
  <r>
    <x v="4"/>
  </r>
  <r>
    <x v="0"/>
  </r>
  <r>
    <x v="22"/>
  </r>
  <r>
    <x v="14"/>
  </r>
  <r>
    <x v="23"/>
  </r>
  <r>
    <x v="0"/>
  </r>
  <r>
    <x v="24"/>
  </r>
  <r>
    <x v="25"/>
  </r>
  <r>
    <x v="0"/>
  </r>
  <r>
    <x v="26"/>
  </r>
  <r>
    <x v="1"/>
  </r>
  <r>
    <x v="15"/>
  </r>
  <r>
    <x v="22"/>
  </r>
  <r>
    <x v="22"/>
  </r>
  <r>
    <x v="27"/>
  </r>
  <r>
    <x v="0"/>
  </r>
  <r>
    <x v="0"/>
  </r>
  <r>
    <x v="4"/>
  </r>
  <r>
    <x v="22"/>
  </r>
  <r>
    <x v="28"/>
  </r>
  <r>
    <x v="28"/>
  </r>
  <r>
    <x v="4"/>
  </r>
  <r>
    <x v="29"/>
  </r>
  <r>
    <x v="2"/>
  </r>
  <r>
    <x v="30"/>
  </r>
  <r>
    <x v="24"/>
  </r>
  <r>
    <x v="10"/>
  </r>
  <r>
    <x v="7"/>
  </r>
  <r>
    <x v="0"/>
  </r>
  <r>
    <x v="31"/>
  </r>
  <r>
    <x v="32"/>
  </r>
  <r>
    <x v="14"/>
  </r>
  <r>
    <x v="12"/>
  </r>
  <r>
    <x v="33"/>
  </r>
  <r>
    <x v="0"/>
  </r>
  <r>
    <x v="0"/>
  </r>
  <r>
    <x v="0"/>
  </r>
  <r>
    <x v="21"/>
  </r>
  <r>
    <x v="0"/>
  </r>
  <r>
    <x v="28"/>
  </r>
  <r>
    <x v="0"/>
  </r>
  <r>
    <x v="10"/>
  </r>
  <r>
    <x v="34"/>
  </r>
  <r>
    <x v="34"/>
  </r>
  <r>
    <x v="35"/>
  </r>
  <r>
    <x v="0"/>
  </r>
  <r>
    <x v="26"/>
  </r>
  <r>
    <x v="26"/>
  </r>
  <r>
    <x v="26"/>
  </r>
  <r>
    <x v="12"/>
  </r>
  <r>
    <x v="0"/>
  </r>
  <r>
    <x v="14"/>
  </r>
  <r>
    <x v="33"/>
  </r>
  <r>
    <x v="14"/>
  </r>
  <r>
    <x v="11"/>
  </r>
  <r>
    <x v="11"/>
  </r>
  <r>
    <x v="11"/>
  </r>
  <r>
    <x v="11"/>
  </r>
  <r>
    <x v="11"/>
  </r>
  <r>
    <x v="11"/>
  </r>
  <r>
    <x v="11"/>
  </r>
  <r>
    <x v="36"/>
  </r>
  <r>
    <x v="6"/>
  </r>
  <r>
    <x v="2"/>
  </r>
  <r>
    <x v="2"/>
  </r>
  <r>
    <x v="2"/>
  </r>
  <r>
    <x v="2"/>
  </r>
  <r>
    <x v="9"/>
  </r>
  <r>
    <x v="0"/>
  </r>
  <r>
    <x v="7"/>
  </r>
  <r>
    <x v="19"/>
  </r>
  <r>
    <x v="12"/>
  </r>
  <r>
    <x v="37"/>
  </r>
  <r>
    <x v="37"/>
  </r>
  <r>
    <x v="38"/>
  </r>
  <r>
    <x v="39"/>
  </r>
  <r>
    <x v="39"/>
  </r>
  <r>
    <x v="14"/>
  </r>
  <r>
    <x v="39"/>
  </r>
  <r>
    <x v="22"/>
  </r>
  <r>
    <x v="22"/>
  </r>
  <r>
    <x v="21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4"/>
  </r>
  <r>
    <x v="4"/>
  </r>
  <r>
    <x v="32"/>
  </r>
  <r>
    <x v="0"/>
  </r>
  <r>
    <x v="14"/>
  </r>
  <r>
    <x v="0"/>
  </r>
  <r>
    <x v="2"/>
  </r>
  <r>
    <x v="4"/>
  </r>
  <r>
    <x v="21"/>
  </r>
  <r>
    <x v="0"/>
  </r>
  <r>
    <x v="0"/>
  </r>
  <r>
    <x v="40"/>
  </r>
  <r>
    <x v="2"/>
  </r>
  <r>
    <x v="14"/>
  </r>
  <r>
    <x v="14"/>
  </r>
  <r>
    <x v="20"/>
  </r>
  <r>
    <x v="10"/>
  </r>
  <r>
    <x v="31"/>
  </r>
  <r>
    <x v="4"/>
  </r>
  <r>
    <x v="4"/>
  </r>
  <r>
    <x v="2"/>
  </r>
  <r>
    <x v="24"/>
  </r>
  <r>
    <x v="37"/>
  </r>
  <r>
    <x v="9"/>
  </r>
  <r>
    <x v="41"/>
  </r>
  <r>
    <x v="30"/>
  </r>
  <r>
    <x v="30"/>
  </r>
  <r>
    <x v="32"/>
  </r>
  <r>
    <x v="12"/>
  </r>
  <r>
    <x v="9"/>
  </r>
  <r>
    <x v="41"/>
  </r>
  <r>
    <x v="4"/>
  </r>
  <r>
    <x v="9"/>
  </r>
  <r>
    <x v="42"/>
  </r>
  <r>
    <x v="12"/>
  </r>
  <r>
    <x v="4"/>
  </r>
  <r>
    <x v="4"/>
  </r>
  <r>
    <x v="4"/>
  </r>
  <r>
    <x v="4"/>
  </r>
  <r>
    <x v="6"/>
  </r>
  <r>
    <x v="21"/>
  </r>
  <r>
    <x v="4"/>
  </r>
  <r>
    <x v="43"/>
  </r>
  <r>
    <x v="12"/>
  </r>
  <r>
    <x v="12"/>
  </r>
  <r>
    <x v="17"/>
  </r>
  <r>
    <x v="2"/>
  </r>
  <r>
    <x v="0"/>
  </r>
  <r>
    <x v="7"/>
  </r>
  <r>
    <x v="2"/>
  </r>
  <r>
    <x v="10"/>
  </r>
  <r>
    <x v="6"/>
  </r>
  <r>
    <x v="44"/>
  </r>
  <r>
    <x v="0"/>
  </r>
  <r>
    <x v="4"/>
  </r>
  <r>
    <x v="21"/>
  </r>
  <r>
    <x v="12"/>
  </r>
  <r>
    <x v="10"/>
  </r>
  <r>
    <x v="22"/>
  </r>
  <r>
    <x v="21"/>
  </r>
  <r>
    <x v="45"/>
  </r>
  <r>
    <x v="15"/>
  </r>
  <r>
    <x v="9"/>
  </r>
  <r>
    <x v="8"/>
  </r>
  <r>
    <x v="0"/>
  </r>
  <r>
    <x v="0"/>
  </r>
  <r>
    <x v="42"/>
  </r>
  <r>
    <x v="4"/>
  </r>
  <r>
    <x v="4"/>
  </r>
  <r>
    <x v="4"/>
  </r>
  <r>
    <x v="23"/>
  </r>
  <r>
    <x v="46"/>
  </r>
  <r>
    <x v="4"/>
  </r>
  <r>
    <x v="7"/>
  </r>
  <r>
    <x v="4"/>
  </r>
  <r>
    <x v="4"/>
  </r>
  <r>
    <x v="42"/>
  </r>
  <r>
    <x v="14"/>
  </r>
  <r>
    <x v="12"/>
  </r>
  <r>
    <x v="4"/>
  </r>
  <r>
    <x v="4"/>
  </r>
  <r>
    <x v="12"/>
  </r>
  <r>
    <x v="12"/>
  </r>
  <r>
    <x v="12"/>
  </r>
  <r>
    <x v="0"/>
  </r>
  <r>
    <x v="2"/>
  </r>
  <r>
    <x v="2"/>
  </r>
  <r>
    <x v="2"/>
  </r>
  <r>
    <x v="2"/>
  </r>
  <r>
    <x v="2"/>
  </r>
  <r>
    <x v="0"/>
  </r>
  <r>
    <x v="28"/>
  </r>
  <r>
    <x v="4"/>
  </r>
  <r>
    <x v="14"/>
  </r>
  <r>
    <x v="8"/>
  </r>
  <r>
    <x v="9"/>
  </r>
  <r>
    <x v="14"/>
  </r>
  <r>
    <x v="9"/>
  </r>
  <r>
    <x v="14"/>
  </r>
  <r>
    <x v="4"/>
  </r>
  <r>
    <x v="47"/>
  </r>
  <r>
    <x v="21"/>
  </r>
  <r>
    <x v="12"/>
  </r>
  <r>
    <x v="2"/>
  </r>
  <r>
    <x v="12"/>
  </r>
  <r>
    <x v="28"/>
  </r>
  <r>
    <x v="4"/>
  </r>
  <r>
    <x v="12"/>
  </r>
  <r>
    <x v="12"/>
  </r>
  <r>
    <x v="12"/>
  </r>
  <r>
    <x v="12"/>
  </r>
  <r>
    <x v="16"/>
  </r>
  <r>
    <x v="48"/>
  </r>
  <r>
    <x v="8"/>
  </r>
  <r>
    <x v="12"/>
  </r>
  <r>
    <x v="24"/>
  </r>
  <r>
    <x v="49"/>
  </r>
  <r>
    <x v="17"/>
  </r>
  <r>
    <x v="19"/>
  </r>
  <r>
    <x v="9"/>
  </r>
  <r>
    <x v="37"/>
  </r>
  <r>
    <x v="50"/>
  </r>
  <r>
    <x v="50"/>
  </r>
  <r>
    <x v="50"/>
  </r>
  <r>
    <x v="45"/>
  </r>
  <r>
    <x v="21"/>
  </r>
  <r>
    <x v="7"/>
  </r>
  <r>
    <x v="42"/>
  </r>
  <r>
    <x v="0"/>
  </r>
  <r>
    <x v="21"/>
  </r>
  <r>
    <x v="14"/>
  </r>
  <r>
    <x v="37"/>
  </r>
  <r>
    <x v="14"/>
  </r>
  <r>
    <x v="12"/>
  </r>
  <r>
    <x v="16"/>
  </r>
  <r>
    <x v="4"/>
  </r>
  <r>
    <x v="14"/>
  </r>
  <r>
    <x v="14"/>
  </r>
  <r>
    <x v="4"/>
  </r>
  <r>
    <x v="37"/>
  </r>
  <r>
    <x v="22"/>
  </r>
  <r>
    <x v="10"/>
  </r>
  <r>
    <x v="42"/>
  </r>
  <r>
    <x v="2"/>
  </r>
  <r>
    <x v="4"/>
  </r>
  <r>
    <x v="2"/>
  </r>
  <r>
    <x v="51"/>
  </r>
  <r>
    <x v="42"/>
  </r>
  <r>
    <x v="0"/>
  </r>
  <r>
    <x v="16"/>
  </r>
  <r>
    <x v="4"/>
  </r>
  <r>
    <x v="2"/>
  </r>
  <r>
    <x v="4"/>
  </r>
  <r>
    <x v="24"/>
  </r>
  <r>
    <x v="11"/>
  </r>
  <r>
    <x v="52"/>
  </r>
  <r>
    <x v="12"/>
  </r>
  <r>
    <x v="37"/>
  </r>
  <r>
    <x v="31"/>
  </r>
  <r>
    <x v="9"/>
  </r>
  <r>
    <x v="2"/>
  </r>
  <r>
    <x v="14"/>
  </r>
  <r>
    <x v="0"/>
  </r>
  <r>
    <x v="39"/>
  </r>
  <r>
    <x v="0"/>
  </r>
  <r>
    <x v="21"/>
  </r>
  <r>
    <x v="14"/>
  </r>
  <r>
    <x v="14"/>
  </r>
  <r>
    <x v="14"/>
  </r>
  <r>
    <x v="2"/>
  </r>
  <r>
    <x v="2"/>
  </r>
  <r>
    <x v="12"/>
  </r>
  <r>
    <x v="14"/>
  </r>
  <r>
    <x v="8"/>
  </r>
  <r>
    <x v="14"/>
  </r>
  <r>
    <x v="7"/>
  </r>
  <r>
    <x v="17"/>
  </r>
  <r>
    <x v="16"/>
  </r>
  <r>
    <x v="16"/>
  </r>
  <r>
    <x v="16"/>
  </r>
  <r>
    <x v="8"/>
  </r>
  <r>
    <x v="0"/>
  </r>
  <r>
    <x v="8"/>
  </r>
  <r>
    <x v="19"/>
  </r>
  <r>
    <x v="12"/>
  </r>
  <r>
    <x v="8"/>
  </r>
  <r>
    <x v="9"/>
  </r>
  <r>
    <x v="2"/>
  </r>
  <r>
    <x v="2"/>
  </r>
  <r>
    <x v="26"/>
  </r>
  <r>
    <x v="10"/>
  </r>
  <r>
    <x v="4"/>
  </r>
  <r>
    <x v="45"/>
  </r>
  <r>
    <x v="0"/>
  </r>
  <r>
    <x v="28"/>
  </r>
  <r>
    <x v="53"/>
  </r>
  <r>
    <x v="42"/>
  </r>
  <r>
    <x v="7"/>
  </r>
  <r>
    <x v="43"/>
  </r>
  <r>
    <x v="7"/>
  </r>
  <r>
    <x v="10"/>
  </r>
  <r>
    <x v="7"/>
  </r>
  <r>
    <x v="9"/>
  </r>
  <r>
    <x v="28"/>
  </r>
  <r>
    <x v="12"/>
  </r>
  <r>
    <x v="7"/>
  </r>
  <r>
    <x v="12"/>
  </r>
  <r>
    <x v="22"/>
  </r>
  <r>
    <x v="12"/>
  </r>
  <r>
    <x v="8"/>
  </r>
  <r>
    <x v="0"/>
  </r>
  <r>
    <x v="10"/>
  </r>
  <r>
    <x v="12"/>
  </r>
  <r>
    <x v="12"/>
  </r>
  <r>
    <x v="12"/>
  </r>
  <r>
    <x v="0"/>
  </r>
  <r>
    <x v="14"/>
  </r>
  <r>
    <x v="26"/>
  </r>
  <r>
    <x v="0"/>
  </r>
  <r>
    <x v="7"/>
  </r>
  <r>
    <x v="49"/>
  </r>
  <r>
    <x v="10"/>
  </r>
  <r>
    <x v="33"/>
  </r>
  <r>
    <x v="0"/>
  </r>
  <r>
    <x v="0"/>
  </r>
  <r>
    <x v="22"/>
  </r>
  <r>
    <x v="0"/>
  </r>
  <r>
    <x v="14"/>
  </r>
  <r>
    <x v="22"/>
  </r>
  <r>
    <x v="33"/>
  </r>
  <r>
    <x v="27"/>
  </r>
  <r>
    <x v="0"/>
  </r>
  <r>
    <x v="7"/>
  </r>
  <r>
    <x v="24"/>
  </r>
  <r>
    <x v="24"/>
  </r>
  <r>
    <x v="2"/>
  </r>
  <r>
    <x v="2"/>
  </r>
  <r>
    <x v="1"/>
  </r>
  <r>
    <x v="17"/>
  </r>
  <r>
    <x v="0"/>
  </r>
  <r>
    <x v="0"/>
  </r>
  <r>
    <x v="10"/>
  </r>
  <r>
    <x v="54"/>
  </r>
  <r>
    <x v="55"/>
  </r>
  <r>
    <x v="55"/>
  </r>
  <r>
    <x v="42"/>
  </r>
  <r>
    <x v="42"/>
  </r>
  <r>
    <x v="42"/>
  </r>
  <r>
    <x v="14"/>
  </r>
  <r>
    <x v="14"/>
  </r>
  <r>
    <x v="56"/>
  </r>
  <r>
    <x v="15"/>
  </r>
  <r>
    <x v="0"/>
  </r>
  <r>
    <x v="0"/>
  </r>
  <r>
    <x v="31"/>
  </r>
  <r>
    <x v="17"/>
  </r>
  <r>
    <x v="0"/>
  </r>
  <r>
    <x v="12"/>
  </r>
  <r>
    <x v="26"/>
  </r>
  <r>
    <x v="26"/>
  </r>
  <r>
    <x v="14"/>
  </r>
  <r>
    <x v="12"/>
  </r>
  <r>
    <x v="12"/>
  </r>
  <r>
    <x v="6"/>
  </r>
  <r>
    <x v="6"/>
  </r>
  <r>
    <x v="0"/>
  </r>
  <r>
    <x v="0"/>
  </r>
  <r>
    <x v="10"/>
  </r>
  <r>
    <x v="7"/>
  </r>
  <r>
    <x v="28"/>
  </r>
  <r>
    <x v="17"/>
  </r>
  <r>
    <x v="20"/>
  </r>
  <r>
    <x v="10"/>
  </r>
  <r>
    <x v="21"/>
  </r>
  <r>
    <x v="22"/>
  </r>
  <r>
    <x v="22"/>
  </r>
  <r>
    <x v="57"/>
  </r>
  <r>
    <x v="57"/>
  </r>
  <r>
    <x v="2"/>
  </r>
  <r>
    <x v="22"/>
  </r>
  <r>
    <x v="0"/>
  </r>
  <r>
    <x v="4"/>
  </r>
  <r>
    <x v="16"/>
  </r>
  <r>
    <x v="10"/>
  </r>
  <r>
    <x v="48"/>
  </r>
  <r>
    <x v="10"/>
  </r>
  <r>
    <x v="26"/>
  </r>
  <r>
    <x v="16"/>
  </r>
  <r>
    <x v="16"/>
  </r>
  <r>
    <x v="16"/>
  </r>
  <r>
    <x v="28"/>
  </r>
  <r>
    <x v="17"/>
  </r>
  <r>
    <x v="16"/>
  </r>
  <r>
    <x v="16"/>
  </r>
  <r>
    <x v="16"/>
  </r>
  <r>
    <x v="16"/>
  </r>
  <r>
    <x v="16"/>
  </r>
  <r>
    <x v="16"/>
  </r>
  <r>
    <x v="21"/>
  </r>
  <r>
    <x v="21"/>
  </r>
  <r>
    <x v="21"/>
  </r>
  <r>
    <x v="6"/>
  </r>
  <r>
    <x v="16"/>
  </r>
  <r>
    <x v="16"/>
  </r>
  <r>
    <x v="16"/>
  </r>
  <r>
    <x v="1"/>
  </r>
  <r>
    <x v="16"/>
  </r>
  <r>
    <x v="6"/>
  </r>
  <r>
    <x v="0"/>
  </r>
  <r>
    <x v="9"/>
  </r>
  <r>
    <x v="50"/>
  </r>
  <r>
    <x v="9"/>
  </r>
  <r>
    <x v="2"/>
  </r>
  <r>
    <x v="9"/>
  </r>
  <r>
    <x v="14"/>
  </r>
  <r>
    <x v="2"/>
  </r>
  <r>
    <x v="45"/>
  </r>
  <r>
    <x v="0"/>
  </r>
  <r>
    <x v="0"/>
  </r>
  <r>
    <x v="28"/>
  </r>
  <r>
    <x v="28"/>
  </r>
  <r>
    <x v="28"/>
  </r>
  <r>
    <x v="28"/>
  </r>
  <r>
    <x v="28"/>
  </r>
  <r>
    <x v="28"/>
  </r>
  <r>
    <x v="48"/>
  </r>
  <r>
    <x v="48"/>
  </r>
  <r>
    <x v="1"/>
  </r>
  <r>
    <x v="28"/>
  </r>
  <r>
    <x v="0"/>
  </r>
  <r>
    <x v="0"/>
  </r>
  <r>
    <x v="0"/>
  </r>
  <r>
    <x v="4"/>
  </r>
  <r>
    <x v="4"/>
  </r>
  <r>
    <x v="12"/>
  </r>
  <r>
    <x v="14"/>
  </r>
  <r>
    <x v="0"/>
  </r>
  <r>
    <x v="37"/>
  </r>
  <r>
    <x v="48"/>
  </r>
  <r>
    <x v="4"/>
  </r>
  <r>
    <x v="4"/>
  </r>
  <r>
    <x v="9"/>
  </r>
  <r>
    <x v="0"/>
  </r>
  <r>
    <x v="22"/>
  </r>
  <r>
    <x v="17"/>
  </r>
  <r>
    <x v="58"/>
  </r>
  <r>
    <x v="24"/>
  </r>
  <r>
    <x v="2"/>
  </r>
  <r>
    <x v="16"/>
  </r>
  <r>
    <x v="59"/>
  </r>
  <r>
    <x v="0"/>
  </r>
  <r>
    <x v="17"/>
  </r>
  <r>
    <x v="33"/>
  </r>
  <r>
    <x v="14"/>
  </r>
  <r>
    <x v="4"/>
  </r>
  <r>
    <x v="14"/>
  </r>
  <r>
    <x v="34"/>
  </r>
  <r>
    <x v="12"/>
  </r>
  <r>
    <x v="56"/>
  </r>
  <r>
    <x v="56"/>
  </r>
  <r>
    <x v="14"/>
  </r>
  <r>
    <x v="0"/>
  </r>
  <r>
    <x v="9"/>
  </r>
  <r>
    <x v="31"/>
  </r>
  <r>
    <x v="0"/>
  </r>
  <r>
    <x v="56"/>
  </r>
  <r>
    <x v="0"/>
  </r>
  <r>
    <x v="0"/>
  </r>
  <r>
    <x v="4"/>
  </r>
  <r>
    <x v="2"/>
  </r>
  <r>
    <x v="4"/>
  </r>
  <r>
    <x v="1"/>
  </r>
  <r>
    <x v="40"/>
  </r>
  <r>
    <x v="45"/>
  </r>
  <r>
    <x v="0"/>
  </r>
  <r>
    <x v="10"/>
  </r>
  <r>
    <x v="24"/>
  </r>
  <r>
    <x v="0"/>
  </r>
  <r>
    <x v="53"/>
  </r>
  <r>
    <x v="4"/>
  </r>
  <r>
    <x v="4"/>
  </r>
  <r>
    <x v="14"/>
  </r>
  <r>
    <x v="45"/>
  </r>
  <r>
    <x v="45"/>
  </r>
  <r>
    <x v="21"/>
  </r>
  <r>
    <x v="0"/>
  </r>
  <r>
    <x v="24"/>
  </r>
  <r>
    <x v="10"/>
  </r>
  <r>
    <x v="0"/>
  </r>
  <r>
    <x v="0"/>
  </r>
  <r>
    <x v="15"/>
  </r>
  <r>
    <x v="8"/>
  </r>
  <r>
    <x v="2"/>
  </r>
  <r>
    <x v="0"/>
  </r>
  <r>
    <x v="9"/>
  </r>
  <r>
    <x v="10"/>
  </r>
  <r>
    <x v="4"/>
  </r>
  <r>
    <x v="0"/>
  </r>
  <r>
    <x v="16"/>
  </r>
  <r>
    <x v="4"/>
  </r>
  <r>
    <x v="4"/>
  </r>
  <r>
    <x v="0"/>
  </r>
  <r>
    <x v="16"/>
  </r>
  <r>
    <x v="21"/>
  </r>
  <r>
    <x v="21"/>
  </r>
  <r>
    <x v="24"/>
  </r>
  <r>
    <x v="24"/>
  </r>
  <r>
    <x v="24"/>
  </r>
  <r>
    <x v="24"/>
  </r>
  <r>
    <x v="14"/>
  </r>
  <r>
    <x v="14"/>
  </r>
  <r>
    <x v="10"/>
  </r>
  <r>
    <x v="14"/>
  </r>
  <r>
    <x v="0"/>
  </r>
  <r>
    <x v="10"/>
  </r>
  <r>
    <x v="53"/>
  </r>
  <r>
    <x v="10"/>
  </r>
  <r>
    <x v="7"/>
  </r>
  <r>
    <x v="0"/>
  </r>
  <r>
    <x v="10"/>
  </r>
  <r>
    <x v="14"/>
  </r>
  <r>
    <x v="4"/>
  </r>
  <r>
    <x v="4"/>
  </r>
  <r>
    <x v="14"/>
  </r>
  <r>
    <x v="12"/>
  </r>
  <r>
    <x v="0"/>
  </r>
  <r>
    <x v="24"/>
  </r>
  <r>
    <x v="21"/>
  </r>
  <r>
    <x v="24"/>
  </r>
  <r>
    <x v="14"/>
  </r>
  <r>
    <x v="0"/>
  </r>
  <r>
    <x v="0"/>
  </r>
  <r>
    <x v="55"/>
  </r>
  <r>
    <x v="0"/>
  </r>
  <r>
    <x v="0"/>
  </r>
  <r>
    <x v="7"/>
  </r>
  <r>
    <x v="4"/>
  </r>
  <r>
    <x v="4"/>
  </r>
  <r>
    <x v="10"/>
  </r>
  <r>
    <x v="21"/>
  </r>
  <r>
    <x v="10"/>
  </r>
  <r>
    <x v="0"/>
  </r>
  <r>
    <x v="4"/>
  </r>
  <r>
    <x v="4"/>
  </r>
  <r>
    <x v="30"/>
  </r>
  <r>
    <x v="10"/>
  </r>
  <r>
    <x v="4"/>
  </r>
  <r>
    <x v="0"/>
  </r>
  <r>
    <x v="30"/>
  </r>
  <r>
    <x v="0"/>
  </r>
  <r>
    <x v="42"/>
  </r>
  <r>
    <x v="34"/>
  </r>
  <r>
    <x v="10"/>
  </r>
  <r>
    <x v="4"/>
  </r>
  <r>
    <x v="14"/>
  </r>
  <r>
    <x v="50"/>
  </r>
  <r>
    <x v="39"/>
  </r>
  <r>
    <x v="4"/>
  </r>
  <r>
    <x v="19"/>
  </r>
  <r>
    <x v="4"/>
  </r>
  <r>
    <x v="0"/>
  </r>
  <r>
    <x v="48"/>
  </r>
  <r>
    <x v="24"/>
  </r>
  <r>
    <x v="0"/>
  </r>
  <r>
    <x v="48"/>
  </r>
  <r>
    <x v="55"/>
  </r>
  <r>
    <x v="19"/>
  </r>
  <r>
    <x v="15"/>
  </r>
  <r>
    <x v="14"/>
  </r>
  <r>
    <x v="34"/>
  </r>
  <r>
    <x v="21"/>
  </r>
  <r>
    <x v="4"/>
  </r>
  <r>
    <x v="0"/>
  </r>
  <r>
    <x v="26"/>
  </r>
  <r>
    <x v="59"/>
  </r>
  <r>
    <x v="10"/>
  </r>
  <r>
    <x v="60"/>
  </r>
  <r>
    <x v="34"/>
  </r>
  <r>
    <x v="21"/>
  </r>
  <r>
    <x v="30"/>
  </r>
  <r>
    <x v="15"/>
  </r>
  <r>
    <x v="1"/>
  </r>
  <r>
    <x v="34"/>
  </r>
  <r>
    <x v="4"/>
  </r>
  <r>
    <x v="0"/>
  </r>
  <r>
    <x v="14"/>
  </r>
  <r>
    <x v="24"/>
  </r>
  <r>
    <x v="24"/>
  </r>
  <r>
    <x v="56"/>
  </r>
  <r>
    <x v="2"/>
  </r>
  <r>
    <x v="2"/>
  </r>
  <r>
    <x v="2"/>
  </r>
  <r>
    <x v="4"/>
  </r>
  <r>
    <x v="24"/>
  </r>
  <r>
    <x v="16"/>
  </r>
  <r>
    <x v="4"/>
  </r>
  <r>
    <x v="4"/>
  </r>
  <r>
    <x v="26"/>
  </r>
  <r>
    <x v="16"/>
  </r>
  <r>
    <x v="4"/>
  </r>
  <r>
    <x v="9"/>
  </r>
  <r>
    <x v="2"/>
  </r>
  <r>
    <x v="11"/>
  </r>
  <r>
    <x v="9"/>
  </r>
  <r>
    <x v="49"/>
  </r>
  <r>
    <x v="2"/>
  </r>
  <r>
    <x v="4"/>
  </r>
  <r>
    <x v="4"/>
  </r>
  <r>
    <x v="17"/>
  </r>
  <r>
    <x v="17"/>
  </r>
  <r>
    <x v="14"/>
  </r>
  <r>
    <x v="17"/>
  </r>
  <r>
    <x v="0"/>
  </r>
  <r>
    <x v="12"/>
  </r>
  <r>
    <x v="8"/>
  </r>
  <r>
    <x v="8"/>
  </r>
  <r>
    <x v="10"/>
  </r>
  <r>
    <x v="42"/>
  </r>
  <r>
    <x v="42"/>
  </r>
  <r>
    <x v="9"/>
  </r>
  <r>
    <x v="0"/>
  </r>
  <r>
    <x v="42"/>
  </r>
  <r>
    <x v="7"/>
  </r>
  <r>
    <x v="4"/>
  </r>
  <r>
    <x v="9"/>
  </r>
  <r>
    <x v="12"/>
  </r>
  <r>
    <x v="14"/>
  </r>
  <r>
    <x v="12"/>
  </r>
  <r>
    <x v="12"/>
  </r>
  <r>
    <x v="42"/>
  </r>
  <r>
    <x v="28"/>
  </r>
  <r>
    <x v="55"/>
  </r>
  <r>
    <x v="10"/>
  </r>
  <r>
    <x v="0"/>
  </r>
  <r>
    <x v="17"/>
  </r>
  <r>
    <x v="7"/>
  </r>
  <r>
    <x v="0"/>
  </r>
  <r>
    <x v="0"/>
  </r>
  <r>
    <x v="17"/>
  </r>
  <r>
    <x v="26"/>
  </r>
  <r>
    <x v="10"/>
  </r>
  <r>
    <x v="4"/>
  </r>
  <r>
    <x v="9"/>
  </r>
  <r>
    <x v="4"/>
  </r>
  <r>
    <x v="4"/>
  </r>
  <r>
    <x v="4"/>
  </r>
  <r>
    <x v="10"/>
  </r>
  <r>
    <x v="10"/>
  </r>
  <r>
    <x v="10"/>
  </r>
  <r>
    <x v="10"/>
  </r>
  <r>
    <x v="40"/>
  </r>
  <r>
    <x v="40"/>
  </r>
  <r>
    <x v="0"/>
  </r>
  <r>
    <x v="0"/>
  </r>
  <r>
    <x v="12"/>
  </r>
  <r>
    <x v="0"/>
  </r>
  <r>
    <x v="0"/>
  </r>
  <r>
    <x v="0"/>
  </r>
  <r>
    <x v="0"/>
  </r>
  <r>
    <x v="4"/>
  </r>
  <r>
    <x v="14"/>
  </r>
  <r>
    <x v="14"/>
  </r>
  <r>
    <x v="4"/>
  </r>
  <r>
    <x v="2"/>
  </r>
  <r>
    <x v="4"/>
  </r>
  <r>
    <x v="4"/>
  </r>
  <r>
    <x v="10"/>
  </r>
  <r>
    <x v="10"/>
  </r>
  <r>
    <x v="0"/>
  </r>
  <r>
    <x v="11"/>
  </r>
  <r>
    <x v="22"/>
  </r>
  <r>
    <x v="1"/>
  </r>
  <r>
    <x v="4"/>
  </r>
  <r>
    <x v="12"/>
  </r>
  <r>
    <x v="7"/>
  </r>
  <r>
    <x v="12"/>
  </r>
  <r>
    <x v="15"/>
  </r>
  <r>
    <x v="15"/>
  </r>
  <r>
    <x v="14"/>
  </r>
  <r>
    <x v="37"/>
  </r>
  <r>
    <x v="0"/>
  </r>
  <r>
    <x v="1"/>
  </r>
  <r>
    <x v="10"/>
  </r>
  <r>
    <x v="14"/>
  </r>
  <r>
    <x v="9"/>
  </r>
  <r>
    <x v="24"/>
  </r>
  <r>
    <x v="24"/>
  </r>
  <r>
    <x v="31"/>
  </r>
  <r>
    <x v="10"/>
  </r>
  <r>
    <x v="4"/>
  </r>
  <r>
    <x v="4"/>
  </r>
  <r>
    <x v="15"/>
  </r>
  <r>
    <x v="10"/>
  </r>
  <r>
    <x v="10"/>
  </r>
  <r>
    <x v="0"/>
  </r>
  <r>
    <x v="2"/>
  </r>
  <r>
    <x v="0"/>
  </r>
  <r>
    <x v="17"/>
  </r>
  <r>
    <x v="14"/>
  </r>
  <r>
    <x v="10"/>
  </r>
  <r>
    <x v="10"/>
  </r>
  <r>
    <x v="0"/>
  </r>
  <r>
    <x v="2"/>
  </r>
  <r>
    <x v="28"/>
  </r>
  <r>
    <x v="10"/>
  </r>
  <r>
    <x v="12"/>
  </r>
  <r>
    <x v="4"/>
  </r>
  <r>
    <x v="4"/>
  </r>
  <r>
    <x v="37"/>
  </r>
  <r>
    <x v="23"/>
  </r>
  <r>
    <x v="4"/>
  </r>
  <r>
    <x v="33"/>
  </r>
  <r>
    <x v="21"/>
  </r>
  <r>
    <x v="21"/>
  </r>
  <r>
    <x v="11"/>
  </r>
  <r>
    <x v="9"/>
  </r>
  <r>
    <x v="11"/>
  </r>
  <r>
    <x v="40"/>
  </r>
  <r>
    <x v="0"/>
  </r>
  <r>
    <x v="15"/>
  </r>
  <r>
    <x v="9"/>
  </r>
  <r>
    <x v="0"/>
  </r>
  <r>
    <x v="28"/>
  </r>
  <r>
    <x v="4"/>
  </r>
  <r>
    <x v="14"/>
  </r>
  <r>
    <x v="39"/>
  </r>
  <r>
    <x v="10"/>
  </r>
  <r>
    <x v="14"/>
  </r>
  <r>
    <x v="37"/>
  </r>
  <r>
    <x v="30"/>
  </r>
  <r>
    <x v="61"/>
  </r>
  <r>
    <x v="62"/>
  </r>
  <r>
    <x v="21"/>
  </r>
  <r>
    <x v="28"/>
  </r>
  <r>
    <x v="19"/>
  </r>
  <r>
    <x v="23"/>
  </r>
  <r>
    <x v="9"/>
  </r>
  <r>
    <x v="0"/>
  </r>
  <r>
    <x v="4"/>
  </r>
  <r>
    <x v="4"/>
  </r>
  <r>
    <x v="0"/>
  </r>
  <r>
    <x v="22"/>
  </r>
  <r>
    <x v="37"/>
  </r>
  <r>
    <x v="0"/>
  </r>
  <r>
    <x v="39"/>
  </r>
  <r>
    <x v="32"/>
  </r>
  <r>
    <x v="14"/>
  </r>
  <r>
    <x v="53"/>
  </r>
  <r>
    <x v="4"/>
  </r>
  <r>
    <x v="11"/>
  </r>
  <r>
    <x v="17"/>
  </r>
  <r>
    <x v="33"/>
  </r>
  <r>
    <x v="14"/>
  </r>
  <r>
    <x v="19"/>
  </r>
  <r>
    <x v="19"/>
  </r>
  <r>
    <x v="33"/>
  </r>
  <r>
    <x v="63"/>
  </r>
  <r>
    <x v="31"/>
  </r>
  <r>
    <x v="9"/>
  </r>
  <r>
    <x v="64"/>
  </r>
  <r>
    <x v="14"/>
  </r>
  <r>
    <x v="22"/>
  </r>
  <r>
    <x v="9"/>
  </r>
  <r>
    <x v="2"/>
  </r>
  <r>
    <x v="11"/>
  </r>
  <r>
    <x v="48"/>
  </r>
  <r>
    <x v="21"/>
  </r>
  <r>
    <x v="30"/>
  </r>
  <r>
    <x v="1"/>
  </r>
  <r>
    <x v="49"/>
  </r>
  <r>
    <x v="12"/>
  </r>
  <r>
    <x v="28"/>
  </r>
  <r>
    <x v="9"/>
  </r>
  <r>
    <x v="9"/>
  </r>
  <r>
    <x v="32"/>
  </r>
  <r>
    <x v="32"/>
  </r>
  <r>
    <x v="15"/>
  </r>
  <r>
    <x v="14"/>
  </r>
  <r>
    <x v="7"/>
  </r>
  <r>
    <x v="7"/>
  </r>
  <r>
    <x v="17"/>
  </r>
  <r>
    <x v="28"/>
  </r>
  <r>
    <x v="28"/>
  </r>
  <r>
    <x v="14"/>
  </r>
  <r>
    <x v="9"/>
  </r>
  <r>
    <x v="4"/>
  </r>
  <r>
    <x v="0"/>
  </r>
  <r>
    <x v="4"/>
  </r>
  <r>
    <x v="28"/>
  </r>
  <r>
    <x v="48"/>
  </r>
  <r>
    <x v="8"/>
  </r>
  <r>
    <x v="10"/>
  </r>
  <r>
    <x v="65"/>
  </r>
  <r>
    <x v="28"/>
  </r>
  <r>
    <x v="10"/>
  </r>
  <r>
    <x v="4"/>
  </r>
  <r>
    <x v="31"/>
  </r>
  <r>
    <x v="2"/>
  </r>
  <r>
    <x v="0"/>
  </r>
  <r>
    <x v="21"/>
  </r>
  <r>
    <x v="17"/>
  </r>
  <r>
    <x v="2"/>
  </r>
  <r>
    <x v="2"/>
  </r>
  <r>
    <x v="0"/>
  </r>
  <r>
    <x v="0"/>
  </r>
  <r>
    <x v="22"/>
  </r>
  <r>
    <x v="14"/>
  </r>
  <r>
    <x v="4"/>
  </r>
  <r>
    <x v="12"/>
  </r>
  <r>
    <x v="11"/>
  </r>
  <r>
    <x v="11"/>
  </r>
  <r>
    <x v="17"/>
  </r>
  <r>
    <x v="6"/>
  </r>
  <r>
    <x v="34"/>
  </r>
  <r>
    <x v="34"/>
  </r>
  <r>
    <x v="34"/>
  </r>
  <r>
    <x v="0"/>
  </r>
  <r>
    <x v="0"/>
  </r>
  <r>
    <x v="34"/>
  </r>
  <r>
    <x v="45"/>
  </r>
  <r>
    <x v="16"/>
  </r>
  <r>
    <x v="39"/>
  </r>
  <r>
    <x v="0"/>
  </r>
  <r>
    <x v="17"/>
  </r>
  <r>
    <x v="55"/>
  </r>
  <r>
    <x v="0"/>
  </r>
  <r>
    <x v="0"/>
  </r>
  <r>
    <x v="17"/>
  </r>
  <r>
    <x v="55"/>
  </r>
  <r>
    <x v="14"/>
  </r>
  <r>
    <x v="17"/>
  </r>
  <r>
    <x v="28"/>
  </r>
  <r>
    <x v="17"/>
  </r>
  <r>
    <x v="55"/>
  </r>
  <r>
    <x v="55"/>
  </r>
  <r>
    <x v="14"/>
  </r>
  <r>
    <x v="28"/>
  </r>
  <r>
    <x v="30"/>
  </r>
  <r>
    <x v="21"/>
  </r>
  <r>
    <x v="21"/>
  </r>
  <r>
    <x v="21"/>
  </r>
  <r>
    <x v="16"/>
  </r>
  <r>
    <x v="17"/>
  </r>
  <r>
    <x v="6"/>
  </r>
  <r>
    <x v="6"/>
  </r>
  <r>
    <x v="8"/>
  </r>
  <r>
    <x v="8"/>
  </r>
  <r>
    <x v="14"/>
  </r>
  <r>
    <x v="12"/>
  </r>
  <r>
    <x v="16"/>
  </r>
  <r>
    <x v="16"/>
  </r>
  <r>
    <x v="28"/>
  </r>
  <r>
    <x v="17"/>
  </r>
  <r>
    <x v="34"/>
  </r>
  <r>
    <x v="34"/>
  </r>
  <r>
    <x v="17"/>
  </r>
  <r>
    <x v="17"/>
  </r>
  <r>
    <x v="17"/>
  </r>
  <r>
    <x v="17"/>
  </r>
  <r>
    <x v="17"/>
  </r>
  <r>
    <x v="17"/>
  </r>
  <r>
    <x v="21"/>
  </r>
  <r>
    <x v="17"/>
  </r>
  <r>
    <x v="8"/>
  </r>
  <r>
    <x v="8"/>
  </r>
  <r>
    <x v="10"/>
  </r>
  <r>
    <x v="10"/>
  </r>
  <r>
    <x v="22"/>
  </r>
  <r>
    <x v="22"/>
  </r>
  <r>
    <x v="55"/>
  </r>
  <r>
    <x v="31"/>
  </r>
  <r>
    <x v="31"/>
  </r>
  <r>
    <x v="49"/>
  </r>
  <r>
    <x v="64"/>
  </r>
  <r>
    <x v="64"/>
  </r>
  <r>
    <x v="14"/>
  </r>
  <r>
    <x v="12"/>
  </r>
  <r>
    <x v="12"/>
  </r>
  <r>
    <x v="12"/>
  </r>
  <r>
    <x v="31"/>
  </r>
  <r>
    <x v="39"/>
  </r>
  <r>
    <x v="53"/>
  </r>
  <r>
    <x v="53"/>
  </r>
  <r>
    <x v="55"/>
  </r>
  <r>
    <x v="24"/>
  </r>
  <r>
    <x v="24"/>
  </r>
  <r>
    <x v="53"/>
  </r>
  <r>
    <x v="45"/>
  </r>
  <r>
    <x v="17"/>
  </r>
  <r>
    <x v="8"/>
  </r>
  <r>
    <x v="8"/>
  </r>
  <r>
    <x v="14"/>
  </r>
  <r>
    <x v="22"/>
  </r>
  <r>
    <x v="17"/>
  </r>
  <r>
    <x v="28"/>
  </r>
  <r>
    <x v="28"/>
  </r>
  <r>
    <x v="66"/>
  </r>
  <r>
    <x v="28"/>
  </r>
  <r>
    <x v="14"/>
  </r>
  <r>
    <x v="46"/>
  </r>
  <r>
    <x v="16"/>
  </r>
  <r>
    <x v="28"/>
  </r>
  <r>
    <x v="28"/>
  </r>
  <r>
    <x v="0"/>
  </r>
  <r>
    <x v="0"/>
  </r>
  <r>
    <x v="0"/>
  </r>
  <r>
    <x v="37"/>
  </r>
  <r>
    <x v="42"/>
  </r>
  <r>
    <x v="60"/>
  </r>
  <r>
    <x v="17"/>
  </r>
  <r>
    <x v="17"/>
  </r>
  <r>
    <x v="10"/>
  </r>
  <r>
    <x v="21"/>
  </r>
  <r>
    <x v="11"/>
  </r>
  <r>
    <x v="14"/>
  </r>
  <r>
    <x v="8"/>
  </r>
  <r>
    <x v="11"/>
  </r>
  <r>
    <x v="11"/>
  </r>
  <r>
    <x v="9"/>
  </r>
  <r>
    <x v="9"/>
  </r>
  <r>
    <x v="55"/>
  </r>
  <r>
    <x v="0"/>
  </r>
  <r>
    <x v="0"/>
  </r>
  <r>
    <x v="0"/>
  </r>
  <r>
    <x v="49"/>
  </r>
  <r>
    <x v="12"/>
  </r>
  <r>
    <x v="6"/>
  </r>
  <r>
    <x v="49"/>
  </r>
  <r>
    <x v="6"/>
  </r>
  <r>
    <x v="6"/>
  </r>
  <r>
    <x v="49"/>
  </r>
  <r>
    <x v="6"/>
  </r>
  <r>
    <x v="12"/>
  </r>
  <r>
    <x v="12"/>
  </r>
  <r>
    <x v="12"/>
  </r>
  <r>
    <x v="6"/>
  </r>
  <r>
    <x v="65"/>
  </r>
  <r>
    <x v="16"/>
  </r>
  <r>
    <x v="16"/>
  </r>
  <r>
    <x v="16"/>
  </r>
  <r>
    <x v="14"/>
  </r>
  <r>
    <x v="17"/>
  </r>
  <r>
    <x v="17"/>
  </r>
  <r>
    <x v="17"/>
  </r>
  <r>
    <x v="22"/>
  </r>
  <r>
    <x v="22"/>
  </r>
  <r>
    <x v="17"/>
  </r>
  <r>
    <x v="17"/>
  </r>
  <r>
    <x v="21"/>
  </r>
  <r>
    <x v="46"/>
  </r>
  <r>
    <x v="46"/>
  </r>
  <r>
    <x v="8"/>
  </r>
  <r>
    <x v="8"/>
  </r>
  <r>
    <x v="8"/>
  </r>
  <r>
    <x v="8"/>
  </r>
  <r>
    <x v="8"/>
  </r>
  <r>
    <x v="8"/>
  </r>
  <r>
    <x v="31"/>
  </r>
  <r>
    <x v="49"/>
  </r>
  <r>
    <x v="8"/>
  </r>
  <r>
    <x v="49"/>
  </r>
  <r>
    <x v="8"/>
  </r>
  <r>
    <x v="8"/>
  </r>
  <r>
    <x v="8"/>
  </r>
  <r>
    <x v="41"/>
  </r>
  <r>
    <x v="41"/>
  </r>
  <r>
    <x v="10"/>
  </r>
  <r>
    <x v="8"/>
  </r>
  <r>
    <x v="8"/>
  </r>
  <r>
    <x v="8"/>
  </r>
  <r>
    <x v="49"/>
  </r>
  <r>
    <x v="49"/>
  </r>
  <r>
    <x v="14"/>
  </r>
  <r>
    <x v="12"/>
  </r>
  <r>
    <x v="12"/>
  </r>
  <r>
    <x v="12"/>
  </r>
  <r>
    <x v="14"/>
  </r>
  <r>
    <x v="12"/>
  </r>
  <r>
    <x v="12"/>
  </r>
  <r>
    <x v="12"/>
  </r>
  <r>
    <x v="42"/>
  </r>
  <r>
    <x v="0"/>
  </r>
  <r>
    <x v="0"/>
  </r>
  <r>
    <x v="9"/>
  </r>
  <r>
    <x v="4"/>
  </r>
  <r>
    <x v="9"/>
  </r>
  <r>
    <x v="22"/>
  </r>
  <r>
    <x v="4"/>
  </r>
  <r>
    <x v="4"/>
  </r>
  <r>
    <x v="2"/>
  </r>
  <r>
    <x v="0"/>
  </r>
  <r>
    <x v="21"/>
  </r>
  <r>
    <x v="9"/>
  </r>
  <r>
    <x v="22"/>
  </r>
  <r>
    <x v="10"/>
  </r>
  <r>
    <x v="8"/>
  </r>
  <r>
    <x v="7"/>
  </r>
  <r>
    <x v="11"/>
  </r>
  <r>
    <x v="34"/>
  </r>
  <r>
    <x v="34"/>
  </r>
  <r>
    <x v="17"/>
  </r>
  <r>
    <x v="10"/>
  </r>
  <r>
    <x v="10"/>
  </r>
  <r>
    <x v="10"/>
  </r>
  <r>
    <x v="60"/>
  </r>
  <r>
    <x v="8"/>
  </r>
  <r>
    <x v="8"/>
  </r>
  <r>
    <x v="21"/>
  </r>
  <r>
    <x v="21"/>
  </r>
  <r>
    <x v="31"/>
  </r>
  <r>
    <x v="0"/>
  </r>
  <r>
    <x v="17"/>
  </r>
  <r>
    <x v="17"/>
  </r>
  <r>
    <x v="17"/>
  </r>
  <r>
    <x v="17"/>
  </r>
  <r>
    <x v="17"/>
  </r>
  <r>
    <x v="32"/>
  </r>
  <r>
    <x v="55"/>
  </r>
  <r>
    <x v="55"/>
  </r>
  <r>
    <x v="55"/>
  </r>
  <r>
    <x v="55"/>
  </r>
  <r>
    <x v="55"/>
  </r>
  <r>
    <x v="55"/>
  </r>
  <r>
    <x v="49"/>
  </r>
  <r>
    <x v="14"/>
  </r>
  <r>
    <x v="17"/>
  </r>
  <r>
    <x v="9"/>
  </r>
  <r>
    <x v="60"/>
  </r>
  <r>
    <x v="12"/>
  </r>
  <r>
    <x v="14"/>
  </r>
  <r>
    <x v="14"/>
  </r>
  <r>
    <x v="14"/>
  </r>
  <r>
    <x v="14"/>
  </r>
  <r>
    <x v="22"/>
  </r>
  <r>
    <x v="21"/>
  </r>
  <r>
    <x v="21"/>
  </r>
  <r>
    <x v="21"/>
  </r>
  <r>
    <x v="12"/>
  </r>
  <r>
    <x v="21"/>
  </r>
  <r>
    <x v="21"/>
  </r>
  <r>
    <x v="21"/>
  </r>
  <r>
    <x v="9"/>
  </r>
  <r>
    <x v="9"/>
  </r>
  <r>
    <x v="21"/>
  </r>
  <r>
    <x v="21"/>
  </r>
  <r>
    <x v="32"/>
  </r>
  <r>
    <x v="17"/>
  </r>
  <r>
    <x v="28"/>
  </r>
  <r>
    <x v="67"/>
  </r>
  <r>
    <x v="67"/>
  </r>
  <r>
    <x v="67"/>
  </r>
  <r>
    <x v="14"/>
  </r>
  <r>
    <x v="14"/>
  </r>
  <r>
    <x v="14"/>
  </r>
  <r>
    <x v="17"/>
  </r>
  <r>
    <x v="17"/>
  </r>
  <r>
    <x v="17"/>
  </r>
  <r>
    <x v="17"/>
  </r>
  <r>
    <x v="17"/>
  </r>
  <r>
    <x v="4"/>
  </r>
  <r>
    <x v="4"/>
  </r>
  <r>
    <x v="14"/>
  </r>
  <r>
    <x v="10"/>
  </r>
  <r>
    <x v="55"/>
  </r>
  <r>
    <x v="10"/>
  </r>
  <r>
    <x v="22"/>
  </r>
  <r>
    <x v="68"/>
  </r>
  <r>
    <x v="11"/>
  </r>
  <r>
    <x v="11"/>
  </r>
  <r>
    <x v="11"/>
  </r>
  <r>
    <x v="10"/>
  </r>
  <r>
    <x v="22"/>
  </r>
  <r>
    <x v="55"/>
  </r>
  <r>
    <x v="55"/>
  </r>
  <r>
    <x v="14"/>
  </r>
  <r>
    <x v="14"/>
  </r>
  <r>
    <x v="12"/>
  </r>
  <r>
    <x v="14"/>
  </r>
  <r>
    <x v="14"/>
  </r>
  <r>
    <x v="45"/>
  </r>
  <r>
    <x v="14"/>
  </r>
  <r>
    <x v="7"/>
  </r>
  <r>
    <x v="21"/>
  </r>
  <r>
    <x v="17"/>
  </r>
  <r>
    <x v="7"/>
  </r>
  <r>
    <x v="7"/>
  </r>
  <r>
    <x v="49"/>
  </r>
  <r>
    <x v="17"/>
  </r>
  <r>
    <x v="17"/>
  </r>
  <r>
    <x v="17"/>
  </r>
  <r>
    <x v="17"/>
  </r>
  <r>
    <x v="21"/>
  </r>
  <r>
    <x v="10"/>
  </r>
  <r>
    <x v="10"/>
  </r>
  <r>
    <x v="21"/>
  </r>
  <r>
    <x v="21"/>
  </r>
  <r>
    <x v="14"/>
  </r>
  <r>
    <x v="11"/>
  </r>
  <r>
    <x v="9"/>
  </r>
  <r>
    <x v="14"/>
  </r>
  <r>
    <x v="8"/>
  </r>
  <r>
    <x v="4"/>
  </r>
  <r>
    <x v="4"/>
  </r>
  <r>
    <x v="4"/>
  </r>
  <r>
    <x v="4"/>
  </r>
  <r>
    <x v="4"/>
  </r>
  <r>
    <x v="4"/>
  </r>
  <r>
    <x v="12"/>
  </r>
  <r>
    <x v="12"/>
  </r>
  <r>
    <x v="37"/>
  </r>
  <r>
    <x v="9"/>
  </r>
  <r>
    <x v="4"/>
  </r>
  <r>
    <x v="0"/>
  </r>
  <r>
    <x v="31"/>
  </r>
  <r>
    <x v="16"/>
  </r>
  <r>
    <x v="9"/>
  </r>
  <r>
    <x v="12"/>
  </r>
  <r>
    <x v="12"/>
  </r>
  <r>
    <x v="4"/>
  </r>
  <r>
    <x v="22"/>
  </r>
  <r>
    <x v="14"/>
  </r>
  <r>
    <x v="24"/>
  </r>
  <r>
    <x v="12"/>
  </r>
  <r>
    <x v="14"/>
  </r>
  <r>
    <x v="12"/>
  </r>
  <r>
    <x v="17"/>
  </r>
  <r>
    <x v="2"/>
  </r>
  <r>
    <x v="10"/>
  </r>
  <r>
    <x v="45"/>
  </r>
  <r>
    <x v="37"/>
  </r>
  <r>
    <x v="0"/>
  </r>
  <r>
    <x v="19"/>
  </r>
  <r>
    <x v="12"/>
  </r>
  <r>
    <x v="10"/>
  </r>
  <r>
    <x v="0"/>
  </r>
  <r>
    <x v="14"/>
  </r>
  <r>
    <x v="0"/>
  </r>
  <r>
    <x v="0"/>
  </r>
  <r>
    <x v="45"/>
  </r>
  <r>
    <x v="0"/>
  </r>
  <r>
    <x v="53"/>
  </r>
  <r>
    <x v="2"/>
  </r>
  <r>
    <x v="9"/>
  </r>
  <r>
    <x v="0"/>
  </r>
  <r>
    <x v="9"/>
  </r>
  <r>
    <x v="17"/>
  </r>
  <r>
    <x v="17"/>
  </r>
  <r>
    <x v="12"/>
  </r>
  <r>
    <x v="12"/>
  </r>
  <r>
    <x v="4"/>
  </r>
  <r>
    <x v="45"/>
  </r>
  <r>
    <x v="10"/>
  </r>
  <r>
    <x v="62"/>
  </r>
  <r>
    <x v="22"/>
  </r>
  <r>
    <x v="48"/>
  </r>
  <r>
    <x v="48"/>
  </r>
  <r>
    <x v="48"/>
  </r>
  <r>
    <x v="33"/>
  </r>
  <r>
    <x v="28"/>
  </r>
  <r>
    <x v="28"/>
  </r>
  <r>
    <x v="28"/>
  </r>
  <r>
    <x v="28"/>
  </r>
  <r>
    <x v="28"/>
  </r>
  <r>
    <x v="4"/>
  </r>
  <r>
    <x v="4"/>
  </r>
  <r>
    <x v="4"/>
  </r>
  <r>
    <x v="17"/>
  </r>
  <r>
    <x v="4"/>
  </r>
  <r>
    <x v="4"/>
  </r>
  <r>
    <x v="57"/>
  </r>
  <r>
    <x v="57"/>
  </r>
  <r>
    <x v="4"/>
  </r>
  <r>
    <x v="10"/>
  </r>
  <r>
    <x v="2"/>
  </r>
  <r>
    <x v="17"/>
  </r>
  <r>
    <x v="22"/>
  </r>
  <r>
    <x v="4"/>
  </r>
  <r>
    <x v="28"/>
  </r>
  <r>
    <x v="10"/>
  </r>
  <r>
    <x v="0"/>
  </r>
  <r>
    <x v="17"/>
  </r>
  <r>
    <x v="0"/>
  </r>
  <r>
    <x v="42"/>
  </r>
  <r>
    <x v="42"/>
  </r>
  <r>
    <x v="19"/>
  </r>
  <r>
    <x v="9"/>
  </r>
  <r>
    <x v="16"/>
  </r>
  <r>
    <x v="4"/>
  </r>
  <r>
    <x v="4"/>
  </r>
  <r>
    <x v="16"/>
  </r>
  <r>
    <x v="17"/>
  </r>
  <r>
    <x v="55"/>
  </r>
  <r>
    <x v="12"/>
  </r>
  <r>
    <x v="15"/>
  </r>
  <r>
    <x v="16"/>
  </r>
  <r>
    <x v="16"/>
  </r>
  <r>
    <x v="46"/>
  </r>
  <r>
    <x v="8"/>
  </r>
  <r>
    <x v="0"/>
  </r>
  <r>
    <x v="46"/>
  </r>
  <r>
    <x v="14"/>
  </r>
  <r>
    <x v="37"/>
  </r>
  <r>
    <x v="17"/>
  </r>
  <r>
    <x v="37"/>
  </r>
  <r>
    <x v="42"/>
  </r>
  <r>
    <x v="69"/>
  </r>
  <r>
    <x v="17"/>
  </r>
  <r>
    <x v="10"/>
  </r>
  <r>
    <x v="17"/>
  </r>
  <r>
    <x v="10"/>
  </r>
  <r>
    <x v="0"/>
  </r>
  <r>
    <x v="4"/>
  </r>
  <r>
    <x v="10"/>
  </r>
  <r>
    <x v="4"/>
  </r>
  <r>
    <x v="4"/>
  </r>
  <r>
    <x v="17"/>
  </r>
  <r>
    <x v="1"/>
  </r>
  <r>
    <x v="6"/>
  </r>
  <r>
    <x v="4"/>
  </r>
  <r>
    <x v="16"/>
  </r>
  <r>
    <x v="4"/>
  </r>
  <r>
    <x v="9"/>
  </r>
  <r>
    <x v="4"/>
  </r>
  <r>
    <x v="12"/>
  </r>
  <r>
    <x v="17"/>
  </r>
  <r>
    <x v="34"/>
  </r>
  <r>
    <x v="4"/>
  </r>
  <r>
    <x v="10"/>
  </r>
  <r>
    <x v="10"/>
  </r>
  <r>
    <x v="7"/>
  </r>
  <r>
    <x v="14"/>
  </r>
  <r>
    <x v="9"/>
  </r>
  <r>
    <x v="0"/>
  </r>
  <r>
    <x v="0"/>
  </r>
  <r>
    <x v="0"/>
  </r>
  <r>
    <x v="10"/>
  </r>
  <r>
    <x v="10"/>
  </r>
  <r>
    <x v="10"/>
  </r>
  <r>
    <x v="21"/>
  </r>
  <r>
    <x v="39"/>
  </r>
  <r>
    <x v="39"/>
  </r>
  <r>
    <x v="10"/>
  </r>
  <r>
    <x v="10"/>
  </r>
  <r>
    <x v="28"/>
  </r>
  <r>
    <x v="2"/>
  </r>
  <r>
    <x v="10"/>
  </r>
  <r>
    <x v="10"/>
  </r>
  <r>
    <x v="14"/>
  </r>
  <r>
    <x v="37"/>
  </r>
  <r>
    <x v="53"/>
  </r>
  <r>
    <x v="14"/>
  </r>
  <r>
    <x v="14"/>
  </r>
  <r>
    <x v="10"/>
  </r>
  <r>
    <x v="21"/>
  </r>
  <r>
    <x v="4"/>
  </r>
  <r>
    <x v="10"/>
  </r>
  <r>
    <x v="4"/>
  </r>
  <r>
    <x v="1"/>
  </r>
  <r>
    <x v="1"/>
  </r>
  <r>
    <x v="53"/>
  </r>
  <r>
    <x v="53"/>
  </r>
  <r>
    <x v="0"/>
  </r>
  <r>
    <x v="10"/>
  </r>
  <r>
    <x v="2"/>
  </r>
  <r>
    <x v="9"/>
  </r>
  <r>
    <x v="17"/>
  </r>
  <r>
    <x v="17"/>
  </r>
  <r>
    <x v="0"/>
  </r>
  <r>
    <x v="10"/>
  </r>
  <r>
    <x v="6"/>
  </r>
  <r>
    <x v="21"/>
  </r>
  <r>
    <x v="7"/>
  </r>
  <r>
    <x v="21"/>
  </r>
  <r>
    <x v="8"/>
  </r>
  <r>
    <x v="9"/>
  </r>
  <r>
    <x v="14"/>
  </r>
  <r>
    <x v="14"/>
  </r>
  <r>
    <x v="14"/>
  </r>
  <r>
    <x v="4"/>
  </r>
  <r>
    <x v="4"/>
  </r>
  <r>
    <x v="51"/>
  </r>
  <r>
    <x v="0"/>
  </r>
  <r>
    <x v="12"/>
  </r>
  <r>
    <x v="45"/>
  </r>
  <r>
    <x v="29"/>
  </r>
  <r>
    <x v="37"/>
  </r>
  <r>
    <x v="4"/>
  </r>
  <r>
    <x v="6"/>
  </r>
  <r>
    <x v="42"/>
  </r>
  <r>
    <x v="37"/>
  </r>
  <r>
    <x v="4"/>
  </r>
  <r>
    <x v="48"/>
  </r>
  <r>
    <x v="4"/>
  </r>
  <r>
    <x v="43"/>
  </r>
  <r>
    <x v="6"/>
  </r>
  <r>
    <x v="22"/>
  </r>
  <r>
    <x v="70"/>
  </r>
  <r>
    <x v="16"/>
  </r>
  <r>
    <x v="14"/>
  </r>
  <r>
    <x v="21"/>
  </r>
  <r>
    <x v="48"/>
  </r>
  <r>
    <x v="12"/>
  </r>
  <r>
    <x v="10"/>
  </r>
  <r>
    <x v="7"/>
  </r>
  <r>
    <x v="0"/>
  </r>
  <r>
    <x v="4"/>
  </r>
  <r>
    <x v="22"/>
  </r>
  <r>
    <x v="1"/>
  </r>
  <r>
    <x v="14"/>
  </r>
  <r>
    <x v="42"/>
  </r>
  <r>
    <x v="0"/>
  </r>
  <r>
    <x v="7"/>
  </r>
  <r>
    <x v="64"/>
  </r>
  <r>
    <x v="70"/>
  </r>
  <r>
    <x v="12"/>
  </r>
  <r>
    <x v="15"/>
  </r>
  <r>
    <x v="14"/>
  </r>
  <r>
    <x v="15"/>
  </r>
  <r>
    <x v="15"/>
  </r>
  <r>
    <x v="1"/>
  </r>
  <r>
    <x v="4"/>
  </r>
  <r>
    <x v="11"/>
  </r>
  <r>
    <x v="11"/>
  </r>
  <r>
    <x v="55"/>
  </r>
  <r>
    <x v="11"/>
  </r>
  <r>
    <x v="4"/>
  </r>
  <r>
    <x v="2"/>
  </r>
  <r>
    <x v="14"/>
  </r>
  <r>
    <x v="14"/>
  </r>
  <r>
    <x v="14"/>
  </r>
  <r>
    <x v="14"/>
  </r>
  <r>
    <x v="32"/>
  </r>
  <r>
    <x v="10"/>
  </r>
  <r>
    <x v="14"/>
  </r>
  <r>
    <x v="19"/>
  </r>
  <r>
    <x v="71"/>
  </r>
  <r>
    <x v="10"/>
  </r>
  <r>
    <x v="72"/>
  </r>
  <r>
    <x v="72"/>
  </r>
  <r>
    <x v="55"/>
  </r>
  <r>
    <x v="10"/>
  </r>
  <r>
    <x v="19"/>
  </r>
  <r>
    <x v="2"/>
  </r>
  <r>
    <x v="19"/>
  </r>
  <r>
    <x v="19"/>
  </r>
  <r>
    <x v="0"/>
  </r>
  <r>
    <x v="10"/>
  </r>
  <r>
    <x v="10"/>
  </r>
  <r>
    <x v="42"/>
  </r>
  <r>
    <x v="28"/>
  </r>
  <r>
    <x v="10"/>
  </r>
  <r>
    <x v="10"/>
  </r>
  <r>
    <x v="6"/>
  </r>
  <r>
    <x v="0"/>
  </r>
  <r>
    <x v="24"/>
  </r>
  <r>
    <x v="10"/>
  </r>
  <r>
    <x v="10"/>
  </r>
  <r>
    <x v="4"/>
  </r>
  <r>
    <x v="7"/>
  </r>
  <r>
    <x v="4"/>
  </r>
  <r>
    <x v="6"/>
  </r>
  <r>
    <x v="11"/>
  </r>
  <r>
    <x v="11"/>
  </r>
  <r>
    <x v="6"/>
  </r>
  <r>
    <x v="14"/>
  </r>
  <r>
    <x v="10"/>
  </r>
  <r>
    <x v="12"/>
  </r>
  <r>
    <x v="0"/>
  </r>
  <r>
    <x v="12"/>
  </r>
  <r>
    <x v="31"/>
  </r>
  <r>
    <x v="56"/>
  </r>
  <r>
    <x v="73"/>
  </r>
  <r>
    <x v="73"/>
  </r>
  <r>
    <x v="9"/>
  </r>
  <r>
    <x v="24"/>
  </r>
  <r>
    <x v="0"/>
  </r>
  <r>
    <x v="0"/>
  </r>
  <r>
    <x v="14"/>
  </r>
  <r>
    <x v="7"/>
  </r>
  <r>
    <x v="16"/>
  </r>
  <r>
    <x v="16"/>
  </r>
  <r>
    <x v="21"/>
  </r>
  <r>
    <x v="0"/>
  </r>
  <r>
    <x v="8"/>
  </r>
  <r>
    <x v="14"/>
  </r>
  <r>
    <x v="22"/>
  </r>
  <r>
    <x v="10"/>
  </r>
  <r>
    <x v="4"/>
  </r>
  <r>
    <x v="0"/>
  </r>
  <r>
    <x v="53"/>
  </r>
  <r>
    <x v="7"/>
  </r>
  <r>
    <x v="4"/>
  </r>
  <r>
    <x v="11"/>
  </r>
  <r>
    <x v="42"/>
  </r>
  <r>
    <x v="14"/>
  </r>
  <r>
    <x v="42"/>
  </r>
  <r>
    <x v="70"/>
  </r>
  <r>
    <x v="21"/>
  </r>
  <r>
    <x v="32"/>
  </r>
  <r>
    <x v="39"/>
  </r>
  <r>
    <x v="39"/>
  </r>
  <r>
    <x v="43"/>
  </r>
  <r>
    <x v="12"/>
  </r>
  <r>
    <x v="9"/>
  </r>
  <r>
    <x v="16"/>
  </r>
  <r>
    <x v="12"/>
  </r>
  <r>
    <x v="14"/>
  </r>
  <r>
    <x v="0"/>
  </r>
  <r>
    <x v="31"/>
  </r>
  <r>
    <x v="12"/>
  </r>
  <r>
    <x v="10"/>
  </r>
  <r>
    <x v="16"/>
  </r>
  <r>
    <x v="2"/>
  </r>
  <r>
    <x v="53"/>
  </r>
  <r>
    <x v="0"/>
  </r>
  <r>
    <x v="30"/>
  </r>
  <r>
    <x v="8"/>
  </r>
  <r>
    <x v="74"/>
  </r>
  <r>
    <x v="58"/>
  </r>
  <r>
    <x v="74"/>
  </r>
  <r>
    <x v="12"/>
  </r>
  <r>
    <x v="41"/>
  </r>
  <r>
    <x v="12"/>
  </r>
  <r>
    <x v="12"/>
  </r>
  <r>
    <x v="12"/>
  </r>
  <r>
    <x v="21"/>
  </r>
  <r>
    <x v="12"/>
  </r>
  <r>
    <x v="37"/>
  </r>
  <r>
    <x v="11"/>
  </r>
  <r>
    <x v="37"/>
  </r>
  <r>
    <x v="7"/>
  </r>
  <r>
    <x v="12"/>
  </r>
  <r>
    <x v="37"/>
  </r>
  <r>
    <x v="28"/>
  </r>
  <r>
    <x v="8"/>
  </r>
  <r>
    <x v="21"/>
  </r>
  <r>
    <x v="28"/>
  </r>
  <r>
    <x v="28"/>
  </r>
  <r>
    <x v="0"/>
  </r>
  <r>
    <x v="0"/>
  </r>
  <r>
    <x v="28"/>
  </r>
  <r>
    <x v="28"/>
  </r>
  <r>
    <x v="0"/>
  </r>
  <r>
    <x v="0"/>
  </r>
  <r>
    <x v="21"/>
  </r>
  <r>
    <x v="0"/>
  </r>
  <r>
    <x v="39"/>
  </r>
  <r>
    <x v="10"/>
  </r>
  <r>
    <x v="17"/>
  </r>
  <r>
    <x v="17"/>
  </r>
  <r>
    <x v="25"/>
  </r>
  <r>
    <x v="62"/>
  </r>
  <r>
    <x v="14"/>
  </r>
  <r>
    <x v="22"/>
  </r>
  <r>
    <x v="48"/>
  </r>
  <r>
    <x v="22"/>
  </r>
  <r>
    <x v="48"/>
  </r>
  <r>
    <x v="48"/>
  </r>
  <r>
    <x v="22"/>
  </r>
  <r>
    <x v="37"/>
  </r>
  <r>
    <x v="22"/>
  </r>
  <r>
    <x v="0"/>
  </r>
  <r>
    <x v="0"/>
  </r>
  <r>
    <x v="0"/>
  </r>
  <r>
    <x v="0"/>
  </r>
  <r>
    <x v="0"/>
  </r>
  <r>
    <x v="16"/>
  </r>
  <r>
    <x v="72"/>
  </r>
  <r>
    <x v="16"/>
  </r>
  <r>
    <x v="14"/>
  </r>
  <r>
    <x v="0"/>
  </r>
  <r>
    <x v="14"/>
  </r>
  <r>
    <x v="0"/>
  </r>
  <r>
    <x v="45"/>
  </r>
  <r>
    <x v="75"/>
  </r>
  <r>
    <x v="56"/>
  </r>
  <r>
    <x v="66"/>
  </r>
  <r>
    <x v="0"/>
  </r>
  <r>
    <x v="14"/>
  </r>
  <r>
    <x v="10"/>
  </r>
  <r>
    <x v="22"/>
  </r>
  <r>
    <x v="76"/>
  </r>
  <r>
    <x v="77"/>
  </r>
  <r>
    <x v="45"/>
  </r>
  <r>
    <x v="14"/>
  </r>
  <r>
    <x v="14"/>
  </r>
  <r>
    <x v="12"/>
  </r>
  <r>
    <x v="55"/>
  </r>
  <r>
    <x v="55"/>
  </r>
  <r>
    <x v="17"/>
  </r>
  <r>
    <x v="58"/>
  </r>
  <r>
    <x v="21"/>
  </r>
  <r>
    <x v="2"/>
  </r>
  <r>
    <x v="14"/>
  </r>
  <r>
    <x v="12"/>
  </r>
  <r>
    <x v="8"/>
  </r>
  <r>
    <x v="8"/>
  </r>
  <r>
    <x v="55"/>
  </r>
  <r>
    <x v="55"/>
  </r>
  <r>
    <x v="49"/>
  </r>
  <r>
    <x v="21"/>
  </r>
  <r>
    <x v="21"/>
  </r>
  <r>
    <x v="12"/>
  </r>
  <r>
    <x v="2"/>
  </r>
  <r>
    <x v="22"/>
  </r>
  <r>
    <x v="21"/>
  </r>
  <r>
    <x v="17"/>
  </r>
  <r>
    <x v="12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7"/>
  </r>
  <r>
    <x v="27"/>
  </r>
  <r>
    <x v="27"/>
  </r>
  <r>
    <x v="27"/>
  </r>
  <r>
    <x v="78"/>
  </r>
  <r>
    <x v="78"/>
  </r>
  <r>
    <x v="79"/>
  </r>
  <r>
    <x v="79"/>
  </r>
  <r>
    <x v="79"/>
  </r>
  <r>
    <x v="79"/>
  </r>
  <r>
    <x v="79"/>
  </r>
  <r>
    <x v="79"/>
  </r>
  <r>
    <x v="32"/>
  </r>
  <r>
    <x v="32"/>
  </r>
  <r>
    <x v="32"/>
  </r>
  <r>
    <x v="32"/>
  </r>
  <r>
    <x v="79"/>
  </r>
  <r>
    <x v="32"/>
  </r>
  <r>
    <x v="32"/>
  </r>
  <r>
    <x v="79"/>
  </r>
  <r>
    <x v="2"/>
  </r>
  <r>
    <x v="0"/>
  </r>
  <r>
    <x v="0"/>
  </r>
  <r>
    <x v="0"/>
  </r>
  <r>
    <x v="48"/>
  </r>
  <r>
    <x v="48"/>
  </r>
  <r>
    <x v="48"/>
  </r>
  <r>
    <x v="14"/>
  </r>
  <r>
    <x v="14"/>
  </r>
  <r>
    <x v="56"/>
  </r>
  <r>
    <x v="14"/>
  </r>
  <r>
    <x v="14"/>
  </r>
  <r>
    <x v="14"/>
  </r>
  <r>
    <x v="14"/>
  </r>
  <r>
    <x v="14"/>
  </r>
  <r>
    <x v="0"/>
  </r>
  <r>
    <x v="0"/>
  </r>
  <r>
    <x v="80"/>
  </r>
  <r>
    <x v="80"/>
  </r>
  <r>
    <x v="80"/>
  </r>
  <r>
    <x v="81"/>
  </r>
  <r>
    <x v="48"/>
  </r>
  <r>
    <x v="82"/>
  </r>
  <r>
    <x v="82"/>
  </r>
  <r>
    <x v="76"/>
  </r>
  <r>
    <x v="83"/>
  </r>
  <r>
    <x v="14"/>
  </r>
  <r>
    <x v="82"/>
  </r>
  <r>
    <x v="14"/>
  </r>
  <r>
    <x v="14"/>
  </r>
  <r>
    <x v="76"/>
  </r>
  <r>
    <x v="55"/>
  </r>
  <r>
    <x v="14"/>
  </r>
  <r>
    <x v="14"/>
  </r>
  <r>
    <x v="14"/>
  </r>
  <r>
    <x v="14"/>
  </r>
  <r>
    <x v="14"/>
  </r>
  <r>
    <x v="14"/>
  </r>
  <r>
    <x v="84"/>
  </r>
  <r>
    <x v="84"/>
  </r>
  <r>
    <x v="14"/>
  </r>
  <r>
    <x v="14"/>
  </r>
  <r>
    <x v="14"/>
  </r>
  <r>
    <x v="14"/>
  </r>
  <r>
    <x v="14"/>
  </r>
  <r>
    <x v="23"/>
  </r>
  <r>
    <x v="85"/>
  </r>
  <r>
    <x v="85"/>
  </r>
  <r>
    <x v="23"/>
  </r>
  <r>
    <x v="79"/>
  </r>
  <r>
    <x v="48"/>
  </r>
  <r>
    <x v="25"/>
  </r>
  <r>
    <x v="59"/>
  </r>
  <r>
    <x v="59"/>
  </r>
  <r>
    <x v="28"/>
  </r>
  <r>
    <x v="28"/>
  </r>
  <r>
    <x v="28"/>
  </r>
  <r>
    <x v="12"/>
  </r>
  <r>
    <x v="86"/>
  </r>
  <r>
    <x v="48"/>
  </r>
  <r>
    <x v="86"/>
  </r>
  <r>
    <x v="86"/>
  </r>
  <r>
    <x v="86"/>
  </r>
  <r>
    <x v="32"/>
  </r>
  <r>
    <x v="12"/>
  </r>
  <r>
    <x v="86"/>
  </r>
  <r>
    <x v="86"/>
  </r>
  <r>
    <x v="87"/>
  </r>
  <r>
    <x v="87"/>
  </r>
  <r>
    <x v="87"/>
  </r>
  <r>
    <x v="28"/>
  </r>
  <r>
    <x v="28"/>
  </r>
  <r>
    <x v="12"/>
  </r>
  <r>
    <x v="3"/>
  </r>
  <r>
    <x v="12"/>
  </r>
  <r>
    <x v="12"/>
  </r>
  <r>
    <x v="71"/>
  </r>
  <r>
    <x v="10"/>
  </r>
  <r>
    <x v="10"/>
  </r>
  <r>
    <x v="79"/>
  </r>
  <r>
    <x v="79"/>
  </r>
  <r>
    <x v="25"/>
  </r>
  <r>
    <x v="2"/>
  </r>
  <r>
    <x v="59"/>
  </r>
  <r>
    <x v="59"/>
  </r>
  <r>
    <x v="32"/>
  </r>
  <r>
    <x v="25"/>
  </r>
  <r>
    <x v="25"/>
  </r>
  <r>
    <x v="78"/>
  </r>
  <r>
    <x v="78"/>
  </r>
  <r>
    <x v="7"/>
  </r>
  <r>
    <x v="78"/>
  </r>
  <r>
    <x v="31"/>
  </r>
  <r>
    <x v="7"/>
  </r>
  <r>
    <x v="88"/>
  </r>
  <r>
    <x v="7"/>
  </r>
  <r>
    <x v="7"/>
  </r>
  <r>
    <x v="89"/>
  </r>
  <r>
    <x v="89"/>
  </r>
  <r>
    <x v="14"/>
  </r>
  <r>
    <x v="71"/>
  </r>
  <r>
    <x v="7"/>
  </r>
  <r>
    <x v="10"/>
  </r>
  <r>
    <x v="10"/>
  </r>
  <r>
    <x v="12"/>
  </r>
  <r>
    <x v="10"/>
  </r>
  <r>
    <x v="10"/>
  </r>
  <r>
    <x v="42"/>
  </r>
  <r>
    <x v="71"/>
  </r>
  <r>
    <x v="83"/>
  </r>
  <r>
    <x v="83"/>
  </r>
  <r>
    <x v="83"/>
  </r>
  <r>
    <x v="90"/>
  </r>
  <r>
    <x v="31"/>
  </r>
  <r>
    <x v="83"/>
  </r>
  <r>
    <x v="91"/>
  </r>
  <r>
    <x v="48"/>
  </r>
  <r>
    <x v="14"/>
  </r>
  <r>
    <x v="89"/>
  </r>
  <r>
    <x v="89"/>
  </r>
  <r>
    <x v="89"/>
  </r>
  <r>
    <x v="81"/>
  </r>
  <r>
    <x v="90"/>
  </r>
  <r>
    <x v="31"/>
  </r>
  <r>
    <x v="31"/>
  </r>
  <r>
    <x v="11"/>
  </r>
  <r>
    <x v="22"/>
  </r>
  <r>
    <x v="92"/>
  </r>
  <r>
    <x v="92"/>
  </r>
  <r>
    <x v="59"/>
  </r>
  <r>
    <x v="59"/>
  </r>
  <r>
    <x v="76"/>
  </r>
  <r>
    <x v="10"/>
  </r>
  <r>
    <x v="44"/>
  </r>
  <r>
    <x v="82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78"/>
  </r>
  <r>
    <x v="93"/>
  </r>
  <r>
    <x v="93"/>
  </r>
  <r>
    <x v="93"/>
  </r>
  <r>
    <x v="25"/>
  </r>
  <r>
    <x v="48"/>
  </r>
  <r>
    <x v="48"/>
  </r>
  <r>
    <x v="48"/>
  </r>
  <r>
    <x v="48"/>
  </r>
  <r>
    <x v="93"/>
  </r>
  <r>
    <x v="93"/>
  </r>
  <r>
    <x v="93"/>
  </r>
  <r>
    <x v="93"/>
  </r>
  <r>
    <x v="93"/>
  </r>
  <r>
    <x v="93"/>
  </r>
  <r>
    <x v="93"/>
  </r>
  <r>
    <x v="25"/>
  </r>
  <r>
    <x v="7"/>
  </r>
  <r>
    <x v="94"/>
  </r>
  <r>
    <x v="93"/>
  </r>
  <r>
    <x v="93"/>
  </r>
  <r>
    <x v="93"/>
  </r>
  <r>
    <x v="93"/>
  </r>
  <r>
    <x v="93"/>
  </r>
  <r>
    <x v="25"/>
  </r>
  <r>
    <x v="48"/>
  </r>
  <r>
    <x v="48"/>
  </r>
  <r>
    <x v="48"/>
  </r>
  <r>
    <x v="93"/>
  </r>
  <r>
    <x v="93"/>
  </r>
  <r>
    <x v="93"/>
  </r>
  <r>
    <x v="93"/>
  </r>
  <r>
    <x v="93"/>
  </r>
  <r>
    <x v="93"/>
  </r>
  <r>
    <x v="93"/>
  </r>
  <r>
    <x v="93"/>
  </r>
  <r>
    <x v="20"/>
  </r>
  <r>
    <x v="93"/>
  </r>
  <r>
    <x v="93"/>
  </r>
  <r>
    <x v="93"/>
  </r>
  <r>
    <x v="93"/>
  </r>
  <r>
    <x v="78"/>
  </r>
  <r>
    <x v="78"/>
  </r>
  <r>
    <x v="78"/>
  </r>
  <r>
    <x v="78"/>
  </r>
  <r>
    <x v="78"/>
  </r>
  <r>
    <x v="0"/>
  </r>
  <r>
    <x v="0"/>
  </r>
  <r>
    <x v="0"/>
  </r>
  <r>
    <x v="0"/>
  </r>
  <r>
    <x v="81"/>
  </r>
  <r>
    <x v="95"/>
  </r>
  <r>
    <x v="95"/>
  </r>
  <r>
    <x v="95"/>
  </r>
  <r>
    <x v="78"/>
  </r>
  <r>
    <x v="78"/>
  </r>
  <r>
    <x v="78"/>
  </r>
  <r>
    <x v="78"/>
  </r>
  <r>
    <x v="78"/>
  </r>
  <r>
    <x v="0"/>
  </r>
  <r>
    <x v="71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8"/>
  </r>
  <r>
    <x v="25"/>
  </r>
  <r>
    <x v="48"/>
  </r>
  <r>
    <x v="48"/>
  </r>
  <r>
    <x v="48"/>
  </r>
  <r>
    <x v="48"/>
  </r>
  <r>
    <x v="85"/>
  </r>
  <r>
    <x v="78"/>
  </r>
  <r>
    <x v="78"/>
  </r>
  <r>
    <x v="96"/>
  </r>
  <r>
    <x v="96"/>
  </r>
  <r>
    <x v="96"/>
  </r>
  <r>
    <x v="97"/>
  </r>
  <r>
    <x v="48"/>
  </r>
  <r>
    <x v="86"/>
  </r>
  <r>
    <x v="95"/>
  </r>
  <r>
    <x v="98"/>
  </r>
  <r>
    <x v="57"/>
  </r>
  <r>
    <x v="57"/>
  </r>
  <r>
    <x v="78"/>
  </r>
  <r>
    <x v="78"/>
  </r>
  <r>
    <x v="93"/>
  </r>
  <r>
    <x v="93"/>
  </r>
  <r>
    <x v="78"/>
  </r>
  <r>
    <x v="93"/>
  </r>
  <r>
    <x v="93"/>
  </r>
  <r>
    <x v="85"/>
  </r>
  <r>
    <x v="78"/>
  </r>
  <r>
    <x v="93"/>
  </r>
  <r>
    <x v="93"/>
  </r>
  <r>
    <x v="93"/>
  </r>
  <r>
    <x v="93"/>
  </r>
  <r>
    <x v="93"/>
  </r>
  <r>
    <x v="93"/>
  </r>
  <r>
    <x v="82"/>
  </r>
  <r>
    <x v="93"/>
  </r>
  <r>
    <x v="93"/>
  </r>
  <r>
    <x v="93"/>
  </r>
  <r>
    <x v="93"/>
  </r>
  <r>
    <x v="93"/>
  </r>
  <r>
    <x v="93"/>
  </r>
  <r>
    <x v="93"/>
  </r>
  <r>
    <x v="93"/>
  </r>
  <r>
    <x v="96"/>
  </r>
  <r>
    <x v="93"/>
  </r>
  <r>
    <x v="78"/>
  </r>
  <r>
    <x v="93"/>
  </r>
  <r>
    <x v="93"/>
  </r>
  <r>
    <x v="93"/>
  </r>
  <r>
    <x v="93"/>
  </r>
  <r>
    <x v="93"/>
  </r>
  <r>
    <x v="93"/>
  </r>
  <r>
    <x v="78"/>
  </r>
  <r>
    <x v="93"/>
  </r>
  <r>
    <x v="93"/>
  </r>
  <r>
    <x v="93"/>
  </r>
  <r>
    <x v="29"/>
  </r>
  <r>
    <x v="93"/>
  </r>
  <r>
    <x v="78"/>
  </r>
  <r>
    <x v="25"/>
  </r>
  <r>
    <x v="25"/>
  </r>
  <r>
    <x v="25"/>
  </r>
  <r>
    <x v="96"/>
  </r>
  <r>
    <x v="78"/>
  </r>
  <r>
    <x v="48"/>
  </r>
  <r>
    <x v="93"/>
  </r>
  <r>
    <x v="99"/>
  </r>
  <r>
    <x v="93"/>
  </r>
  <r>
    <x v="93"/>
  </r>
  <r>
    <x v="93"/>
  </r>
  <r>
    <x v="93"/>
  </r>
  <r>
    <x v="93"/>
  </r>
  <r>
    <x v="93"/>
  </r>
  <r>
    <x v="30"/>
  </r>
  <r>
    <x v="93"/>
  </r>
  <r>
    <x v="93"/>
  </r>
  <r>
    <x v="93"/>
  </r>
  <r>
    <x v="93"/>
  </r>
  <r>
    <x v="63"/>
  </r>
  <r>
    <x v="93"/>
  </r>
  <r>
    <x v="93"/>
  </r>
  <r>
    <x v="93"/>
  </r>
  <r>
    <x v="93"/>
  </r>
  <r>
    <x v="93"/>
  </r>
  <r>
    <x v="93"/>
  </r>
  <r>
    <x v="93"/>
  </r>
  <r>
    <x v="9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00"/>
  </r>
  <r>
    <x v="63"/>
  </r>
  <r>
    <x v="10"/>
  </r>
  <r>
    <x v="6"/>
  </r>
  <r>
    <x v="44"/>
  </r>
  <r>
    <x v="48"/>
  </r>
  <r>
    <x v="101"/>
  </r>
  <r>
    <x v="81"/>
  </r>
  <r>
    <x v="25"/>
  </r>
  <r>
    <x v="25"/>
  </r>
  <r>
    <x v="25"/>
  </r>
  <r>
    <x v="25"/>
  </r>
  <r>
    <x v="25"/>
  </r>
  <r>
    <x v="25"/>
  </r>
  <r>
    <x v="25"/>
  </r>
  <r>
    <x v="80"/>
  </r>
  <r>
    <x v="25"/>
  </r>
  <r>
    <x v="25"/>
  </r>
  <r>
    <x v="25"/>
  </r>
  <r>
    <x v="25"/>
  </r>
  <r>
    <x v="25"/>
  </r>
  <r>
    <x v="102"/>
  </r>
  <r>
    <x v="102"/>
  </r>
  <r>
    <x v="10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25"/>
  </r>
  <r>
    <x v="72"/>
  </r>
  <r>
    <x v="25"/>
  </r>
  <r>
    <x v="72"/>
  </r>
  <r>
    <x v="25"/>
  </r>
  <r>
    <x v="25"/>
  </r>
  <r>
    <x v="72"/>
  </r>
  <r>
    <x v="25"/>
  </r>
  <r>
    <x v="25"/>
  </r>
  <r>
    <x v="25"/>
  </r>
  <r>
    <x v="72"/>
  </r>
  <r>
    <x v="25"/>
  </r>
  <r>
    <x v="25"/>
  </r>
  <r>
    <x v="25"/>
  </r>
  <r>
    <x v="25"/>
  </r>
  <r>
    <x v="63"/>
  </r>
  <r>
    <x v="83"/>
  </r>
  <r>
    <x v="94"/>
  </r>
  <r>
    <x v="29"/>
  </r>
  <r>
    <x v="29"/>
  </r>
  <r>
    <x v="92"/>
  </r>
  <r>
    <x v="23"/>
  </r>
  <r>
    <x v="99"/>
  </r>
  <r>
    <x v="103"/>
  </r>
  <r>
    <x v="99"/>
  </r>
  <r>
    <x v="103"/>
  </r>
  <r>
    <x v="25"/>
  </r>
  <r>
    <x v="25"/>
  </r>
  <r>
    <x v="25"/>
  </r>
  <r>
    <x v="25"/>
  </r>
  <r>
    <x v="25"/>
  </r>
  <r>
    <x v="25"/>
  </r>
  <r>
    <x v="25"/>
  </r>
  <r>
    <x v="25"/>
  </r>
  <r>
    <x v="86"/>
  </r>
  <r>
    <x v="79"/>
  </r>
  <r>
    <x v="86"/>
  </r>
  <r>
    <x v="8"/>
  </r>
  <r>
    <x v="25"/>
  </r>
  <r>
    <x v="25"/>
  </r>
  <r>
    <x v="25"/>
  </r>
  <r>
    <x v="25"/>
  </r>
  <r>
    <x v="29"/>
  </r>
  <r>
    <x v="29"/>
  </r>
  <r>
    <x v="25"/>
  </r>
  <r>
    <x v="25"/>
  </r>
  <r>
    <x v="25"/>
  </r>
  <r>
    <x v="104"/>
  </r>
  <r>
    <x v="10"/>
  </r>
  <r>
    <x v="10"/>
  </r>
  <r>
    <x v="35"/>
  </r>
  <r>
    <x v="25"/>
  </r>
  <r>
    <x v="25"/>
  </r>
  <r>
    <x v="25"/>
  </r>
  <r>
    <x v="72"/>
  </r>
  <r>
    <x v="48"/>
  </r>
  <r>
    <x v="63"/>
  </r>
  <r>
    <x v="25"/>
  </r>
  <r>
    <x v="7"/>
  </r>
  <r>
    <x v="77"/>
  </r>
  <r>
    <x v="72"/>
  </r>
  <r>
    <x v="25"/>
  </r>
  <r>
    <x v="25"/>
  </r>
  <r>
    <x v="25"/>
  </r>
  <r>
    <x v="72"/>
  </r>
  <r>
    <x v="63"/>
  </r>
  <r>
    <x v="29"/>
  </r>
  <r>
    <x v="72"/>
  </r>
  <r>
    <x v="72"/>
  </r>
  <r>
    <x v="25"/>
  </r>
  <r>
    <x v="25"/>
  </r>
  <r>
    <x v="25"/>
  </r>
  <r>
    <x v="63"/>
  </r>
  <r>
    <x v="72"/>
  </r>
  <r>
    <x v="25"/>
  </r>
  <r>
    <x v="82"/>
  </r>
  <r>
    <x v="82"/>
  </r>
  <r>
    <x v="82"/>
  </r>
  <r>
    <x v="25"/>
  </r>
  <r>
    <x v="25"/>
  </r>
  <r>
    <x v="76"/>
  </r>
  <r>
    <x v="42"/>
  </r>
  <r>
    <x v="105"/>
  </r>
  <r>
    <x v="25"/>
  </r>
  <r>
    <x v="25"/>
  </r>
  <r>
    <x v="25"/>
  </r>
  <r>
    <x v="6"/>
  </r>
  <r>
    <x v="31"/>
  </r>
  <r>
    <x v="14"/>
  </r>
  <r>
    <x v="3"/>
  </r>
  <r>
    <x v="106"/>
  </r>
  <r>
    <x v="28"/>
  </r>
  <r>
    <x v="31"/>
  </r>
  <r>
    <x v="63"/>
  </r>
  <r>
    <x v="106"/>
  </r>
  <r>
    <x v="31"/>
  </r>
  <r>
    <x v="25"/>
  </r>
  <r>
    <x v="76"/>
  </r>
  <r>
    <x v="25"/>
  </r>
  <r>
    <x v="72"/>
  </r>
  <r>
    <x v="72"/>
  </r>
  <r>
    <x v="72"/>
  </r>
  <r>
    <x v="72"/>
  </r>
  <r>
    <x v="42"/>
  </r>
  <r>
    <x v="42"/>
  </r>
  <r>
    <x v="25"/>
  </r>
  <r>
    <x v="25"/>
  </r>
  <r>
    <x v="25"/>
  </r>
  <r>
    <x v="72"/>
  </r>
  <r>
    <x v="42"/>
  </r>
  <r>
    <x v="76"/>
  </r>
  <r>
    <x v="81"/>
  </r>
  <r>
    <x v="31"/>
  </r>
  <r>
    <x v="31"/>
  </r>
  <r>
    <x v="82"/>
  </r>
  <r>
    <x v="31"/>
  </r>
  <r>
    <x v="107"/>
  </r>
  <r>
    <x v="108"/>
  </r>
  <r>
    <x v="109"/>
  </r>
  <r>
    <x v="109"/>
  </r>
  <r>
    <x v="109"/>
  </r>
  <r>
    <x v="31"/>
  </r>
  <r>
    <x v="31"/>
  </r>
  <r>
    <x v="31"/>
  </r>
  <r>
    <x v="31"/>
  </r>
  <r>
    <x v="31"/>
  </r>
  <r>
    <x v="30"/>
  </r>
  <r>
    <x v="72"/>
  </r>
  <r>
    <x v="3"/>
  </r>
  <r>
    <x v="25"/>
  </r>
  <r>
    <x v="82"/>
  </r>
  <r>
    <x v="63"/>
  </r>
  <r>
    <x v="25"/>
  </r>
  <r>
    <x v="76"/>
  </r>
  <r>
    <x v="25"/>
  </r>
  <r>
    <x v="25"/>
  </r>
  <r>
    <x v="10"/>
  </r>
  <r>
    <x v="10"/>
  </r>
  <r>
    <x v="82"/>
  </r>
  <r>
    <x v="10"/>
  </r>
  <r>
    <x v="37"/>
  </r>
  <r>
    <x v="10"/>
  </r>
  <r>
    <x v="30"/>
  </r>
  <r>
    <x v="31"/>
  </r>
  <r>
    <x v="10"/>
  </r>
  <r>
    <x v="31"/>
  </r>
  <r>
    <x v="31"/>
  </r>
  <r>
    <x v="59"/>
  </r>
  <r>
    <x v="30"/>
  </r>
  <r>
    <x v="76"/>
  </r>
  <r>
    <x v="83"/>
  </r>
  <r>
    <x v="4"/>
  </r>
  <r>
    <x v="4"/>
  </r>
  <r>
    <x v="110"/>
  </r>
  <r>
    <x v="25"/>
  </r>
  <r>
    <x v="25"/>
  </r>
  <r>
    <x v="111"/>
  </r>
  <r>
    <x v="29"/>
  </r>
  <r>
    <x v="12"/>
  </r>
  <r>
    <x v="12"/>
  </r>
  <r>
    <x v="37"/>
  </r>
  <r>
    <x v="111"/>
  </r>
  <r>
    <x v="111"/>
  </r>
  <r>
    <x v="72"/>
  </r>
  <r>
    <x v="83"/>
  </r>
  <r>
    <x v="83"/>
  </r>
  <r>
    <x v="0"/>
  </r>
  <r>
    <x v="63"/>
  </r>
  <r>
    <x v="63"/>
  </r>
  <r>
    <x v="63"/>
  </r>
  <r>
    <x v="63"/>
  </r>
  <r>
    <x v="78"/>
  </r>
  <r>
    <x v="78"/>
  </r>
  <r>
    <x v="59"/>
  </r>
  <r>
    <x v="0"/>
  </r>
  <r>
    <x v="0"/>
  </r>
  <r>
    <x v="0"/>
  </r>
  <r>
    <x v="81"/>
  </r>
  <r>
    <x v="80"/>
  </r>
  <r>
    <x v="80"/>
  </r>
  <r>
    <x v="80"/>
  </r>
  <r>
    <x v="80"/>
  </r>
  <r>
    <x v="59"/>
  </r>
  <r>
    <x v="85"/>
  </r>
  <r>
    <x v="85"/>
  </r>
  <r>
    <x v="85"/>
  </r>
  <r>
    <x v="59"/>
  </r>
  <r>
    <x v="59"/>
  </r>
  <r>
    <x v="25"/>
  </r>
  <r>
    <x v="55"/>
  </r>
  <r>
    <x v="55"/>
  </r>
  <r>
    <x v="14"/>
  </r>
  <r>
    <x v="22"/>
  </r>
  <r>
    <x v="103"/>
  </r>
  <r>
    <x v="63"/>
  </r>
  <r>
    <x v="103"/>
  </r>
  <r>
    <x v="80"/>
  </r>
  <r>
    <x v="0"/>
  </r>
  <r>
    <x v="0"/>
  </r>
  <r>
    <x v="80"/>
  </r>
  <r>
    <x v="0"/>
  </r>
  <r>
    <x v="0"/>
  </r>
  <r>
    <x v="0"/>
  </r>
  <r>
    <x v="93"/>
  </r>
  <r>
    <x v="81"/>
  </r>
  <r>
    <x v="30"/>
  </r>
  <r>
    <x v="76"/>
  </r>
  <r>
    <x v="10"/>
  </r>
  <r>
    <x v="25"/>
  </r>
  <r>
    <x v="76"/>
  </r>
  <r>
    <x v="112"/>
  </r>
  <r>
    <x v="113"/>
  </r>
  <r>
    <x v="113"/>
  </r>
  <r>
    <x v="81"/>
  </r>
  <r>
    <x v="81"/>
  </r>
  <r>
    <x v="81"/>
  </r>
  <r>
    <x v="12"/>
  </r>
  <r>
    <x v="114"/>
  </r>
  <r>
    <x v="25"/>
  </r>
  <r>
    <x v="12"/>
  </r>
  <r>
    <x v="42"/>
  </r>
  <r>
    <x v="42"/>
  </r>
  <r>
    <x v="42"/>
  </r>
  <r>
    <x v="42"/>
  </r>
  <r>
    <x v="42"/>
  </r>
  <r>
    <x v="10"/>
  </r>
  <r>
    <x v="10"/>
  </r>
  <r>
    <x v="42"/>
  </r>
  <r>
    <x v="42"/>
  </r>
  <r>
    <x v="115"/>
  </r>
  <r>
    <x v="42"/>
  </r>
  <r>
    <x v="86"/>
  </r>
  <r>
    <x v="71"/>
  </r>
  <r>
    <x v="80"/>
  </r>
  <r>
    <x v="34"/>
  </r>
  <r>
    <x v="25"/>
  </r>
  <r>
    <x v="113"/>
  </r>
  <r>
    <x v="115"/>
  </r>
  <r>
    <x v="80"/>
  </r>
  <r>
    <x v="0"/>
  </r>
  <r>
    <x v="0"/>
  </r>
  <r>
    <x v="115"/>
  </r>
  <r>
    <x v="28"/>
  </r>
  <r>
    <x v="10"/>
  </r>
  <r>
    <x v="10"/>
  </r>
  <r>
    <x v="75"/>
  </r>
  <r>
    <x v="4"/>
  </r>
  <r>
    <x v="4"/>
  </r>
  <r>
    <x v="42"/>
  </r>
  <r>
    <x v="115"/>
  </r>
  <r>
    <x v="42"/>
  </r>
  <r>
    <x v="71"/>
  </r>
  <r>
    <x v="115"/>
  </r>
  <r>
    <x v="0"/>
  </r>
  <r>
    <x v="0"/>
  </r>
  <r>
    <x v="0"/>
  </r>
  <r>
    <x v="0"/>
  </r>
  <r>
    <x v="86"/>
  </r>
  <r>
    <x v="56"/>
  </r>
  <r>
    <x v="6"/>
  </r>
  <r>
    <x v="6"/>
  </r>
  <r>
    <x v="112"/>
  </r>
  <r>
    <x v="28"/>
  </r>
  <r>
    <x v="28"/>
  </r>
  <r>
    <x v="22"/>
  </r>
  <r>
    <x v="89"/>
  </r>
  <r>
    <x v="10"/>
  </r>
  <r>
    <x v="82"/>
  </r>
  <r>
    <x v="23"/>
  </r>
  <r>
    <x v="87"/>
  </r>
  <r>
    <x v="116"/>
  </r>
  <r>
    <x v="87"/>
  </r>
  <r>
    <x v="17"/>
  </r>
  <r>
    <x v="81"/>
  </r>
  <r>
    <x v="14"/>
  </r>
  <r>
    <x v="45"/>
  </r>
  <r>
    <x v="45"/>
  </r>
  <r>
    <x v="55"/>
  </r>
  <r>
    <x v="25"/>
  </r>
  <r>
    <x v="25"/>
  </r>
  <r>
    <x v="71"/>
  </r>
  <r>
    <x v="64"/>
  </r>
  <r>
    <x v="86"/>
  </r>
  <r>
    <x v="25"/>
  </r>
  <r>
    <x v="30"/>
  </r>
  <r>
    <x v="25"/>
  </r>
  <r>
    <x v="86"/>
  </r>
  <r>
    <x v="25"/>
  </r>
  <r>
    <x v="25"/>
  </r>
  <r>
    <x v="7"/>
  </r>
  <r>
    <x v="10"/>
  </r>
  <r>
    <x v="10"/>
  </r>
  <r>
    <x v="86"/>
  </r>
  <r>
    <x v="117"/>
  </r>
  <r>
    <x v="89"/>
  </r>
  <r>
    <x v="14"/>
  </r>
  <r>
    <x v="80"/>
  </r>
  <r>
    <x v="80"/>
  </r>
  <r>
    <x v="80"/>
  </r>
  <r>
    <x v="108"/>
  </r>
  <r>
    <x v="0"/>
  </r>
  <r>
    <x v="96"/>
  </r>
  <r>
    <x v="86"/>
  </r>
  <r>
    <x v="86"/>
  </r>
  <r>
    <x v="96"/>
  </r>
  <r>
    <x v="86"/>
  </r>
  <r>
    <x v="112"/>
  </r>
  <r>
    <x v="42"/>
  </r>
  <r>
    <x v="50"/>
  </r>
  <r>
    <x v="50"/>
  </r>
  <r>
    <x v="111"/>
  </r>
  <r>
    <x v="117"/>
  </r>
  <r>
    <x v="112"/>
  </r>
  <r>
    <x v="48"/>
  </r>
  <r>
    <x v="115"/>
  </r>
  <r>
    <x v="115"/>
  </r>
  <r>
    <x v="115"/>
  </r>
  <r>
    <x v="2"/>
  </r>
  <r>
    <x v="25"/>
  </r>
  <r>
    <x v="25"/>
  </r>
  <r>
    <x v="83"/>
  </r>
  <r>
    <x v="25"/>
  </r>
  <r>
    <x v="25"/>
  </r>
  <r>
    <x v="2"/>
  </r>
  <r>
    <x v="25"/>
  </r>
  <r>
    <x v="82"/>
  </r>
  <r>
    <x v="25"/>
  </r>
  <r>
    <x v="0"/>
  </r>
  <r>
    <x v="25"/>
  </r>
  <r>
    <x v="82"/>
  </r>
  <r>
    <x v="85"/>
  </r>
  <r>
    <x v="25"/>
  </r>
  <r>
    <x v="0"/>
  </r>
  <r>
    <x v="14"/>
  </r>
  <r>
    <x v="7"/>
  </r>
  <r>
    <x v="0"/>
  </r>
  <r>
    <x v="85"/>
  </r>
  <r>
    <x v="0"/>
  </r>
  <r>
    <x v="85"/>
  </r>
  <r>
    <x v="25"/>
  </r>
  <r>
    <x v="25"/>
  </r>
  <r>
    <x v="78"/>
  </r>
  <r>
    <x v="78"/>
  </r>
  <r>
    <x v="78"/>
  </r>
  <r>
    <x v="0"/>
  </r>
  <r>
    <x v="25"/>
  </r>
  <r>
    <x v="4"/>
  </r>
  <r>
    <x v="0"/>
  </r>
  <r>
    <x v="0"/>
  </r>
  <r>
    <x v="0"/>
  </r>
  <r>
    <x v="0"/>
  </r>
  <r>
    <x v="86"/>
  </r>
  <r>
    <x v="86"/>
  </r>
  <r>
    <x v="0"/>
  </r>
  <r>
    <x v="10"/>
  </r>
  <r>
    <x v="10"/>
  </r>
  <r>
    <x v="28"/>
  </r>
  <r>
    <x v="81"/>
  </r>
  <r>
    <x v="10"/>
  </r>
  <r>
    <x v="10"/>
  </r>
  <r>
    <x v="118"/>
  </r>
  <r>
    <x v="81"/>
  </r>
  <r>
    <x v="81"/>
  </r>
  <r>
    <x v="81"/>
  </r>
  <r>
    <x v="0"/>
  </r>
  <r>
    <x v="0"/>
  </r>
  <r>
    <x v="0"/>
  </r>
  <r>
    <x v="45"/>
  </r>
  <r>
    <x v="45"/>
  </r>
  <r>
    <x v="17"/>
  </r>
  <r>
    <x v="17"/>
  </r>
  <r>
    <x v="17"/>
  </r>
  <r>
    <x v="14"/>
  </r>
  <r>
    <x v="82"/>
  </r>
  <r>
    <x v="12"/>
  </r>
  <r>
    <x v="12"/>
  </r>
  <r>
    <x v="63"/>
  </r>
  <r>
    <x v="12"/>
  </r>
  <r>
    <x v="115"/>
  </r>
  <r>
    <x v="115"/>
  </r>
  <r>
    <x v="119"/>
  </r>
  <r>
    <x v="12"/>
  </r>
  <r>
    <x v="52"/>
  </r>
  <r>
    <x v="56"/>
  </r>
  <r>
    <x v="52"/>
  </r>
  <r>
    <x v="52"/>
  </r>
  <r>
    <x v="52"/>
  </r>
  <r>
    <x v="25"/>
  </r>
  <r>
    <x v="93"/>
  </r>
  <r>
    <x v="93"/>
  </r>
  <r>
    <x v="82"/>
  </r>
  <r>
    <x v="48"/>
  </r>
  <r>
    <x v="10"/>
  </r>
  <r>
    <x v="111"/>
  </r>
  <r>
    <x v="117"/>
  </r>
  <r>
    <x v="24"/>
  </r>
  <r>
    <x v="76"/>
  </r>
  <r>
    <x v="100"/>
  </r>
  <r>
    <x v="93"/>
  </r>
  <r>
    <x v="12"/>
  </r>
  <r>
    <x v="12"/>
  </r>
  <r>
    <x v="27"/>
  </r>
  <r>
    <x v="2"/>
  </r>
  <r>
    <x v="13"/>
  </r>
  <r>
    <x v="13"/>
  </r>
  <r>
    <x v="28"/>
  </r>
  <r>
    <x v="78"/>
  </r>
  <r>
    <x v="59"/>
  </r>
  <r>
    <x v="4"/>
  </r>
  <r>
    <x v="4"/>
  </r>
  <r>
    <x v="25"/>
  </r>
  <r>
    <x v="56"/>
  </r>
  <r>
    <x v="25"/>
  </r>
  <r>
    <x v="25"/>
  </r>
  <r>
    <x v="25"/>
  </r>
  <r>
    <x v="25"/>
  </r>
  <r>
    <x v="85"/>
  </r>
  <r>
    <x v="25"/>
  </r>
  <r>
    <x v="120"/>
  </r>
  <r>
    <x v="25"/>
  </r>
  <r>
    <x v="25"/>
  </r>
  <r>
    <x v="25"/>
  </r>
  <r>
    <x v="15"/>
  </r>
  <r>
    <x v="85"/>
  </r>
  <r>
    <x v="76"/>
  </r>
  <r>
    <x v="93"/>
  </r>
  <r>
    <x v="76"/>
  </r>
  <r>
    <x v="93"/>
  </r>
  <r>
    <x v="82"/>
  </r>
  <r>
    <x v="78"/>
  </r>
  <r>
    <x v="78"/>
  </r>
  <r>
    <x v="78"/>
  </r>
  <r>
    <x v="78"/>
  </r>
  <r>
    <x v="78"/>
  </r>
  <r>
    <x v="82"/>
  </r>
  <r>
    <x v="78"/>
  </r>
  <r>
    <x v="78"/>
  </r>
  <r>
    <x v="56"/>
  </r>
  <r>
    <x v="56"/>
  </r>
  <r>
    <x v="85"/>
  </r>
  <r>
    <x v="113"/>
  </r>
  <r>
    <x v="94"/>
  </r>
  <r>
    <x v="56"/>
  </r>
  <r>
    <x v="26"/>
  </r>
  <r>
    <x v="108"/>
  </r>
  <r>
    <x v="25"/>
  </r>
  <r>
    <x v="85"/>
  </r>
  <r>
    <x v="121"/>
  </r>
  <r>
    <x v="85"/>
  </r>
  <r>
    <x v="121"/>
  </r>
  <r>
    <x v="108"/>
  </r>
  <r>
    <x v="28"/>
  </r>
  <r>
    <x v="121"/>
  </r>
  <r>
    <x v="121"/>
  </r>
  <r>
    <x v="85"/>
  </r>
  <r>
    <x v="15"/>
  </r>
  <r>
    <x v="15"/>
  </r>
  <r>
    <x v="113"/>
  </r>
  <r>
    <x v="106"/>
  </r>
  <r>
    <x v="106"/>
  </r>
  <r>
    <x v="25"/>
  </r>
  <r>
    <x v="85"/>
  </r>
  <r>
    <x v="93"/>
  </r>
  <r>
    <x v="93"/>
  </r>
  <r>
    <x v="122"/>
  </r>
  <r>
    <x v="76"/>
  </r>
  <r>
    <x v="10"/>
  </r>
  <r>
    <x v="56"/>
  </r>
  <r>
    <x v="10"/>
  </r>
  <r>
    <x v="10"/>
  </r>
  <r>
    <x v="56"/>
  </r>
  <r>
    <x v="50"/>
  </r>
  <r>
    <x v="10"/>
  </r>
  <r>
    <x v="56"/>
  </r>
  <r>
    <x v="56"/>
  </r>
  <r>
    <x v="10"/>
  </r>
  <r>
    <x v="59"/>
  </r>
  <r>
    <x v="56"/>
  </r>
  <r>
    <x v="10"/>
  </r>
  <r>
    <x v="56"/>
  </r>
  <r>
    <x v="56"/>
  </r>
  <r>
    <x v="56"/>
  </r>
  <r>
    <x v="56"/>
  </r>
  <r>
    <x v="56"/>
  </r>
  <r>
    <x v="106"/>
  </r>
  <r>
    <x v="56"/>
  </r>
  <r>
    <x v="106"/>
  </r>
  <r>
    <x v="123"/>
  </r>
  <r>
    <x v="10"/>
  </r>
  <r>
    <x v="82"/>
  </r>
  <r>
    <x v="15"/>
  </r>
  <r>
    <x v="93"/>
  </r>
  <r>
    <x v="93"/>
  </r>
  <r>
    <x v="93"/>
  </r>
  <r>
    <x v="78"/>
  </r>
  <r>
    <x v="78"/>
  </r>
  <r>
    <x v="78"/>
  </r>
  <r>
    <x v="78"/>
  </r>
  <r>
    <x v="78"/>
  </r>
  <r>
    <x v="56"/>
  </r>
  <r>
    <x v="78"/>
  </r>
  <r>
    <x v="56"/>
  </r>
  <r>
    <x v="76"/>
  </r>
  <r>
    <x v="48"/>
  </r>
  <r>
    <x v="86"/>
  </r>
  <r>
    <x v="86"/>
  </r>
  <r>
    <x v="86"/>
  </r>
  <r>
    <x v="102"/>
  </r>
  <r>
    <x v="25"/>
  </r>
  <r>
    <x v="0"/>
  </r>
  <r>
    <x v="31"/>
  </r>
  <r>
    <x v="10"/>
  </r>
  <r>
    <x v="2"/>
  </r>
  <r>
    <x v="50"/>
  </r>
  <r>
    <x v="1"/>
  </r>
  <r>
    <x v="48"/>
  </r>
  <r>
    <x v="6"/>
  </r>
  <r>
    <x v="56"/>
  </r>
  <r>
    <x v="52"/>
  </r>
  <r>
    <x v="17"/>
  </r>
  <r>
    <x v="45"/>
  </r>
  <r>
    <x v="85"/>
  </r>
  <r>
    <x v="56"/>
  </r>
  <r>
    <x v="20"/>
  </r>
  <r>
    <x v="81"/>
  </r>
  <r>
    <x v="78"/>
  </r>
  <r>
    <x v="78"/>
  </r>
  <r>
    <x v="76"/>
  </r>
  <r>
    <x v="72"/>
  </r>
  <r>
    <x v="72"/>
  </r>
  <r>
    <x v="72"/>
  </r>
  <r>
    <x v="48"/>
  </r>
  <r>
    <x v="48"/>
  </r>
  <r>
    <x v="15"/>
  </r>
  <r>
    <x v="56"/>
  </r>
  <r>
    <x v="1"/>
  </r>
  <r>
    <x v="10"/>
  </r>
  <r>
    <x v="1"/>
  </r>
  <r>
    <x v="10"/>
  </r>
  <r>
    <x v="56"/>
  </r>
  <r>
    <x v="22"/>
  </r>
  <r>
    <x v="2"/>
  </r>
  <r>
    <x v="10"/>
  </r>
  <r>
    <x v="81"/>
  </r>
  <r>
    <x v="81"/>
  </r>
  <r>
    <x v="81"/>
  </r>
  <r>
    <x v="81"/>
  </r>
  <r>
    <x v="48"/>
  </r>
  <r>
    <x v="93"/>
  </r>
  <r>
    <x v="123"/>
  </r>
  <r>
    <x v="123"/>
  </r>
  <r>
    <x v="123"/>
  </r>
  <r>
    <x v="56"/>
  </r>
  <r>
    <x v="93"/>
  </r>
  <r>
    <x v="93"/>
  </r>
  <r>
    <x v="15"/>
  </r>
  <r>
    <x v="93"/>
  </r>
  <r>
    <x v="93"/>
  </r>
  <r>
    <x v="93"/>
  </r>
  <r>
    <x v="93"/>
  </r>
  <r>
    <x v="56"/>
  </r>
  <r>
    <x v="78"/>
  </r>
  <r>
    <x v="0"/>
  </r>
  <r>
    <x v="78"/>
  </r>
  <r>
    <x v="93"/>
  </r>
  <r>
    <x v="93"/>
  </r>
  <r>
    <x v="93"/>
  </r>
  <r>
    <x v="93"/>
  </r>
  <r>
    <x v="56"/>
  </r>
  <r>
    <x v="93"/>
  </r>
  <r>
    <x v="93"/>
  </r>
  <r>
    <x v="78"/>
  </r>
  <r>
    <x v="78"/>
  </r>
  <r>
    <x v="93"/>
  </r>
  <r>
    <x v="93"/>
  </r>
  <r>
    <x v="78"/>
  </r>
  <r>
    <x v="12"/>
  </r>
  <r>
    <x v="12"/>
  </r>
  <r>
    <x v="25"/>
  </r>
  <r>
    <x v="0"/>
  </r>
  <r>
    <x v="0"/>
  </r>
  <r>
    <x v="76"/>
  </r>
  <r>
    <x v="124"/>
  </r>
  <r>
    <x v="17"/>
  </r>
  <r>
    <x v="56"/>
  </r>
  <r>
    <x v="56"/>
  </r>
  <r>
    <x v="93"/>
  </r>
  <r>
    <x v="42"/>
  </r>
  <r>
    <x v="93"/>
  </r>
  <r>
    <x v="78"/>
  </r>
  <r>
    <x v="78"/>
  </r>
  <r>
    <x v="78"/>
  </r>
  <r>
    <x v="93"/>
  </r>
  <r>
    <x v="93"/>
  </r>
  <r>
    <x v="25"/>
  </r>
  <r>
    <x v="93"/>
  </r>
  <r>
    <x v="93"/>
  </r>
  <r>
    <x v="48"/>
  </r>
  <r>
    <x v="78"/>
  </r>
  <r>
    <x v="40"/>
  </r>
  <r>
    <x v="0"/>
  </r>
  <r>
    <x v="112"/>
  </r>
  <r>
    <x v="12"/>
  </r>
  <r>
    <x v="82"/>
  </r>
  <r>
    <x v="12"/>
  </r>
  <r>
    <x v="14"/>
  </r>
  <r>
    <x v="82"/>
  </r>
  <r>
    <x v="14"/>
  </r>
  <r>
    <x v="13"/>
  </r>
  <r>
    <x v="25"/>
  </r>
  <r>
    <x v="78"/>
  </r>
  <r>
    <x v="93"/>
  </r>
  <r>
    <x v="93"/>
  </r>
  <r>
    <x v="78"/>
  </r>
  <r>
    <x v="93"/>
  </r>
  <r>
    <x v="48"/>
  </r>
  <r>
    <x v="78"/>
  </r>
  <r>
    <x v="93"/>
  </r>
  <r>
    <x v="78"/>
  </r>
  <r>
    <x v="78"/>
  </r>
  <r>
    <x v="78"/>
  </r>
  <r>
    <x v="9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4"/>
  </r>
  <r>
    <x v="14"/>
  </r>
  <r>
    <x v="113"/>
  </r>
  <r>
    <x v="113"/>
  </r>
  <r>
    <x v="113"/>
  </r>
  <r>
    <x v="125"/>
  </r>
  <r>
    <x v="47"/>
  </r>
  <r>
    <x v="48"/>
  </r>
  <r>
    <x v="93"/>
  </r>
  <r>
    <x v="93"/>
  </r>
  <r>
    <x v="93"/>
  </r>
  <r>
    <x v="99"/>
  </r>
  <r>
    <x v="78"/>
  </r>
  <r>
    <x v="93"/>
  </r>
  <r>
    <x v="93"/>
  </r>
  <r>
    <x v="93"/>
  </r>
  <r>
    <x v="93"/>
  </r>
  <r>
    <x v="78"/>
  </r>
  <r>
    <x v="93"/>
  </r>
  <r>
    <x v="93"/>
  </r>
  <r>
    <x v="93"/>
  </r>
  <r>
    <x v="93"/>
  </r>
  <r>
    <x v="14"/>
  </r>
  <r>
    <x v="14"/>
  </r>
  <r>
    <x v="14"/>
  </r>
  <r>
    <x v="14"/>
  </r>
  <r>
    <x v="14"/>
  </r>
  <r>
    <x v="14"/>
  </r>
  <r>
    <x v="14"/>
  </r>
  <r>
    <x v="14"/>
  </r>
  <r>
    <x v="34"/>
  </r>
  <r>
    <x v="34"/>
  </r>
  <r>
    <x v="34"/>
  </r>
  <r>
    <x v="34"/>
  </r>
  <r>
    <x v="81"/>
  </r>
  <r>
    <x v="0"/>
  </r>
  <r>
    <x v="0"/>
  </r>
  <r>
    <x v="0"/>
  </r>
  <r>
    <x v="0"/>
  </r>
  <r>
    <x v="2"/>
  </r>
  <r>
    <x v="0"/>
  </r>
  <r>
    <x v="72"/>
  </r>
  <r>
    <x v="0"/>
  </r>
  <r>
    <x v="10"/>
  </r>
  <r>
    <x v="99"/>
  </r>
  <r>
    <x v="115"/>
  </r>
  <r>
    <x v="99"/>
  </r>
  <r>
    <x v="115"/>
  </r>
  <r>
    <x v="115"/>
  </r>
  <r>
    <x v="99"/>
  </r>
  <r>
    <x v="77"/>
  </r>
  <r>
    <x v="72"/>
  </r>
  <r>
    <x v="99"/>
  </r>
  <r>
    <x v="0"/>
  </r>
  <r>
    <x v="25"/>
  </r>
  <r>
    <x v="25"/>
  </r>
  <r>
    <x v="56"/>
  </r>
  <r>
    <x v="56"/>
  </r>
  <r>
    <x v="108"/>
  </r>
  <r>
    <x v="56"/>
  </r>
  <r>
    <x v="59"/>
  </r>
  <r>
    <x v="0"/>
  </r>
  <r>
    <x v="0"/>
  </r>
  <r>
    <x v="78"/>
  </r>
  <r>
    <x v="85"/>
  </r>
  <r>
    <x v="89"/>
  </r>
  <r>
    <x v="85"/>
  </r>
  <r>
    <x v="85"/>
  </r>
  <r>
    <x v="85"/>
  </r>
  <r>
    <x v="0"/>
  </r>
  <r>
    <x v="82"/>
  </r>
  <r>
    <x v="10"/>
  </r>
  <r>
    <x v="71"/>
  </r>
  <r>
    <x v="80"/>
  </r>
  <r>
    <x v="0"/>
  </r>
  <r>
    <x v="112"/>
  </r>
  <r>
    <x v="85"/>
  </r>
  <r>
    <x v="25"/>
  </r>
  <r>
    <x v="25"/>
  </r>
  <r>
    <x v="12"/>
  </r>
  <r>
    <x v="29"/>
  </r>
  <r>
    <x v="30"/>
  </r>
  <r>
    <x v="30"/>
  </r>
  <r>
    <x v="63"/>
  </r>
  <r>
    <x v="29"/>
  </r>
  <r>
    <x v="30"/>
  </r>
  <r>
    <x v="99"/>
  </r>
  <r>
    <x v="99"/>
  </r>
  <r>
    <x v="93"/>
  </r>
  <r>
    <x v="25"/>
  </r>
  <r>
    <x v="25"/>
  </r>
  <r>
    <x v="25"/>
  </r>
  <r>
    <x v="23"/>
  </r>
  <r>
    <x v="72"/>
  </r>
  <r>
    <x v="93"/>
  </r>
  <r>
    <x v="78"/>
  </r>
  <r>
    <x v="78"/>
  </r>
  <r>
    <x v="78"/>
  </r>
  <r>
    <x v="78"/>
  </r>
  <r>
    <x v="103"/>
  </r>
  <r>
    <x v="99"/>
  </r>
  <r>
    <x v="79"/>
  </r>
  <r>
    <x v="79"/>
  </r>
  <r>
    <x v="99"/>
  </r>
  <r>
    <x v="99"/>
  </r>
  <r>
    <x v="45"/>
  </r>
  <r>
    <x v="99"/>
  </r>
  <r>
    <x v="99"/>
  </r>
  <r>
    <x v="34"/>
  </r>
  <r>
    <x v="99"/>
  </r>
  <r>
    <x v="99"/>
  </r>
  <r>
    <x v="2"/>
  </r>
  <r>
    <x v="112"/>
  </r>
  <r>
    <x v="93"/>
  </r>
  <r>
    <x v="93"/>
  </r>
  <r>
    <x v="93"/>
  </r>
  <r>
    <x v="78"/>
  </r>
  <r>
    <x v="93"/>
  </r>
  <r>
    <x v="81"/>
  </r>
  <r>
    <x v="99"/>
  </r>
  <r>
    <x v="99"/>
  </r>
  <r>
    <x v="29"/>
  </r>
  <r>
    <x v="93"/>
  </r>
  <r>
    <x v="78"/>
  </r>
  <r>
    <x v="78"/>
  </r>
  <r>
    <x v="93"/>
  </r>
  <r>
    <x v="78"/>
  </r>
  <r>
    <x v="10"/>
  </r>
  <r>
    <x v="78"/>
  </r>
  <r>
    <x v="93"/>
  </r>
  <r>
    <x v="93"/>
  </r>
  <r>
    <x v="93"/>
  </r>
  <r>
    <x v="78"/>
  </r>
  <r>
    <x v="93"/>
  </r>
  <r>
    <x v="93"/>
  </r>
  <r>
    <x v="123"/>
  </r>
  <r>
    <x v="0"/>
  </r>
  <r>
    <x v="71"/>
  </r>
  <r>
    <x v="81"/>
  </r>
  <r>
    <x v="29"/>
  </r>
  <r>
    <x v="29"/>
  </r>
  <r>
    <x v="41"/>
  </r>
  <r>
    <x v="93"/>
  </r>
  <r>
    <x v="93"/>
  </r>
  <r>
    <x v="48"/>
  </r>
  <r>
    <x v="93"/>
  </r>
  <r>
    <x v="78"/>
  </r>
  <r>
    <x v="78"/>
  </r>
  <r>
    <x v="25"/>
  </r>
  <r>
    <x v="25"/>
  </r>
  <r>
    <x v="99"/>
  </r>
  <r>
    <x v="0"/>
  </r>
  <r>
    <x v="76"/>
  </r>
  <r>
    <x v="56"/>
  </r>
  <r>
    <x v="25"/>
  </r>
  <r>
    <x v="12"/>
  </r>
  <r>
    <x v="0"/>
  </r>
  <r>
    <x v="0"/>
  </r>
  <r>
    <x v="28"/>
  </r>
  <r>
    <x v="126"/>
  </r>
  <r>
    <x v="28"/>
  </r>
  <r>
    <x v="25"/>
  </r>
  <r>
    <x v="76"/>
  </r>
  <r>
    <x v="126"/>
  </r>
  <r>
    <x v="11"/>
  </r>
  <r>
    <x v="25"/>
  </r>
  <r>
    <x v="20"/>
  </r>
  <r>
    <x v="99"/>
  </r>
  <r>
    <x v="28"/>
  </r>
  <r>
    <x v="28"/>
  </r>
  <r>
    <x v="28"/>
  </r>
  <r>
    <x v="111"/>
  </r>
  <r>
    <x v="20"/>
  </r>
  <r>
    <x v="20"/>
  </r>
  <r>
    <x v="20"/>
  </r>
  <r>
    <x v="78"/>
  </r>
  <r>
    <x v="72"/>
  </r>
  <r>
    <x v="25"/>
  </r>
  <r>
    <x v="59"/>
  </r>
  <r>
    <x v="85"/>
  </r>
  <r>
    <x v="85"/>
  </r>
  <r>
    <x v="127"/>
  </r>
  <r>
    <x v="127"/>
  </r>
  <r>
    <x v="127"/>
  </r>
  <r>
    <x v="2"/>
  </r>
  <r>
    <x v="25"/>
  </r>
  <r>
    <x v="25"/>
  </r>
  <r>
    <x v="127"/>
  </r>
  <r>
    <x v="127"/>
  </r>
  <r>
    <x v="127"/>
  </r>
  <r>
    <x v="127"/>
  </r>
  <r>
    <x v="99"/>
  </r>
  <r>
    <x v="80"/>
  </r>
  <r>
    <x v="30"/>
  </r>
  <r>
    <x v="128"/>
  </r>
  <r>
    <x v="128"/>
  </r>
  <r>
    <x v="30"/>
  </r>
  <r>
    <x v="81"/>
  </r>
  <r>
    <x v="99"/>
  </r>
  <r>
    <x v="99"/>
  </r>
  <r>
    <x v="0"/>
  </r>
  <r>
    <x v="0"/>
  </r>
  <r>
    <x v="0"/>
  </r>
  <r>
    <x v="25"/>
  </r>
  <r>
    <x v="0"/>
  </r>
  <r>
    <x v="78"/>
  </r>
  <r>
    <x v="78"/>
  </r>
  <r>
    <x v="82"/>
  </r>
  <r>
    <x v="59"/>
  </r>
  <r>
    <x v="27"/>
  </r>
  <r>
    <x v="42"/>
  </r>
  <r>
    <x v="3"/>
  </r>
  <r>
    <x v="76"/>
  </r>
  <r>
    <x v="25"/>
  </r>
  <r>
    <x v="31"/>
  </r>
  <r>
    <x v="76"/>
  </r>
  <r>
    <x v="0"/>
  </r>
  <r>
    <x v="0"/>
  </r>
  <r>
    <x v="2"/>
  </r>
  <r>
    <x v="0"/>
  </r>
  <r>
    <x v="25"/>
  </r>
  <r>
    <x v="25"/>
  </r>
  <r>
    <x v="76"/>
  </r>
  <r>
    <x v="105"/>
  </r>
  <r>
    <x v="72"/>
  </r>
  <r>
    <x v="111"/>
  </r>
  <r>
    <x v="81"/>
  </r>
  <r>
    <x v="81"/>
  </r>
  <r>
    <x v="81"/>
  </r>
  <r>
    <x v="78"/>
  </r>
  <r>
    <x v="48"/>
  </r>
  <r>
    <x v="14"/>
  </r>
  <r>
    <x v="23"/>
  </r>
  <r>
    <x v="56"/>
  </r>
  <r>
    <x v="25"/>
  </r>
  <r>
    <x v="25"/>
  </r>
  <r>
    <x v="25"/>
  </r>
  <r>
    <x v="23"/>
  </r>
  <r>
    <x v="111"/>
  </r>
  <r>
    <x v="129"/>
  </r>
  <r>
    <x v="83"/>
  </r>
  <r>
    <x v="25"/>
  </r>
  <r>
    <x v="88"/>
  </r>
  <r>
    <x v="25"/>
  </r>
  <r>
    <x v="25"/>
  </r>
  <r>
    <x v="25"/>
  </r>
  <r>
    <x v="28"/>
  </r>
  <r>
    <x v="25"/>
  </r>
  <r>
    <x v="78"/>
  </r>
  <r>
    <x v="66"/>
  </r>
  <r>
    <x v="4"/>
  </r>
  <r>
    <x v="25"/>
  </r>
  <r>
    <x v="7"/>
  </r>
  <r>
    <x v="14"/>
  </r>
  <r>
    <x v="130"/>
  </r>
  <r>
    <x v="7"/>
  </r>
  <r>
    <x v="45"/>
  </r>
  <r>
    <x v="30"/>
  </r>
  <r>
    <x v="16"/>
  </r>
  <r>
    <x v="131"/>
  </r>
  <r>
    <x v="14"/>
  </r>
  <r>
    <x v="14"/>
  </r>
  <r>
    <x v="28"/>
  </r>
  <r>
    <x v="131"/>
  </r>
  <r>
    <x v="79"/>
  </r>
  <r>
    <x v="79"/>
  </r>
  <r>
    <x v="79"/>
  </r>
  <r>
    <x v="78"/>
  </r>
  <r>
    <x v="77"/>
  </r>
  <r>
    <x v="0"/>
  </r>
  <r>
    <x v="63"/>
  </r>
  <r>
    <x v="96"/>
  </r>
  <r>
    <x v="96"/>
  </r>
  <r>
    <x v="96"/>
  </r>
  <r>
    <x v="96"/>
  </r>
  <r>
    <x v="76"/>
  </r>
  <r>
    <x v="72"/>
  </r>
  <r>
    <x v="78"/>
  </r>
  <r>
    <x v="78"/>
  </r>
  <r>
    <x v="85"/>
  </r>
  <r>
    <x v="78"/>
  </r>
  <r>
    <x v="63"/>
  </r>
  <r>
    <x v="10"/>
  </r>
  <r>
    <x v="72"/>
  </r>
  <r>
    <x v="25"/>
  </r>
  <r>
    <x v="25"/>
  </r>
  <r>
    <x v="72"/>
  </r>
  <r>
    <x v="81"/>
  </r>
  <r>
    <x v="80"/>
  </r>
  <r>
    <x v="81"/>
  </r>
  <r>
    <x v="3"/>
  </r>
  <r>
    <x v="3"/>
  </r>
  <r>
    <x v="3"/>
  </r>
  <r>
    <x v="79"/>
  </r>
  <r>
    <x v="132"/>
  </r>
  <r>
    <x v="133"/>
  </r>
  <r>
    <x v="10"/>
  </r>
  <r>
    <x v="56"/>
  </r>
  <r>
    <x v="48"/>
  </r>
  <r>
    <x v="94"/>
  </r>
  <r>
    <x v="81"/>
  </r>
  <r>
    <x v="81"/>
  </r>
  <r>
    <x v="0"/>
  </r>
  <r>
    <x v="23"/>
  </r>
  <r>
    <x v="0"/>
  </r>
  <r>
    <x v="113"/>
  </r>
  <r>
    <x v="113"/>
  </r>
  <r>
    <x v="134"/>
  </r>
  <r>
    <x v="134"/>
  </r>
  <r>
    <x v="0"/>
  </r>
  <r>
    <x v="34"/>
  </r>
  <r>
    <x v="45"/>
  </r>
  <r>
    <x v="45"/>
  </r>
  <r>
    <x v="76"/>
  </r>
  <r>
    <x v="111"/>
  </r>
  <r>
    <x v="79"/>
  </r>
  <r>
    <x v="81"/>
  </r>
  <r>
    <x v="75"/>
  </r>
  <r>
    <x v="2"/>
  </r>
  <r>
    <x v="76"/>
  </r>
  <r>
    <x v="81"/>
  </r>
  <r>
    <x v="76"/>
  </r>
  <r>
    <x v="81"/>
  </r>
  <r>
    <x v="79"/>
  </r>
  <r>
    <x v="48"/>
  </r>
  <r>
    <x v="81"/>
  </r>
  <r>
    <x v="111"/>
  </r>
  <r>
    <x v="86"/>
  </r>
  <r>
    <x v="103"/>
  </r>
  <r>
    <x v="35"/>
  </r>
  <r>
    <x v="35"/>
  </r>
  <r>
    <x v="81"/>
  </r>
  <r>
    <x v="76"/>
  </r>
  <r>
    <x v="25"/>
  </r>
  <r>
    <x v="12"/>
  </r>
  <r>
    <x v="25"/>
  </r>
  <r>
    <x v="25"/>
  </r>
  <r>
    <x v="0"/>
  </r>
  <r>
    <x v="0"/>
  </r>
  <r>
    <x v="0"/>
  </r>
  <r>
    <x v="71"/>
  </r>
  <r>
    <x v="71"/>
  </r>
  <r>
    <x v="71"/>
  </r>
  <r>
    <x v="71"/>
  </r>
  <r>
    <x v="0"/>
  </r>
  <r>
    <x v="91"/>
  </r>
  <r>
    <x v="103"/>
  </r>
  <r>
    <x v="103"/>
  </r>
  <r>
    <x v="25"/>
  </r>
  <r>
    <x v="28"/>
  </r>
  <r>
    <x v="0"/>
  </r>
  <r>
    <x v="25"/>
  </r>
  <r>
    <x v="25"/>
  </r>
  <r>
    <x v="25"/>
  </r>
  <r>
    <x v="25"/>
  </r>
  <r>
    <x v="103"/>
  </r>
  <r>
    <x v="23"/>
  </r>
  <r>
    <x v="0"/>
  </r>
  <r>
    <x v="48"/>
  </r>
  <r>
    <x v="25"/>
  </r>
  <r>
    <x v="25"/>
  </r>
  <r>
    <x v="25"/>
  </r>
  <r>
    <x v="25"/>
  </r>
  <r>
    <x v="45"/>
  </r>
  <r>
    <x v="45"/>
  </r>
  <r>
    <x v="29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12"/>
  </r>
  <r>
    <x v="99"/>
  </r>
  <r>
    <x v="10"/>
  </r>
  <r>
    <x v="25"/>
  </r>
  <r>
    <x v="25"/>
  </r>
  <r>
    <x v="25"/>
  </r>
  <r>
    <x v="25"/>
  </r>
  <r>
    <x v="10"/>
  </r>
  <r>
    <x v="25"/>
  </r>
  <r>
    <x v="25"/>
  </r>
  <r>
    <x v="10"/>
  </r>
  <r>
    <x v="25"/>
  </r>
  <r>
    <x v="25"/>
  </r>
  <r>
    <x v="23"/>
  </r>
  <r>
    <x v="10"/>
  </r>
  <r>
    <x v="25"/>
  </r>
  <r>
    <x v="25"/>
  </r>
  <r>
    <x v="25"/>
  </r>
  <r>
    <x v="97"/>
  </r>
  <r>
    <x v="81"/>
  </r>
  <r>
    <x v="55"/>
  </r>
  <r>
    <x v="28"/>
  </r>
  <r>
    <x v="45"/>
  </r>
  <r>
    <x v="14"/>
  </r>
  <r>
    <x v="55"/>
  </r>
  <r>
    <x v="22"/>
  </r>
  <r>
    <x v="12"/>
  </r>
  <r>
    <x v="12"/>
  </r>
  <r>
    <x v="14"/>
  </r>
  <r>
    <x v="12"/>
  </r>
  <r>
    <x v="10"/>
  </r>
  <r>
    <x v="12"/>
  </r>
  <r>
    <x v="78"/>
  </r>
  <r>
    <x v="0"/>
  </r>
  <r>
    <x v="45"/>
  </r>
  <r>
    <x v="78"/>
  </r>
  <r>
    <x v="14"/>
  </r>
  <r>
    <x v="45"/>
  </r>
  <r>
    <x v="48"/>
  </r>
  <r>
    <x v="10"/>
  </r>
  <r>
    <x v="10"/>
  </r>
  <r>
    <x v="25"/>
  </r>
  <r>
    <x v="0"/>
  </r>
  <r>
    <x v="0"/>
  </r>
  <r>
    <x v="31"/>
  </r>
  <r>
    <x v="48"/>
  </r>
  <r>
    <x v="10"/>
  </r>
  <r>
    <x v="10"/>
  </r>
  <r>
    <x v="25"/>
  </r>
  <r>
    <x v="112"/>
  </r>
  <r>
    <x v="10"/>
  </r>
  <r>
    <x v="10"/>
  </r>
  <r>
    <x v="25"/>
  </r>
  <r>
    <x v="31"/>
  </r>
  <r>
    <x v="25"/>
  </r>
  <r>
    <x v="31"/>
  </r>
  <r>
    <x v="93"/>
  </r>
  <r>
    <x v="31"/>
  </r>
  <r>
    <x v="31"/>
  </r>
  <r>
    <x v="16"/>
  </r>
  <r>
    <x v="16"/>
  </r>
  <r>
    <x v="16"/>
  </r>
  <r>
    <x v="16"/>
  </r>
  <r>
    <x v="16"/>
  </r>
  <r>
    <x v="16"/>
  </r>
  <r>
    <x v="68"/>
  </r>
  <r>
    <x v="68"/>
  </r>
  <r>
    <x v="16"/>
  </r>
  <r>
    <x v="28"/>
  </r>
  <r>
    <x v="28"/>
  </r>
  <r>
    <x v="28"/>
  </r>
  <r>
    <x v="10"/>
  </r>
  <r>
    <x v="0"/>
  </r>
  <r>
    <x v="135"/>
  </r>
  <r>
    <x v="12"/>
  </r>
  <r>
    <x v="28"/>
  </r>
  <r>
    <x v="0"/>
  </r>
  <r>
    <x v="14"/>
  </r>
  <r>
    <x v="14"/>
  </r>
  <r>
    <x v="45"/>
  </r>
  <r>
    <x v="45"/>
  </r>
  <r>
    <x v="45"/>
  </r>
  <r>
    <x v="45"/>
  </r>
  <r>
    <x v="29"/>
  </r>
  <r>
    <x v="136"/>
  </r>
  <r>
    <x v="137"/>
  </r>
  <r>
    <x v="12"/>
  </r>
  <r>
    <x v="45"/>
  </r>
  <r>
    <x v="53"/>
  </r>
  <r>
    <x v="21"/>
  </r>
  <r>
    <x v="57"/>
  </r>
  <r>
    <x v="48"/>
  </r>
  <r>
    <x v="0"/>
  </r>
  <r>
    <x v="12"/>
  </r>
  <r>
    <x v="12"/>
  </r>
  <r>
    <x v="12"/>
  </r>
  <r>
    <x v="12"/>
  </r>
  <r>
    <x v="12"/>
  </r>
  <r>
    <x v="42"/>
  </r>
  <r>
    <x v="0"/>
  </r>
  <r>
    <x v="0"/>
  </r>
  <r>
    <x v="99"/>
  </r>
  <r>
    <x v="48"/>
  </r>
  <r>
    <x v="10"/>
  </r>
  <r>
    <x v="42"/>
  </r>
  <r>
    <x v="53"/>
  </r>
  <r>
    <x v="48"/>
  </r>
  <r>
    <x v="42"/>
  </r>
  <r>
    <x v="22"/>
  </r>
  <r>
    <x v="56"/>
  </r>
  <r>
    <x v="53"/>
  </r>
  <r>
    <x v="138"/>
  </r>
  <r>
    <x v="21"/>
  </r>
  <r>
    <x v="4"/>
  </r>
  <r>
    <x v="42"/>
  </r>
  <r>
    <x v="4"/>
  </r>
  <r>
    <x v="0"/>
  </r>
  <r>
    <x v="0"/>
  </r>
  <r>
    <x v="0"/>
  </r>
  <r>
    <x v="0"/>
  </r>
  <r>
    <x v="0"/>
  </r>
  <r>
    <x v="28"/>
  </r>
  <r>
    <x v="123"/>
  </r>
  <r>
    <x v="54"/>
  </r>
  <r>
    <x v="79"/>
  </r>
  <r>
    <x v="79"/>
  </r>
  <r>
    <x v="79"/>
  </r>
  <r>
    <x v="126"/>
  </r>
  <r>
    <x v="7"/>
  </r>
  <r>
    <x v="7"/>
  </r>
  <r>
    <x v="37"/>
  </r>
  <r>
    <x v="25"/>
  </r>
  <r>
    <x v="25"/>
  </r>
  <r>
    <x v="100"/>
  </r>
  <r>
    <x v="7"/>
  </r>
  <r>
    <x v="4"/>
  </r>
  <r>
    <x v="14"/>
  </r>
  <r>
    <x v="24"/>
  </r>
  <r>
    <x v="45"/>
  </r>
  <r>
    <x v="19"/>
  </r>
  <r>
    <x v="11"/>
  </r>
  <r>
    <x v="12"/>
  </r>
  <r>
    <x v="59"/>
  </r>
  <r>
    <x v="63"/>
  </r>
  <r>
    <x v="89"/>
  </r>
  <r>
    <x v="8"/>
  </r>
  <r>
    <x v="7"/>
  </r>
  <r>
    <x v="12"/>
  </r>
  <r>
    <x v="16"/>
  </r>
  <r>
    <x v="139"/>
  </r>
  <r>
    <x v="10"/>
  </r>
  <r>
    <x v="10"/>
  </r>
  <r>
    <x v="115"/>
  </r>
  <r>
    <x v="21"/>
  </r>
  <r>
    <x v="21"/>
  </r>
  <r>
    <x v="140"/>
  </r>
  <r>
    <x v="140"/>
  </r>
  <r>
    <x v="12"/>
  </r>
  <r>
    <x v="71"/>
  </r>
  <r>
    <x v="42"/>
  </r>
  <r>
    <x v="141"/>
  </r>
  <r>
    <x v="21"/>
  </r>
  <r>
    <x v="21"/>
  </r>
  <r>
    <x v="0"/>
  </r>
  <r>
    <x v="10"/>
  </r>
  <r>
    <x v="4"/>
  </r>
  <r>
    <x v="9"/>
  </r>
  <r>
    <x v="36"/>
  </r>
  <r>
    <x v="36"/>
  </r>
  <r>
    <x v="11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6"/>
  </r>
  <r>
    <x v="21"/>
  </r>
  <r>
    <x v="4"/>
  </r>
  <r>
    <x v="57"/>
  </r>
  <r>
    <x v="16"/>
  </r>
  <r>
    <x v="16"/>
  </r>
  <r>
    <x v="16"/>
  </r>
  <r>
    <x v="16"/>
  </r>
  <r>
    <x v="16"/>
  </r>
  <r>
    <x v="28"/>
  </r>
  <r>
    <x v="28"/>
  </r>
  <r>
    <x v="1"/>
  </r>
  <r>
    <x v="42"/>
  </r>
  <r>
    <x v="42"/>
  </r>
  <r>
    <x v="42"/>
  </r>
  <r>
    <x v="16"/>
  </r>
  <r>
    <x v="48"/>
  </r>
  <r>
    <x v="15"/>
  </r>
  <r>
    <x v="42"/>
  </r>
  <r>
    <x v="44"/>
  </r>
  <r>
    <x v="0"/>
  </r>
  <r>
    <x v="42"/>
  </r>
  <r>
    <x v="42"/>
  </r>
  <r>
    <x v="42"/>
  </r>
  <r>
    <x v="42"/>
  </r>
  <r>
    <x v="42"/>
  </r>
  <r>
    <x v="12"/>
  </r>
  <r>
    <x v="22"/>
  </r>
  <r>
    <x v="22"/>
  </r>
  <r>
    <x v="54"/>
  </r>
  <r>
    <x v="16"/>
  </r>
  <r>
    <x v="16"/>
  </r>
  <r>
    <x v="10"/>
  </r>
  <r>
    <x v="10"/>
  </r>
  <r>
    <x v="15"/>
  </r>
  <r>
    <x v="4"/>
  </r>
  <r>
    <x v="9"/>
  </r>
  <r>
    <x v="9"/>
  </r>
  <r>
    <x v="19"/>
  </r>
  <r>
    <x v="36"/>
  </r>
  <r>
    <x v="16"/>
  </r>
  <r>
    <x v="16"/>
  </r>
  <r>
    <x v="27"/>
  </r>
  <r>
    <x v="27"/>
  </r>
  <r>
    <x v="19"/>
  </r>
  <r>
    <x v="42"/>
  </r>
  <r>
    <x v="42"/>
  </r>
  <r>
    <x v="42"/>
  </r>
  <r>
    <x v="115"/>
  </r>
  <r>
    <x v="28"/>
  </r>
  <r>
    <x v="53"/>
  </r>
  <r>
    <x v="4"/>
  </r>
  <r>
    <x v="68"/>
  </r>
  <r>
    <x v="12"/>
  </r>
  <r>
    <x v="142"/>
  </r>
  <r>
    <x v="4"/>
  </r>
  <r>
    <x v="4"/>
  </r>
  <r>
    <x v="115"/>
  </r>
  <r>
    <x v="17"/>
  </r>
  <r>
    <x v="27"/>
  </r>
  <r>
    <x v="27"/>
  </r>
  <r>
    <x v="27"/>
  </r>
  <r>
    <x v="44"/>
  </r>
  <r>
    <x v="28"/>
  </r>
  <r>
    <x v="28"/>
  </r>
  <r>
    <x v="68"/>
  </r>
  <r>
    <x v="68"/>
  </r>
  <r>
    <x v="68"/>
  </r>
  <r>
    <x v="68"/>
  </r>
  <r>
    <x v="42"/>
  </r>
  <r>
    <x v="4"/>
  </r>
  <r>
    <x v="27"/>
  </r>
  <r>
    <x v="27"/>
  </r>
  <r>
    <x v="68"/>
  </r>
  <r>
    <x v="68"/>
  </r>
  <r>
    <x v="123"/>
  </r>
  <r>
    <x v="10"/>
  </r>
  <r>
    <x v="36"/>
  </r>
  <r>
    <x v="28"/>
  </r>
  <r>
    <x v="28"/>
  </r>
  <r>
    <x v="0"/>
  </r>
  <r>
    <x v="16"/>
  </r>
  <r>
    <x v="16"/>
  </r>
  <r>
    <x v="16"/>
  </r>
  <r>
    <x v="4"/>
  </r>
  <r>
    <x v="79"/>
  </r>
  <r>
    <x v="71"/>
  </r>
  <r>
    <x v="31"/>
  </r>
  <r>
    <x v="79"/>
  </r>
  <r>
    <x v="28"/>
  </r>
  <r>
    <x v="28"/>
  </r>
  <r>
    <x v="28"/>
  </r>
  <r>
    <x v="28"/>
  </r>
  <r>
    <x v="71"/>
  </r>
  <r>
    <x v="71"/>
  </r>
  <r>
    <x v="71"/>
  </r>
  <r>
    <x v="71"/>
  </r>
  <r>
    <x v="12"/>
  </r>
  <r>
    <x v="39"/>
  </r>
  <r>
    <x v="39"/>
  </r>
  <r>
    <x v="28"/>
  </r>
  <r>
    <x v="31"/>
  </r>
  <r>
    <x v="31"/>
  </r>
  <r>
    <x v="31"/>
  </r>
  <r>
    <x v="68"/>
  </r>
  <r>
    <x v="28"/>
  </r>
  <r>
    <x v="71"/>
  </r>
  <r>
    <x v="71"/>
  </r>
  <r>
    <x v="28"/>
  </r>
  <r>
    <x v="28"/>
  </r>
  <r>
    <x v="85"/>
  </r>
  <r>
    <x v="42"/>
  </r>
  <r>
    <x v="57"/>
  </r>
  <r>
    <x v="4"/>
  </r>
  <r>
    <x v="28"/>
  </r>
  <r>
    <x v="28"/>
  </r>
  <r>
    <x v="16"/>
  </r>
  <r>
    <x v="16"/>
  </r>
  <r>
    <x v="12"/>
  </r>
  <r>
    <x v="12"/>
  </r>
  <r>
    <x v="16"/>
  </r>
  <r>
    <x v="16"/>
  </r>
  <r>
    <x v="16"/>
  </r>
  <r>
    <x v="16"/>
  </r>
  <r>
    <x v="28"/>
  </r>
  <r>
    <x v="79"/>
  </r>
  <r>
    <x v="28"/>
  </r>
  <r>
    <x v="28"/>
  </r>
  <r>
    <x v="28"/>
  </r>
  <r>
    <x v="71"/>
  </r>
  <r>
    <x v="68"/>
  </r>
  <r>
    <x v="28"/>
  </r>
  <r>
    <x v="28"/>
  </r>
  <r>
    <x v="28"/>
  </r>
  <r>
    <x v="71"/>
  </r>
  <r>
    <x v="71"/>
  </r>
  <r>
    <x v="10"/>
  </r>
  <r>
    <x v="23"/>
  </r>
  <r>
    <x v="31"/>
  </r>
  <r>
    <x v="6"/>
  </r>
  <r>
    <x v="28"/>
  </r>
  <r>
    <x v="16"/>
  </r>
  <r>
    <x v="16"/>
  </r>
  <r>
    <x v="45"/>
  </r>
  <r>
    <x v="45"/>
  </r>
  <r>
    <x v="45"/>
  </r>
  <r>
    <x v="91"/>
  </r>
  <r>
    <x v="1"/>
  </r>
  <r>
    <x v="1"/>
  </r>
  <r>
    <x v="28"/>
  </r>
  <r>
    <x v="16"/>
  </r>
  <r>
    <x v="28"/>
  </r>
  <r>
    <x v="16"/>
  </r>
  <r>
    <x v="14"/>
  </r>
  <r>
    <x v="31"/>
  </r>
  <r>
    <x v="141"/>
  </r>
  <r>
    <x v="141"/>
  </r>
  <r>
    <x v="22"/>
  </r>
  <r>
    <x v="22"/>
  </r>
  <r>
    <x v="9"/>
  </r>
  <r>
    <x v="68"/>
  </r>
  <r>
    <x v="16"/>
  </r>
  <r>
    <x v="143"/>
  </r>
  <r>
    <x v="27"/>
  </r>
  <r>
    <x v="28"/>
  </r>
  <r>
    <x v="28"/>
  </r>
  <r>
    <x v="16"/>
  </r>
  <r>
    <x v="57"/>
  </r>
  <r>
    <x v="68"/>
  </r>
  <r>
    <x v="71"/>
  </r>
  <r>
    <x v="16"/>
  </r>
  <r>
    <x v="45"/>
  </r>
  <r>
    <x v="0"/>
  </r>
  <r>
    <x v="19"/>
  </r>
  <r>
    <x v="14"/>
  </r>
  <r>
    <x v="16"/>
  </r>
  <r>
    <x v="28"/>
  </r>
  <r>
    <x v="28"/>
  </r>
  <r>
    <x v="88"/>
  </r>
  <r>
    <x v="14"/>
  </r>
  <r>
    <x v="19"/>
  </r>
  <r>
    <x v="9"/>
  </r>
  <r>
    <x v="86"/>
  </r>
  <r>
    <x v="68"/>
  </r>
  <r>
    <x v="68"/>
  </r>
  <r>
    <x v="9"/>
  </r>
  <r>
    <x v="31"/>
  </r>
  <r>
    <x v="31"/>
  </r>
  <r>
    <x v="0"/>
  </r>
  <r>
    <x v="0"/>
  </r>
  <r>
    <x v="19"/>
  </r>
  <r>
    <x v="19"/>
  </r>
  <r>
    <x v="9"/>
  </r>
  <r>
    <x v="14"/>
  </r>
  <r>
    <x v="14"/>
  </r>
  <r>
    <x v="14"/>
  </r>
  <r>
    <x v="14"/>
  </r>
  <r>
    <x v="14"/>
  </r>
  <r>
    <x v="14"/>
  </r>
  <r>
    <x v="4"/>
  </r>
  <r>
    <x v="10"/>
  </r>
  <r>
    <x v="9"/>
  </r>
  <r>
    <x v="16"/>
  </r>
  <r>
    <x v="0"/>
  </r>
  <r>
    <x v="53"/>
  </r>
  <r>
    <x v="144"/>
  </r>
  <r>
    <x v="19"/>
  </r>
  <r>
    <x v="19"/>
  </r>
  <r>
    <x v="57"/>
  </r>
  <r>
    <x v="71"/>
  </r>
  <r>
    <x v="43"/>
  </r>
  <r>
    <x v="71"/>
  </r>
  <r>
    <x v="71"/>
  </r>
  <r>
    <x v="10"/>
  </r>
  <r>
    <x v="14"/>
  </r>
  <r>
    <x v="14"/>
  </r>
  <r>
    <x v="14"/>
  </r>
  <r>
    <x v="14"/>
  </r>
  <r>
    <x v="14"/>
  </r>
  <r>
    <x v="14"/>
  </r>
  <r>
    <x v="68"/>
  </r>
  <r>
    <x v="7"/>
  </r>
  <r>
    <x v="7"/>
  </r>
  <r>
    <x v="7"/>
  </r>
  <r>
    <x v="7"/>
  </r>
  <r>
    <x v="42"/>
  </r>
  <r>
    <x v="71"/>
  </r>
  <r>
    <x v="71"/>
  </r>
  <r>
    <x v="71"/>
  </r>
  <r>
    <x v="68"/>
  </r>
  <r>
    <x v="56"/>
  </r>
  <r>
    <x v="138"/>
  </r>
  <r>
    <x v="68"/>
  </r>
  <r>
    <x v="71"/>
  </r>
  <r>
    <x v="71"/>
  </r>
  <r>
    <x v="71"/>
  </r>
  <r>
    <x v="71"/>
  </r>
  <r>
    <x v="0"/>
  </r>
  <r>
    <x v="7"/>
  </r>
  <r>
    <x v="7"/>
  </r>
  <r>
    <x v="7"/>
  </r>
  <r>
    <x v="7"/>
  </r>
  <r>
    <x v="4"/>
  </r>
  <r>
    <x v="4"/>
  </r>
  <r>
    <x v="0"/>
  </r>
  <r>
    <x v="0"/>
  </r>
  <r>
    <x v="42"/>
  </r>
  <r>
    <x v="7"/>
  </r>
  <r>
    <x v="42"/>
  </r>
  <r>
    <x v="42"/>
  </r>
  <r>
    <x v="0"/>
  </r>
  <r>
    <x v="0"/>
  </r>
  <r>
    <x v="4"/>
  </r>
  <r>
    <x v="4"/>
  </r>
  <r>
    <x v="143"/>
  </r>
  <r>
    <x v="145"/>
  </r>
  <r>
    <x v="0"/>
  </r>
  <r>
    <x v="68"/>
  </r>
  <r>
    <x v="42"/>
  </r>
  <r>
    <x v="42"/>
  </r>
  <r>
    <x v="7"/>
  </r>
  <r>
    <x v="34"/>
  </r>
  <r>
    <x v="0"/>
  </r>
  <r>
    <x v="0"/>
  </r>
  <r>
    <x v="7"/>
  </r>
  <r>
    <x v="7"/>
  </r>
  <r>
    <x v="68"/>
  </r>
  <r>
    <x v="123"/>
  </r>
  <r>
    <x v="0"/>
  </r>
  <r>
    <x v="0"/>
  </r>
  <r>
    <x v="0"/>
  </r>
  <r>
    <x v="146"/>
  </r>
  <r>
    <x v="28"/>
  </r>
  <r>
    <x v="28"/>
  </r>
  <r>
    <x v="81"/>
  </r>
  <r>
    <x v="81"/>
  </r>
  <r>
    <x v="81"/>
  </r>
  <r>
    <x v="14"/>
  </r>
  <r>
    <x v="12"/>
  </r>
  <r>
    <x v="14"/>
  </r>
  <r>
    <x v="9"/>
  </r>
  <r>
    <x v="0"/>
  </r>
  <r>
    <x v="0"/>
  </r>
  <r>
    <x v="56"/>
  </r>
  <r>
    <x v="45"/>
  </r>
  <r>
    <x v="45"/>
  </r>
  <r>
    <x v="37"/>
  </r>
  <r>
    <x v="19"/>
  </r>
  <r>
    <x v="45"/>
  </r>
  <r>
    <x v="19"/>
  </r>
  <r>
    <x v="71"/>
  </r>
  <r>
    <x v="143"/>
  </r>
  <r>
    <x v="28"/>
  </r>
  <r>
    <x v="14"/>
  </r>
  <r>
    <x v="12"/>
  </r>
  <r>
    <x v="14"/>
  </r>
  <r>
    <x v="147"/>
  </r>
  <r>
    <x v="28"/>
  </r>
  <r>
    <x v="34"/>
  </r>
  <r>
    <x v="123"/>
  </r>
  <r>
    <x v="24"/>
  </r>
  <r>
    <x v="28"/>
  </r>
  <r>
    <x v="123"/>
  </r>
  <r>
    <x v="28"/>
  </r>
  <r>
    <x v="14"/>
  </r>
  <r>
    <x v="14"/>
  </r>
  <r>
    <x v="14"/>
  </r>
  <r>
    <x v="14"/>
  </r>
  <r>
    <x v="28"/>
  </r>
  <r>
    <x v="56"/>
  </r>
  <r>
    <x v="14"/>
  </r>
  <r>
    <x v="14"/>
  </r>
  <r>
    <x v="14"/>
  </r>
  <r>
    <x v="14"/>
  </r>
  <r>
    <x v="72"/>
  </r>
  <r>
    <x v="7"/>
  </r>
  <r>
    <x v="7"/>
  </r>
  <r>
    <x v="14"/>
  </r>
  <r>
    <x v="14"/>
  </r>
  <r>
    <x v="56"/>
  </r>
  <r>
    <x v="56"/>
  </r>
  <r>
    <x v="4"/>
  </r>
  <r>
    <x v="24"/>
  </r>
  <r>
    <x v="57"/>
  </r>
  <r>
    <x v="9"/>
  </r>
  <r>
    <x v="28"/>
  </r>
  <r>
    <x v="123"/>
  </r>
  <r>
    <x v="148"/>
  </r>
  <r>
    <x v="14"/>
  </r>
  <r>
    <x v="14"/>
  </r>
  <r>
    <x v="45"/>
  </r>
  <r>
    <x v="123"/>
  </r>
  <r>
    <x v="6"/>
  </r>
  <r>
    <x v="6"/>
  </r>
  <r>
    <x v="1"/>
  </r>
  <r>
    <x v="14"/>
  </r>
  <r>
    <x v="14"/>
  </r>
  <r>
    <x v="14"/>
  </r>
  <r>
    <x v="0"/>
  </r>
  <r>
    <x v="28"/>
  </r>
  <r>
    <x v="138"/>
  </r>
  <r>
    <x v="6"/>
  </r>
  <r>
    <x v="42"/>
  </r>
  <r>
    <x v="42"/>
  </r>
  <r>
    <x v="25"/>
  </r>
  <r>
    <x v="28"/>
  </r>
  <r>
    <x v="42"/>
  </r>
  <r>
    <x v="21"/>
  </r>
  <r>
    <x v="57"/>
  </r>
  <r>
    <x v="57"/>
  </r>
  <r>
    <x v="57"/>
  </r>
  <r>
    <x v="57"/>
  </r>
  <r>
    <x v="25"/>
  </r>
  <r>
    <x v="12"/>
  </r>
  <r>
    <x v="28"/>
  </r>
  <r>
    <x v="2"/>
  </r>
  <r>
    <x v="7"/>
  </r>
  <r>
    <x v="7"/>
  </r>
  <r>
    <x v="42"/>
  </r>
  <r>
    <x v="42"/>
  </r>
  <r>
    <x v="42"/>
  </r>
  <r>
    <x v="21"/>
  </r>
  <r>
    <x v="19"/>
  </r>
  <r>
    <x v="0"/>
  </r>
  <r>
    <x v="64"/>
  </r>
  <r>
    <x v="42"/>
  </r>
  <r>
    <x v="9"/>
  </r>
  <r>
    <x v="147"/>
  </r>
  <r>
    <x v="53"/>
  </r>
  <r>
    <x v="53"/>
  </r>
  <r>
    <x v="71"/>
  </r>
  <r>
    <x v="2"/>
  </r>
  <r>
    <x v="9"/>
  </r>
  <r>
    <x v="4"/>
  </r>
  <r>
    <x v="7"/>
  </r>
  <r>
    <x v="11"/>
  </r>
  <r>
    <x v="71"/>
  </r>
  <r>
    <x v="12"/>
  </r>
  <r>
    <x v="22"/>
  </r>
  <r>
    <x v="77"/>
  </r>
  <r>
    <x v="71"/>
  </r>
  <r>
    <x v="7"/>
  </r>
  <r>
    <x v="7"/>
  </r>
  <r>
    <x v="7"/>
  </r>
  <r>
    <x v="7"/>
  </r>
  <r>
    <x v="71"/>
  </r>
  <r>
    <x v="16"/>
  </r>
  <r>
    <x v="4"/>
  </r>
  <r>
    <x v="4"/>
  </r>
  <r>
    <x v="4"/>
  </r>
  <r>
    <x v="19"/>
  </r>
  <r>
    <x v="4"/>
  </r>
  <r>
    <x v="42"/>
  </r>
  <r>
    <x v="42"/>
  </r>
  <r>
    <x v="42"/>
  </r>
  <r>
    <x v="42"/>
  </r>
  <r>
    <x v="22"/>
  </r>
  <r>
    <x v="79"/>
  </r>
  <r>
    <x v="9"/>
  </r>
  <r>
    <x v="57"/>
  </r>
  <r>
    <x v="37"/>
  </r>
  <r>
    <x v="149"/>
  </r>
  <r>
    <x v="71"/>
  </r>
  <r>
    <x v="68"/>
  </r>
  <r>
    <x v="14"/>
  </r>
  <r>
    <x v="19"/>
  </r>
  <r>
    <x v="147"/>
  </r>
  <r>
    <x v="147"/>
  </r>
  <r>
    <x v="147"/>
  </r>
  <r>
    <x v="79"/>
  </r>
  <r>
    <x v="79"/>
  </r>
  <r>
    <x v="79"/>
  </r>
  <r>
    <x v="79"/>
  </r>
  <r>
    <x v="42"/>
  </r>
  <r>
    <x v="71"/>
  </r>
  <r>
    <x v="27"/>
  </r>
  <r>
    <x v="27"/>
  </r>
  <r>
    <x v="68"/>
  </r>
  <r>
    <x v="68"/>
  </r>
  <r>
    <x v="24"/>
  </r>
  <r>
    <x v="19"/>
  </r>
  <r>
    <x v="19"/>
  </r>
  <r>
    <x v="19"/>
  </r>
  <r>
    <x v="9"/>
  </r>
  <r>
    <x v="9"/>
  </r>
  <r>
    <x v="53"/>
  </r>
  <r>
    <x v="4"/>
  </r>
  <r>
    <x v="24"/>
  </r>
  <r>
    <x v="145"/>
  </r>
  <r>
    <x v="145"/>
  </r>
  <r>
    <x v="145"/>
  </r>
  <r>
    <x v="27"/>
  </r>
  <r>
    <x v="27"/>
  </r>
  <r>
    <x v="2"/>
  </r>
  <r>
    <x v="141"/>
  </r>
  <r>
    <x v="141"/>
  </r>
  <r>
    <x v="42"/>
  </r>
  <r>
    <x v="56"/>
  </r>
  <r>
    <x v="71"/>
  </r>
  <r>
    <x v="0"/>
  </r>
  <r>
    <x v="0"/>
  </r>
  <r>
    <x v="12"/>
  </r>
  <r>
    <x v="24"/>
  </r>
  <r>
    <x v="150"/>
  </r>
  <r>
    <x v="57"/>
  </r>
  <r>
    <x v="86"/>
  </r>
  <r>
    <x v="0"/>
  </r>
  <r>
    <x v="0"/>
  </r>
  <r>
    <x v="14"/>
  </r>
  <r>
    <x v="14"/>
  </r>
  <r>
    <x v="28"/>
  </r>
  <r>
    <x v="43"/>
  </r>
  <r>
    <x v="14"/>
  </r>
  <r>
    <x v="24"/>
  </r>
  <r>
    <x v="4"/>
  </r>
  <r>
    <x v="57"/>
  </r>
  <r>
    <x v="7"/>
  </r>
  <r>
    <x v="14"/>
  </r>
  <r>
    <x v="4"/>
  </r>
  <r>
    <x v="0"/>
  </r>
  <r>
    <x v="0"/>
  </r>
  <r>
    <x v="123"/>
  </r>
  <r>
    <x v="71"/>
  </r>
  <r>
    <x v="19"/>
  </r>
  <r>
    <x v="24"/>
  </r>
  <r>
    <x v="8"/>
  </r>
  <r>
    <x v="8"/>
  </r>
  <r>
    <x v="68"/>
  </r>
  <r>
    <x v="71"/>
  </r>
  <r>
    <x v="28"/>
  </r>
  <r>
    <x v="28"/>
  </r>
  <r>
    <x v="28"/>
  </r>
  <r>
    <x v="28"/>
  </r>
  <r>
    <x v="14"/>
  </r>
  <r>
    <x v="14"/>
  </r>
  <r>
    <x v="53"/>
  </r>
  <r>
    <x v="4"/>
  </r>
  <r>
    <x v="4"/>
  </r>
  <r>
    <x v="4"/>
  </r>
  <r>
    <x v="4"/>
  </r>
  <r>
    <x v="123"/>
  </r>
  <r>
    <x v="53"/>
  </r>
  <r>
    <x v="4"/>
  </r>
  <r>
    <x v="4"/>
  </r>
  <r>
    <x v="8"/>
  </r>
  <r>
    <x v="8"/>
  </r>
  <r>
    <x v="71"/>
  </r>
  <r>
    <x v="25"/>
  </r>
  <r>
    <x v="25"/>
  </r>
  <r>
    <x v="87"/>
  </r>
  <r>
    <x v="14"/>
  </r>
  <r>
    <x v="14"/>
  </r>
  <r>
    <x v="14"/>
  </r>
  <r>
    <x v="14"/>
  </r>
  <r>
    <x v="14"/>
  </r>
  <r>
    <x v="0"/>
  </r>
  <r>
    <x v="37"/>
  </r>
  <r>
    <x v="71"/>
  </r>
  <r>
    <x v="71"/>
  </r>
  <r>
    <x v="28"/>
  </r>
  <r>
    <x v="9"/>
  </r>
  <r>
    <x v="7"/>
  </r>
  <r>
    <x v="37"/>
  </r>
  <r>
    <x v="71"/>
  </r>
  <r>
    <x v="28"/>
  </r>
  <r>
    <x v="28"/>
  </r>
  <r>
    <x v="3"/>
  </r>
  <r>
    <x v="3"/>
  </r>
  <r>
    <x v="10"/>
  </r>
  <r>
    <x v="68"/>
  </r>
  <r>
    <x v="12"/>
  </r>
  <r>
    <x v="14"/>
  </r>
  <r>
    <x v="71"/>
  </r>
  <r>
    <x v="71"/>
  </r>
  <r>
    <x v="0"/>
  </r>
  <r>
    <x v="57"/>
  </r>
  <r>
    <x v="151"/>
  </r>
  <r>
    <x v="0"/>
  </r>
  <r>
    <x v="11"/>
  </r>
  <r>
    <x v="71"/>
  </r>
  <r>
    <x v="57"/>
  </r>
  <r>
    <x v="57"/>
  </r>
  <r>
    <x v="151"/>
  </r>
  <r>
    <x v="22"/>
  </r>
  <r>
    <x v="22"/>
  </r>
  <r>
    <x v="22"/>
  </r>
  <r>
    <x v="71"/>
  </r>
  <r>
    <x v="22"/>
  </r>
  <r>
    <x v="72"/>
  </r>
  <r>
    <x v="72"/>
  </r>
  <r>
    <x v="12"/>
  </r>
  <r>
    <x v="0"/>
  </r>
  <r>
    <x v="57"/>
  </r>
  <r>
    <x v="31"/>
  </r>
  <r>
    <x v="57"/>
  </r>
  <r>
    <x v="57"/>
  </r>
  <r>
    <x v="151"/>
  </r>
  <r>
    <x v="22"/>
  </r>
  <r>
    <x v="22"/>
  </r>
  <r>
    <x v="68"/>
  </r>
  <r>
    <x v="68"/>
  </r>
  <r>
    <x v="57"/>
  </r>
  <r>
    <x v="57"/>
  </r>
  <r>
    <x v="57"/>
  </r>
  <r>
    <x v="9"/>
  </r>
  <r>
    <x v="0"/>
  </r>
  <r>
    <x v="0"/>
  </r>
  <r>
    <x v="0"/>
  </r>
  <r>
    <x v="0"/>
  </r>
  <r>
    <x v="9"/>
  </r>
  <r>
    <x v="52"/>
  </r>
  <r>
    <x v="9"/>
  </r>
  <r>
    <x v="9"/>
  </r>
  <r>
    <x v="28"/>
  </r>
  <r>
    <x v="21"/>
  </r>
  <r>
    <x v="0"/>
  </r>
  <r>
    <x v="10"/>
  </r>
  <r>
    <x v="9"/>
  </r>
  <r>
    <x v="0"/>
  </r>
  <r>
    <x v="14"/>
  </r>
  <r>
    <x v="19"/>
  </r>
  <r>
    <x v="14"/>
  </r>
  <r>
    <x v="64"/>
  </r>
  <r>
    <x v="78"/>
  </r>
  <r>
    <x v="78"/>
  </r>
  <r>
    <x v="36"/>
  </r>
  <r>
    <x v="36"/>
  </r>
  <r>
    <x v="36"/>
  </r>
  <r>
    <x v="36"/>
  </r>
  <r>
    <x v="36"/>
  </r>
  <r>
    <x v="36"/>
  </r>
  <r>
    <x v="36"/>
  </r>
  <r>
    <x v="57"/>
  </r>
  <r>
    <x v="57"/>
  </r>
  <r>
    <x v="42"/>
  </r>
  <r>
    <x v="42"/>
  </r>
  <r>
    <x v="42"/>
  </r>
  <r>
    <x v="42"/>
  </r>
  <r>
    <x v="0"/>
  </r>
  <r>
    <x v="71"/>
  </r>
  <r>
    <x v="0"/>
  </r>
  <r>
    <x v="92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45"/>
  </r>
  <r>
    <x v="12"/>
  </r>
  <r>
    <x v="152"/>
  </r>
  <r>
    <x v="10"/>
  </r>
  <r>
    <x v="11"/>
  </r>
  <r>
    <x v="16"/>
  </r>
  <r>
    <x v="16"/>
  </r>
  <r>
    <x v="0"/>
  </r>
  <r>
    <x v="0"/>
  </r>
  <r>
    <x v="56"/>
  </r>
  <r>
    <x v="56"/>
  </r>
  <r>
    <x v="56"/>
  </r>
  <r>
    <x v="56"/>
  </r>
  <r>
    <x v="56"/>
  </r>
  <r>
    <x v="138"/>
  </r>
  <r>
    <x v="0"/>
  </r>
  <r>
    <x v="0"/>
  </r>
  <r>
    <x v="0"/>
  </r>
  <r>
    <x v="19"/>
  </r>
  <r>
    <x v="4"/>
  </r>
  <r>
    <x v="10"/>
  </r>
  <r>
    <x v="7"/>
  </r>
  <r>
    <x v="7"/>
  </r>
  <r>
    <x v="14"/>
  </r>
  <r>
    <x v="152"/>
  </r>
  <r>
    <x v="45"/>
  </r>
  <r>
    <x v="42"/>
  </r>
  <r>
    <x v="71"/>
  </r>
  <r>
    <x v="141"/>
  </r>
  <r>
    <x v="4"/>
  </r>
  <r>
    <x v="15"/>
  </r>
  <r>
    <x v="0"/>
  </r>
  <r>
    <x v="19"/>
  </r>
  <r>
    <x v="45"/>
  </r>
  <r>
    <x v="45"/>
  </r>
  <r>
    <x v="0"/>
  </r>
  <r>
    <x v="0"/>
  </r>
  <r>
    <x v="0"/>
  </r>
  <r>
    <x v="0"/>
  </r>
  <r>
    <x v="0"/>
  </r>
  <r>
    <x v="51"/>
  </r>
  <r>
    <x v="84"/>
  </r>
  <r>
    <x v="24"/>
  </r>
  <r>
    <x v="6"/>
  </r>
  <r>
    <x v="6"/>
  </r>
  <r>
    <x v="6"/>
  </r>
  <r>
    <x v="6"/>
  </r>
  <r>
    <x v="1"/>
  </r>
  <r>
    <x v="1"/>
  </r>
  <r>
    <x v="1"/>
  </r>
  <r>
    <x v="45"/>
  </r>
  <r>
    <x v="9"/>
  </r>
  <r>
    <x v="92"/>
  </r>
  <r>
    <x v="86"/>
  </r>
  <r>
    <x v="16"/>
  </r>
  <r>
    <x v="16"/>
  </r>
  <r>
    <x v="15"/>
  </r>
  <r>
    <x v="68"/>
  </r>
  <r>
    <x v="138"/>
  </r>
  <r>
    <x v="25"/>
  </r>
  <r>
    <x v="6"/>
  </r>
  <r>
    <x v="15"/>
  </r>
  <r>
    <x v="19"/>
  </r>
  <r>
    <x v="19"/>
  </r>
  <r>
    <x v="79"/>
  </r>
  <r>
    <x v="152"/>
  </r>
  <r>
    <x v="0"/>
  </r>
  <r>
    <x v="0"/>
  </r>
  <r>
    <x v="12"/>
  </r>
  <r>
    <x v="12"/>
  </r>
  <r>
    <x v="69"/>
  </r>
  <r>
    <x v="10"/>
  </r>
  <r>
    <x v="16"/>
  </r>
  <r>
    <x v="16"/>
  </r>
  <r>
    <x v="0"/>
  </r>
  <r>
    <x v="0"/>
  </r>
  <r>
    <x v="56"/>
  </r>
  <r>
    <x v="87"/>
  </r>
  <r>
    <x v="21"/>
  </r>
  <r>
    <x v="42"/>
  </r>
  <r>
    <x v="31"/>
  </r>
  <r>
    <x v="0"/>
  </r>
  <r>
    <x v="42"/>
  </r>
  <r>
    <x v="28"/>
  </r>
  <r>
    <x v="152"/>
  </r>
  <r>
    <x v="152"/>
  </r>
  <r>
    <x v="152"/>
  </r>
  <r>
    <x v="120"/>
  </r>
  <r>
    <x v="15"/>
  </r>
  <r>
    <x v="15"/>
  </r>
  <r>
    <x v="15"/>
  </r>
  <r>
    <x v="12"/>
  </r>
  <r>
    <x v="16"/>
  </r>
  <r>
    <x v="12"/>
  </r>
  <r>
    <x v="9"/>
  </r>
  <r>
    <x v="12"/>
  </r>
  <r>
    <x v="15"/>
  </r>
  <r>
    <x v="131"/>
  </r>
  <r>
    <x v="0"/>
  </r>
  <r>
    <x v="0"/>
  </r>
  <r>
    <x v="12"/>
  </r>
  <r>
    <x v="25"/>
  </r>
  <r>
    <x v="25"/>
  </r>
  <r>
    <x v="36"/>
  </r>
  <r>
    <x v="123"/>
  </r>
  <r>
    <x v="56"/>
  </r>
  <r>
    <x v="56"/>
  </r>
  <r>
    <x v="56"/>
  </r>
  <r>
    <x v="36"/>
  </r>
  <r>
    <x v="42"/>
  </r>
  <r>
    <x v="55"/>
  </r>
  <r>
    <x v="42"/>
  </r>
  <r>
    <x v="14"/>
  </r>
  <r>
    <x v="37"/>
  </r>
  <r>
    <x v="4"/>
  </r>
  <r>
    <x v="153"/>
  </r>
  <r>
    <x v="153"/>
  </r>
  <r>
    <x v="1"/>
  </r>
  <r>
    <x v="28"/>
  </r>
  <r>
    <x v="28"/>
  </r>
  <r>
    <x v="0"/>
  </r>
  <r>
    <x v="0"/>
  </r>
  <r>
    <x v="29"/>
  </r>
  <r>
    <x v="12"/>
  </r>
  <r>
    <x v="152"/>
  </r>
  <r>
    <x v="152"/>
  </r>
  <r>
    <x v="152"/>
  </r>
  <r>
    <x v="28"/>
  </r>
  <r>
    <x v="3"/>
  </r>
  <r>
    <x v="3"/>
  </r>
  <r>
    <x v="123"/>
  </r>
  <r>
    <x v="10"/>
  </r>
  <r>
    <x v="12"/>
  </r>
  <r>
    <x v="19"/>
  </r>
  <r>
    <x v="19"/>
  </r>
  <r>
    <x v="31"/>
  </r>
  <r>
    <x v="21"/>
  </r>
  <r>
    <x v="31"/>
  </r>
  <r>
    <x v="31"/>
  </r>
  <r>
    <x v="99"/>
  </r>
  <r>
    <x v="7"/>
  </r>
  <r>
    <x v="4"/>
  </r>
  <r>
    <x v="4"/>
  </r>
  <r>
    <x v="0"/>
  </r>
  <r>
    <x v="42"/>
  </r>
  <r>
    <x v="7"/>
  </r>
  <r>
    <x v="7"/>
  </r>
  <r>
    <x v="10"/>
  </r>
  <r>
    <x v="14"/>
  </r>
  <r>
    <x v="46"/>
  </r>
  <r>
    <x v="10"/>
  </r>
  <r>
    <x v="76"/>
  </r>
  <r>
    <x v="24"/>
  </r>
  <r>
    <x v="21"/>
  </r>
  <r>
    <x v="16"/>
  </r>
  <r>
    <x v="16"/>
  </r>
  <r>
    <x v="16"/>
  </r>
  <r>
    <x v="57"/>
  </r>
  <r>
    <x v="9"/>
  </r>
  <r>
    <x v="21"/>
  </r>
  <r>
    <x v="42"/>
  </r>
  <r>
    <x v="0"/>
  </r>
  <r>
    <x v="12"/>
  </r>
  <r>
    <x v="19"/>
  </r>
  <r>
    <x v="7"/>
  </r>
  <r>
    <x v="4"/>
  </r>
  <r>
    <x v="45"/>
  </r>
  <r>
    <x v="12"/>
  </r>
  <r>
    <x v="4"/>
  </r>
  <r>
    <x v="42"/>
  </r>
  <r>
    <x v="45"/>
  </r>
  <r>
    <x v="71"/>
  </r>
  <r>
    <x v="7"/>
  </r>
  <r>
    <x v="1"/>
  </r>
  <r>
    <x v="4"/>
  </r>
  <r>
    <x v="4"/>
  </r>
  <r>
    <x v="14"/>
  </r>
  <r>
    <x v="76"/>
  </r>
  <r>
    <x v="28"/>
  </r>
  <r>
    <x v="9"/>
  </r>
  <r>
    <x v="12"/>
  </r>
  <r>
    <x v="12"/>
  </r>
  <r>
    <x v="57"/>
  </r>
  <r>
    <x v="14"/>
  </r>
  <r>
    <x v="123"/>
  </r>
  <r>
    <x v="12"/>
  </r>
  <r>
    <x v="12"/>
  </r>
  <r>
    <x v="154"/>
  </r>
  <r>
    <x v="45"/>
  </r>
  <r>
    <x v="123"/>
  </r>
  <r>
    <x v="71"/>
  </r>
  <r>
    <x v="23"/>
  </r>
  <r>
    <x v="155"/>
  </r>
  <r>
    <x v="156"/>
  </r>
  <r>
    <x v="4"/>
  </r>
  <r>
    <x v="19"/>
  </r>
  <r>
    <x v="12"/>
  </r>
  <r>
    <x v="7"/>
  </r>
  <r>
    <x v="123"/>
  </r>
  <r>
    <x v="123"/>
  </r>
  <r>
    <x v="12"/>
  </r>
  <r>
    <x v="45"/>
  </r>
  <r>
    <x v="29"/>
  </r>
  <r>
    <x v="123"/>
  </r>
  <r>
    <x v="152"/>
  </r>
  <r>
    <x v="31"/>
  </r>
  <r>
    <x v="0"/>
  </r>
  <r>
    <x v="0"/>
  </r>
  <r>
    <x v="11"/>
  </r>
  <r>
    <x v="71"/>
  </r>
  <r>
    <x v="16"/>
  </r>
  <r>
    <x v="12"/>
  </r>
  <r>
    <x v="57"/>
  </r>
  <r>
    <x v="37"/>
  </r>
  <r>
    <x v="10"/>
  </r>
  <r>
    <x v="22"/>
  </r>
  <r>
    <x v="16"/>
  </r>
  <r>
    <x v="14"/>
  </r>
  <r>
    <x v="17"/>
  </r>
  <r>
    <x v="4"/>
  </r>
  <r>
    <x v="9"/>
  </r>
  <r>
    <x v="16"/>
  </r>
  <r>
    <x v="16"/>
  </r>
  <r>
    <x v="11"/>
  </r>
  <r>
    <x v="25"/>
  </r>
  <r>
    <x v="10"/>
  </r>
  <r>
    <x v="19"/>
  </r>
  <r>
    <x v="22"/>
  </r>
  <r>
    <x v="0"/>
  </r>
  <r>
    <x v="115"/>
  </r>
  <r>
    <x v="75"/>
  </r>
  <r>
    <x v="14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78"/>
  </r>
  <r>
    <x v="78"/>
  </r>
  <r>
    <x v="23"/>
  </r>
  <r>
    <x v="0"/>
  </r>
  <r>
    <x v="0"/>
  </r>
  <r>
    <x v="0"/>
  </r>
  <r>
    <x v="28"/>
  </r>
  <r>
    <x v="28"/>
  </r>
  <r>
    <x v="28"/>
  </r>
  <r>
    <x v="24"/>
  </r>
  <r>
    <x v="2"/>
  </r>
  <r>
    <x v="0"/>
  </r>
  <r>
    <x v="16"/>
  </r>
  <r>
    <x v="10"/>
  </r>
  <r>
    <x v="21"/>
  </r>
  <r>
    <x v="28"/>
  </r>
  <r>
    <x v="123"/>
  </r>
  <r>
    <x v="0"/>
  </r>
  <r>
    <x v="42"/>
  </r>
  <r>
    <x v="42"/>
  </r>
  <r>
    <x v="9"/>
  </r>
  <r>
    <x v="21"/>
  </r>
  <r>
    <x v="1"/>
  </r>
  <r>
    <x v="87"/>
  </r>
  <r>
    <x v="87"/>
  </r>
  <r>
    <x v="87"/>
  </r>
  <r>
    <x v="6"/>
  </r>
  <r>
    <x v="24"/>
  </r>
  <r>
    <x v="4"/>
  </r>
  <r>
    <x v="4"/>
  </r>
  <r>
    <x v="76"/>
  </r>
  <r>
    <x v="10"/>
  </r>
  <r>
    <x v="10"/>
  </r>
  <r>
    <x v="10"/>
  </r>
  <r>
    <x v="87"/>
  </r>
  <r>
    <x v="115"/>
  </r>
  <r>
    <x v="10"/>
  </r>
  <r>
    <x v="10"/>
  </r>
  <r>
    <x v="131"/>
  </r>
  <r>
    <x v="6"/>
  </r>
  <r>
    <x v="28"/>
  </r>
  <r>
    <x v="24"/>
  </r>
  <r>
    <x v="157"/>
  </r>
  <r>
    <x v="78"/>
  </r>
  <r>
    <x v="78"/>
  </r>
  <r>
    <x v="9"/>
  </r>
  <r>
    <x v="24"/>
  </r>
  <r>
    <x v="37"/>
  </r>
  <r>
    <x v="9"/>
  </r>
  <r>
    <x v="4"/>
  </r>
  <r>
    <x v="4"/>
  </r>
  <r>
    <x v="63"/>
  </r>
  <r>
    <x v="9"/>
  </r>
  <r>
    <x v="7"/>
  </r>
  <r>
    <x v="4"/>
  </r>
  <r>
    <x v="11"/>
  </r>
  <r>
    <x v="11"/>
  </r>
  <r>
    <x v="4"/>
  </r>
  <r>
    <x v="10"/>
  </r>
  <r>
    <x v="10"/>
  </r>
  <r>
    <x v="10"/>
  </r>
  <r>
    <x v="78"/>
  </r>
  <r>
    <x v="78"/>
  </r>
  <r>
    <x v="78"/>
  </r>
  <r>
    <x v="78"/>
  </r>
  <r>
    <x v="78"/>
  </r>
  <r>
    <x v="123"/>
  </r>
  <r>
    <x v="7"/>
  </r>
  <r>
    <x v="4"/>
  </r>
  <r>
    <x v="42"/>
  </r>
  <r>
    <x v="123"/>
  </r>
  <r>
    <x v="7"/>
  </r>
  <r>
    <x v="63"/>
  </r>
  <r>
    <x v="75"/>
  </r>
  <r>
    <x v="7"/>
  </r>
  <r>
    <x v="16"/>
  </r>
  <r>
    <x v="56"/>
  </r>
  <r>
    <x v="56"/>
  </r>
  <r>
    <x v="56"/>
  </r>
  <r>
    <x v="12"/>
  </r>
  <r>
    <x v="12"/>
  </r>
  <r>
    <x v="2"/>
  </r>
  <r>
    <x v="2"/>
  </r>
  <r>
    <x v="152"/>
  </r>
  <r>
    <x v="152"/>
  </r>
  <r>
    <x v="11"/>
  </r>
  <r>
    <x v="2"/>
  </r>
  <r>
    <x v="7"/>
  </r>
  <r>
    <x v="158"/>
  </r>
  <r>
    <x v="17"/>
  </r>
  <r>
    <x v="60"/>
  </r>
  <r>
    <x v="41"/>
  </r>
  <r>
    <x v="17"/>
  </r>
  <r>
    <x v="76"/>
  </r>
  <r>
    <x v="159"/>
  </r>
  <r>
    <x v="45"/>
  </r>
  <r>
    <x v="48"/>
  </r>
  <r>
    <x v="131"/>
  </r>
  <r>
    <x v="131"/>
  </r>
  <r>
    <x v="16"/>
  </r>
  <r>
    <x v="87"/>
  </r>
  <r>
    <x v="15"/>
  </r>
  <r>
    <x v="10"/>
  </r>
  <r>
    <x v="0"/>
  </r>
  <r>
    <x v="10"/>
  </r>
  <r>
    <x v="10"/>
  </r>
  <r>
    <x v="2"/>
  </r>
  <r>
    <x v="17"/>
  </r>
  <r>
    <x v="12"/>
  </r>
  <r>
    <x v="10"/>
  </r>
  <r>
    <x v="42"/>
  </r>
  <r>
    <x v="115"/>
  </r>
  <r>
    <x v="9"/>
  </r>
  <r>
    <x v="7"/>
  </r>
  <r>
    <x v="0"/>
  </r>
  <r>
    <x v="17"/>
  </r>
  <r>
    <x v="11"/>
  </r>
  <r>
    <x v="11"/>
  </r>
  <r>
    <x v="10"/>
  </r>
  <r>
    <x v="63"/>
  </r>
  <r>
    <x v="123"/>
  </r>
  <r>
    <x v="102"/>
  </r>
  <r>
    <x v="33"/>
  </r>
  <r>
    <x v="78"/>
  </r>
  <r>
    <x v="78"/>
  </r>
  <r>
    <x v="22"/>
  </r>
  <r>
    <x v="7"/>
  </r>
  <r>
    <x v="19"/>
  </r>
  <r>
    <x v="45"/>
  </r>
  <r>
    <x v="123"/>
  </r>
  <r>
    <x v="45"/>
  </r>
  <r>
    <x v="12"/>
  </r>
  <r>
    <x v="37"/>
  </r>
  <r>
    <x v="37"/>
  </r>
  <r>
    <x v="37"/>
  </r>
  <r>
    <x v="45"/>
  </r>
  <r>
    <x v="45"/>
  </r>
  <r>
    <x v="24"/>
  </r>
  <r>
    <x v="36"/>
  </r>
  <r>
    <x v="28"/>
  </r>
  <r>
    <x v="16"/>
  </r>
  <r>
    <x v="0"/>
  </r>
  <r>
    <x v="6"/>
  </r>
  <r>
    <x v="56"/>
  </r>
  <r>
    <x v="57"/>
  </r>
  <r>
    <x v="57"/>
  </r>
  <r>
    <x v="57"/>
  </r>
  <r>
    <x v="4"/>
  </r>
  <r>
    <x v="147"/>
  </r>
  <r>
    <x v="0"/>
  </r>
  <r>
    <x v="0"/>
  </r>
  <r>
    <x v="0"/>
  </r>
  <r>
    <x v="0"/>
  </r>
  <r>
    <x v="0"/>
  </r>
  <r>
    <x v="108"/>
  </r>
  <r>
    <x v="108"/>
  </r>
  <r>
    <x v="0"/>
  </r>
  <r>
    <x v="0"/>
  </r>
  <r>
    <x v="4"/>
  </r>
  <r>
    <x v="123"/>
  </r>
  <r>
    <x v="63"/>
  </r>
  <r>
    <x v="9"/>
  </r>
  <r>
    <x v="47"/>
  </r>
  <r>
    <x v="47"/>
  </r>
  <r>
    <x v="71"/>
  </r>
  <r>
    <x v="10"/>
  </r>
  <r>
    <x v="12"/>
  </r>
  <r>
    <x v="3"/>
  </r>
  <r>
    <x v="24"/>
  </r>
  <r>
    <x v="24"/>
  </r>
  <r>
    <x v="6"/>
  </r>
  <r>
    <x v="12"/>
  </r>
  <r>
    <x v="19"/>
  </r>
  <r>
    <x v="25"/>
  </r>
  <r>
    <x v="10"/>
  </r>
  <r>
    <x v="10"/>
  </r>
  <r>
    <x v="10"/>
  </r>
  <r>
    <x v="10"/>
  </r>
  <r>
    <x v="3"/>
  </r>
  <r>
    <x v="12"/>
  </r>
  <r>
    <x v="71"/>
  </r>
  <r>
    <x v="7"/>
  </r>
  <r>
    <x v="71"/>
  </r>
  <r>
    <x v="42"/>
  </r>
  <r>
    <x v="42"/>
  </r>
  <r>
    <x v="48"/>
  </r>
  <r>
    <x v="52"/>
  </r>
  <r>
    <x v="7"/>
  </r>
  <r>
    <x v="12"/>
  </r>
  <r>
    <x v="12"/>
  </r>
  <r>
    <x v="37"/>
  </r>
  <r>
    <x v="147"/>
  </r>
  <r>
    <x v="55"/>
  </r>
  <r>
    <x v="55"/>
  </r>
  <r>
    <x v="55"/>
  </r>
  <r>
    <x v="10"/>
  </r>
  <r>
    <x v="28"/>
  </r>
  <r>
    <x v="28"/>
  </r>
  <r>
    <x v="28"/>
  </r>
  <r>
    <x v="28"/>
  </r>
  <r>
    <x v="28"/>
  </r>
  <r>
    <x v="28"/>
  </r>
  <r>
    <x v="42"/>
  </r>
  <r>
    <x v="16"/>
  </r>
  <r>
    <x v="16"/>
  </r>
  <r>
    <x v="16"/>
  </r>
  <r>
    <x v="16"/>
  </r>
  <r>
    <x v="16"/>
  </r>
  <r>
    <x v="56"/>
  </r>
  <r>
    <x v="86"/>
  </r>
  <r>
    <x v="86"/>
  </r>
  <r>
    <x v="86"/>
  </r>
  <r>
    <x v="86"/>
  </r>
  <r>
    <x v="10"/>
  </r>
  <r>
    <x v="11"/>
  </r>
  <r>
    <x v="12"/>
  </r>
  <r>
    <x v="12"/>
  </r>
  <r>
    <x v="12"/>
  </r>
  <r>
    <x v="12"/>
  </r>
  <r>
    <x v="56"/>
  </r>
  <r>
    <x v="56"/>
  </r>
  <r>
    <x v="16"/>
  </r>
  <r>
    <x v="16"/>
  </r>
  <r>
    <x v="16"/>
  </r>
  <r>
    <x v="16"/>
  </r>
  <r>
    <x v="160"/>
  </r>
  <r>
    <x v="160"/>
  </r>
  <r>
    <x v="115"/>
  </r>
  <r>
    <x v="56"/>
  </r>
  <r>
    <x v="29"/>
  </r>
  <r>
    <x v="28"/>
  </r>
  <r>
    <x v="55"/>
  </r>
  <r>
    <x v="161"/>
  </r>
  <r>
    <x v="161"/>
  </r>
  <r>
    <x v="28"/>
  </r>
  <r>
    <x v="9"/>
  </r>
  <r>
    <x v="9"/>
  </r>
  <r>
    <x v="9"/>
  </r>
  <r>
    <x v="9"/>
  </r>
  <r>
    <x v="9"/>
  </r>
  <r>
    <x v="9"/>
  </r>
  <r>
    <x v="86"/>
  </r>
  <r>
    <x v="24"/>
  </r>
  <r>
    <x v="7"/>
  </r>
  <r>
    <x v="4"/>
  </r>
  <r>
    <x v="55"/>
  </r>
  <r>
    <x v="55"/>
  </r>
  <r>
    <x v="86"/>
  </r>
  <r>
    <x v="86"/>
  </r>
  <r>
    <x v="86"/>
  </r>
  <r>
    <x v="86"/>
  </r>
  <r>
    <x v="15"/>
  </r>
  <r>
    <x v="10"/>
  </r>
  <r>
    <x v="10"/>
  </r>
  <r>
    <x v="10"/>
  </r>
  <r>
    <x v="10"/>
  </r>
  <r>
    <x v="10"/>
  </r>
  <r>
    <x v="10"/>
  </r>
  <r>
    <x v="9"/>
  </r>
  <r>
    <x v="9"/>
  </r>
  <r>
    <x v="9"/>
  </r>
  <r>
    <x v="9"/>
  </r>
  <r>
    <x v="9"/>
  </r>
  <r>
    <x v="42"/>
  </r>
  <r>
    <x v="4"/>
  </r>
  <r>
    <x v="12"/>
  </r>
  <r>
    <x v="12"/>
  </r>
  <r>
    <x v="19"/>
  </r>
  <r>
    <x v="12"/>
  </r>
  <r>
    <x v="12"/>
  </r>
  <r>
    <x v="12"/>
  </r>
  <r>
    <x v="12"/>
  </r>
  <r>
    <x v="14"/>
  </r>
  <r>
    <x v="9"/>
  </r>
  <r>
    <x v="8"/>
  </r>
  <r>
    <x v="8"/>
  </r>
  <r>
    <x v="8"/>
  </r>
  <r>
    <x v="8"/>
  </r>
  <r>
    <x v="14"/>
  </r>
  <r>
    <x v="14"/>
  </r>
  <r>
    <x v="14"/>
  </r>
  <r>
    <x v="1"/>
  </r>
  <r>
    <x v="55"/>
  </r>
  <r>
    <x v="55"/>
  </r>
  <r>
    <x v="55"/>
  </r>
  <r>
    <x v="55"/>
  </r>
  <r>
    <x v="55"/>
  </r>
  <r>
    <x v="55"/>
  </r>
  <r>
    <x v="19"/>
  </r>
  <r>
    <x v="161"/>
  </r>
  <r>
    <x v="56"/>
  </r>
  <r>
    <x v="29"/>
  </r>
  <r>
    <x v="12"/>
  </r>
  <r>
    <x v="14"/>
  </r>
  <r>
    <x v="12"/>
  </r>
  <r>
    <x v="9"/>
  </r>
  <r>
    <x v="9"/>
  </r>
  <r>
    <x v="79"/>
  </r>
  <r>
    <x v="131"/>
  </r>
  <r>
    <x v="12"/>
  </r>
  <r>
    <x v="4"/>
  </r>
  <r>
    <x v="14"/>
  </r>
  <r>
    <x v="9"/>
  </r>
  <r>
    <x v="19"/>
  </r>
  <r>
    <x v="9"/>
  </r>
  <r>
    <x v="9"/>
  </r>
  <r>
    <x v="19"/>
  </r>
  <r>
    <x v="19"/>
  </r>
  <r>
    <x v="19"/>
  </r>
  <r>
    <x v="19"/>
  </r>
  <r>
    <x v="160"/>
  </r>
  <r>
    <x v="123"/>
  </r>
  <r>
    <x v="12"/>
  </r>
  <r>
    <x v="19"/>
  </r>
  <r>
    <x v="12"/>
  </r>
  <r>
    <x v="19"/>
  </r>
  <r>
    <x v="28"/>
  </r>
  <r>
    <x v="28"/>
  </r>
  <r>
    <x v="160"/>
  </r>
  <r>
    <x v="123"/>
  </r>
  <r>
    <x v="160"/>
  </r>
  <r>
    <x v="160"/>
  </r>
  <r>
    <x v="19"/>
  </r>
  <r>
    <x v="9"/>
  </r>
  <r>
    <x v="9"/>
  </r>
  <r>
    <x v="12"/>
  </r>
  <r>
    <x v="14"/>
  </r>
  <r>
    <x v="14"/>
  </r>
  <r>
    <x v="14"/>
  </r>
  <r>
    <x v="14"/>
  </r>
  <r>
    <x v="14"/>
  </r>
  <r>
    <x v="4"/>
  </r>
  <r>
    <x v="4"/>
  </r>
  <r>
    <x v="14"/>
  </r>
  <r>
    <x v="14"/>
  </r>
  <r>
    <x v="14"/>
  </r>
  <r>
    <x v="14"/>
  </r>
  <r>
    <x v="14"/>
  </r>
  <r>
    <x v="9"/>
  </r>
  <r>
    <x v="28"/>
  </r>
  <r>
    <x v="28"/>
  </r>
  <r>
    <x v="28"/>
  </r>
  <r>
    <x v="28"/>
  </r>
  <r>
    <x v="28"/>
  </r>
  <r>
    <x v="9"/>
  </r>
  <r>
    <x v="9"/>
  </r>
  <r>
    <x v="10"/>
  </r>
  <r>
    <x v="123"/>
  </r>
  <r>
    <x v="19"/>
  </r>
  <r>
    <x v="24"/>
  </r>
  <r>
    <x v="24"/>
  </r>
  <r>
    <x v="19"/>
  </r>
  <r>
    <x v="19"/>
  </r>
  <r>
    <x v="19"/>
  </r>
  <r>
    <x v="28"/>
  </r>
  <r>
    <x v="28"/>
  </r>
  <r>
    <x v="28"/>
  </r>
  <r>
    <x v="28"/>
  </r>
  <r>
    <x v="28"/>
  </r>
  <r>
    <x v="14"/>
  </r>
  <r>
    <x v="14"/>
  </r>
  <r>
    <x v="19"/>
  </r>
  <r>
    <x v="12"/>
  </r>
  <r>
    <x v="19"/>
  </r>
  <r>
    <x v="4"/>
  </r>
  <r>
    <x v="22"/>
  </r>
  <r>
    <x v="11"/>
  </r>
  <r>
    <x v="11"/>
  </r>
  <r>
    <x v="28"/>
  </r>
  <r>
    <x v="0"/>
  </r>
  <r>
    <x v="28"/>
  </r>
  <r>
    <x v="12"/>
  </r>
  <r>
    <x v="56"/>
  </r>
  <r>
    <x v="56"/>
  </r>
  <r>
    <x v="56"/>
  </r>
  <r>
    <x v="14"/>
  </r>
  <r>
    <x v="4"/>
  </r>
  <r>
    <x v="14"/>
  </r>
  <r>
    <x v="87"/>
  </r>
  <r>
    <x v="77"/>
  </r>
  <r>
    <x v="39"/>
  </r>
  <r>
    <x v="1"/>
  </r>
  <r>
    <x v="57"/>
  </r>
  <r>
    <x v="6"/>
  </r>
  <r>
    <x v="7"/>
  </r>
  <r>
    <x v="7"/>
  </r>
  <r>
    <x v="7"/>
  </r>
  <r>
    <x v="7"/>
  </r>
  <r>
    <x v="6"/>
  </r>
  <r>
    <x v="6"/>
  </r>
  <r>
    <x v="77"/>
  </r>
  <r>
    <x v="77"/>
  </r>
  <r>
    <x v="57"/>
  </r>
  <r>
    <x v="57"/>
  </r>
  <r>
    <x v="45"/>
  </r>
  <r>
    <x v="7"/>
  </r>
  <r>
    <x v="7"/>
  </r>
  <r>
    <x v="16"/>
  </r>
  <r>
    <x v="16"/>
  </r>
  <r>
    <x v="16"/>
  </r>
  <r>
    <x v="16"/>
  </r>
  <r>
    <x v="16"/>
  </r>
  <r>
    <x v="16"/>
  </r>
  <r>
    <x v="130"/>
  </r>
  <r>
    <x v="130"/>
  </r>
  <r>
    <x v="130"/>
  </r>
  <r>
    <x v="130"/>
  </r>
  <r>
    <x v="130"/>
  </r>
  <r>
    <x v="130"/>
  </r>
  <r>
    <x v="130"/>
  </r>
  <r>
    <x v="7"/>
  </r>
  <r>
    <x v="7"/>
  </r>
  <r>
    <x v="45"/>
  </r>
  <r>
    <x v="45"/>
  </r>
  <r>
    <x v="45"/>
  </r>
  <r>
    <x v="45"/>
  </r>
  <r>
    <x v="45"/>
  </r>
  <r>
    <x v="45"/>
  </r>
  <r>
    <x v="7"/>
  </r>
  <r>
    <x v="7"/>
  </r>
  <r>
    <x v="7"/>
  </r>
  <r>
    <x v="7"/>
  </r>
  <r>
    <x v="7"/>
  </r>
  <r>
    <x v="7"/>
  </r>
  <r>
    <x v="7"/>
  </r>
  <r>
    <x v="7"/>
  </r>
  <r>
    <x v="7"/>
  </r>
  <r>
    <x v="162"/>
  </r>
  <r>
    <x v="9"/>
  </r>
  <r>
    <x v="162"/>
  </r>
  <r>
    <x v="29"/>
  </r>
  <r>
    <x v="16"/>
  </r>
  <r>
    <x v="16"/>
  </r>
  <r>
    <x v="16"/>
  </r>
  <r>
    <x v="16"/>
  </r>
  <r>
    <x v="16"/>
  </r>
  <r>
    <x v="7"/>
  </r>
  <r>
    <x v="6"/>
  </r>
  <r>
    <x v="7"/>
  </r>
  <r>
    <x v="6"/>
  </r>
  <r>
    <x v="7"/>
  </r>
  <r>
    <x v="7"/>
  </r>
  <r>
    <x v="7"/>
  </r>
  <r>
    <x v="19"/>
  </r>
  <r>
    <x v="7"/>
  </r>
  <r>
    <x v="6"/>
  </r>
  <r>
    <x v="71"/>
  </r>
  <r>
    <x v="7"/>
  </r>
  <r>
    <x v="162"/>
  </r>
  <r>
    <x v="7"/>
  </r>
  <r>
    <x v="37"/>
  </r>
  <r>
    <x v="162"/>
  </r>
  <r>
    <x v="12"/>
  </r>
  <r>
    <x v="14"/>
  </r>
  <r>
    <x v="57"/>
  </r>
  <r>
    <x v="31"/>
  </r>
  <r>
    <x v="10"/>
  </r>
  <r>
    <x v="14"/>
  </r>
  <r>
    <x v="141"/>
  </r>
  <r>
    <x v="141"/>
  </r>
  <r>
    <x v="6"/>
  </r>
  <r>
    <x v="6"/>
  </r>
  <r>
    <x v="162"/>
  </r>
  <r>
    <x v="7"/>
  </r>
  <r>
    <x v="7"/>
  </r>
  <r>
    <x v="7"/>
  </r>
  <r>
    <x v="7"/>
  </r>
  <r>
    <x v="7"/>
  </r>
  <r>
    <x v="16"/>
  </r>
  <r>
    <x v="16"/>
  </r>
  <r>
    <x v="16"/>
  </r>
  <r>
    <x v="52"/>
  </r>
  <r>
    <x v="123"/>
  </r>
  <r>
    <x v="16"/>
  </r>
  <r>
    <x v="42"/>
  </r>
  <r>
    <x v="80"/>
  </r>
  <r>
    <x v="80"/>
  </r>
  <r>
    <x v="10"/>
  </r>
  <r>
    <x v="14"/>
  </r>
  <r>
    <x v="23"/>
  </r>
  <r>
    <x v="141"/>
  </r>
  <r>
    <x v="24"/>
  </r>
  <r>
    <x v="16"/>
  </r>
  <r>
    <x v="16"/>
  </r>
  <r>
    <x v="16"/>
  </r>
  <r>
    <x v="10"/>
  </r>
  <r>
    <x v="10"/>
  </r>
  <r>
    <x v="11"/>
  </r>
  <r>
    <x v="11"/>
  </r>
  <r>
    <x v="162"/>
  </r>
  <r>
    <x v="11"/>
  </r>
  <r>
    <x v="24"/>
  </r>
  <r>
    <x v="87"/>
  </r>
  <r>
    <x v="31"/>
  </r>
  <r>
    <x v="31"/>
  </r>
  <r>
    <x v="36"/>
  </r>
  <r>
    <x v="52"/>
  </r>
  <r>
    <x v="4"/>
  </r>
  <r>
    <x v="52"/>
  </r>
  <r>
    <x v="52"/>
  </r>
  <r>
    <x v="31"/>
  </r>
  <r>
    <x v="52"/>
  </r>
  <r>
    <x v="52"/>
  </r>
  <r>
    <x v="4"/>
  </r>
  <r>
    <x v="4"/>
  </r>
  <r>
    <x v="4"/>
  </r>
  <r>
    <x v="45"/>
  </r>
  <r>
    <x v="9"/>
  </r>
  <r>
    <x v="10"/>
  </r>
  <r>
    <x v="71"/>
  </r>
  <r>
    <x v="71"/>
  </r>
  <r>
    <x v="71"/>
  </r>
  <r>
    <x v="0"/>
  </r>
  <r>
    <x v="6"/>
  </r>
  <r>
    <x v="45"/>
  </r>
  <r>
    <x v="112"/>
  </r>
  <r>
    <x v="112"/>
  </r>
  <r>
    <x v="45"/>
  </r>
  <r>
    <x v="112"/>
  </r>
  <r>
    <x v="112"/>
  </r>
  <r>
    <x v="10"/>
  </r>
  <r>
    <x v="7"/>
  </r>
  <r>
    <x v="71"/>
  </r>
  <r>
    <x v="162"/>
  </r>
  <r>
    <x v="6"/>
  </r>
  <r>
    <x v="7"/>
  </r>
  <r>
    <x v="162"/>
  </r>
  <r>
    <x v="56"/>
  </r>
  <r>
    <x v="26"/>
  </r>
  <r>
    <x v="26"/>
  </r>
  <r>
    <x v="6"/>
  </r>
  <r>
    <x v="1"/>
  </r>
  <r>
    <x v="1"/>
  </r>
  <r>
    <x v="28"/>
  </r>
  <r>
    <x v="28"/>
  </r>
  <r>
    <x v="28"/>
  </r>
  <r>
    <x v="45"/>
  </r>
  <r>
    <x v="161"/>
  </r>
  <r>
    <x v="123"/>
  </r>
  <r>
    <x v="123"/>
  </r>
  <r>
    <x v="123"/>
  </r>
  <r>
    <x v="123"/>
  </r>
  <r>
    <x v="162"/>
  </r>
  <r>
    <x v="6"/>
  </r>
  <r>
    <x v="162"/>
  </r>
  <r>
    <x v="71"/>
  </r>
  <r>
    <x v="141"/>
  </r>
  <r>
    <x v="4"/>
  </r>
  <r>
    <x v="21"/>
  </r>
  <r>
    <x v="28"/>
  </r>
  <r>
    <x v="24"/>
  </r>
  <r>
    <x v="42"/>
  </r>
  <r>
    <x v="10"/>
  </r>
  <r>
    <x v="77"/>
  </r>
  <r>
    <x v="28"/>
  </r>
  <r>
    <x v="19"/>
  </r>
  <r>
    <x v="7"/>
  </r>
  <r>
    <x v="7"/>
  </r>
  <r>
    <x v="71"/>
  </r>
  <r>
    <x v="71"/>
  </r>
  <r>
    <x v="141"/>
  </r>
  <r>
    <x v="141"/>
  </r>
  <r>
    <x v="7"/>
  </r>
  <r>
    <x v="141"/>
  </r>
  <r>
    <x v="7"/>
  </r>
  <r>
    <x v="141"/>
  </r>
  <r>
    <x v="57"/>
  </r>
  <r>
    <x v="57"/>
  </r>
  <r>
    <x v="70"/>
  </r>
  <r>
    <x v="113"/>
  </r>
  <r>
    <x v="10"/>
  </r>
  <r>
    <x v="10"/>
  </r>
  <r>
    <x v="10"/>
  </r>
  <r>
    <x v="126"/>
  </r>
  <r>
    <x v="7"/>
  </r>
  <r>
    <x v="57"/>
  </r>
  <r>
    <x v="141"/>
  </r>
  <r>
    <x v="141"/>
  </r>
  <r>
    <x v="123"/>
  </r>
  <r>
    <x v="123"/>
  </r>
  <r>
    <x v="6"/>
  </r>
  <r>
    <x v="21"/>
  </r>
  <r>
    <x v="21"/>
  </r>
  <r>
    <x v="71"/>
  </r>
  <r>
    <x v="71"/>
  </r>
  <r>
    <x v="6"/>
  </r>
  <r>
    <x v="21"/>
  </r>
  <r>
    <x v="71"/>
  </r>
  <r>
    <x v="6"/>
  </r>
  <r>
    <x v="162"/>
  </r>
  <r>
    <x v="28"/>
  </r>
  <r>
    <x v="7"/>
  </r>
  <r>
    <x v="28"/>
  </r>
  <r>
    <x v="28"/>
  </r>
  <r>
    <x v="28"/>
  </r>
  <r>
    <x v="10"/>
  </r>
  <r>
    <x v="42"/>
  </r>
  <r>
    <x v="71"/>
  </r>
  <r>
    <x v="4"/>
  </r>
  <r>
    <x v="14"/>
  </r>
  <r>
    <x v="9"/>
  </r>
  <r>
    <x v="14"/>
  </r>
  <r>
    <x v="9"/>
  </r>
  <r>
    <x v="25"/>
  </r>
  <r>
    <x v="17"/>
  </r>
  <r>
    <x v="7"/>
  </r>
  <r>
    <x v="7"/>
  </r>
  <r>
    <x v="9"/>
  </r>
  <r>
    <x v="23"/>
  </r>
  <r>
    <x v="21"/>
  </r>
  <r>
    <x v="21"/>
  </r>
  <r>
    <x v="21"/>
  </r>
  <r>
    <x v="14"/>
  </r>
  <r>
    <x v="14"/>
  </r>
  <r>
    <x v="28"/>
  </r>
  <r>
    <x v="7"/>
  </r>
  <r>
    <x v="7"/>
  </r>
  <r>
    <x v="28"/>
  </r>
  <r>
    <x v="161"/>
  </r>
  <r>
    <x v="7"/>
  </r>
  <r>
    <x v="63"/>
  </r>
  <r>
    <x v="7"/>
  </r>
  <r>
    <x v="7"/>
  </r>
  <r>
    <x v="123"/>
  </r>
  <r>
    <x v="10"/>
  </r>
  <r>
    <x v="36"/>
  </r>
  <r>
    <x v="72"/>
  </r>
  <r>
    <x v="141"/>
  </r>
  <r>
    <x v="154"/>
  </r>
  <r>
    <x v="4"/>
  </r>
  <r>
    <x v="16"/>
  </r>
  <r>
    <x v="16"/>
  </r>
  <r>
    <x v="157"/>
  </r>
  <r>
    <x v="2"/>
  </r>
  <r>
    <x v="50"/>
  </r>
  <r>
    <x v="42"/>
  </r>
  <r>
    <x v="63"/>
  </r>
  <r>
    <x v="78"/>
  </r>
  <r>
    <x v="16"/>
  </r>
  <r>
    <x v="16"/>
  </r>
  <r>
    <x v="16"/>
  </r>
  <r>
    <x v="6"/>
  </r>
  <r>
    <x v="14"/>
  </r>
  <r>
    <x v="162"/>
  </r>
  <r>
    <x v="14"/>
  </r>
  <r>
    <x v="6"/>
  </r>
  <r>
    <x v="162"/>
  </r>
  <r>
    <x v="79"/>
  </r>
  <r>
    <x v="7"/>
  </r>
  <r>
    <x v="64"/>
  </r>
  <r>
    <x v="79"/>
  </r>
  <r>
    <x v="79"/>
  </r>
  <r>
    <x v="17"/>
  </r>
  <r>
    <x v="57"/>
  </r>
  <r>
    <x v="162"/>
  </r>
  <r>
    <x v="12"/>
  </r>
  <r>
    <x v="71"/>
  </r>
  <r>
    <x v="71"/>
  </r>
  <r>
    <x v="0"/>
  </r>
  <r>
    <x v="0"/>
  </r>
  <r>
    <x v="17"/>
  </r>
  <r>
    <x v="130"/>
  </r>
  <r>
    <x v="4"/>
  </r>
  <r>
    <x v="14"/>
  </r>
  <r>
    <x v="26"/>
  </r>
  <r>
    <x v="4"/>
  </r>
  <r>
    <x v="0"/>
  </r>
  <r>
    <x v="37"/>
  </r>
  <r>
    <x v="19"/>
  </r>
  <r>
    <x v="30"/>
  </r>
  <r>
    <x v="37"/>
  </r>
  <r>
    <x v="56"/>
  </r>
  <r>
    <x v="56"/>
  </r>
  <r>
    <x v="12"/>
  </r>
  <r>
    <x v="9"/>
  </r>
  <r>
    <x v="52"/>
  </r>
  <r>
    <x v="8"/>
  </r>
  <r>
    <x v="0"/>
  </r>
  <r>
    <x v="14"/>
  </r>
  <r>
    <x v="31"/>
  </r>
  <r>
    <x v="57"/>
  </r>
  <r>
    <x v="57"/>
  </r>
  <r>
    <x v="0"/>
  </r>
  <r>
    <x v="55"/>
  </r>
  <r>
    <x v="4"/>
  </r>
  <r>
    <x v="12"/>
  </r>
  <r>
    <x v="60"/>
  </r>
  <r>
    <x v="9"/>
  </r>
  <r>
    <x v="0"/>
  </r>
  <r>
    <x v="2"/>
  </r>
  <r>
    <x v="71"/>
  </r>
  <r>
    <x v="28"/>
  </r>
  <r>
    <x v="28"/>
  </r>
  <r>
    <x v="163"/>
  </r>
  <r>
    <x v="6"/>
  </r>
  <r>
    <x v="6"/>
  </r>
  <r>
    <x v="28"/>
  </r>
  <r>
    <x v="9"/>
  </r>
  <r>
    <x v="0"/>
  </r>
  <r>
    <x v="0"/>
  </r>
  <r>
    <x v="0"/>
  </r>
  <r>
    <x v="12"/>
  </r>
  <r>
    <x v="12"/>
  </r>
  <r>
    <x v="12"/>
  </r>
  <r>
    <x v="152"/>
  </r>
  <r>
    <x v="152"/>
  </r>
  <r>
    <x v="152"/>
  </r>
  <r>
    <x v="138"/>
  </r>
  <r>
    <x v="4"/>
  </r>
  <r>
    <x v="10"/>
  </r>
  <r>
    <x v="0"/>
  </r>
  <r>
    <x v="0"/>
  </r>
  <r>
    <x v="0"/>
  </r>
  <r>
    <x v="138"/>
  </r>
  <r>
    <x v="115"/>
  </r>
  <r>
    <x v="42"/>
  </r>
  <r>
    <x v="16"/>
  </r>
  <r>
    <x v="16"/>
  </r>
  <r>
    <x v="0"/>
  </r>
  <r>
    <x v="7"/>
  </r>
  <r>
    <x v="4"/>
  </r>
  <r>
    <x v="164"/>
  </r>
  <r>
    <x v="16"/>
  </r>
  <r>
    <x v="16"/>
  </r>
  <r>
    <x v="16"/>
  </r>
  <r>
    <x v="10"/>
  </r>
  <r>
    <x v="51"/>
  </r>
  <r>
    <x v="15"/>
  </r>
  <r>
    <x v="7"/>
  </r>
  <r>
    <x v="10"/>
  </r>
  <r>
    <x v="12"/>
  </r>
  <r>
    <x v="10"/>
  </r>
  <r>
    <x v="28"/>
  </r>
  <r>
    <x v="28"/>
  </r>
  <r>
    <x v="28"/>
  </r>
  <r>
    <x v="76"/>
  </r>
  <r>
    <x v="19"/>
  </r>
  <r>
    <x v="42"/>
  </r>
  <r>
    <x v="42"/>
  </r>
  <r>
    <x v="7"/>
  </r>
  <r>
    <x v="26"/>
  </r>
  <r>
    <x v="42"/>
  </r>
  <r>
    <x v="4"/>
  </r>
  <r>
    <x v="7"/>
  </r>
  <r>
    <x v="64"/>
  </r>
  <r>
    <x v="7"/>
  </r>
  <r>
    <x v="147"/>
  </r>
  <r>
    <x v="53"/>
  </r>
  <r>
    <x v="7"/>
  </r>
  <r>
    <x v="147"/>
  </r>
  <r>
    <x v="12"/>
  </r>
  <r>
    <x v="143"/>
  </r>
  <r>
    <x v="77"/>
  </r>
  <r>
    <x v="10"/>
  </r>
  <r>
    <x v="115"/>
  </r>
  <r>
    <x v="10"/>
  </r>
  <r>
    <x v="9"/>
  </r>
  <r>
    <x v="10"/>
  </r>
  <r>
    <x v="10"/>
  </r>
  <r>
    <x v="4"/>
  </r>
  <r>
    <x v="10"/>
  </r>
  <r>
    <x v="24"/>
  </r>
  <r>
    <x v="42"/>
  </r>
  <r>
    <x v="36"/>
  </r>
  <r>
    <x v="4"/>
  </r>
  <r>
    <x v="4"/>
  </r>
  <r>
    <x v="10"/>
  </r>
  <r>
    <x v="10"/>
  </r>
  <r>
    <x v="10"/>
  </r>
  <r>
    <x v="9"/>
  </r>
  <r>
    <x v="27"/>
  </r>
  <r>
    <x v="165"/>
  </r>
  <r>
    <x v="51"/>
  </r>
  <r>
    <x v="10"/>
  </r>
  <r>
    <x v="10"/>
  </r>
  <r>
    <x v="10"/>
  </r>
  <r>
    <x v="63"/>
  </r>
  <r>
    <x v="28"/>
  </r>
  <r>
    <x v="4"/>
  </r>
  <r>
    <x v="2"/>
  </r>
  <r>
    <x v="2"/>
  </r>
  <r>
    <x v="2"/>
  </r>
  <r>
    <x v="7"/>
  </r>
  <r>
    <x v="14"/>
  </r>
  <r>
    <x v="14"/>
  </r>
  <r>
    <x v="138"/>
  </r>
  <r>
    <x v="57"/>
  </r>
  <r>
    <x v="10"/>
  </r>
  <r>
    <x v="10"/>
  </r>
  <r>
    <x v="9"/>
  </r>
  <r>
    <x v="4"/>
  </r>
  <r>
    <x v="10"/>
  </r>
  <r>
    <x v="12"/>
  </r>
  <r>
    <x v="166"/>
  </r>
  <r>
    <x v="10"/>
  </r>
  <r>
    <x v="15"/>
  </r>
  <r>
    <x v="15"/>
  </r>
  <r>
    <x v="2"/>
  </r>
  <r>
    <x v="12"/>
  </r>
  <r>
    <x v="37"/>
  </r>
  <r>
    <x v="42"/>
  </r>
  <r>
    <x v="42"/>
  </r>
  <r>
    <x v="9"/>
  </r>
  <r>
    <x v="12"/>
  </r>
  <r>
    <x v="138"/>
  </r>
  <r>
    <x v="12"/>
  </r>
  <r>
    <x v="11"/>
  </r>
  <r>
    <x v="17"/>
  </r>
  <r>
    <x v="39"/>
  </r>
  <r>
    <x v="63"/>
  </r>
  <r>
    <x v="12"/>
  </r>
  <r>
    <x v="10"/>
  </r>
  <r>
    <x v="10"/>
  </r>
  <r>
    <x v="4"/>
  </r>
  <r>
    <x v="10"/>
  </r>
  <r>
    <x v="10"/>
  </r>
  <r>
    <x v="10"/>
  </r>
  <r>
    <x v="10"/>
  </r>
  <r>
    <x v="10"/>
  </r>
  <r>
    <x v="10"/>
  </r>
  <r>
    <x v="4"/>
  </r>
  <r>
    <x v="123"/>
  </r>
  <r>
    <x v="0"/>
  </r>
  <r>
    <x v="42"/>
  </r>
  <r>
    <x v="9"/>
  </r>
  <r>
    <x v="42"/>
  </r>
  <r>
    <x v="16"/>
  </r>
  <r>
    <x v="77"/>
  </r>
  <r>
    <x v="77"/>
  </r>
  <r>
    <x v="77"/>
  </r>
  <r>
    <x v="77"/>
  </r>
  <r>
    <x v="57"/>
  </r>
  <r>
    <x v="42"/>
  </r>
  <r>
    <x v="45"/>
  </r>
  <r>
    <x v="48"/>
  </r>
  <r>
    <x v="138"/>
  </r>
  <r>
    <x v="138"/>
  </r>
  <r>
    <x v="48"/>
  </r>
  <r>
    <x v="42"/>
  </r>
  <r>
    <x v="22"/>
  </r>
  <r>
    <x v="56"/>
  </r>
  <r>
    <x v="79"/>
  </r>
  <r>
    <x v="152"/>
  </r>
  <r>
    <x v="2"/>
  </r>
  <r>
    <x v="24"/>
  </r>
  <r>
    <x v="12"/>
  </r>
  <r>
    <x v="12"/>
  </r>
  <r>
    <x v="72"/>
  </r>
  <r>
    <x v="12"/>
  </r>
  <r>
    <x v="12"/>
  </r>
  <r>
    <x v="59"/>
  </r>
  <r>
    <x v="141"/>
  </r>
  <r>
    <x v="0"/>
  </r>
  <r>
    <x v="141"/>
  </r>
  <r>
    <x v="141"/>
  </r>
  <r>
    <x v="12"/>
  </r>
  <r>
    <x v="1"/>
  </r>
  <r>
    <x v="25"/>
  </r>
  <r>
    <x v="77"/>
  </r>
  <r>
    <x v="14"/>
  </r>
  <r>
    <x v="14"/>
  </r>
  <r>
    <x v="9"/>
  </r>
  <r>
    <x v="10"/>
  </r>
  <r>
    <x v="167"/>
  </r>
  <r>
    <x v="57"/>
  </r>
  <r>
    <x v="14"/>
  </r>
  <r>
    <x v="42"/>
  </r>
  <r>
    <x v="42"/>
  </r>
  <r>
    <x v="165"/>
  </r>
  <r>
    <x v="15"/>
  </r>
  <r>
    <x v="37"/>
  </r>
  <r>
    <x v="48"/>
  </r>
  <r>
    <x v="162"/>
  </r>
  <r>
    <x v="3"/>
  </r>
  <r>
    <x v="87"/>
  </r>
  <r>
    <x v="131"/>
  </r>
  <r>
    <x v="15"/>
  </r>
  <r>
    <x v="15"/>
  </r>
  <r>
    <x v="12"/>
  </r>
  <r>
    <x v="11"/>
  </r>
  <r>
    <x v="16"/>
  </r>
  <r>
    <x v="6"/>
  </r>
  <r>
    <x v="7"/>
  </r>
  <r>
    <x v="37"/>
  </r>
  <r>
    <x v="76"/>
  </r>
  <r>
    <x v="71"/>
  </r>
  <r>
    <x v="86"/>
  </r>
  <r>
    <x v="14"/>
  </r>
  <r>
    <x v="37"/>
  </r>
  <r>
    <x v="22"/>
  </r>
  <r>
    <x v="22"/>
  </r>
  <r>
    <x v="1"/>
  </r>
  <r>
    <x v="68"/>
  </r>
  <r>
    <x v="68"/>
  </r>
  <r>
    <x v="17"/>
  </r>
  <r>
    <x v="7"/>
  </r>
  <r>
    <x v="86"/>
  </r>
  <r>
    <x v="4"/>
  </r>
  <r>
    <x v="7"/>
  </r>
  <r>
    <x v="7"/>
  </r>
  <r>
    <x v="7"/>
  </r>
  <r>
    <x v="11"/>
  </r>
  <r>
    <x v="7"/>
  </r>
  <r>
    <x v="63"/>
  </r>
  <r>
    <x v="17"/>
  </r>
  <r>
    <x v="10"/>
  </r>
  <r>
    <x v="24"/>
  </r>
  <r>
    <x v="25"/>
  </r>
  <r>
    <x v="123"/>
  </r>
  <r>
    <x v="77"/>
  </r>
  <r>
    <x v="19"/>
  </r>
  <r>
    <x v="6"/>
  </r>
  <r>
    <x v="4"/>
  </r>
  <r>
    <x v="16"/>
  </r>
  <r>
    <x v="14"/>
  </r>
  <r>
    <x v="14"/>
  </r>
  <r>
    <x v="165"/>
  </r>
  <r>
    <x v="4"/>
  </r>
  <r>
    <x v="4"/>
  </r>
  <r>
    <x v="4"/>
  </r>
  <r>
    <x v="4"/>
  </r>
  <r>
    <x v="152"/>
  </r>
  <r>
    <x v="0"/>
  </r>
  <r>
    <x v="12"/>
  </r>
  <r>
    <x v="12"/>
  </r>
  <r>
    <x v="10"/>
  </r>
  <r>
    <x v="10"/>
  </r>
  <r>
    <x v="10"/>
  </r>
  <r>
    <x v="10"/>
  </r>
  <r>
    <x v="45"/>
  </r>
  <r>
    <x v="4"/>
  </r>
  <r>
    <x v="1"/>
  </r>
  <r>
    <x v="4"/>
  </r>
  <r>
    <x v="4"/>
  </r>
  <r>
    <x v="4"/>
  </r>
  <r>
    <x v="142"/>
  </r>
  <r>
    <x v="152"/>
  </r>
  <r>
    <x v="86"/>
  </r>
  <r>
    <x v="37"/>
  </r>
  <r>
    <x v="43"/>
  </r>
  <r>
    <x v="4"/>
  </r>
  <r>
    <x v="7"/>
  </r>
  <r>
    <x v="43"/>
  </r>
  <r>
    <x v="71"/>
  </r>
  <r>
    <x v="71"/>
  </r>
  <r>
    <x v="71"/>
  </r>
  <r>
    <x v="10"/>
  </r>
  <r>
    <x v="76"/>
  </r>
  <r>
    <x v="152"/>
  </r>
  <r>
    <x v="4"/>
  </r>
  <r>
    <x v="42"/>
  </r>
  <r>
    <x v="10"/>
  </r>
  <r>
    <x v="63"/>
  </r>
  <r>
    <x v="42"/>
  </r>
  <r>
    <x v="42"/>
  </r>
  <r>
    <x v="7"/>
  </r>
  <r>
    <x v="0"/>
  </r>
  <r>
    <x v="10"/>
  </r>
  <r>
    <x v="0"/>
  </r>
  <r>
    <x v="165"/>
  </r>
  <r>
    <x v="39"/>
  </r>
  <r>
    <x v="4"/>
  </r>
  <r>
    <x v="123"/>
  </r>
  <r>
    <x v="7"/>
  </r>
  <r>
    <x v="4"/>
  </r>
  <r>
    <x v="10"/>
  </r>
  <r>
    <x v="17"/>
  </r>
  <r>
    <x v="10"/>
  </r>
  <r>
    <x v="10"/>
  </r>
  <r>
    <x v="10"/>
  </r>
  <r>
    <x v="4"/>
  </r>
  <r>
    <x v="4"/>
  </r>
  <r>
    <x v="21"/>
  </r>
  <r>
    <x v="10"/>
  </r>
  <r>
    <x v="21"/>
  </r>
  <r>
    <x v="123"/>
  </r>
  <r>
    <x v="0"/>
  </r>
  <r>
    <x v="10"/>
  </r>
  <r>
    <x v="123"/>
  </r>
  <r>
    <x v="0"/>
  </r>
  <r>
    <x v="12"/>
  </r>
  <r>
    <x v="168"/>
  </r>
  <r>
    <x v="168"/>
  </r>
  <r>
    <x v="19"/>
  </r>
  <r>
    <x v="41"/>
  </r>
  <r>
    <x v="57"/>
  </r>
  <r>
    <x v="42"/>
  </r>
  <r>
    <x v="2"/>
  </r>
  <r>
    <x v="152"/>
  </r>
  <r>
    <x v="24"/>
  </r>
  <r>
    <x v="4"/>
  </r>
  <r>
    <x v="123"/>
  </r>
  <r>
    <x v="9"/>
  </r>
  <r>
    <x v="4"/>
  </r>
  <r>
    <x v="56"/>
  </r>
  <r>
    <x v="16"/>
  </r>
  <r>
    <x v="36"/>
  </r>
  <r>
    <x v="19"/>
  </r>
  <r>
    <x v="42"/>
  </r>
  <r>
    <x v="7"/>
  </r>
  <r>
    <x v="42"/>
  </r>
  <r>
    <x v="42"/>
  </r>
  <r>
    <x v="12"/>
  </r>
  <r>
    <x v="42"/>
  </r>
  <r>
    <x v="24"/>
  </r>
  <r>
    <x v="24"/>
  </r>
  <r>
    <x v="24"/>
  </r>
  <r>
    <x v="24"/>
  </r>
  <r>
    <x v="24"/>
  </r>
  <r>
    <x v="24"/>
  </r>
  <r>
    <x v="10"/>
  </r>
  <r>
    <x v="57"/>
  </r>
  <r>
    <x v="14"/>
  </r>
  <r>
    <x v="14"/>
  </r>
  <r>
    <x v="10"/>
  </r>
  <r>
    <x v="20"/>
  </r>
  <r>
    <x v="23"/>
  </r>
  <r>
    <x v="4"/>
  </r>
  <r>
    <x v="10"/>
  </r>
  <r>
    <x v="7"/>
  </r>
  <r>
    <x v="4"/>
  </r>
  <r>
    <x v="55"/>
  </r>
  <r>
    <x v="123"/>
  </r>
  <r>
    <x v="123"/>
  </r>
  <r>
    <x v="123"/>
  </r>
  <r>
    <x v="7"/>
  </r>
  <r>
    <x v="42"/>
  </r>
  <r>
    <x v="19"/>
  </r>
  <r>
    <x v="19"/>
  </r>
  <r>
    <x v="123"/>
  </r>
  <r>
    <x v="123"/>
  </r>
  <r>
    <x v="2"/>
  </r>
  <r>
    <x v="2"/>
  </r>
  <r>
    <x v="2"/>
  </r>
  <r>
    <x v="0"/>
  </r>
  <r>
    <x v="0"/>
  </r>
  <r>
    <x v="31"/>
  </r>
  <r>
    <x v="48"/>
  </r>
  <r>
    <x v="72"/>
  </r>
  <r>
    <x v="22"/>
  </r>
  <r>
    <x v="12"/>
  </r>
  <r>
    <x v="12"/>
  </r>
  <r>
    <x v="12"/>
  </r>
  <r>
    <x v="28"/>
  </r>
  <r>
    <x v="28"/>
  </r>
  <r>
    <x v="10"/>
  </r>
  <r>
    <x v="87"/>
  </r>
  <r>
    <x v="87"/>
  </r>
  <r>
    <x v="87"/>
  </r>
  <r>
    <x v="120"/>
  </r>
  <r>
    <x v="12"/>
  </r>
  <r>
    <x v="0"/>
  </r>
  <r>
    <x v="150"/>
  </r>
  <r>
    <x v="56"/>
  </r>
  <r>
    <x v="14"/>
  </r>
  <r>
    <x v="10"/>
  </r>
  <r>
    <x v="10"/>
  </r>
  <r>
    <x v="10"/>
  </r>
  <r>
    <x v="22"/>
  </r>
  <r>
    <x v="57"/>
  </r>
  <r>
    <x v="6"/>
  </r>
  <r>
    <x v="71"/>
  </r>
  <r>
    <x v="130"/>
  </r>
  <r>
    <x v="130"/>
  </r>
  <r>
    <x v="130"/>
  </r>
  <r>
    <x v="86"/>
  </r>
  <r>
    <x v="42"/>
  </r>
  <r>
    <x v="0"/>
  </r>
  <r>
    <x v="19"/>
  </r>
  <r>
    <x v="108"/>
  </r>
  <r>
    <x v="7"/>
  </r>
  <r>
    <x v="24"/>
  </r>
  <r>
    <x v="10"/>
  </r>
  <r>
    <x v="10"/>
  </r>
  <r>
    <x v="10"/>
  </r>
  <r>
    <x v="54"/>
  </r>
  <r>
    <x v="4"/>
  </r>
  <r>
    <x v="10"/>
  </r>
  <r>
    <x v="19"/>
  </r>
  <r>
    <x v="19"/>
  </r>
  <r>
    <x v="169"/>
  </r>
  <r>
    <x v="21"/>
  </r>
  <r>
    <x v="89"/>
  </r>
  <r>
    <x v="64"/>
  </r>
  <r>
    <x v="17"/>
  </r>
  <r>
    <x v="0"/>
  </r>
  <r>
    <x v="6"/>
  </r>
  <r>
    <x v="59"/>
  </r>
  <r>
    <x v="42"/>
  </r>
  <r>
    <x v="0"/>
  </r>
  <r>
    <x v="87"/>
  </r>
  <r>
    <x v="87"/>
  </r>
  <r>
    <x v="42"/>
  </r>
  <r>
    <x v="165"/>
  </r>
  <r>
    <x v="10"/>
  </r>
  <r>
    <x v="45"/>
  </r>
  <r>
    <x v="9"/>
  </r>
  <r>
    <x v="9"/>
  </r>
  <r>
    <x v="9"/>
  </r>
  <r>
    <x v="123"/>
  </r>
  <r>
    <x v="123"/>
  </r>
  <r>
    <x v="43"/>
  </r>
  <r>
    <x v="86"/>
  </r>
  <r>
    <x v="86"/>
  </r>
  <r>
    <x v="37"/>
  </r>
  <r>
    <x v="45"/>
  </r>
  <r>
    <x v="12"/>
  </r>
  <r>
    <x v="37"/>
  </r>
  <r>
    <x v="83"/>
  </r>
  <r>
    <x v="4"/>
  </r>
  <r>
    <x v="1"/>
  </r>
  <r>
    <x v="1"/>
  </r>
  <r>
    <x v="1"/>
  </r>
  <r>
    <x v="1"/>
  </r>
  <r>
    <x v="1"/>
  </r>
  <r>
    <x v="28"/>
  </r>
  <r>
    <x v="9"/>
  </r>
  <r>
    <x v="45"/>
  </r>
  <r>
    <x v="45"/>
  </r>
  <r>
    <x v="45"/>
  </r>
  <r>
    <x v="55"/>
  </r>
  <r>
    <x v="1"/>
  </r>
  <r>
    <x v="42"/>
  </r>
  <r>
    <x v="122"/>
  </r>
  <r>
    <x v="45"/>
  </r>
  <r>
    <x v="4"/>
  </r>
  <r>
    <x v="12"/>
  </r>
  <r>
    <x v="14"/>
  </r>
  <r>
    <x v="28"/>
  </r>
  <r>
    <x v="11"/>
  </r>
  <r>
    <x v="12"/>
  </r>
  <r>
    <x v="19"/>
  </r>
  <r>
    <x v="108"/>
  </r>
  <r>
    <x v="28"/>
  </r>
  <r>
    <x v="87"/>
  </r>
  <r>
    <x v="4"/>
  </r>
  <r>
    <x v="108"/>
  </r>
  <r>
    <x v="4"/>
  </r>
  <r>
    <x v="12"/>
  </r>
  <r>
    <x v="0"/>
  </r>
  <r>
    <x v="28"/>
  </r>
  <r>
    <x v="11"/>
  </r>
  <r>
    <x v="10"/>
  </r>
  <r>
    <x v="29"/>
  </r>
  <r>
    <x v="4"/>
  </r>
  <r>
    <x v="138"/>
  </r>
  <r>
    <x v="11"/>
  </r>
  <r>
    <x v="78"/>
  </r>
  <r>
    <x v="78"/>
  </r>
  <r>
    <x v="78"/>
  </r>
  <r>
    <x v="54"/>
  </r>
  <r>
    <x v="61"/>
  </r>
  <r>
    <x v="42"/>
  </r>
  <r>
    <x v="42"/>
  </r>
  <r>
    <x v="9"/>
  </r>
  <r>
    <x v="9"/>
  </r>
  <r>
    <x v="22"/>
  </r>
  <r>
    <x v="71"/>
  </r>
  <r>
    <x v="56"/>
  </r>
  <r>
    <x v="12"/>
  </r>
  <r>
    <x v="63"/>
  </r>
  <r>
    <x v="22"/>
  </r>
  <r>
    <x v="42"/>
  </r>
  <r>
    <x v="71"/>
  </r>
  <r>
    <x v="71"/>
  </r>
  <r>
    <x v="8"/>
  </r>
  <r>
    <x v="8"/>
  </r>
  <r>
    <x v="11"/>
  </r>
  <r>
    <x v="11"/>
  </r>
  <r>
    <x v="11"/>
  </r>
  <r>
    <x v="11"/>
  </r>
  <r>
    <x v="36"/>
  </r>
  <r>
    <x v="2"/>
  </r>
  <r>
    <x v="14"/>
  </r>
  <r>
    <x v="0"/>
  </r>
  <r>
    <x v="0"/>
  </r>
  <r>
    <x v="2"/>
  </r>
  <r>
    <x v="63"/>
  </r>
  <r>
    <x v="4"/>
  </r>
  <r>
    <x v="4"/>
  </r>
  <r>
    <x v="57"/>
  </r>
  <r>
    <x v="29"/>
  </r>
  <r>
    <x v="162"/>
  </r>
  <r>
    <x v="17"/>
  </r>
  <r>
    <x v="33"/>
  </r>
  <r>
    <x v="0"/>
  </r>
  <r>
    <x v="0"/>
  </r>
  <r>
    <x v="0"/>
  </r>
  <r>
    <x v="28"/>
  </r>
  <r>
    <x v="19"/>
  </r>
  <r>
    <x v="4"/>
  </r>
  <r>
    <x v="152"/>
  </r>
  <r>
    <x v="4"/>
  </r>
  <r>
    <x v="4"/>
  </r>
  <r>
    <x v="78"/>
  </r>
  <r>
    <x v="12"/>
  </r>
  <r>
    <x v="25"/>
  </r>
  <r>
    <x v="17"/>
  </r>
  <r>
    <x v="12"/>
  </r>
  <r>
    <x v="165"/>
  </r>
  <r>
    <x v="10"/>
  </r>
  <r>
    <x v="25"/>
  </r>
  <r>
    <x v="57"/>
  </r>
  <r>
    <x v="28"/>
  </r>
  <r>
    <x v="42"/>
  </r>
  <r>
    <x v="123"/>
  </r>
  <r>
    <x v="77"/>
  </r>
  <r>
    <x v="68"/>
  </r>
  <r>
    <x v="152"/>
  </r>
  <r>
    <x v="0"/>
  </r>
  <r>
    <x v="0"/>
  </r>
  <r>
    <x v="0"/>
  </r>
  <r>
    <x v="10"/>
  </r>
  <r>
    <x v="10"/>
  </r>
  <r>
    <x v="10"/>
  </r>
  <r>
    <x v="10"/>
  </r>
  <r>
    <x v="10"/>
  </r>
  <r>
    <x v="34"/>
  </r>
  <r>
    <x v="42"/>
  </r>
  <r>
    <x v="170"/>
  </r>
  <r>
    <x v="87"/>
  </r>
  <r>
    <x v="87"/>
  </r>
  <r>
    <x v="48"/>
  </r>
  <r>
    <x v="123"/>
  </r>
  <r>
    <x v="0"/>
  </r>
  <r>
    <x v="0"/>
  </r>
  <r>
    <x v="0"/>
  </r>
  <r>
    <x v="0"/>
  </r>
  <r>
    <x v="152"/>
  </r>
  <r>
    <x v="76"/>
  </r>
  <r>
    <x v="10"/>
  </r>
  <r>
    <x v="7"/>
  </r>
  <r>
    <x v="10"/>
  </r>
  <r>
    <x v="10"/>
  </r>
  <r>
    <x v="76"/>
  </r>
  <r>
    <x v="76"/>
  </r>
  <r>
    <x v="11"/>
  </r>
  <r>
    <x v="0"/>
  </r>
  <r>
    <x v="11"/>
  </r>
  <r>
    <x v="11"/>
  </r>
  <r>
    <x v="11"/>
  </r>
  <r>
    <x v="12"/>
  </r>
  <r>
    <x v="81"/>
  </r>
  <r>
    <x v="76"/>
  </r>
  <r>
    <x v="45"/>
  </r>
  <r>
    <x v="12"/>
  </r>
  <r>
    <x v="12"/>
  </r>
  <r>
    <x v="122"/>
  </r>
  <r>
    <x v="11"/>
  </r>
  <r>
    <x v="0"/>
  </r>
  <r>
    <x v="0"/>
  </r>
  <r>
    <x v="9"/>
  </r>
  <r>
    <x v="16"/>
  </r>
  <r>
    <x v="45"/>
  </r>
  <r>
    <x v="21"/>
  </r>
  <r>
    <x v="8"/>
  </r>
  <r>
    <x v="45"/>
  </r>
  <r>
    <x v="45"/>
  </r>
  <r>
    <x v="3"/>
  </r>
  <r>
    <x v="11"/>
  </r>
  <r>
    <x v="12"/>
  </r>
  <r>
    <x v="9"/>
  </r>
  <r>
    <x v="90"/>
  </r>
  <r>
    <x v="120"/>
  </r>
  <r>
    <x v="22"/>
  </r>
  <r>
    <x v="56"/>
  </r>
  <r>
    <x v="78"/>
  </r>
  <r>
    <x v="123"/>
  </r>
  <r>
    <x v="29"/>
  </r>
  <r>
    <x v="98"/>
  </r>
  <r>
    <x v="4"/>
  </r>
  <r>
    <x v="123"/>
  </r>
  <r>
    <x v="4"/>
  </r>
  <r>
    <x v="123"/>
  </r>
  <r>
    <x v="123"/>
  </r>
  <r>
    <x v="123"/>
  </r>
  <r>
    <x v="42"/>
  </r>
  <r>
    <x v="123"/>
  </r>
  <r>
    <x v="123"/>
  </r>
  <r>
    <x v="123"/>
  </r>
  <r>
    <x v="2"/>
  </r>
  <r>
    <x v="12"/>
  </r>
  <r>
    <x v="2"/>
  </r>
  <r>
    <x v="123"/>
  </r>
  <r>
    <x v="4"/>
  </r>
  <r>
    <x v="165"/>
  </r>
  <r>
    <x v="10"/>
  </r>
  <r>
    <x v="25"/>
  </r>
  <r>
    <x v="0"/>
  </r>
  <r>
    <x v="25"/>
  </r>
  <r>
    <x v="0"/>
  </r>
  <r>
    <x v="25"/>
  </r>
  <r>
    <x v="87"/>
  </r>
  <r>
    <x v="0"/>
  </r>
  <r>
    <x v="14"/>
  </r>
  <r>
    <x v="0"/>
  </r>
  <r>
    <x v="0"/>
  </r>
  <r>
    <x v="14"/>
  </r>
  <r>
    <x v="19"/>
  </r>
  <r>
    <x v="10"/>
  </r>
  <r>
    <x v="0"/>
  </r>
  <r>
    <x v="14"/>
  </r>
  <r>
    <x v="14"/>
  </r>
  <r>
    <x v="10"/>
  </r>
  <r>
    <x v="4"/>
  </r>
  <r>
    <x v="56"/>
  </r>
  <r>
    <x v="86"/>
  </r>
  <r>
    <x v="14"/>
  </r>
  <r>
    <x v="0"/>
  </r>
  <r>
    <x v="14"/>
  </r>
  <r>
    <x v="14"/>
  </r>
  <r>
    <x v="28"/>
  </r>
  <r>
    <x v="11"/>
  </r>
  <r>
    <x v="9"/>
  </r>
  <r>
    <x v="16"/>
  </r>
  <r>
    <x v="10"/>
  </r>
  <r>
    <x v="14"/>
  </r>
  <r>
    <x v="51"/>
  </r>
  <r>
    <x v="14"/>
  </r>
  <r>
    <x v="123"/>
  </r>
  <r>
    <x v="123"/>
  </r>
  <r>
    <x v="123"/>
  </r>
  <r>
    <x v="28"/>
  </r>
  <r>
    <x v="28"/>
  </r>
  <r>
    <x v="28"/>
  </r>
  <r>
    <x v="28"/>
  </r>
  <r>
    <x v="28"/>
  </r>
  <r>
    <x v="28"/>
  </r>
  <r>
    <x v="47"/>
  </r>
  <r>
    <x v="47"/>
  </r>
  <r>
    <x v="51"/>
  </r>
  <r>
    <x v="51"/>
  </r>
  <r>
    <x v="14"/>
  </r>
  <r>
    <x v="48"/>
  </r>
  <r>
    <x v="79"/>
  </r>
  <r>
    <x v="79"/>
  </r>
  <r>
    <x v="79"/>
  </r>
  <r>
    <x v="51"/>
  </r>
  <r>
    <x v="14"/>
  </r>
  <r>
    <x v="0"/>
  </r>
  <r>
    <x v="63"/>
  </r>
  <r>
    <x v="14"/>
  </r>
  <r>
    <x v="14"/>
  </r>
  <r>
    <x v="0"/>
  </r>
  <r>
    <x v="14"/>
  </r>
  <r>
    <x v="14"/>
  </r>
  <r>
    <x v="14"/>
  </r>
  <r>
    <x v="0"/>
  </r>
  <r>
    <x v="14"/>
  </r>
  <r>
    <x v="12"/>
  </r>
  <r>
    <x v="42"/>
  </r>
  <r>
    <x v="14"/>
  </r>
  <r>
    <x v="0"/>
  </r>
  <r>
    <x v="0"/>
  </r>
  <r>
    <x v="77"/>
  </r>
  <r>
    <x v="71"/>
  </r>
  <r>
    <x v="0"/>
  </r>
  <r>
    <x v="81"/>
  </r>
  <r>
    <x v="0"/>
  </r>
  <r>
    <x v="0"/>
  </r>
  <r>
    <x v="14"/>
  </r>
  <r>
    <x v="0"/>
  </r>
  <r>
    <x v="14"/>
  </r>
  <r>
    <x v="14"/>
  </r>
  <r>
    <x v="0"/>
  </r>
  <r>
    <x v="14"/>
  </r>
  <r>
    <x v="0"/>
  </r>
  <r>
    <x v="47"/>
  </r>
  <r>
    <x v="9"/>
  </r>
  <r>
    <x v="9"/>
  </r>
  <r>
    <x v="9"/>
  </r>
  <r>
    <x v="9"/>
  </r>
  <r>
    <x v="0"/>
  </r>
  <r>
    <x v="31"/>
  </r>
  <r>
    <x v="12"/>
  </r>
  <r>
    <x v="57"/>
  </r>
  <r>
    <x v="8"/>
  </r>
  <r>
    <x v="0"/>
  </r>
  <r>
    <x v="47"/>
  </r>
  <r>
    <x v="9"/>
  </r>
  <r>
    <x v="47"/>
  </r>
  <r>
    <x v="47"/>
  </r>
  <r>
    <x v="31"/>
  </r>
  <r>
    <x v="31"/>
  </r>
  <r>
    <x v="2"/>
  </r>
  <r>
    <x v="0"/>
  </r>
  <r>
    <x v="63"/>
  </r>
  <r>
    <x v="12"/>
  </r>
  <r>
    <x v="12"/>
  </r>
  <r>
    <x v="47"/>
  </r>
  <r>
    <x v="14"/>
  </r>
  <r>
    <x v="14"/>
  </r>
  <r>
    <x v="12"/>
  </r>
  <r>
    <x v="86"/>
  </r>
  <r>
    <x v="15"/>
  </r>
  <r>
    <x v="28"/>
  </r>
  <r>
    <x v="16"/>
  </r>
  <r>
    <x v="0"/>
  </r>
  <r>
    <x v="14"/>
  </r>
  <r>
    <x v="0"/>
  </r>
  <r>
    <x v="14"/>
  </r>
  <r>
    <x v="14"/>
  </r>
  <r>
    <x v="14"/>
  </r>
  <r>
    <x v="14"/>
  </r>
  <r>
    <x v="14"/>
  </r>
  <r>
    <x v="0"/>
  </r>
  <r>
    <x v="31"/>
  </r>
  <r>
    <x v="19"/>
  </r>
  <r>
    <x v="19"/>
  </r>
  <r>
    <x v="19"/>
  </r>
  <r>
    <x v="123"/>
  </r>
  <r>
    <x v="14"/>
  </r>
  <r>
    <x v="0"/>
  </r>
  <r>
    <x v="19"/>
  </r>
  <r>
    <x v="19"/>
  </r>
  <r>
    <x v="19"/>
  </r>
  <r>
    <x v="10"/>
  </r>
  <r>
    <x v="123"/>
  </r>
  <r>
    <x v="152"/>
  </r>
  <r>
    <x v="12"/>
  </r>
  <r>
    <x v="9"/>
  </r>
  <r>
    <x v="28"/>
  </r>
  <r>
    <x v="63"/>
  </r>
  <r>
    <x v="63"/>
  </r>
  <r>
    <x v="19"/>
  </r>
  <r>
    <x v="31"/>
  </r>
  <r>
    <x v="19"/>
  </r>
  <r>
    <x v="19"/>
  </r>
  <r>
    <x v="45"/>
  </r>
  <r>
    <x v="51"/>
  </r>
  <r>
    <x v="131"/>
  </r>
  <r>
    <x v="0"/>
  </r>
  <r>
    <x v="12"/>
  </r>
  <r>
    <x v="87"/>
  </r>
  <r>
    <x v="25"/>
  </r>
  <r>
    <x v="45"/>
  </r>
  <r>
    <x v="131"/>
  </r>
  <r>
    <x v="45"/>
  </r>
  <r>
    <x v="45"/>
  </r>
  <r>
    <x v="45"/>
  </r>
  <r>
    <x v="51"/>
  </r>
  <r>
    <x v="14"/>
  </r>
  <r>
    <x v="86"/>
  </r>
  <r>
    <x v="81"/>
  </r>
  <r>
    <x v="48"/>
  </r>
  <r>
    <x v="48"/>
  </r>
  <r>
    <x v="48"/>
  </r>
  <r>
    <x v="48"/>
  </r>
  <r>
    <x v="9"/>
  </r>
  <r>
    <x v="12"/>
  </r>
  <r>
    <x v="0"/>
  </r>
  <r>
    <x v="0"/>
  </r>
  <r>
    <x v="42"/>
  </r>
  <r>
    <x v="51"/>
  </r>
  <r>
    <x v="45"/>
  </r>
  <r>
    <x v="45"/>
  </r>
  <r>
    <x v="45"/>
  </r>
  <r>
    <x v="51"/>
  </r>
  <r>
    <x v="47"/>
  </r>
  <r>
    <x v="4"/>
  </r>
  <r>
    <x v="45"/>
  </r>
  <r>
    <x v="12"/>
  </r>
  <r>
    <x v="7"/>
  </r>
  <r>
    <x v="123"/>
  </r>
  <r>
    <x v="123"/>
  </r>
  <r>
    <x v="123"/>
  </r>
  <r>
    <x v="123"/>
  </r>
  <r>
    <x v="123"/>
  </r>
  <r>
    <x v="123"/>
  </r>
  <r>
    <x v="123"/>
  </r>
  <r>
    <x v="123"/>
  </r>
  <r>
    <x v="14"/>
  </r>
  <r>
    <x v="11"/>
  </r>
  <r>
    <x v="12"/>
  </r>
  <r>
    <x v="11"/>
  </r>
  <r>
    <x v="12"/>
  </r>
  <r>
    <x v="48"/>
  </r>
  <r>
    <x v="48"/>
  </r>
  <r>
    <x v="48"/>
  </r>
  <r>
    <x v="48"/>
  </r>
  <r>
    <x v="48"/>
  </r>
  <r>
    <x v="42"/>
  </r>
  <r>
    <x v="51"/>
  </r>
  <r>
    <x v="51"/>
  </r>
  <r>
    <x v="51"/>
  </r>
  <r>
    <x v="51"/>
  </r>
  <r>
    <x v="171"/>
  </r>
  <r>
    <x v="45"/>
  </r>
  <r>
    <x v="12"/>
  </r>
  <r>
    <x v="31"/>
  </r>
  <r>
    <x v="19"/>
  </r>
  <r>
    <x v="51"/>
  </r>
  <r>
    <x v="0"/>
  </r>
  <r>
    <x v="2"/>
  </r>
  <r>
    <x v="2"/>
  </r>
  <r>
    <x v="2"/>
  </r>
  <r>
    <x v="2"/>
  </r>
  <r>
    <x v="123"/>
  </r>
  <r>
    <x v="123"/>
  </r>
  <r>
    <x v="123"/>
  </r>
  <r>
    <x v="123"/>
  </r>
  <r>
    <x v="123"/>
  </r>
  <r>
    <x v="172"/>
  </r>
  <r>
    <x v="50"/>
  </r>
  <r>
    <x v="45"/>
  </r>
  <r>
    <x v="45"/>
  </r>
  <r>
    <x v="16"/>
  </r>
  <r>
    <x v="45"/>
  </r>
  <r>
    <x v="45"/>
  </r>
  <r>
    <x v="45"/>
  </r>
  <r>
    <x v="11"/>
  </r>
  <r>
    <x v="11"/>
  </r>
  <r>
    <x v="11"/>
  </r>
  <r>
    <x v="15"/>
  </r>
  <r>
    <x v="16"/>
  </r>
  <r>
    <x v="17"/>
  </r>
  <r>
    <x v="17"/>
  </r>
  <r>
    <x v="14"/>
  </r>
  <r>
    <x v="28"/>
  </r>
  <r>
    <x v="47"/>
  </r>
  <r>
    <x v="15"/>
  </r>
  <r>
    <x v="15"/>
  </r>
  <r>
    <x v="15"/>
  </r>
  <r>
    <x v="71"/>
  </r>
  <r>
    <x v="47"/>
  </r>
  <r>
    <x v="47"/>
  </r>
  <r>
    <x v="47"/>
  </r>
  <r>
    <x v="12"/>
  </r>
  <r>
    <x v="0"/>
  </r>
  <r>
    <x v="41"/>
  </r>
  <r>
    <x v="47"/>
  </r>
  <r>
    <x v="51"/>
  </r>
  <r>
    <x v="51"/>
  </r>
  <r>
    <x v="42"/>
  </r>
  <r>
    <x v="15"/>
  </r>
  <r>
    <x v="15"/>
  </r>
  <r>
    <x v="11"/>
  </r>
  <r>
    <x v="2"/>
  </r>
  <r>
    <x v="2"/>
  </r>
  <r>
    <x v="2"/>
  </r>
  <r>
    <x v="4"/>
  </r>
  <r>
    <x v="47"/>
  </r>
  <r>
    <x v="19"/>
  </r>
  <r>
    <x v="47"/>
  </r>
  <r>
    <x v="47"/>
  </r>
  <r>
    <x v="0"/>
  </r>
  <r>
    <x v="15"/>
  </r>
  <r>
    <x v="15"/>
  </r>
  <r>
    <x v="0"/>
  </r>
  <r>
    <x v="12"/>
  </r>
  <r>
    <x v="21"/>
  </r>
  <r>
    <x v="28"/>
  </r>
  <r>
    <x v="28"/>
  </r>
  <r>
    <x v="25"/>
  </r>
  <r>
    <x v="31"/>
  </r>
  <r>
    <x v="7"/>
  </r>
  <r>
    <x v="7"/>
  </r>
  <r>
    <x v="14"/>
  </r>
  <r>
    <x v="28"/>
  </r>
  <r>
    <x v="28"/>
  </r>
  <r>
    <x v="49"/>
  </r>
  <r>
    <x v="71"/>
  </r>
  <r>
    <x v="45"/>
  </r>
  <r>
    <x v="45"/>
  </r>
  <r>
    <x v="143"/>
  </r>
  <r>
    <x v="0"/>
  </r>
  <r>
    <x v="56"/>
  </r>
  <r>
    <x v="56"/>
  </r>
  <r>
    <x v="56"/>
  </r>
  <r>
    <x v="56"/>
  </r>
  <r>
    <x v="12"/>
  </r>
  <r>
    <x v="28"/>
  </r>
  <r>
    <x v="0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28"/>
  </r>
  <r>
    <x v="28"/>
  </r>
  <r>
    <x v="28"/>
  </r>
  <r>
    <x v="28"/>
  </r>
  <r>
    <x v="63"/>
  </r>
  <r>
    <x v="0"/>
  </r>
  <r>
    <x v="63"/>
  </r>
  <r>
    <x v="0"/>
  </r>
  <r>
    <x v="86"/>
  </r>
  <r>
    <x v="7"/>
  </r>
  <r>
    <x v="0"/>
  </r>
  <r>
    <x v="2"/>
  </r>
  <r>
    <x v="9"/>
  </r>
  <r>
    <x v="51"/>
  </r>
  <r>
    <x v="59"/>
  </r>
  <r>
    <x v="12"/>
  </r>
  <r>
    <x v="71"/>
  </r>
  <r>
    <x v="71"/>
  </r>
  <r>
    <x v="71"/>
  </r>
  <r>
    <x v="55"/>
  </r>
  <r>
    <x v="69"/>
  </r>
  <r>
    <x v="52"/>
  </r>
  <r>
    <x v="0"/>
  </r>
  <r>
    <x v="59"/>
  </r>
  <r>
    <x v="50"/>
  </r>
  <r>
    <x v="81"/>
  </r>
  <r>
    <x v="173"/>
  </r>
  <r>
    <x v="31"/>
  </r>
  <r>
    <x v="12"/>
  </r>
  <r>
    <x v="12"/>
  </r>
  <r>
    <x v="36"/>
  </r>
  <r>
    <x v="59"/>
  </r>
  <r>
    <x v="15"/>
  </r>
  <r>
    <x v="3"/>
  </r>
  <r>
    <x v="15"/>
  </r>
  <r>
    <x v="53"/>
  </r>
  <r>
    <x v="28"/>
  </r>
  <r>
    <x v="55"/>
  </r>
  <r>
    <x v="53"/>
  </r>
  <r>
    <x v="45"/>
  </r>
  <r>
    <x v="37"/>
  </r>
  <r>
    <x v="21"/>
  </r>
  <r>
    <x v="10"/>
  </r>
  <r>
    <x v="8"/>
  </r>
  <r>
    <x v="10"/>
  </r>
  <r>
    <x v="45"/>
  </r>
  <r>
    <x v="26"/>
  </r>
  <r>
    <x v="55"/>
  </r>
  <r>
    <x v="0"/>
  </r>
  <r>
    <x v="53"/>
  </r>
  <r>
    <x v="55"/>
  </r>
  <r>
    <x v="8"/>
  </r>
  <r>
    <x v="77"/>
  </r>
  <r>
    <x v="69"/>
  </r>
  <r>
    <x v="40"/>
  </r>
  <r>
    <x v="0"/>
  </r>
  <r>
    <x v="40"/>
  </r>
  <r>
    <x v="6"/>
  </r>
  <r>
    <x v="42"/>
  </r>
  <r>
    <x v="12"/>
  </r>
  <r>
    <x v="123"/>
  </r>
  <r>
    <x v="0"/>
  </r>
  <r>
    <x v="2"/>
  </r>
  <r>
    <x v="2"/>
  </r>
  <r>
    <x v="0"/>
  </r>
  <r>
    <x v="0"/>
  </r>
  <r>
    <x v="33"/>
  </r>
  <r>
    <x v="0"/>
  </r>
  <r>
    <x v="14"/>
  </r>
  <r>
    <x v="21"/>
  </r>
  <r>
    <x v="39"/>
  </r>
  <r>
    <x v="10"/>
  </r>
  <r>
    <x v="8"/>
  </r>
  <r>
    <x v="71"/>
  </r>
  <r>
    <x v="45"/>
  </r>
  <r>
    <x v="45"/>
  </r>
  <r>
    <x v="45"/>
  </r>
  <r>
    <x v="28"/>
  </r>
  <r>
    <x v="45"/>
  </r>
  <r>
    <x v="1"/>
  </r>
  <r>
    <x v="0"/>
  </r>
  <r>
    <x v="24"/>
  </r>
  <r>
    <x v="12"/>
  </r>
  <r>
    <x v="45"/>
  </r>
  <r>
    <x v="71"/>
  </r>
  <r>
    <x v="12"/>
  </r>
  <r>
    <x v="12"/>
  </r>
  <r>
    <x v="45"/>
  </r>
  <r>
    <x v="45"/>
  </r>
  <r>
    <x v="4"/>
  </r>
  <r>
    <x v="174"/>
  </r>
  <r>
    <x v="24"/>
  </r>
  <r>
    <x v="24"/>
  </r>
  <r>
    <x v="28"/>
  </r>
  <r>
    <x v="0"/>
  </r>
  <r>
    <x v="31"/>
  </r>
  <r>
    <x v="28"/>
  </r>
  <r>
    <x v="0"/>
  </r>
  <r>
    <x v="28"/>
  </r>
  <r>
    <x v="68"/>
  </r>
  <r>
    <x v="175"/>
  </r>
  <r>
    <x v="11"/>
  </r>
  <r>
    <x v="14"/>
  </r>
  <r>
    <x v="14"/>
  </r>
  <r>
    <x v="24"/>
  </r>
  <r>
    <x v="6"/>
  </r>
  <r>
    <x v="6"/>
  </r>
  <r>
    <x v="6"/>
  </r>
  <r>
    <x v="16"/>
  </r>
  <r>
    <x v="28"/>
  </r>
  <r>
    <x v="0"/>
  </r>
  <r>
    <x v="0"/>
  </r>
  <r>
    <x v="68"/>
  </r>
  <r>
    <x v="0"/>
  </r>
  <r>
    <x v="7"/>
  </r>
  <r>
    <x v="55"/>
  </r>
  <r>
    <x v="2"/>
  </r>
  <r>
    <x v="48"/>
  </r>
  <r>
    <x v="123"/>
  </r>
  <r>
    <x v="0"/>
  </r>
  <r>
    <x v="28"/>
  </r>
  <r>
    <x v="0"/>
  </r>
  <r>
    <x v="24"/>
  </r>
  <r>
    <x v="0"/>
  </r>
  <r>
    <x v="10"/>
  </r>
  <r>
    <x v="24"/>
  </r>
  <r>
    <x v="16"/>
  </r>
  <r>
    <x v="155"/>
  </r>
  <r>
    <x v="10"/>
  </r>
  <r>
    <x v="21"/>
  </r>
  <r>
    <x v="28"/>
  </r>
  <r>
    <x v="71"/>
  </r>
  <r>
    <x v="0"/>
  </r>
  <r>
    <x v="28"/>
  </r>
  <r>
    <x v="34"/>
  </r>
  <r>
    <x v="37"/>
  </r>
  <r>
    <x v="37"/>
  </r>
  <r>
    <x v="31"/>
  </r>
  <r>
    <x v="37"/>
  </r>
  <r>
    <x v="30"/>
  </r>
  <r>
    <x v="31"/>
  </r>
  <r>
    <x v="37"/>
  </r>
  <r>
    <x v="155"/>
  </r>
  <r>
    <x v="55"/>
  </r>
  <r>
    <x v="87"/>
  </r>
  <r>
    <x v="87"/>
  </r>
  <r>
    <x v="16"/>
  </r>
  <r>
    <x v="39"/>
  </r>
  <r>
    <x v="17"/>
  </r>
  <r>
    <x v="0"/>
  </r>
  <r>
    <x v="16"/>
  </r>
  <r>
    <x v="71"/>
  </r>
  <r>
    <x v="7"/>
  </r>
  <r>
    <x v="28"/>
  </r>
  <r>
    <x v="57"/>
  </r>
  <r>
    <x v="17"/>
  </r>
  <r>
    <x v="0"/>
  </r>
  <r>
    <x v="12"/>
  </r>
  <r>
    <x v="39"/>
  </r>
  <r>
    <x v="16"/>
  </r>
  <r>
    <x v="37"/>
  </r>
  <r>
    <x v="130"/>
  </r>
  <r>
    <x v="0"/>
  </r>
  <r>
    <x v="10"/>
  </r>
  <r>
    <x v="28"/>
  </r>
  <r>
    <x v="4"/>
  </r>
  <r>
    <x v="14"/>
  </r>
  <r>
    <x v="12"/>
  </r>
  <r>
    <x v="40"/>
  </r>
  <r>
    <x v="12"/>
  </r>
  <r>
    <x v="12"/>
  </r>
  <r>
    <x v="0"/>
  </r>
  <r>
    <x v="4"/>
  </r>
  <r>
    <x v="11"/>
  </r>
  <r>
    <x v="2"/>
  </r>
  <r>
    <x v="24"/>
  </r>
  <r>
    <x v="8"/>
  </r>
  <r>
    <x v="16"/>
  </r>
  <r>
    <x v="37"/>
  </r>
  <r>
    <x v="21"/>
  </r>
  <r>
    <x v="21"/>
  </r>
  <r>
    <x v="14"/>
  </r>
  <r>
    <x v="42"/>
  </r>
  <r>
    <x v="8"/>
  </r>
  <r>
    <x v="17"/>
  </r>
  <r>
    <x v="30"/>
  </r>
  <r>
    <x v="30"/>
  </r>
  <r>
    <x v="28"/>
  </r>
  <r>
    <x v="14"/>
  </r>
  <r>
    <x v="45"/>
  </r>
  <r>
    <x v="48"/>
  </r>
  <r>
    <x v="30"/>
  </r>
  <r>
    <x v="21"/>
  </r>
  <r>
    <x v="7"/>
  </r>
  <r>
    <x v="28"/>
  </r>
  <r>
    <x v="37"/>
  </r>
  <r>
    <x v="28"/>
  </r>
  <r>
    <x v="1"/>
  </r>
  <r>
    <x v="28"/>
  </r>
  <r>
    <x v="10"/>
  </r>
  <r>
    <x v="11"/>
  </r>
  <r>
    <x v="24"/>
  </r>
  <r>
    <x v="1"/>
  </r>
  <r>
    <x v="1"/>
  </r>
  <r>
    <x v="1"/>
  </r>
  <r>
    <x v="48"/>
  </r>
  <r>
    <x v="18"/>
  </r>
  <r>
    <x v="1"/>
  </r>
  <r>
    <x v="1"/>
  </r>
  <r>
    <x v="68"/>
  </r>
  <r>
    <x v="28"/>
  </r>
  <r>
    <x v="68"/>
  </r>
  <r>
    <x v="1"/>
  </r>
  <r>
    <x v="28"/>
  </r>
  <r>
    <x v="28"/>
  </r>
  <r>
    <x v="16"/>
  </r>
  <r>
    <x v="86"/>
  </r>
  <r>
    <x v="86"/>
  </r>
  <r>
    <x v="14"/>
  </r>
  <r>
    <x v="14"/>
  </r>
  <r>
    <x v="14"/>
  </r>
  <r>
    <x v="8"/>
  </r>
  <r>
    <x v="17"/>
  </r>
  <r>
    <x v="28"/>
  </r>
  <r>
    <x v="14"/>
  </r>
  <r>
    <x v="28"/>
  </r>
  <r>
    <x v="86"/>
  </r>
  <r>
    <x v="0"/>
  </r>
  <r>
    <x v="40"/>
  </r>
  <r>
    <x v="17"/>
  </r>
  <r>
    <x v="17"/>
  </r>
  <r>
    <x v="42"/>
  </r>
  <r>
    <x v="32"/>
  </r>
  <r>
    <x v="14"/>
  </r>
  <r>
    <x v="4"/>
  </r>
  <r>
    <x v="14"/>
  </r>
  <r>
    <x v="86"/>
  </r>
  <r>
    <x v="113"/>
  </r>
  <r>
    <x v="113"/>
  </r>
  <r>
    <x v="113"/>
  </r>
  <r>
    <x v="31"/>
  </r>
  <r>
    <x v="12"/>
  </r>
  <r>
    <x v="51"/>
  </r>
  <r>
    <x v="21"/>
  </r>
  <r>
    <x v="10"/>
  </r>
  <r>
    <x v="7"/>
  </r>
  <r>
    <x v="22"/>
  </r>
  <r>
    <x v="0"/>
  </r>
  <r>
    <x v="1"/>
  </r>
  <r>
    <x v="4"/>
  </r>
  <r>
    <x v="11"/>
  </r>
  <r>
    <x v="10"/>
  </r>
  <r>
    <x v="43"/>
  </r>
  <r>
    <x v="2"/>
  </r>
  <r>
    <x v="2"/>
  </r>
  <r>
    <x v="2"/>
  </r>
  <r>
    <x v="2"/>
  </r>
  <r>
    <x v="2"/>
  </r>
  <r>
    <x v="2"/>
  </r>
  <r>
    <x v="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"/>
  </r>
  <r>
    <x v="4"/>
  </r>
  <r>
    <x v="63"/>
  </r>
  <r>
    <x v="123"/>
  </r>
  <r>
    <x v="123"/>
  </r>
  <r>
    <x v="123"/>
  </r>
  <r>
    <x v="14"/>
  </r>
  <r>
    <x v="68"/>
  </r>
  <r>
    <x v="30"/>
  </r>
  <r>
    <x v="1"/>
  </r>
  <r>
    <x v="1"/>
  </r>
  <r>
    <x v="14"/>
  </r>
  <r>
    <x v="14"/>
  </r>
  <r>
    <x v="39"/>
  </r>
  <r>
    <x v="10"/>
  </r>
  <r>
    <x v="92"/>
  </r>
  <r>
    <x v="1"/>
  </r>
  <r>
    <x v="31"/>
  </r>
  <r>
    <x v="12"/>
  </r>
  <r>
    <x v="0"/>
  </r>
  <r>
    <x v="0"/>
  </r>
  <r>
    <x v="4"/>
  </r>
  <r>
    <x v="28"/>
  </r>
  <r>
    <x v="12"/>
  </r>
  <r>
    <x v="28"/>
  </r>
  <r>
    <x v="53"/>
  </r>
  <r>
    <x v="55"/>
  </r>
  <r>
    <x v="2"/>
  </r>
  <r>
    <x v="4"/>
  </r>
  <r>
    <x v="0"/>
  </r>
  <r>
    <x v="174"/>
  </r>
  <r>
    <x v="26"/>
  </r>
  <r>
    <x v="4"/>
  </r>
  <r>
    <x v="115"/>
  </r>
  <r>
    <x v="0"/>
  </r>
  <r>
    <x v="37"/>
  </r>
  <r>
    <x v="7"/>
  </r>
  <r>
    <x v="123"/>
  </r>
  <r>
    <x v="7"/>
  </r>
  <r>
    <x v="14"/>
  </r>
  <r>
    <x v="28"/>
  </r>
  <r>
    <x v="123"/>
  </r>
  <r>
    <x v="63"/>
  </r>
  <r>
    <x v="59"/>
  </r>
  <r>
    <x v="6"/>
  </r>
  <r>
    <x v="28"/>
  </r>
  <r>
    <x v="28"/>
  </r>
  <r>
    <x v="14"/>
  </r>
  <r>
    <x v="11"/>
  </r>
  <r>
    <x v="24"/>
  </r>
  <r>
    <x v="0"/>
  </r>
  <r>
    <x v="0"/>
  </r>
  <r>
    <x v="0"/>
  </r>
  <r>
    <x v="6"/>
  </r>
  <r>
    <x v="14"/>
  </r>
  <r>
    <x v="28"/>
  </r>
  <r>
    <x v="14"/>
  </r>
  <r>
    <x v="17"/>
  </r>
  <r>
    <x v="14"/>
  </r>
  <r>
    <x v="14"/>
  </r>
  <r>
    <x v="72"/>
  </r>
  <r>
    <x v="56"/>
  </r>
  <r>
    <x v="7"/>
  </r>
  <r>
    <x v="70"/>
  </r>
  <r>
    <x v="42"/>
  </r>
  <r>
    <x v="63"/>
  </r>
  <r>
    <x v="14"/>
  </r>
  <r>
    <x v="1"/>
  </r>
  <r>
    <x v="28"/>
  </r>
  <r>
    <x v="42"/>
  </r>
  <r>
    <x v="42"/>
  </r>
  <r>
    <x v="131"/>
  </r>
  <r>
    <x v="14"/>
  </r>
  <r>
    <x v="42"/>
  </r>
  <r>
    <x v="14"/>
  </r>
  <r>
    <x v="53"/>
  </r>
  <r>
    <x v="7"/>
  </r>
  <r>
    <x v="106"/>
  </r>
  <r>
    <x v="0"/>
  </r>
  <r>
    <x v="83"/>
  </r>
  <r>
    <x v="7"/>
  </r>
  <r>
    <x v="7"/>
  </r>
  <r>
    <x v="7"/>
  </r>
  <r>
    <x v="16"/>
  </r>
  <r>
    <x v="71"/>
  </r>
  <r>
    <x v="42"/>
  </r>
  <r>
    <x v="71"/>
  </r>
  <r>
    <x v="4"/>
  </r>
  <r>
    <x v="30"/>
  </r>
  <r>
    <x v="40"/>
  </r>
  <r>
    <x v="30"/>
  </r>
  <r>
    <x v="10"/>
  </r>
  <r>
    <x v="8"/>
  </r>
  <r>
    <x v="48"/>
  </r>
  <r>
    <x v="48"/>
  </r>
  <r>
    <x v="19"/>
  </r>
  <r>
    <x v="53"/>
  </r>
  <r>
    <x v="53"/>
  </r>
  <r>
    <x v="10"/>
  </r>
  <r>
    <x v="10"/>
  </r>
  <r>
    <x v="28"/>
  </r>
  <r>
    <x v="16"/>
  </r>
  <r>
    <x v="86"/>
  </r>
  <r>
    <x v="100"/>
  </r>
  <r>
    <x v="176"/>
  </r>
  <r>
    <x v="37"/>
  </r>
  <r>
    <x v="28"/>
  </r>
  <r>
    <x v="28"/>
  </r>
  <r>
    <x v="37"/>
  </r>
  <r>
    <x v="9"/>
  </r>
  <r>
    <x v="75"/>
  </r>
  <r>
    <x v="177"/>
  </r>
  <r>
    <x v="2"/>
  </r>
  <r>
    <x v="12"/>
  </r>
  <r>
    <x v="123"/>
  </r>
  <r>
    <x v="178"/>
  </r>
  <r>
    <x v="86"/>
  </r>
  <r>
    <x v="10"/>
  </r>
  <r>
    <x v="42"/>
  </r>
  <r>
    <x v="36"/>
  </r>
  <r>
    <x v="36"/>
  </r>
  <r>
    <x v="12"/>
  </r>
  <r>
    <x v="123"/>
  </r>
  <r>
    <x v="36"/>
  </r>
  <r>
    <x v="36"/>
  </r>
  <r>
    <x v="2"/>
  </r>
  <r>
    <x v="2"/>
  </r>
  <r>
    <x v="36"/>
  </r>
  <r>
    <x v="15"/>
  </r>
  <r>
    <x v="179"/>
  </r>
  <r>
    <x v="34"/>
  </r>
  <r>
    <x v="123"/>
  </r>
  <r>
    <x v="0"/>
  </r>
  <r>
    <x v="10"/>
  </r>
  <r>
    <x v="50"/>
  </r>
  <r>
    <x v="75"/>
  </r>
  <r>
    <x v="4"/>
  </r>
  <r>
    <x v="9"/>
  </r>
  <r>
    <x v="11"/>
  </r>
  <r>
    <x v="7"/>
  </r>
  <r>
    <x v="7"/>
  </r>
  <r>
    <x v="63"/>
  </r>
  <r>
    <x v="130"/>
  </r>
  <r>
    <x v="24"/>
  </r>
  <r>
    <x v="24"/>
  </r>
  <r>
    <x v="56"/>
  </r>
  <r>
    <x v="56"/>
  </r>
  <r>
    <x v="56"/>
  </r>
  <r>
    <x v="56"/>
  </r>
  <r>
    <x v="56"/>
  </r>
  <r>
    <x v="123"/>
  </r>
  <r>
    <x v="31"/>
  </r>
  <r>
    <x v="81"/>
  </r>
  <r>
    <x v="80"/>
  </r>
  <r>
    <x v="45"/>
  </r>
  <r>
    <x v="36"/>
  </r>
  <r>
    <x v="36"/>
  </r>
  <r>
    <x v="12"/>
  </r>
  <r>
    <x v="14"/>
  </r>
  <r>
    <x v="4"/>
  </r>
  <r>
    <x v="4"/>
  </r>
  <r>
    <x v="48"/>
  </r>
  <r>
    <x v="56"/>
  </r>
  <r>
    <x v="56"/>
  </r>
  <r>
    <x v="10"/>
  </r>
  <r>
    <x v="89"/>
  </r>
  <r>
    <x v="55"/>
  </r>
  <r>
    <x v="21"/>
  </r>
  <r>
    <x v="161"/>
  </r>
  <r>
    <x v="55"/>
  </r>
  <r>
    <x v="55"/>
  </r>
  <r>
    <x v="55"/>
  </r>
  <r>
    <x v="55"/>
  </r>
  <r>
    <x v="55"/>
  </r>
  <r>
    <x v="55"/>
  </r>
  <r>
    <x v="53"/>
  </r>
  <r>
    <x v="37"/>
  </r>
  <r>
    <x v="42"/>
  </r>
  <r>
    <x v="16"/>
  </r>
  <r>
    <x v="16"/>
  </r>
  <r>
    <x v="16"/>
  </r>
  <r>
    <x v="160"/>
  </r>
  <r>
    <x v="160"/>
  </r>
  <r>
    <x v="42"/>
  </r>
  <r>
    <x v="6"/>
  </r>
  <r>
    <x v="45"/>
  </r>
  <r>
    <x v="1"/>
  </r>
  <r>
    <x v="12"/>
  </r>
  <r>
    <x v="12"/>
  </r>
  <r>
    <x v="12"/>
  </r>
  <r>
    <x v="24"/>
  </r>
  <r>
    <x v="48"/>
  </r>
  <r>
    <x v="12"/>
  </r>
  <r>
    <x v="71"/>
  </r>
  <r>
    <x v="45"/>
  </r>
  <r>
    <x v="16"/>
  </r>
  <r>
    <x v="16"/>
  </r>
  <r>
    <x v="0"/>
  </r>
  <r>
    <x v="0"/>
  </r>
  <r>
    <x v="14"/>
  </r>
  <r>
    <x v="45"/>
  </r>
  <r>
    <x v="162"/>
  </r>
  <r>
    <x v="45"/>
  </r>
  <r>
    <x v="31"/>
  </r>
  <r>
    <x v="12"/>
  </r>
  <r>
    <x v="56"/>
  </r>
  <r>
    <x v="56"/>
  </r>
  <r>
    <x v="4"/>
  </r>
  <r>
    <x v="4"/>
  </r>
  <r>
    <x v="56"/>
  </r>
  <r>
    <x v="12"/>
  </r>
  <r>
    <x v="12"/>
  </r>
  <r>
    <x v="56"/>
  </r>
  <r>
    <x v="42"/>
  </r>
  <r>
    <x v="123"/>
  </r>
  <r>
    <x v="14"/>
  </r>
  <r>
    <x v="16"/>
  </r>
  <r>
    <x v="0"/>
  </r>
  <r>
    <x v="63"/>
  </r>
  <r>
    <x v="59"/>
  </r>
  <r>
    <x v="59"/>
  </r>
  <r>
    <x v="144"/>
  </r>
  <r>
    <x v="14"/>
  </r>
  <r>
    <x v="64"/>
  </r>
  <r>
    <x v="2"/>
  </r>
  <r>
    <x v="81"/>
  </r>
  <r>
    <x v="81"/>
  </r>
  <r>
    <x v="55"/>
  </r>
  <r>
    <x v="143"/>
  </r>
  <r>
    <x v="2"/>
  </r>
  <r>
    <x v="12"/>
  </r>
  <r>
    <x v="12"/>
  </r>
  <r>
    <x v="141"/>
  </r>
  <r>
    <x v="141"/>
  </r>
  <r>
    <x v="141"/>
  </r>
  <r>
    <x v="42"/>
  </r>
  <r>
    <x v="56"/>
  </r>
  <r>
    <x v="10"/>
  </r>
  <r>
    <x v="77"/>
  </r>
  <r>
    <x v="24"/>
  </r>
  <r>
    <x v="28"/>
  </r>
  <r>
    <x v="36"/>
  </r>
  <r>
    <x v="36"/>
  </r>
  <r>
    <x v="162"/>
  </r>
  <r>
    <x v="10"/>
  </r>
  <r>
    <x v="42"/>
  </r>
  <r>
    <x v="42"/>
  </r>
  <r>
    <x v="42"/>
  </r>
  <r>
    <x v="42"/>
  </r>
  <r>
    <x v="42"/>
  </r>
  <r>
    <x v="28"/>
  </r>
  <r>
    <x v="77"/>
  </r>
  <r>
    <x v="42"/>
  </r>
  <r>
    <x v="42"/>
  </r>
  <r>
    <x v="42"/>
  </r>
  <r>
    <x v="126"/>
  </r>
  <r>
    <x v="10"/>
  </r>
  <r>
    <x v="1"/>
  </r>
  <r>
    <x v="10"/>
  </r>
  <r>
    <x v="141"/>
  </r>
  <r>
    <x v="4"/>
  </r>
  <r>
    <x v="141"/>
  </r>
  <r>
    <x v="111"/>
  </r>
  <r>
    <x v="10"/>
  </r>
  <r>
    <x v="24"/>
  </r>
  <r>
    <x v="138"/>
  </r>
  <r>
    <x v="12"/>
  </r>
  <r>
    <x v="14"/>
  </r>
  <r>
    <x v="14"/>
  </r>
  <r>
    <x v="37"/>
  </r>
  <r>
    <x v="177"/>
  </r>
  <r>
    <x v="4"/>
  </r>
  <r>
    <x v="4"/>
  </r>
  <r>
    <x v="99"/>
  </r>
  <r>
    <x v="57"/>
  </r>
  <r>
    <x v="36"/>
  </r>
  <r>
    <x v="57"/>
  </r>
  <r>
    <x v="77"/>
  </r>
  <r>
    <x v="46"/>
  </r>
  <r>
    <x v="180"/>
  </r>
  <r>
    <x v="123"/>
  </r>
  <r>
    <x v="7"/>
  </r>
  <r>
    <x v="7"/>
  </r>
  <r>
    <x v="7"/>
  </r>
  <r>
    <x v="7"/>
  </r>
  <r>
    <x v="1"/>
  </r>
  <r>
    <x v="1"/>
  </r>
  <r>
    <x v="123"/>
  </r>
  <r>
    <x v="3"/>
  </r>
  <r>
    <x v="35"/>
  </r>
  <r>
    <x v="52"/>
  </r>
  <r>
    <x v="9"/>
  </r>
  <r>
    <x v="4"/>
  </r>
  <r>
    <x v="78"/>
  </r>
  <r>
    <x v="7"/>
  </r>
  <r>
    <x v="28"/>
  </r>
  <r>
    <x v="42"/>
  </r>
  <r>
    <x v="21"/>
  </r>
  <r>
    <x v="29"/>
  </r>
  <r>
    <x v="10"/>
  </r>
  <r>
    <x v="102"/>
  </r>
  <r>
    <x v="42"/>
  </r>
  <r>
    <x v="4"/>
  </r>
  <r>
    <x v="4"/>
  </r>
  <r>
    <x v="9"/>
  </r>
  <r>
    <x v="165"/>
  </r>
  <r>
    <x v="81"/>
  </r>
  <r>
    <x v="9"/>
  </r>
  <r>
    <x v="45"/>
  </r>
  <r>
    <x v="25"/>
  </r>
  <r>
    <x v="0"/>
  </r>
  <r>
    <x v="28"/>
  </r>
  <r>
    <x v="16"/>
  </r>
  <r>
    <x v="181"/>
  </r>
  <r>
    <x v="86"/>
  </r>
  <r>
    <x v="59"/>
  </r>
  <r>
    <x v="25"/>
  </r>
  <r>
    <x v="3"/>
  </r>
  <r>
    <x v="12"/>
  </r>
  <r>
    <x v="86"/>
  </r>
  <r>
    <x v="71"/>
  </r>
  <r>
    <x v="20"/>
  </r>
  <r>
    <x v="79"/>
  </r>
  <r>
    <x v="10"/>
  </r>
  <r>
    <x v="56"/>
  </r>
  <r>
    <x v="26"/>
  </r>
  <r>
    <x v="4"/>
  </r>
  <r>
    <x v="0"/>
  </r>
  <r>
    <x v="136"/>
  </r>
  <r>
    <x v="1"/>
  </r>
  <r>
    <x v="76"/>
  </r>
  <r>
    <x v="76"/>
  </r>
  <r>
    <x v="48"/>
  </r>
  <r>
    <x v="9"/>
  </r>
  <r>
    <x v="0"/>
  </r>
  <r>
    <x v="0"/>
  </r>
  <r>
    <x v="19"/>
  </r>
  <r>
    <x v="12"/>
  </r>
  <r>
    <x v="7"/>
  </r>
  <r>
    <x v="19"/>
  </r>
  <r>
    <x v="54"/>
  </r>
  <r>
    <x v="123"/>
  </r>
  <r>
    <x v="123"/>
  </r>
  <r>
    <x v="54"/>
  </r>
  <r>
    <x v="12"/>
  </r>
  <r>
    <x v="12"/>
  </r>
  <r>
    <x v="7"/>
  </r>
  <r>
    <x v="7"/>
  </r>
  <r>
    <x v="28"/>
  </r>
  <r>
    <x v="12"/>
  </r>
  <r>
    <x v="7"/>
  </r>
  <r>
    <x v="7"/>
  </r>
  <r>
    <x v="12"/>
  </r>
  <r>
    <x v="12"/>
  </r>
  <r>
    <x v="59"/>
  </r>
  <r>
    <x v="59"/>
  </r>
  <r>
    <x v="7"/>
  </r>
  <r>
    <x v="19"/>
  </r>
  <r>
    <x v="7"/>
  </r>
  <r>
    <x v="123"/>
  </r>
  <r>
    <x v="1"/>
  </r>
  <r>
    <x v="123"/>
  </r>
  <r>
    <x v="1"/>
  </r>
  <r>
    <x v="23"/>
  </r>
  <r>
    <x v="4"/>
  </r>
  <r>
    <x v="7"/>
  </r>
  <r>
    <x v="8"/>
  </r>
  <r>
    <x v="8"/>
  </r>
  <r>
    <x v="8"/>
  </r>
  <r>
    <x v="8"/>
  </r>
  <r>
    <x v="8"/>
  </r>
  <r>
    <x v="19"/>
  </r>
  <r>
    <x v="1"/>
  </r>
  <r>
    <x v="53"/>
  </r>
  <r>
    <x v="28"/>
  </r>
  <r>
    <x v="28"/>
  </r>
  <r>
    <x v="22"/>
  </r>
  <r>
    <x v="22"/>
  </r>
  <r>
    <x v="152"/>
  </r>
  <r>
    <x v="37"/>
  </r>
  <r>
    <x v="147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152"/>
  </r>
  <r>
    <x v="91"/>
  </r>
  <r>
    <x v="57"/>
  </r>
  <r>
    <x v="12"/>
  </r>
  <r>
    <x v="12"/>
  </r>
  <r>
    <x v="12"/>
  </r>
  <r>
    <x v="12"/>
  </r>
  <r>
    <x v="56"/>
  </r>
  <r>
    <x v="56"/>
  </r>
  <r>
    <x v="56"/>
  </r>
  <r>
    <x v="10"/>
  </r>
  <r>
    <x v="10"/>
  </r>
  <r>
    <x v="11"/>
  </r>
  <r>
    <x v="91"/>
  </r>
  <r>
    <x v="59"/>
  </r>
  <r>
    <x v="59"/>
  </r>
  <r>
    <x v="14"/>
  </r>
  <r>
    <x v="24"/>
  </r>
  <r>
    <x v="19"/>
  </r>
  <r>
    <x v="19"/>
  </r>
  <r>
    <x v="53"/>
  </r>
  <r>
    <x v="53"/>
  </r>
  <r>
    <x v="12"/>
  </r>
  <r>
    <x v="12"/>
  </r>
  <r>
    <x v="12"/>
  </r>
  <r>
    <x v="63"/>
  </r>
  <r>
    <x v="100"/>
  </r>
  <r>
    <x v="76"/>
  </r>
  <r>
    <x v="123"/>
  </r>
  <r>
    <x v="71"/>
  </r>
  <r>
    <x v="123"/>
  </r>
  <r>
    <x v="19"/>
  </r>
  <r>
    <x v="19"/>
  </r>
  <r>
    <x v="91"/>
  </r>
  <r>
    <x v="55"/>
  </r>
  <r>
    <x v="14"/>
  </r>
  <r>
    <x v="4"/>
  </r>
  <r>
    <x v="4"/>
  </r>
  <r>
    <x v="4"/>
  </r>
  <r>
    <x v="4"/>
  </r>
  <r>
    <x v="24"/>
  </r>
  <r>
    <x v="14"/>
  </r>
  <r>
    <x v="42"/>
  </r>
  <r>
    <x v="42"/>
  </r>
  <r>
    <x v="19"/>
  </r>
  <r>
    <x v="9"/>
  </r>
  <r>
    <x v="24"/>
  </r>
  <r>
    <x v="7"/>
  </r>
  <r>
    <x v="123"/>
  </r>
  <r>
    <x v="6"/>
  </r>
  <r>
    <x v="6"/>
  </r>
  <r>
    <x v="91"/>
  </r>
  <r>
    <x v="91"/>
  </r>
  <r>
    <x v="10"/>
  </r>
  <r>
    <x v="10"/>
  </r>
  <r>
    <x v="12"/>
  </r>
  <r>
    <x v="42"/>
  </r>
  <r>
    <x v="42"/>
  </r>
  <r>
    <x v="42"/>
  </r>
  <r>
    <x v="42"/>
  </r>
  <r>
    <x v="42"/>
  </r>
  <r>
    <x v="42"/>
  </r>
  <r>
    <x v="6"/>
  </r>
  <r>
    <x v="4"/>
  </r>
  <r>
    <x v="6"/>
  </r>
  <r>
    <x v="9"/>
  </r>
  <r>
    <x v="56"/>
  </r>
  <r>
    <x v="12"/>
  </r>
  <r>
    <x v="1"/>
  </r>
  <r>
    <x v="1"/>
  </r>
  <r>
    <x v="123"/>
  </r>
  <r>
    <x v="123"/>
  </r>
  <r>
    <x v="19"/>
  </r>
  <r>
    <x v="1"/>
  </r>
  <r>
    <x v="10"/>
  </r>
  <r>
    <x v="10"/>
  </r>
  <r>
    <x v="152"/>
  </r>
  <r>
    <x v="10"/>
  </r>
  <r>
    <x v="56"/>
  </r>
  <r>
    <x v="1"/>
  </r>
  <r>
    <x v="28"/>
  </r>
  <r>
    <x v="7"/>
  </r>
  <r>
    <x v="16"/>
  </r>
  <r>
    <x v="34"/>
  </r>
  <r>
    <x v="123"/>
  </r>
  <r>
    <x v="123"/>
  </r>
  <r>
    <x v="2"/>
  </r>
  <r>
    <x v="2"/>
  </r>
  <r>
    <x v="9"/>
  </r>
  <r>
    <x v="1"/>
  </r>
  <r>
    <x v="33"/>
  </r>
  <r>
    <x v="37"/>
  </r>
  <r>
    <x v="1"/>
  </r>
  <r>
    <x v="12"/>
  </r>
  <r>
    <x v="12"/>
  </r>
  <r>
    <x v="152"/>
  </r>
  <r>
    <x v="152"/>
  </r>
  <r>
    <x v="152"/>
  </r>
  <r>
    <x v="152"/>
  </r>
  <r>
    <x v="2"/>
  </r>
  <r>
    <x v="10"/>
  </r>
  <r>
    <x v="152"/>
  </r>
  <r>
    <x v="36"/>
  </r>
  <r>
    <x v="14"/>
  </r>
  <r>
    <x v="16"/>
  </r>
  <r>
    <x v="19"/>
  </r>
  <r>
    <x v="7"/>
  </r>
  <r>
    <x v="17"/>
  </r>
  <r>
    <x v="17"/>
  </r>
  <r>
    <x v="17"/>
  </r>
  <r>
    <x v="17"/>
  </r>
  <r>
    <x v="16"/>
  </r>
  <r>
    <x v="16"/>
  </r>
  <r>
    <x v="87"/>
  </r>
  <r>
    <x v="72"/>
  </r>
  <r>
    <x v="16"/>
  </r>
  <r>
    <x v="16"/>
  </r>
  <r>
    <x v="4"/>
  </r>
  <r>
    <x v="4"/>
  </r>
  <r>
    <x v="115"/>
  </r>
  <r>
    <x v="16"/>
  </r>
  <r>
    <x v="16"/>
  </r>
  <r>
    <x v="16"/>
  </r>
  <r>
    <x v="160"/>
  </r>
  <r>
    <x v="86"/>
  </r>
  <r>
    <x v="86"/>
  </r>
  <r>
    <x v="0"/>
  </r>
  <r>
    <x v="147"/>
  </r>
  <r>
    <x v="24"/>
  </r>
  <r>
    <x v="34"/>
  </r>
  <r>
    <x v="4"/>
  </r>
  <r>
    <x v="12"/>
  </r>
  <r>
    <x v="123"/>
  </r>
  <r>
    <x v="152"/>
  </r>
  <r>
    <x v="17"/>
  </r>
  <r>
    <x v="32"/>
  </r>
  <r>
    <x v="52"/>
  </r>
  <r>
    <x v="4"/>
  </r>
  <r>
    <x v="10"/>
  </r>
  <r>
    <x v="10"/>
  </r>
  <r>
    <x v="17"/>
  </r>
  <r>
    <x v="17"/>
  </r>
  <r>
    <x v="17"/>
  </r>
  <r>
    <x v="17"/>
  </r>
  <r>
    <x v="1"/>
  </r>
  <r>
    <x v="37"/>
  </r>
  <r>
    <x v="37"/>
  </r>
  <r>
    <x v="37"/>
  </r>
  <r>
    <x v="37"/>
  </r>
  <r>
    <x v="152"/>
  </r>
  <r>
    <x v="27"/>
  </r>
  <r>
    <x v="1"/>
  </r>
  <r>
    <x v="1"/>
  </r>
  <r>
    <x v="19"/>
  </r>
  <r>
    <x v="1"/>
  </r>
  <r>
    <x v="1"/>
  </r>
  <r>
    <x v="1"/>
  </r>
  <r>
    <x v="19"/>
  </r>
  <r>
    <x v="152"/>
  </r>
  <r>
    <x v="7"/>
  </r>
  <r>
    <x v="152"/>
  </r>
  <r>
    <x v="24"/>
  </r>
  <r>
    <x v="52"/>
  </r>
  <r>
    <x v="16"/>
  </r>
  <r>
    <x v="42"/>
  </r>
  <r>
    <x v="42"/>
  </r>
  <r>
    <x v="42"/>
  </r>
  <r>
    <x v="4"/>
  </r>
  <r>
    <x v="4"/>
  </r>
  <r>
    <x v="9"/>
  </r>
  <r>
    <x v="10"/>
  </r>
  <r>
    <x v="4"/>
  </r>
  <r>
    <x v="4"/>
  </r>
  <r>
    <x v="21"/>
  </r>
  <r>
    <x v="12"/>
  </r>
  <r>
    <x v="10"/>
  </r>
  <r>
    <x v="4"/>
  </r>
  <r>
    <x v="11"/>
  </r>
  <r>
    <x v="10"/>
  </r>
  <r>
    <x v="36"/>
  </r>
  <r>
    <x v="7"/>
  </r>
  <r>
    <x v="71"/>
  </r>
  <r>
    <x v="10"/>
  </r>
  <r>
    <x v="4"/>
  </r>
  <r>
    <x v="4"/>
  </r>
  <r>
    <x v="14"/>
  </r>
  <r>
    <x v="45"/>
  </r>
  <r>
    <x v="12"/>
  </r>
  <r>
    <x v="131"/>
  </r>
  <r>
    <x v="20"/>
  </r>
  <r>
    <x v="27"/>
  </r>
  <r>
    <x v="27"/>
  </r>
  <r>
    <x v="23"/>
  </r>
  <r>
    <x v="27"/>
  </r>
  <r>
    <x v="12"/>
  </r>
  <r>
    <x v="14"/>
  </r>
  <r>
    <x v="12"/>
  </r>
  <r>
    <x v="12"/>
  </r>
  <r>
    <x v="63"/>
  </r>
  <r>
    <x v="63"/>
  </r>
  <r>
    <x v="63"/>
  </r>
  <r>
    <x v="63"/>
  </r>
  <r>
    <x v="63"/>
  </r>
  <r>
    <x v="7"/>
  </r>
  <r>
    <x v="28"/>
  </r>
  <r>
    <x v="27"/>
  </r>
  <r>
    <x v="54"/>
  </r>
  <r>
    <x v="27"/>
  </r>
  <r>
    <x v="12"/>
  </r>
  <r>
    <x v="12"/>
  </r>
  <r>
    <x v="12"/>
  </r>
  <r>
    <x v="62"/>
  </r>
  <r>
    <x v="57"/>
  </r>
  <r>
    <x v="0"/>
  </r>
  <r>
    <x v="126"/>
  </r>
  <r>
    <x v="28"/>
  </r>
  <r>
    <x v="2"/>
  </r>
  <r>
    <x v="28"/>
  </r>
  <r>
    <x v="28"/>
  </r>
  <r>
    <x v="14"/>
  </r>
  <r>
    <x v="48"/>
  </r>
  <r>
    <x v="14"/>
  </r>
  <r>
    <x v="147"/>
  </r>
  <r>
    <x v="2"/>
  </r>
  <r>
    <x v="1"/>
  </r>
  <r>
    <x v="19"/>
  </r>
  <r>
    <x v="27"/>
  </r>
  <r>
    <x v="152"/>
  </r>
  <r>
    <x v="152"/>
  </r>
  <r>
    <x v="142"/>
  </r>
  <r>
    <x v="0"/>
  </r>
  <r>
    <x v="10"/>
  </r>
  <r>
    <x v="10"/>
  </r>
  <r>
    <x v="4"/>
  </r>
  <r>
    <x v="14"/>
  </r>
  <r>
    <x v="1"/>
  </r>
  <r>
    <x v="12"/>
  </r>
  <r>
    <x v="19"/>
  </r>
  <r>
    <x v="12"/>
  </r>
  <r>
    <x v="4"/>
  </r>
  <r>
    <x v="16"/>
  </r>
  <r>
    <x v="19"/>
  </r>
  <r>
    <x v="19"/>
  </r>
  <r>
    <x v="19"/>
  </r>
  <r>
    <x v="19"/>
  </r>
  <r>
    <x v="19"/>
  </r>
  <r>
    <x v="141"/>
  </r>
  <r>
    <x v="1"/>
  </r>
  <r>
    <x v="42"/>
  </r>
  <r>
    <x v="42"/>
  </r>
  <r>
    <x v="42"/>
  </r>
  <r>
    <x v="27"/>
  </r>
  <r>
    <x v="152"/>
  </r>
  <r>
    <x v="152"/>
  </r>
  <r>
    <x v="24"/>
  </r>
  <r>
    <x v="152"/>
  </r>
  <r>
    <x v="17"/>
  </r>
  <r>
    <x v="4"/>
  </r>
  <r>
    <x v="42"/>
  </r>
  <r>
    <x v="28"/>
  </r>
  <r>
    <x v="28"/>
  </r>
  <r>
    <x v="2"/>
  </r>
  <r>
    <x v="16"/>
  </r>
  <r>
    <x v="4"/>
  </r>
  <r>
    <x v="182"/>
  </r>
  <r>
    <x v="123"/>
  </r>
  <r>
    <x v="123"/>
  </r>
  <r>
    <x v="123"/>
  </r>
  <r>
    <x v="123"/>
  </r>
  <r>
    <x v="123"/>
  </r>
  <r>
    <x v="152"/>
  </r>
  <r>
    <x v="12"/>
  </r>
  <r>
    <x v="4"/>
  </r>
  <r>
    <x v="16"/>
  </r>
  <r>
    <x v="42"/>
  </r>
  <r>
    <x v="123"/>
  </r>
  <r>
    <x v="17"/>
  </r>
  <r>
    <x v="7"/>
  </r>
  <r>
    <x v="4"/>
  </r>
  <r>
    <x v="17"/>
  </r>
  <r>
    <x v="56"/>
  </r>
  <r>
    <x v="25"/>
  </r>
  <r>
    <x v="12"/>
  </r>
  <r>
    <x v="12"/>
  </r>
  <r>
    <x v="123"/>
  </r>
  <r>
    <x v="37"/>
  </r>
  <r>
    <x v="123"/>
  </r>
  <r>
    <x v="123"/>
  </r>
  <r>
    <x v="7"/>
  </r>
  <r>
    <x v="62"/>
  </r>
  <r>
    <x v="87"/>
  </r>
  <r>
    <x v="25"/>
  </r>
  <r>
    <x v="0"/>
  </r>
  <r>
    <x v="16"/>
  </r>
  <r>
    <x v="10"/>
  </r>
  <r>
    <x v="123"/>
  </r>
  <r>
    <x v="4"/>
  </r>
  <r>
    <x v="16"/>
  </r>
  <r>
    <x v="16"/>
  </r>
  <r>
    <x v="10"/>
  </r>
  <r>
    <x v="10"/>
  </r>
  <r>
    <x v="10"/>
  </r>
  <r>
    <x v="10"/>
  </r>
  <r>
    <x v="10"/>
  </r>
  <r>
    <x v="126"/>
  </r>
  <r>
    <x v="126"/>
  </r>
  <r>
    <x v="10"/>
  </r>
  <r>
    <x v="4"/>
  </r>
  <r>
    <x v="16"/>
  </r>
  <r>
    <x v="45"/>
  </r>
  <r>
    <x v="22"/>
  </r>
  <r>
    <x v="7"/>
  </r>
  <r>
    <x v="7"/>
  </r>
  <r>
    <x v="19"/>
  </r>
  <r>
    <x v="24"/>
  </r>
  <r>
    <x v="16"/>
  </r>
  <r>
    <x v="37"/>
  </r>
  <r>
    <x v="2"/>
  </r>
  <r>
    <x v="71"/>
  </r>
  <r>
    <x v="12"/>
  </r>
  <r>
    <x v="59"/>
  </r>
  <r>
    <x v="9"/>
  </r>
  <r>
    <x v="16"/>
  </r>
  <r>
    <x v="12"/>
  </r>
  <r>
    <x v="25"/>
  </r>
  <r>
    <x v="19"/>
  </r>
  <r>
    <x v="2"/>
  </r>
  <r>
    <x v="16"/>
  </r>
  <r>
    <x v="162"/>
  </r>
  <r>
    <x v="71"/>
  </r>
  <r>
    <x v="71"/>
  </r>
  <r>
    <x v="71"/>
  </r>
  <r>
    <x v="25"/>
  </r>
  <r>
    <x v="12"/>
  </r>
  <r>
    <x v="12"/>
  </r>
  <r>
    <x v="14"/>
  </r>
  <r>
    <x v="0"/>
  </r>
  <r>
    <x v="0"/>
  </r>
  <r>
    <x v="24"/>
  </r>
  <r>
    <x v="152"/>
  </r>
  <r>
    <x v="2"/>
  </r>
  <r>
    <x v="28"/>
  </r>
  <r>
    <x v="12"/>
  </r>
  <r>
    <x v="12"/>
  </r>
  <r>
    <x v="22"/>
  </r>
  <r>
    <x v="10"/>
  </r>
  <r>
    <x v="11"/>
  </r>
  <r>
    <x v="16"/>
  </r>
  <r>
    <x v="4"/>
  </r>
  <r>
    <x v="19"/>
  </r>
  <r>
    <x v="4"/>
  </r>
  <r>
    <x v="42"/>
  </r>
  <r>
    <x v="4"/>
  </r>
  <r>
    <x v="4"/>
  </r>
  <r>
    <x v="71"/>
  </r>
  <r>
    <x v="1"/>
  </r>
  <r>
    <x v="42"/>
  </r>
  <r>
    <x v="0"/>
  </r>
  <r>
    <x v="2"/>
  </r>
  <r>
    <x v="4"/>
  </r>
  <r>
    <x v="162"/>
  </r>
  <r>
    <x v="22"/>
  </r>
  <r>
    <x v="16"/>
  </r>
  <r>
    <x v="2"/>
  </r>
  <r>
    <x v="42"/>
  </r>
  <r>
    <x v="42"/>
  </r>
  <r>
    <x v="12"/>
  </r>
  <r>
    <x v="51"/>
  </r>
  <r>
    <x v="72"/>
  </r>
  <r>
    <x v="76"/>
  </r>
  <r>
    <x v="76"/>
  </r>
  <r>
    <x v="4"/>
  </r>
  <r>
    <x v="12"/>
  </r>
  <r>
    <x v="42"/>
  </r>
  <r>
    <x v="42"/>
  </r>
  <r>
    <x v="42"/>
  </r>
  <r>
    <x v="10"/>
  </r>
  <r>
    <x v="71"/>
  </r>
  <r>
    <x v="71"/>
  </r>
  <r>
    <x v="42"/>
  </r>
  <r>
    <x v="169"/>
  </r>
  <r>
    <x v="169"/>
  </r>
  <r>
    <x v="123"/>
  </r>
  <r>
    <x v="42"/>
  </r>
  <r>
    <x v="42"/>
  </r>
  <r>
    <x v="42"/>
  </r>
  <r>
    <x v="4"/>
  </r>
  <r>
    <x v="11"/>
  </r>
  <r>
    <x v="34"/>
  </r>
  <r>
    <x v="2"/>
  </r>
  <r>
    <x v="64"/>
  </r>
  <r>
    <x v="0"/>
  </r>
  <r>
    <x v="63"/>
  </r>
  <r>
    <x v="63"/>
  </r>
  <r>
    <x v="48"/>
  </r>
  <r>
    <x v="48"/>
  </r>
  <r>
    <x v="48"/>
  </r>
  <r>
    <x v="0"/>
  </r>
  <r>
    <x v="0"/>
  </r>
  <r>
    <x v="48"/>
  </r>
  <r>
    <x v="48"/>
  </r>
  <r>
    <x v="28"/>
  </r>
  <r>
    <x v="22"/>
  </r>
  <r>
    <x v="22"/>
  </r>
  <r>
    <x v="165"/>
  </r>
  <r>
    <x v="12"/>
  </r>
  <r>
    <x v="4"/>
  </r>
  <r>
    <x v="57"/>
  </r>
  <r>
    <x v="4"/>
  </r>
  <r>
    <x v="63"/>
  </r>
  <r>
    <x v="9"/>
  </r>
  <r>
    <x v="10"/>
  </r>
  <r>
    <x v="10"/>
  </r>
  <r>
    <x v="10"/>
  </r>
  <r>
    <x v="4"/>
  </r>
  <r>
    <x v="10"/>
  </r>
  <r>
    <x v="21"/>
  </r>
  <r>
    <x v="12"/>
  </r>
  <r>
    <x v="64"/>
  </r>
  <r>
    <x v="24"/>
  </r>
  <r>
    <x v="138"/>
  </r>
  <r>
    <x v="17"/>
  </r>
  <r>
    <x v="12"/>
  </r>
  <r>
    <x v="76"/>
  </r>
  <r>
    <x v="98"/>
  </r>
  <r>
    <x v="0"/>
  </r>
  <r>
    <x v="42"/>
  </r>
  <r>
    <x v="59"/>
  </r>
  <r>
    <x v="10"/>
  </r>
  <r>
    <x v="12"/>
  </r>
  <r>
    <x v="12"/>
  </r>
  <r>
    <x v="12"/>
  </r>
  <r>
    <x v="36"/>
  </r>
  <r>
    <x v="0"/>
  </r>
  <r>
    <x v="14"/>
  </r>
  <r>
    <x v="14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27"/>
  </r>
  <r>
    <x v="27"/>
  </r>
  <r>
    <x v="27"/>
  </r>
  <r>
    <x v="27"/>
  </r>
  <r>
    <x v="27"/>
  </r>
  <r>
    <x v="31"/>
  </r>
  <r>
    <x v="14"/>
  </r>
  <r>
    <x v="14"/>
  </r>
  <r>
    <x v="9"/>
  </r>
  <r>
    <x v="9"/>
  </r>
  <r>
    <x v="10"/>
  </r>
  <r>
    <x v="28"/>
  </r>
  <r>
    <x v="152"/>
  </r>
  <r>
    <x v="48"/>
  </r>
  <r>
    <x v="4"/>
  </r>
  <r>
    <x v="9"/>
  </r>
  <r>
    <x v="29"/>
  </r>
  <r>
    <x v="24"/>
  </r>
  <r>
    <x v="4"/>
  </r>
  <r>
    <x v="4"/>
  </r>
  <r>
    <x v="57"/>
  </r>
  <r>
    <x v="0"/>
  </r>
  <r>
    <x v="78"/>
  </r>
  <r>
    <x v="4"/>
  </r>
  <r>
    <x v="53"/>
  </r>
  <r>
    <x v="4"/>
  </r>
  <r>
    <x v="4"/>
  </r>
  <r>
    <x v="10"/>
  </r>
  <r>
    <x v="19"/>
  </r>
  <r>
    <x v="19"/>
  </r>
  <r>
    <x v="19"/>
  </r>
  <r>
    <x v="24"/>
  </r>
  <r>
    <x v="24"/>
  </r>
  <r>
    <x v="24"/>
  </r>
  <r>
    <x v="16"/>
  </r>
  <r>
    <x v="24"/>
  </r>
  <r>
    <x v="24"/>
  </r>
  <r>
    <x v="24"/>
  </r>
  <r>
    <x v="29"/>
  </r>
  <r>
    <x v="169"/>
  </r>
  <r>
    <x v="169"/>
  </r>
  <r>
    <x v="24"/>
  </r>
  <r>
    <x v="16"/>
  </r>
  <r>
    <x v="16"/>
  </r>
  <r>
    <x v="24"/>
  </r>
  <r>
    <x v="21"/>
  </r>
  <r>
    <x v="57"/>
  </r>
  <r>
    <x v="21"/>
  </r>
  <r>
    <x v="21"/>
  </r>
  <r>
    <x v="24"/>
  </r>
  <r>
    <x v="16"/>
  </r>
  <r>
    <x v="16"/>
  </r>
  <r>
    <x v="16"/>
  </r>
  <r>
    <x v="16"/>
  </r>
  <r>
    <x v="16"/>
  </r>
  <r>
    <x v="16"/>
  </r>
  <r>
    <x v="16"/>
  </r>
  <r>
    <x v="14"/>
  </r>
  <r>
    <x v="123"/>
  </r>
  <r>
    <x v="169"/>
  </r>
  <r>
    <x v="12"/>
  </r>
  <r>
    <x v="1"/>
  </r>
  <r>
    <x v="12"/>
  </r>
  <r>
    <x v="16"/>
  </r>
  <r>
    <x v="14"/>
  </r>
  <r>
    <x v="16"/>
  </r>
  <r>
    <x v="14"/>
  </r>
  <r>
    <x v="71"/>
  </r>
  <r>
    <x v="19"/>
  </r>
  <r>
    <x v="19"/>
  </r>
  <r>
    <x v="16"/>
  </r>
  <r>
    <x v="16"/>
  </r>
  <r>
    <x v="16"/>
  </r>
  <r>
    <x v="16"/>
  </r>
  <r>
    <x v="24"/>
  </r>
  <r>
    <x v="24"/>
  </r>
  <r>
    <x v="45"/>
  </r>
  <r>
    <x v="45"/>
  </r>
  <r>
    <x v="45"/>
  </r>
  <r>
    <x v="45"/>
  </r>
  <r>
    <x v="45"/>
  </r>
  <r>
    <x v="0"/>
  </r>
  <r>
    <x v="7"/>
  </r>
  <r>
    <x v="28"/>
  </r>
  <r>
    <x v="28"/>
  </r>
  <r>
    <x v="115"/>
  </r>
  <r>
    <x v="11"/>
  </r>
  <r>
    <x v="45"/>
  </r>
  <r>
    <x v="4"/>
  </r>
  <r>
    <x v="36"/>
  </r>
  <r>
    <x v="24"/>
  </r>
  <r>
    <x v="24"/>
  </r>
  <r>
    <x v="19"/>
  </r>
  <r>
    <x v="16"/>
  </r>
  <r>
    <x v="16"/>
  </r>
  <r>
    <x v="16"/>
  </r>
  <r>
    <x v="16"/>
  </r>
  <r>
    <x v="24"/>
  </r>
  <r>
    <x v="10"/>
  </r>
  <r>
    <x v="10"/>
  </r>
  <r>
    <x v="87"/>
  </r>
  <r>
    <x v="68"/>
  </r>
  <r>
    <x v="24"/>
  </r>
  <r>
    <x v="24"/>
  </r>
  <r>
    <x v="16"/>
  </r>
  <r>
    <x v="16"/>
  </r>
  <r>
    <x v="31"/>
  </r>
  <r>
    <x v="0"/>
  </r>
  <r>
    <x v="45"/>
  </r>
  <r>
    <x v="12"/>
  </r>
  <r>
    <x v="0"/>
  </r>
  <r>
    <x v="0"/>
  </r>
  <r>
    <x v="28"/>
  </r>
  <r>
    <x v="28"/>
  </r>
  <r>
    <x v="19"/>
  </r>
  <r>
    <x v="14"/>
  </r>
  <r>
    <x v="112"/>
  </r>
  <r>
    <x v="112"/>
  </r>
  <r>
    <x v="112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24"/>
  </r>
  <r>
    <x v="24"/>
  </r>
  <r>
    <x v="24"/>
  </r>
  <r>
    <x v="24"/>
  </r>
  <r>
    <x v="24"/>
  </r>
  <r>
    <x v="0"/>
  </r>
  <r>
    <x v="0"/>
  </r>
  <r>
    <x v="0"/>
  </r>
  <r>
    <x v="0"/>
  </r>
  <r>
    <x v="0"/>
  </r>
  <r>
    <x v="0"/>
  </r>
  <r>
    <x v="29"/>
  </r>
  <r>
    <x v="29"/>
  </r>
  <r>
    <x v="0"/>
  </r>
  <r>
    <x v="29"/>
  </r>
  <r>
    <x v="16"/>
  </r>
  <r>
    <x v="16"/>
  </r>
  <r>
    <x v="16"/>
  </r>
  <r>
    <x v="16"/>
  </r>
  <r>
    <x v="16"/>
  </r>
  <r>
    <x v="16"/>
  </r>
  <r>
    <x v="24"/>
  </r>
  <r>
    <x v="24"/>
  </r>
  <r>
    <x v="24"/>
  </r>
  <r>
    <x v="24"/>
  </r>
  <r>
    <x v="24"/>
  </r>
  <r>
    <x v="16"/>
  </r>
  <r>
    <x v="16"/>
  </r>
  <r>
    <x v="14"/>
  </r>
  <r>
    <x v="24"/>
  </r>
  <r>
    <x v="24"/>
  </r>
  <r>
    <x v="24"/>
  </r>
  <r>
    <x v="152"/>
  </r>
  <r>
    <x v="152"/>
  </r>
  <r>
    <x v="152"/>
  </r>
  <r>
    <x v="6"/>
  </r>
  <r>
    <x v="19"/>
  </r>
  <r>
    <x v="19"/>
  </r>
  <r>
    <x v="19"/>
  </r>
  <r>
    <x v="56"/>
  </r>
  <r>
    <x v="56"/>
  </r>
  <r>
    <x v="56"/>
  </r>
  <r>
    <x v="14"/>
  </r>
  <r>
    <x v="53"/>
  </r>
  <r>
    <x v="24"/>
  </r>
  <r>
    <x v="16"/>
  </r>
  <r>
    <x v="19"/>
  </r>
  <r>
    <x v="4"/>
  </r>
  <r>
    <x v="4"/>
  </r>
  <r>
    <x v="56"/>
  </r>
  <r>
    <x v="56"/>
  </r>
  <r>
    <x v="56"/>
  </r>
  <r>
    <x v="56"/>
  </r>
  <r>
    <x v="0"/>
  </r>
  <r>
    <x v="14"/>
  </r>
  <r>
    <x v="56"/>
  </r>
  <r>
    <x v="56"/>
  </r>
  <r>
    <x v="68"/>
  </r>
  <r>
    <x v="68"/>
  </r>
  <r>
    <x v="68"/>
  </r>
  <r>
    <x v="68"/>
  </r>
  <r>
    <x v="14"/>
  </r>
  <r>
    <x v="14"/>
  </r>
  <r>
    <x v="14"/>
  </r>
  <r>
    <x v="14"/>
  </r>
  <r>
    <x v="56"/>
  </r>
  <r>
    <x v="27"/>
  </r>
  <r>
    <x v="27"/>
  </r>
  <r>
    <x v="28"/>
  </r>
  <r>
    <x v="56"/>
  </r>
  <r>
    <x v="56"/>
  </r>
  <r>
    <x v="0"/>
  </r>
  <r>
    <x v="24"/>
  </r>
  <r>
    <x v="14"/>
  </r>
  <r>
    <x v="28"/>
  </r>
  <r>
    <x v="21"/>
  </r>
  <r>
    <x v="14"/>
  </r>
  <r>
    <x v="14"/>
  </r>
  <r>
    <x v="14"/>
  </r>
  <r>
    <x v="4"/>
  </r>
  <r>
    <x v="4"/>
  </r>
  <r>
    <x v="4"/>
  </r>
  <r>
    <x v="4"/>
  </r>
  <r>
    <x v="29"/>
  </r>
  <r>
    <x v="14"/>
  </r>
  <r>
    <x v="14"/>
  </r>
  <r>
    <x v="34"/>
  </r>
  <r>
    <x v="17"/>
  </r>
  <r>
    <x v="53"/>
  </r>
  <r>
    <x v="12"/>
  </r>
  <r>
    <x v="9"/>
  </r>
  <r>
    <x v="43"/>
  </r>
  <r>
    <x v="7"/>
  </r>
  <r>
    <x v="71"/>
  </r>
  <r>
    <x v="16"/>
  </r>
  <r>
    <x v="4"/>
  </r>
  <r>
    <x v="14"/>
  </r>
  <r>
    <x v="14"/>
  </r>
  <r>
    <x v="4"/>
  </r>
  <r>
    <x v="4"/>
  </r>
  <r>
    <x v="16"/>
  </r>
  <r>
    <x v="14"/>
  </r>
  <r>
    <x v="14"/>
  </r>
  <r>
    <x v="4"/>
  </r>
  <r>
    <x v="4"/>
  </r>
  <r>
    <x v="4"/>
  </r>
  <r>
    <x v="14"/>
  </r>
  <r>
    <x v="28"/>
  </r>
  <r>
    <x v="68"/>
  </r>
  <r>
    <x v="68"/>
  </r>
  <r>
    <x v="68"/>
  </r>
  <r>
    <x v="22"/>
  </r>
  <r>
    <x v="16"/>
  </r>
  <r>
    <x v="75"/>
  </r>
  <r>
    <x v="75"/>
  </r>
  <r>
    <x v="75"/>
  </r>
  <r>
    <x v="56"/>
  </r>
  <r>
    <x v="12"/>
  </r>
  <r>
    <x v="56"/>
  </r>
  <r>
    <x v="12"/>
  </r>
  <r>
    <x v="11"/>
  </r>
  <r>
    <x v="9"/>
  </r>
  <r>
    <x v="12"/>
  </r>
  <r>
    <x v="16"/>
  </r>
  <r>
    <x v="9"/>
  </r>
  <r>
    <x v="22"/>
  </r>
  <r>
    <x v="57"/>
  </r>
  <r>
    <x v="57"/>
  </r>
  <r>
    <x v="56"/>
  </r>
  <r>
    <x v="56"/>
  </r>
  <r>
    <x v="71"/>
  </r>
  <r>
    <x v="71"/>
  </r>
  <r>
    <x v="71"/>
  </r>
  <r>
    <x v="71"/>
  </r>
  <r>
    <x v="71"/>
  </r>
  <r>
    <x v="24"/>
  </r>
  <r>
    <x v="19"/>
  </r>
  <r>
    <x v="19"/>
  </r>
  <r>
    <x v="19"/>
  </r>
  <r>
    <x v="19"/>
  </r>
  <r>
    <x v="19"/>
  </r>
  <r>
    <x v="22"/>
  </r>
  <r>
    <x v="22"/>
  </r>
  <r>
    <x v="22"/>
  </r>
  <r>
    <x v="31"/>
  </r>
  <r>
    <x v="19"/>
  </r>
  <r>
    <x v="16"/>
  </r>
  <r>
    <x v="14"/>
  </r>
  <r>
    <x v="14"/>
  </r>
  <r>
    <x v="22"/>
  </r>
  <r>
    <x v="22"/>
  </r>
  <r>
    <x v="14"/>
  </r>
  <r>
    <x v="123"/>
  </r>
  <r>
    <x v="123"/>
  </r>
  <r>
    <x v="28"/>
  </r>
  <r>
    <x v="28"/>
  </r>
  <r>
    <x v="28"/>
  </r>
  <r>
    <x v="16"/>
  </r>
  <r>
    <x v="21"/>
  </r>
  <r>
    <x v="22"/>
  </r>
  <r>
    <x v="29"/>
  </r>
  <r>
    <x v="71"/>
  </r>
  <r>
    <x v="71"/>
  </r>
  <r>
    <x v="71"/>
  </r>
  <r>
    <x v="8"/>
  </r>
  <r>
    <x v="57"/>
  </r>
  <r>
    <x v="57"/>
  </r>
  <r>
    <x v="56"/>
  </r>
  <r>
    <x v="56"/>
  </r>
  <r>
    <x v="71"/>
  </r>
  <r>
    <x v="71"/>
  </r>
  <r>
    <x v="56"/>
  </r>
  <r>
    <x v="71"/>
  </r>
  <r>
    <x v="71"/>
  </r>
  <r>
    <x v="71"/>
  </r>
  <r>
    <x v="56"/>
  </r>
  <r>
    <x v="29"/>
  </r>
  <r>
    <x v="29"/>
  </r>
  <r>
    <x v="29"/>
  </r>
  <r>
    <x v="14"/>
  </r>
  <r>
    <x v="14"/>
  </r>
  <r>
    <x v="14"/>
  </r>
  <r>
    <x v="19"/>
  </r>
  <r>
    <x v="19"/>
  </r>
  <r>
    <x v="143"/>
  </r>
  <r>
    <x v="143"/>
  </r>
  <r>
    <x v="123"/>
  </r>
  <r>
    <x v="31"/>
  </r>
  <r>
    <x v="71"/>
  </r>
  <r>
    <x v="28"/>
  </r>
  <r>
    <x v="14"/>
  </r>
  <r>
    <x v="14"/>
  </r>
  <r>
    <x v="14"/>
  </r>
  <r>
    <x v="42"/>
  </r>
  <r>
    <x v="42"/>
  </r>
  <r>
    <x v="8"/>
  </r>
  <r>
    <x v="55"/>
  </r>
  <r>
    <x v="29"/>
  </r>
  <r>
    <x v="71"/>
  </r>
  <r>
    <x v="16"/>
  </r>
  <r>
    <x v="16"/>
  </r>
  <r>
    <x v="16"/>
  </r>
  <r>
    <x v="53"/>
  </r>
  <r>
    <x v="71"/>
  </r>
  <r>
    <x v="33"/>
  </r>
  <r>
    <x v="6"/>
  </r>
  <r>
    <x v="19"/>
  </r>
  <r>
    <x v="19"/>
  </r>
  <r>
    <x v="28"/>
  </r>
  <r>
    <x v="14"/>
  </r>
  <r>
    <x v="42"/>
  </r>
  <r>
    <x v="9"/>
  </r>
  <r>
    <x v="87"/>
  </r>
  <r>
    <x v="12"/>
  </r>
  <r>
    <x v="12"/>
  </r>
  <r>
    <x v="12"/>
  </r>
  <r>
    <x v="175"/>
  </r>
  <r>
    <x v="48"/>
  </r>
  <r>
    <x v="11"/>
  </r>
  <r>
    <x v="21"/>
  </r>
  <r>
    <x v="31"/>
  </r>
  <r>
    <x v="14"/>
  </r>
  <r>
    <x v="19"/>
  </r>
  <r>
    <x v="123"/>
  </r>
  <r>
    <x v="28"/>
  </r>
  <r>
    <x v="28"/>
  </r>
  <r>
    <x v="28"/>
  </r>
  <r>
    <x v="4"/>
  </r>
  <r>
    <x v="22"/>
  </r>
  <r>
    <x v="22"/>
  </r>
  <r>
    <x v="12"/>
  </r>
  <r>
    <x v="14"/>
  </r>
  <r>
    <x v="16"/>
  </r>
  <r>
    <x v="10"/>
  </r>
  <r>
    <x v="42"/>
  </r>
  <r>
    <x v="42"/>
  </r>
  <r>
    <x v="57"/>
  </r>
  <r>
    <x v="57"/>
  </r>
  <r>
    <x v="16"/>
  </r>
  <r>
    <x v="57"/>
  </r>
  <r>
    <x v="9"/>
  </r>
  <r>
    <x v="71"/>
  </r>
  <r>
    <x v="57"/>
  </r>
  <r>
    <x v="57"/>
  </r>
  <r>
    <x v="45"/>
  </r>
  <r>
    <x v="56"/>
  </r>
  <r>
    <x v="4"/>
  </r>
  <r>
    <x v="19"/>
  </r>
  <r>
    <x v="19"/>
  </r>
  <r>
    <x v="9"/>
  </r>
  <r>
    <x v="79"/>
  </r>
  <r>
    <x v="71"/>
  </r>
  <r>
    <x v="16"/>
  </r>
  <r>
    <x v="16"/>
  </r>
  <r>
    <x v="16"/>
  </r>
  <r>
    <x v="53"/>
  </r>
  <r>
    <x v="16"/>
  </r>
  <r>
    <x v="28"/>
  </r>
  <r>
    <x v="22"/>
  </r>
  <r>
    <x v="33"/>
  </r>
  <r>
    <x v="53"/>
  </r>
  <r>
    <x v="33"/>
  </r>
  <r>
    <x v="4"/>
  </r>
  <r>
    <x v="4"/>
  </r>
  <r>
    <x v="14"/>
  </r>
  <r>
    <x v="14"/>
  </r>
  <r>
    <x v="14"/>
  </r>
  <r>
    <x v="53"/>
  </r>
  <r>
    <x v="48"/>
  </r>
  <r>
    <x v="14"/>
  </r>
  <r>
    <x v="14"/>
  </r>
  <r>
    <x v="14"/>
  </r>
  <r>
    <x v="14"/>
  </r>
  <r>
    <x v="12"/>
  </r>
  <r>
    <x v="12"/>
  </r>
  <r>
    <x v="71"/>
  </r>
  <r>
    <x v="22"/>
  </r>
  <r>
    <x v="12"/>
  </r>
  <r>
    <x v="12"/>
  </r>
  <r>
    <x v="2"/>
  </r>
  <r>
    <x v="14"/>
  </r>
  <r>
    <x v="14"/>
  </r>
  <r>
    <x v="14"/>
  </r>
  <r>
    <x v="14"/>
  </r>
  <r>
    <x v="14"/>
  </r>
  <r>
    <x v="14"/>
  </r>
  <r>
    <x v="16"/>
  </r>
  <r>
    <x v="2"/>
  </r>
  <r>
    <x v="45"/>
  </r>
  <r>
    <x v="14"/>
  </r>
  <r>
    <x v="14"/>
  </r>
  <r>
    <x v="14"/>
  </r>
  <r>
    <x v="29"/>
  </r>
  <r>
    <x v="93"/>
  </r>
  <r>
    <x v="42"/>
  </r>
  <r>
    <x v="100"/>
  </r>
  <r>
    <x v="14"/>
  </r>
  <r>
    <x v="14"/>
  </r>
  <r>
    <x v="22"/>
  </r>
  <r>
    <x v="14"/>
  </r>
  <r>
    <x v="53"/>
  </r>
  <r>
    <x v="71"/>
  </r>
  <r>
    <x v="143"/>
  </r>
  <r>
    <x v="53"/>
  </r>
  <r>
    <x v="14"/>
  </r>
  <r>
    <x v="14"/>
  </r>
  <r>
    <x v="53"/>
  </r>
  <r>
    <x v="143"/>
  </r>
  <r>
    <x v="53"/>
  </r>
  <r>
    <x v="143"/>
  </r>
  <r>
    <x v="14"/>
  </r>
  <r>
    <x v="14"/>
  </r>
  <r>
    <x v="14"/>
  </r>
  <r>
    <x v="141"/>
  </r>
  <r>
    <x v="141"/>
  </r>
  <r>
    <x v="141"/>
  </r>
  <r>
    <x v="71"/>
  </r>
  <r>
    <x v="53"/>
  </r>
  <r>
    <x v="17"/>
  </r>
  <r>
    <x v="17"/>
  </r>
  <r>
    <x v="4"/>
  </r>
  <r>
    <x v="4"/>
  </r>
  <r>
    <x v="141"/>
  </r>
  <r>
    <x v="141"/>
  </r>
  <r>
    <x v="141"/>
  </r>
  <r>
    <x v="141"/>
  </r>
  <r>
    <x v="53"/>
  </r>
  <r>
    <x v="143"/>
  </r>
  <r>
    <x v="17"/>
  </r>
  <r>
    <x v="17"/>
  </r>
  <r>
    <x v="22"/>
  </r>
  <r>
    <x v="12"/>
  </r>
  <r>
    <x v="17"/>
  </r>
  <r>
    <x v="17"/>
  </r>
  <r>
    <x v="17"/>
  </r>
  <r>
    <x v="17"/>
  </r>
  <r>
    <x v="17"/>
  </r>
  <r>
    <x v="4"/>
  </r>
  <r>
    <x v="4"/>
  </r>
  <r>
    <x v="57"/>
  </r>
  <r>
    <x v="71"/>
  </r>
  <r>
    <x v="14"/>
  </r>
  <r>
    <x v="123"/>
  </r>
  <r>
    <x v="141"/>
  </r>
  <r>
    <x v="141"/>
  </r>
  <r>
    <x v="169"/>
  </r>
  <r>
    <x v="42"/>
  </r>
  <r>
    <x v="42"/>
  </r>
  <r>
    <x v="42"/>
  </r>
  <r>
    <x v="79"/>
  </r>
  <r>
    <x v="79"/>
  </r>
  <r>
    <x v="79"/>
  </r>
  <r>
    <x v="169"/>
  </r>
  <r>
    <x v="169"/>
  </r>
  <r>
    <x v="169"/>
  </r>
  <r>
    <x v="22"/>
  </r>
  <r>
    <x v="141"/>
  </r>
  <r>
    <x v="28"/>
  </r>
  <r>
    <x v="175"/>
  </r>
  <r>
    <x v="28"/>
  </r>
  <r>
    <x v="28"/>
  </r>
  <r>
    <x v="29"/>
  </r>
  <r>
    <x v="29"/>
  </r>
  <r>
    <x v="28"/>
  </r>
  <r>
    <x v="56"/>
  </r>
  <r>
    <x v="56"/>
  </r>
  <r>
    <x v="56"/>
  </r>
  <r>
    <x v="45"/>
  </r>
  <r>
    <x v="28"/>
  </r>
  <r>
    <x v="7"/>
  </r>
  <r>
    <x v="7"/>
  </r>
  <r>
    <x v="22"/>
  </r>
  <r>
    <x v="22"/>
  </r>
  <r>
    <x v="14"/>
  </r>
  <r>
    <x v="14"/>
  </r>
  <r>
    <x v="56"/>
  </r>
  <r>
    <x v="56"/>
  </r>
  <r>
    <x v="7"/>
  </r>
  <r>
    <x v="28"/>
  </r>
  <r>
    <x v="54"/>
  </r>
  <r>
    <x v="14"/>
  </r>
  <r>
    <x v="14"/>
  </r>
  <r>
    <x v="14"/>
  </r>
  <r>
    <x v="29"/>
  </r>
  <r>
    <x v="56"/>
  </r>
  <r>
    <x v="56"/>
  </r>
  <r>
    <x v="56"/>
  </r>
  <r>
    <x v="56"/>
  </r>
  <r>
    <x v="16"/>
  </r>
  <r>
    <x v="16"/>
  </r>
  <r>
    <x v="160"/>
  </r>
  <r>
    <x v="55"/>
  </r>
  <r>
    <x v="11"/>
  </r>
  <r>
    <x v="54"/>
  </r>
  <r>
    <x v="54"/>
  </r>
  <r>
    <x v="54"/>
  </r>
  <r>
    <x v="54"/>
  </r>
  <r>
    <x v="56"/>
  </r>
  <r>
    <x v="56"/>
  </r>
  <r>
    <x v="56"/>
  </r>
  <r>
    <x v="56"/>
  </r>
  <r>
    <x v="160"/>
  </r>
  <r>
    <x v="160"/>
  </r>
  <r>
    <x v="160"/>
  </r>
  <r>
    <x v="15"/>
  </r>
  <r>
    <x v="53"/>
  </r>
  <r>
    <x v="15"/>
  </r>
  <r>
    <x v="37"/>
  </r>
  <r>
    <x v="56"/>
  </r>
  <r>
    <x v="54"/>
  </r>
  <r>
    <x v="160"/>
  </r>
  <r>
    <x v="54"/>
  </r>
  <r>
    <x v="15"/>
  </r>
  <r>
    <x v="46"/>
  </r>
  <r>
    <x v="46"/>
  </r>
  <r>
    <x v="46"/>
  </r>
  <r>
    <x v="28"/>
  </r>
  <r>
    <x v="86"/>
  </r>
  <r>
    <x v="160"/>
  </r>
  <r>
    <x v="19"/>
  </r>
  <r>
    <x v="15"/>
  </r>
  <r>
    <x v="14"/>
  </r>
  <r>
    <x v="42"/>
  </r>
  <r>
    <x v="56"/>
  </r>
  <r>
    <x v="42"/>
  </r>
  <r>
    <x v="42"/>
  </r>
  <r>
    <x v="29"/>
  </r>
  <r>
    <x v="4"/>
  </r>
  <r>
    <x v="56"/>
  </r>
  <r>
    <x v="16"/>
  </r>
  <r>
    <x v="16"/>
  </r>
  <r>
    <x v="16"/>
  </r>
  <r>
    <x v="16"/>
  </r>
  <r>
    <x v="16"/>
  </r>
  <r>
    <x v="16"/>
  </r>
  <r>
    <x v="16"/>
  </r>
  <r>
    <x v="16"/>
  </r>
  <r>
    <x v="123"/>
  </r>
  <r>
    <x v="123"/>
  </r>
  <r>
    <x v="123"/>
  </r>
  <r>
    <x v="123"/>
  </r>
  <r>
    <x v="45"/>
  </r>
  <r>
    <x v="11"/>
  </r>
  <r>
    <x v="55"/>
  </r>
  <r>
    <x v="4"/>
  </r>
  <r>
    <x v="4"/>
  </r>
  <r>
    <x v="45"/>
  </r>
  <r>
    <x v="123"/>
  </r>
  <r>
    <x v="123"/>
  </r>
  <r>
    <x v="12"/>
  </r>
  <r>
    <x v="28"/>
  </r>
  <r>
    <x v="16"/>
  </r>
  <r>
    <x v="42"/>
  </r>
  <r>
    <x v="29"/>
  </r>
  <r>
    <x v="12"/>
  </r>
  <r>
    <x v="12"/>
  </r>
  <r>
    <x v="12"/>
  </r>
  <r>
    <x v="28"/>
  </r>
  <r>
    <x v="1"/>
  </r>
  <r>
    <x v="24"/>
  </r>
  <r>
    <x v="55"/>
  </r>
  <r>
    <x v="6"/>
  </r>
  <r>
    <x v="24"/>
  </r>
  <r>
    <x v="28"/>
  </r>
  <r>
    <x v="28"/>
  </r>
  <r>
    <x v="28"/>
  </r>
  <r>
    <x v="7"/>
  </r>
  <r>
    <x v="22"/>
  </r>
  <r>
    <x v="14"/>
  </r>
  <r>
    <x v="42"/>
  </r>
  <r>
    <x v="14"/>
  </r>
  <r>
    <x v="19"/>
  </r>
  <r>
    <x v="16"/>
  </r>
  <r>
    <x v="28"/>
  </r>
  <r>
    <x v="42"/>
  </r>
  <r>
    <x v="42"/>
  </r>
  <r>
    <x v="42"/>
  </r>
  <r>
    <x v="160"/>
  </r>
  <r>
    <x v="12"/>
  </r>
  <r>
    <x v="9"/>
  </r>
  <r>
    <x v="78"/>
  </r>
  <r>
    <x v="11"/>
  </r>
  <r>
    <x v="11"/>
  </r>
  <r>
    <x v="27"/>
  </r>
  <r>
    <x v="14"/>
  </r>
  <r>
    <x v="16"/>
  </r>
  <r>
    <x v="2"/>
  </r>
  <r>
    <x v="53"/>
  </r>
  <r>
    <x v="2"/>
  </r>
  <r>
    <x v="16"/>
  </r>
  <r>
    <x v="2"/>
  </r>
  <r>
    <x v="16"/>
  </r>
  <r>
    <x v="19"/>
  </r>
  <r>
    <x v="14"/>
  </r>
  <r>
    <x v="14"/>
  </r>
  <r>
    <x v="37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25"/>
  </r>
  <r>
    <x v="160"/>
  </r>
  <r>
    <x v="28"/>
  </r>
  <r>
    <x v="4"/>
  </r>
  <r>
    <x v="183"/>
  </r>
  <r>
    <x v="19"/>
  </r>
  <r>
    <x v="12"/>
  </r>
  <r>
    <x v="12"/>
  </r>
  <r>
    <x v="6"/>
  </r>
  <r>
    <x v="42"/>
  </r>
  <r>
    <x v="42"/>
  </r>
  <r>
    <x v="81"/>
  </r>
  <r>
    <x v="10"/>
  </r>
  <r>
    <x v="19"/>
  </r>
  <r>
    <x v="27"/>
  </r>
  <r>
    <x v="42"/>
  </r>
  <r>
    <x v="42"/>
  </r>
  <r>
    <x v="42"/>
  </r>
  <r>
    <x v="19"/>
  </r>
  <r>
    <x v="19"/>
  </r>
  <r>
    <x v="160"/>
  </r>
  <r>
    <x v="14"/>
  </r>
  <r>
    <x v="14"/>
  </r>
  <r>
    <x v="100"/>
  </r>
  <r>
    <x v="28"/>
  </r>
  <r>
    <x v="9"/>
  </r>
  <r>
    <x v="9"/>
  </r>
  <r>
    <x v="21"/>
  </r>
  <r>
    <x v="21"/>
  </r>
  <r>
    <x v="21"/>
  </r>
  <r>
    <x v="21"/>
  </r>
  <r>
    <x v="1"/>
  </r>
  <r>
    <x v="4"/>
  </r>
  <r>
    <x v="4"/>
  </r>
  <r>
    <x v="56"/>
  </r>
  <r>
    <x v="25"/>
  </r>
  <r>
    <x v="25"/>
  </r>
  <r>
    <x v="25"/>
  </r>
  <r>
    <x v="54"/>
  </r>
  <r>
    <x v="54"/>
  </r>
  <r>
    <x v="123"/>
  </r>
  <r>
    <x v="7"/>
  </r>
  <r>
    <x v="54"/>
  </r>
  <r>
    <x v="37"/>
  </r>
  <r>
    <x v="57"/>
  </r>
  <r>
    <x v="57"/>
  </r>
  <r>
    <x v="57"/>
  </r>
  <r>
    <x v="57"/>
  </r>
  <r>
    <x v="57"/>
  </r>
  <r>
    <x v="42"/>
  </r>
  <r>
    <x v="115"/>
  </r>
  <r>
    <x v="115"/>
  </r>
  <r>
    <x v="52"/>
  </r>
  <r>
    <x v="9"/>
  </r>
  <r>
    <x v="19"/>
  </r>
  <r>
    <x v="21"/>
  </r>
  <r>
    <x v="21"/>
  </r>
  <r>
    <x v="2"/>
  </r>
  <r>
    <x v="16"/>
  </r>
  <r>
    <x v="11"/>
  </r>
  <r>
    <x v="16"/>
  </r>
  <r>
    <x v="16"/>
  </r>
  <r>
    <x v="16"/>
  </r>
  <r>
    <x v="16"/>
  </r>
  <r>
    <x v="16"/>
  </r>
  <r>
    <x v="1"/>
  </r>
  <r>
    <x v="16"/>
  </r>
  <r>
    <x v="16"/>
  </r>
  <r>
    <x v="16"/>
  </r>
  <r>
    <x v="28"/>
  </r>
  <r>
    <x v="28"/>
  </r>
  <r>
    <x v="4"/>
  </r>
  <r>
    <x v="184"/>
  </r>
  <r>
    <x v="14"/>
  </r>
  <r>
    <x v="14"/>
  </r>
  <r>
    <x v="184"/>
  </r>
  <r>
    <x v="12"/>
  </r>
  <r>
    <x v="45"/>
  </r>
  <r>
    <x v="81"/>
  </r>
  <r>
    <x v="37"/>
  </r>
  <r>
    <x v="17"/>
  </r>
  <r>
    <x v="42"/>
  </r>
  <r>
    <x v="28"/>
  </r>
  <r>
    <x v="4"/>
  </r>
  <r>
    <x v="19"/>
  </r>
  <r>
    <x v="42"/>
  </r>
  <r>
    <x v="21"/>
  </r>
  <r>
    <x v="10"/>
  </r>
  <r>
    <x v="37"/>
  </r>
  <r>
    <x v="37"/>
  </r>
  <r>
    <x v="37"/>
  </r>
  <r>
    <x v="48"/>
  </r>
  <r>
    <x v="16"/>
  </r>
  <r>
    <x v="8"/>
  </r>
  <r>
    <x v="8"/>
  </r>
  <r>
    <x v="8"/>
  </r>
  <r>
    <x v="8"/>
  </r>
  <r>
    <x v="4"/>
  </r>
  <r>
    <x v="4"/>
  </r>
  <r>
    <x v="16"/>
  </r>
  <r>
    <x v="62"/>
  </r>
  <r>
    <x v="21"/>
  </r>
  <r>
    <x v="8"/>
  </r>
  <r>
    <x v="8"/>
  </r>
  <r>
    <x v="25"/>
  </r>
  <r>
    <x v="53"/>
  </r>
  <r>
    <x v="87"/>
  </r>
  <r>
    <x v="87"/>
  </r>
  <r>
    <x v="46"/>
  </r>
  <r>
    <x v="68"/>
  </r>
  <r>
    <x v="16"/>
  </r>
  <r>
    <x v="16"/>
  </r>
  <r>
    <x v="14"/>
  </r>
  <r>
    <x v="77"/>
  </r>
  <r>
    <x v="11"/>
  </r>
  <r>
    <x v="11"/>
  </r>
  <r>
    <x v="0"/>
  </r>
  <r>
    <x v="45"/>
  </r>
  <r>
    <x v="78"/>
  </r>
  <r>
    <x v="78"/>
  </r>
  <r>
    <x v="37"/>
  </r>
  <r>
    <x v="37"/>
  </r>
  <r>
    <x v="16"/>
  </r>
  <r>
    <x v="16"/>
  </r>
  <r>
    <x v="28"/>
  </r>
  <r>
    <x v="16"/>
  </r>
  <r>
    <x v="16"/>
  </r>
  <r>
    <x v="16"/>
  </r>
  <r>
    <x v="16"/>
  </r>
  <r>
    <x v="28"/>
  </r>
  <r>
    <x v="28"/>
  </r>
  <r>
    <x v="16"/>
  </r>
  <r>
    <x v="45"/>
  </r>
  <r>
    <x v="42"/>
  </r>
  <r>
    <x v="69"/>
  </r>
  <r>
    <x v="69"/>
  </r>
  <r>
    <x v="12"/>
  </r>
  <r>
    <x v="12"/>
  </r>
  <r>
    <x v="42"/>
  </r>
  <r>
    <x v="12"/>
  </r>
  <r>
    <x v="12"/>
  </r>
  <r>
    <x v="42"/>
  </r>
  <r>
    <x v="42"/>
  </r>
  <r>
    <x v="42"/>
  </r>
  <r>
    <x v="42"/>
  </r>
  <r>
    <x v="14"/>
  </r>
  <r>
    <x v="12"/>
  </r>
  <r>
    <x v="130"/>
  </r>
  <r>
    <x v="12"/>
  </r>
  <r>
    <x v="52"/>
  </r>
  <r>
    <x v="52"/>
  </r>
  <r>
    <x v="52"/>
  </r>
  <r>
    <x v="52"/>
  </r>
  <r>
    <x v="16"/>
  </r>
  <r>
    <x v="46"/>
  </r>
  <r>
    <x v="21"/>
  </r>
  <r>
    <x v="16"/>
  </r>
  <r>
    <x v="16"/>
  </r>
  <r>
    <x v="21"/>
  </r>
  <r>
    <x v="57"/>
  </r>
  <r>
    <x v="165"/>
  </r>
  <r>
    <x v="10"/>
  </r>
  <r>
    <x v="10"/>
  </r>
  <r>
    <x v="10"/>
  </r>
  <r>
    <x v="10"/>
  </r>
  <r>
    <x v="10"/>
  </r>
  <r>
    <x v="1"/>
  </r>
  <r>
    <x v="0"/>
  </r>
  <r>
    <x v="75"/>
  </r>
  <r>
    <x v="64"/>
  </r>
  <r>
    <x v="64"/>
  </r>
  <r>
    <x v="64"/>
  </r>
  <r>
    <x v="28"/>
  </r>
  <r>
    <x v="28"/>
  </r>
  <r>
    <x v="14"/>
  </r>
  <r>
    <x v="16"/>
  </r>
  <r>
    <x v="8"/>
  </r>
  <r>
    <x v="8"/>
  </r>
  <r>
    <x v="1"/>
  </r>
  <r>
    <x v="16"/>
  </r>
  <r>
    <x v="16"/>
  </r>
  <r>
    <x v="16"/>
  </r>
  <r>
    <x v="16"/>
  </r>
  <r>
    <x v="1"/>
  </r>
  <r>
    <x v="185"/>
  </r>
  <r>
    <x v="16"/>
  </r>
  <r>
    <x v="16"/>
  </r>
  <r>
    <x v="42"/>
  </r>
  <r>
    <x v="16"/>
  </r>
  <r>
    <x v="45"/>
  </r>
  <r>
    <x v="64"/>
  </r>
  <r>
    <x v="69"/>
  </r>
  <r>
    <x v="68"/>
  </r>
  <r>
    <x v="15"/>
  </r>
  <r>
    <x v="10"/>
  </r>
  <r>
    <x v="16"/>
  </r>
  <r>
    <x v="14"/>
  </r>
  <r>
    <x v="52"/>
  </r>
  <r>
    <x v="52"/>
  </r>
  <r>
    <x v="16"/>
  </r>
  <r>
    <x v="16"/>
  </r>
  <r>
    <x v="143"/>
  </r>
  <r>
    <x v="62"/>
  </r>
  <r>
    <x v="46"/>
  </r>
  <r>
    <x v="4"/>
  </r>
  <r>
    <x v="16"/>
  </r>
  <r>
    <x v="57"/>
  </r>
  <r>
    <x v="55"/>
  </r>
  <r>
    <x v="130"/>
  </r>
  <r>
    <x v="9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"/>
  </r>
  <r>
    <x v="57"/>
  </r>
  <r>
    <x v="115"/>
  </r>
  <r>
    <x v="115"/>
  </r>
  <r>
    <x v="57"/>
  </r>
  <r>
    <x v="42"/>
  </r>
  <r>
    <x v="16"/>
  </r>
  <r>
    <x v="16"/>
  </r>
  <r>
    <x v="17"/>
  </r>
  <r>
    <x v="17"/>
  </r>
  <r>
    <x v="1"/>
  </r>
  <r>
    <x v="64"/>
  </r>
  <r>
    <x v="64"/>
  </r>
  <r>
    <x v="12"/>
  </r>
  <r>
    <x v="16"/>
  </r>
  <r>
    <x v="57"/>
  </r>
  <r>
    <x v="16"/>
  </r>
  <r>
    <x v="16"/>
  </r>
  <r>
    <x v="57"/>
  </r>
  <r>
    <x v="12"/>
  </r>
  <r>
    <x v="34"/>
  </r>
  <r>
    <x v="34"/>
  </r>
  <r>
    <x v="34"/>
  </r>
  <r>
    <x v="11"/>
  </r>
  <r>
    <x v="11"/>
  </r>
  <r>
    <x v="8"/>
  </r>
  <r>
    <x v="8"/>
  </r>
  <r>
    <x v="8"/>
  </r>
  <r>
    <x v="8"/>
  </r>
  <r>
    <x v="8"/>
  </r>
  <r>
    <x v="8"/>
  </r>
  <r>
    <x v="52"/>
  </r>
  <r>
    <x v="52"/>
  </r>
  <r>
    <x v="52"/>
  </r>
  <r>
    <x v="52"/>
  </r>
  <r>
    <x v="52"/>
  </r>
  <r>
    <x v="79"/>
  </r>
  <r>
    <x v="8"/>
  </r>
  <r>
    <x v="155"/>
  </r>
  <r>
    <x v="0"/>
  </r>
  <r>
    <x v="1"/>
  </r>
  <r>
    <x v="12"/>
  </r>
  <r>
    <x v="8"/>
  </r>
  <r>
    <x v="8"/>
  </r>
  <r>
    <x v="8"/>
  </r>
  <r>
    <x v="8"/>
  </r>
  <r>
    <x v="8"/>
  </r>
  <r>
    <x v="8"/>
  </r>
  <r>
    <x v="8"/>
  </r>
  <r>
    <x v="8"/>
  </r>
  <r>
    <x v="8"/>
  </r>
  <r>
    <x v="12"/>
  </r>
  <r>
    <x v="12"/>
  </r>
  <r>
    <x v="55"/>
  </r>
  <r>
    <x v="21"/>
  </r>
  <r>
    <x v="53"/>
  </r>
  <r>
    <x v="8"/>
  </r>
  <r>
    <x v="8"/>
  </r>
  <r>
    <x v="8"/>
  </r>
  <r>
    <x v="8"/>
  </r>
  <r>
    <x v="43"/>
  </r>
  <r>
    <x v="57"/>
  </r>
  <r>
    <x v="115"/>
  </r>
  <r>
    <x v="115"/>
  </r>
  <r>
    <x v="16"/>
  </r>
  <r>
    <x v="42"/>
  </r>
  <r>
    <x v="42"/>
  </r>
  <r>
    <x v="0"/>
  </r>
  <r>
    <x v="15"/>
  </r>
  <r>
    <x v="45"/>
  </r>
  <r>
    <x v="16"/>
  </r>
  <r>
    <x v="68"/>
  </r>
  <r>
    <x v="8"/>
  </r>
  <r>
    <x v="8"/>
  </r>
  <r>
    <x v="8"/>
  </r>
  <r>
    <x v="8"/>
  </r>
  <r>
    <x v="8"/>
  </r>
  <r>
    <x v="21"/>
  </r>
  <r>
    <x v="21"/>
  </r>
  <r>
    <x v="21"/>
  </r>
  <r>
    <x v="16"/>
  </r>
  <r>
    <x v="9"/>
  </r>
  <r>
    <x v="25"/>
  </r>
  <r>
    <x v="16"/>
  </r>
  <r>
    <x v="42"/>
  </r>
  <r>
    <x v="42"/>
  </r>
  <r>
    <x v="42"/>
  </r>
  <r>
    <x v="42"/>
  </r>
  <r>
    <x v="42"/>
  </r>
  <r>
    <x v="14"/>
  </r>
  <r>
    <x v="45"/>
  </r>
  <r>
    <x v="14"/>
  </r>
  <r>
    <x v="115"/>
  </r>
  <r>
    <x v="115"/>
  </r>
  <r>
    <x v="115"/>
  </r>
  <r>
    <x v="115"/>
  </r>
  <r>
    <x v="42"/>
  </r>
  <r>
    <x v="24"/>
  </r>
  <r>
    <x v="52"/>
  </r>
  <r>
    <x v="16"/>
  </r>
  <r>
    <x v="16"/>
  </r>
  <r>
    <x v="16"/>
  </r>
  <r>
    <x v="47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57"/>
  </r>
  <r>
    <x v="37"/>
  </r>
  <r>
    <x v="14"/>
  </r>
  <r>
    <x v="45"/>
  </r>
  <r>
    <x v="64"/>
  </r>
  <r>
    <x v="115"/>
  </r>
  <r>
    <x v="17"/>
  </r>
  <r>
    <x v="1"/>
  </r>
  <r>
    <x v="17"/>
  </r>
  <r>
    <x v="17"/>
  </r>
  <r>
    <x v="57"/>
  </r>
  <r>
    <x v="57"/>
  </r>
  <r>
    <x v="52"/>
  </r>
  <r>
    <x v="52"/>
  </r>
  <r>
    <x v="52"/>
  </r>
  <r>
    <x v="52"/>
  </r>
  <r>
    <x v="59"/>
  </r>
  <r>
    <x v="2"/>
  </r>
  <r>
    <x v="9"/>
  </r>
  <r>
    <x v="16"/>
  </r>
  <r>
    <x v="12"/>
  </r>
  <r>
    <x v="163"/>
  </r>
  <r>
    <x v="19"/>
  </r>
  <r>
    <x v="80"/>
  </r>
  <r>
    <x v="163"/>
  </r>
  <r>
    <x v="11"/>
  </r>
  <r>
    <x v="48"/>
  </r>
  <r>
    <x v="48"/>
  </r>
  <r>
    <x v="48"/>
  </r>
  <r>
    <x v="52"/>
  </r>
  <r>
    <x v="52"/>
  </r>
  <r>
    <x v="0"/>
  </r>
  <r>
    <x v="0"/>
  </r>
  <r>
    <x v="0"/>
  </r>
  <r>
    <x v="28"/>
  </r>
  <r>
    <x v="28"/>
  </r>
  <r>
    <x v="15"/>
  </r>
  <r>
    <x v="15"/>
  </r>
  <r>
    <x v="28"/>
  </r>
  <r>
    <x v="28"/>
  </r>
  <r>
    <x v="28"/>
  </r>
  <r>
    <x v="15"/>
  </r>
  <r>
    <x v="16"/>
  </r>
  <r>
    <x v="16"/>
  </r>
  <r>
    <x v="16"/>
  </r>
  <r>
    <x v="16"/>
  </r>
  <r>
    <x v="42"/>
  </r>
  <r>
    <x v="77"/>
  </r>
  <r>
    <x v="2"/>
  </r>
  <r>
    <x v="0"/>
  </r>
  <r>
    <x v="0"/>
  </r>
  <r>
    <x v="52"/>
  </r>
  <r>
    <x v="52"/>
  </r>
  <r>
    <x v="52"/>
  </r>
  <r>
    <x v="52"/>
  </r>
  <r>
    <x v="9"/>
  </r>
  <r>
    <x v="69"/>
  </r>
  <r>
    <x v="1"/>
  </r>
  <r>
    <x v="1"/>
  </r>
  <r>
    <x v="45"/>
  </r>
  <r>
    <x v="29"/>
  </r>
  <r>
    <x v="45"/>
  </r>
  <r>
    <x v="12"/>
  </r>
  <r>
    <x v="12"/>
  </r>
  <r>
    <x v="12"/>
  </r>
  <r>
    <x v="12"/>
  </r>
  <r>
    <x v="12"/>
  </r>
  <r>
    <x v="12"/>
  </r>
  <r>
    <x v="115"/>
  </r>
  <r>
    <x v="115"/>
  </r>
  <r>
    <x v="115"/>
  </r>
  <r>
    <x v="115"/>
  </r>
  <r>
    <x v="115"/>
  </r>
  <r>
    <x v="21"/>
  </r>
  <r>
    <x v="21"/>
  </r>
  <r>
    <x v="57"/>
  </r>
  <r>
    <x v="115"/>
  </r>
  <r>
    <x v="115"/>
  </r>
  <r>
    <x v="115"/>
  </r>
  <r>
    <x v="115"/>
  </r>
  <r>
    <x v="163"/>
  </r>
  <r>
    <x v="163"/>
  </r>
  <r>
    <x v="163"/>
  </r>
  <r>
    <x v="163"/>
  </r>
  <r>
    <x v="163"/>
  </r>
  <r>
    <x v="163"/>
  </r>
  <r>
    <x v="163"/>
  </r>
  <r>
    <x v="16"/>
  </r>
  <r>
    <x v="16"/>
  </r>
  <r>
    <x v="6"/>
  </r>
  <r>
    <x v="11"/>
  </r>
  <r>
    <x v="11"/>
  </r>
  <r>
    <x v="11"/>
  </r>
  <r>
    <x v="11"/>
  </r>
  <r>
    <x v="10"/>
  </r>
  <r>
    <x v="163"/>
  </r>
  <r>
    <x v="163"/>
  </r>
  <r>
    <x v="163"/>
  </r>
  <r>
    <x v="163"/>
  </r>
  <r>
    <x v="34"/>
  </r>
  <r>
    <x v="43"/>
  </r>
  <r>
    <x v="8"/>
  </r>
  <r>
    <x v="28"/>
  </r>
  <r>
    <x v="4"/>
  </r>
  <r>
    <x v="57"/>
  </r>
  <r>
    <x v="0"/>
  </r>
  <r>
    <x v="10"/>
  </r>
  <r>
    <x v="42"/>
  </r>
  <r>
    <x v="42"/>
  </r>
  <r>
    <x v="42"/>
  </r>
  <r>
    <x v="12"/>
  </r>
  <r>
    <x v="0"/>
  </r>
  <r>
    <x v="123"/>
  </r>
  <r>
    <x v="142"/>
  </r>
  <r>
    <x v="155"/>
  </r>
  <r>
    <x v="2"/>
  </r>
  <r>
    <x v="163"/>
  </r>
  <r>
    <x v="163"/>
  </r>
  <r>
    <x v="163"/>
  </r>
  <r>
    <x v="163"/>
  </r>
  <r>
    <x v="163"/>
  </r>
  <r>
    <x v="163"/>
  </r>
  <r>
    <x v="19"/>
  </r>
  <r>
    <x v="42"/>
  </r>
  <r>
    <x v="0"/>
  </r>
  <r>
    <x v="12"/>
  </r>
  <r>
    <x v="0"/>
  </r>
  <r>
    <x v="16"/>
  </r>
  <r>
    <x v="37"/>
  </r>
  <r>
    <x v="14"/>
  </r>
  <r>
    <x v="4"/>
  </r>
  <r>
    <x v="4"/>
  </r>
  <r>
    <x v="7"/>
  </r>
  <r>
    <x v="163"/>
  </r>
  <r>
    <x v="7"/>
  </r>
  <r>
    <x v="12"/>
  </r>
  <r>
    <x v="48"/>
  </r>
  <r>
    <x v="73"/>
  </r>
  <r>
    <x v="12"/>
  </r>
  <r>
    <x v="12"/>
  </r>
  <r>
    <x v="0"/>
  </r>
  <r>
    <x v="143"/>
  </r>
  <r>
    <x v="163"/>
  </r>
  <r>
    <x v="12"/>
  </r>
  <r>
    <x v="21"/>
  </r>
  <r>
    <x v="14"/>
  </r>
  <r>
    <x v="10"/>
  </r>
  <r>
    <x v="155"/>
  </r>
  <r>
    <x v="155"/>
  </r>
  <r>
    <x v="155"/>
  </r>
  <r>
    <x v="155"/>
  </r>
  <r>
    <x v="0"/>
  </r>
  <r>
    <x v="10"/>
  </r>
  <r>
    <x v="12"/>
  </r>
  <r>
    <x v="12"/>
  </r>
  <r>
    <x v="0"/>
  </r>
  <r>
    <x v="163"/>
  </r>
  <r>
    <x v="163"/>
  </r>
  <r>
    <x v="19"/>
  </r>
  <r>
    <x v="68"/>
  </r>
  <r>
    <x v="68"/>
  </r>
  <r>
    <x v="68"/>
  </r>
  <r>
    <x v="9"/>
  </r>
  <r>
    <x v="163"/>
  </r>
  <r>
    <x v="42"/>
  </r>
  <r>
    <x v="42"/>
  </r>
  <r>
    <x v="42"/>
  </r>
  <r>
    <x v="16"/>
  </r>
  <r>
    <x v="21"/>
  </r>
  <r>
    <x v="14"/>
  </r>
  <r>
    <x v="14"/>
  </r>
  <r>
    <x v="14"/>
  </r>
  <r>
    <x v="14"/>
  </r>
  <r>
    <x v="115"/>
  </r>
  <r>
    <x v="163"/>
  </r>
  <r>
    <x v="19"/>
  </r>
  <r>
    <x v="19"/>
  </r>
  <r>
    <x v="1"/>
  </r>
  <r>
    <x v="10"/>
  </r>
  <r>
    <x v="42"/>
  </r>
  <r>
    <x v="43"/>
  </r>
  <r>
    <x v="34"/>
  </r>
  <r>
    <x v="21"/>
  </r>
  <r>
    <x v="42"/>
  </r>
  <r>
    <x v="42"/>
  </r>
  <r>
    <x v="42"/>
  </r>
  <r>
    <x v="12"/>
  </r>
  <r>
    <x v="12"/>
  </r>
  <r>
    <x v="42"/>
  </r>
  <r>
    <x v="64"/>
  </r>
  <r>
    <x v="163"/>
  </r>
  <r>
    <x v="163"/>
  </r>
  <r>
    <x v="12"/>
  </r>
  <r>
    <x v="143"/>
  </r>
  <r>
    <x v="68"/>
  </r>
  <r>
    <x v="68"/>
  </r>
  <r>
    <x v="68"/>
  </r>
  <r>
    <x v="19"/>
  </r>
  <r>
    <x v="73"/>
  </r>
  <r>
    <x v="21"/>
  </r>
  <r>
    <x v="19"/>
  </r>
  <r>
    <x v="12"/>
  </r>
  <r>
    <x v="19"/>
  </r>
  <r>
    <x v="69"/>
  </r>
  <r>
    <x v="12"/>
  </r>
  <r>
    <x v="10"/>
  </r>
  <r>
    <x v="12"/>
  </r>
  <r>
    <x v="19"/>
  </r>
  <r>
    <x v="115"/>
  </r>
  <r>
    <x v="115"/>
  </r>
  <r>
    <x v="0"/>
  </r>
  <r>
    <x v="0"/>
  </r>
  <r>
    <x v="115"/>
  </r>
  <r>
    <x v="115"/>
  </r>
  <r>
    <x v="0"/>
  </r>
  <r>
    <x v="0"/>
  </r>
  <r>
    <x v="16"/>
  </r>
  <r>
    <x v="16"/>
  </r>
  <r>
    <x v="16"/>
  </r>
  <r>
    <x v="16"/>
  </r>
  <r>
    <x v="16"/>
  </r>
  <r>
    <x v="0"/>
  </r>
  <r>
    <x v="0"/>
  </r>
  <r>
    <x v="0"/>
  </r>
  <r>
    <x v="0"/>
  </r>
  <r>
    <x v="0"/>
  </r>
  <r>
    <x v="115"/>
  </r>
  <r>
    <x v="0"/>
  </r>
  <r>
    <x v="64"/>
  </r>
  <r>
    <x v="64"/>
  </r>
  <r>
    <x v="4"/>
  </r>
  <r>
    <x v="4"/>
  </r>
  <r>
    <x v="14"/>
  </r>
  <r>
    <x v="14"/>
  </r>
  <r>
    <x v="42"/>
  </r>
  <r>
    <x v="42"/>
  </r>
  <r>
    <x v="45"/>
  </r>
  <r>
    <x v="48"/>
  </r>
  <r>
    <x v="186"/>
  </r>
  <r>
    <x v="48"/>
  </r>
  <r>
    <x v="22"/>
  </r>
  <r>
    <x v="64"/>
  </r>
  <r>
    <x v="86"/>
  </r>
  <r>
    <x v="10"/>
  </r>
  <r>
    <x v="4"/>
  </r>
  <r>
    <x v="4"/>
  </r>
  <r>
    <x v="123"/>
  </r>
  <r>
    <x v="123"/>
  </r>
  <r>
    <x v="64"/>
  </r>
  <r>
    <x v="4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7"/>
  </r>
  <r>
    <x v="57"/>
  </r>
  <r>
    <x v="59"/>
  </r>
  <r>
    <x v="57"/>
  </r>
  <r>
    <x v="16"/>
  </r>
  <r>
    <x v="16"/>
  </r>
  <r>
    <x v="16"/>
  </r>
  <r>
    <x v="72"/>
  </r>
  <r>
    <x v="21"/>
  </r>
  <r>
    <x v="72"/>
  </r>
  <r>
    <x v="21"/>
  </r>
  <r>
    <x v="72"/>
  </r>
  <r>
    <x v="72"/>
  </r>
  <r>
    <x v="72"/>
  </r>
  <r>
    <x v="72"/>
  </r>
  <r>
    <x v="139"/>
  </r>
  <r>
    <x v="72"/>
  </r>
  <r>
    <x v="9"/>
  </r>
  <r>
    <x v="0"/>
  </r>
  <r>
    <x v="36"/>
  </r>
  <r>
    <x v="152"/>
  </r>
  <r>
    <x v="152"/>
  </r>
  <r>
    <x v="42"/>
  </r>
  <r>
    <x v="39"/>
  </r>
  <r>
    <x v="25"/>
  </r>
  <r>
    <x v="25"/>
  </r>
  <r>
    <x v="25"/>
  </r>
  <r>
    <x v="25"/>
  </r>
  <r>
    <x v="12"/>
  </r>
  <r>
    <x v="57"/>
  </r>
  <r>
    <x v="57"/>
  </r>
  <r>
    <x v="14"/>
  </r>
  <r>
    <x v="45"/>
  </r>
  <r>
    <x v="187"/>
  </r>
  <r>
    <x v="45"/>
  </r>
  <r>
    <x v="45"/>
  </r>
  <r>
    <x v="64"/>
  </r>
  <r>
    <x v="9"/>
  </r>
  <r>
    <x v="14"/>
  </r>
  <r>
    <x v="163"/>
  </r>
  <r>
    <x v="19"/>
  </r>
  <r>
    <x v="57"/>
  </r>
  <r>
    <x v="57"/>
  </r>
  <r>
    <x v="10"/>
  </r>
  <r>
    <x v="42"/>
  </r>
  <r>
    <x v="4"/>
  </r>
  <r>
    <x v="12"/>
  </r>
  <r>
    <x v="12"/>
  </r>
  <r>
    <x v="11"/>
  </r>
  <r>
    <x v="10"/>
  </r>
  <r>
    <x v="111"/>
  </r>
  <r>
    <x v="4"/>
  </r>
  <r>
    <x v="11"/>
  </r>
  <r>
    <x v="11"/>
  </r>
  <r>
    <x v="76"/>
  </r>
  <r>
    <x v="4"/>
  </r>
  <r>
    <x v="76"/>
  </r>
  <r>
    <x v="76"/>
  </r>
  <r>
    <x v="10"/>
  </r>
  <r>
    <x v="11"/>
  </r>
  <r>
    <x v="11"/>
  </r>
  <r>
    <x v="7"/>
  </r>
  <r>
    <x v="6"/>
  </r>
  <r>
    <x v="16"/>
  </r>
  <r>
    <x v="14"/>
  </r>
  <r>
    <x v="19"/>
  </r>
  <r>
    <x v="19"/>
  </r>
  <r>
    <x v="53"/>
  </r>
  <r>
    <x v="63"/>
  </r>
  <r>
    <x v="63"/>
  </r>
  <r>
    <x v="63"/>
  </r>
  <r>
    <x v="63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141"/>
  </r>
  <r>
    <x v="141"/>
  </r>
  <r>
    <x v="141"/>
  </r>
  <r>
    <x v="48"/>
  </r>
  <r>
    <x v="0"/>
  </r>
  <r>
    <x v="14"/>
  </r>
  <r>
    <x v="11"/>
  </r>
  <r>
    <x v="11"/>
  </r>
  <r>
    <x v="11"/>
  </r>
  <r>
    <x v="12"/>
  </r>
  <r>
    <x v="123"/>
  </r>
  <r>
    <x v="1"/>
  </r>
  <r>
    <x v="123"/>
  </r>
  <r>
    <x v="184"/>
  </r>
  <r>
    <x v="12"/>
  </r>
  <r>
    <x v="28"/>
  </r>
  <r>
    <x v="0"/>
  </r>
  <r>
    <x v="9"/>
  </r>
  <r>
    <x v="9"/>
  </r>
  <r>
    <x v="0"/>
  </r>
  <r>
    <x v="29"/>
  </r>
  <r>
    <x v="9"/>
  </r>
  <r>
    <x v="28"/>
  </r>
  <r>
    <x v="0"/>
  </r>
  <r>
    <x v="63"/>
  </r>
  <r>
    <x v="4"/>
  </r>
  <r>
    <x v="188"/>
  </r>
  <r>
    <x v="51"/>
  </r>
  <r>
    <x v="51"/>
  </r>
  <r>
    <x v="22"/>
  </r>
  <r>
    <x v="63"/>
  </r>
  <r>
    <x v="63"/>
  </r>
  <r>
    <x v="63"/>
  </r>
  <r>
    <x v="63"/>
  </r>
  <r>
    <x v="10"/>
  </r>
  <r>
    <x v="4"/>
  </r>
  <r>
    <x v="16"/>
  </r>
  <r>
    <x v="0"/>
  </r>
  <r>
    <x v="0"/>
  </r>
  <r>
    <x v="0"/>
  </r>
  <r>
    <x v="0"/>
  </r>
  <r>
    <x v="11"/>
  </r>
  <r>
    <x v="11"/>
  </r>
  <r>
    <x v="11"/>
  </r>
  <r>
    <x v="11"/>
  </r>
  <r>
    <x v="81"/>
  </r>
  <r>
    <x v="12"/>
  </r>
  <r>
    <x v="14"/>
  </r>
  <r>
    <x v="10"/>
  </r>
  <r>
    <x v="14"/>
  </r>
  <r>
    <x v="12"/>
  </r>
  <r>
    <x v="47"/>
  </r>
  <r>
    <x v="77"/>
  </r>
  <r>
    <x v="77"/>
  </r>
  <r>
    <x v="78"/>
  </r>
  <r>
    <x v="78"/>
  </r>
  <r>
    <x v="0"/>
  </r>
  <r>
    <x v="4"/>
  </r>
  <r>
    <x v="1"/>
  </r>
  <r>
    <x v="9"/>
  </r>
  <r>
    <x v="21"/>
  </r>
  <r>
    <x v="12"/>
  </r>
  <r>
    <x v="12"/>
  </r>
  <r>
    <x v="12"/>
  </r>
  <r>
    <x v="45"/>
  </r>
  <r>
    <x v="130"/>
  </r>
  <r>
    <x v="10"/>
  </r>
  <r>
    <x v="29"/>
  </r>
  <r>
    <x v="2"/>
  </r>
  <r>
    <x v="2"/>
  </r>
  <r>
    <x v="22"/>
  </r>
  <r>
    <x v="57"/>
  </r>
  <r>
    <x v="57"/>
  </r>
  <r>
    <x v="16"/>
  </r>
  <r>
    <x v="16"/>
  </r>
  <r>
    <x v="0"/>
  </r>
  <r>
    <x v="0"/>
  </r>
  <r>
    <x v="10"/>
  </r>
  <r>
    <x v="0"/>
  </r>
  <r>
    <x v="42"/>
  </r>
  <r>
    <x v="2"/>
  </r>
  <r>
    <x v="12"/>
  </r>
  <r>
    <x v="163"/>
  </r>
  <r>
    <x v="28"/>
  </r>
  <r>
    <x v="141"/>
  </r>
  <r>
    <x v="4"/>
  </r>
  <r>
    <x v="12"/>
  </r>
  <r>
    <x v="16"/>
  </r>
  <r>
    <x v="76"/>
  </r>
  <r>
    <x v="39"/>
  </r>
  <r>
    <x v="15"/>
  </r>
  <r>
    <x v="12"/>
  </r>
  <r>
    <x v="14"/>
  </r>
  <r>
    <x v="112"/>
  </r>
  <r>
    <x v="12"/>
  </r>
  <r>
    <x v="28"/>
  </r>
  <r>
    <x v="63"/>
  </r>
  <r>
    <x v="4"/>
  </r>
  <r>
    <x v="12"/>
  </r>
  <r>
    <x v="11"/>
  </r>
  <r>
    <x v="163"/>
  </r>
  <r>
    <x v="14"/>
  </r>
  <r>
    <x v="14"/>
  </r>
  <r>
    <x v="111"/>
  </r>
  <r>
    <x v="17"/>
  </r>
  <r>
    <x v="12"/>
  </r>
  <r>
    <x v="184"/>
  </r>
  <r>
    <x v="4"/>
  </r>
  <r>
    <x v="19"/>
  </r>
  <r>
    <x v="7"/>
  </r>
  <r>
    <x v="11"/>
  </r>
  <r>
    <x v="11"/>
  </r>
  <r>
    <x v="11"/>
  </r>
  <r>
    <x v="11"/>
  </r>
  <r>
    <x v="10"/>
  </r>
  <r>
    <x v="0"/>
  </r>
  <r>
    <x v="19"/>
  </r>
  <r>
    <x v="12"/>
  </r>
  <r>
    <x v="12"/>
  </r>
  <r>
    <x v="9"/>
  </r>
  <r>
    <x v="57"/>
  </r>
  <r>
    <x v="78"/>
  </r>
  <r>
    <x v="93"/>
  </r>
  <r>
    <x v="45"/>
  </r>
  <r>
    <x v="22"/>
  </r>
  <r>
    <x v="53"/>
  </r>
  <r>
    <x v="0"/>
  </r>
  <r>
    <x v="17"/>
  </r>
  <r>
    <x v="25"/>
  </r>
  <r>
    <x v="25"/>
  </r>
  <r>
    <x v="11"/>
  </r>
  <r>
    <x v="11"/>
  </r>
  <r>
    <x v="16"/>
  </r>
  <r>
    <x v="16"/>
  </r>
  <r>
    <x v="16"/>
  </r>
  <r>
    <x v="16"/>
  </r>
  <r>
    <x v="16"/>
  </r>
  <r>
    <x v="16"/>
  </r>
  <r>
    <x v="45"/>
  </r>
  <r>
    <x v="45"/>
  </r>
  <r>
    <x v="16"/>
  </r>
  <r>
    <x v="53"/>
  </r>
  <r>
    <x v="10"/>
  </r>
  <r>
    <x v="16"/>
  </r>
  <r>
    <x v="16"/>
  </r>
  <r>
    <x v="16"/>
  </r>
  <r>
    <x v="16"/>
  </r>
  <r>
    <x v="11"/>
  </r>
  <r>
    <x v="16"/>
  </r>
  <r>
    <x v="16"/>
  </r>
  <r>
    <x v="1"/>
  </r>
  <r>
    <x v="1"/>
  </r>
  <r>
    <x v="1"/>
  </r>
  <r>
    <x v="1"/>
  </r>
  <r>
    <x v="0"/>
  </r>
  <r>
    <x v="19"/>
  </r>
  <r>
    <x v="19"/>
  </r>
  <r>
    <x v="19"/>
  </r>
  <r>
    <x v="12"/>
  </r>
  <r>
    <x v="12"/>
  </r>
  <r>
    <x v="12"/>
  </r>
  <r>
    <x v="12"/>
  </r>
  <r>
    <x v="12"/>
  </r>
  <r>
    <x v="9"/>
  </r>
  <r>
    <x v="8"/>
  </r>
  <r>
    <x v="8"/>
  </r>
  <r>
    <x v="8"/>
  </r>
  <r>
    <x v="142"/>
  </r>
  <r>
    <x v="8"/>
  </r>
  <r>
    <x v="8"/>
  </r>
  <r>
    <x v="37"/>
  </r>
  <r>
    <x v="10"/>
  </r>
  <r>
    <x v="99"/>
  </r>
  <r>
    <x v="10"/>
  </r>
  <r>
    <x v="29"/>
  </r>
  <r>
    <x v="29"/>
  </r>
  <r>
    <x v="29"/>
  </r>
  <r>
    <x v="4"/>
  </r>
  <r>
    <x v="10"/>
  </r>
  <r>
    <x v="28"/>
  </r>
  <r>
    <x v="15"/>
  </r>
  <r>
    <x v="1"/>
  </r>
  <r>
    <x v="44"/>
  </r>
  <r>
    <x v="4"/>
  </r>
  <r>
    <x v="18"/>
  </r>
  <r>
    <x v="9"/>
  </r>
  <r>
    <x v="25"/>
  </r>
  <r>
    <x v="64"/>
  </r>
  <r>
    <x v="3"/>
  </r>
  <r>
    <x v="25"/>
  </r>
  <r>
    <x v="39"/>
  </r>
  <r>
    <x v="55"/>
  </r>
  <r>
    <x v="10"/>
  </r>
  <r>
    <x v="9"/>
  </r>
  <r>
    <x v="10"/>
  </r>
  <r>
    <x v="17"/>
  </r>
  <r>
    <x v="17"/>
  </r>
  <r>
    <x v="16"/>
  </r>
  <r>
    <x v="9"/>
  </r>
  <r>
    <x v="53"/>
  </r>
  <r>
    <x v="53"/>
  </r>
  <r>
    <x v="16"/>
  </r>
  <r>
    <x v="16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21"/>
  </r>
  <r>
    <x v="12"/>
  </r>
  <r>
    <x v="12"/>
  </r>
  <r>
    <x v="16"/>
  </r>
  <r>
    <x v="4"/>
  </r>
  <r>
    <x v="91"/>
  </r>
  <r>
    <x v="57"/>
  </r>
  <r>
    <x v="76"/>
  </r>
  <r>
    <x v="11"/>
  </r>
  <r>
    <x v="11"/>
  </r>
  <r>
    <x v="11"/>
  </r>
  <r>
    <x v="9"/>
  </r>
  <r>
    <x v="12"/>
  </r>
  <r>
    <x v="10"/>
  </r>
  <r>
    <x v="8"/>
  </r>
  <r>
    <x v="30"/>
  </r>
  <r>
    <x v="14"/>
  </r>
  <r>
    <x v="12"/>
  </r>
  <r>
    <x v="4"/>
  </r>
  <r>
    <x v="37"/>
  </r>
  <r>
    <x v="0"/>
  </r>
  <r>
    <x v="16"/>
  </r>
  <r>
    <x v="4"/>
  </r>
  <r>
    <x v="10"/>
  </r>
  <r>
    <x v="11"/>
  </r>
  <r>
    <x v="11"/>
  </r>
  <r>
    <x v="45"/>
  </r>
  <r>
    <x v="57"/>
  </r>
  <r>
    <x v="9"/>
  </r>
  <r>
    <x v="9"/>
  </r>
  <r>
    <x v="14"/>
  </r>
  <r>
    <x v="4"/>
  </r>
  <r>
    <x v="57"/>
  </r>
  <r>
    <x v="4"/>
  </r>
  <r>
    <x v="4"/>
  </r>
  <r>
    <x v="4"/>
  </r>
  <r>
    <x v="4"/>
  </r>
  <r>
    <x v="68"/>
  </r>
  <r>
    <x v="33"/>
  </r>
  <r>
    <x v="6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4"/>
  </r>
  <r>
    <x v="11"/>
  </r>
  <r>
    <x v="9"/>
  </r>
  <r>
    <x v="1"/>
  </r>
  <r>
    <x v="11"/>
  </r>
  <r>
    <x v="16"/>
  </r>
  <r>
    <x v="16"/>
  </r>
  <r>
    <x v="16"/>
  </r>
  <r>
    <x v="39"/>
  </r>
  <r>
    <x v="39"/>
  </r>
  <r>
    <x v="39"/>
  </r>
  <r>
    <x v="12"/>
  </r>
  <r>
    <x v="12"/>
  </r>
  <r>
    <x v="16"/>
  </r>
  <r>
    <x v="16"/>
  </r>
  <r>
    <x v="14"/>
  </r>
  <r>
    <x v="57"/>
  </r>
  <r>
    <x v="189"/>
  </r>
  <r>
    <x v="4"/>
  </r>
  <r>
    <x v="51"/>
  </r>
  <r>
    <x v="12"/>
  </r>
  <r>
    <x v="12"/>
  </r>
  <r>
    <x v="11"/>
  </r>
  <r>
    <x v="11"/>
  </r>
  <r>
    <x v="4"/>
  </r>
  <r>
    <x v="68"/>
  </r>
  <r>
    <x v="34"/>
  </r>
  <r>
    <x v="34"/>
  </r>
  <r>
    <x v="34"/>
  </r>
  <r>
    <x v="150"/>
  </r>
  <r>
    <x v="63"/>
  </r>
  <r>
    <x v="63"/>
  </r>
  <r>
    <x v="63"/>
  </r>
  <r>
    <x v="1"/>
  </r>
  <r>
    <x v="68"/>
  </r>
  <r>
    <x v="68"/>
  </r>
  <r>
    <x v="34"/>
  </r>
  <r>
    <x v="34"/>
  </r>
  <r>
    <x v="34"/>
  </r>
  <r>
    <x v="34"/>
  </r>
  <r>
    <x v="150"/>
  </r>
  <r>
    <x v="9"/>
  </r>
  <r>
    <x v="9"/>
  </r>
  <r>
    <x v="9"/>
  </r>
  <r>
    <x v="42"/>
  </r>
  <r>
    <x v="42"/>
  </r>
  <r>
    <x v="4"/>
  </r>
  <r>
    <x v="4"/>
  </r>
  <r>
    <x v="4"/>
  </r>
  <r>
    <x v="4"/>
  </r>
  <r>
    <x v="4"/>
  </r>
  <r>
    <x v="4"/>
  </r>
  <r>
    <x v="4"/>
  </r>
  <r>
    <x v="47"/>
  </r>
  <r>
    <x v="0"/>
  </r>
  <r>
    <x v="0"/>
  </r>
  <r>
    <x v="9"/>
  </r>
  <r>
    <x v="17"/>
  </r>
  <r>
    <x v="17"/>
  </r>
  <r>
    <x v="16"/>
  </r>
  <r>
    <x v="16"/>
  </r>
  <r>
    <x v="1"/>
  </r>
  <r>
    <x v="45"/>
  </r>
  <r>
    <x v="30"/>
  </r>
  <r>
    <x v="12"/>
  </r>
  <r>
    <x v="45"/>
  </r>
  <r>
    <x v="45"/>
  </r>
  <r>
    <x v="45"/>
  </r>
  <r>
    <x v="14"/>
  </r>
  <r>
    <x v="28"/>
  </r>
  <r>
    <x v="19"/>
  </r>
  <r>
    <x v="19"/>
  </r>
  <r>
    <x v="28"/>
  </r>
  <r>
    <x v="28"/>
  </r>
  <r>
    <x v="1"/>
  </r>
  <r>
    <x v="16"/>
  </r>
  <r>
    <x v="1"/>
  </r>
  <r>
    <x v="34"/>
  </r>
  <r>
    <x v="17"/>
  </r>
  <r>
    <x v="1"/>
  </r>
  <r>
    <x v="1"/>
  </r>
  <r>
    <x v="14"/>
  </r>
  <r>
    <x v="68"/>
  </r>
  <r>
    <x v="52"/>
  </r>
  <r>
    <x v="45"/>
  </r>
  <r>
    <x v="45"/>
  </r>
  <r>
    <x v="19"/>
  </r>
  <r>
    <x v="11"/>
  </r>
  <r>
    <x v="19"/>
  </r>
  <r>
    <x v="14"/>
  </r>
  <r>
    <x v="42"/>
  </r>
  <r>
    <x v="42"/>
  </r>
  <r>
    <x v="42"/>
  </r>
  <r>
    <x v="12"/>
  </r>
  <r>
    <x v="1"/>
  </r>
  <r>
    <x v="1"/>
  </r>
  <r>
    <x v="1"/>
  </r>
  <r>
    <x v="0"/>
  </r>
  <r>
    <x v="45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12"/>
  </r>
  <r>
    <x v="12"/>
  </r>
  <r>
    <x v="12"/>
  </r>
  <r>
    <x v="130"/>
  </r>
  <r>
    <x v="0"/>
  </r>
  <r>
    <x v="0"/>
  </r>
  <r>
    <x v="45"/>
  </r>
  <r>
    <x v="0"/>
  </r>
  <r>
    <x v="0"/>
  </r>
  <r>
    <x v="24"/>
  </r>
  <r>
    <x v="24"/>
  </r>
  <r>
    <x v="0"/>
  </r>
  <r>
    <x v="45"/>
  </r>
  <r>
    <x v="45"/>
  </r>
  <r>
    <x v="0"/>
  </r>
  <r>
    <x v="0"/>
  </r>
  <r>
    <x v="0"/>
  </r>
  <r>
    <x v="0"/>
  </r>
  <r>
    <x v="0"/>
  </r>
  <r>
    <x v="24"/>
  </r>
  <r>
    <x v="24"/>
  </r>
  <r>
    <x v="24"/>
  </r>
  <r>
    <x v="115"/>
  </r>
  <r>
    <x v="12"/>
  </r>
  <r>
    <x v="12"/>
  </r>
  <r>
    <x v="12"/>
  </r>
  <r>
    <x v="12"/>
  </r>
  <r>
    <x v="12"/>
  </r>
  <r>
    <x v="12"/>
  </r>
  <r>
    <x v="39"/>
  </r>
  <r>
    <x v="45"/>
  </r>
  <r>
    <x v="12"/>
  </r>
  <r>
    <x v="16"/>
  </r>
  <r>
    <x v="28"/>
  </r>
  <r>
    <x v="9"/>
  </r>
  <r>
    <x v="1"/>
  </r>
  <r>
    <x v="68"/>
  </r>
  <r>
    <x v="64"/>
  </r>
  <r>
    <x v="15"/>
  </r>
  <r>
    <x v="4"/>
  </r>
  <r>
    <x v="1"/>
  </r>
  <r>
    <x v="45"/>
  </r>
  <r>
    <x v="45"/>
  </r>
  <r>
    <x v="42"/>
  </r>
  <r>
    <x v="10"/>
  </r>
  <r>
    <x v="10"/>
  </r>
  <r>
    <x v="24"/>
  </r>
  <r>
    <x v="2"/>
  </r>
  <r>
    <x v="2"/>
  </r>
  <r>
    <x v="2"/>
  </r>
  <r>
    <x v="2"/>
  </r>
  <r>
    <x v="2"/>
  </r>
  <r>
    <x v="17"/>
  </r>
  <r>
    <x v="17"/>
  </r>
  <r>
    <x v="2"/>
  </r>
  <r>
    <x v="1"/>
  </r>
  <r>
    <x v="1"/>
  </r>
  <r>
    <x v="1"/>
  </r>
  <r>
    <x v="63"/>
  </r>
  <r>
    <x v="63"/>
  </r>
  <r>
    <x v="63"/>
  </r>
  <r>
    <x v="63"/>
  </r>
  <r>
    <x v="1"/>
  </r>
  <r>
    <x v="1"/>
  </r>
  <r>
    <x v="45"/>
  </r>
  <r>
    <x v="1"/>
  </r>
  <r>
    <x v="1"/>
  </r>
  <r>
    <x v="16"/>
  </r>
  <r>
    <x v="17"/>
  </r>
  <r>
    <x v="17"/>
  </r>
  <r>
    <x v="1"/>
  </r>
  <r>
    <x v="1"/>
  </r>
  <r>
    <x v="1"/>
  </r>
  <r>
    <x v="45"/>
  </r>
  <r>
    <x v="45"/>
  </r>
  <r>
    <x v="45"/>
  </r>
  <r>
    <x v="45"/>
  </r>
  <r>
    <x v="17"/>
  </r>
  <r>
    <x v="12"/>
  </r>
  <r>
    <x v="12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12"/>
  </r>
  <r>
    <x v="12"/>
  </r>
  <r>
    <x v="28"/>
  </r>
  <r>
    <x v="31"/>
  </r>
  <r>
    <x v="19"/>
  </r>
  <r>
    <x v="16"/>
  </r>
  <r>
    <x v="16"/>
  </r>
  <r>
    <x v="16"/>
  </r>
  <r>
    <x v="19"/>
  </r>
  <r>
    <x v="39"/>
  </r>
  <r>
    <x v="37"/>
  </r>
  <r>
    <x v="37"/>
  </r>
  <r>
    <x v="84"/>
  </r>
  <r>
    <x v="28"/>
  </r>
  <r>
    <x v="28"/>
  </r>
  <r>
    <x v="4"/>
  </r>
  <r>
    <x v="68"/>
  </r>
  <r>
    <x v="0"/>
  </r>
  <r>
    <x v="57"/>
  </r>
  <r>
    <x v="1"/>
  </r>
  <r>
    <x v="1"/>
  </r>
  <r>
    <x v="45"/>
  </r>
  <r>
    <x v="45"/>
  </r>
  <r>
    <x v="16"/>
  </r>
  <r>
    <x v="19"/>
  </r>
  <r>
    <x v="17"/>
  </r>
  <r>
    <x v="17"/>
  </r>
  <r>
    <x v="17"/>
  </r>
  <r>
    <x v="17"/>
  </r>
  <r>
    <x v="12"/>
  </r>
  <r>
    <x v="0"/>
  </r>
  <r>
    <x v="19"/>
  </r>
  <r>
    <x v="39"/>
  </r>
  <r>
    <x v="64"/>
  </r>
  <r>
    <x v="4"/>
  </r>
  <r>
    <x v="39"/>
  </r>
  <r>
    <x v="12"/>
  </r>
  <r>
    <x v="17"/>
  </r>
  <r>
    <x v="17"/>
  </r>
  <r>
    <x v="184"/>
  </r>
  <r>
    <x v="2"/>
  </r>
  <r>
    <x v="184"/>
  </r>
  <r>
    <x v="28"/>
  </r>
  <r>
    <x v="28"/>
  </r>
  <r>
    <x v="12"/>
  </r>
  <r>
    <x v="45"/>
  </r>
  <r>
    <x v="12"/>
  </r>
  <r>
    <x v="34"/>
  </r>
  <r>
    <x v="39"/>
  </r>
  <r>
    <x v="10"/>
  </r>
  <r>
    <x v="37"/>
  </r>
  <r>
    <x v="44"/>
  </r>
  <r>
    <x v="44"/>
  </r>
  <r>
    <x v="163"/>
  </r>
  <r>
    <x v="44"/>
  </r>
  <r>
    <x v="1"/>
  </r>
  <r>
    <x v="1"/>
  </r>
  <r>
    <x v="1"/>
  </r>
  <r>
    <x v="1"/>
  </r>
  <r>
    <x v="28"/>
  </r>
  <r>
    <x v="163"/>
  </r>
  <r>
    <x v="48"/>
  </r>
  <r>
    <x v="56"/>
  </r>
  <r>
    <x v="70"/>
  </r>
  <r>
    <x v="115"/>
  </r>
  <r>
    <x v="12"/>
  </r>
  <r>
    <x v="39"/>
  </r>
  <r>
    <x v="39"/>
  </r>
  <r>
    <x v="39"/>
  </r>
  <r>
    <x v="42"/>
  </r>
  <r>
    <x v="17"/>
  </r>
  <r>
    <x v="39"/>
  </r>
  <r>
    <x v="16"/>
  </r>
  <r>
    <x v="11"/>
  </r>
  <r>
    <x v="6"/>
  </r>
  <r>
    <x v="7"/>
  </r>
  <r>
    <x v="77"/>
  </r>
  <r>
    <x v="14"/>
  </r>
  <r>
    <x v="14"/>
  </r>
  <r>
    <x v="16"/>
  </r>
  <r>
    <x v="25"/>
  </r>
  <r>
    <x v="16"/>
  </r>
  <r>
    <x v="15"/>
  </r>
  <r>
    <x v="190"/>
  </r>
  <r>
    <x v="3"/>
  </r>
  <r>
    <x v="3"/>
  </r>
  <r>
    <x v="86"/>
  </r>
  <r>
    <x v="17"/>
  </r>
  <r>
    <x v="17"/>
  </r>
  <r>
    <x v="2"/>
  </r>
  <r>
    <x v="163"/>
  </r>
  <r>
    <x v="12"/>
  </r>
  <r>
    <x v="12"/>
  </r>
  <r>
    <x v="12"/>
  </r>
  <r>
    <x v="12"/>
  </r>
  <r>
    <x v="17"/>
  </r>
  <r>
    <x v="14"/>
  </r>
  <r>
    <x v="14"/>
  </r>
  <r>
    <x v="12"/>
  </r>
  <r>
    <x v="25"/>
  </r>
  <r>
    <x v="16"/>
  </r>
  <r>
    <x v="19"/>
  </r>
  <r>
    <x v="17"/>
  </r>
  <r>
    <x v="17"/>
  </r>
  <r>
    <x v="16"/>
  </r>
  <r>
    <x v="16"/>
  </r>
  <r>
    <x v="9"/>
  </r>
  <r>
    <x v="9"/>
  </r>
  <r>
    <x v="52"/>
  </r>
  <r>
    <x v="48"/>
  </r>
  <r>
    <x v="4"/>
  </r>
  <r>
    <x v="9"/>
  </r>
  <r>
    <x v="55"/>
  </r>
  <r>
    <x v="55"/>
  </r>
  <r>
    <x v="4"/>
  </r>
  <r>
    <x v="30"/>
  </r>
  <r>
    <x v="30"/>
  </r>
  <r>
    <x v="30"/>
  </r>
  <r>
    <x v="30"/>
  </r>
  <r>
    <x v="81"/>
  </r>
  <r>
    <x v="12"/>
  </r>
  <r>
    <x v="76"/>
  </r>
  <r>
    <x v="48"/>
  </r>
  <r>
    <x v="0"/>
  </r>
  <r>
    <x v="48"/>
  </r>
  <r>
    <x v="14"/>
  </r>
  <r>
    <x v="37"/>
  </r>
  <r>
    <x v="28"/>
  </r>
  <r>
    <x v="45"/>
  </r>
  <r>
    <x v="2"/>
  </r>
  <r>
    <x v="12"/>
  </r>
  <r>
    <x v="0"/>
  </r>
  <r>
    <x v="0"/>
  </r>
  <r>
    <x v="139"/>
  </r>
  <r>
    <x v="39"/>
  </r>
  <r>
    <x v="76"/>
  </r>
  <r>
    <x v="3"/>
  </r>
  <r>
    <x v="12"/>
  </r>
  <r>
    <x v="7"/>
  </r>
  <r>
    <x v="19"/>
  </r>
  <r>
    <x v="0"/>
  </r>
  <r>
    <x v="28"/>
  </r>
  <r>
    <x v="12"/>
  </r>
  <r>
    <x v="21"/>
  </r>
  <r>
    <x v="1"/>
  </r>
  <r>
    <x v="21"/>
  </r>
  <r>
    <x v="10"/>
  </r>
  <r>
    <x v="11"/>
  </r>
  <r>
    <x v="115"/>
  </r>
  <r>
    <x v="4"/>
  </r>
  <r>
    <x v="71"/>
  </r>
  <r>
    <x v="115"/>
  </r>
  <r>
    <x v="163"/>
  </r>
  <r>
    <x v="163"/>
  </r>
  <r>
    <x v="28"/>
  </r>
  <r>
    <x v="21"/>
  </r>
  <r>
    <x v="30"/>
  </r>
  <r>
    <x v="6"/>
  </r>
  <r>
    <x v="6"/>
  </r>
  <r>
    <x v="15"/>
  </r>
  <r>
    <x v="64"/>
  </r>
  <r>
    <x v="11"/>
  </r>
  <r>
    <x v="14"/>
  </r>
  <r>
    <x v="16"/>
  </r>
  <r>
    <x v="12"/>
  </r>
  <r>
    <x v="10"/>
  </r>
  <r>
    <x v="0"/>
  </r>
  <r>
    <x v="4"/>
  </r>
  <r>
    <x v="14"/>
  </r>
  <r>
    <x v="11"/>
  </r>
  <r>
    <x v="4"/>
  </r>
  <r>
    <x v="8"/>
  </r>
  <r>
    <x v="28"/>
  </r>
  <r>
    <x v="53"/>
  </r>
  <r>
    <x v="12"/>
  </r>
  <r>
    <x v="4"/>
  </r>
  <r>
    <x v="4"/>
  </r>
  <r>
    <x v="4"/>
  </r>
  <r>
    <x v="4"/>
  </r>
  <r>
    <x v="28"/>
  </r>
  <r>
    <x v="16"/>
  </r>
  <r>
    <x v="8"/>
  </r>
  <r>
    <x v="8"/>
  </r>
  <r>
    <x v="8"/>
  </r>
  <r>
    <x v="14"/>
  </r>
  <r>
    <x v="9"/>
  </r>
  <r>
    <x v="1"/>
  </r>
  <r>
    <x v="1"/>
  </r>
  <r>
    <x v="16"/>
  </r>
  <r>
    <x v="9"/>
  </r>
  <r>
    <x v="7"/>
  </r>
  <r>
    <x v="14"/>
  </r>
  <r>
    <x v="4"/>
  </r>
  <r>
    <x v="19"/>
  </r>
  <r>
    <x v="12"/>
  </r>
  <r>
    <x v="16"/>
  </r>
  <r>
    <x v="12"/>
  </r>
  <r>
    <x v="12"/>
  </r>
  <r>
    <x v="7"/>
  </r>
  <r>
    <x v="53"/>
  </r>
  <r>
    <x v="163"/>
  </r>
  <r>
    <x v="81"/>
  </r>
  <r>
    <x v="28"/>
  </r>
  <r>
    <x v="0"/>
  </r>
  <r>
    <x v="4"/>
  </r>
  <r>
    <x v="14"/>
  </r>
  <r>
    <x v="4"/>
  </r>
  <r>
    <x v="29"/>
  </r>
  <r>
    <x v="16"/>
  </r>
  <r>
    <x v="11"/>
  </r>
  <r>
    <x v="19"/>
  </r>
  <r>
    <x v="53"/>
  </r>
  <r>
    <x v="29"/>
  </r>
  <r>
    <x v="10"/>
  </r>
  <r>
    <x v="71"/>
  </r>
  <r>
    <x v="19"/>
  </r>
  <r>
    <x v="138"/>
  </r>
  <r>
    <x v="16"/>
  </r>
  <r>
    <x v="16"/>
  </r>
  <r>
    <x v="4"/>
  </r>
  <r>
    <x v="12"/>
  </r>
  <r>
    <x v="12"/>
  </r>
  <r>
    <x v="14"/>
  </r>
  <r>
    <x v="45"/>
  </r>
  <r>
    <x v="9"/>
  </r>
  <r>
    <x v="45"/>
  </r>
  <r>
    <x v="17"/>
  </r>
  <r>
    <x v="4"/>
  </r>
  <r>
    <x v="0"/>
  </r>
  <r>
    <x v="0"/>
  </r>
  <r>
    <x v="40"/>
  </r>
  <r>
    <x v="40"/>
  </r>
  <r>
    <x v="57"/>
  </r>
  <r>
    <x v="0"/>
  </r>
  <r>
    <x v="152"/>
  </r>
  <r>
    <x v="72"/>
  </r>
  <r>
    <x v="12"/>
  </r>
  <r>
    <x v="45"/>
  </r>
  <r>
    <x v="40"/>
  </r>
  <r>
    <x v="21"/>
  </r>
  <r>
    <x v="63"/>
  </r>
  <r>
    <x v="91"/>
  </r>
  <r>
    <x v="12"/>
  </r>
  <r>
    <x v="9"/>
  </r>
  <r>
    <x v="24"/>
  </r>
  <r>
    <x v="64"/>
  </r>
  <r>
    <x v="64"/>
  </r>
  <r>
    <x v="17"/>
  </r>
  <r>
    <x v="16"/>
  </r>
  <r>
    <x v="4"/>
  </r>
  <r>
    <x v="9"/>
  </r>
  <r>
    <x v="2"/>
  </r>
  <r>
    <x v="12"/>
  </r>
  <r>
    <x v="4"/>
  </r>
  <r>
    <x v="4"/>
  </r>
  <r>
    <x v="0"/>
  </r>
  <r>
    <x v="68"/>
  </r>
  <r>
    <x v="78"/>
  </r>
  <r>
    <x v="163"/>
  </r>
  <r>
    <x v="28"/>
  </r>
  <r>
    <x v="14"/>
  </r>
  <r>
    <x v="4"/>
  </r>
  <r>
    <x v="4"/>
  </r>
  <r>
    <x v="76"/>
  </r>
  <r>
    <x v="4"/>
  </r>
  <r>
    <x v="4"/>
  </r>
  <r>
    <x v="8"/>
  </r>
  <r>
    <x v="9"/>
  </r>
  <r>
    <x v="45"/>
  </r>
  <r>
    <x v="43"/>
  </r>
  <r>
    <x v="8"/>
  </r>
  <r>
    <x v="4"/>
  </r>
  <r>
    <x v="45"/>
  </r>
  <r>
    <x v="10"/>
  </r>
  <r>
    <x v="4"/>
  </r>
  <r>
    <x v="10"/>
  </r>
  <r>
    <x v="10"/>
  </r>
  <r>
    <x v="2"/>
  </r>
  <r>
    <x v="12"/>
  </r>
  <r>
    <x v="40"/>
  </r>
  <r>
    <x v="4"/>
  </r>
  <r>
    <x v="14"/>
  </r>
  <r>
    <x v="14"/>
  </r>
  <r>
    <x v="19"/>
  </r>
  <r>
    <x v="40"/>
  </r>
  <r>
    <x v="4"/>
  </r>
  <r>
    <x v="31"/>
  </r>
  <r>
    <x v="19"/>
  </r>
  <r>
    <x v="21"/>
  </r>
  <r>
    <x v="11"/>
  </r>
  <r>
    <x v="45"/>
  </r>
  <r>
    <x v="4"/>
  </r>
  <r>
    <x v="45"/>
  </r>
  <r>
    <x v="42"/>
  </r>
  <r>
    <x v="18"/>
  </r>
  <r>
    <x v="12"/>
  </r>
  <r>
    <x v="14"/>
  </r>
  <r>
    <x v="9"/>
  </r>
  <r>
    <x v="81"/>
  </r>
  <r>
    <x v="12"/>
  </r>
  <r>
    <x v="4"/>
  </r>
  <r>
    <x v="19"/>
  </r>
  <r>
    <x v="16"/>
  </r>
  <r>
    <x v="16"/>
  </r>
  <r>
    <x v="11"/>
  </r>
  <r>
    <x v="48"/>
  </r>
  <r>
    <x v="48"/>
  </r>
  <r>
    <x v="48"/>
  </r>
  <r>
    <x v="48"/>
  </r>
  <r>
    <x v="155"/>
  </r>
  <r>
    <x v="11"/>
  </r>
  <r>
    <x v="11"/>
  </r>
  <r>
    <x v="11"/>
  </r>
  <r>
    <x v="14"/>
  </r>
  <r>
    <x v="1"/>
  </r>
  <r>
    <x v="4"/>
  </r>
  <r>
    <x v="28"/>
  </r>
  <r>
    <x v="9"/>
  </r>
  <r>
    <x v="9"/>
  </r>
  <r>
    <x v="53"/>
  </r>
  <r>
    <x v="28"/>
  </r>
  <r>
    <x v="22"/>
  </r>
  <r>
    <x v="12"/>
  </r>
  <r>
    <x v="0"/>
  </r>
  <r>
    <x v="0"/>
  </r>
  <r>
    <x v="0"/>
  </r>
  <r>
    <x v="0"/>
  </r>
  <r>
    <x v="17"/>
  </r>
  <r>
    <x v="0"/>
  </r>
  <r>
    <x v="11"/>
  </r>
  <r>
    <x v="17"/>
  </r>
  <r>
    <x v="17"/>
  </r>
  <r>
    <x v="55"/>
  </r>
  <r>
    <x v="2"/>
  </r>
  <r>
    <x v="2"/>
  </r>
  <r>
    <x v="2"/>
  </r>
  <r>
    <x v="6"/>
  </r>
  <r>
    <x v="16"/>
  </r>
  <r>
    <x v="16"/>
  </r>
  <r>
    <x v="16"/>
  </r>
  <r>
    <x v="12"/>
  </r>
  <r>
    <x v="12"/>
  </r>
  <r>
    <x v="12"/>
  </r>
  <r>
    <x v="11"/>
  </r>
  <r>
    <x v="17"/>
  </r>
  <r>
    <x v="17"/>
  </r>
  <r>
    <x v="17"/>
  </r>
  <r>
    <x v="4"/>
  </r>
  <r>
    <x v="11"/>
  </r>
  <r>
    <x v="17"/>
  </r>
  <r>
    <x v="10"/>
  </r>
  <r>
    <x v="17"/>
  </r>
  <r>
    <x v="4"/>
  </r>
  <r>
    <x v="17"/>
  </r>
  <r>
    <x v="0"/>
  </r>
  <r>
    <x v="17"/>
  </r>
  <r>
    <x v="16"/>
  </r>
  <r>
    <x v="12"/>
  </r>
  <r>
    <x v="12"/>
  </r>
  <r>
    <x v="12"/>
  </r>
  <r>
    <x v="12"/>
  </r>
  <r>
    <x v="16"/>
  </r>
  <r>
    <x v="16"/>
  </r>
  <r>
    <x v="115"/>
  </r>
  <r>
    <x v="10"/>
  </r>
  <r>
    <x v="17"/>
  </r>
  <r>
    <x v="16"/>
  </r>
  <r>
    <x v="14"/>
  </r>
  <r>
    <x v="14"/>
  </r>
  <r>
    <x v="12"/>
  </r>
  <r>
    <x v="12"/>
  </r>
  <r>
    <x v="14"/>
  </r>
  <r>
    <x v="12"/>
  </r>
  <r>
    <x v="12"/>
  </r>
  <r>
    <x v="12"/>
  </r>
  <r>
    <x v="12"/>
  </r>
  <r>
    <x v="12"/>
  </r>
  <r>
    <x v="12"/>
  </r>
  <r>
    <x v="14"/>
  </r>
  <r>
    <x v="11"/>
  </r>
  <r>
    <x v="11"/>
  </r>
  <r>
    <x v="11"/>
  </r>
  <r>
    <x v="9"/>
  </r>
  <r>
    <x v="14"/>
  </r>
  <r>
    <x v="14"/>
  </r>
  <r>
    <x v="14"/>
  </r>
  <r>
    <x v="45"/>
  </r>
  <r>
    <x v="28"/>
  </r>
  <r>
    <x v="1"/>
  </r>
  <r>
    <x v="22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14"/>
  </r>
  <r>
    <x v="14"/>
  </r>
  <r>
    <x v="17"/>
  </r>
  <r>
    <x v="17"/>
  </r>
  <r>
    <x v="17"/>
  </r>
  <r>
    <x v="17"/>
  </r>
  <r>
    <x v="12"/>
  </r>
  <r>
    <x v="12"/>
  </r>
  <r>
    <x v="14"/>
  </r>
  <r>
    <x v="14"/>
  </r>
  <r>
    <x v="17"/>
  </r>
  <r>
    <x v="4"/>
  </r>
  <r>
    <x v="16"/>
  </r>
  <r>
    <x v="12"/>
  </r>
  <r>
    <x v="4"/>
  </r>
  <r>
    <x v="11"/>
  </r>
  <r>
    <x v="9"/>
  </r>
  <r>
    <x v="0"/>
  </r>
  <r>
    <x v="21"/>
  </r>
  <r>
    <x v="0"/>
  </r>
  <r>
    <x v="14"/>
  </r>
  <r>
    <x v="14"/>
  </r>
  <r>
    <x v="28"/>
  </r>
  <r>
    <x v="1"/>
  </r>
  <r>
    <x v="57"/>
  </r>
  <r>
    <x v="17"/>
  </r>
  <r>
    <x v="17"/>
  </r>
  <r>
    <x v="17"/>
  </r>
  <r>
    <x v="12"/>
  </r>
  <r>
    <x v="4"/>
  </r>
  <r>
    <x v="4"/>
  </r>
  <r>
    <x v="22"/>
  </r>
  <r>
    <x v="25"/>
  </r>
  <r>
    <x v="81"/>
  </r>
  <r>
    <x v="9"/>
  </r>
  <r>
    <x v="0"/>
  </r>
  <r>
    <x v="0"/>
  </r>
  <r>
    <x v="0"/>
  </r>
  <r>
    <x v="0"/>
  </r>
  <r>
    <x v="16"/>
  </r>
  <r>
    <x v="70"/>
  </r>
  <r>
    <x v="28"/>
  </r>
  <r>
    <x v="28"/>
  </r>
  <r>
    <x v="1"/>
  </r>
  <r>
    <x v="1"/>
  </r>
  <r>
    <x v="48"/>
  </r>
  <r>
    <x v="1"/>
  </r>
  <r>
    <x v="1"/>
  </r>
  <r>
    <x v="42"/>
  </r>
  <r>
    <x v="39"/>
  </r>
  <r>
    <x v="39"/>
  </r>
  <r>
    <x v="17"/>
  </r>
  <r>
    <x v="17"/>
  </r>
  <r>
    <x v="17"/>
  </r>
  <r>
    <x v="39"/>
  </r>
  <r>
    <x v="21"/>
  </r>
  <r>
    <x v="21"/>
  </r>
  <r>
    <x v="21"/>
  </r>
  <r>
    <x v="21"/>
  </r>
  <r>
    <x v="21"/>
  </r>
  <r>
    <x v="21"/>
  </r>
  <r>
    <x v="21"/>
  </r>
  <r>
    <x v="14"/>
  </r>
  <r>
    <x v="14"/>
  </r>
  <r>
    <x v="14"/>
  </r>
  <r>
    <x v="2"/>
  </r>
  <r>
    <x v="9"/>
  </r>
  <r>
    <x v="1"/>
  </r>
  <r>
    <x v="10"/>
  </r>
  <r>
    <x v="53"/>
  </r>
  <r>
    <x v="16"/>
  </r>
  <r>
    <x v="4"/>
  </r>
  <r>
    <x v="10"/>
  </r>
  <r>
    <x v="18"/>
  </r>
  <r>
    <x v="0"/>
  </r>
  <r>
    <x v="0"/>
  </r>
  <r>
    <x v="6"/>
  </r>
  <r>
    <x v="6"/>
  </r>
  <r>
    <x v="6"/>
  </r>
  <r>
    <x v="14"/>
  </r>
  <r>
    <x v="191"/>
  </r>
  <r>
    <x v="50"/>
  </r>
  <r>
    <x v="50"/>
  </r>
  <r>
    <x v="78"/>
  </r>
  <r>
    <x v="78"/>
  </r>
  <r>
    <x v="78"/>
  </r>
  <r>
    <x v="10"/>
  </r>
  <r>
    <x v="71"/>
  </r>
  <r>
    <x v="78"/>
  </r>
  <r>
    <x v="192"/>
  </r>
  <r>
    <x v="75"/>
  </r>
  <r>
    <x v="44"/>
  </r>
  <r>
    <x v="31"/>
  </r>
  <r>
    <x v="12"/>
  </r>
  <r>
    <x v="12"/>
  </r>
  <r>
    <x v="44"/>
  </r>
  <r>
    <x v="113"/>
  </r>
  <r>
    <x v="61"/>
  </r>
  <r>
    <x v="103"/>
  </r>
  <r>
    <x v="113"/>
  </r>
  <r>
    <x v="113"/>
  </r>
  <r>
    <x v="87"/>
  </r>
  <r>
    <x v="87"/>
  </r>
  <r>
    <x v="6"/>
  </r>
  <r>
    <x v="113"/>
  </r>
  <r>
    <x v="61"/>
  </r>
  <r>
    <x v="61"/>
  </r>
  <r>
    <x v="57"/>
  </r>
  <r>
    <x v="57"/>
  </r>
  <r>
    <x v="28"/>
  </r>
  <r>
    <x v="28"/>
  </r>
  <r>
    <x v="28"/>
  </r>
  <r>
    <x v="82"/>
  </r>
  <r>
    <x v="28"/>
  </r>
  <r>
    <x v="28"/>
  </r>
  <r>
    <x v="28"/>
  </r>
  <r>
    <x v="57"/>
  </r>
  <r>
    <x v="57"/>
  </r>
  <r>
    <x v="63"/>
  </r>
  <r>
    <x v="98"/>
  </r>
  <r>
    <x v="24"/>
  </r>
  <r>
    <x v="0"/>
  </r>
  <r>
    <x v="0"/>
  </r>
  <r>
    <x v="0"/>
  </r>
  <r>
    <x v="0"/>
  </r>
  <r>
    <x v="0"/>
  </r>
  <r>
    <x v="27"/>
  </r>
  <r>
    <x v="27"/>
  </r>
  <r>
    <x v="10"/>
  </r>
  <r>
    <x v="10"/>
  </r>
  <r>
    <x v="82"/>
  </r>
  <r>
    <x v="10"/>
  </r>
  <r>
    <x v="0"/>
  </r>
  <r>
    <x v="24"/>
  </r>
  <r>
    <x v="10"/>
  </r>
  <r>
    <x v="10"/>
  </r>
  <r>
    <x v="10"/>
  </r>
  <r>
    <x v="37"/>
  </r>
  <r>
    <x v="37"/>
  </r>
  <r>
    <x v="106"/>
  </r>
  <r>
    <x v="106"/>
  </r>
  <r>
    <x v="68"/>
  </r>
  <r>
    <x v="68"/>
  </r>
  <r>
    <x v="68"/>
  </r>
  <r>
    <x v="68"/>
  </r>
  <r>
    <x v="193"/>
  </r>
  <r>
    <x v="3"/>
  </r>
  <r>
    <x v="10"/>
  </r>
  <r>
    <x v="10"/>
  </r>
  <r>
    <x v="81"/>
  </r>
  <r>
    <x v="109"/>
  </r>
  <r>
    <x v="31"/>
  </r>
  <r>
    <x v="109"/>
  </r>
  <r>
    <x v="20"/>
  </r>
  <r>
    <x v="22"/>
  </r>
  <r>
    <x v="57"/>
  </r>
  <r>
    <x v="48"/>
  </r>
  <r>
    <x v="48"/>
  </r>
  <r>
    <x v="48"/>
  </r>
  <r>
    <x v="0"/>
  </r>
  <r>
    <x v="0"/>
  </r>
  <r>
    <x v="0"/>
  </r>
  <r>
    <x v="10"/>
  </r>
  <r>
    <x v="194"/>
  </r>
  <r>
    <x v="0"/>
  </r>
  <r>
    <x v="0"/>
  </r>
  <r>
    <x v="48"/>
  </r>
  <r>
    <x v="81"/>
  </r>
  <r>
    <x v="31"/>
  </r>
  <r>
    <x v="24"/>
  </r>
  <r>
    <x v="37"/>
  </r>
  <r>
    <x v="37"/>
  </r>
  <r>
    <x v="37"/>
  </r>
  <r>
    <x v="48"/>
  </r>
  <r>
    <x v="48"/>
  </r>
  <r>
    <x v="48"/>
  </r>
  <r>
    <x v="64"/>
  </r>
  <r>
    <x v="64"/>
  </r>
  <r>
    <x v="48"/>
  </r>
  <r>
    <x v="48"/>
  </r>
  <r>
    <x v="109"/>
  </r>
  <r>
    <x v="195"/>
  </r>
  <r>
    <x v="109"/>
  </r>
  <r>
    <x v="109"/>
  </r>
  <r>
    <x v="37"/>
  </r>
  <r>
    <x v="68"/>
  </r>
  <r>
    <x v="68"/>
  </r>
  <r>
    <x v="68"/>
  </r>
  <r>
    <x v="68"/>
  </r>
  <r>
    <x v="68"/>
  </r>
  <r>
    <x v="68"/>
  </r>
  <r>
    <x v="29"/>
  </r>
  <r>
    <x v="48"/>
  </r>
  <r>
    <x v="48"/>
  </r>
  <r>
    <x v="48"/>
  </r>
  <r>
    <x v="79"/>
  </r>
  <r>
    <x v="79"/>
  </r>
  <r>
    <x v="7"/>
  </r>
  <r>
    <x v="79"/>
  </r>
  <r>
    <x v="42"/>
  </r>
  <r>
    <x v="79"/>
  </r>
  <r>
    <x v="42"/>
  </r>
  <r>
    <x v="42"/>
  </r>
  <r>
    <x v="42"/>
  </r>
  <r>
    <x v="42"/>
  </r>
  <r>
    <x v="10"/>
  </r>
  <r>
    <x v="10"/>
  </r>
  <r>
    <x v="22"/>
  </r>
  <r>
    <x v="22"/>
  </r>
  <r>
    <x v="22"/>
  </r>
  <r>
    <x v="79"/>
  </r>
  <r>
    <x v="78"/>
  </r>
  <r>
    <x v="78"/>
  </r>
  <r>
    <x v="78"/>
  </r>
  <r>
    <x v="14"/>
  </r>
  <r>
    <x v="63"/>
  </r>
  <r>
    <x v="28"/>
  </r>
  <r>
    <x v="28"/>
  </r>
  <r>
    <x v="28"/>
  </r>
  <r>
    <x v="28"/>
  </r>
  <r>
    <x v="28"/>
  </r>
  <r>
    <x v="63"/>
  </r>
  <r>
    <x v="12"/>
  </r>
  <r>
    <x v="42"/>
  </r>
  <r>
    <x v="0"/>
  </r>
  <r>
    <x v="0"/>
  </r>
  <r>
    <x v="86"/>
  </r>
  <r>
    <x v="56"/>
  </r>
  <r>
    <x v="56"/>
  </r>
  <r>
    <x v="92"/>
  </r>
  <r>
    <x v="113"/>
  </r>
  <r>
    <x v="48"/>
  </r>
  <r>
    <x v="93"/>
  </r>
  <r>
    <x v="93"/>
  </r>
  <r>
    <x v="12"/>
  </r>
  <r>
    <x v="71"/>
  </r>
  <r>
    <x v="7"/>
  </r>
  <r>
    <x v="71"/>
  </r>
  <r>
    <x v="71"/>
  </r>
  <r>
    <x v="132"/>
  </r>
  <r>
    <x v="196"/>
  </r>
  <r>
    <x v="17"/>
  </r>
  <r>
    <x v="2"/>
  </r>
  <r>
    <x v="2"/>
  </r>
  <r>
    <x v="2"/>
  </r>
  <r>
    <x v="71"/>
  </r>
  <r>
    <x v="71"/>
  </r>
  <r>
    <x v="71"/>
  </r>
  <r>
    <x v="71"/>
  </r>
  <r>
    <x v="2"/>
  </r>
  <r>
    <x v="0"/>
  </r>
  <r>
    <x v="0"/>
  </r>
  <r>
    <x v="4"/>
  </r>
  <r>
    <x v="30"/>
  </r>
  <r>
    <x v="114"/>
  </r>
  <r>
    <x v="4"/>
  </r>
  <r>
    <x v="114"/>
  </r>
  <r>
    <x v="30"/>
  </r>
  <r>
    <x v="196"/>
  </r>
  <r>
    <x v="9"/>
  </r>
  <r>
    <x v="134"/>
  </r>
  <r>
    <x v="29"/>
  </r>
  <r>
    <x v="123"/>
  </r>
  <r>
    <x v="81"/>
  </r>
  <r>
    <x v="35"/>
  </r>
  <r>
    <x v="48"/>
  </r>
  <r>
    <x v="134"/>
  </r>
  <r>
    <x v="134"/>
  </r>
  <r>
    <x v="154"/>
  </r>
  <r>
    <x v="8"/>
  </r>
  <r>
    <x v="134"/>
  </r>
  <r>
    <x v="134"/>
  </r>
  <r>
    <x v="108"/>
  </r>
  <r>
    <x v="108"/>
  </r>
  <r>
    <x v="134"/>
  </r>
  <r>
    <x v="108"/>
  </r>
  <r>
    <x v="108"/>
  </r>
  <r>
    <x v="134"/>
  </r>
  <r>
    <x v="71"/>
  </r>
  <r>
    <x v="71"/>
  </r>
  <r>
    <x v="12"/>
  </r>
  <r>
    <x v="71"/>
  </r>
  <r>
    <x v="45"/>
  </r>
  <r>
    <x v="78"/>
  </r>
  <r>
    <x v="4"/>
  </r>
  <r>
    <x v="4"/>
  </r>
  <r>
    <x v="0"/>
  </r>
  <r>
    <x v="114"/>
  </r>
  <r>
    <x v="71"/>
  </r>
  <r>
    <x v="22"/>
  </r>
  <r>
    <x v="0"/>
  </r>
  <r>
    <x v="93"/>
  </r>
  <r>
    <x v="93"/>
  </r>
  <r>
    <x v="14"/>
  </r>
  <r>
    <x v="2"/>
  </r>
  <r>
    <x v="2"/>
  </r>
  <r>
    <x v="14"/>
  </r>
  <r>
    <x v="93"/>
  </r>
  <r>
    <x v="25"/>
  </r>
  <r>
    <x v="25"/>
  </r>
  <r>
    <x v="25"/>
  </r>
  <r>
    <x v="25"/>
  </r>
  <r>
    <x v="25"/>
  </r>
  <r>
    <x v="37"/>
  </r>
  <r>
    <x v="64"/>
  </r>
  <r>
    <x v="79"/>
  </r>
  <r>
    <x v="79"/>
  </r>
  <r>
    <x v="45"/>
  </r>
  <r>
    <x v="123"/>
  </r>
  <r>
    <x v="31"/>
  </r>
  <r>
    <x v="31"/>
  </r>
  <r>
    <x v="31"/>
  </r>
  <r>
    <x v="75"/>
  </r>
  <r>
    <x v="10"/>
  </r>
  <r>
    <x v="10"/>
  </r>
  <r>
    <x v="112"/>
  </r>
  <r>
    <x v="96"/>
  </r>
  <r>
    <x v="12"/>
  </r>
  <r>
    <x v="12"/>
  </r>
  <r>
    <x v="37"/>
  </r>
  <r>
    <x v="76"/>
  </r>
  <r>
    <x v="105"/>
  </r>
  <r>
    <x v="85"/>
  </r>
  <r>
    <x v="4"/>
  </r>
  <r>
    <x v="93"/>
  </r>
  <r>
    <x v="55"/>
  </r>
  <r>
    <x v="85"/>
  </r>
  <r>
    <x v="55"/>
  </r>
  <r>
    <x v="112"/>
  </r>
  <r>
    <x v="112"/>
  </r>
  <r>
    <x v="64"/>
  </r>
  <r>
    <x v="4"/>
  </r>
  <r>
    <x v="2"/>
  </r>
  <r>
    <x v="28"/>
  </r>
  <r>
    <x v="31"/>
  </r>
  <r>
    <x v="134"/>
  </r>
  <r>
    <x v="106"/>
  </r>
  <r>
    <x v="78"/>
  </r>
  <r>
    <x v="78"/>
  </r>
  <r>
    <x v="31"/>
  </r>
  <r>
    <x v="31"/>
  </r>
  <r>
    <x v="31"/>
  </r>
  <r>
    <x v="83"/>
  </r>
  <r>
    <x v="83"/>
  </r>
  <r>
    <x v="83"/>
  </r>
  <r>
    <x v="83"/>
  </r>
  <r>
    <x v="59"/>
  </r>
  <r>
    <x v="78"/>
  </r>
  <r>
    <x v="93"/>
  </r>
  <r>
    <x v="78"/>
  </r>
  <r>
    <x v="78"/>
  </r>
  <r>
    <x v="78"/>
  </r>
  <r>
    <x v="78"/>
  </r>
  <r>
    <x v="78"/>
  </r>
  <r>
    <x v="56"/>
  </r>
  <r>
    <x v="56"/>
  </r>
  <r>
    <x v="3"/>
  </r>
  <r>
    <x v="78"/>
  </r>
  <r>
    <x v="76"/>
  </r>
  <r>
    <x v="75"/>
  </r>
  <r>
    <x v="75"/>
  </r>
  <r>
    <x v="75"/>
  </r>
  <r>
    <x v="75"/>
  </r>
  <r>
    <x v="10"/>
  </r>
  <r>
    <x v="10"/>
  </r>
  <r>
    <x v="2"/>
  </r>
  <r>
    <x v="2"/>
  </r>
  <r>
    <x v="10"/>
  </r>
  <r>
    <x v="10"/>
  </r>
  <r>
    <x v="10"/>
  </r>
  <r>
    <x v="76"/>
  </r>
  <r>
    <x v="76"/>
  </r>
  <r>
    <x v="78"/>
  </r>
  <r>
    <x v="75"/>
  </r>
  <r>
    <x v="26"/>
  </r>
  <r>
    <x v="76"/>
  </r>
  <r>
    <x v="76"/>
  </r>
  <r>
    <x v="75"/>
  </r>
  <r>
    <x v="83"/>
  </r>
  <r>
    <x v="83"/>
  </r>
  <r>
    <x v="83"/>
  </r>
  <r>
    <x v="107"/>
  </r>
  <r>
    <x v="107"/>
  </r>
  <r>
    <x v="107"/>
  </r>
  <r>
    <x v="197"/>
  </r>
  <r>
    <x v="48"/>
  </r>
  <r>
    <x v="193"/>
  </r>
  <r>
    <x v="48"/>
  </r>
  <r>
    <x v="50"/>
  </r>
  <r>
    <x v="4"/>
  </r>
  <r>
    <x v="28"/>
  </r>
  <r>
    <x v="143"/>
  </r>
  <r>
    <x v="10"/>
  </r>
  <r>
    <x v="187"/>
  </r>
  <r>
    <x v="90"/>
  </r>
  <r>
    <x v="82"/>
  </r>
  <r>
    <x v="48"/>
  </r>
  <r>
    <x v="93"/>
  </r>
  <r>
    <x v="0"/>
  </r>
  <r>
    <x v="71"/>
  </r>
  <r>
    <x v="71"/>
  </r>
  <r>
    <x v="0"/>
  </r>
  <r>
    <x v="0"/>
  </r>
  <r>
    <x v="0"/>
  </r>
  <r>
    <x v="76"/>
  </r>
  <r>
    <x v="76"/>
  </r>
  <r>
    <x v="76"/>
  </r>
  <r>
    <x v="2"/>
  </r>
  <r>
    <x v="2"/>
  </r>
  <r>
    <x v="78"/>
  </r>
  <r>
    <x v="2"/>
  </r>
  <r>
    <x v="2"/>
  </r>
  <r>
    <x v="2"/>
  </r>
  <r>
    <x v="2"/>
  </r>
  <r>
    <x v="2"/>
  </r>
  <r>
    <x v="0"/>
  </r>
  <r>
    <x v="12"/>
  </r>
  <r>
    <x v="12"/>
  </r>
  <r>
    <x v="12"/>
  </r>
  <r>
    <x v="12"/>
  </r>
  <r>
    <x v="115"/>
  </r>
  <r>
    <x v="115"/>
  </r>
  <r>
    <x v="45"/>
  </r>
  <r>
    <x v="45"/>
  </r>
  <r>
    <x v="14"/>
  </r>
  <r>
    <x v="2"/>
  </r>
  <r>
    <x v="2"/>
  </r>
  <r>
    <x v="2"/>
  </r>
  <r>
    <x v="2"/>
  </r>
  <r>
    <x v="2"/>
  </r>
  <r>
    <x v="32"/>
  </r>
  <r>
    <x v="55"/>
  </r>
  <r>
    <x v="108"/>
  </r>
  <r>
    <x v="108"/>
  </r>
  <r>
    <x v="108"/>
  </r>
  <r>
    <x v="0"/>
  </r>
  <r>
    <x v="0"/>
  </r>
  <r>
    <x v="48"/>
  </r>
  <r>
    <x v="48"/>
  </r>
  <r>
    <x v="48"/>
  </r>
  <r>
    <x v="48"/>
  </r>
  <r>
    <x v="48"/>
  </r>
  <r>
    <x v="48"/>
  </r>
  <r>
    <x v="48"/>
  </r>
  <r>
    <x v="48"/>
  </r>
  <r>
    <x v="2"/>
  </r>
  <r>
    <x v="108"/>
  </r>
  <r>
    <x v="93"/>
  </r>
  <r>
    <x v="2"/>
  </r>
  <r>
    <x v="2"/>
  </r>
  <r>
    <x v="25"/>
  </r>
  <r>
    <x v="25"/>
  </r>
  <r>
    <x v="76"/>
  </r>
  <r>
    <x v="72"/>
  </r>
  <r>
    <x v="25"/>
  </r>
  <r>
    <x v="25"/>
  </r>
  <r>
    <x v="12"/>
  </r>
  <r>
    <x v="76"/>
  </r>
  <r>
    <x v="76"/>
  </r>
  <r>
    <x v="76"/>
  </r>
  <r>
    <x v="76"/>
  </r>
  <r>
    <x v="48"/>
  </r>
  <r>
    <x v="76"/>
  </r>
  <r>
    <x v="76"/>
  </r>
  <r>
    <x v="76"/>
  </r>
  <r>
    <x v="76"/>
  </r>
  <r>
    <x v="76"/>
  </r>
  <r>
    <x v="76"/>
  </r>
  <r>
    <x v="48"/>
  </r>
  <r>
    <x v="76"/>
  </r>
  <r>
    <x v="76"/>
  </r>
  <r>
    <x v="76"/>
  </r>
  <r>
    <x v="75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5"/>
  </r>
  <r>
    <x v="75"/>
  </r>
  <r>
    <x v="76"/>
  </r>
  <r>
    <x v="75"/>
  </r>
  <r>
    <x v="76"/>
  </r>
  <r>
    <x v="76"/>
  </r>
  <r>
    <x v="12"/>
  </r>
  <r>
    <x v="76"/>
  </r>
  <r>
    <x v="12"/>
  </r>
  <r>
    <x v="76"/>
  </r>
  <r>
    <x v="76"/>
  </r>
  <r>
    <x v="76"/>
  </r>
  <r>
    <x v="117"/>
  </r>
  <r>
    <x v="76"/>
  </r>
  <r>
    <x v="76"/>
  </r>
  <r>
    <x v="0"/>
  </r>
  <r>
    <x v="117"/>
  </r>
  <r>
    <x v="117"/>
  </r>
  <r>
    <x v="76"/>
  </r>
  <r>
    <x v="76"/>
  </r>
  <r>
    <x v="117"/>
  </r>
  <r>
    <x v="117"/>
  </r>
  <r>
    <x v="0"/>
  </r>
  <r>
    <x v="76"/>
  </r>
  <r>
    <x v="75"/>
  </r>
  <r>
    <x v="75"/>
  </r>
  <r>
    <x v="75"/>
  </r>
  <r>
    <x v="12"/>
  </r>
  <r>
    <x v="72"/>
  </r>
  <r>
    <x v="63"/>
  </r>
  <r>
    <x v="76"/>
  </r>
  <r>
    <x v="76"/>
  </r>
  <r>
    <x v="75"/>
  </r>
  <r>
    <x v="76"/>
  </r>
  <r>
    <x v="75"/>
  </r>
  <r>
    <x v="75"/>
  </r>
  <r>
    <x v="117"/>
  </r>
  <r>
    <x v="75"/>
  </r>
  <r>
    <x v="76"/>
  </r>
  <r>
    <x v="117"/>
  </r>
  <r>
    <x v="112"/>
  </r>
  <r>
    <x v="112"/>
  </r>
  <r>
    <x v="10"/>
  </r>
  <r>
    <x v="10"/>
  </r>
  <r>
    <x v="78"/>
  </r>
  <r>
    <x v="78"/>
  </r>
  <r>
    <x v="10"/>
  </r>
  <r>
    <x v="78"/>
  </r>
  <r>
    <x v="78"/>
  </r>
  <r>
    <x v="78"/>
  </r>
  <r>
    <x v="87"/>
  </r>
  <r>
    <x v="25"/>
  </r>
  <r>
    <x v="25"/>
  </r>
  <r>
    <x v="93"/>
  </r>
  <r>
    <x v="76"/>
  </r>
  <r>
    <x v="75"/>
  </r>
  <r>
    <x v="75"/>
  </r>
  <r>
    <x v="75"/>
  </r>
  <r>
    <x v="7"/>
  </r>
  <r>
    <x v="78"/>
  </r>
  <r>
    <x v="112"/>
  </r>
  <r>
    <x v="7"/>
  </r>
  <r>
    <x v="25"/>
  </r>
  <r>
    <x v="10"/>
  </r>
  <r>
    <x v="10"/>
  </r>
  <r>
    <x v="71"/>
  </r>
  <r>
    <x v="42"/>
  </r>
  <r>
    <x v="0"/>
  </r>
  <r>
    <x v="0"/>
  </r>
  <r>
    <x v="0"/>
  </r>
  <r>
    <x v="25"/>
  </r>
  <r>
    <x v="25"/>
  </r>
  <r>
    <x v="25"/>
  </r>
  <r>
    <x v="0"/>
  </r>
  <r>
    <x v="32"/>
  </r>
  <r>
    <x v="9"/>
  </r>
  <r>
    <x v="78"/>
  </r>
  <r>
    <x v="78"/>
  </r>
  <r>
    <x v="78"/>
  </r>
  <r>
    <x v="25"/>
  </r>
  <r>
    <x v="108"/>
  </r>
  <r>
    <x v="25"/>
  </r>
  <r>
    <x v="25"/>
  </r>
  <r>
    <x v="105"/>
  </r>
  <r>
    <x v="108"/>
  </r>
  <r>
    <x v="82"/>
  </r>
  <r>
    <x v="76"/>
  </r>
  <r>
    <x v="4"/>
  </r>
  <r>
    <x v="4"/>
  </r>
  <r>
    <x v="4"/>
  </r>
  <r>
    <x v="81"/>
  </r>
  <r>
    <x v="8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98"/>
  </r>
  <r>
    <x v="4"/>
  </r>
  <r>
    <x v="199"/>
  </r>
  <r>
    <x v="23"/>
  </r>
  <r>
    <x v="87"/>
  </r>
  <r>
    <x v="87"/>
  </r>
  <r>
    <x v="76"/>
  </r>
  <r>
    <x v="108"/>
  </r>
  <r>
    <x v="200"/>
  </r>
  <r>
    <x v="76"/>
  </r>
  <r>
    <x v="76"/>
  </r>
  <r>
    <x v="76"/>
  </r>
  <r>
    <x v="82"/>
  </r>
  <r>
    <x v="200"/>
  </r>
  <r>
    <x v="108"/>
  </r>
  <r>
    <x v="108"/>
  </r>
  <r>
    <x v="108"/>
  </r>
  <r>
    <x v="82"/>
  </r>
  <r>
    <x v="108"/>
  </r>
  <r>
    <x v="87"/>
  </r>
  <r>
    <x v="34"/>
  </r>
  <r>
    <x v="157"/>
  </r>
  <r>
    <x v="26"/>
  </r>
  <r>
    <x v="34"/>
  </r>
  <r>
    <x v="34"/>
  </r>
  <r>
    <x v="34"/>
  </r>
  <r>
    <x v="14"/>
  </r>
  <r>
    <x v="14"/>
  </r>
  <r>
    <x v="14"/>
  </r>
  <r>
    <x v="14"/>
  </r>
  <r>
    <x v="34"/>
  </r>
  <r>
    <x v="34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72"/>
  </r>
  <r>
    <x v="72"/>
  </r>
  <r>
    <x v="93"/>
  </r>
  <r>
    <x v="81"/>
  </r>
  <r>
    <x v="93"/>
  </r>
  <r>
    <x v="93"/>
  </r>
  <r>
    <x v="76"/>
  </r>
  <r>
    <x v="6"/>
  </r>
  <r>
    <x v="72"/>
  </r>
  <r>
    <x v="0"/>
  </r>
  <r>
    <x v="72"/>
  </r>
  <r>
    <x v="100"/>
  </r>
  <r>
    <x v="45"/>
  </r>
  <r>
    <x v="56"/>
  </r>
  <r>
    <x v="56"/>
  </r>
  <r>
    <x v="56"/>
  </r>
  <r>
    <x v="76"/>
  </r>
  <r>
    <x v="76"/>
  </r>
  <r>
    <x v="76"/>
  </r>
  <r>
    <x v="12"/>
  </r>
  <r>
    <x v="30"/>
  </r>
  <r>
    <x v="56"/>
  </r>
  <r>
    <x v="46"/>
  </r>
  <r>
    <x v="93"/>
  </r>
  <r>
    <x v="99"/>
  </r>
  <r>
    <x v="48"/>
  </r>
  <r>
    <x v="48"/>
  </r>
  <r>
    <x v="99"/>
  </r>
  <r>
    <x v="103"/>
  </r>
  <r>
    <x v="99"/>
  </r>
  <r>
    <x v="103"/>
  </r>
  <r>
    <x v="79"/>
  </r>
  <r>
    <x v="79"/>
  </r>
  <r>
    <x v="76"/>
  </r>
  <r>
    <x v="79"/>
  </r>
  <r>
    <x v="76"/>
  </r>
  <r>
    <x v="46"/>
  </r>
  <r>
    <x v="46"/>
  </r>
  <r>
    <x v="46"/>
  </r>
  <r>
    <x v="201"/>
  </r>
  <r>
    <x v="25"/>
  </r>
  <r>
    <x v="25"/>
  </r>
  <r>
    <x v="25"/>
  </r>
  <r>
    <x v="78"/>
  </r>
  <r>
    <x v="76"/>
  </r>
  <r>
    <x v="0"/>
  </r>
  <r>
    <x v="48"/>
  </r>
  <r>
    <x v="76"/>
  </r>
  <r>
    <x v="76"/>
  </r>
  <r>
    <x v="78"/>
  </r>
  <r>
    <x v="78"/>
  </r>
  <r>
    <x v="78"/>
  </r>
  <r>
    <x v="10"/>
  </r>
  <r>
    <x v="48"/>
  </r>
  <r>
    <x v="0"/>
  </r>
  <r>
    <x v="28"/>
  </r>
  <r>
    <x v="10"/>
  </r>
  <r>
    <x v="0"/>
  </r>
  <r>
    <x v="0"/>
  </r>
  <r>
    <x v="184"/>
  </r>
  <r>
    <x v="184"/>
  </r>
  <r>
    <x v="48"/>
  </r>
  <r>
    <x v="31"/>
  </r>
  <r>
    <x v="59"/>
  </r>
  <r>
    <x v="34"/>
  </r>
  <r>
    <x v="17"/>
  </r>
  <r>
    <x v="78"/>
  </r>
  <r>
    <x v="17"/>
  </r>
  <r>
    <x v="72"/>
  </r>
  <r>
    <x v="78"/>
  </r>
  <r>
    <x v="78"/>
  </r>
  <r>
    <x v="200"/>
  </r>
  <r>
    <x v="193"/>
  </r>
  <r>
    <x v="78"/>
  </r>
  <r>
    <x v="34"/>
  </r>
  <r>
    <x v="78"/>
  </r>
  <r>
    <x v="48"/>
  </r>
  <r>
    <x v="20"/>
  </r>
  <r>
    <x v="50"/>
  </r>
  <r>
    <x v="64"/>
  </r>
  <r>
    <x v="78"/>
  </r>
  <r>
    <x v="10"/>
  </r>
  <r>
    <x v="100"/>
  </r>
  <r>
    <x v="10"/>
  </r>
  <r>
    <x v="154"/>
  </r>
  <r>
    <x v="154"/>
  </r>
  <r>
    <x v="82"/>
  </r>
  <r>
    <x v="104"/>
  </r>
  <r>
    <x v="93"/>
  </r>
  <r>
    <x v="29"/>
  </r>
  <r>
    <x v="0"/>
  </r>
  <r>
    <x v="0"/>
  </r>
  <r>
    <x v="25"/>
  </r>
  <r>
    <x v="113"/>
  </r>
  <r>
    <x v="79"/>
  </r>
  <r>
    <x v="106"/>
  </r>
  <r>
    <x v="106"/>
  </r>
  <r>
    <x v="79"/>
  </r>
  <r>
    <x v="25"/>
  </r>
  <r>
    <x v="93"/>
  </r>
  <r>
    <x v="0"/>
  </r>
  <r>
    <x v="93"/>
  </r>
  <r>
    <x v="93"/>
  </r>
  <r>
    <x v="30"/>
  </r>
  <r>
    <x v="93"/>
  </r>
  <r>
    <x v="93"/>
  </r>
  <r>
    <x v="93"/>
  </r>
  <r>
    <x v="57"/>
  </r>
  <r>
    <x v="25"/>
  </r>
  <r>
    <x v="25"/>
  </r>
  <r>
    <x v="25"/>
  </r>
  <r>
    <x v="25"/>
  </r>
  <r>
    <x v="25"/>
  </r>
  <r>
    <x v="25"/>
  </r>
  <r>
    <x v="102"/>
  </r>
  <r>
    <x v="25"/>
  </r>
  <r>
    <x v="25"/>
  </r>
  <r>
    <x v="25"/>
  </r>
  <r>
    <x v="25"/>
  </r>
  <r>
    <x v="25"/>
  </r>
  <r>
    <x v="56"/>
  </r>
  <r>
    <x v="76"/>
  </r>
  <r>
    <x v="82"/>
  </r>
  <r>
    <x v="79"/>
  </r>
  <r>
    <x v="82"/>
  </r>
  <r>
    <x v="113"/>
  </r>
  <r>
    <x v="0"/>
  </r>
  <r>
    <x v="2"/>
  </r>
  <r>
    <x v="202"/>
  </r>
  <r>
    <x v="48"/>
  </r>
  <r>
    <x v="26"/>
  </r>
  <r>
    <x v="25"/>
  </r>
  <r>
    <x v="25"/>
  </r>
  <r>
    <x v="113"/>
  </r>
  <r>
    <x v="25"/>
  </r>
  <r>
    <x v="78"/>
  </r>
  <r>
    <x v="0"/>
  </r>
  <r>
    <x v="72"/>
  </r>
  <r>
    <x v="72"/>
  </r>
  <r>
    <x v="72"/>
  </r>
  <r>
    <x v="0"/>
  </r>
  <r>
    <x v="93"/>
  </r>
  <r>
    <x v="93"/>
  </r>
  <r>
    <x v="93"/>
  </r>
  <r>
    <x v="93"/>
  </r>
  <r>
    <x v="0"/>
  </r>
  <r>
    <x v="64"/>
  </r>
  <r>
    <x v="78"/>
  </r>
  <r>
    <x v="78"/>
  </r>
  <r>
    <x v="0"/>
  </r>
  <r>
    <x v="30"/>
  </r>
  <r>
    <x v="22"/>
  </r>
  <r>
    <x v="15"/>
  </r>
  <r>
    <x v="15"/>
  </r>
  <r>
    <x v="15"/>
  </r>
  <r>
    <x v="93"/>
  </r>
  <r>
    <x v="93"/>
  </r>
  <r>
    <x v="93"/>
  </r>
  <r>
    <x v="203"/>
  </r>
  <r>
    <x v="76"/>
  </r>
  <r>
    <x v="76"/>
  </r>
  <r>
    <x v="76"/>
  </r>
  <r>
    <x v="25"/>
  </r>
  <r>
    <x v="81"/>
  </r>
  <r>
    <x v="48"/>
  </r>
  <r>
    <x v="2"/>
  </r>
  <r>
    <x v="2"/>
  </r>
  <r>
    <x v="78"/>
  </r>
  <r>
    <x v="72"/>
  </r>
  <r>
    <x v="78"/>
  </r>
  <r>
    <x v="87"/>
  </r>
  <r>
    <x v="44"/>
  </r>
  <r>
    <x v="81"/>
  </r>
  <r>
    <x v="204"/>
  </r>
  <r>
    <x v="204"/>
  </r>
  <r>
    <x v="10"/>
  </r>
  <r>
    <x v="10"/>
  </r>
  <r>
    <x v="10"/>
  </r>
  <r>
    <x v="10"/>
  </r>
  <r>
    <x v="10"/>
  </r>
  <r>
    <x v="204"/>
  </r>
  <r>
    <x v="52"/>
  </r>
  <r>
    <x v="157"/>
  </r>
  <r>
    <x v="52"/>
  </r>
  <r>
    <x v="52"/>
  </r>
  <r>
    <x v="205"/>
  </r>
  <r>
    <x v="22"/>
  </r>
  <r>
    <x v="89"/>
  </r>
  <r>
    <x v="206"/>
  </r>
  <r>
    <x v="10"/>
  </r>
  <r>
    <x v="204"/>
  </r>
  <r>
    <x v="154"/>
  </r>
  <r>
    <x v="198"/>
  </r>
  <r>
    <x v="44"/>
  </r>
  <r>
    <x v="115"/>
  </r>
  <r>
    <x v="115"/>
  </r>
  <r>
    <x v="44"/>
  </r>
  <r>
    <x v="6"/>
  </r>
  <r>
    <x v="12"/>
  </r>
  <r>
    <x v="100"/>
  </r>
  <r>
    <x v="55"/>
  </r>
  <r>
    <x v="6"/>
  </r>
  <r>
    <x v="55"/>
  </r>
  <r>
    <x v="81"/>
  </r>
  <r>
    <x v="89"/>
  </r>
  <r>
    <x v="182"/>
  </r>
  <r>
    <x v="87"/>
  </r>
  <r>
    <x v="48"/>
  </r>
  <r>
    <x v="97"/>
  </r>
  <r>
    <x v="205"/>
  </r>
  <r>
    <x v="4"/>
  </r>
  <r>
    <x v="112"/>
  </r>
  <r>
    <x v="52"/>
  </r>
  <r>
    <x v="24"/>
  </r>
  <r>
    <x v="116"/>
  </r>
  <r>
    <x v="87"/>
  </r>
  <r>
    <x v="45"/>
  </r>
  <r>
    <x v="21"/>
  </r>
  <r>
    <x v="22"/>
  </r>
  <r>
    <x v="22"/>
  </r>
  <r>
    <x v="22"/>
  </r>
  <r>
    <x v="31"/>
  </r>
  <r>
    <x v="59"/>
  </r>
  <r>
    <x v="78"/>
  </r>
  <r>
    <x v="112"/>
  </r>
  <r>
    <x v="56"/>
  </r>
  <r>
    <x v="12"/>
  </r>
  <r>
    <x v="14"/>
  </r>
  <r>
    <x v="207"/>
  </r>
  <r>
    <x v="22"/>
  </r>
  <r>
    <x v="45"/>
  </r>
  <r>
    <x v="0"/>
  </r>
  <r>
    <x v="45"/>
  </r>
  <r>
    <x v="45"/>
  </r>
  <r>
    <x v="87"/>
  </r>
  <r>
    <x v="59"/>
  </r>
  <r>
    <x v="75"/>
  </r>
  <r>
    <x v="208"/>
  </r>
  <r>
    <x v="28"/>
  </r>
  <r>
    <x v="208"/>
  </r>
  <r>
    <x v="28"/>
  </r>
  <r>
    <x v="208"/>
  </r>
  <r>
    <x v="208"/>
  </r>
  <r>
    <x v="208"/>
  </r>
  <r>
    <x v="46"/>
  </r>
  <r>
    <x v="208"/>
  </r>
  <r>
    <x v="208"/>
  </r>
  <r>
    <x v="31"/>
  </r>
  <r>
    <x v="208"/>
  </r>
  <r>
    <x v="208"/>
  </r>
  <r>
    <x v="56"/>
  </r>
  <r>
    <x v="208"/>
  </r>
  <r>
    <x v="45"/>
  </r>
  <r>
    <x v="118"/>
  </r>
  <r>
    <x v="45"/>
  </r>
  <r>
    <x v="209"/>
  </r>
  <r>
    <x v="32"/>
  </r>
  <r>
    <x v="76"/>
  </r>
  <r>
    <x v="118"/>
  </r>
  <r>
    <x v="208"/>
  </r>
  <r>
    <x v="208"/>
  </r>
  <r>
    <x v="208"/>
  </r>
  <r>
    <x v="14"/>
  </r>
  <r>
    <x v="208"/>
  </r>
  <r>
    <x v="208"/>
  </r>
  <r>
    <x v="208"/>
  </r>
  <r>
    <x v="208"/>
  </r>
  <r>
    <x v="208"/>
  </r>
  <r>
    <x v="208"/>
  </r>
  <r>
    <x v="28"/>
  </r>
  <r>
    <x v="28"/>
  </r>
  <r>
    <x v="36"/>
  </r>
  <r>
    <x v="36"/>
  </r>
  <r>
    <x v="36"/>
  </r>
  <r>
    <x v="36"/>
  </r>
  <r>
    <x v="210"/>
  </r>
  <r>
    <x v="36"/>
  </r>
  <r>
    <x v="10"/>
  </r>
  <r>
    <x v="81"/>
  </r>
  <r>
    <x v="23"/>
  </r>
  <r>
    <x v="17"/>
  </r>
  <r>
    <x v="81"/>
  </r>
  <r>
    <x v="81"/>
  </r>
  <r>
    <x v="81"/>
  </r>
  <r>
    <x v="10"/>
  </r>
  <r>
    <x v="81"/>
  </r>
  <r>
    <x v="45"/>
  </r>
  <r>
    <x v="208"/>
  </r>
  <r>
    <x v="208"/>
  </r>
  <r>
    <x v="208"/>
  </r>
  <r>
    <x v="10"/>
  </r>
  <r>
    <x v="10"/>
  </r>
  <r>
    <x v="10"/>
  </r>
  <r>
    <x v="12"/>
  </r>
  <r>
    <x v="12"/>
  </r>
  <r>
    <x v="208"/>
  </r>
  <r>
    <x v="208"/>
  </r>
  <r>
    <x v="208"/>
  </r>
  <r>
    <x v="208"/>
  </r>
  <r>
    <x v="77"/>
  </r>
  <r>
    <x v="208"/>
  </r>
  <r>
    <x v="28"/>
  </r>
  <r>
    <x v="45"/>
  </r>
  <r>
    <x v="45"/>
  </r>
  <r>
    <x v="45"/>
  </r>
  <r>
    <x v="45"/>
  </r>
  <r>
    <x v="45"/>
  </r>
  <r>
    <x v="208"/>
  </r>
  <r>
    <x v="181"/>
  </r>
  <r>
    <x v="78"/>
  </r>
  <r>
    <x v="78"/>
  </r>
  <r>
    <x v="91"/>
  </r>
  <r>
    <x v="179"/>
  </r>
  <r>
    <x v="10"/>
  </r>
  <r>
    <x v="34"/>
  </r>
  <r>
    <x v="76"/>
  </r>
  <r>
    <x v="12"/>
  </r>
  <r>
    <x v="112"/>
  </r>
  <r>
    <x v="36"/>
  </r>
  <r>
    <x v="72"/>
  </r>
  <r>
    <x v="21"/>
  </r>
  <r>
    <x v="122"/>
  </r>
  <r>
    <x v="29"/>
  </r>
  <r>
    <x v="173"/>
  </r>
  <r>
    <x v="188"/>
  </r>
  <r>
    <x v="177"/>
  </r>
  <r>
    <x v="31"/>
  </r>
  <r>
    <x v="31"/>
  </r>
  <r>
    <x v="48"/>
  </r>
  <r>
    <x v="48"/>
  </r>
  <r>
    <x v="48"/>
  </r>
  <r>
    <x v="48"/>
  </r>
  <r>
    <x v="109"/>
  </r>
  <r>
    <x v="109"/>
  </r>
  <r>
    <x v="76"/>
  </r>
  <r>
    <x v="10"/>
  </r>
  <r>
    <x v="10"/>
  </r>
  <r>
    <x v="10"/>
  </r>
  <r>
    <x v="10"/>
  </r>
  <r>
    <x v="10"/>
  </r>
  <r>
    <x v="10"/>
  </r>
  <r>
    <x v="37"/>
  </r>
  <r>
    <x v="48"/>
  </r>
  <r>
    <x v="31"/>
  </r>
  <r>
    <x v="48"/>
  </r>
  <r>
    <x v="79"/>
  </r>
  <r>
    <x v="48"/>
  </r>
  <r>
    <x v="31"/>
  </r>
  <r>
    <x v="2"/>
  </r>
  <r>
    <x v="2"/>
  </r>
  <r>
    <x v="2"/>
  </r>
  <r>
    <x v="2"/>
  </r>
  <r>
    <x v="211"/>
  </r>
  <r>
    <x v="21"/>
  </r>
  <r>
    <x v="14"/>
  </r>
  <r>
    <x v="57"/>
  </r>
  <r>
    <x v="116"/>
  </r>
  <r>
    <x v="212"/>
  </r>
  <r>
    <x v="98"/>
  </r>
  <r>
    <x v="31"/>
  </r>
  <r>
    <x v="127"/>
  </r>
  <r>
    <x v="154"/>
  </r>
  <r>
    <x v="24"/>
  </r>
  <r>
    <x v="79"/>
  </r>
  <r>
    <x v="10"/>
  </r>
  <r>
    <x v="79"/>
  </r>
  <r>
    <x v="37"/>
  </r>
  <r>
    <x v="25"/>
  </r>
  <r>
    <x v="2"/>
  </r>
  <r>
    <x v="2"/>
  </r>
  <r>
    <x v="24"/>
  </r>
  <r>
    <x v="24"/>
  </r>
  <r>
    <x v="37"/>
  </r>
  <r>
    <x v="2"/>
  </r>
  <r>
    <x v="56"/>
  </r>
  <r>
    <x v="25"/>
  </r>
  <r>
    <x v="10"/>
  </r>
  <r>
    <x v="154"/>
  </r>
  <r>
    <x v="36"/>
  </r>
  <r>
    <x v="44"/>
  </r>
  <r>
    <x v="44"/>
  </r>
  <r>
    <x v="59"/>
  </r>
  <r>
    <x v="59"/>
  </r>
  <r>
    <x v="121"/>
  </r>
  <r>
    <x v="36"/>
  </r>
  <r>
    <x v="48"/>
  </r>
  <r>
    <x v="2"/>
  </r>
  <r>
    <x v="6"/>
  </r>
  <r>
    <x v="182"/>
  </r>
  <r>
    <x v="36"/>
  </r>
  <r>
    <x v="154"/>
  </r>
  <r>
    <x v="127"/>
  </r>
  <r>
    <x v="81"/>
  </r>
  <r>
    <x v="81"/>
  </r>
  <r>
    <x v="31"/>
  </r>
  <r>
    <x v="31"/>
  </r>
  <r>
    <x v="31"/>
  </r>
  <r>
    <x v="63"/>
  </r>
  <r>
    <x v="72"/>
  </r>
  <r>
    <x v="76"/>
  </r>
  <r>
    <x v="76"/>
  </r>
  <r>
    <x v="72"/>
  </r>
  <r>
    <x v="55"/>
  </r>
  <r>
    <x v="75"/>
  </r>
  <r>
    <x v="75"/>
  </r>
  <r>
    <x v="30"/>
  </r>
  <r>
    <x v="213"/>
  </r>
  <r>
    <x v="25"/>
  </r>
  <r>
    <x v="25"/>
  </r>
  <r>
    <x v="25"/>
  </r>
  <r>
    <x v="72"/>
  </r>
  <r>
    <x v="48"/>
  </r>
  <r>
    <x v="3"/>
  </r>
  <r>
    <x v="25"/>
  </r>
  <r>
    <x v="75"/>
  </r>
  <r>
    <x v="48"/>
  </r>
  <r>
    <x v="87"/>
  </r>
  <r>
    <x v="48"/>
  </r>
  <r>
    <x v="56"/>
  </r>
  <r>
    <x v="56"/>
  </r>
  <r>
    <x v="25"/>
  </r>
  <r>
    <x v="20"/>
  </r>
  <r>
    <x v="56"/>
  </r>
  <r>
    <x v="93"/>
  </r>
  <r>
    <x v="93"/>
  </r>
  <r>
    <x v="36"/>
  </r>
  <r>
    <x v="93"/>
  </r>
  <r>
    <x v="29"/>
  </r>
  <r>
    <x v="93"/>
  </r>
  <r>
    <x v="82"/>
  </r>
  <r>
    <x v="82"/>
  </r>
  <r>
    <x v="99"/>
  </r>
  <r>
    <x v="72"/>
  </r>
  <r>
    <x v="121"/>
  </r>
  <r>
    <x v="52"/>
  </r>
  <r>
    <x v="25"/>
  </r>
  <r>
    <x v="12"/>
  </r>
  <r>
    <x v="25"/>
  </r>
  <r>
    <x v="214"/>
  </r>
  <r>
    <x v="87"/>
  </r>
  <r>
    <x v="87"/>
  </r>
  <r>
    <x v="30"/>
  </r>
  <r>
    <x v="30"/>
  </r>
  <r>
    <x v="81"/>
  </r>
  <r>
    <x v="81"/>
  </r>
  <r>
    <x v="149"/>
  </r>
  <r>
    <x v="149"/>
  </r>
  <r>
    <x v="87"/>
  </r>
  <r>
    <x v="72"/>
  </r>
  <r>
    <x v="72"/>
  </r>
  <r>
    <x v="76"/>
  </r>
  <r>
    <x v="76"/>
  </r>
  <r>
    <x v="76"/>
  </r>
  <r>
    <x v="97"/>
  </r>
  <r>
    <x v="105"/>
  </r>
  <r>
    <x v="105"/>
  </r>
  <r>
    <x v="25"/>
  </r>
  <r>
    <x v="76"/>
  </r>
  <r>
    <x v="149"/>
  </r>
  <r>
    <x v="149"/>
  </r>
  <r>
    <x v="149"/>
  </r>
  <r>
    <x v="149"/>
  </r>
  <r>
    <x v="87"/>
  </r>
  <r>
    <x v="149"/>
  </r>
  <r>
    <x v="149"/>
  </r>
  <r>
    <x v="76"/>
  </r>
  <r>
    <x v="76"/>
  </r>
  <r>
    <x v="105"/>
  </r>
  <r>
    <x v="76"/>
  </r>
  <r>
    <x v="76"/>
  </r>
  <r>
    <x v="76"/>
  </r>
  <r>
    <x v="25"/>
  </r>
  <r>
    <x v="4"/>
  </r>
  <r>
    <x v="4"/>
  </r>
  <r>
    <x v="4"/>
  </r>
  <r>
    <x v="60"/>
  </r>
  <r>
    <x v="25"/>
  </r>
  <r>
    <x v="25"/>
  </r>
  <r>
    <x v="25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57"/>
  </r>
  <r>
    <x v="76"/>
  </r>
  <r>
    <x v="93"/>
  </r>
  <r>
    <x v="76"/>
  </r>
  <r>
    <x v="93"/>
  </r>
  <r>
    <x v="200"/>
  </r>
  <r>
    <x v="200"/>
  </r>
  <r>
    <x v="200"/>
  </r>
  <r>
    <x v="76"/>
  </r>
  <r>
    <x v="10"/>
  </r>
  <r>
    <x v="30"/>
  </r>
  <r>
    <x v="48"/>
  </r>
  <r>
    <x v="82"/>
  </r>
  <r>
    <x v="25"/>
  </r>
  <r>
    <x v="93"/>
  </r>
  <r>
    <x v="93"/>
  </r>
  <r>
    <x v="93"/>
  </r>
  <r>
    <x v="183"/>
  </r>
  <r>
    <x v="183"/>
  </r>
  <r>
    <x v="76"/>
  </r>
  <r>
    <x v="183"/>
  </r>
  <r>
    <x v="183"/>
  </r>
  <r>
    <x v="183"/>
  </r>
  <r>
    <x v="183"/>
  </r>
  <r>
    <x v="183"/>
  </r>
  <r>
    <x v="63"/>
  </r>
  <r>
    <x v="21"/>
  </r>
  <r>
    <x v="183"/>
  </r>
  <r>
    <x v="96"/>
  </r>
  <r>
    <x v="96"/>
  </r>
  <r>
    <x v="48"/>
  </r>
  <r>
    <x v="63"/>
  </r>
  <r>
    <x v="81"/>
  </r>
  <r>
    <x v="99"/>
  </r>
  <r>
    <x v="48"/>
  </r>
  <r>
    <x v="48"/>
  </r>
  <r>
    <x v="48"/>
  </r>
  <r>
    <x v="77"/>
  </r>
  <r>
    <x v="93"/>
  </r>
  <r>
    <x v="93"/>
  </r>
  <r>
    <x v="36"/>
  </r>
  <r>
    <x v="93"/>
  </r>
  <r>
    <x v="93"/>
  </r>
  <r>
    <x v="96"/>
  </r>
  <r>
    <x v="93"/>
  </r>
  <r>
    <x v="93"/>
  </r>
  <r>
    <x v="93"/>
  </r>
  <r>
    <x v="21"/>
  </r>
  <r>
    <x v="76"/>
  </r>
  <r>
    <x v="76"/>
  </r>
  <r>
    <x v="48"/>
  </r>
  <r>
    <x v="9"/>
  </r>
  <r>
    <x v="25"/>
  </r>
  <r>
    <x v="32"/>
  </r>
  <r>
    <x v="64"/>
  </r>
  <r>
    <x v="64"/>
  </r>
  <r>
    <x v="82"/>
  </r>
  <r>
    <x v="45"/>
  </r>
  <r>
    <x v="78"/>
  </r>
  <r>
    <x v="81"/>
  </r>
  <r>
    <x v="31"/>
  </r>
  <r>
    <x v="75"/>
  </r>
  <r>
    <x v="22"/>
  </r>
  <r>
    <x v="22"/>
  </r>
  <r>
    <x v="93"/>
  </r>
  <r>
    <x v="93"/>
  </r>
  <r>
    <x v="93"/>
  </r>
  <r>
    <x v="76"/>
  </r>
  <r>
    <x v="93"/>
  </r>
  <r>
    <x v="93"/>
  </r>
  <r>
    <x v="78"/>
  </r>
  <r>
    <x v="99"/>
  </r>
  <r>
    <x v="0"/>
  </r>
  <r>
    <x v="0"/>
  </r>
  <r>
    <x v="78"/>
  </r>
  <r>
    <x v="174"/>
  </r>
  <r>
    <x v="127"/>
  </r>
  <r>
    <x v="7"/>
  </r>
  <r>
    <x v="23"/>
  </r>
  <r>
    <x v="112"/>
  </r>
  <r>
    <x v="81"/>
  </r>
  <r>
    <x v="115"/>
  </r>
  <r>
    <x v="115"/>
  </r>
  <r>
    <x v="112"/>
  </r>
  <r>
    <x v="112"/>
  </r>
  <r>
    <x v="78"/>
  </r>
  <r>
    <x v="78"/>
  </r>
  <r>
    <x v="20"/>
  </r>
  <r>
    <x v="20"/>
  </r>
  <r>
    <x v="42"/>
  </r>
  <r>
    <x v="25"/>
  </r>
  <r>
    <x v="115"/>
  </r>
  <r>
    <x v="111"/>
  </r>
  <r>
    <x v="0"/>
  </r>
  <r>
    <x v="10"/>
  </r>
  <r>
    <x v="0"/>
  </r>
  <r>
    <x v="115"/>
  </r>
  <r>
    <x v="10"/>
  </r>
  <r>
    <x v="17"/>
  </r>
  <r>
    <x v="79"/>
  </r>
  <r>
    <x v="12"/>
  </r>
  <r>
    <x v="25"/>
  </r>
  <r>
    <x v="208"/>
  </r>
  <r>
    <x v="29"/>
  </r>
  <r>
    <x v="29"/>
  </r>
  <r>
    <x v="81"/>
  </r>
  <r>
    <x v="81"/>
  </r>
  <r>
    <x v="72"/>
  </r>
  <r>
    <x v="99"/>
  </r>
  <r>
    <x v="112"/>
  </r>
  <r>
    <x v="99"/>
  </r>
  <r>
    <x v="99"/>
  </r>
  <r>
    <x v="112"/>
  </r>
  <r>
    <x v="0"/>
  </r>
  <r>
    <x v="72"/>
  </r>
  <r>
    <x v="36"/>
  </r>
  <r>
    <x v="29"/>
  </r>
  <r>
    <x v="112"/>
  </r>
  <r>
    <x v="78"/>
  </r>
  <r>
    <x v="78"/>
  </r>
  <r>
    <x v="78"/>
  </r>
  <r>
    <x v="78"/>
  </r>
  <r>
    <x v="93"/>
  </r>
  <r>
    <x v="93"/>
  </r>
  <r>
    <x v="93"/>
  </r>
  <r>
    <x v="105"/>
  </r>
  <r>
    <x v="99"/>
  </r>
  <r>
    <x v="25"/>
  </r>
  <r>
    <x v="25"/>
  </r>
  <r>
    <x v="76"/>
  </r>
  <r>
    <x v="25"/>
  </r>
  <r>
    <x v="25"/>
  </r>
  <r>
    <x v="94"/>
  </r>
  <r>
    <x v="25"/>
  </r>
  <r>
    <x v="25"/>
  </r>
  <r>
    <x v="82"/>
  </r>
  <r>
    <x v="25"/>
  </r>
  <r>
    <x v="25"/>
  </r>
  <r>
    <x v="25"/>
  </r>
  <r>
    <x v="25"/>
  </r>
  <r>
    <x v="215"/>
  </r>
  <r>
    <x v="25"/>
  </r>
  <r>
    <x v="25"/>
  </r>
  <r>
    <x v="83"/>
  </r>
  <r>
    <x v="0"/>
  </r>
  <r>
    <x v="0"/>
  </r>
  <r>
    <x v="87"/>
  </r>
  <r>
    <x v="80"/>
  </r>
  <r>
    <x v="216"/>
  </r>
  <r>
    <x v="63"/>
  </r>
  <r>
    <x v="217"/>
  </r>
  <r>
    <x v="198"/>
  </r>
  <r>
    <x v="25"/>
  </r>
  <r>
    <x v="85"/>
  </r>
  <r>
    <x v="82"/>
  </r>
  <r>
    <x v="85"/>
  </r>
  <r>
    <x v="85"/>
  </r>
  <r>
    <x v="25"/>
  </r>
  <r>
    <x v="25"/>
  </r>
  <r>
    <x v="25"/>
  </r>
  <r>
    <x v="25"/>
  </r>
  <r>
    <x v="199"/>
  </r>
  <r>
    <x v="213"/>
  </r>
  <r>
    <x v="12"/>
  </r>
  <r>
    <x v="12"/>
  </r>
  <r>
    <x v="82"/>
  </r>
  <r>
    <x v="200"/>
  </r>
  <r>
    <x v="82"/>
  </r>
  <r>
    <x v="111"/>
  </r>
  <r>
    <x v="64"/>
  </r>
  <r>
    <x v="30"/>
  </r>
  <r>
    <x v="30"/>
  </r>
  <r>
    <x v="30"/>
  </r>
  <r>
    <x v="30"/>
  </r>
  <r>
    <x v="30"/>
  </r>
  <r>
    <x v="30"/>
  </r>
  <r>
    <x v="30"/>
  </r>
  <r>
    <x v="83"/>
  </r>
  <r>
    <x v="83"/>
  </r>
  <r>
    <x v="82"/>
  </r>
  <r>
    <x v="83"/>
  </r>
  <r>
    <x v="83"/>
  </r>
  <r>
    <x v="83"/>
  </r>
  <r>
    <x v="111"/>
  </r>
  <r>
    <x v="199"/>
  </r>
  <r>
    <x v="102"/>
  </r>
  <r>
    <x v="87"/>
  </r>
  <r>
    <x v="155"/>
  </r>
  <r>
    <x v="83"/>
  </r>
  <r>
    <x v="37"/>
  </r>
  <r>
    <x v="21"/>
  </r>
  <r>
    <x v="10"/>
  </r>
  <r>
    <x v="109"/>
  </r>
  <r>
    <x v="10"/>
  </r>
  <r>
    <x v="157"/>
  </r>
  <r>
    <x v="157"/>
  </r>
  <r>
    <x v="78"/>
  </r>
  <r>
    <x v="78"/>
  </r>
  <r>
    <x v="122"/>
  </r>
  <r>
    <x v="126"/>
  </r>
  <r>
    <x v="126"/>
  </r>
  <r>
    <x v="78"/>
  </r>
  <r>
    <x v="48"/>
  </r>
  <r>
    <x v="48"/>
  </r>
  <r>
    <x v="76"/>
  </r>
  <r>
    <x v="21"/>
  </r>
  <r>
    <x v="154"/>
  </r>
  <r>
    <x v="99"/>
  </r>
  <r>
    <x v="78"/>
  </r>
  <r>
    <x v="174"/>
  </r>
  <r>
    <x v="122"/>
  </r>
  <r>
    <x v="182"/>
  </r>
  <r>
    <x v="24"/>
  </r>
  <r>
    <x v="75"/>
  </r>
  <r>
    <x v="20"/>
  </r>
  <r>
    <x v="46"/>
  </r>
  <r>
    <x v="25"/>
  </r>
  <r>
    <x v="78"/>
  </r>
  <r>
    <x v="99"/>
  </r>
  <r>
    <x v="24"/>
  </r>
  <r>
    <x v="24"/>
  </r>
  <r>
    <x v="77"/>
  </r>
  <r>
    <x v="45"/>
  </r>
  <r>
    <x v="45"/>
  </r>
  <r>
    <x v="45"/>
  </r>
  <r>
    <x v="45"/>
  </r>
  <r>
    <x v="45"/>
  </r>
  <r>
    <x v="25"/>
  </r>
  <r>
    <x v="25"/>
  </r>
  <r>
    <x v="45"/>
  </r>
  <r>
    <x v="45"/>
  </r>
  <r>
    <x v="45"/>
  </r>
  <r>
    <x v="23"/>
  </r>
  <r>
    <x v="218"/>
  </r>
  <r>
    <x v="81"/>
  </r>
  <r>
    <x v="204"/>
  </r>
  <r>
    <x v="204"/>
  </r>
  <r>
    <x v="102"/>
  </r>
  <r>
    <x v="183"/>
  </r>
  <r>
    <x v="81"/>
  </r>
  <r>
    <x v="124"/>
  </r>
  <r>
    <x v="124"/>
  </r>
  <r>
    <x v="134"/>
  </r>
  <r>
    <x v="143"/>
  </r>
  <r>
    <x v="52"/>
  </r>
  <r>
    <x v="52"/>
  </r>
  <r>
    <x v="81"/>
  </r>
  <r>
    <x v="77"/>
  </r>
  <r>
    <x v="76"/>
  </r>
  <r>
    <x v="81"/>
  </r>
  <r>
    <x v="25"/>
  </r>
  <r>
    <x v="78"/>
  </r>
  <r>
    <x v="78"/>
  </r>
  <r>
    <x v="113"/>
  </r>
  <r>
    <x v="113"/>
  </r>
  <r>
    <x v="77"/>
  </r>
  <r>
    <x v="79"/>
  </r>
  <r>
    <x v="56"/>
  </r>
  <r>
    <x v="56"/>
  </r>
  <r>
    <x v="24"/>
  </r>
  <r>
    <x v="24"/>
  </r>
  <r>
    <x v="56"/>
  </r>
  <r>
    <x v="56"/>
  </r>
  <r>
    <x v="79"/>
  </r>
  <r>
    <x v="56"/>
  </r>
  <r>
    <x v="56"/>
  </r>
  <r>
    <x v="45"/>
  </r>
  <r>
    <x v="23"/>
  </r>
  <r>
    <x v="23"/>
  </r>
  <r>
    <x v="23"/>
  </r>
  <r>
    <x v="23"/>
  </r>
  <r>
    <x v="23"/>
  </r>
  <r>
    <x v="23"/>
  </r>
  <r>
    <x v="31"/>
  </r>
  <r>
    <x v="10"/>
  </r>
  <r>
    <x v="10"/>
  </r>
  <r>
    <x v="10"/>
  </r>
  <r>
    <x v="10"/>
  </r>
  <r>
    <x v="23"/>
  </r>
  <r>
    <x v="23"/>
  </r>
  <r>
    <x v="99"/>
  </r>
  <r>
    <x v="48"/>
  </r>
  <r>
    <x v="10"/>
  </r>
  <r>
    <x v="10"/>
  </r>
  <r>
    <x v="10"/>
  </r>
  <r>
    <x v="10"/>
  </r>
  <r>
    <x v="10"/>
  </r>
  <r>
    <x v="208"/>
  </r>
  <r>
    <x v="17"/>
  </r>
  <r>
    <x v="14"/>
  </r>
  <r>
    <x v="81"/>
  </r>
  <r>
    <x v="81"/>
  </r>
  <r>
    <x v="81"/>
  </r>
  <r>
    <x v="75"/>
  </r>
  <r>
    <x v="48"/>
  </r>
  <r>
    <x v="81"/>
  </r>
  <r>
    <x v="81"/>
  </r>
  <r>
    <x v="81"/>
  </r>
  <r>
    <x v="81"/>
  </r>
  <r>
    <x v="48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31"/>
  </r>
  <r>
    <x v="31"/>
  </r>
  <r>
    <x v="204"/>
  </r>
  <r>
    <x v="110"/>
  </r>
  <r>
    <x v="20"/>
  </r>
  <r>
    <x v="22"/>
  </r>
  <r>
    <x v="20"/>
  </r>
  <r>
    <x v="0"/>
  </r>
  <r>
    <x v="25"/>
  </r>
  <r>
    <x v="110"/>
  </r>
  <r>
    <x v="122"/>
  </r>
  <r>
    <x v="157"/>
  </r>
  <r>
    <x v="79"/>
  </r>
  <r>
    <x v="2"/>
  </r>
  <r>
    <x v="82"/>
  </r>
  <r>
    <x v="113"/>
  </r>
  <r>
    <x v="48"/>
  </r>
  <r>
    <x v="20"/>
  </r>
  <r>
    <x v="0"/>
  </r>
  <r>
    <x v="108"/>
  </r>
  <r>
    <x v="6"/>
  </r>
  <r>
    <x v="91"/>
  </r>
  <r>
    <x v="17"/>
  </r>
  <r>
    <x v="56"/>
  </r>
  <r>
    <x v="10"/>
  </r>
  <r>
    <x v="10"/>
  </r>
  <r>
    <x v="128"/>
  </r>
  <r>
    <x v="25"/>
  </r>
  <r>
    <x v="12"/>
  </r>
  <r>
    <x v="29"/>
  </r>
  <r>
    <x v="213"/>
  </r>
  <r>
    <x v="213"/>
  </r>
  <r>
    <x v="30"/>
  </r>
  <r>
    <x v="83"/>
  </r>
  <r>
    <x v="117"/>
  </r>
  <r>
    <x v="117"/>
  </r>
  <r>
    <x v="117"/>
  </r>
  <r>
    <x v="117"/>
  </r>
  <r>
    <x v="117"/>
  </r>
  <r>
    <x v="94"/>
  </r>
  <r>
    <x v="94"/>
  </r>
  <r>
    <x v="128"/>
  </r>
  <r>
    <x v="128"/>
  </r>
  <r>
    <x v="128"/>
  </r>
  <r>
    <x v="36"/>
  </r>
  <r>
    <x v="42"/>
  </r>
  <r>
    <x v="42"/>
  </r>
  <r>
    <x v="42"/>
  </r>
  <r>
    <x v="216"/>
  </r>
  <r>
    <x v="219"/>
  </r>
  <r>
    <x v="216"/>
  </r>
  <r>
    <x v="29"/>
  </r>
  <r>
    <x v="82"/>
  </r>
  <r>
    <x v="85"/>
  </r>
  <r>
    <x v="63"/>
  </r>
  <r>
    <x v="72"/>
  </r>
  <r>
    <x v="119"/>
  </r>
  <r>
    <x v="119"/>
  </r>
  <r>
    <x v="23"/>
  </r>
  <r>
    <x v="198"/>
  </r>
  <r>
    <x v="34"/>
  </r>
  <r>
    <x v="82"/>
  </r>
  <r>
    <x v="83"/>
  </r>
  <r>
    <x v="83"/>
  </r>
  <r>
    <x v="83"/>
  </r>
  <r>
    <x v="213"/>
  </r>
  <r>
    <x v="59"/>
  </r>
  <r>
    <x v="85"/>
  </r>
  <r>
    <x v="72"/>
  </r>
  <r>
    <x v="126"/>
  </r>
  <r>
    <x v="62"/>
  </r>
  <r>
    <x v="128"/>
  </r>
  <r>
    <x v="25"/>
  </r>
  <r>
    <x v="36"/>
  </r>
  <r>
    <x v="14"/>
  </r>
  <r>
    <x v="46"/>
  </r>
  <r>
    <x v="45"/>
  </r>
  <r>
    <x v="81"/>
  </r>
  <r>
    <x v="83"/>
  </r>
  <r>
    <x v="12"/>
  </r>
  <r>
    <x v="36"/>
  </r>
  <r>
    <x v="82"/>
  </r>
  <r>
    <x v="83"/>
  </r>
  <r>
    <x v="83"/>
  </r>
  <r>
    <x v="83"/>
  </r>
  <r>
    <x v="31"/>
  </r>
  <r>
    <x v="121"/>
  </r>
  <r>
    <x v="82"/>
  </r>
  <r>
    <x v="82"/>
  </r>
  <r>
    <x v="24"/>
  </r>
  <r>
    <x v="25"/>
  </r>
  <r>
    <x v="198"/>
  </r>
  <r>
    <x v="86"/>
  </r>
  <r>
    <x v="21"/>
  </r>
  <r>
    <x v="4"/>
  </r>
  <r>
    <x v="24"/>
  </r>
  <r>
    <x v="86"/>
  </r>
  <r>
    <x v="94"/>
  </r>
  <r>
    <x v="108"/>
  </r>
  <r>
    <x v="15"/>
  </r>
  <r>
    <x v="23"/>
  </r>
  <r>
    <x v="91"/>
  </r>
  <r>
    <x v="30"/>
  </r>
  <r>
    <x v="30"/>
  </r>
  <r>
    <x v="102"/>
  </r>
  <r>
    <x v="182"/>
  </r>
  <r>
    <x v="30"/>
  </r>
  <r>
    <x v="24"/>
  </r>
  <r>
    <x v="46"/>
  </r>
  <r>
    <x v="76"/>
  </r>
  <r>
    <x v="76"/>
  </r>
  <r>
    <x v="6"/>
  </r>
  <r>
    <x v="18"/>
  </r>
  <r>
    <x v="59"/>
  </r>
  <r>
    <x v="63"/>
  </r>
  <r>
    <x v="91"/>
  </r>
  <r>
    <x v="48"/>
  </r>
  <r>
    <x v="76"/>
  </r>
  <r>
    <x v="154"/>
  </r>
  <r>
    <x v="154"/>
  </r>
  <r>
    <x v="14"/>
  </r>
  <r>
    <x v="84"/>
  </r>
  <r>
    <x v="25"/>
  </r>
  <r>
    <x v="220"/>
  </r>
  <r>
    <x v="86"/>
  </r>
  <r>
    <x v="82"/>
  </r>
  <r>
    <x v="25"/>
  </r>
  <r>
    <x v="102"/>
  </r>
  <r>
    <x v="25"/>
  </r>
  <r>
    <x v="82"/>
  </r>
  <r>
    <x v="25"/>
  </r>
  <r>
    <x v="81"/>
  </r>
  <r>
    <x v="30"/>
  </r>
  <r>
    <x v="118"/>
  </r>
  <r>
    <x v="25"/>
  </r>
  <r>
    <x v="59"/>
  </r>
  <r>
    <x v="102"/>
  </r>
  <r>
    <x v="10"/>
  </r>
  <r>
    <x v="118"/>
  </r>
  <r>
    <x v="91"/>
  </r>
  <r>
    <x v="118"/>
  </r>
  <r>
    <x v="154"/>
  </r>
  <r>
    <x v="102"/>
  </r>
  <r>
    <x v="25"/>
  </r>
  <r>
    <x v="91"/>
  </r>
  <r>
    <x v="48"/>
  </r>
  <r>
    <x v="113"/>
  </r>
  <r>
    <x v="72"/>
  </r>
  <r>
    <x v="102"/>
  </r>
  <r>
    <x v="14"/>
  </r>
  <r>
    <x v="181"/>
  </r>
  <r>
    <x v="82"/>
  </r>
  <r>
    <x v="32"/>
  </r>
  <r>
    <x v="25"/>
  </r>
  <r>
    <x v="100"/>
  </r>
  <r>
    <x v="48"/>
  </r>
  <r>
    <x v="48"/>
  </r>
  <r>
    <x v="25"/>
  </r>
  <r>
    <x v="25"/>
  </r>
  <r>
    <x v="23"/>
  </r>
  <r>
    <x v="23"/>
  </r>
  <r>
    <x v="102"/>
  </r>
  <r>
    <x v="82"/>
  </r>
  <r>
    <x v="82"/>
  </r>
  <r>
    <x v="25"/>
  </r>
  <r>
    <x v="113"/>
  </r>
  <r>
    <x v="75"/>
  </r>
  <r>
    <x v="86"/>
  </r>
  <r>
    <x v="82"/>
  </r>
  <r>
    <x v="82"/>
  </r>
  <r>
    <x v="82"/>
  </r>
  <r>
    <x v="99"/>
  </r>
  <r>
    <x v="123"/>
  </r>
  <r>
    <x v="36"/>
  </r>
  <r>
    <x v="123"/>
  </r>
  <r>
    <x v="123"/>
  </r>
  <r>
    <x v="95"/>
  </r>
  <r>
    <x v="95"/>
  </r>
  <r>
    <x v="72"/>
  </r>
  <r>
    <x v="82"/>
  </r>
  <r>
    <x v="221"/>
  </r>
  <r>
    <x v="199"/>
  </r>
  <r>
    <x v="82"/>
  </r>
  <r>
    <x v="87"/>
  </r>
  <r>
    <x v="105"/>
  </r>
  <r>
    <x v="87"/>
  </r>
  <r>
    <x v="21"/>
  </r>
  <r>
    <x v="83"/>
  </r>
  <r>
    <x v="10"/>
  </r>
  <r>
    <x v="36"/>
  </r>
  <r>
    <x v="87"/>
  </r>
  <r>
    <x v="87"/>
  </r>
  <r>
    <x v="87"/>
  </r>
  <r>
    <x v="87"/>
  </r>
  <r>
    <x v="56"/>
  </r>
  <r>
    <x v="56"/>
  </r>
  <r>
    <x v="14"/>
  </r>
  <r>
    <x v="71"/>
  </r>
  <r>
    <x v="2"/>
  </r>
  <r>
    <x v="2"/>
  </r>
  <r>
    <x v="16"/>
  </r>
  <r>
    <x v="16"/>
  </r>
  <r>
    <x v="14"/>
  </r>
  <r>
    <x v="42"/>
  </r>
  <r>
    <x v="42"/>
  </r>
  <r>
    <x v="42"/>
  </r>
  <r>
    <x v="42"/>
  </r>
  <r>
    <x v="42"/>
  </r>
  <r>
    <x v="21"/>
  </r>
  <r>
    <x v="12"/>
  </r>
  <r>
    <x v="111"/>
  </r>
  <r>
    <x v="11"/>
  </r>
  <r>
    <x v="11"/>
  </r>
  <r>
    <x v="74"/>
  </r>
  <r>
    <x v="17"/>
  </r>
  <r>
    <x v="143"/>
  </r>
  <r>
    <x v="55"/>
  </r>
  <r>
    <x v="55"/>
  </r>
  <r>
    <x v="55"/>
  </r>
  <r>
    <x v="24"/>
  </r>
  <r>
    <x v="24"/>
  </r>
  <r>
    <x v="12"/>
  </r>
  <r>
    <x v="0"/>
  </r>
  <r>
    <x v="42"/>
  </r>
  <r>
    <x v="14"/>
  </r>
  <r>
    <x v="14"/>
  </r>
  <r>
    <x v="36"/>
  </r>
  <r>
    <x v="28"/>
  </r>
  <r>
    <x v="130"/>
  </r>
  <r>
    <x v="7"/>
  </r>
  <r>
    <x v="14"/>
  </r>
  <r>
    <x v="45"/>
  </r>
  <r>
    <x v="42"/>
  </r>
  <r>
    <x v="42"/>
  </r>
  <r>
    <x v="42"/>
  </r>
  <r>
    <x v="14"/>
  </r>
  <r>
    <x v="21"/>
  </r>
  <r>
    <x v="21"/>
  </r>
  <r>
    <x v="21"/>
  </r>
  <r>
    <x v="2"/>
  </r>
  <r>
    <x v="12"/>
  </r>
  <r>
    <x v="14"/>
  </r>
  <r>
    <x v="16"/>
  </r>
  <r>
    <x v="17"/>
  </r>
  <r>
    <x v="111"/>
  </r>
  <r>
    <x v="17"/>
  </r>
  <r>
    <x v="10"/>
  </r>
  <r>
    <x v="17"/>
  </r>
  <r>
    <x v="17"/>
  </r>
  <r>
    <x v="17"/>
  </r>
  <r>
    <x v="17"/>
  </r>
  <r>
    <x v="17"/>
  </r>
  <r>
    <x v="31"/>
  </r>
  <r>
    <x v="31"/>
  </r>
  <r>
    <x v="53"/>
  </r>
  <r>
    <x v="26"/>
  </r>
  <r>
    <x v="17"/>
  </r>
  <r>
    <x v="28"/>
  </r>
  <r>
    <x v="28"/>
  </r>
  <r>
    <x v="28"/>
  </r>
  <r>
    <x v="33"/>
  </r>
  <r>
    <x v="17"/>
  </r>
  <r>
    <x v="17"/>
  </r>
  <r>
    <x v="17"/>
  </r>
  <r>
    <x v="17"/>
  </r>
  <r>
    <x v="48"/>
  </r>
  <r>
    <x v="74"/>
  </r>
  <r>
    <x v="74"/>
  </r>
  <r>
    <x v="74"/>
  </r>
  <r>
    <x v="74"/>
  </r>
  <r>
    <x v="14"/>
  </r>
  <r>
    <x v="2"/>
  </r>
  <r>
    <x v="11"/>
  </r>
  <r>
    <x v="28"/>
  </r>
  <r>
    <x v="2"/>
  </r>
  <r>
    <x v="2"/>
  </r>
  <r>
    <x v="2"/>
  </r>
  <r>
    <x v="2"/>
  </r>
  <r>
    <x v="2"/>
  </r>
  <r>
    <x v="11"/>
  </r>
  <r>
    <x v="48"/>
  </r>
  <r>
    <x v="11"/>
  </r>
  <r>
    <x v="28"/>
  </r>
  <r>
    <x v="11"/>
  </r>
  <r>
    <x v="60"/>
  </r>
  <r>
    <x v="24"/>
  </r>
  <r>
    <x v="4"/>
  </r>
  <r>
    <x v="12"/>
  </r>
  <r>
    <x v="12"/>
  </r>
  <r>
    <x v="17"/>
  </r>
  <r>
    <x v="17"/>
  </r>
  <r>
    <x v="43"/>
  </r>
  <r>
    <x v="34"/>
  </r>
  <r>
    <x v="21"/>
  </r>
  <r>
    <x v="60"/>
  </r>
  <r>
    <x v="60"/>
  </r>
  <r>
    <x v="60"/>
  </r>
  <r>
    <x v="86"/>
  </r>
  <r>
    <x v="181"/>
  </r>
  <r>
    <x v="51"/>
  </r>
  <r>
    <x v="21"/>
  </r>
  <r>
    <x v="21"/>
  </r>
  <r>
    <x v="0"/>
  </r>
  <r>
    <x v="14"/>
  </r>
  <r>
    <x v="14"/>
  </r>
  <r>
    <x v="14"/>
  </r>
  <r>
    <x v="28"/>
  </r>
  <r>
    <x v="28"/>
  </r>
  <r>
    <x v="28"/>
  </r>
  <r>
    <x v="21"/>
  </r>
  <r>
    <x v="42"/>
  </r>
  <r>
    <x v="40"/>
  </r>
  <r>
    <x v="7"/>
  </r>
  <r>
    <x v="28"/>
  </r>
  <r>
    <x v="0"/>
  </r>
  <r>
    <x v="2"/>
  </r>
  <r>
    <x v="14"/>
  </r>
  <r>
    <x v="166"/>
  </r>
  <r>
    <x v="22"/>
  </r>
  <r>
    <x v="31"/>
  </r>
  <r>
    <x v="52"/>
  </r>
  <r>
    <x v="14"/>
  </r>
  <r>
    <x v="111"/>
  </r>
  <r>
    <x v="14"/>
  </r>
  <r>
    <x v="111"/>
  </r>
  <r>
    <x v="18"/>
  </r>
  <r>
    <x v="18"/>
  </r>
  <r>
    <x v="18"/>
  </r>
  <r>
    <x v="14"/>
  </r>
  <r>
    <x v="14"/>
  </r>
  <r>
    <x v="14"/>
  </r>
  <r>
    <x v="14"/>
  </r>
  <r>
    <x v="0"/>
  </r>
  <r>
    <x v="55"/>
  </r>
  <r>
    <x v="55"/>
  </r>
  <r>
    <x v="55"/>
  </r>
  <r>
    <x v="55"/>
  </r>
  <r>
    <x v="55"/>
  </r>
  <r>
    <x v="2"/>
  </r>
  <r>
    <x v="6"/>
  </r>
  <r>
    <x v="49"/>
  </r>
  <r>
    <x v="17"/>
  </r>
  <r>
    <x v="12"/>
  </r>
  <r>
    <x v="10"/>
  </r>
  <r>
    <x v="10"/>
  </r>
  <r>
    <x v="10"/>
  </r>
  <r>
    <x v="14"/>
  </r>
  <r>
    <x v="14"/>
  </r>
  <r>
    <x v="14"/>
  </r>
  <r>
    <x v="14"/>
  </r>
  <r>
    <x v="24"/>
  </r>
  <r>
    <x v="24"/>
  </r>
  <r>
    <x v="44"/>
  </r>
  <r>
    <x v="37"/>
  </r>
  <r>
    <x v="37"/>
  </r>
  <r>
    <x v="12"/>
  </r>
  <r>
    <x v="17"/>
  </r>
  <r>
    <x v="10"/>
  </r>
  <r>
    <x v="9"/>
  </r>
  <r>
    <x v="0"/>
  </r>
  <r>
    <x v="222"/>
  </r>
  <r>
    <x v="222"/>
  </r>
  <r>
    <x v="27"/>
  </r>
  <r>
    <x v="223"/>
  </r>
  <r>
    <x v="2"/>
  </r>
  <r>
    <x v="12"/>
  </r>
  <r>
    <x v="16"/>
  </r>
  <r>
    <x v="14"/>
  </r>
  <r>
    <x v="14"/>
  </r>
  <r>
    <x v="47"/>
  </r>
  <r>
    <x v="71"/>
  </r>
  <r>
    <x v="47"/>
  </r>
  <r>
    <x v="10"/>
  </r>
  <r>
    <x v="28"/>
  </r>
  <r>
    <x v="28"/>
  </r>
  <r>
    <x v="49"/>
  </r>
  <r>
    <x v="14"/>
  </r>
  <r>
    <x v="48"/>
  </r>
  <r>
    <x v="17"/>
  </r>
  <r>
    <x v="46"/>
  </r>
  <r>
    <x v="0"/>
  </r>
  <r>
    <x v="7"/>
  </r>
  <r>
    <x v="52"/>
  </r>
  <r>
    <x v="10"/>
  </r>
  <r>
    <x v="10"/>
  </r>
  <r>
    <x v="0"/>
  </r>
  <r>
    <x v="17"/>
  </r>
  <r>
    <x v="17"/>
  </r>
  <r>
    <x v="17"/>
  </r>
  <r>
    <x v="17"/>
  </r>
  <r>
    <x v="17"/>
  </r>
  <r>
    <x v="71"/>
  </r>
  <r>
    <x v="48"/>
  </r>
  <r>
    <x v="17"/>
  </r>
  <r>
    <x v="24"/>
  </r>
  <r>
    <x v="24"/>
  </r>
  <r>
    <x v="4"/>
  </r>
  <r>
    <x v="11"/>
  </r>
  <r>
    <x v="78"/>
  </r>
  <r>
    <x v="10"/>
  </r>
  <r>
    <x v="10"/>
  </r>
  <r>
    <x v="28"/>
  </r>
  <r>
    <x v="2"/>
  </r>
  <r>
    <x v="71"/>
  </r>
  <r>
    <x v="7"/>
  </r>
  <r>
    <x v="71"/>
  </r>
  <r>
    <x v="24"/>
  </r>
  <r>
    <x v="28"/>
  </r>
  <r>
    <x v="24"/>
  </r>
  <r>
    <x v="37"/>
  </r>
  <r>
    <x v="22"/>
  </r>
  <r>
    <x v="22"/>
  </r>
  <r>
    <x v="2"/>
  </r>
  <r>
    <x v="0"/>
  </r>
  <r>
    <x v="0"/>
  </r>
  <r>
    <x v="0"/>
  </r>
  <r>
    <x v="14"/>
  </r>
  <r>
    <x v="40"/>
  </r>
  <r>
    <x v="40"/>
  </r>
  <r>
    <x v="40"/>
  </r>
  <r>
    <x v="49"/>
  </r>
  <r>
    <x v="71"/>
  </r>
  <r>
    <x v="10"/>
  </r>
  <r>
    <x v="10"/>
  </r>
  <r>
    <x v="14"/>
  </r>
  <r>
    <x v="45"/>
  </r>
  <r>
    <x v="12"/>
  </r>
  <r>
    <x v="49"/>
  </r>
  <r>
    <x v="10"/>
  </r>
  <r>
    <x v="14"/>
  </r>
  <r>
    <x v="14"/>
  </r>
  <r>
    <x v="21"/>
  </r>
  <r>
    <x v="21"/>
  </r>
  <r>
    <x v="17"/>
  </r>
  <r>
    <x v="17"/>
  </r>
  <r>
    <x v="14"/>
  </r>
  <r>
    <x v="48"/>
  </r>
  <r>
    <x v="42"/>
  </r>
  <r>
    <x v="24"/>
  </r>
  <r>
    <x v="224"/>
  </r>
  <r>
    <x v="24"/>
  </r>
  <r>
    <x v="14"/>
  </r>
  <r>
    <x v="14"/>
  </r>
  <r>
    <x v="14"/>
  </r>
  <r>
    <x v="24"/>
  </r>
  <r>
    <x v="28"/>
  </r>
  <r>
    <x v="9"/>
  </r>
  <r>
    <x v="9"/>
  </r>
  <r>
    <x v="9"/>
  </r>
  <r>
    <x v="14"/>
  </r>
  <r>
    <x v="14"/>
  </r>
  <r>
    <x v="28"/>
  </r>
  <r>
    <x v="42"/>
  </r>
  <r>
    <x v="17"/>
  </r>
  <r>
    <x v="17"/>
  </r>
  <r>
    <x v="17"/>
  </r>
  <r>
    <x v="17"/>
  </r>
  <r>
    <x v="14"/>
  </r>
  <r>
    <x v="49"/>
  </r>
  <r>
    <x v="14"/>
  </r>
  <r>
    <x v="40"/>
  </r>
  <r>
    <x v="16"/>
  </r>
  <r>
    <x v="71"/>
  </r>
  <r>
    <x v="10"/>
  </r>
  <r>
    <x v="47"/>
  </r>
  <r>
    <x v="14"/>
  </r>
  <r>
    <x v="12"/>
  </r>
  <r>
    <x v="47"/>
  </r>
  <r>
    <x v="17"/>
  </r>
  <r>
    <x v="10"/>
  </r>
  <r>
    <x v="10"/>
  </r>
  <r>
    <x v="0"/>
  </r>
  <r>
    <x v="0"/>
  </r>
  <r>
    <x v="2"/>
  </r>
  <r>
    <x v="2"/>
  </r>
  <r>
    <x v="14"/>
  </r>
  <r>
    <x v="12"/>
  </r>
  <r>
    <x v="52"/>
  </r>
  <r>
    <x v="10"/>
  </r>
  <r>
    <x v="14"/>
  </r>
  <r>
    <x v="49"/>
  </r>
  <r>
    <x v="21"/>
  </r>
  <r>
    <x v="21"/>
  </r>
  <r>
    <x v="21"/>
  </r>
  <r>
    <x v="21"/>
  </r>
  <r>
    <x v="21"/>
  </r>
  <r>
    <x v="71"/>
  </r>
  <r>
    <x v="37"/>
  </r>
  <r>
    <x v="10"/>
  </r>
  <r>
    <x v="48"/>
  </r>
  <r>
    <x v="10"/>
  </r>
  <r>
    <x v="71"/>
  </r>
  <r>
    <x v="42"/>
  </r>
  <r>
    <x v="10"/>
  </r>
  <r>
    <x v="2"/>
  </r>
  <r>
    <x v="2"/>
  </r>
  <r>
    <x v="2"/>
  </r>
  <r>
    <x v="7"/>
  </r>
  <r>
    <x v="7"/>
  </r>
  <r>
    <x v="0"/>
  </r>
  <r>
    <x v="0"/>
  </r>
  <r>
    <x v="81"/>
  </r>
  <r>
    <x v="45"/>
  </r>
  <r>
    <x v="28"/>
  </r>
  <r>
    <x v="28"/>
  </r>
  <r>
    <x v="14"/>
  </r>
  <r>
    <x v="14"/>
  </r>
  <r>
    <x v="57"/>
  </r>
  <r>
    <x v="57"/>
  </r>
  <r>
    <x v="2"/>
  </r>
  <r>
    <x v="7"/>
  </r>
  <r>
    <x v="7"/>
  </r>
  <r>
    <x v="10"/>
  </r>
  <r>
    <x v="10"/>
  </r>
  <r>
    <x v="71"/>
  </r>
  <r>
    <x v="14"/>
  </r>
  <r>
    <x v="2"/>
  </r>
  <r>
    <x v="1"/>
  </r>
  <r>
    <x v="48"/>
  </r>
  <r>
    <x v="49"/>
  </r>
  <r>
    <x v="22"/>
  </r>
  <r>
    <x v="22"/>
  </r>
  <r>
    <x v="12"/>
  </r>
  <r>
    <x v="14"/>
  </r>
  <r>
    <x v="14"/>
  </r>
  <r>
    <x v="14"/>
  </r>
  <r>
    <x v="14"/>
  </r>
  <r>
    <x v="17"/>
  </r>
  <r>
    <x v="6"/>
  </r>
  <r>
    <x v="6"/>
  </r>
  <r>
    <x v="47"/>
  </r>
  <r>
    <x v="48"/>
  </r>
  <r>
    <x v="48"/>
  </r>
  <r>
    <x v="10"/>
  </r>
  <r>
    <x v="10"/>
  </r>
  <r>
    <x v="37"/>
  </r>
  <r>
    <x v="14"/>
  </r>
  <r>
    <x v="28"/>
  </r>
  <r>
    <x v="12"/>
  </r>
  <r>
    <x v="4"/>
  </r>
  <r>
    <x v="1"/>
  </r>
  <r>
    <x v="42"/>
  </r>
  <r>
    <x v="42"/>
  </r>
  <r>
    <x v="42"/>
  </r>
  <r>
    <x v="12"/>
  </r>
  <r>
    <x v="28"/>
  </r>
  <r>
    <x v="152"/>
  </r>
  <r>
    <x v="152"/>
  </r>
  <r>
    <x v="152"/>
  </r>
  <r>
    <x v="152"/>
  </r>
  <r>
    <x v="42"/>
  </r>
  <r>
    <x v="45"/>
  </r>
  <r>
    <x v="64"/>
  </r>
  <r>
    <x v="4"/>
  </r>
  <r>
    <x v="46"/>
  </r>
  <r>
    <x v="28"/>
  </r>
  <r>
    <x v="28"/>
  </r>
  <r>
    <x v="48"/>
  </r>
  <r>
    <x v="48"/>
  </r>
  <r>
    <x v="31"/>
  </r>
  <r>
    <x v="47"/>
  </r>
  <r>
    <x v="17"/>
  </r>
  <r>
    <x v="8"/>
  </r>
  <r>
    <x v="61"/>
  </r>
  <r>
    <x v="61"/>
  </r>
  <r>
    <x v="42"/>
  </r>
  <r>
    <x v="42"/>
  </r>
  <r>
    <x v="42"/>
  </r>
  <r>
    <x v="7"/>
  </r>
  <r>
    <x v="47"/>
  </r>
  <r>
    <x v="42"/>
  </r>
  <r>
    <x v="2"/>
  </r>
  <r>
    <x v="47"/>
  </r>
  <r>
    <x v="55"/>
  </r>
  <r>
    <x v="64"/>
  </r>
  <r>
    <x v="40"/>
  </r>
  <r>
    <x v="37"/>
  </r>
  <r>
    <x v="37"/>
  </r>
  <r>
    <x v="37"/>
  </r>
  <r>
    <x v="12"/>
  </r>
  <r>
    <x v="24"/>
  </r>
  <r>
    <x v="24"/>
  </r>
  <r>
    <x v="22"/>
  </r>
  <r>
    <x v="7"/>
  </r>
  <r>
    <x v="31"/>
  </r>
  <r>
    <x v="46"/>
  </r>
  <r>
    <x v="22"/>
  </r>
  <r>
    <x v="45"/>
  </r>
  <r>
    <x v="0"/>
  </r>
  <r>
    <x v="45"/>
  </r>
  <r>
    <x v="16"/>
  </r>
  <r>
    <x v="37"/>
  </r>
  <r>
    <x v="14"/>
  </r>
  <r>
    <x v="0"/>
  </r>
  <r>
    <x v="10"/>
  </r>
  <r>
    <x v="64"/>
  </r>
  <r>
    <x v="64"/>
  </r>
  <r>
    <x v="64"/>
  </r>
  <r>
    <x v="7"/>
  </r>
  <r>
    <x v="208"/>
  </r>
  <r>
    <x v="7"/>
  </r>
  <r>
    <x v="0"/>
  </r>
  <r>
    <x v="28"/>
  </r>
  <r>
    <x v="2"/>
  </r>
  <r>
    <x v="37"/>
  </r>
  <r>
    <x v="2"/>
  </r>
  <r>
    <x v="31"/>
  </r>
  <r>
    <x v="78"/>
  </r>
  <r>
    <x v="16"/>
  </r>
  <r>
    <x v="45"/>
  </r>
  <r>
    <x v="111"/>
  </r>
  <r>
    <x v="21"/>
  </r>
  <r>
    <x v="14"/>
  </r>
  <r>
    <x v="42"/>
  </r>
  <r>
    <x v="64"/>
  </r>
  <r>
    <x v="49"/>
  </r>
  <r>
    <x v="37"/>
  </r>
  <r>
    <x v="130"/>
  </r>
  <r>
    <x v="130"/>
  </r>
  <r>
    <x v="130"/>
  </r>
  <r>
    <x v="78"/>
  </r>
  <r>
    <x v="42"/>
  </r>
  <r>
    <x v="78"/>
  </r>
  <r>
    <x v="0"/>
  </r>
  <r>
    <x v="7"/>
  </r>
  <r>
    <x v="1"/>
  </r>
  <r>
    <x v="1"/>
  </r>
  <r>
    <x v="2"/>
  </r>
  <r>
    <x v="17"/>
  </r>
  <r>
    <x v="40"/>
  </r>
  <r>
    <x v="46"/>
  </r>
  <r>
    <x v="0"/>
  </r>
  <r>
    <x v="16"/>
  </r>
  <r>
    <x v="16"/>
  </r>
  <r>
    <x v="0"/>
  </r>
  <r>
    <x v="22"/>
  </r>
  <r>
    <x v="14"/>
  </r>
  <r>
    <x v="47"/>
  </r>
  <r>
    <x v="12"/>
  </r>
  <r>
    <x v="87"/>
  </r>
  <r>
    <x v="0"/>
  </r>
  <r>
    <x v="7"/>
  </r>
  <r>
    <x v="7"/>
  </r>
  <r>
    <x v="12"/>
  </r>
  <r>
    <x v="61"/>
  </r>
  <r>
    <x v="12"/>
  </r>
  <r>
    <x v="12"/>
  </r>
  <r>
    <x v="12"/>
  </r>
  <r>
    <x v="10"/>
  </r>
  <r>
    <x v="10"/>
  </r>
  <r>
    <x v="32"/>
  </r>
  <r>
    <x v="60"/>
  </r>
  <r>
    <x v="22"/>
  </r>
  <r>
    <x v="14"/>
  </r>
  <r>
    <x v="37"/>
  </r>
  <r>
    <x v="46"/>
  </r>
  <r>
    <x v="17"/>
  </r>
  <r>
    <x v="17"/>
  </r>
  <r>
    <x v="17"/>
  </r>
  <r>
    <x v="17"/>
  </r>
  <r>
    <x v="42"/>
  </r>
  <r>
    <x v="4"/>
  </r>
  <r>
    <x v="24"/>
  </r>
  <r>
    <x v="12"/>
  </r>
  <r>
    <x v="12"/>
  </r>
  <r>
    <x v="225"/>
  </r>
  <r>
    <x v="14"/>
  </r>
  <r>
    <x v="42"/>
  </r>
  <r>
    <x v="1"/>
  </r>
  <r>
    <x v="1"/>
  </r>
  <r>
    <x v="1"/>
  </r>
  <r>
    <x v="1"/>
  </r>
  <r>
    <x v="12"/>
  </r>
  <r>
    <x v="12"/>
  </r>
  <r>
    <x v="12"/>
  </r>
  <r>
    <x v="12"/>
  </r>
  <r>
    <x v="14"/>
  </r>
  <r>
    <x v="12"/>
  </r>
  <r>
    <x v="28"/>
  </r>
  <r>
    <x v="28"/>
  </r>
  <r>
    <x v="28"/>
  </r>
  <r>
    <x v="7"/>
  </r>
  <r>
    <x v="2"/>
  </r>
  <r>
    <x v="12"/>
  </r>
  <r>
    <x v="71"/>
  </r>
  <r>
    <x v="18"/>
  </r>
  <r>
    <x v="12"/>
  </r>
  <r>
    <x v="42"/>
  </r>
  <r>
    <x v="52"/>
  </r>
  <r>
    <x v="24"/>
  </r>
  <r>
    <x v="60"/>
  </r>
  <r>
    <x v="21"/>
  </r>
  <r>
    <x v="22"/>
  </r>
  <r>
    <x v="10"/>
  </r>
  <r>
    <x v="49"/>
  </r>
  <r>
    <x v="14"/>
  </r>
  <r>
    <x v="48"/>
  </r>
  <r>
    <x v="71"/>
  </r>
  <r>
    <x v="28"/>
  </r>
  <r>
    <x v="28"/>
  </r>
  <r>
    <x v="31"/>
  </r>
  <r>
    <x v="12"/>
  </r>
  <r>
    <x v="71"/>
  </r>
  <r>
    <x v="71"/>
  </r>
  <r>
    <x v="7"/>
  </r>
  <r>
    <x v="17"/>
  </r>
  <r>
    <x v="17"/>
  </r>
  <r>
    <x v="14"/>
  </r>
  <r>
    <x v="16"/>
  </r>
  <r>
    <x v="16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40"/>
  </r>
  <r>
    <x v="21"/>
  </r>
  <r>
    <x v="40"/>
  </r>
  <r>
    <x v="14"/>
  </r>
  <r>
    <x v="17"/>
  </r>
  <r>
    <x v="17"/>
  </r>
  <r>
    <x v="14"/>
  </r>
  <r>
    <x v="40"/>
  </r>
  <r>
    <x v="64"/>
  </r>
  <r>
    <x v="30"/>
  </r>
  <r>
    <x v="0"/>
  </r>
  <r>
    <x v="62"/>
  </r>
  <r>
    <x v="62"/>
  </r>
  <r>
    <x v="62"/>
  </r>
  <r>
    <x v="62"/>
  </r>
  <r>
    <x v="14"/>
  </r>
  <r>
    <x v="21"/>
  </r>
  <r>
    <x v="21"/>
  </r>
  <r>
    <x v="21"/>
  </r>
  <r>
    <x v="16"/>
  </r>
  <r>
    <x v="16"/>
  </r>
  <r>
    <x v="16"/>
  </r>
  <r>
    <x v="16"/>
  </r>
  <r>
    <x v="14"/>
  </r>
  <r>
    <x v="14"/>
  </r>
  <r>
    <x v="207"/>
  </r>
  <r>
    <x v="207"/>
  </r>
  <r>
    <x v="226"/>
  </r>
  <r>
    <x v="10"/>
  </r>
  <r>
    <x v="10"/>
  </r>
  <r>
    <x v="166"/>
  </r>
  <r>
    <x v="28"/>
  </r>
  <r>
    <x v="28"/>
  </r>
  <r>
    <x v="11"/>
  </r>
  <r>
    <x v="14"/>
  </r>
  <r>
    <x v="14"/>
  </r>
  <r>
    <x v="16"/>
  </r>
  <r>
    <x v="16"/>
  </r>
  <r>
    <x v="16"/>
  </r>
  <r>
    <x v="14"/>
  </r>
  <r>
    <x v="40"/>
  </r>
  <r>
    <x v="40"/>
  </r>
  <r>
    <x v="22"/>
  </r>
  <r>
    <x v="22"/>
  </r>
  <r>
    <x v="48"/>
  </r>
  <r>
    <x v="16"/>
  </r>
  <r>
    <x v="16"/>
  </r>
  <r>
    <x v="14"/>
  </r>
  <r>
    <x v="21"/>
  </r>
  <r>
    <x v="37"/>
  </r>
  <r>
    <x v="37"/>
  </r>
  <r>
    <x v="21"/>
  </r>
  <r>
    <x v="17"/>
  </r>
  <r>
    <x v="16"/>
  </r>
  <r>
    <x v="10"/>
  </r>
  <r>
    <x v="24"/>
  </r>
  <r>
    <x v="14"/>
  </r>
  <r>
    <x v="48"/>
  </r>
  <r>
    <x v="4"/>
  </r>
  <r>
    <x v="0"/>
  </r>
  <r>
    <x v="48"/>
  </r>
  <r>
    <x v="0"/>
  </r>
  <r>
    <x v="0"/>
  </r>
  <r>
    <x v="0"/>
  </r>
  <r>
    <x v="0"/>
  </r>
  <r>
    <x v="12"/>
  </r>
  <r>
    <x v="7"/>
  </r>
  <r>
    <x v="7"/>
  </r>
  <r>
    <x v="12"/>
  </r>
  <r>
    <x v="12"/>
  </r>
  <r>
    <x v="71"/>
  </r>
  <r>
    <x v="7"/>
  </r>
  <r>
    <x v="22"/>
  </r>
  <r>
    <x v="55"/>
  </r>
  <r>
    <x v="17"/>
  </r>
  <r>
    <x v="37"/>
  </r>
  <r>
    <x v="37"/>
  </r>
  <r>
    <x v="37"/>
  </r>
  <r>
    <x v="24"/>
  </r>
  <r>
    <x v="21"/>
  </r>
  <r>
    <x v="6"/>
  </r>
  <r>
    <x v="12"/>
  </r>
  <r>
    <x v="174"/>
  </r>
  <r>
    <x v="21"/>
  </r>
  <r>
    <x v="14"/>
  </r>
  <r>
    <x v="17"/>
  </r>
  <r>
    <x v="78"/>
  </r>
  <r>
    <x v="22"/>
  </r>
  <r>
    <x v="68"/>
  </r>
  <r>
    <x v="16"/>
  </r>
  <r>
    <x v="89"/>
  </r>
  <r>
    <x v="2"/>
  </r>
  <r>
    <x v="17"/>
  </r>
  <r>
    <x v="17"/>
  </r>
  <r>
    <x v="12"/>
  </r>
  <r>
    <x v="1"/>
  </r>
  <r>
    <x v="30"/>
  </r>
  <r>
    <x v="41"/>
  </r>
  <r>
    <x v="30"/>
  </r>
  <r>
    <x v="41"/>
  </r>
  <r>
    <x v="0"/>
  </r>
  <r>
    <x v="42"/>
  </r>
  <r>
    <x v="53"/>
  </r>
  <r>
    <x v="21"/>
  </r>
  <r>
    <x v="87"/>
  </r>
  <r>
    <x v="40"/>
  </r>
  <r>
    <x v="7"/>
  </r>
  <r>
    <x v="14"/>
  </r>
  <r>
    <x v="14"/>
  </r>
  <r>
    <x v="10"/>
  </r>
  <r>
    <x v="60"/>
  </r>
  <r>
    <x v="14"/>
  </r>
  <r>
    <x v="21"/>
  </r>
  <r>
    <x v="21"/>
  </r>
  <r>
    <x v="21"/>
  </r>
  <r>
    <x v="74"/>
  </r>
  <r>
    <x v="74"/>
  </r>
  <r>
    <x v="74"/>
  </r>
  <r>
    <x v="14"/>
  </r>
  <r>
    <x v="115"/>
  </r>
  <r>
    <x v="14"/>
  </r>
  <r>
    <x v="8"/>
  </r>
  <r>
    <x v="11"/>
  </r>
  <r>
    <x v="11"/>
  </r>
  <r>
    <x v="16"/>
  </r>
  <r>
    <x v="60"/>
  </r>
  <r>
    <x v="22"/>
  </r>
  <r>
    <x v="25"/>
  </r>
  <r>
    <x v="162"/>
  </r>
  <r>
    <x v="45"/>
  </r>
  <r>
    <x v="37"/>
  </r>
  <r>
    <x v="34"/>
  </r>
  <r>
    <x v="0"/>
  </r>
  <r>
    <x v="14"/>
  </r>
  <r>
    <x v="49"/>
  </r>
  <r>
    <x v="30"/>
  </r>
  <r>
    <x v="71"/>
  </r>
  <r>
    <x v="12"/>
  </r>
  <r>
    <x v="12"/>
  </r>
  <r>
    <x v="12"/>
  </r>
  <r>
    <x v="28"/>
  </r>
  <r>
    <x v="28"/>
  </r>
  <r>
    <x v="17"/>
  </r>
  <r>
    <x v="28"/>
  </r>
  <r>
    <x v="0"/>
  </r>
  <r>
    <x v="45"/>
  </r>
  <r>
    <x v="14"/>
  </r>
  <r>
    <x v="14"/>
  </r>
  <r>
    <x v="14"/>
  </r>
  <r>
    <x v="14"/>
  </r>
  <r>
    <x v="14"/>
  </r>
  <r>
    <x v="14"/>
  </r>
  <r>
    <x v="56"/>
  </r>
  <r>
    <x v="56"/>
  </r>
  <r>
    <x v="56"/>
  </r>
  <r>
    <x v="56"/>
  </r>
  <r>
    <x v="17"/>
  </r>
  <r>
    <x v="17"/>
  </r>
  <r>
    <x v="114"/>
  </r>
  <r>
    <x v="16"/>
  </r>
  <r>
    <x v="10"/>
  </r>
  <r>
    <x v="1"/>
  </r>
  <r>
    <x v="14"/>
  </r>
  <r>
    <x v="28"/>
  </r>
  <r>
    <x v="14"/>
  </r>
  <r>
    <x v="0"/>
  </r>
  <r>
    <x v="17"/>
  </r>
  <r>
    <x v="12"/>
  </r>
  <r>
    <x v="24"/>
  </r>
  <r>
    <x v="42"/>
  </r>
  <r>
    <x v="14"/>
  </r>
  <r>
    <x v="12"/>
  </r>
  <r>
    <x v="8"/>
  </r>
  <r>
    <x v="40"/>
  </r>
  <r>
    <x v="12"/>
  </r>
  <r>
    <x v="12"/>
  </r>
  <r>
    <x v="14"/>
  </r>
  <r>
    <x v="14"/>
  </r>
  <r>
    <x v="224"/>
  </r>
  <r>
    <x v="53"/>
  </r>
  <r>
    <x v="11"/>
  </r>
  <r>
    <x v="11"/>
  </r>
  <r>
    <x v="0"/>
  </r>
  <r>
    <x v="0"/>
  </r>
  <r>
    <x v="12"/>
  </r>
  <r>
    <x v="0"/>
  </r>
  <r>
    <x v="0"/>
  </r>
  <r>
    <x v="22"/>
  </r>
  <r>
    <x v="131"/>
  </r>
  <r>
    <x v="141"/>
  </r>
  <r>
    <x v="11"/>
  </r>
  <r>
    <x v="86"/>
  </r>
  <r>
    <x v="0"/>
  </r>
  <r>
    <x v="0"/>
  </r>
  <r>
    <x v="16"/>
  </r>
  <r>
    <x v="77"/>
  </r>
  <r>
    <x v="22"/>
  </r>
  <r>
    <x v="22"/>
  </r>
  <r>
    <x v="48"/>
  </r>
  <r>
    <x v="7"/>
  </r>
  <r>
    <x v="7"/>
  </r>
  <r>
    <x v="28"/>
  </r>
  <r>
    <x v="28"/>
  </r>
  <r>
    <x v="48"/>
  </r>
  <r>
    <x v="14"/>
  </r>
  <r>
    <x v="14"/>
  </r>
  <r>
    <x v="17"/>
  </r>
  <r>
    <x v="64"/>
  </r>
  <r>
    <x v="17"/>
  </r>
  <r>
    <x v="17"/>
  </r>
  <r>
    <x v="17"/>
  </r>
  <r>
    <x v="17"/>
  </r>
  <r>
    <x v="64"/>
  </r>
  <r>
    <x v="64"/>
  </r>
  <r>
    <x v="10"/>
  </r>
  <r>
    <x v="223"/>
  </r>
  <r>
    <x v="223"/>
  </r>
  <r>
    <x v="223"/>
  </r>
  <r>
    <x v="115"/>
  </r>
  <r>
    <x v="115"/>
  </r>
  <r>
    <x v="37"/>
  </r>
  <r>
    <x v="48"/>
  </r>
  <r>
    <x v="0"/>
  </r>
  <r>
    <x v="11"/>
  </r>
  <r>
    <x v="7"/>
  </r>
  <r>
    <x v="11"/>
  </r>
  <r>
    <x v="12"/>
  </r>
  <r>
    <x v="12"/>
  </r>
  <r>
    <x v="12"/>
  </r>
  <r>
    <x v="0"/>
  </r>
  <r>
    <x v="0"/>
  </r>
  <r>
    <x v="0"/>
  </r>
  <r>
    <x v="0"/>
  </r>
  <r>
    <x v="0"/>
  </r>
  <r>
    <x v="0"/>
  </r>
  <r>
    <x v="42"/>
  </r>
  <r>
    <x v="42"/>
  </r>
  <r>
    <x v="40"/>
  </r>
  <r>
    <x v="40"/>
  </r>
  <r>
    <x v="40"/>
  </r>
  <r>
    <x v="40"/>
  </r>
  <r>
    <x v="12"/>
  </r>
  <r>
    <x v="12"/>
  </r>
  <r>
    <x v="141"/>
  </r>
  <r>
    <x v="1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37"/>
  </r>
  <r>
    <x v="79"/>
  </r>
  <r>
    <x v="79"/>
  </r>
  <r>
    <x v="79"/>
  </r>
  <r>
    <x v="79"/>
  </r>
  <r>
    <x v="45"/>
  </r>
  <r>
    <x v="71"/>
  </r>
  <r>
    <x v="12"/>
  </r>
  <r>
    <x v="37"/>
  </r>
  <r>
    <x v="12"/>
  </r>
  <r>
    <x v="49"/>
  </r>
  <r>
    <x v="0"/>
  </r>
  <r>
    <x v="48"/>
  </r>
  <r>
    <x v="48"/>
  </r>
  <r>
    <x v="48"/>
  </r>
  <r>
    <x v="48"/>
  </r>
  <r>
    <x v="48"/>
  </r>
  <r>
    <x v="48"/>
  </r>
  <r>
    <x v="16"/>
  </r>
  <r>
    <x v="19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30"/>
  </r>
  <r>
    <x v="7"/>
  </r>
  <r>
    <x v="45"/>
  </r>
  <r>
    <x v="14"/>
  </r>
  <r>
    <x v="115"/>
  </r>
  <r>
    <x v="99"/>
  </r>
  <r>
    <x v="10"/>
  </r>
  <r>
    <x v="7"/>
  </r>
  <r>
    <x v="87"/>
  </r>
  <r>
    <x v="87"/>
  </r>
  <r>
    <x v="12"/>
  </r>
  <r>
    <x v="130"/>
  </r>
  <r>
    <x v="16"/>
  </r>
  <r>
    <x v="68"/>
  </r>
  <r>
    <x v="48"/>
  </r>
  <r>
    <x v="17"/>
  </r>
  <r>
    <x v="28"/>
  </r>
  <r>
    <x v="30"/>
  </r>
  <r>
    <x v="42"/>
  </r>
  <r>
    <x v="42"/>
  </r>
  <r>
    <x v="171"/>
  </r>
  <r>
    <x v="204"/>
  </r>
  <r>
    <x v="204"/>
  </r>
  <r>
    <x v="0"/>
  </r>
  <r>
    <x v="42"/>
  </r>
  <r>
    <x v="42"/>
  </r>
  <r>
    <x v="57"/>
  </r>
  <r>
    <x v="11"/>
  </r>
  <r>
    <x v="64"/>
  </r>
  <r>
    <x v="64"/>
  </r>
  <r>
    <x v="53"/>
  </r>
  <r>
    <x v="9"/>
  </r>
  <r>
    <x v="42"/>
  </r>
  <r>
    <x v="10"/>
  </r>
  <r>
    <x v="14"/>
  </r>
  <r>
    <x v="14"/>
  </r>
  <r>
    <x v="12"/>
  </r>
  <r>
    <x v="14"/>
  </r>
  <r>
    <x v="81"/>
  </r>
  <r>
    <x v="93"/>
  </r>
  <r>
    <x v="93"/>
  </r>
  <r>
    <x v="0"/>
  </r>
  <r>
    <x v="25"/>
  </r>
  <r>
    <x v="25"/>
  </r>
  <r>
    <x v="25"/>
  </r>
  <r>
    <x v="76"/>
  </r>
  <r>
    <x v="76"/>
  </r>
  <r>
    <x v="76"/>
  </r>
  <r>
    <x v="76"/>
  </r>
  <r>
    <x v="25"/>
  </r>
  <r>
    <x v="48"/>
  </r>
  <r>
    <x v="93"/>
  </r>
  <r>
    <x v="93"/>
  </r>
  <r>
    <x v="76"/>
  </r>
  <r>
    <x v="81"/>
  </r>
  <r>
    <x v="81"/>
  </r>
  <r>
    <x v="81"/>
  </r>
  <r>
    <x v="81"/>
  </r>
  <r>
    <x v="81"/>
  </r>
  <r>
    <x v="81"/>
  </r>
  <r>
    <x v="78"/>
  </r>
  <r>
    <x v="103"/>
  </r>
  <r>
    <x v="31"/>
  </r>
  <r>
    <x v="0"/>
  </r>
  <r>
    <x v="25"/>
  </r>
  <r>
    <x v="200"/>
  </r>
  <r>
    <x v="31"/>
  </r>
  <r>
    <x v="80"/>
  </r>
  <r>
    <x v="80"/>
  </r>
  <r>
    <x v="45"/>
  </r>
  <r>
    <x v="45"/>
  </r>
  <r>
    <x v="87"/>
  </r>
  <r>
    <x v="48"/>
  </r>
  <r>
    <x v="78"/>
  </r>
  <r>
    <x v="117"/>
  </r>
  <r>
    <x v="27"/>
  </r>
  <r>
    <x v="27"/>
  </r>
  <r>
    <x v="27"/>
  </r>
  <r>
    <x v="227"/>
  </r>
  <r>
    <x v="48"/>
  </r>
  <r>
    <x v="48"/>
  </r>
  <r>
    <x v="48"/>
  </r>
  <r>
    <x v="29"/>
  </r>
  <r>
    <x v="14"/>
  </r>
  <r>
    <x v="14"/>
  </r>
  <r>
    <x v="48"/>
  </r>
  <r>
    <x v="29"/>
  </r>
  <r>
    <x v="29"/>
  </r>
  <r>
    <x v="142"/>
  </r>
  <r>
    <x v="142"/>
  </r>
  <r>
    <x v="125"/>
  </r>
  <r>
    <x v="93"/>
  </r>
  <r>
    <x v="14"/>
  </r>
  <r>
    <x v="10"/>
  </r>
  <r>
    <x v="10"/>
  </r>
  <r>
    <x v="10"/>
  </r>
  <r>
    <x v="48"/>
  </r>
  <r>
    <x v="48"/>
  </r>
  <r>
    <x v="0"/>
  </r>
  <r>
    <x v="7"/>
  </r>
  <r>
    <x v="7"/>
  </r>
  <r>
    <x v="56"/>
  </r>
  <r>
    <x v="78"/>
  </r>
  <r>
    <x v="22"/>
  </r>
  <r>
    <x v="63"/>
  </r>
  <r>
    <x v="63"/>
  </r>
  <r>
    <x v="78"/>
  </r>
  <r>
    <x v="48"/>
  </r>
  <r>
    <x v="41"/>
  </r>
  <r>
    <x v="56"/>
  </r>
  <r>
    <x v="22"/>
  </r>
  <r>
    <x v="78"/>
  </r>
  <r>
    <x v="78"/>
  </r>
  <r>
    <x v="64"/>
  </r>
  <r>
    <x v="151"/>
  </r>
  <r>
    <x v="56"/>
  </r>
  <r>
    <x v="22"/>
  </r>
  <r>
    <x v="56"/>
  </r>
  <r>
    <x v="56"/>
  </r>
  <r>
    <x v="22"/>
  </r>
  <r>
    <x v="93"/>
  </r>
  <r>
    <x v="93"/>
  </r>
  <r>
    <x v="75"/>
  </r>
  <r>
    <x v="117"/>
  </r>
  <r>
    <x v="93"/>
  </r>
  <r>
    <x v="14"/>
  </r>
  <r>
    <x v="32"/>
  </r>
  <r>
    <x v="50"/>
  </r>
  <r>
    <x v="2"/>
  </r>
  <r>
    <x v="2"/>
  </r>
  <r>
    <x v="2"/>
  </r>
  <r>
    <x v="2"/>
  </r>
  <r>
    <x v="28"/>
  </r>
  <r>
    <x v="28"/>
  </r>
  <r>
    <x v="28"/>
  </r>
  <r>
    <x v="2"/>
  </r>
  <r>
    <x v="2"/>
  </r>
  <r>
    <x v="2"/>
  </r>
  <r>
    <x v="2"/>
  </r>
  <r>
    <x v="2"/>
  </r>
  <r>
    <x v="88"/>
  </r>
  <r>
    <x v="2"/>
  </r>
  <r>
    <x v="2"/>
  </r>
  <r>
    <x v="2"/>
  </r>
  <r>
    <x v="2"/>
  </r>
  <r>
    <x v="2"/>
  </r>
  <r>
    <x v="2"/>
  </r>
  <r>
    <x v="2"/>
  </r>
  <r>
    <x v="25"/>
  </r>
  <r>
    <x v="25"/>
  </r>
  <r>
    <x v="25"/>
  </r>
  <r>
    <x v="78"/>
  </r>
  <r>
    <x v="117"/>
  </r>
  <r>
    <x v="86"/>
  </r>
  <r>
    <x v="10"/>
  </r>
  <r>
    <x v="25"/>
  </r>
  <r>
    <x v="10"/>
  </r>
  <r>
    <x v="10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82"/>
  </r>
  <r>
    <x v="1"/>
  </r>
  <r>
    <x v="1"/>
  </r>
  <r>
    <x v="1"/>
  </r>
  <r>
    <x v="1"/>
  </r>
  <r>
    <x v="1"/>
  </r>
  <r>
    <x v="1"/>
  </r>
  <r>
    <x v="1"/>
  </r>
  <r>
    <x v="48"/>
  </r>
  <r>
    <x v="31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143"/>
  </r>
  <r>
    <x v="143"/>
  </r>
  <r>
    <x v="143"/>
  </r>
  <r>
    <x v="143"/>
  </r>
  <r>
    <x v="143"/>
  </r>
  <r>
    <x v="143"/>
  </r>
  <r>
    <x v="70"/>
  </r>
  <r>
    <x v="81"/>
  </r>
  <r>
    <x v="81"/>
  </r>
  <r>
    <x v="81"/>
  </r>
  <r>
    <x v="8"/>
  </r>
  <r>
    <x v="193"/>
  </r>
  <r>
    <x v="112"/>
  </r>
  <r>
    <x v="4"/>
  </r>
  <r>
    <x v="25"/>
  </r>
  <r>
    <x v="6"/>
  </r>
  <r>
    <x v="72"/>
  </r>
  <r>
    <x v="10"/>
  </r>
  <r>
    <x v="12"/>
  </r>
  <r>
    <x v="59"/>
  </r>
  <r>
    <x v="12"/>
  </r>
  <r>
    <x v="50"/>
  </r>
  <r>
    <x v="28"/>
  </r>
  <r>
    <x v="28"/>
  </r>
  <r>
    <x v="28"/>
  </r>
  <r>
    <x v="28"/>
  </r>
  <r>
    <x v="28"/>
  </r>
  <r>
    <x v="28"/>
  </r>
  <r>
    <x v="28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7"/>
  </r>
  <r>
    <x v="107"/>
  </r>
  <r>
    <x v="48"/>
  </r>
  <r>
    <x v="48"/>
  </r>
  <r>
    <x v="34"/>
  </r>
  <r>
    <x v="23"/>
  </r>
  <r>
    <x v="4"/>
  </r>
  <r>
    <x v="8"/>
  </r>
  <r>
    <x v="10"/>
  </r>
  <r>
    <x v="10"/>
  </r>
  <r>
    <x v="10"/>
  </r>
  <r>
    <x v="10"/>
  </r>
  <r>
    <x v="10"/>
  </r>
  <r>
    <x v="10"/>
  </r>
  <r>
    <x v="10"/>
  </r>
  <r>
    <x v="37"/>
  </r>
  <r>
    <x v="37"/>
  </r>
  <r>
    <x v="37"/>
  </r>
  <r>
    <x v="37"/>
  </r>
  <r>
    <x v="37"/>
  </r>
  <r>
    <x v="37"/>
  </r>
  <r>
    <x v="56"/>
  </r>
  <r>
    <x v="10"/>
  </r>
  <r>
    <x v="10"/>
  </r>
  <r>
    <x v="10"/>
  </r>
  <r>
    <x v="10"/>
  </r>
  <r>
    <x v="10"/>
  </r>
  <r>
    <x v="48"/>
  </r>
  <r>
    <x v="48"/>
  </r>
  <r>
    <x v="10"/>
  </r>
  <r>
    <x v="48"/>
  </r>
  <r>
    <x v="48"/>
  </r>
  <r>
    <x v="48"/>
  </r>
  <r>
    <x v="48"/>
  </r>
  <r>
    <x v="48"/>
  </r>
  <r>
    <x v="10"/>
  </r>
  <r>
    <x v="10"/>
  </r>
  <r>
    <x v="10"/>
  </r>
  <r>
    <x v="45"/>
  </r>
  <r>
    <x v="45"/>
  </r>
  <r>
    <x v="45"/>
  </r>
  <r>
    <x v="45"/>
  </r>
  <r>
    <x v="45"/>
  </r>
  <r>
    <x v="45"/>
  </r>
  <r>
    <x v="10"/>
  </r>
  <r>
    <x v="10"/>
  </r>
  <r>
    <x v="10"/>
  </r>
  <r>
    <x v="31"/>
  </r>
  <r>
    <x v="228"/>
  </r>
  <r>
    <x v="79"/>
  </r>
  <r>
    <x v="79"/>
  </r>
  <r>
    <x v="79"/>
  </r>
  <r>
    <x v="56"/>
  </r>
  <r>
    <x v="56"/>
  </r>
  <r>
    <x v="56"/>
  </r>
  <r>
    <x v="56"/>
  </r>
  <r>
    <x v="10"/>
  </r>
  <r>
    <x v="10"/>
  </r>
  <r>
    <x v="10"/>
  </r>
  <r>
    <x v="48"/>
  </r>
  <r>
    <x v="57"/>
  </r>
  <r>
    <x v="2"/>
  </r>
  <r>
    <x v="2"/>
  </r>
  <r>
    <x v="2"/>
  </r>
  <r>
    <x v="2"/>
  </r>
  <r>
    <x v="10"/>
  </r>
  <r>
    <x v="10"/>
  </r>
  <r>
    <x v="10"/>
  </r>
  <r>
    <x v="10"/>
  </r>
  <r>
    <x v="10"/>
  </r>
  <r>
    <x v="10"/>
  </r>
  <r>
    <x v="57"/>
  </r>
  <r>
    <x v="57"/>
  </r>
  <r>
    <x v="2"/>
  </r>
  <r>
    <x v="79"/>
  </r>
  <r>
    <x v="79"/>
  </r>
  <r>
    <x v="79"/>
  </r>
  <r>
    <x v="79"/>
  </r>
  <r>
    <x v="79"/>
  </r>
  <r>
    <x v="79"/>
  </r>
  <r>
    <x v="79"/>
  </r>
  <r>
    <x v="98"/>
  </r>
  <r>
    <x v="31"/>
  </r>
  <r>
    <x v="10"/>
  </r>
  <r>
    <x v="10"/>
  </r>
  <r>
    <x v="0"/>
  </r>
  <r>
    <x v="10"/>
  </r>
  <r>
    <x v="10"/>
  </r>
  <r>
    <x v="10"/>
  </r>
  <r>
    <x v="10"/>
  </r>
  <r>
    <x v="2"/>
  </r>
  <r>
    <x v="82"/>
  </r>
  <r>
    <x v="2"/>
  </r>
  <r>
    <x v="79"/>
  </r>
  <r>
    <x v="79"/>
  </r>
  <r>
    <x v="79"/>
  </r>
  <r>
    <x v="79"/>
  </r>
  <r>
    <x v="0"/>
  </r>
  <r>
    <x v="0"/>
  </r>
  <r>
    <x v="0"/>
  </r>
  <r>
    <x v="48"/>
  </r>
  <r>
    <x v="2"/>
  </r>
  <r>
    <x v="2"/>
  </r>
  <r>
    <x v="2"/>
  </r>
  <r>
    <x v="10"/>
  </r>
  <r>
    <x v="2"/>
  </r>
  <r>
    <x v="2"/>
  </r>
  <r>
    <x v="79"/>
  </r>
  <r>
    <x v="79"/>
  </r>
  <r>
    <x v="229"/>
  </r>
  <r>
    <x v="229"/>
  </r>
  <r>
    <x v="229"/>
  </r>
  <r>
    <x v="229"/>
  </r>
  <r>
    <x v="57"/>
  </r>
  <r>
    <x v="57"/>
  </r>
  <r>
    <x v="57"/>
  </r>
  <r>
    <x v="62"/>
  </r>
  <r>
    <x v="62"/>
  </r>
  <r>
    <x v="62"/>
  </r>
  <r>
    <x v="62"/>
  </r>
  <r>
    <x v="62"/>
  </r>
  <r>
    <x v="62"/>
  </r>
  <r>
    <x v="57"/>
  </r>
  <r>
    <x v="57"/>
  </r>
  <r>
    <x v="57"/>
  </r>
  <r>
    <x v="57"/>
  </r>
  <r>
    <x v="57"/>
  </r>
  <r>
    <x v="62"/>
  </r>
  <r>
    <x v="62"/>
  </r>
  <r>
    <x v="57"/>
  </r>
  <r>
    <x v="57"/>
  </r>
  <r>
    <x v="23"/>
  </r>
  <r>
    <x v="229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103"/>
  </r>
  <r>
    <x v="81"/>
  </r>
  <r>
    <x v="81"/>
  </r>
  <r>
    <x v="81"/>
  </r>
  <r>
    <x v="81"/>
  </r>
  <r>
    <x v="81"/>
  </r>
  <r>
    <x v="57"/>
  </r>
  <r>
    <x v="27"/>
  </r>
  <r>
    <x v="27"/>
  </r>
  <r>
    <x v="57"/>
  </r>
  <r>
    <x v="57"/>
  </r>
  <r>
    <x v="27"/>
  </r>
  <r>
    <x v="79"/>
  </r>
  <r>
    <x v="79"/>
  </r>
  <r>
    <x v="79"/>
  </r>
  <r>
    <x v="79"/>
  </r>
  <r>
    <x v="79"/>
  </r>
  <r>
    <x v="79"/>
  </r>
  <r>
    <x v="0"/>
  </r>
  <r>
    <x v="0"/>
  </r>
  <r>
    <x v="0"/>
  </r>
  <r>
    <x v="2"/>
  </r>
  <r>
    <x v="2"/>
  </r>
  <r>
    <x v="2"/>
  </r>
  <r>
    <x v="28"/>
  </r>
  <r>
    <x v="22"/>
  </r>
  <r>
    <x v="22"/>
  </r>
  <r>
    <x v="22"/>
  </r>
  <r>
    <x v="113"/>
  </r>
  <r>
    <x v="15"/>
  </r>
  <r>
    <x v="15"/>
  </r>
  <r>
    <x v="31"/>
  </r>
  <r>
    <x v="2"/>
  </r>
  <r>
    <x v="2"/>
  </r>
  <r>
    <x v="141"/>
  </r>
  <r>
    <x v="17"/>
  </r>
  <r>
    <x v="46"/>
  </r>
  <r>
    <x v="17"/>
  </r>
  <r>
    <x v="4"/>
  </r>
  <r>
    <x v="87"/>
  </r>
  <r>
    <x v="2"/>
  </r>
  <r>
    <x v="83"/>
  </r>
  <r>
    <x v="83"/>
  </r>
  <r>
    <x v="14"/>
  </r>
  <r>
    <x v="154"/>
  </r>
  <r>
    <x v="154"/>
  </r>
  <r>
    <x v="62"/>
  </r>
  <r>
    <x v="62"/>
  </r>
  <r>
    <x v="79"/>
  </r>
  <r>
    <x v="64"/>
  </r>
  <r>
    <x v="89"/>
  </r>
  <r>
    <x v="2"/>
  </r>
  <r>
    <x v="10"/>
  </r>
  <r>
    <x v="14"/>
  </r>
  <r>
    <x v="97"/>
  </r>
  <r>
    <x v="143"/>
  </r>
  <r>
    <x v="14"/>
  </r>
  <r>
    <x v="2"/>
  </r>
  <r>
    <x v="57"/>
  </r>
  <r>
    <x v="37"/>
  </r>
  <r>
    <x v="57"/>
  </r>
  <r>
    <x v="0"/>
  </r>
  <r>
    <x v="230"/>
  </r>
  <r>
    <x v="114"/>
  </r>
  <r>
    <x v="100"/>
  </r>
  <r>
    <x v="100"/>
  </r>
  <r>
    <x v="82"/>
  </r>
  <r>
    <x v="17"/>
  </r>
  <r>
    <x v="55"/>
  </r>
  <r>
    <x v="17"/>
  </r>
  <r>
    <x v="87"/>
  </r>
  <r>
    <x v="87"/>
  </r>
  <r>
    <x v="24"/>
  </r>
  <r>
    <x v="24"/>
  </r>
  <r>
    <x v="24"/>
  </r>
  <r>
    <x v="24"/>
  </r>
  <r>
    <x v="81"/>
  </r>
  <r>
    <x v="154"/>
  </r>
  <r>
    <x v="154"/>
  </r>
  <r>
    <x v="202"/>
  </r>
  <r>
    <x v="202"/>
  </r>
  <r>
    <x v="31"/>
  </r>
  <r>
    <x v="31"/>
  </r>
  <r>
    <x v="31"/>
  </r>
  <r>
    <x v="82"/>
  </r>
  <r>
    <x v="115"/>
  </r>
  <r>
    <x v="122"/>
  </r>
  <r>
    <x v="86"/>
  </r>
  <r>
    <x v="100"/>
  </r>
  <r>
    <x v="82"/>
  </r>
  <r>
    <x v="42"/>
  </r>
  <r>
    <x v="100"/>
  </r>
  <r>
    <x v="102"/>
  </r>
  <r>
    <x v="111"/>
  </r>
  <r>
    <x v="48"/>
  </r>
  <r>
    <x v="48"/>
  </r>
  <r>
    <x v="36"/>
  </r>
  <r>
    <x v="42"/>
  </r>
  <r>
    <x v="72"/>
  </r>
  <r>
    <x v="76"/>
  </r>
  <r>
    <x v="48"/>
  </r>
  <r>
    <x v="31"/>
  </r>
  <r>
    <x v="116"/>
  </r>
  <r>
    <x v="100"/>
  </r>
  <r>
    <x v="42"/>
  </r>
  <r>
    <x v="14"/>
  </r>
  <r>
    <x v="3"/>
  </r>
  <r>
    <x v="164"/>
  </r>
  <r>
    <x v="59"/>
  </r>
  <r>
    <x v="100"/>
  </r>
  <r>
    <x v="129"/>
  </r>
  <r>
    <x v="37"/>
  </r>
  <r>
    <x v="115"/>
  </r>
  <r>
    <x v="48"/>
  </r>
  <r>
    <x v="42"/>
  </r>
  <r>
    <x v="42"/>
  </r>
  <r>
    <x v="113"/>
  </r>
  <r>
    <x v="92"/>
  </r>
  <r>
    <x v="92"/>
  </r>
  <r>
    <x v="86"/>
  </r>
  <r>
    <x v="86"/>
  </r>
  <r>
    <x v="81"/>
  </r>
  <r>
    <x v="45"/>
  </r>
  <r>
    <x v="86"/>
  </r>
  <r>
    <x v="129"/>
  </r>
  <r>
    <x v="86"/>
  </r>
  <r>
    <x v="129"/>
  </r>
  <r>
    <x v="2"/>
  </r>
  <r>
    <x v="2"/>
  </r>
  <r>
    <x v="2"/>
  </r>
  <r>
    <x v="2"/>
  </r>
  <r>
    <x v="86"/>
  </r>
  <r>
    <x v="86"/>
  </r>
  <r>
    <x v="2"/>
  </r>
  <r>
    <x v="64"/>
  </r>
  <r>
    <x v="64"/>
  </r>
  <r>
    <x v="79"/>
  </r>
  <r>
    <x v="64"/>
  </r>
  <r>
    <x v="10"/>
  </r>
  <r>
    <x v="106"/>
  </r>
  <r>
    <x v="56"/>
  </r>
  <r>
    <x v="56"/>
  </r>
  <r>
    <x v="46"/>
  </r>
  <r>
    <x v="8"/>
  </r>
  <r>
    <x v="143"/>
  </r>
  <r>
    <x v="46"/>
  </r>
  <r>
    <x v="97"/>
  </r>
  <r>
    <x v="56"/>
  </r>
  <r>
    <x v="2"/>
  </r>
  <r>
    <x v="45"/>
  </r>
  <r>
    <x v="1"/>
  </r>
  <r>
    <x v="1"/>
  </r>
  <r>
    <x v="31"/>
  </r>
  <r>
    <x v="37"/>
  </r>
  <r>
    <x v="82"/>
  </r>
  <r>
    <x v="57"/>
  </r>
  <r>
    <x v="0"/>
  </r>
  <r>
    <x v="57"/>
  </r>
  <r>
    <x v="2"/>
  </r>
  <r>
    <x v="37"/>
  </r>
  <r>
    <x v="17"/>
  </r>
  <r>
    <x v="2"/>
  </r>
  <r>
    <x v="37"/>
  </r>
  <r>
    <x v="6"/>
  </r>
  <r>
    <x v="57"/>
  </r>
  <r>
    <x v="55"/>
  </r>
  <r>
    <x v="21"/>
  </r>
  <r>
    <x v="37"/>
  </r>
  <r>
    <x v="81"/>
  </r>
  <r>
    <x v="87"/>
  </r>
  <r>
    <x v="6"/>
  </r>
  <r>
    <x v="34"/>
  </r>
  <r>
    <x v="84"/>
  </r>
  <r>
    <x v="84"/>
  </r>
  <r>
    <x v="78"/>
  </r>
  <r>
    <x v="48"/>
  </r>
  <r>
    <x v="48"/>
  </r>
  <r>
    <x v="48"/>
  </r>
  <r>
    <x v="48"/>
  </r>
  <r>
    <x v="48"/>
  </r>
  <r>
    <x v="44"/>
  </r>
  <r>
    <x v="48"/>
  </r>
  <r>
    <x v="48"/>
  </r>
  <r>
    <x v="48"/>
  </r>
  <r>
    <x v="48"/>
  </r>
  <r>
    <x v="14"/>
  </r>
  <r>
    <x v="106"/>
  </r>
  <r>
    <x v="106"/>
  </r>
  <r>
    <x v="10"/>
  </r>
  <r>
    <x v="10"/>
  </r>
  <r>
    <x v="106"/>
  </r>
  <r>
    <x v="46"/>
  </r>
  <r>
    <x v="46"/>
  </r>
  <r>
    <x v="106"/>
  </r>
  <r>
    <x v="106"/>
  </r>
  <r>
    <x v="106"/>
  </r>
  <r>
    <x v="106"/>
  </r>
  <r>
    <x v="49"/>
  </r>
  <r>
    <x v="49"/>
  </r>
  <r>
    <x v="113"/>
  </r>
  <r>
    <x v="72"/>
  </r>
  <r>
    <x v="25"/>
  </r>
  <r>
    <x v="25"/>
  </r>
  <r>
    <x v="72"/>
  </r>
  <r>
    <x v="72"/>
  </r>
  <r>
    <x v="129"/>
  </r>
  <r>
    <x v="25"/>
  </r>
  <r>
    <x v="25"/>
  </r>
  <r>
    <x v="25"/>
  </r>
  <r>
    <x v="0"/>
  </r>
  <r>
    <x v="0"/>
  </r>
  <r>
    <x v="0"/>
  </r>
  <r>
    <x v="0"/>
  </r>
  <r>
    <x v="0"/>
  </r>
  <r>
    <x v="0"/>
  </r>
  <r>
    <x v="83"/>
  </r>
  <r>
    <x v="20"/>
  </r>
  <r>
    <x v="77"/>
  </r>
  <r>
    <x v="12"/>
  </r>
  <r>
    <x v="12"/>
  </r>
  <r>
    <x v="77"/>
  </r>
  <r>
    <x v="99"/>
  </r>
  <r>
    <x v="99"/>
  </r>
  <r>
    <x v="63"/>
  </r>
  <r>
    <x v="79"/>
  </r>
  <r>
    <x v="79"/>
  </r>
  <r>
    <x v="79"/>
  </r>
  <r>
    <x v="79"/>
  </r>
  <r>
    <x v="79"/>
  </r>
  <r>
    <x v="79"/>
  </r>
  <r>
    <x v="12"/>
  </r>
  <r>
    <x v="78"/>
  </r>
  <r>
    <x v="76"/>
  </r>
  <r>
    <x v="63"/>
  </r>
  <r>
    <x v="50"/>
  </r>
  <r>
    <x v="12"/>
  </r>
  <r>
    <x v="22"/>
  </r>
  <r>
    <x v="79"/>
  </r>
  <r>
    <x v="79"/>
  </r>
  <r>
    <x v="48"/>
  </r>
  <r>
    <x v="22"/>
  </r>
  <r>
    <x v="48"/>
  </r>
  <r>
    <x v="103"/>
  </r>
  <r>
    <x v="22"/>
  </r>
  <r>
    <x v="22"/>
  </r>
  <r>
    <x v="103"/>
  </r>
  <r>
    <x v="27"/>
  </r>
  <r>
    <x v="71"/>
  </r>
  <r>
    <x v="22"/>
  </r>
  <r>
    <x v="25"/>
  </r>
  <r>
    <x v="25"/>
  </r>
  <r>
    <x v="25"/>
  </r>
  <r>
    <x v="25"/>
  </r>
  <r>
    <x v="48"/>
  </r>
  <r>
    <x v="97"/>
  </r>
  <r>
    <x v="48"/>
  </r>
  <r>
    <x v="25"/>
  </r>
  <r>
    <x v="102"/>
  </r>
  <r>
    <x v="82"/>
  </r>
  <r>
    <x v="102"/>
  </r>
  <r>
    <x v="102"/>
  </r>
  <r>
    <x v="31"/>
  </r>
  <r>
    <x v="72"/>
  </r>
  <r>
    <x v="48"/>
  </r>
  <r>
    <x v="25"/>
  </r>
  <r>
    <x v="72"/>
  </r>
  <r>
    <x v="25"/>
  </r>
  <r>
    <x v="25"/>
  </r>
  <r>
    <x v="25"/>
  </r>
  <r>
    <x v="72"/>
  </r>
  <r>
    <x v="72"/>
  </r>
  <r>
    <x v="102"/>
  </r>
  <r>
    <x v="82"/>
  </r>
  <r>
    <x v="82"/>
  </r>
  <r>
    <x v="25"/>
  </r>
  <r>
    <x v="76"/>
  </r>
  <r>
    <x v="25"/>
  </r>
  <r>
    <x v="25"/>
  </r>
  <r>
    <x v="76"/>
  </r>
  <r>
    <x v="25"/>
  </r>
  <r>
    <x v="25"/>
  </r>
  <r>
    <x v="25"/>
  </r>
  <r>
    <x v="25"/>
  </r>
  <r>
    <x v="82"/>
  </r>
  <r>
    <x v="76"/>
  </r>
  <r>
    <x v="76"/>
  </r>
  <r>
    <x v="72"/>
  </r>
  <r>
    <x v="25"/>
  </r>
  <r>
    <x v="104"/>
  </r>
  <r>
    <x v="76"/>
  </r>
  <r>
    <x v="72"/>
  </r>
  <r>
    <x v="25"/>
  </r>
  <r>
    <x v="102"/>
  </r>
  <r>
    <x v="72"/>
  </r>
  <r>
    <x v="102"/>
  </r>
  <r>
    <x v="76"/>
  </r>
  <r>
    <x v="25"/>
  </r>
  <r>
    <x v="72"/>
  </r>
  <r>
    <x v="25"/>
  </r>
  <r>
    <x v="25"/>
  </r>
  <r>
    <x v="72"/>
  </r>
  <r>
    <x v="198"/>
  </r>
  <r>
    <x v="0"/>
  </r>
  <r>
    <x v="82"/>
  </r>
  <r>
    <x v="0"/>
  </r>
  <r>
    <x v="0"/>
  </r>
  <r>
    <x v="0"/>
  </r>
  <r>
    <x v="0"/>
  </r>
  <r>
    <x v="76"/>
  </r>
  <r>
    <x v="25"/>
  </r>
  <r>
    <x v="110"/>
  </r>
  <r>
    <x v="25"/>
  </r>
  <r>
    <x v="94"/>
  </r>
  <r>
    <x v="72"/>
  </r>
  <r>
    <x v="25"/>
  </r>
  <r>
    <x v="76"/>
  </r>
  <r>
    <x v="25"/>
  </r>
  <r>
    <x v="102"/>
  </r>
  <r>
    <x v="72"/>
  </r>
  <r>
    <x v="82"/>
  </r>
  <r>
    <x v="72"/>
  </r>
  <r>
    <x v="78"/>
  </r>
  <r>
    <x v="78"/>
  </r>
  <r>
    <x v="72"/>
  </r>
  <r>
    <x v="72"/>
  </r>
  <r>
    <x v="25"/>
  </r>
  <r>
    <x v="102"/>
  </r>
  <r>
    <x v="102"/>
  </r>
  <r>
    <x v="25"/>
  </r>
  <r>
    <x v="25"/>
  </r>
  <r>
    <x v="72"/>
  </r>
  <r>
    <x v="25"/>
  </r>
  <r>
    <x v="25"/>
  </r>
  <r>
    <x v="25"/>
  </r>
  <r>
    <x v="72"/>
  </r>
  <r>
    <x v="25"/>
  </r>
  <r>
    <x v="72"/>
  </r>
  <r>
    <x v="25"/>
  </r>
  <r>
    <x v="72"/>
  </r>
  <r>
    <x v="25"/>
  </r>
  <r>
    <x v="117"/>
  </r>
  <r>
    <x v="102"/>
  </r>
  <r>
    <x v="82"/>
  </r>
  <r>
    <x v="25"/>
  </r>
  <r>
    <x v="25"/>
  </r>
  <r>
    <x v="76"/>
  </r>
  <r>
    <x v="117"/>
  </r>
  <r>
    <x v="102"/>
  </r>
  <r>
    <x v="25"/>
  </r>
  <r>
    <x v="25"/>
  </r>
  <r>
    <x v="105"/>
  </r>
  <r>
    <x v="25"/>
  </r>
  <r>
    <x v="102"/>
  </r>
  <r>
    <x v="104"/>
  </r>
  <r>
    <x v="25"/>
  </r>
  <r>
    <x v="72"/>
  </r>
  <r>
    <x v="25"/>
  </r>
  <r>
    <x v="102"/>
  </r>
  <r>
    <x v="102"/>
  </r>
  <r>
    <x v="76"/>
  </r>
  <r>
    <x v="25"/>
  </r>
  <r>
    <x v="72"/>
  </r>
  <r>
    <x v="72"/>
  </r>
  <r>
    <x v="76"/>
  </r>
  <r>
    <x v="25"/>
  </r>
  <r>
    <x v="72"/>
  </r>
  <r>
    <x v="72"/>
  </r>
  <r>
    <x v="25"/>
  </r>
  <r>
    <x v="82"/>
  </r>
  <r>
    <x v="25"/>
  </r>
  <r>
    <x v="72"/>
  </r>
  <r>
    <x v="72"/>
  </r>
  <r>
    <x v="72"/>
  </r>
  <r>
    <x v="25"/>
  </r>
  <r>
    <x v="102"/>
  </r>
  <r>
    <x v="102"/>
  </r>
  <r>
    <x v="72"/>
  </r>
  <r>
    <x v="25"/>
  </r>
  <r>
    <x v="25"/>
  </r>
  <r>
    <x v="25"/>
  </r>
  <r>
    <x v="25"/>
  </r>
  <r>
    <x v="25"/>
  </r>
  <r>
    <x v="25"/>
  </r>
  <r>
    <x v="102"/>
  </r>
  <r>
    <x v="102"/>
  </r>
  <r>
    <x v="102"/>
  </r>
  <r>
    <x v="25"/>
  </r>
  <r>
    <x v="102"/>
  </r>
  <r>
    <x v="25"/>
  </r>
  <r>
    <x v="102"/>
  </r>
  <r>
    <x v="117"/>
  </r>
  <r>
    <x v="25"/>
  </r>
  <r>
    <x v="25"/>
  </r>
  <r>
    <x v="25"/>
  </r>
  <r>
    <x v="25"/>
  </r>
  <r>
    <x v="25"/>
  </r>
  <r>
    <x v="25"/>
  </r>
  <r>
    <x v="25"/>
  </r>
  <r>
    <x v="25"/>
  </r>
  <r>
    <x v="78"/>
  </r>
  <r>
    <x v="89"/>
  </r>
  <r>
    <x v="22"/>
  </r>
  <r>
    <x v="22"/>
  </r>
  <r>
    <x v="78"/>
  </r>
  <r>
    <x v="78"/>
  </r>
  <r>
    <x v="78"/>
  </r>
  <r>
    <x v="78"/>
  </r>
  <r>
    <x v="78"/>
  </r>
  <r>
    <x v="12"/>
  </r>
  <r>
    <x v="78"/>
  </r>
  <r>
    <x v="78"/>
  </r>
  <r>
    <x v="42"/>
  </r>
  <r>
    <x v="100"/>
  </r>
  <r>
    <x v="100"/>
  </r>
  <r>
    <x v="29"/>
  </r>
  <r>
    <x v="29"/>
  </r>
  <r>
    <x v="29"/>
  </r>
  <r>
    <x v="29"/>
  </r>
  <r>
    <x v="75"/>
  </r>
  <r>
    <x v="75"/>
  </r>
  <r>
    <x v="93"/>
  </r>
  <r>
    <x v="78"/>
  </r>
  <r>
    <x v="78"/>
  </r>
  <r>
    <x v="97"/>
  </r>
  <r>
    <x v="78"/>
  </r>
  <r>
    <x v="78"/>
  </r>
  <r>
    <x v="99"/>
  </r>
  <r>
    <x v="99"/>
  </r>
  <r>
    <x v="78"/>
  </r>
  <r>
    <x v="25"/>
  </r>
  <r>
    <x v="25"/>
  </r>
  <r>
    <x v="81"/>
  </r>
  <r>
    <x v="81"/>
  </r>
  <r>
    <x v="81"/>
  </r>
  <r>
    <x v="81"/>
  </r>
  <r>
    <x v="219"/>
  </r>
  <r>
    <x v="99"/>
  </r>
  <r>
    <x v="103"/>
  </r>
  <r>
    <x v="100"/>
  </r>
  <r>
    <x v="103"/>
  </r>
  <r>
    <x v="90"/>
  </r>
  <r>
    <x v="96"/>
  </r>
  <r>
    <x v="90"/>
  </r>
  <r>
    <x v="25"/>
  </r>
  <r>
    <x v="96"/>
  </r>
  <r>
    <x v="12"/>
  </r>
  <r>
    <x v="12"/>
  </r>
  <r>
    <x v="22"/>
  </r>
  <r>
    <x v="78"/>
  </r>
  <r>
    <x v="12"/>
  </r>
  <r>
    <x v="12"/>
  </r>
  <r>
    <x v="12"/>
  </r>
  <r>
    <x v="86"/>
  </r>
  <r>
    <x v="86"/>
  </r>
  <r>
    <x v="25"/>
  </r>
  <r>
    <x v="72"/>
  </r>
  <r>
    <x v="25"/>
  </r>
  <r>
    <x v="25"/>
  </r>
  <r>
    <x v="25"/>
  </r>
  <r>
    <x v="25"/>
  </r>
  <r>
    <x v="25"/>
  </r>
  <r>
    <x v="25"/>
  </r>
  <r>
    <x v="25"/>
  </r>
  <r>
    <x v="25"/>
  </r>
  <r>
    <x v="76"/>
  </r>
  <r>
    <x v="25"/>
  </r>
  <r>
    <x v="25"/>
  </r>
  <r>
    <x v="72"/>
  </r>
  <r>
    <x v="25"/>
  </r>
  <r>
    <x v="25"/>
  </r>
  <r>
    <x v="25"/>
  </r>
  <r>
    <x v="108"/>
  </r>
  <r>
    <x v="108"/>
  </r>
  <r>
    <x v="25"/>
  </r>
  <r>
    <x v="48"/>
  </r>
  <r>
    <x v="108"/>
  </r>
  <r>
    <x v="102"/>
  </r>
  <r>
    <x v="82"/>
  </r>
  <r>
    <x v="25"/>
  </r>
  <r>
    <x v="25"/>
  </r>
  <r>
    <x v="72"/>
  </r>
  <r>
    <x v="108"/>
  </r>
  <r>
    <x v="1"/>
  </r>
  <r>
    <x v="1"/>
  </r>
  <r>
    <x v="12"/>
  </r>
  <r>
    <x v="25"/>
  </r>
  <r>
    <x v="48"/>
  </r>
  <r>
    <x v="48"/>
  </r>
  <r>
    <x v="76"/>
  </r>
  <r>
    <x v="72"/>
  </r>
  <r>
    <x v="85"/>
  </r>
  <r>
    <x v="85"/>
  </r>
  <r>
    <x v="0"/>
  </r>
  <r>
    <x v="31"/>
  </r>
  <r>
    <x v="10"/>
  </r>
  <r>
    <x v="23"/>
  </r>
  <r>
    <x v="23"/>
  </r>
  <r>
    <x v="93"/>
  </r>
  <r>
    <x v="93"/>
  </r>
  <r>
    <x v="14"/>
  </r>
  <r>
    <x v="14"/>
  </r>
  <r>
    <x v="48"/>
  </r>
  <r>
    <x v="14"/>
  </r>
  <r>
    <x v="72"/>
  </r>
  <r>
    <x v="2"/>
  </r>
  <r>
    <x v="2"/>
  </r>
  <r>
    <x v="2"/>
  </r>
  <r>
    <x v="199"/>
  </r>
  <r>
    <x v="25"/>
  </r>
  <r>
    <x v="25"/>
  </r>
  <r>
    <x v="25"/>
  </r>
  <r>
    <x v="82"/>
  </r>
  <r>
    <x v="25"/>
  </r>
  <r>
    <x v="76"/>
  </r>
  <r>
    <x v="25"/>
  </r>
  <r>
    <x v="25"/>
  </r>
  <r>
    <x v="25"/>
  </r>
  <r>
    <x v="25"/>
  </r>
  <r>
    <x v="25"/>
  </r>
  <r>
    <x v="72"/>
  </r>
  <r>
    <x v="72"/>
  </r>
  <r>
    <x v="105"/>
  </r>
  <r>
    <x v="72"/>
  </r>
  <r>
    <x v="72"/>
  </r>
  <r>
    <x v="72"/>
  </r>
  <r>
    <x v="117"/>
  </r>
  <r>
    <x v="108"/>
  </r>
  <r>
    <x v="75"/>
  </r>
  <r>
    <x v="23"/>
  </r>
  <r>
    <x v="18"/>
  </r>
  <r>
    <x v="0"/>
  </r>
  <r>
    <x v="27"/>
  </r>
  <r>
    <x v="27"/>
  </r>
  <r>
    <x v="88"/>
  </r>
  <r>
    <x v="72"/>
  </r>
  <r>
    <x v="31"/>
  </r>
  <r>
    <x v="31"/>
  </r>
  <r>
    <x v="31"/>
  </r>
  <r>
    <x v="94"/>
  </r>
  <r>
    <x v="72"/>
  </r>
  <r>
    <x v="48"/>
  </r>
  <r>
    <x v="76"/>
  </r>
  <r>
    <x v="48"/>
  </r>
  <r>
    <x v="76"/>
  </r>
  <r>
    <x v="76"/>
  </r>
  <r>
    <x v="85"/>
  </r>
  <r>
    <x v="85"/>
  </r>
  <r>
    <x v="31"/>
  </r>
  <r>
    <x v="31"/>
  </r>
  <r>
    <x v="31"/>
  </r>
  <r>
    <x v="111"/>
  </r>
  <r>
    <x v="14"/>
  </r>
  <r>
    <x v="25"/>
  </r>
  <r>
    <x v="157"/>
  </r>
  <r>
    <x v="15"/>
  </r>
  <r>
    <x v="76"/>
  </r>
  <r>
    <x v="48"/>
  </r>
  <r>
    <x v="48"/>
  </r>
  <r>
    <x v="48"/>
  </r>
  <r>
    <x v="48"/>
  </r>
  <r>
    <x v="48"/>
  </r>
  <r>
    <x v="102"/>
  </r>
  <r>
    <x v="102"/>
  </r>
  <r>
    <x v="102"/>
  </r>
  <r>
    <x v="102"/>
  </r>
  <r>
    <x v="25"/>
  </r>
  <r>
    <x v="25"/>
  </r>
  <r>
    <x v="25"/>
  </r>
  <r>
    <x v="2"/>
  </r>
  <r>
    <x v="55"/>
  </r>
  <r>
    <x v="81"/>
  </r>
  <r>
    <x v="81"/>
  </r>
  <r>
    <x v="217"/>
  </r>
  <r>
    <x v="7"/>
  </r>
  <r>
    <x v="7"/>
  </r>
  <r>
    <x v="7"/>
  </r>
  <r>
    <x v="7"/>
  </r>
  <r>
    <x v="7"/>
  </r>
  <r>
    <x v="82"/>
  </r>
  <r>
    <x v="25"/>
  </r>
  <r>
    <x v="10"/>
  </r>
  <r>
    <x v="10"/>
  </r>
  <r>
    <x v="29"/>
  </r>
  <r>
    <x v="29"/>
  </r>
  <r>
    <x v="48"/>
  </r>
  <r>
    <x v="75"/>
  </r>
  <r>
    <x v="76"/>
  </r>
  <r>
    <x v="122"/>
  </r>
  <r>
    <x v="35"/>
  </r>
  <r>
    <x v="35"/>
  </r>
  <r>
    <x v="87"/>
  </r>
  <r>
    <x v="80"/>
  </r>
  <r>
    <x v="22"/>
  </r>
  <r>
    <x v="48"/>
  </r>
  <r>
    <x v="27"/>
  </r>
  <r>
    <x v="27"/>
  </r>
  <r>
    <x v="31"/>
  </r>
  <r>
    <x v="31"/>
  </r>
  <r>
    <x v="31"/>
  </r>
  <r>
    <x v="59"/>
  </r>
  <r>
    <x v="229"/>
  </r>
  <r>
    <x v="31"/>
  </r>
  <r>
    <x v="10"/>
  </r>
  <r>
    <x v="31"/>
  </r>
  <r>
    <x v="31"/>
  </r>
  <r>
    <x v="166"/>
  </r>
  <r>
    <x v="59"/>
  </r>
  <r>
    <x v="10"/>
  </r>
  <r>
    <x v="25"/>
  </r>
  <r>
    <x v="10"/>
  </r>
  <r>
    <x v="10"/>
  </r>
  <r>
    <x v="48"/>
  </r>
  <r>
    <x v="93"/>
  </r>
  <r>
    <x v="93"/>
  </r>
  <r>
    <x v="93"/>
  </r>
  <r>
    <x v="93"/>
  </r>
  <r>
    <x v="94"/>
  </r>
  <r>
    <x v="94"/>
  </r>
  <r>
    <x v="78"/>
  </r>
  <r>
    <x v="93"/>
  </r>
  <r>
    <x v="93"/>
  </r>
  <r>
    <x v="25"/>
  </r>
  <r>
    <x v="78"/>
  </r>
  <r>
    <x v="78"/>
  </r>
  <r>
    <x v="113"/>
  </r>
  <r>
    <x v="217"/>
  </r>
  <r>
    <x v="12"/>
  </r>
  <r>
    <x v="76"/>
  </r>
  <r>
    <x v="48"/>
  </r>
  <r>
    <x v="112"/>
  </r>
  <r>
    <x v="96"/>
  </r>
  <r>
    <x v="76"/>
  </r>
  <r>
    <x v="76"/>
  </r>
  <r>
    <x v="96"/>
  </r>
  <r>
    <x v="15"/>
  </r>
  <r>
    <x v="12"/>
  </r>
  <r>
    <x v="12"/>
  </r>
  <r>
    <x v="12"/>
  </r>
  <r>
    <x v="76"/>
  </r>
  <r>
    <x v="75"/>
  </r>
  <r>
    <x v="93"/>
  </r>
  <r>
    <x v="93"/>
  </r>
  <r>
    <x v="82"/>
  </r>
  <r>
    <x v="29"/>
  </r>
  <r>
    <x v="142"/>
  </r>
  <r>
    <x v="29"/>
  </r>
  <r>
    <x v="48"/>
  </r>
  <r>
    <x v="76"/>
  </r>
  <r>
    <x v="76"/>
  </r>
  <r>
    <x v="157"/>
  </r>
  <r>
    <x v="231"/>
  </r>
  <r>
    <x v="231"/>
  </r>
  <r>
    <x v="76"/>
  </r>
  <r>
    <x v="76"/>
  </r>
  <r>
    <x v="76"/>
  </r>
  <r>
    <x v="76"/>
  </r>
  <r>
    <x v="76"/>
  </r>
  <r>
    <x v="82"/>
  </r>
  <r>
    <x v="26"/>
  </r>
  <r>
    <x v="10"/>
  </r>
  <r>
    <x v="76"/>
  </r>
  <r>
    <x v="76"/>
  </r>
  <r>
    <x v="76"/>
  </r>
  <r>
    <x v="76"/>
  </r>
  <r>
    <x v="76"/>
  </r>
  <r>
    <x v="25"/>
  </r>
  <r>
    <x v="232"/>
  </r>
  <r>
    <x v="76"/>
  </r>
  <r>
    <x v="232"/>
  </r>
  <r>
    <x v="68"/>
  </r>
  <r>
    <x v="76"/>
  </r>
  <r>
    <x v="76"/>
  </r>
  <r>
    <x v="25"/>
  </r>
  <r>
    <x v="72"/>
  </r>
  <r>
    <x v="48"/>
  </r>
  <r>
    <x v="76"/>
  </r>
  <r>
    <x v="76"/>
  </r>
  <r>
    <x v="76"/>
  </r>
  <r>
    <x v="76"/>
  </r>
  <r>
    <x v="78"/>
  </r>
  <r>
    <x v="232"/>
  </r>
  <r>
    <x v="82"/>
  </r>
  <r>
    <x v="78"/>
  </r>
  <r>
    <x v="76"/>
  </r>
  <r>
    <x v="76"/>
  </r>
  <r>
    <x v="227"/>
  </r>
  <r>
    <x v="14"/>
  </r>
  <r>
    <x v="48"/>
  </r>
  <r>
    <x v="48"/>
  </r>
  <r>
    <x v="45"/>
  </r>
  <r>
    <x v="227"/>
  </r>
  <r>
    <x v="63"/>
  </r>
  <r>
    <x v="118"/>
  </r>
  <r>
    <x v="25"/>
  </r>
  <r>
    <x v="0"/>
  </r>
  <r>
    <x v="14"/>
  </r>
  <r>
    <x v="86"/>
  </r>
  <r>
    <x v="219"/>
  </r>
  <r>
    <x v="0"/>
  </r>
  <r>
    <x v="22"/>
  </r>
  <r>
    <x v="12"/>
  </r>
  <r>
    <x v="10"/>
  </r>
  <r>
    <x v="48"/>
  </r>
  <r>
    <x v="48"/>
  </r>
  <r>
    <x v="22"/>
  </r>
  <r>
    <x v="17"/>
  </r>
  <r>
    <x v="56"/>
  </r>
  <r>
    <x v="48"/>
  </r>
  <r>
    <x v="28"/>
  </r>
  <r>
    <x v="56"/>
  </r>
  <r>
    <x v="25"/>
  </r>
  <r>
    <x v="25"/>
  </r>
  <r>
    <x v="25"/>
  </r>
  <r>
    <x v="0"/>
  </r>
  <r>
    <x v="0"/>
  </r>
  <r>
    <x v="0"/>
  </r>
  <r>
    <x v="48"/>
  </r>
  <r>
    <x v="48"/>
  </r>
  <r>
    <x v="81"/>
  </r>
  <r>
    <x v="63"/>
  </r>
  <r>
    <x v="10"/>
  </r>
  <r>
    <x v="52"/>
  </r>
  <r>
    <x v="48"/>
  </r>
  <r>
    <x v="83"/>
  </r>
  <r>
    <x v="22"/>
  </r>
  <r>
    <x v="0"/>
  </r>
  <r>
    <x v="111"/>
  </r>
  <r>
    <x v="83"/>
  </r>
  <r>
    <x v="10"/>
  </r>
  <r>
    <x v="83"/>
  </r>
  <r>
    <x v="29"/>
  </r>
  <r>
    <x v="42"/>
  </r>
  <r>
    <x v="233"/>
  </r>
  <r>
    <x v="42"/>
  </r>
  <r>
    <x v="42"/>
  </r>
  <r>
    <x v="42"/>
  </r>
  <r>
    <x v="42"/>
  </r>
  <r>
    <x v="12"/>
  </r>
  <r>
    <x v="12"/>
  </r>
  <r>
    <x v="10"/>
  </r>
  <r>
    <x v="10"/>
  </r>
  <r>
    <x v="48"/>
  </r>
  <r>
    <x v="48"/>
  </r>
  <r>
    <x v="86"/>
  </r>
  <r>
    <x v="78"/>
  </r>
  <r>
    <x v="48"/>
  </r>
  <r>
    <x v="48"/>
  </r>
  <r>
    <x v="14"/>
  </r>
  <r>
    <x v="10"/>
  </r>
  <r>
    <x v="50"/>
  </r>
  <r>
    <x v="12"/>
  </r>
  <r>
    <x v="12"/>
  </r>
  <r>
    <x v="92"/>
  </r>
  <r>
    <x v="63"/>
  </r>
  <r>
    <x v="63"/>
  </r>
  <r>
    <x v="63"/>
  </r>
  <r>
    <x v="14"/>
  </r>
  <r>
    <x v="83"/>
  </r>
  <r>
    <x v="83"/>
  </r>
  <r>
    <x v="36"/>
  </r>
  <r>
    <x v="22"/>
  </r>
  <r>
    <x v="22"/>
  </r>
  <r>
    <x v="93"/>
  </r>
  <r>
    <x v="37"/>
  </r>
  <r>
    <x v="217"/>
  </r>
  <r>
    <x v="198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72"/>
  </r>
  <r>
    <x v="72"/>
  </r>
  <r>
    <x v="42"/>
  </r>
  <r>
    <x v="42"/>
  </r>
  <r>
    <x v="42"/>
  </r>
  <r>
    <x v="99"/>
  </r>
  <r>
    <x v="199"/>
  </r>
  <r>
    <x v="76"/>
  </r>
  <r>
    <x v="76"/>
  </r>
  <r>
    <x v="25"/>
  </r>
  <r>
    <x v="76"/>
  </r>
  <r>
    <x v="76"/>
  </r>
  <r>
    <x v="25"/>
  </r>
  <r>
    <x v="76"/>
  </r>
  <r>
    <x v="103"/>
  </r>
  <r>
    <x v="76"/>
  </r>
  <r>
    <x v="72"/>
  </r>
  <r>
    <x v="72"/>
  </r>
  <r>
    <x v="108"/>
  </r>
  <r>
    <x v="76"/>
  </r>
  <r>
    <x v="103"/>
  </r>
  <r>
    <x v="42"/>
  </r>
  <r>
    <x v="76"/>
  </r>
  <r>
    <x v="2"/>
  </r>
  <r>
    <x v="83"/>
  </r>
  <r>
    <x v="83"/>
  </r>
  <r>
    <x v="30"/>
  </r>
  <r>
    <x v="30"/>
  </r>
  <r>
    <x v="122"/>
  </r>
  <r>
    <x v="48"/>
  </r>
  <r>
    <x v="0"/>
  </r>
  <r>
    <x v="0"/>
  </r>
  <r>
    <x v="71"/>
  </r>
  <r>
    <x v="71"/>
  </r>
  <r>
    <x v="25"/>
  </r>
  <r>
    <x v="25"/>
  </r>
  <r>
    <x v="164"/>
  </r>
  <r>
    <x v="30"/>
  </r>
  <r>
    <x v="30"/>
  </r>
  <r>
    <x v="30"/>
  </r>
  <r>
    <x v="112"/>
  </r>
  <r>
    <x v="112"/>
  </r>
  <r>
    <x v="81"/>
  </r>
  <r>
    <x v="112"/>
  </r>
  <r>
    <x v="48"/>
  </r>
  <r>
    <x v="86"/>
  </r>
  <r>
    <x v="86"/>
  </r>
  <r>
    <x v="93"/>
  </r>
  <r>
    <x v="50"/>
  </r>
  <r>
    <x v="10"/>
  </r>
  <r>
    <x v="10"/>
  </r>
  <r>
    <x v="217"/>
  </r>
  <r>
    <x v="50"/>
  </r>
  <r>
    <x v="50"/>
  </r>
  <r>
    <x v="4"/>
  </r>
  <r>
    <x v="50"/>
  </r>
  <r>
    <x v="50"/>
  </r>
  <r>
    <x v="25"/>
  </r>
  <r>
    <x v="25"/>
  </r>
  <r>
    <x v="94"/>
  </r>
  <r>
    <x v="80"/>
  </r>
  <r>
    <x v="80"/>
  </r>
  <r>
    <x v="105"/>
  </r>
  <r>
    <x v="76"/>
  </r>
  <r>
    <x v="35"/>
  </r>
  <r>
    <x v="105"/>
  </r>
  <r>
    <x v="105"/>
  </r>
  <r>
    <x v="105"/>
  </r>
  <r>
    <x v="105"/>
  </r>
  <r>
    <x v="35"/>
  </r>
  <r>
    <x v="48"/>
  </r>
  <r>
    <x v="25"/>
  </r>
  <r>
    <x v="105"/>
  </r>
  <r>
    <x v="105"/>
  </r>
  <r>
    <x v="72"/>
  </r>
  <r>
    <x v="72"/>
  </r>
  <r>
    <x v="72"/>
  </r>
  <r>
    <x v="72"/>
  </r>
  <r>
    <x v="10"/>
  </r>
  <r>
    <x v="10"/>
  </r>
  <r>
    <x v="11"/>
  </r>
  <r>
    <x v="11"/>
  </r>
  <r>
    <x v="12"/>
  </r>
  <r>
    <x v="12"/>
  </r>
  <r>
    <x v="12"/>
  </r>
  <r>
    <x v="12"/>
  </r>
  <r>
    <x v="11"/>
  </r>
  <r>
    <x v="10"/>
  </r>
  <r>
    <x v="10"/>
  </r>
  <r>
    <x v="50"/>
  </r>
  <r>
    <x v="80"/>
  </r>
  <r>
    <x v="37"/>
  </r>
  <r>
    <x v="48"/>
  </r>
  <r>
    <x v="87"/>
  </r>
  <r>
    <x v="48"/>
  </r>
  <r>
    <x v="108"/>
  </r>
  <r>
    <x v="112"/>
  </r>
  <r>
    <x v="87"/>
  </r>
  <r>
    <x v="217"/>
  </r>
  <r>
    <x v="112"/>
  </r>
  <r>
    <x v="25"/>
  </r>
  <r>
    <x v="109"/>
  </r>
  <r>
    <x v="64"/>
  </r>
  <r>
    <x v="59"/>
  </r>
  <r>
    <x v="31"/>
  </r>
  <r>
    <x v="96"/>
  </r>
  <r>
    <x v="109"/>
  </r>
  <r>
    <x v="81"/>
  </r>
  <r>
    <x v="81"/>
  </r>
  <r>
    <x v="81"/>
  </r>
  <r>
    <x v="81"/>
  </r>
  <r>
    <x v="81"/>
  </r>
  <r>
    <x v="99"/>
  </r>
  <r>
    <x v="205"/>
  </r>
  <r>
    <x v="205"/>
  </r>
  <r>
    <x v="81"/>
  </r>
  <r>
    <x v="99"/>
  </r>
  <r>
    <x v="71"/>
  </r>
  <r>
    <x v="3"/>
  </r>
  <r>
    <x v="3"/>
  </r>
  <r>
    <x v="3"/>
  </r>
  <r>
    <x v="45"/>
  </r>
  <r>
    <x v="45"/>
  </r>
  <r>
    <x v="3"/>
  </r>
  <r>
    <x v="108"/>
  </r>
  <r>
    <x v="234"/>
  </r>
  <r>
    <x v="79"/>
  </r>
  <r>
    <x v="48"/>
  </r>
  <r>
    <x v="44"/>
  </r>
  <r>
    <x v="48"/>
  </r>
  <r>
    <x v="142"/>
  </r>
  <r>
    <x v="44"/>
  </r>
  <r>
    <x v="2"/>
  </r>
  <r>
    <x v="81"/>
  </r>
  <r>
    <x v="81"/>
  </r>
  <r>
    <x v="81"/>
  </r>
  <r>
    <x v="7"/>
  </r>
  <r>
    <x v="8"/>
  </r>
  <r>
    <x v="71"/>
  </r>
  <r>
    <x v="25"/>
  </r>
  <r>
    <x v="25"/>
  </r>
  <r>
    <x v="25"/>
  </r>
  <r>
    <x v="7"/>
  </r>
  <r>
    <x v="7"/>
  </r>
  <r>
    <x v="7"/>
  </r>
  <r>
    <x v="7"/>
  </r>
  <r>
    <x v="52"/>
  </r>
  <r>
    <x v="11"/>
  </r>
  <r>
    <x v="55"/>
  </r>
  <r>
    <x v="71"/>
  </r>
  <r>
    <x v="55"/>
  </r>
  <r>
    <x v="48"/>
  </r>
  <r>
    <x v="50"/>
  </r>
  <r>
    <x v="50"/>
  </r>
  <r>
    <x v="48"/>
  </r>
  <r>
    <x v="48"/>
  </r>
  <r>
    <x v="48"/>
  </r>
  <r>
    <x v="48"/>
  </r>
  <r>
    <x v="48"/>
  </r>
  <r>
    <x v="34"/>
  </r>
  <r>
    <x v="96"/>
  </r>
  <r>
    <x v="26"/>
  </r>
  <r>
    <x v="55"/>
  </r>
  <r>
    <x v="44"/>
  </r>
  <r>
    <x v="45"/>
  </r>
  <r>
    <x v="10"/>
  </r>
  <r>
    <x v="48"/>
  </r>
  <r>
    <x v="48"/>
  </r>
  <r>
    <x v="87"/>
  </r>
  <r>
    <x v="142"/>
  </r>
  <r>
    <x v="55"/>
  </r>
  <r>
    <x v="8"/>
  </r>
  <r>
    <x v="8"/>
  </r>
  <r>
    <x v="143"/>
  </r>
  <r>
    <x v="0"/>
  </r>
  <r>
    <x v="0"/>
  </r>
  <r>
    <x v="78"/>
  </r>
  <r>
    <x v="78"/>
  </r>
  <r>
    <x v="11"/>
  </r>
  <r>
    <x v="11"/>
  </r>
  <r>
    <x v="23"/>
  </r>
  <r>
    <x v="14"/>
  </r>
  <r>
    <x v="81"/>
  </r>
  <r>
    <x v="23"/>
  </r>
  <r>
    <x v="219"/>
  </r>
  <r>
    <x v="219"/>
  </r>
  <r>
    <x v="235"/>
  </r>
  <r>
    <x v="71"/>
  </r>
  <r>
    <x v="71"/>
  </r>
  <r>
    <x v="234"/>
  </r>
  <r>
    <x v="40"/>
  </r>
  <r>
    <x v="21"/>
  </r>
  <r>
    <x v="40"/>
  </r>
  <r>
    <x v="40"/>
  </r>
  <r>
    <x v="55"/>
  </r>
  <r>
    <x v="6"/>
  </r>
  <r>
    <x v="25"/>
  </r>
  <r>
    <x v="25"/>
  </r>
  <r>
    <x v="25"/>
  </r>
  <r>
    <x v="37"/>
  </r>
  <r>
    <x v="3"/>
  </r>
  <r>
    <x v="232"/>
  </r>
  <r>
    <x v="78"/>
  </r>
  <r>
    <x v="57"/>
  </r>
  <r>
    <x v="111"/>
  </r>
  <r>
    <x v="6"/>
  </r>
  <r>
    <x v="52"/>
  </r>
  <r>
    <x v="52"/>
  </r>
  <r>
    <x v="56"/>
  </r>
  <r>
    <x v="78"/>
  </r>
  <r>
    <x v="10"/>
  </r>
  <r>
    <x v="78"/>
  </r>
  <r>
    <x v="59"/>
  </r>
  <r>
    <x v="78"/>
  </r>
  <r>
    <x v="102"/>
  </r>
  <r>
    <x v="78"/>
  </r>
  <r>
    <x v="25"/>
  </r>
  <r>
    <x v="25"/>
  </r>
  <r>
    <x v="25"/>
  </r>
  <r>
    <x v="25"/>
  </r>
  <r>
    <x v="25"/>
  </r>
  <r>
    <x v="76"/>
  </r>
  <r>
    <x v="56"/>
  </r>
  <r>
    <x v="28"/>
  </r>
  <r>
    <x v="28"/>
  </r>
  <r>
    <x v="28"/>
  </r>
  <r>
    <x v="103"/>
  </r>
  <r>
    <x v="4"/>
  </r>
  <r>
    <x v="0"/>
  </r>
  <r>
    <x v="2"/>
  </r>
  <r>
    <x v="86"/>
  </r>
  <r>
    <x v="86"/>
  </r>
  <r>
    <x v="2"/>
  </r>
  <r>
    <x v="0"/>
  </r>
  <r>
    <x v="0"/>
  </r>
  <r>
    <x v="0"/>
  </r>
  <r>
    <x v="18"/>
  </r>
  <r>
    <x v="18"/>
  </r>
  <r>
    <x v="0"/>
  </r>
  <r>
    <x v="2"/>
  </r>
  <r>
    <x v="2"/>
  </r>
  <r>
    <x v="0"/>
  </r>
  <r>
    <x v="71"/>
  </r>
  <r>
    <x v="78"/>
  </r>
  <r>
    <x v="10"/>
  </r>
  <r>
    <x v="87"/>
  </r>
  <r>
    <x v="6"/>
  </r>
  <r>
    <x v="57"/>
  </r>
  <r>
    <x v="14"/>
  </r>
  <r>
    <x v="0"/>
  </r>
  <r>
    <x v="12"/>
  </r>
  <r>
    <x v="0"/>
  </r>
  <r>
    <x v="30"/>
  </r>
  <r>
    <x v="30"/>
  </r>
  <r>
    <x v="0"/>
  </r>
  <r>
    <x v="0"/>
  </r>
  <r>
    <x v="55"/>
  </r>
  <r>
    <x v="55"/>
  </r>
  <r>
    <x v="45"/>
  </r>
  <r>
    <x v="0"/>
  </r>
  <r>
    <x v="236"/>
  </r>
  <r>
    <x v="48"/>
  </r>
  <r>
    <x v="50"/>
  </r>
  <r>
    <x v="48"/>
  </r>
  <r>
    <x v="35"/>
  </r>
  <r>
    <x v="71"/>
  </r>
  <r>
    <x v="117"/>
  </r>
  <r>
    <x v="71"/>
  </r>
  <r>
    <x v="55"/>
  </r>
  <r>
    <x v="36"/>
  </r>
  <r>
    <x v="29"/>
  </r>
  <r>
    <x v="57"/>
  </r>
  <r>
    <x v="57"/>
  </r>
  <r>
    <x v="57"/>
  </r>
  <r>
    <x v="42"/>
  </r>
  <r>
    <x v="42"/>
  </r>
  <r>
    <x v="42"/>
  </r>
  <r>
    <x v="42"/>
  </r>
  <r>
    <x v="62"/>
  </r>
  <r>
    <x v="9"/>
  </r>
  <r>
    <x v="9"/>
  </r>
  <r>
    <x v="9"/>
  </r>
  <r>
    <x v="9"/>
  </r>
  <r>
    <x v="9"/>
  </r>
  <r>
    <x v="9"/>
  </r>
  <r>
    <x v="9"/>
  </r>
  <r>
    <x v="45"/>
  </r>
  <r>
    <x v="76"/>
  </r>
  <r>
    <x v="76"/>
  </r>
  <r>
    <x v="62"/>
  </r>
  <r>
    <x v="122"/>
  </r>
  <r>
    <x v="122"/>
  </r>
  <r>
    <x v="48"/>
  </r>
  <r>
    <x v="81"/>
  </r>
  <r>
    <x v="81"/>
  </r>
  <r>
    <x v="9"/>
  </r>
  <r>
    <x v="9"/>
  </r>
  <r>
    <x v="9"/>
  </r>
  <r>
    <x v="42"/>
  </r>
  <r>
    <x v="42"/>
  </r>
  <r>
    <x v="30"/>
  </r>
  <r>
    <x v="30"/>
  </r>
  <r>
    <x v="30"/>
  </r>
  <r>
    <x v="81"/>
  </r>
  <r>
    <x v="82"/>
  </r>
  <r>
    <x v="82"/>
  </r>
  <r>
    <x v="83"/>
  </r>
  <r>
    <x v="112"/>
  </r>
  <r>
    <x v="78"/>
  </r>
  <r>
    <x v="108"/>
  </r>
  <r>
    <x v="108"/>
  </r>
  <r>
    <x v="100"/>
  </r>
  <r>
    <x v="83"/>
  </r>
  <r>
    <x v="154"/>
  </r>
  <r>
    <x v="154"/>
  </r>
  <r>
    <x v="154"/>
  </r>
  <r>
    <x v="230"/>
  </r>
  <r>
    <x v="52"/>
  </r>
  <r>
    <x v="82"/>
  </r>
  <r>
    <x v="72"/>
  </r>
  <r>
    <x v="72"/>
  </r>
  <r>
    <x v="72"/>
  </r>
  <r>
    <x v="10"/>
  </r>
  <r>
    <x v="75"/>
  </r>
  <r>
    <x v="93"/>
  </r>
  <r>
    <x v="12"/>
  </r>
  <r>
    <x v="81"/>
  </r>
  <r>
    <x v="25"/>
  </r>
  <r>
    <x v="10"/>
  </r>
  <r>
    <x v="122"/>
  </r>
  <r>
    <x v="10"/>
  </r>
  <r>
    <x v="115"/>
  </r>
  <r>
    <x v="55"/>
  </r>
  <r>
    <x v="72"/>
  </r>
  <r>
    <x v="72"/>
  </r>
  <r>
    <x v="25"/>
  </r>
  <r>
    <x v="72"/>
  </r>
  <r>
    <x v="82"/>
  </r>
  <r>
    <x v="25"/>
  </r>
  <r>
    <x v="3"/>
  </r>
  <r>
    <x v="3"/>
  </r>
  <r>
    <x v="3"/>
  </r>
  <r>
    <x v="3"/>
  </r>
  <r>
    <x v="42"/>
  </r>
  <r>
    <x v="25"/>
  </r>
  <r>
    <x v="10"/>
  </r>
  <r>
    <x v="48"/>
  </r>
  <r>
    <x v="48"/>
  </r>
  <r>
    <x v="108"/>
  </r>
  <r>
    <x v="108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81"/>
  </r>
  <r>
    <x v="81"/>
  </r>
  <r>
    <x v="81"/>
  </r>
  <r>
    <x v="81"/>
  </r>
  <r>
    <x v="154"/>
  </r>
  <r>
    <x v="86"/>
  </r>
  <r>
    <x v="86"/>
  </r>
  <r>
    <x v="97"/>
  </r>
  <r>
    <x v="85"/>
  </r>
  <r>
    <x v="25"/>
  </r>
  <r>
    <x v="82"/>
  </r>
  <r>
    <x v="85"/>
  </r>
  <r>
    <x v="72"/>
  </r>
  <r>
    <x v="12"/>
  </r>
  <r>
    <x v="25"/>
  </r>
  <r>
    <x v="78"/>
  </r>
  <r>
    <x v="78"/>
  </r>
  <r>
    <x v="78"/>
  </r>
  <r>
    <x v="78"/>
  </r>
  <r>
    <x v="78"/>
  </r>
  <r>
    <x v="78"/>
  </r>
  <r>
    <x v="78"/>
  </r>
  <r>
    <x v="25"/>
  </r>
  <r>
    <x v="25"/>
  </r>
  <r>
    <x v="25"/>
  </r>
  <r>
    <x v="78"/>
  </r>
  <r>
    <x v="93"/>
  </r>
  <r>
    <x v="78"/>
  </r>
  <r>
    <x v="25"/>
  </r>
  <r>
    <x v="25"/>
  </r>
  <r>
    <x v="14"/>
  </r>
  <r>
    <x v="14"/>
  </r>
  <r>
    <x v="59"/>
  </r>
  <r>
    <x v="48"/>
  </r>
  <r>
    <x v="25"/>
  </r>
  <r>
    <x v="7"/>
  </r>
  <r>
    <x v="7"/>
  </r>
  <r>
    <x v="7"/>
  </r>
  <r>
    <x v="7"/>
  </r>
  <r>
    <x v="7"/>
  </r>
  <r>
    <x v="7"/>
  </r>
  <r>
    <x v="48"/>
  </r>
  <r>
    <x v="48"/>
  </r>
  <r>
    <x v="12"/>
  </r>
  <r>
    <x v="78"/>
  </r>
  <r>
    <x v="25"/>
  </r>
  <r>
    <x v="25"/>
  </r>
  <r>
    <x v="25"/>
  </r>
  <r>
    <x v="12"/>
  </r>
  <r>
    <x v="56"/>
  </r>
  <r>
    <x v="11"/>
  </r>
  <r>
    <x v="24"/>
  </r>
  <r>
    <x v="39"/>
  </r>
  <r>
    <x v="12"/>
  </r>
  <r>
    <x v="4"/>
  </r>
  <r>
    <x v="55"/>
  </r>
  <r>
    <x v="237"/>
  </r>
  <r>
    <x v="39"/>
  </r>
  <r>
    <x v="12"/>
  </r>
  <r>
    <x v="12"/>
  </r>
  <r>
    <x v="12"/>
  </r>
  <r>
    <x v="7"/>
  </r>
  <r>
    <x v="39"/>
  </r>
  <r>
    <x v="12"/>
  </r>
  <r>
    <x v="10"/>
  </r>
  <r>
    <x v="10"/>
  </r>
  <r>
    <x v="11"/>
  </r>
  <r>
    <x v="11"/>
  </r>
  <r>
    <x v="11"/>
  </r>
  <r>
    <x v="11"/>
  </r>
  <r>
    <x v="12"/>
  </r>
  <r>
    <x v="12"/>
  </r>
  <r>
    <x v="21"/>
  </r>
  <r>
    <x v="39"/>
  </r>
  <r>
    <x v="130"/>
  </r>
  <r>
    <x v="39"/>
  </r>
  <r>
    <x v="4"/>
  </r>
  <r>
    <x v="12"/>
  </r>
  <r>
    <x v="39"/>
  </r>
  <r>
    <x v="39"/>
  </r>
  <r>
    <x v="39"/>
  </r>
  <r>
    <x v="12"/>
  </r>
  <r>
    <x v="12"/>
  </r>
  <r>
    <x v="21"/>
  </r>
  <r>
    <x v="12"/>
  </r>
  <r>
    <x v="21"/>
  </r>
  <r>
    <x v="12"/>
  </r>
  <r>
    <x v="11"/>
  </r>
  <r>
    <x v="12"/>
  </r>
  <r>
    <x v="21"/>
  </r>
  <r>
    <x v="39"/>
  </r>
  <r>
    <x v="17"/>
  </r>
  <r>
    <x v="17"/>
  </r>
  <r>
    <x v="17"/>
  </r>
  <r>
    <x v="21"/>
  </r>
  <r>
    <x v="4"/>
  </r>
  <r>
    <x v="21"/>
  </r>
  <r>
    <x v="12"/>
  </r>
  <r>
    <x v="12"/>
  </r>
  <r>
    <x v="12"/>
  </r>
  <r>
    <x v="12"/>
  </r>
  <r>
    <x v="12"/>
  </r>
  <r>
    <x v="12"/>
  </r>
  <r>
    <x v="24"/>
  </r>
  <r>
    <x v="159"/>
  </r>
  <r>
    <x v="30"/>
  </r>
  <r>
    <x v="30"/>
  </r>
  <r>
    <x v="30"/>
  </r>
  <r>
    <x v="30"/>
  </r>
  <r>
    <x v="30"/>
  </r>
  <r>
    <x v="30"/>
  </r>
  <r>
    <x v="12"/>
  </r>
  <r>
    <x v="37"/>
  </r>
  <r>
    <x v="24"/>
  </r>
  <r>
    <x v="138"/>
  </r>
  <r>
    <x v="0"/>
  </r>
  <r>
    <x v="45"/>
  </r>
  <r>
    <x v="12"/>
  </r>
  <r>
    <x v="14"/>
  </r>
  <r>
    <x v="4"/>
  </r>
  <r>
    <x v="10"/>
  </r>
  <r>
    <x v="2"/>
  </r>
  <r>
    <x v="4"/>
  </r>
  <r>
    <x v="4"/>
  </r>
  <r>
    <x v="12"/>
  </r>
  <r>
    <x v="10"/>
  </r>
  <r>
    <x v="4"/>
  </r>
  <r>
    <x v="12"/>
  </r>
  <r>
    <x v="12"/>
  </r>
  <r>
    <x v="9"/>
  </r>
  <r>
    <x v="12"/>
  </r>
  <r>
    <x v="12"/>
  </r>
  <r>
    <x v="0"/>
  </r>
  <r>
    <x v="1"/>
  </r>
  <r>
    <x v="4"/>
  </r>
  <r>
    <x v="24"/>
  </r>
  <r>
    <x v="16"/>
  </r>
  <r>
    <x v="11"/>
  </r>
  <r>
    <x v="10"/>
  </r>
  <r>
    <x v="2"/>
  </r>
  <r>
    <x v="12"/>
  </r>
  <r>
    <x v="4"/>
  </r>
  <r>
    <x v="10"/>
  </r>
  <r>
    <x v="0"/>
  </r>
  <r>
    <x v="10"/>
  </r>
  <r>
    <x v="39"/>
  </r>
  <r>
    <x v="19"/>
  </r>
  <r>
    <x v="10"/>
  </r>
  <r>
    <x v="25"/>
  </r>
  <r>
    <x v="12"/>
  </r>
  <r>
    <x v="11"/>
  </r>
  <r>
    <x v="0"/>
  </r>
  <r>
    <x v="39"/>
  </r>
  <r>
    <x v="39"/>
  </r>
  <r>
    <x v="14"/>
  </r>
  <r>
    <x v="11"/>
  </r>
  <r>
    <x v="11"/>
  </r>
  <r>
    <x v="11"/>
  </r>
  <r>
    <x v="0"/>
  </r>
  <r>
    <x v="0"/>
  </r>
  <r>
    <x v="166"/>
  </r>
  <r>
    <x v="53"/>
  </r>
  <r>
    <x v="11"/>
  </r>
  <r>
    <x v="238"/>
  </r>
  <r>
    <x v="4"/>
  </r>
  <r>
    <x v="11"/>
  </r>
  <r>
    <x v="11"/>
  </r>
  <r>
    <x v="11"/>
  </r>
  <r>
    <x v="0"/>
  </r>
  <r>
    <x v="17"/>
  </r>
  <r>
    <x v="4"/>
  </r>
  <r>
    <x v="4"/>
  </r>
  <r>
    <x v="0"/>
  </r>
  <r>
    <x v="14"/>
  </r>
  <r>
    <x v="17"/>
  </r>
  <r>
    <x v="53"/>
  </r>
  <r>
    <x v="17"/>
  </r>
  <r>
    <x v="9"/>
  </r>
  <r>
    <x v="19"/>
  </r>
  <r>
    <x v="45"/>
  </r>
  <r>
    <x v="12"/>
  </r>
  <r>
    <x v="10"/>
  </r>
  <r>
    <x v="24"/>
  </r>
  <r>
    <x v="2"/>
  </r>
  <r>
    <x v="4"/>
  </r>
  <r>
    <x v="12"/>
  </r>
  <r>
    <x v="11"/>
  </r>
  <r>
    <x v="10"/>
  </r>
  <r>
    <x v="14"/>
  </r>
  <r>
    <x v="14"/>
  </r>
  <r>
    <x v="14"/>
  </r>
  <r>
    <x v="14"/>
  </r>
  <r>
    <x v="0"/>
  </r>
  <r>
    <x v="53"/>
  </r>
  <r>
    <x v="28"/>
  </r>
  <r>
    <x v="4"/>
  </r>
  <r>
    <x v="4"/>
  </r>
  <r>
    <x v="17"/>
  </r>
  <r>
    <x v="11"/>
  </r>
  <r>
    <x v="4"/>
  </r>
  <r>
    <x v="28"/>
  </r>
  <r>
    <x v="1"/>
  </r>
  <r>
    <x v="14"/>
  </r>
  <r>
    <x v="7"/>
  </r>
  <r>
    <x v="7"/>
  </r>
  <r>
    <x v="53"/>
  </r>
  <r>
    <x v="12"/>
  </r>
  <r>
    <x v="12"/>
  </r>
  <r>
    <x v="24"/>
  </r>
  <r>
    <x v="24"/>
  </r>
  <r>
    <x v="12"/>
  </r>
  <r>
    <x v="9"/>
  </r>
  <r>
    <x v="4"/>
  </r>
  <r>
    <x v="8"/>
  </r>
  <r>
    <x v="0"/>
  </r>
  <r>
    <x v="0"/>
  </r>
  <r>
    <x v="28"/>
  </r>
  <r>
    <x v="28"/>
  </r>
  <r>
    <x v="2"/>
  </r>
  <r>
    <x v="28"/>
  </r>
  <r>
    <x v="14"/>
  </r>
  <r>
    <x v="21"/>
  </r>
  <r>
    <x v="39"/>
  </r>
  <r>
    <x v="162"/>
  </r>
  <r>
    <x v="39"/>
  </r>
  <r>
    <x v="162"/>
  </r>
  <r>
    <x v="39"/>
  </r>
  <r>
    <x v="162"/>
  </r>
  <r>
    <x v="162"/>
  </r>
  <r>
    <x v="39"/>
  </r>
  <r>
    <x v="162"/>
  </r>
  <r>
    <x v="39"/>
  </r>
  <r>
    <x v="14"/>
  </r>
  <r>
    <x v="39"/>
  </r>
  <r>
    <x v="39"/>
  </r>
  <r>
    <x v="39"/>
  </r>
  <r>
    <x v="162"/>
  </r>
  <r>
    <x v="21"/>
  </r>
  <r>
    <x v="30"/>
  </r>
  <r>
    <x v="12"/>
  </r>
  <r>
    <x v="12"/>
  </r>
  <r>
    <x v="1"/>
  </r>
  <r>
    <x v="1"/>
  </r>
  <r>
    <x v="8"/>
  </r>
  <r>
    <x v="4"/>
  </r>
  <r>
    <x v="4"/>
  </r>
  <r>
    <x v="152"/>
  </r>
  <r>
    <x v="4"/>
  </r>
  <r>
    <x v="11"/>
  </r>
  <r>
    <x v="12"/>
  </r>
  <r>
    <x v="4"/>
  </r>
  <r>
    <x v="24"/>
  </r>
  <r>
    <x v="9"/>
  </r>
  <r>
    <x v="24"/>
  </r>
  <r>
    <x v="39"/>
  </r>
  <r>
    <x v="39"/>
  </r>
  <r>
    <x v="1"/>
  </r>
  <r>
    <x v="12"/>
  </r>
  <r>
    <x v="9"/>
  </r>
  <r>
    <x v="10"/>
  </r>
  <r>
    <x v="19"/>
  </r>
  <r>
    <x v="11"/>
  </r>
  <r>
    <x v="7"/>
  </r>
  <r>
    <x v="42"/>
  </r>
  <r>
    <x v="42"/>
  </r>
  <r>
    <x v="0"/>
  </r>
  <r>
    <x v="26"/>
  </r>
  <r>
    <x v="11"/>
  </r>
  <r>
    <x v="6"/>
  </r>
  <r>
    <x v="10"/>
  </r>
  <r>
    <x v="24"/>
  </r>
  <r>
    <x v="1"/>
  </r>
  <r>
    <x v="1"/>
  </r>
  <r>
    <x v="12"/>
  </r>
  <r>
    <x v="0"/>
  </r>
  <r>
    <x v="9"/>
  </r>
  <r>
    <x v="28"/>
  </r>
  <r>
    <x v="28"/>
  </r>
  <r>
    <x v="12"/>
  </r>
  <r>
    <x v="30"/>
  </r>
  <r>
    <x v="4"/>
  </r>
  <r>
    <x v="30"/>
  </r>
  <r>
    <x v="1"/>
  </r>
  <r>
    <x v="4"/>
  </r>
  <r>
    <x v="22"/>
  </r>
  <r>
    <x v="162"/>
  </r>
  <r>
    <x v="19"/>
  </r>
  <r>
    <x v="4"/>
  </r>
  <r>
    <x v="9"/>
  </r>
  <r>
    <x v="0"/>
  </r>
  <r>
    <x v="4"/>
  </r>
  <r>
    <x v="4"/>
  </r>
  <r>
    <x v="14"/>
  </r>
  <r>
    <x v="9"/>
  </r>
  <r>
    <x v="12"/>
  </r>
  <r>
    <x v="11"/>
  </r>
  <r>
    <x v="11"/>
  </r>
  <r>
    <x v="0"/>
  </r>
  <r>
    <x v="45"/>
  </r>
  <r>
    <x v="4"/>
  </r>
  <r>
    <x v="162"/>
  </r>
  <r>
    <x v="4"/>
  </r>
  <r>
    <x v="28"/>
  </r>
  <r>
    <x v="24"/>
  </r>
  <r>
    <x v="9"/>
  </r>
  <r>
    <x v="0"/>
  </r>
  <r>
    <x v="0"/>
  </r>
  <r>
    <x v="28"/>
  </r>
  <r>
    <x v="19"/>
  </r>
  <r>
    <x v="21"/>
  </r>
  <r>
    <x v="12"/>
  </r>
  <r>
    <x v="17"/>
  </r>
  <r>
    <x v="10"/>
  </r>
  <r>
    <x v="162"/>
  </r>
  <r>
    <x v="14"/>
  </r>
  <r>
    <x v="14"/>
  </r>
  <r>
    <x v="75"/>
  </r>
  <r>
    <x v="0"/>
  </r>
  <r>
    <x v="22"/>
  </r>
  <r>
    <x v="0"/>
  </r>
  <r>
    <x v="39"/>
  </r>
  <r>
    <x v="46"/>
  </r>
  <r>
    <x v="7"/>
  </r>
  <r>
    <x v="8"/>
  </r>
  <r>
    <x v="30"/>
  </r>
  <r>
    <x v="4"/>
  </r>
  <r>
    <x v="0"/>
  </r>
  <r>
    <x v="34"/>
  </r>
  <r>
    <x v="0"/>
  </r>
  <r>
    <x v="10"/>
  </r>
  <r>
    <x v="30"/>
  </r>
  <r>
    <x v="1"/>
  </r>
  <r>
    <x v="11"/>
  </r>
  <r>
    <x v="0"/>
  </r>
  <r>
    <x v="17"/>
  </r>
  <r>
    <x v="4"/>
  </r>
  <r>
    <x v="0"/>
  </r>
  <r>
    <x v="8"/>
  </r>
  <r>
    <x v="4"/>
  </r>
  <r>
    <x v="6"/>
  </r>
  <r>
    <x v="31"/>
  </r>
  <r>
    <x v="0"/>
  </r>
  <r>
    <x v="14"/>
  </r>
  <r>
    <x v="9"/>
  </r>
  <r>
    <x v="10"/>
  </r>
  <r>
    <x v="199"/>
  </r>
  <r>
    <x v="24"/>
  </r>
  <r>
    <x v="0"/>
  </r>
  <r>
    <x v="14"/>
  </r>
  <r>
    <x v="14"/>
  </r>
  <r>
    <x v="14"/>
  </r>
  <r>
    <x v="14"/>
  </r>
  <r>
    <x v="10"/>
  </r>
  <r>
    <x v="9"/>
  </r>
  <r>
    <x v="9"/>
  </r>
  <r>
    <x v="4"/>
  </r>
  <r>
    <x v="4"/>
  </r>
  <r>
    <x v="14"/>
  </r>
  <r>
    <x v="4"/>
  </r>
  <r>
    <x v="7"/>
  </r>
  <r>
    <x v="24"/>
  </r>
  <r>
    <x v="4"/>
  </r>
  <r>
    <x v="34"/>
  </r>
  <r>
    <x v="57"/>
  </r>
  <r>
    <x v="77"/>
  </r>
  <r>
    <x v="28"/>
  </r>
  <r>
    <x v="10"/>
  </r>
  <r>
    <x v="0"/>
  </r>
  <r>
    <x v="10"/>
  </r>
  <r>
    <x v="37"/>
  </r>
  <r>
    <x v="4"/>
  </r>
  <r>
    <x v="0"/>
  </r>
  <r>
    <x v="12"/>
  </r>
  <r>
    <x v="4"/>
  </r>
  <r>
    <x v="199"/>
  </r>
  <r>
    <x v="10"/>
  </r>
  <r>
    <x v="4"/>
  </r>
  <r>
    <x v="4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30"/>
  </r>
  <r>
    <x v="4"/>
  </r>
  <r>
    <x v="1"/>
  </r>
  <r>
    <x v="4"/>
  </r>
  <r>
    <x v="0"/>
  </r>
  <r>
    <x v="12"/>
  </r>
  <r>
    <x v="53"/>
  </r>
  <r>
    <x v="0"/>
  </r>
  <r>
    <x v="7"/>
  </r>
  <r>
    <x v="4"/>
  </r>
  <r>
    <x v="9"/>
  </r>
  <r>
    <x v="130"/>
  </r>
  <r>
    <x v="19"/>
  </r>
  <r>
    <x v="24"/>
  </r>
  <r>
    <x v="4"/>
  </r>
  <r>
    <x v="25"/>
  </r>
  <r>
    <x v="130"/>
  </r>
  <r>
    <x v="130"/>
  </r>
  <r>
    <x v="130"/>
  </r>
  <r>
    <x v="28"/>
  </r>
  <r>
    <x v="24"/>
  </r>
  <r>
    <x v="22"/>
  </r>
  <r>
    <x v="130"/>
  </r>
  <r>
    <x v="4"/>
  </r>
  <r>
    <x v="0"/>
  </r>
  <r>
    <x v="10"/>
  </r>
  <r>
    <x v="0"/>
  </r>
  <r>
    <x v="28"/>
  </r>
  <r>
    <x v="12"/>
  </r>
  <r>
    <x v="11"/>
  </r>
  <r>
    <x v="9"/>
  </r>
  <r>
    <x v="0"/>
  </r>
  <r>
    <x v="130"/>
  </r>
  <r>
    <x v="8"/>
  </r>
  <r>
    <x v="24"/>
  </r>
  <r>
    <x v="6"/>
  </r>
  <r>
    <x v="1"/>
  </r>
  <r>
    <x v="0"/>
  </r>
  <r>
    <x v="18"/>
  </r>
  <r>
    <x v="10"/>
  </r>
  <r>
    <x v="12"/>
  </r>
  <r>
    <x v="12"/>
  </r>
  <r>
    <x v="11"/>
  </r>
  <r>
    <x v="12"/>
  </r>
  <r>
    <x v="24"/>
  </r>
  <r>
    <x v="14"/>
  </r>
  <r>
    <x v="28"/>
  </r>
  <r>
    <x v="45"/>
  </r>
  <r>
    <x v="24"/>
  </r>
  <r>
    <x v="12"/>
  </r>
  <r>
    <x v="0"/>
  </r>
  <r>
    <x v="33"/>
  </r>
  <r>
    <x v="53"/>
  </r>
  <r>
    <x v="28"/>
  </r>
  <r>
    <x v="12"/>
  </r>
  <r>
    <x v="12"/>
  </r>
  <r>
    <x v="6"/>
  </r>
  <r>
    <x v="7"/>
  </r>
  <r>
    <x v="42"/>
  </r>
  <r>
    <x v="12"/>
  </r>
  <r>
    <x v="34"/>
  </r>
  <r>
    <x v="12"/>
  </r>
  <r>
    <x v="56"/>
  </r>
  <r>
    <x v="22"/>
  </r>
  <r>
    <x v="14"/>
  </r>
  <r>
    <x v="63"/>
  </r>
  <r>
    <x v="30"/>
  </r>
  <r>
    <x v="30"/>
  </r>
  <r>
    <x v="1"/>
  </r>
  <r>
    <x v="21"/>
  </r>
  <r>
    <x v="17"/>
  </r>
  <r>
    <x v="28"/>
  </r>
  <r>
    <x v="28"/>
  </r>
  <r>
    <x v="0"/>
  </r>
  <r>
    <x v="0"/>
  </r>
  <r>
    <x v="0"/>
  </r>
  <r>
    <x v="42"/>
  </r>
  <r>
    <x v="12"/>
  </r>
  <r>
    <x v="162"/>
  </r>
  <r>
    <x v="162"/>
  </r>
  <r>
    <x v="12"/>
  </r>
  <r>
    <x v="6"/>
  </r>
  <r>
    <x v="15"/>
  </r>
  <r>
    <x v="33"/>
  </r>
  <r>
    <x v="14"/>
  </r>
  <r>
    <x v="0"/>
  </r>
  <r>
    <x v="199"/>
  </r>
  <r>
    <x v="21"/>
  </r>
  <r>
    <x v="45"/>
  </r>
  <r>
    <x v="14"/>
  </r>
  <r>
    <x v="4"/>
  </r>
  <r>
    <x v="0"/>
  </r>
  <r>
    <x v="53"/>
  </r>
  <r>
    <x v="21"/>
  </r>
  <r>
    <x v="162"/>
  </r>
  <r>
    <x v="12"/>
  </r>
  <r>
    <x v="10"/>
  </r>
  <r>
    <x v="14"/>
  </r>
  <r>
    <x v="10"/>
  </r>
  <r>
    <x v="2"/>
  </r>
  <r>
    <x v="33"/>
  </r>
  <r>
    <x v="1"/>
  </r>
  <r>
    <x v="4"/>
  </r>
  <r>
    <x v="59"/>
  </r>
  <r>
    <x v="24"/>
  </r>
  <r>
    <x v="12"/>
  </r>
  <r>
    <x v="0"/>
  </r>
  <r>
    <x v="44"/>
  </r>
  <r>
    <x v="22"/>
  </r>
  <r>
    <x v="0"/>
  </r>
  <r>
    <x v="14"/>
  </r>
  <r>
    <x v="7"/>
  </r>
  <r>
    <x v="4"/>
  </r>
  <r>
    <x v="4"/>
  </r>
  <r>
    <x v="16"/>
  </r>
  <r>
    <x v="56"/>
  </r>
  <r>
    <x v="1"/>
  </r>
  <r>
    <x v="14"/>
  </r>
  <r>
    <x v="30"/>
  </r>
  <r>
    <x v="0"/>
  </r>
  <r>
    <x v="30"/>
  </r>
  <r>
    <x v="0"/>
  </r>
  <r>
    <x v="14"/>
  </r>
  <r>
    <x v="21"/>
  </r>
  <r>
    <x v="42"/>
  </r>
  <r>
    <x v="14"/>
  </r>
  <r>
    <x v="0"/>
  </r>
  <r>
    <x v="14"/>
  </r>
  <r>
    <x v="21"/>
  </r>
  <r>
    <x v="0"/>
  </r>
  <r>
    <x v="17"/>
  </r>
  <r>
    <x v="1"/>
  </r>
  <r>
    <x v="0"/>
  </r>
  <r>
    <x v="21"/>
  </r>
  <r>
    <x v="147"/>
  </r>
  <r>
    <x v="108"/>
  </r>
  <r>
    <x v="42"/>
  </r>
  <r>
    <x v="130"/>
  </r>
  <r>
    <x v="15"/>
  </r>
  <r>
    <x v="9"/>
  </r>
  <r>
    <x v="25"/>
  </r>
  <r>
    <x v="63"/>
  </r>
  <r>
    <x v="9"/>
  </r>
  <r>
    <x v="31"/>
  </r>
  <r>
    <x v="11"/>
  </r>
  <r>
    <x v="2"/>
  </r>
  <r>
    <x v="2"/>
  </r>
  <r>
    <x v="12"/>
  </r>
  <r>
    <x v="12"/>
  </r>
  <r>
    <x v="4"/>
  </r>
  <r>
    <x v="0"/>
  </r>
  <r>
    <x v="11"/>
  </r>
  <r>
    <x v="0"/>
  </r>
  <r>
    <x v="17"/>
  </r>
  <r>
    <x v="33"/>
  </r>
  <r>
    <x v="0"/>
  </r>
  <r>
    <x v="0"/>
  </r>
  <r>
    <x v="4"/>
  </r>
  <r>
    <x v="45"/>
  </r>
  <r>
    <x v="14"/>
  </r>
  <r>
    <x v="12"/>
  </r>
  <r>
    <x v="4"/>
  </r>
  <r>
    <x v="12"/>
  </r>
  <r>
    <x v="21"/>
  </r>
  <r>
    <x v="22"/>
  </r>
  <r>
    <x v="0"/>
  </r>
  <r>
    <x v="24"/>
  </r>
  <r>
    <x v="10"/>
  </r>
  <r>
    <x v="56"/>
  </r>
  <r>
    <x v="56"/>
  </r>
  <r>
    <x v="4"/>
  </r>
  <r>
    <x v="12"/>
  </r>
  <r>
    <x v="11"/>
  </r>
  <r>
    <x v="28"/>
  </r>
  <r>
    <x v="55"/>
  </r>
  <r>
    <x v="17"/>
  </r>
  <r>
    <x v="1"/>
  </r>
  <r>
    <x v="19"/>
  </r>
  <r>
    <x v="12"/>
  </r>
  <r>
    <x v="1"/>
  </r>
  <r>
    <x v="12"/>
  </r>
  <r>
    <x v="4"/>
  </r>
  <r>
    <x v="2"/>
  </r>
  <r>
    <x v="4"/>
  </r>
  <r>
    <x v="2"/>
  </r>
  <r>
    <x v="24"/>
  </r>
  <r>
    <x v="0"/>
  </r>
  <r>
    <x v="36"/>
  </r>
  <r>
    <x v="0"/>
  </r>
  <r>
    <x v="8"/>
  </r>
  <r>
    <x v="12"/>
  </r>
  <r>
    <x v="4"/>
  </r>
  <r>
    <x v="56"/>
  </r>
  <r>
    <x v="11"/>
  </r>
  <r>
    <x v="6"/>
  </r>
  <r>
    <x v="4"/>
  </r>
  <r>
    <x v="37"/>
  </r>
  <r>
    <x v="56"/>
  </r>
  <r>
    <x v="56"/>
  </r>
  <r>
    <x v="2"/>
  </r>
  <r>
    <x v="6"/>
  </r>
  <r>
    <x v="4"/>
  </r>
  <r>
    <x v="0"/>
  </r>
  <r>
    <x v="42"/>
  </r>
  <r>
    <x v="42"/>
  </r>
  <r>
    <x v="42"/>
  </r>
  <r>
    <x v="30"/>
  </r>
  <r>
    <x v="64"/>
  </r>
  <r>
    <x v="9"/>
  </r>
  <r>
    <x v="53"/>
  </r>
  <r>
    <x v="55"/>
  </r>
  <r>
    <x v="42"/>
  </r>
  <r>
    <x v="42"/>
  </r>
  <r>
    <x v="11"/>
  </r>
  <r>
    <x v="12"/>
  </r>
  <r>
    <x v="57"/>
  </r>
  <r>
    <x v="48"/>
  </r>
  <r>
    <x v="48"/>
  </r>
  <r>
    <x v="13"/>
  </r>
  <r>
    <x v="21"/>
  </r>
  <r>
    <x v="31"/>
  </r>
  <r>
    <x v="9"/>
  </r>
  <r>
    <x v="14"/>
  </r>
  <r>
    <x v="12"/>
  </r>
  <r>
    <x v="1"/>
  </r>
  <r>
    <x v="123"/>
  </r>
  <r>
    <x v="12"/>
  </r>
  <r>
    <x v="53"/>
  </r>
  <r>
    <x v="28"/>
  </r>
  <r>
    <x v="24"/>
  </r>
  <r>
    <x v="11"/>
  </r>
  <r>
    <x v="123"/>
  </r>
  <r>
    <x v="48"/>
  </r>
  <r>
    <x v="12"/>
  </r>
  <r>
    <x v="1"/>
  </r>
  <r>
    <x v="30"/>
  </r>
  <r>
    <x v="53"/>
  </r>
  <r>
    <x v="24"/>
  </r>
  <r>
    <x v="0"/>
  </r>
  <r>
    <x v="0"/>
  </r>
  <r>
    <x v="0"/>
  </r>
  <r>
    <x v="19"/>
  </r>
  <r>
    <x v="17"/>
  </r>
  <r>
    <x v="24"/>
  </r>
  <r>
    <x v="1"/>
  </r>
  <r>
    <x v="1"/>
  </r>
  <r>
    <x v="30"/>
  </r>
  <r>
    <x v="14"/>
  </r>
  <r>
    <x v="14"/>
  </r>
  <r>
    <x v="11"/>
  </r>
  <r>
    <x v="16"/>
  </r>
  <r>
    <x v="111"/>
  </r>
  <r>
    <x v="4"/>
  </r>
  <r>
    <x v="28"/>
  </r>
  <r>
    <x v="17"/>
  </r>
  <r>
    <x v="9"/>
  </r>
  <r>
    <x v="29"/>
  </r>
  <r>
    <x v="0"/>
  </r>
  <r>
    <x v="0"/>
  </r>
  <r>
    <x v="40"/>
  </r>
  <r>
    <x v="4"/>
  </r>
  <r>
    <x v="4"/>
  </r>
  <r>
    <x v="4"/>
  </r>
  <r>
    <x v="0"/>
  </r>
  <r>
    <x v="0"/>
  </r>
  <r>
    <x v="165"/>
  </r>
  <r>
    <x v="7"/>
  </r>
  <r>
    <x v="14"/>
  </r>
  <r>
    <x v="42"/>
  </r>
  <r>
    <x v="48"/>
  </r>
  <r>
    <x v="12"/>
  </r>
  <r>
    <x v="7"/>
  </r>
  <r>
    <x v="0"/>
  </r>
  <r>
    <x v="75"/>
  </r>
  <r>
    <x v="4"/>
  </r>
  <r>
    <x v="0"/>
  </r>
  <r>
    <x v="12"/>
  </r>
  <r>
    <x v="12"/>
  </r>
  <r>
    <x v="22"/>
  </r>
  <r>
    <x v="22"/>
  </r>
  <r>
    <x v="56"/>
  </r>
  <r>
    <x v="4"/>
  </r>
  <r>
    <x v="4"/>
  </r>
  <r>
    <x v="42"/>
  </r>
  <r>
    <x v="4"/>
  </r>
  <r>
    <x v="48"/>
  </r>
  <r>
    <x v="0"/>
  </r>
  <r>
    <x v="12"/>
  </r>
  <r>
    <x v="29"/>
  </r>
  <r>
    <x v="53"/>
  </r>
  <r>
    <x v="14"/>
  </r>
  <r>
    <x v="14"/>
  </r>
  <r>
    <x v="14"/>
  </r>
  <r>
    <x v="14"/>
  </r>
  <r>
    <x v="12"/>
  </r>
  <r>
    <x v="9"/>
  </r>
  <r>
    <x v="2"/>
  </r>
  <r>
    <x v="21"/>
  </r>
  <r>
    <x v="22"/>
  </r>
  <r>
    <x v="19"/>
  </r>
  <r>
    <x v="0"/>
  </r>
  <r>
    <x v="0"/>
  </r>
  <r>
    <x v="56"/>
  </r>
  <r>
    <x v="9"/>
  </r>
  <r>
    <x v="9"/>
  </r>
  <r>
    <x v="7"/>
  </r>
  <r>
    <x v="11"/>
  </r>
  <r>
    <x v="0"/>
  </r>
  <r>
    <x v="22"/>
  </r>
  <r>
    <x v="12"/>
  </r>
  <r>
    <x v="21"/>
  </r>
  <r>
    <x v="17"/>
  </r>
  <r>
    <x v="30"/>
  </r>
  <r>
    <x v="2"/>
  </r>
  <r>
    <x v="0"/>
  </r>
  <r>
    <x v="4"/>
  </r>
  <r>
    <x v="4"/>
  </r>
  <r>
    <x v="18"/>
  </r>
  <r>
    <x v="12"/>
  </r>
  <r>
    <x v="2"/>
  </r>
  <r>
    <x v="16"/>
  </r>
  <r>
    <x v="34"/>
  </r>
  <r>
    <x v="34"/>
  </r>
  <r>
    <x v="34"/>
  </r>
  <r>
    <x v="34"/>
  </r>
  <r>
    <x v="34"/>
  </r>
  <r>
    <x v="16"/>
  </r>
  <r>
    <x v="17"/>
  </r>
  <r>
    <x v="16"/>
  </r>
  <r>
    <x v="16"/>
  </r>
  <r>
    <x v="17"/>
  </r>
  <r>
    <x v="16"/>
  </r>
  <r>
    <x v="16"/>
  </r>
  <r>
    <x v="17"/>
  </r>
  <r>
    <x v="16"/>
  </r>
  <r>
    <x v="17"/>
  </r>
  <r>
    <x v="16"/>
  </r>
  <r>
    <x v="4"/>
  </r>
  <r>
    <x v="42"/>
  </r>
  <r>
    <x v="39"/>
  </r>
  <r>
    <x v="4"/>
  </r>
  <r>
    <x v="10"/>
  </r>
  <r>
    <x v="10"/>
  </r>
  <r>
    <x v="39"/>
  </r>
  <r>
    <x v="12"/>
  </r>
  <r>
    <x v="37"/>
  </r>
  <r>
    <x v="6"/>
  </r>
  <r>
    <x v="11"/>
  </r>
  <r>
    <x v="9"/>
  </r>
  <r>
    <x v="15"/>
  </r>
  <r>
    <x v="24"/>
  </r>
  <r>
    <x v="0"/>
  </r>
  <r>
    <x v="4"/>
  </r>
  <r>
    <x v="0"/>
  </r>
  <r>
    <x v="10"/>
  </r>
  <r>
    <x v="0"/>
  </r>
  <r>
    <x v="11"/>
  </r>
  <r>
    <x v="24"/>
  </r>
  <r>
    <x v="2"/>
  </r>
  <r>
    <x v="162"/>
  </r>
  <r>
    <x v="42"/>
  </r>
  <r>
    <x v="4"/>
  </r>
  <r>
    <x v="0"/>
  </r>
  <r>
    <x v="28"/>
  </r>
  <r>
    <x v="4"/>
  </r>
  <r>
    <x v="7"/>
  </r>
  <r>
    <x v="56"/>
  </r>
  <r>
    <x v="4"/>
  </r>
  <r>
    <x v="10"/>
  </r>
  <r>
    <x v="10"/>
  </r>
  <r>
    <x v="4"/>
  </r>
  <r>
    <x v="0"/>
  </r>
  <r>
    <x v="12"/>
  </r>
  <r>
    <x v="12"/>
  </r>
  <r>
    <x v="12"/>
  </r>
  <r>
    <x v="0"/>
  </r>
  <r>
    <x v="9"/>
  </r>
  <r>
    <x v="6"/>
  </r>
  <r>
    <x v="21"/>
  </r>
  <r>
    <x v="37"/>
  </r>
  <r>
    <x v="10"/>
  </r>
  <r>
    <x v="28"/>
  </r>
  <r>
    <x v="0"/>
  </r>
  <r>
    <x v="4"/>
  </r>
  <r>
    <x v="0"/>
  </r>
  <r>
    <x v="35"/>
  </r>
  <r>
    <x v="26"/>
  </r>
  <r>
    <x v="26"/>
  </r>
  <r>
    <x v="13"/>
  </r>
  <r>
    <x v="9"/>
  </r>
  <r>
    <x v="12"/>
  </r>
  <r>
    <x v="12"/>
  </r>
  <r>
    <x v="1"/>
  </r>
  <r>
    <x v="4"/>
  </r>
  <r>
    <x v="4"/>
  </r>
  <r>
    <x v="48"/>
  </r>
  <r>
    <x v="159"/>
  </r>
  <r>
    <x v="57"/>
  </r>
  <r>
    <x v="9"/>
  </r>
  <r>
    <x v="57"/>
  </r>
  <r>
    <x v="57"/>
  </r>
  <r>
    <x v="2"/>
  </r>
  <r>
    <x v="53"/>
  </r>
  <r>
    <x v="37"/>
  </r>
  <r>
    <x v="4"/>
  </r>
  <r>
    <x v="0"/>
  </r>
  <r>
    <x v="15"/>
  </r>
  <r>
    <x v="19"/>
  </r>
  <r>
    <x v="14"/>
  </r>
  <r>
    <x v="34"/>
  </r>
  <r>
    <x v="14"/>
  </r>
  <r>
    <x v="9"/>
  </r>
  <r>
    <x v="12"/>
  </r>
  <r>
    <x v="4"/>
  </r>
  <r>
    <x v="1"/>
  </r>
  <r>
    <x v="8"/>
  </r>
  <r>
    <x v="12"/>
  </r>
  <r>
    <x v="78"/>
  </r>
  <r>
    <x v="14"/>
  </r>
  <r>
    <x v="17"/>
  </r>
  <r>
    <x v="22"/>
  </r>
  <r>
    <x v="10"/>
  </r>
  <r>
    <x v="19"/>
  </r>
  <r>
    <x v="4"/>
  </r>
  <r>
    <x v="4"/>
  </r>
  <r>
    <x v="0"/>
  </r>
  <r>
    <x v="4"/>
  </r>
  <r>
    <x v="28"/>
  </r>
  <r>
    <x v="4"/>
  </r>
  <r>
    <x v="4"/>
  </r>
  <r>
    <x v="19"/>
  </r>
  <r>
    <x v="4"/>
  </r>
  <r>
    <x v="11"/>
  </r>
  <r>
    <x v="11"/>
  </r>
  <r>
    <x v="14"/>
  </r>
  <r>
    <x v="0"/>
  </r>
  <r>
    <x v="8"/>
  </r>
  <r>
    <x v="24"/>
  </r>
  <r>
    <x v="24"/>
  </r>
  <r>
    <x v="36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6"/>
  </r>
  <r>
    <x v="17"/>
  </r>
  <r>
    <x v="17"/>
  </r>
  <r>
    <x v="17"/>
  </r>
  <r>
    <x v="57"/>
  </r>
  <r>
    <x v="57"/>
  </r>
  <r>
    <x v="57"/>
  </r>
  <r>
    <x v="11"/>
  </r>
  <r>
    <x v="11"/>
  </r>
  <r>
    <x v="11"/>
  </r>
  <r>
    <x v="11"/>
  </r>
  <r>
    <x v="28"/>
  </r>
  <r>
    <x v="14"/>
  </r>
  <r>
    <x v="17"/>
  </r>
  <r>
    <x v="17"/>
  </r>
  <r>
    <x v="17"/>
  </r>
  <r>
    <x v="32"/>
  </r>
  <r>
    <x v="11"/>
  </r>
  <r>
    <x v="58"/>
  </r>
  <r>
    <x v="4"/>
  </r>
  <r>
    <x v="10"/>
  </r>
  <r>
    <x v="28"/>
  </r>
  <r>
    <x v="14"/>
  </r>
  <r>
    <x v="37"/>
  </r>
  <r>
    <x v="48"/>
  </r>
  <r>
    <x v="12"/>
  </r>
  <r>
    <x v="12"/>
  </r>
  <r>
    <x v="15"/>
  </r>
  <r>
    <x v="15"/>
  </r>
  <r>
    <x v="9"/>
  </r>
  <r>
    <x v="10"/>
  </r>
  <r>
    <x v="11"/>
  </r>
  <r>
    <x v="11"/>
  </r>
  <r>
    <x v="11"/>
  </r>
  <r>
    <x v="9"/>
  </r>
  <r>
    <x v="3"/>
  </r>
  <r>
    <x v="11"/>
  </r>
  <r>
    <x v="9"/>
  </r>
  <r>
    <x v="22"/>
  </r>
  <r>
    <x v="10"/>
  </r>
  <r>
    <x v="0"/>
  </r>
  <r>
    <x v="9"/>
  </r>
  <r>
    <x v="48"/>
  </r>
  <r>
    <x v="28"/>
  </r>
  <r>
    <x v="21"/>
  </r>
  <r>
    <x v="0"/>
  </r>
  <r>
    <x v="63"/>
  </r>
  <r>
    <x v="10"/>
  </r>
  <r>
    <x v="37"/>
  </r>
  <r>
    <x v="14"/>
  </r>
  <r>
    <x v="17"/>
  </r>
  <r>
    <x v="14"/>
  </r>
  <r>
    <x v="7"/>
  </r>
  <r>
    <x v="17"/>
  </r>
  <r>
    <x v="21"/>
  </r>
  <r>
    <x v="42"/>
  </r>
  <r>
    <x v="0"/>
  </r>
  <r>
    <x v="239"/>
  </r>
  <r>
    <x v="239"/>
  </r>
  <r>
    <x v="37"/>
  </r>
  <r>
    <x v="42"/>
  </r>
  <r>
    <x v="2"/>
  </r>
  <r>
    <x v="0"/>
  </r>
  <r>
    <x v="32"/>
  </r>
  <r>
    <x v="32"/>
  </r>
  <r>
    <x v="34"/>
  </r>
  <r>
    <x v="2"/>
  </r>
  <r>
    <x v="7"/>
  </r>
  <r>
    <x v="2"/>
  </r>
  <r>
    <x v="14"/>
  </r>
  <r>
    <x v="42"/>
  </r>
  <r>
    <x v="42"/>
  </r>
  <r>
    <x v="15"/>
  </r>
  <r>
    <x v="23"/>
  </r>
  <r>
    <x v="0"/>
  </r>
  <r>
    <x v="39"/>
  </r>
  <r>
    <x v="7"/>
  </r>
  <r>
    <x v="48"/>
  </r>
  <r>
    <x v="16"/>
  </r>
  <r>
    <x v="1"/>
  </r>
  <r>
    <x v="24"/>
  </r>
  <r>
    <x v="0"/>
  </r>
  <r>
    <x v="4"/>
  </r>
  <r>
    <x v="16"/>
  </r>
  <r>
    <x v="37"/>
  </r>
  <r>
    <x v="4"/>
  </r>
  <r>
    <x v="17"/>
  </r>
  <r>
    <x v="12"/>
  </r>
  <r>
    <x v="2"/>
  </r>
  <r>
    <x v="42"/>
  </r>
  <r>
    <x v="45"/>
  </r>
  <r>
    <x v="9"/>
  </r>
  <r>
    <x v="6"/>
  </r>
  <r>
    <x v="17"/>
  </r>
  <r>
    <x v="10"/>
  </r>
  <r>
    <x v="10"/>
  </r>
  <r>
    <x v="42"/>
  </r>
  <r>
    <x v="14"/>
  </r>
  <r>
    <x v="14"/>
  </r>
  <r>
    <x v="17"/>
  </r>
  <r>
    <x v="42"/>
  </r>
  <r>
    <x v="4"/>
  </r>
  <r>
    <x v="14"/>
  </r>
  <r>
    <x v="8"/>
  </r>
  <r>
    <x v="39"/>
  </r>
  <r>
    <x v="48"/>
  </r>
  <r>
    <x v="4"/>
  </r>
  <r>
    <x v="37"/>
  </r>
  <r>
    <x v="17"/>
  </r>
  <r>
    <x v="8"/>
  </r>
  <r>
    <x v="11"/>
  </r>
  <r>
    <x v="0"/>
  </r>
  <r>
    <x v="4"/>
  </r>
  <r>
    <x v="10"/>
  </r>
  <r>
    <x v="11"/>
  </r>
  <r>
    <x v="16"/>
  </r>
  <r>
    <x v="6"/>
  </r>
  <r>
    <x v="14"/>
  </r>
  <r>
    <x v="14"/>
  </r>
  <r>
    <x v="14"/>
  </r>
  <r>
    <x v="42"/>
  </r>
  <r>
    <x v="14"/>
  </r>
  <r>
    <x v="72"/>
  </r>
  <r>
    <x v="7"/>
  </r>
  <r>
    <x v="7"/>
  </r>
  <r>
    <x v="7"/>
  </r>
  <r>
    <x v="0"/>
  </r>
  <r>
    <x v="4"/>
  </r>
  <r>
    <x v="7"/>
  </r>
  <r>
    <x v="4"/>
  </r>
  <r>
    <x v="4"/>
  </r>
  <r>
    <x v="4"/>
  </r>
  <r>
    <x v="17"/>
  </r>
  <r>
    <x v="17"/>
  </r>
  <r>
    <x v="45"/>
  </r>
  <r>
    <x v="16"/>
  </r>
  <r>
    <x v="64"/>
  </r>
  <r>
    <x v="17"/>
  </r>
  <r>
    <x v="8"/>
  </r>
  <r>
    <x v="56"/>
  </r>
  <r>
    <x v="4"/>
  </r>
  <r>
    <x v="17"/>
  </r>
  <r>
    <x v="10"/>
  </r>
  <r>
    <x v="239"/>
  </r>
  <r>
    <x v="53"/>
  </r>
  <r>
    <x v="48"/>
  </r>
  <r>
    <x v="4"/>
  </r>
  <r>
    <x v="0"/>
  </r>
  <r>
    <x v="17"/>
  </r>
  <r>
    <x v="17"/>
  </r>
  <r>
    <x v="37"/>
  </r>
  <r>
    <x v="7"/>
  </r>
  <r>
    <x v="17"/>
  </r>
  <r>
    <x v="17"/>
  </r>
  <r>
    <x v="31"/>
  </r>
  <r>
    <x v="24"/>
  </r>
  <r>
    <x v="12"/>
  </r>
  <r>
    <x v="4"/>
  </r>
  <r>
    <x v="4"/>
  </r>
  <r>
    <x v="4"/>
  </r>
  <r>
    <x v="42"/>
  </r>
  <r>
    <x v="42"/>
  </r>
  <r>
    <x v="9"/>
  </r>
  <r>
    <x v="28"/>
  </r>
  <r>
    <x v="17"/>
  </r>
  <r>
    <x v="17"/>
  </r>
  <r>
    <x v="4"/>
  </r>
  <r>
    <x v="17"/>
  </r>
  <r>
    <x v="17"/>
  </r>
  <r>
    <x v="21"/>
  </r>
  <r>
    <x v="12"/>
  </r>
  <r>
    <x v="12"/>
  </r>
  <r>
    <x v="40"/>
  </r>
  <r>
    <x v="10"/>
  </r>
  <r>
    <x v="48"/>
  </r>
  <r>
    <x v="22"/>
  </r>
  <r>
    <x v="10"/>
  </r>
  <r>
    <x v="48"/>
  </r>
  <r>
    <x v="4"/>
  </r>
  <r>
    <x v="4"/>
  </r>
  <r>
    <x v="24"/>
  </r>
  <r>
    <x v="24"/>
  </r>
  <r>
    <x v="11"/>
  </r>
  <r>
    <x v="11"/>
  </r>
  <r>
    <x v="111"/>
  </r>
  <r>
    <x v="4"/>
  </r>
  <r>
    <x v="4"/>
  </r>
  <r>
    <x v="4"/>
  </r>
  <r>
    <x v="2"/>
  </r>
  <r>
    <x v="28"/>
  </r>
  <r>
    <x v="4"/>
  </r>
  <r>
    <x v="11"/>
  </r>
  <r>
    <x v="37"/>
  </r>
  <r>
    <x v="25"/>
  </r>
  <r>
    <x v="4"/>
  </r>
  <r>
    <x v="4"/>
  </r>
  <r>
    <x v="21"/>
  </r>
  <r>
    <x v="14"/>
  </r>
  <r>
    <x v="9"/>
  </r>
  <r>
    <x v="37"/>
  </r>
  <r>
    <x v="0"/>
  </r>
  <r>
    <x v="10"/>
  </r>
  <r>
    <x v="9"/>
  </r>
  <r>
    <x v="12"/>
  </r>
  <r>
    <x v="11"/>
  </r>
  <r>
    <x v="45"/>
  </r>
  <r>
    <x v="45"/>
  </r>
  <r>
    <x v="11"/>
  </r>
  <r>
    <x v="0"/>
  </r>
  <r>
    <x v="24"/>
  </r>
  <r>
    <x v="0"/>
  </r>
  <r>
    <x v="42"/>
  </r>
  <r>
    <x v="12"/>
  </r>
  <r>
    <x v="10"/>
  </r>
  <r>
    <x v="4"/>
  </r>
  <r>
    <x v="48"/>
  </r>
  <r>
    <x v="22"/>
  </r>
  <r>
    <x v="4"/>
  </r>
  <r>
    <x v="22"/>
  </r>
  <r>
    <x v="24"/>
  </r>
  <r>
    <x v="49"/>
  </r>
  <r>
    <x v="0"/>
  </r>
  <r>
    <x v="9"/>
  </r>
  <r>
    <x v="10"/>
  </r>
  <r>
    <x v="37"/>
  </r>
  <r>
    <x v="0"/>
  </r>
  <r>
    <x v="28"/>
  </r>
  <r>
    <x v="28"/>
  </r>
  <r>
    <x v="10"/>
  </r>
  <r>
    <x v="56"/>
  </r>
  <r>
    <x v="56"/>
  </r>
  <r>
    <x v="21"/>
  </r>
  <r>
    <x v="6"/>
  </r>
  <r>
    <x v="21"/>
  </r>
  <r>
    <x v="52"/>
  </r>
  <r>
    <x v="21"/>
  </r>
  <r>
    <x v="6"/>
  </r>
  <r>
    <x v="21"/>
  </r>
  <r>
    <x v="42"/>
  </r>
  <r>
    <x v="53"/>
  </r>
  <r>
    <x v="17"/>
  </r>
  <r>
    <x v="17"/>
  </r>
  <r>
    <x v="12"/>
  </r>
  <r>
    <x v="12"/>
  </r>
  <r>
    <x v="12"/>
  </r>
  <r>
    <x v="12"/>
  </r>
  <r>
    <x v="12"/>
  </r>
  <r>
    <x v="12"/>
  </r>
  <r>
    <x v="7"/>
  </r>
  <r>
    <x v="28"/>
  </r>
  <r>
    <x v="49"/>
  </r>
  <r>
    <x v="17"/>
  </r>
  <r>
    <x v="28"/>
  </r>
  <r>
    <x v="12"/>
  </r>
  <r>
    <x v="24"/>
  </r>
  <r>
    <x v="12"/>
  </r>
  <r>
    <x v="4"/>
  </r>
  <r>
    <x v="22"/>
  </r>
  <r>
    <x v="12"/>
  </r>
  <r>
    <x v="4"/>
  </r>
  <r>
    <x v="14"/>
  </r>
  <r>
    <x v="9"/>
  </r>
  <r>
    <x v="0"/>
  </r>
  <r>
    <x v="17"/>
  </r>
  <r>
    <x v="24"/>
  </r>
  <r>
    <x v="33"/>
  </r>
  <r>
    <x v="1"/>
  </r>
  <r>
    <x v="163"/>
  </r>
  <r>
    <x v="7"/>
  </r>
  <r>
    <x v="7"/>
  </r>
  <r>
    <x v="4"/>
  </r>
  <r>
    <x v="17"/>
  </r>
  <r>
    <x v="4"/>
  </r>
  <r>
    <x v="11"/>
  </r>
  <r>
    <x v="28"/>
  </r>
  <r>
    <x v="28"/>
  </r>
  <r>
    <x v="2"/>
  </r>
  <r>
    <x v="0"/>
  </r>
  <r>
    <x v="4"/>
  </r>
  <r>
    <x v="0"/>
  </r>
  <r>
    <x v="9"/>
  </r>
  <r>
    <x v="0"/>
  </r>
  <r>
    <x v="0"/>
  </r>
  <r>
    <x v="48"/>
  </r>
  <r>
    <x v="0"/>
  </r>
  <r>
    <x v="37"/>
  </r>
  <r>
    <x v="55"/>
  </r>
  <r>
    <x v="4"/>
  </r>
  <r>
    <x v="4"/>
  </r>
  <r>
    <x v="0"/>
  </r>
  <r>
    <x v="21"/>
  </r>
  <r>
    <x v="21"/>
  </r>
  <r>
    <x v="21"/>
  </r>
  <r>
    <x v="21"/>
  </r>
  <r>
    <x v="0"/>
  </r>
  <r>
    <x v="0"/>
  </r>
  <r>
    <x v="8"/>
  </r>
  <r>
    <x v="0"/>
  </r>
  <r>
    <x v="10"/>
  </r>
  <r>
    <x v="10"/>
  </r>
  <r>
    <x v="12"/>
  </r>
  <r>
    <x v="7"/>
  </r>
  <r>
    <x v="2"/>
  </r>
  <r>
    <x v="8"/>
  </r>
  <r>
    <x v="34"/>
  </r>
  <r>
    <x v="11"/>
  </r>
  <r>
    <x v="0"/>
  </r>
  <r>
    <x v="0"/>
  </r>
  <r>
    <x v="16"/>
  </r>
  <r>
    <x v="4"/>
  </r>
  <r>
    <x v="17"/>
  </r>
  <r>
    <x v="16"/>
  </r>
  <r>
    <x v="9"/>
  </r>
  <r>
    <x v="0"/>
  </r>
  <r>
    <x v="11"/>
  </r>
  <r>
    <x v="21"/>
  </r>
  <r>
    <x v="4"/>
  </r>
  <r>
    <x v="16"/>
  </r>
  <r>
    <x v="24"/>
  </r>
  <r>
    <x v="24"/>
  </r>
  <r>
    <x v="0"/>
  </r>
  <r>
    <x v="40"/>
  </r>
  <r>
    <x v="0"/>
  </r>
  <r>
    <x v="0"/>
  </r>
  <r>
    <x v="10"/>
  </r>
  <r>
    <x v="9"/>
  </r>
  <r>
    <x v="10"/>
  </r>
  <r>
    <x v="10"/>
  </r>
  <r>
    <x v="10"/>
  </r>
  <r>
    <x v="17"/>
  </r>
  <r>
    <x v="165"/>
  </r>
  <r>
    <x v="59"/>
  </r>
  <r>
    <x v="81"/>
  </r>
  <r>
    <x v="45"/>
  </r>
  <r>
    <x v="31"/>
  </r>
  <r>
    <x v="62"/>
  </r>
  <r>
    <x v="30"/>
  </r>
  <r>
    <x v="17"/>
  </r>
  <r>
    <x v="17"/>
  </r>
  <r>
    <x v="0"/>
  </r>
  <r>
    <x v="0"/>
  </r>
  <r>
    <x v="31"/>
  </r>
  <r>
    <x v="28"/>
  </r>
  <r>
    <x v="0"/>
  </r>
  <r>
    <x v="4"/>
  </r>
  <r>
    <x v="45"/>
  </r>
  <r>
    <x v="17"/>
  </r>
  <r>
    <x v="17"/>
  </r>
  <r>
    <x v="17"/>
  </r>
  <r>
    <x v="15"/>
  </r>
  <r>
    <x v="0"/>
  </r>
  <r>
    <x v="0"/>
  </r>
  <r>
    <x v="37"/>
  </r>
  <r>
    <x v="222"/>
  </r>
  <r>
    <x v="11"/>
  </r>
  <r>
    <x v="11"/>
  </r>
  <r>
    <x v="12"/>
  </r>
  <r>
    <x v="17"/>
  </r>
  <r>
    <x v="37"/>
  </r>
  <r>
    <x v="1"/>
  </r>
  <r>
    <x v="37"/>
  </r>
  <r>
    <x v="10"/>
  </r>
  <r>
    <x v="8"/>
  </r>
  <r>
    <x v="58"/>
  </r>
  <r>
    <x v="10"/>
  </r>
  <r>
    <x v="17"/>
  </r>
  <r>
    <x v="10"/>
  </r>
  <r>
    <x v="8"/>
  </r>
  <r>
    <x v="8"/>
  </r>
  <r>
    <x v="86"/>
  </r>
  <r>
    <x v="25"/>
  </r>
  <r>
    <x v="48"/>
  </r>
  <r>
    <x v="4"/>
  </r>
  <r>
    <x v="4"/>
  </r>
  <r>
    <x v="4"/>
  </r>
  <r>
    <x v="11"/>
  </r>
  <r>
    <x v="4"/>
  </r>
  <r>
    <x v="55"/>
  </r>
  <r>
    <x v="0"/>
  </r>
  <r>
    <x v="12"/>
  </r>
  <r>
    <x v="9"/>
  </r>
  <r>
    <x v="0"/>
  </r>
  <r>
    <x v="0"/>
  </r>
  <r>
    <x v="6"/>
  </r>
  <r>
    <x v="56"/>
  </r>
  <r>
    <x v="76"/>
  </r>
  <r>
    <x v="74"/>
  </r>
  <r>
    <x v="2"/>
  </r>
  <r>
    <x v="40"/>
  </r>
  <r>
    <x v="10"/>
  </r>
  <r>
    <x v="14"/>
  </r>
  <r>
    <x v="0"/>
  </r>
  <r>
    <x v="40"/>
  </r>
  <r>
    <x v="17"/>
  </r>
  <r>
    <x v="0"/>
  </r>
  <r>
    <x v="29"/>
  </r>
  <r>
    <x v="4"/>
  </r>
  <r>
    <x v="10"/>
  </r>
  <r>
    <x v="10"/>
  </r>
  <r>
    <x v="0"/>
  </r>
  <r>
    <x v="17"/>
  </r>
  <r>
    <x v="4"/>
  </r>
  <r>
    <x v="17"/>
  </r>
  <r>
    <x v="10"/>
  </r>
  <r>
    <x v="4"/>
  </r>
  <r>
    <x v="28"/>
  </r>
  <r>
    <x v="0"/>
  </r>
  <r>
    <x v="10"/>
  </r>
  <r>
    <x v="4"/>
  </r>
  <r>
    <x v="4"/>
  </r>
  <r>
    <x v="0"/>
  </r>
  <r>
    <x v="130"/>
  </r>
  <r>
    <x v="12"/>
  </r>
  <r>
    <x v="10"/>
  </r>
  <r>
    <x v="29"/>
  </r>
  <r>
    <x v="240"/>
  </r>
  <r>
    <x v="4"/>
  </r>
  <r>
    <x v="4"/>
  </r>
  <r>
    <x v="28"/>
  </r>
  <r>
    <x v="4"/>
  </r>
  <r>
    <x v="28"/>
  </r>
  <r>
    <x v="48"/>
  </r>
  <r>
    <x v="4"/>
  </r>
  <r>
    <x v="4"/>
  </r>
  <r>
    <x v="8"/>
  </r>
  <r>
    <x v="12"/>
  </r>
  <r>
    <x v="83"/>
  </r>
  <r>
    <x v="4"/>
  </r>
  <r>
    <x v="17"/>
  </r>
  <r>
    <x v="143"/>
  </r>
  <r>
    <x v="28"/>
  </r>
  <r>
    <x v="53"/>
  </r>
  <r>
    <x v="222"/>
  </r>
  <r>
    <x v="53"/>
  </r>
  <r>
    <x v="16"/>
  </r>
  <r>
    <x v="4"/>
  </r>
  <r>
    <x v="53"/>
  </r>
  <r>
    <x v="4"/>
  </r>
  <r>
    <x v="16"/>
  </r>
  <r>
    <x v="2"/>
  </r>
  <r>
    <x v="77"/>
  </r>
  <r>
    <x v="14"/>
  </r>
  <r>
    <x v="40"/>
  </r>
  <r>
    <x v="40"/>
  </r>
  <r>
    <x v="53"/>
  </r>
  <r>
    <x v="17"/>
  </r>
  <r>
    <x v="17"/>
  </r>
  <r>
    <x v="17"/>
  </r>
  <r>
    <x v="17"/>
  </r>
  <r>
    <x v="4"/>
  </r>
  <r>
    <x v="17"/>
  </r>
  <r>
    <x v="0"/>
  </r>
  <r>
    <x v="28"/>
  </r>
  <r>
    <x v="6"/>
  </r>
  <r>
    <x v="14"/>
  </r>
  <r>
    <x v="144"/>
  </r>
  <r>
    <x v="7"/>
  </r>
  <r>
    <x v="17"/>
  </r>
  <r>
    <x v="0"/>
  </r>
  <r>
    <x v="8"/>
  </r>
  <r>
    <x v="10"/>
  </r>
  <r>
    <x v="0"/>
  </r>
  <r>
    <x v="37"/>
  </r>
  <r>
    <x v="0"/>
  </r>
  <r>
    <x v="17"/>
  </r>
  <r>
    <x v="76"/>
  </r>
  <r>
    <x v="4"/>
  </r>
  <r>
    <x v="26"/>
  </r>
  <r>
    <x v="10"/>
  </r>
  <r>
    <x v="10"/>
  </r>
  <r>
    <x v="4"/>
  </r>
  <r>
    <x v="4"/>
  </r>
  <r>
    <x v="40"/>
  </r>
  <r>
    <x v="40"/>
  </r>
  <r>
    <x v="2"/>
  </r>
  <r>
    <x v="11"/>
  </r>
  <r>
    <x v="0"/>
  </r>
  <r>
    <x v="28"/>
  </r>
  <r>
    <x v="0"/>
  </r>
  <r>
    <x v="123"/>
  </r>
  <r>
    <x v="8"/>
  </r>
  <r>
    <x v="17"/>
  </r>
  <r>
    <x v="40"/>
  </r>
  <r>
    <x v="0"/>
  </r>
  <r>
    <x v="0"/>
  </r>
  <r>
    <x v="0"/>
  </r>
  <r>
    <x v="0"/>
  </r>
  <r>
    <x v="37"/>
  </r>
  <r>
    <x v="4"/>
  </r>
  <r>
    <x v="4"/>
  </r>
  <r>
    <x v="4"/>
  </r>
  <r>
    <x v="130"/>
  </r>
  <r>
    <x v="28"/>
  </r>
  <r>
    <x v="0"/>
  </r>
  <r>
    <x v="17"/>
  </r>
  <r>
    <x v="4"/>
  </r>
  <r>
    <x v="0"/>
  </r>
  <r>
    <x v="40"/>
  </r>
  <r>
    <x v="40"/>
  </r>
  <r>
    <x v="11"/>
  </r>
  <r>
    <x v="11"/>
  </r>
  <r>
    <x v="7"/>
  </r>
  <r>
    <x v="31"/>
  </r>
  <r>
    <x v="8"/>
  </r>
  <r>
    <x v="17"/>
  </r>
  <r>
    <x v="4"/>
  </r>
  <r>
    <x v="24"/>
  </r>
  <r>
    <x v="222"/>
  </r>
  <r>
    <x v="21"/>
  </r>
  <r>
    <x v="4"/>
  </r>
  <r>
    <x v="4"/>
  </r>
  <r>
    <x v="4"/>
  </r>
  <r>
    <x v="17"/>
  </r>
  <r>
    <x v="17"/>
  </r>
  <r>
    <x v="12"/>
  </r>
  <r>
    <x v="2"/>
  </r>
  <r>
    <x v="76"/>
  </r>
  <r>
    <x v="37"/>
  </r>
  <r>
    <x v="4"/>
  </r>
  <r>
    <x v="9"/>
  </r>
  <r>
    <x v="9"/>
  </r>
  <r>
    <x v="7"/>
  </r>
  <r>
    <x v="12"/>
  </r>
  <r>
    <x v="8"/>
  </r>
  <r>
    <x v="62"/>
  </r>
  <r>
    <x v="222"/>
  </r>
  <r>
    <x v="11"/>
  </r>
  <r>
    <x v="48"/>
  </r>
  <r>
    <x v="9"/>
  </r>
  <r>
    <x v="9"/>
  </r>
  <r>
    <x v="6"/>
  </r>
  <r>
    <x v="28"/>
  </r>
  <r>
    <x v="45"/>
  </r>
  <r>
    <x v="34"/>
  </r>
  <r>
    <x v="17"/>
  </r>
  <r>
    <x v="9"/>
  </r>
  <r>
    <x v="37"/>
  </r>
  <r>
    <x v="28"/>
  </r>
  <r>
    <x v="37"/>
  </r>
  <r>
    <x v="9"/>
  </r>
  <r>
    <x v="28"/>
  </r>
  <r>
    <x v="28"/>
  </r>
  <r>
    <x v="17"/>
  </r>
  <r>
    <x v="0"/>
  </r>
  <r>
    <x v="4"/>
  </r>
  <r>
    <x v="10"/>
  </r>
  <r>
    <x v="0"/>
  </r>
  <r>
    <x v="4"/>
  </r>
  <r>
    <x v="28"/>
  </r>
  <r>
    <x v="68"/>
  </r>
  <r>
    <x v="11"/>
  </r>
  <r>
    <x v="8"/>
  </r>
  <r>
    <x v="17"/>
  </r>
  <r>
    <x v="4"/>
  </r>
  <r>
    <x v="115"/>
  </r>
  <r>
    <x v="17"/>
  </r>
  <r>
    <x v="9"/>
  </r>
  <r>
    <x v="9"/>
  </r>
  <r>
    <x v="29"/>
  </r>
  <r>
    <x v="28"/>
  </r>
  <r>
    <x v="6"/>
  </r>
  <r>
    <x v="17"/>
  </r>
  <r>
    <x v="24"/>
  </r>
  <r>
    <x v="40"/>
  </r>
  <r>
    <x v="28"/>
  </r>
  <r>
    <x v="4"/>
  </r>
  <r>
    <x v="11"/>
  </r>
  <r>
    <x v="37"/>
  </r>
  <r>
    <x v="37"/>
  </r>
  <r>
    <x v="37"/>
  </r>
  <r>
    <x v="37"/>
  </r>
  <r>
    <x v="37"/>
  </r>
  <r>
    <x v="0"/>
  </r>
  <r>
    <x v="43"/>
  </r>
  <r>
    <x v="0"/>
  </r>
  <r>
    <x v="0"/>
  </r>
  <r>
    <x v="12"/>
  </r>
  <r>
    <x v="10"/>
  </r>
  <r>
    <x v="10"/>
  </r>
  <r>
    <x v="0"/>
  </r>
  <r>
    <x v="10"/>
  </r>
  <r>
    <x v="0"/>
  </r>
  <r>
    <x v="10"/>
  </r>
  <r>
    <x v="4"/>
  </r>
  <r>
    <x v="0"/>
  </r>
  <r>
    <x v="0"/>
  </r>
  <r>
    <x v="14"/>
  </r>
  <r>
    <x v="37"/>
  </r>
  <r>
    <x v="0"/>
  </r>
  <r>
    <x v="0"/>
  </r>
  <r>
    <x v="37"/>
  </r>
  <r>
    <x v="14"/>
  </r>
  <r>
    <x v="0"/>
  </r>
  <r>
    <x v="11"/>
  </r>
  <r>
    <x v="9"/>
  </r>
  <r>
    <x v="28"/>
  </r>
  <r>
    <x v="2"/>
  </r>
  <r>
    <x v="37"/>
  </r>
  <r>
    <x v="8"/>
  </r>
  <r>
    <x v="45"/>
  </r>
  <r>
    <x v="28"/>
  </r>
  <r>
    <x v="28"/>
  </r>
  <r>
    <x v="28"/>
  </r>
  <r>
    <x v="17"/>
  </r>
  <r>
    <x v="37"/>
  </r>
  <r>
    <x v="45"/>
  </r>
  <r>
    <x v="11"/>
  </r>
  <r>
    <x v="37"/>
  </r>
  <r>
    <x v="9"/>
  </r>
  <r>
    <x v="52"/>
  </r>
  <r>
    <x v="28"/>
  </r>
  <r>
    <x v="11"/>
  </r>
  <r>
    <x v="17"/>
  </r>
  <r>
    <x v="17"/>
  </r>
  <r>
    <x v="17"/>
  </r>
  <r>
    <x v="0"/>
  </r>
  <r>
    <x v="17"/>
  </r>
  <r>
    <x v="17"/>
  </r>
  <r>
    <x v="17"/>
  </r>
  <r>
    <x v="4"/>
  </r>
  <r>
    <x v="0"/>
  </r>
  <r>
    <x v="8"/>
  </r>
  <r>
    <x v="17"/>
  </r>
  <r>
    <x v="28"/>
  </r>
  <r>
    <x v="17"/>
  </r>
  <r>
    <x v="10"/>
  </r>
  <r>
    <x v="9"/>
  </r>
  <r>
    <x v="11"/>
  </r>
  <r>
    <x v="28"/>
  </r>
  <r>
    <x v="28"/>
  </r>
  <r>
    <x v="11"/>
  </r>
  <r>
    <x v="0"/>
  </r>
  <r>
    <x v="17"/>
  </r>
  <r>
    <x v="17"/>
  </r>
  <r>
    <x v="17"/>
  </r>
  <r>
    <x v="17"/>
  </r>
  <r>
    <x v="17"/>
  </r>
  <r>
    <x v="22"/>
  </r>
  <r>
    <x v="7"/>
  </r>
  <r>
    <x v="4"/>
  </r>
  <r>
    <x v="37"/>
  </r>
  <r>
    <x v="7"/>
  </r>
  <r>
    <x v="0"/>
  </r>
  <r>
    <x v="0"/>
  </r>
  <r>
    <x v="1"/>
  </r>
  <r>
    <x v="17"/>
  </r>
  <r>
    <x v="28"/>
  </r>
  <r>
    <x v="17"/>
  </r>
  <r>
    <x v="0"/>
  </r>
  <r>
    <x v="17"/>
  </r>
  <r>
    <x v="17"/>
  </r>
  <r>
    <x v="0"/>
  </r>
  <r>
    <x v="17"/>
  </r>
  <r>
    <x v="17"/>
  </r>
  <r>
    <x v="17"/>
  </r>
  <r>
    <x v="17"/>
  </r>
  <r>
    <x v="17"/>
  </r>
  <r>
    <x v="28"/>
  </r>
  <r>
    <x v="17"/>
  </r>
  <r>
    <x v="7"/>
  </r>
  <r>
    <x v="16"/>
  </r>
  <r>
    <x v="16"/>
  </r>
  <r>
    <x v="0"/>
  </r>
  <r>
    <x v="40"/>
  </r>
  <r>
    <x v="40"/>
  </r>
  <r>
    <x v="28"/>
  </r>
  <r>
    <x v="28"/>
  </r>
  <r>
    <x v="28"/>
  </r>
  <r>
    <x v="0"/>
  </r>
  <r>
    <x v="42"/>
  </r>
  <r>
    <x v="28"/>
  </r>
  <r>
    <x v="17"/>
  </r>
  <r>
    <x v="17"/>
  </r>
  <r>
    <x v="28"/>
  </r>
  <r>
    <x v="2"/>
  </r>
  <r>
    <x v="0"/>
  </r>
  <r>
    <x v="17"/>
  </r>
  <r>
    <x v="0"/>
  </r>
  <r>
    <x v="0"/>
  </r>
  <r>
    <x v="17"/>
  </r>
  <r>
    <x v="16"/>
  </r>
  <r>
    <x v="21"/>
  </r>
  <r>
    <x v="25"/>
  </r>
  <r>
    <x v="28"/>
  </r>
  <r>
    <x v="17"/>
  </r>
  <r>
    <x v="17"/>
  </r>
  <r>
    <x v="17"/>
  </r>
  <r>
    <x v="17"/>
  </r>
  <r>
    <x v="28"/>
  </r>
  <r>
    <x v="12"/>
  </r>
  <r>
    <x v="10"/>
  </r>
  <r>
    <x v="7"/>
  </r>
  <r>
    <x v="17"/>
  </r>
  <r>
    <x v="0"/>
  </r>
  <r>
    <x v="0"/>
  </r>
  <r>
    <x v="10"/>
  </r>
  <r>
    <x v="28"/>
  </r>
  <r>
    <x v="40"/>
  </r>
  <r>
    <x v="28"/>
  </r>
  <r>
    <x v="28"/>
  </r>
  <r>
    <x v="40"/>
  </r>
  <r>
    <x v="28"/>
  </r>
  <r>
    <x v="40"/>
  </r>
  <r>
    <x v="28"/>
  </r>
  <r>
    <x v="28"/>
  </r>
  <r>
    <x v="28"/>
  </r>
  <r>
    <x v="28"/>
  </r>
  <r>
    <x v="28"/>
  </r>
  <r>
    <x v="40"/>
  </r>
  <r>
    <x v="4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8"/>
  </r>
  <r>
    <x v="10"/>
  </r>
  <r>
    <x v="37"/>
  </r>
  <r>
    <x v="17"/>
  </r>
  <r>
    <x v="77"/>
  </r>
  <r>
    <x v="14"/>
  </r>
  <r>
    <x v="0"/>
  </r>
  <r>
    <x v="9"/>
  </r>
  <r>
    <x v="0"/>
  </r>
  <r>
    <x v="17"/>
  </r>
  <r>
    <x v="9"/>
  </r>
  <r>
    <x v="10"/>
  </r>
  <r>
    <x v="17"/>
  </r>
  <r>
    <x v="40"/>
  </r>
  <r>
    <x v="4"/>
  </r>
  <r>
    <x v="53"/>
  </r>
  <r>
    <x v="28"/>
  </r>
  <r>
    <x v="16"/>
  </r>
  <r>
    <x v="16"/>
  </r>
  <r>
    <x v="16"/>
  </r>
  <r>
    <x v="34"/>
  </r>
  <r>
    <x v="37"/>
  </r>
  <r>
    <x v="45"/>
  </r>
  <r>
    <x v="0"/>
  </r>
  <r>
    <x v="7"/>
  </r>
  <r>
    <x v="31"/>
  </r>
  <r>
    <x v="37"/>
  </r>
  <r>
    <x v="8"/>
  </r>
  <r>
    <x v="9"/>
  </r>
  <r>
    <x v="123"/>
  </r>
  <r>
    <x v="2"/>
  </r>
  <r>
    <x v="8"/>
  </r>
  <r>
    <x v="17"/>
  </r>
  <r>
    <x v="40"/>
  </r>
  <r>
    <x v="9"/>
  </r>
  <r>
    <x v="11"/>
  </r>
  <r>
    <x v="40"/>
  </r>
  <r>
    <x v="40"/>
  </r>
  <r>
    <x v="42"/>
  </r>
  <r>
    <x v="16"/>
  </r>
  <r>
    <x v="10"/>
  </r>
  <r>
    <x v="37"/>
  </r>
  <r>
    <x v="4"/>
  </r>
  <r>
    <x v="55"/>
  </r>
  <r>
    <x v="55"/>
  </r>
  <r>
    <x v="2"/>
  </r>
  <r>
    <x v="64"/>
  </r>
  <r>
    <x v="42"/>
  </r>
  <r>
    <x v="45"/>
  </r>
  <r>
    <x v="39"/>
  </r>
  <r>
    <x v="84"/>
  </r>
  <r>
    <x v="68"/>
  </r>
  <r>
    <x v="17"/>
  </r>
  <r>
    <x v="24"/>
  </r>
  <r>
    <x v="39"/>
  </r>
  <r>
    <x v="39"/>
  </r>
  <r>
    <x v="17"/>
  </r>
  <r>
    <x v="39"/>
  </r>
  <r>
    <x v="130"/>
  </r>
  <r>
    <x v="138"/>
  </r>
  <r>
    <x v="17"/>
  </r>
  <r>
    <x v="12"/>
  </r>
  <r>
    <x v="16"/>
  </r>
  <r>
    <x v="28"/>
  </r>
  <r>
    <x v="9"/>
  </r>
  <r>
    <x v="4"/>
  </r>
  <r>
    <x v="0"/>
  </r>
  <r>
    <x v="28"/>
  </r>
  <r>
    <x v="17"/>
  </r>
  <r>
    <x v="12"/>
  </r>
  <r>
    <x v="24"/>
  </r>
  <r>
    <x v="21"/>
  </r>
  <r>
    <x v="53"/>
  </r>
  <r>
    <x v="53"/>
  </r>
  <r>
    <x v="40"/>
  </r>
  <r>
    <x v="28"/>
  </r>
  <r>
    <x v="28"/>
  </r>
  <r>
    <x v="28"/>
  </r>
  <r>
    <x v="17"/>
  </r>
  <r>
    <x v="68"/>
  </r>
  <r>
    <x v="222"/>
  </r>
  <r>
    <x v="12"/>
  </r>
  <r>
    <x v="12"/>
  </r>
  <r>
    <x v="12"/>
  </r>
  <r>
    <x v="2"/>
  </r>
  <r>
    <x v="0"/>
  </r>
  <r>
    <x v="37"/>
  </r>
  <r>
    <x v="37"/>
  </r>
  <r>
    <x v="37"/>
  </r>
  <r>
    <x v="12"/>
  </r>
  <r>
    <x v="28"/>
  </r>
  <r>
    <x v="100"/>
  </r>
  <r>
    <x v="138"/>
  </r>
  <r>
    <x v="0"/>
  </r>
  <r>
    <x v="0"/>
  </r>
  <r>
    <x v="10"/>
  </r>
  <r>
    <x v="9"/>
  </r>
  <r>
    <x v="24"/>
  </r>
  <r>
    <x v="222"/>
  </r>
  <r>
    <x v="222"/>
  </r>
  <r>
    <x v="222"/>
  </r>
  <r>
    <x v="28"/>
  </r>
  <r>
    <x v="16"/>
  </r>
  <r>
    <x v="16"/>
  </r>
  <r>
    <x v="16"/>
  </r>
  <r>
    <x v="8"/>
  </r>
  <r>
    <x v="37"/>
  </r>
  <r>
    <x v="12"/>
  </r>
  <r>
    <x v="10"/>
  </r>
  <r>
    <x v="40"/>
  </r>
  <r>
    <x v="0"/>
  </r>
  <r>
    <x v="21"/>
  </r>
  <r>
    <x v="40"/>
  </r>
  <r>
    <x v="10"/>
  </r>
  <r>
    <x v="4"/>
  </r>
  <r>
    <x v="4"/>
  </r>
  <r>
    <x v="14"/>
  </r>
  <r>
    <x v="4"/>
  </r>
  <r>
    <x v="56"/>
  </r>
  <r>
    <x v="4"/>
  </r>
  <r>
    <x v="16"/>
  </r>
  <r>
    <x v="42"/>
  </r>
  <r>
    <x v="17"/>
  </r>
  <r>
    <x v="8"/>
  </r>
  <r>
    <x v="14"/>
  </r>
  <r>
    <x v="32"/>
  </r>
  <r>
    <x v="222"/>
  </r>
  <r>
    <x v="14"/>
  </r>
  <r>
    <x v="4"/>
  </r>
  <r>
    <x v="10"/>
  </r>
  <r>
    <x v="10"/>
  </r>
  <r>
    <x v="53"/>
  </r>
  <r>
    <x v="10"/>
  </r>
  <r>
    <x v="123"/>
  </r>
  <r>
    <x v="130"/>
  </r>
  <r>
    <x v="21"/>
  </r>
  <r>
    <x v="2"/>
  </r>
  <r>
    <x v="8"/>
  </r>
  <r>
    <x v="37"/>
  </r>
  <r>
    <x v="14"/>
  </r>
  <r>
    <x v="31"/>
  </r>
  <r>
    <x v="11"/>
  </r>
  <r>
    <x v="4"/>
  </r>
  <r>
    <x v="4"/>
  </r>
  <r>
    <x v="42"/>
  </r>
  <r>
    <x v="14"/>
  </r>
  <r>
    <x v="39"/>
  </r>
  <r>
    <x v="16"/>
  </r>
  <r>
    <x v="7"/>
  </r>
  <r>
    <x v="14"/>
  </r>
  <r>
    <x v="10"/>
  </r>
  <r>
    <x v="0"/>
  </r>
  <r>
    <x v="14"/>
  </r>
  <r>
    <x v="14"/>
  </r>
  <r>
    <x v="53"/>
  </r>
  <r>
    <x v="53"/>
  </r>
  <r>
    <x v="10"/>
  </r>
  <r>
    <x v="55"/>
  </r>
  <r>
    <x v="10"/>
  </r>
  <r>
    <x v="10"/>
  </r>
  <r>
    <x v="9"/>
  </r>
  <r>
    <x v="1"/>
  </r>
  <r>
    <x v="16"/>
  </r>
  <r>
    <x v="16"/>
  </r>
  <r>
    <x v="16"/>
  </r>
  <r>
    <x v="16"/>
  </r>
  <r>
    <x v="37"/>
  </r>
  <r>
    <x v="16"/>
  </r>
  <r>
    <x v="37"/>
  </r>
  <r>
    <x v="0"/>
  </r>
  <r>
    <x v="21"/>
  </r>
  <r>
    <x v="21"/>
  </r>
  <r>
    <x v="2"/>
  </r>
  <r>
    <x v="2"/>
  </r>
  <r>
    <x v="31"/>
  </r>
  <r>
    <x v="0"/>
  </r>
  <r>
    <x v="0"/>
  </r>
  <r>
    <x v="14"/>
  </r>
  <r>
    <x v="55"/>
  </r>
  <r>
    <x v="37"/>
  </r>
  <r>
    <x v="12"/>
  </r>
  <r>
    <x v="10"/>
  </r>
  <r>
    <x v="24"/>
  </r>
  <r>
    <x v="4"/>
  </r>
  <r>
    <x v="28"/>
  </r>
  <r>
    <x v="32"/>
  </r>
  <r>
    <x v="12"/>
  </r>
  <r>
    <x v="7"/>
  </r>
  <r>
    <x v="4"/>
  </r>
  <r>
    <x v="126"/>
  </r>
  <r>
    <x v="0"/>
  </r>
  <r>
    <x v="33"/>
  </r>
  <r>
    <x v="17"/>
  </r>
  <r>
    <x v="10"/>
  </r>
  <r>
    <x v="123"/>
  </r>
  <r>
    <x v="10"/>
  </r>
  <r>
    <x v="17"/>
  </r>
  <r>
    <x v="16"/>
  </r>
  <r>
    <x v="8"/>
  </r>
  <r>
    <x v="37"/>
  </r>
  <r>
    <x v="17"/>
  </r>
  <r>
    <x v="9"/>
  </r>
  <r>
    <x v="4"/>
  </r>
  <r>
    <x v="17"/>
  </r>
  <r>
    <x v="17"/>
  </r>
  <r>
    <x v="0"/>
  </r>
  <r>
    <x v="59"/>
  </r>
  <r>
    <x v="63"/>
  </r>
  <r>
    <x v="60"/>
  </r>
  <r>
    <x v="10"/>
  </r>
  <r>
    <x v="28"/>
  </r>
  <r>
    <x v="77"/>
  </r>
  <r>
    <x v="48"/>
  </r>
  <r>
    <x v="4"/>
  </r>
  <r>
    <x v="4"/>
  </r>
  <r>
    <x v="123"/>
  </r>
  <r>
    <x v="17"/>
  </r>
  <r>
    <x v="16"/>
  </r>
  <r>
    <x v="16"/>
  </r>
  <r>
    <x v="34"/>
  </r>
  <r>
    <x v="34"/>
  </r>
  <r>
    <x v="10"/>
  </r>
  <r>
    <x v="43"/>
  </r>
  <r>
    <x v="17"/>
  </r>
  <r>
    <x v="16"/>
  </r>
  <r>
    <x v="10"/>
  </r>
  <r>
    <x v="0"/>
  </r>
  <r>
    <x v="10"/>
  </r>
  <r>
    <x v="42"/>
  </r>
  <r>
    <x v="16"/>
  </r>
  <r>
    <x v="0"/>
  </r>
  <r>
    <x v="16"/>
  </r>
  <r>
    <x v="16"/>
  </r>
  <r>
    <x v="53"/>
  </r>
  <r>
    <x v="28"/>
  </r>
  <r>
    <x v="28"/>
  </r>
  <r>
    <x v="17"/>
  </r>
  <r>
    <x v="17"/>
  </r>
  <r>
    <x v="14"/>
  </r>
  <r>
    <x v="34"/>
  </r>
  <r>
    <x v="14"/>
  </r>
  <r>
    <x v="14"/>
  </r>
  <r>
    <x v="37"/>
  </r>
  <r>
    <x v="10"/>
  </r>
  <r>
    <x v="241"/>
  </r>
  <r>
    <x v="10"/>
  </r>
  <r>
    <x v="0"/>
  </r>
  <r>
    <x v="10"/>
  </r>
  <r>
    <x v="16"/>
  </r>
  <r>
    <x v="9"/>
  </r>
  <r>
    <x v="12"/>
  </r>
  <r>
    <x v="10"/>
  </r>
  <r>
    <x v="28"/>
  </r>
  <r>
    <x v="53"/>
  </r>
  <r>
    <x v="53"/>
  </r>
  <r>
    <x v="53"/>
  </r>
  <r>
    <x v="53"/>
  </r>
  <r>
    <x v="63"/>
  </r>
  <r>
    <x v="8"/>
  </r>
  <r>
    <x v="10"/>
  </r>
  <r>
    <x v="55"/>
  </r>
  <r>
    <x v="22"/>
  </r>
  <r>
    <x v="37"/>
  </r>
  <r>
    <x v="12"/>
  </r>
  <r>
    <x v="17"/>
  </r>
  <r>
    <x v="17"/>
  </r>
  <r>
    <x v="4"/>
  </r>
  <r>
    <x v="23"/>
  </r>
  <r>
    <x v="10"/>
  </r>
  <r>
    <x v="71"/>
  </r>
  <r>
    <x v="28"/>
  </r>
  <r>
    <x v="24"/>
  </r>
  <r>
    <x v="76"/>
  </r>
  <r>
    <x v="22"/>
  </r>
  <r>
    <x v="14"/>
  </r>
  <r>
    <x v="37"/>
  </r>
  <r>
    <x v="48"/>
  </r>
  <r>
    <x v="0"/>
  </r>
  <r>
    <x v="143"/>
  </r>
  <r>
    <x v="143"/>
  </r>
  <r>
    <x v="143"/>
  </r>
  <r>
    <x v="143"/>
  </r>
  <r>
    <x v="57"/>
  </r>
  <r>
    <x v="57"/>
  </r>
  <r>
    <x v="57"/>
  </r>
  <r>
    <x v="17"/>
  </r>
  <r>
    <x v="8"/>
  </r>
  <r>
    <x v="42"/>
  </r>
  <r>
    <x v="68"/>
  </r>
  <r>
    <x v="0"/>
  </r>
  <r>
    <x v="24"/>
  </r>
  <r>
    <x v="22"/>
  </r>
  <r>
    <x v="48"/>
  </r>
  <r>
    <x v="48"/>
  </r>
  <r>
    <x v="48"/>
  </r>
  <r>
    <x v="31"/>
  </r>
  <r>
    <x v="0"/>
  </r>
  <r>
    <x v="21"/>
  </r>
  <r>
    <x v="21"/>
  </r>
  <r>
    <x v="22"/>
  </r>
  <r>
    <x v="28"/>
  </r>
  <r>
    <x v="17"/>
  </r>
  <r>
    <x v="16"/>
  </r>
  <r>
    <x v="47"/>
  </r>
  <r>
    <x v="68"/>
  </r>
  <r>
    <x v="14"/>
  </r>
  <r>
    <x v="48"/>
  </r>
  <r>
    <x v="12"/>
  </r>
  <r>
    <x v="14"/>
  </r>
  <r>
    <x v="10"/>
  </r>
  <r>
    <x v="10"/>
  </r>
  <r>
    <x v="4"/>
  </r>
  <r>
    <x v="4"/>
  </r>
  <r>
    <x v="4"/>
  </r>
  <r>
    <x v="55"/>
  </r>
  <r>
    <x v="44"/>
  </r>
  <r>
    <x v="21"/>
  </r>
  <r>
    <x v="32"/>
  </r>
  <r>
    <x v="37"/>
  </r>
  <r>
    <x v="7"/>
  </r>
  <r>
    <x v="48"/>
  </r>
  <r>
    <x v="14"/>
  </r>
  <r>
    <x v="14"/>
  </r>
  <r>
    <x v="48"/>
  </r>
  <r>
    <x v="45"/>
  </r>
  <r>
    <x v="7"/>
  </r>
  <r>
    <x v="14"/>
  </r>
  <r>
    <x v="4"/>
  </r>
  <r>
    <x v="4"/>
  </r>
  <r>
    <x v="4"/>
  </r>
  <r>
    <x v="14"/>
  </r>
  <r>
    <x v="14"/>
  </r>
  <r>
    <x v="16"/>
  </r>
  <r>
    <x v="16"/>
  </r>
  <r>
    <x v="4"/>
  </r>
  <r>
    <x v="17"/>
  </r>
  <r>
    <x v="28"/>
  </r>
  <r>
    <x v="28"/>
  </r>
  <r>
    <x v="21"/>
  </r>
  <r>
    <x v="7"/>
  </r>
  <r>
    <x v="4"/>
  </r>
  <r>
    <x v="44"/>
  </r>
  <r>
    <x v="2"/>
  </r>
  <r>
    <x v="68"/>
  </r>
  <r>
    <x v="33"/>
  </r>
  <r>
    <x v="0"/>
  </r>
  <r>
    <x v="48"/>
  </r>
  <r>
    <x v="2"/>
  </r>
  <r>
    <x v="2"/>
  </r>
  <r>
    <x v="16"/>
  </r>
  <r>
    <x v="14"/>
  </r>
  <r>
    <x v="2"/>
  </r>
  <r>
    <x v="32"/>
  </r>
  <r>
    <x v="12"/>
  </r>
  <r>
    <x v="2"/>
  </r>
  <r>
    <x v="16"/>
  </r>
  <r>
    <x v="16"/>
  </r>
  <r>
    <x v="16"/>
  </r>
  <r>
    <x v="16"/>
  </r>
  <r>
    <x v="12"/>
  </r>
  <r>
    <x v="12"/>
  </r>
  <r>
    <x v="8"/>
  </r>
  <r>
    <x v="4"/>
  </r>
  <r>
    <x v="162"/>
  </r>
  <r>
    <x v="7"/>
  </r>
  <r>
    <x v="115"/>
  </r>
  <r>
    <x v="119"/>
  </r>
  <r>
    <x v="14"/>
  </r>
  <r>
    <x v="17"/>
  </r>
  <r>
    <x v="1"/>
  </r>
  <r>
    <x v="8"/>
  </r>
  <r>
    <x v="4"/>
  </r>
  <r>
    <x v="10"/>
  </r>
  <r>
    <x v="48"/>
  </r>
  <r>
    <x v="10"/>
  </r>
  <r>
    <x v="74"/>
  </r>
  <r>
    <x v="74"/>
  </r>
  <r>
    <x v="44"/>
  </r>
  <r>
    <x v="24"/>
  </r>
  <r>
    <x v="174"/>
  </r>
  <r>
    <x v="17"/>
  </r>
  <r>
    <x v="12"/>
  </r>
  <r>
    <x v="17"/>
  </r>
  <r>
    <x v="4"/>
  </r>
  <r>
    <x v="16"/>
  </r>
  <r>
    <x v="28"/>
  </r>
  <r>
    <x v="28"/>
  </r>
  <r>
    <x v="11"/>
  </r>
  <r>
    <x v="12"/>
  </r>
  <r>
    <x v="16"/>
  </r>
  <r>
    <x v="37"/>
  </r>
  <r>
    <x v="17"/>
  </r>
  <r>
    <x v="17"/>
  </r>
  <r>
    <x v="51"/>
  </r>
  <r>
    <x v="51"/>
  </r>
  <r>
    <x v="51"/>
  </r>
  <r>
    <x v="16"/>
  </r>
  <r>
    <x v="16"/>
  </r>
  <r>
    <x v="16"/>
  </r>
  <r>
    <x v="39"/>
  </r>
  <r>
    <x v="39"/>
  </r>
  <r>
    <x v="4"/>
  </r>
  <r>
    <x v="22"/>
  </r>
  <r>
    <x v="14"/>
  </r>
  <r>
    <x v="10"/>
  </r>
  <r>
    <x v="115"/>
  </r>
  <r>
    <x v="16"/>
  </r>
  <r>
    <x v="14"/>
  </r>
  <r>
    <x v="11"/>
  </r>
  <r>
    <x v="8"/>
  </r>
  <r>
    <x v="7"/>
  </r>
  <r>
    <x v="12"/>
  </r>
  <r>
    <x v="4"/>
  </r>
  <r>
    <x v="12"/>
  </r>
  <r>
    <x v="14"/>
  </r>
  <r>
    <x v="2"/>
  </r>
  <r>
    <x v="68"/>
  </r>
  <r>
    <x v="11"/>
  </r>
  <r>
    <x v="11"/>
  </r>
  <r>
    <x v="115"/>
  </r>
  <r>
    <x v="33"/>
  </r>
  <r>
    <x v="7"/>
  </r>
  <r>
    <x v="10"/>
  </r>
  <r>
    <x v="141"/>
  </r>
  <r>
    <x v="4"/>
  </r>
  <r>
    <x v="31"/>
  </r>
  <r>
    <x v="0"/>
  </r>
  <r>
    <x v="16"/>
  </r>
  <r>
    <x v="24"/>
  </r>
  <r>
    <x v="0"/>
  </r>
  <r>
    <x v="0"/>
  </r>
  <r>
    <x v="0"/>
  </r>
  <r>
    <x v="6"/>
  </r>
  <r>
    <x v="2"/>
  </r>
  <r>
    <x v="10"/>
  </r>
  <r>
    <x v="14"/>
  </r>
  <r>
    <x v="7"/>
  </r>
  <r>
    <x v="81"/>
  </r>
  <r>
    <x v="105"/>
  </r>
  <r>
    <x v="0"/>
  </r>
  <r>
    <x v="0"/>
  </r>
  <r>
    <x v="0"/>
  </r>
  <r>
    <x v="0"/>
  </r>
  <r>
    <x v="71"/>
  </r>
  <r>
    <x v="0"/>
  </r>
  <r>
    <x v="14"/>
  </r>
  <r>
    <x v="14"/>
  </r>
  <r>
    <x v="14"/>
  </r>
  <r>
    <x v="14"/>
  </r>
  <r>
    <x v="0"/>
  </r>
  <r>
    <x v="63"/>
  </r>
  <r>
    <x v="9"/>
  </r>
  <r>
    <x v="12"/>
  </r>
  <r>
    <x v="138"/>
  </r>
  <r>
    <x v="1"/>
  </r>
  <r>
    <x v="48"/>
  </r>
  <r>
    <x v="9"/>
  </r>
  <r>
    <x v="76"/>
  </r>
  <r>
    <x v="242"/>
  </r>
  <r>
    <x v="10"/>
  </r>
  <r>
    <x v="2"/>
  </r>
  <r>
    <x v="14"/>
  </r>
  <r>
    <x v="14"/>
  </r>
  <r>
    <x v="0"/>
  </r>
  <r>
    <x v="2"/>
  </r>
  <r>
    <x v="14"/>
  </r>
  <r>
    <x v="0"/>
  </r>
  <r>
    <x v="76"/>
  </r>
  <r>
    <x v="10"/>
  </r>
  <r>
    <x v="10"/>
  </r>
  <r>
    <x v="8"/>
  </r>
  <r>
    <x v="4"/>
  </r>
  <r>
    <x v="42"/>
  </r>
  <r>
    <x v="14"/>
  </r>
  <r>
    <x v="28"/>
  </r>
  <r>
    <x v="28"/>
  </r>
  <r>
    <x v="4"/>
  </r>
  <r>
    <x v="4"/>
  </r>
  <r>
    <x v="4"/>
  </r>
  <r>
    <x v="4"/>
  </r>
  <r>
    <x v="26"/>
  </r>
  <r>
    <x v="55"/>
  </r>
  <r>
    <x v="28"/>
  </r>
  <r>
    <x v="39"/>
  </r>
  <r>
    <x v="4"/>
  </r>
  <r>
    <x v="7"/>
  </r>
  <r>
    <x v="28"/>
  </r>
  <r>
    <x v="10"/>
  </r>
  <r>
    <x v="10"/>
  </r>
  <r>
    <x v="12"/>
  </r>
  <r>
    <x v="7"/>
  </r>
  <r>
    <x v="16"/>
  </r>
  <r>
    <x v="53"/>
  </r>
  <r>
    <x v="9"/>
  </r>
  <r>
    <x v="28"/>
  </r>
  <r>
    <x v="4"/>
  </r>
  <r>
    <x v="7"/>
  </r>
  <r>
    <x v="9"/>
  </r>
  <r>
    <x v="14"/>
  </r>
  <r>
    <x v="11"/>
  </r>
  <r>
    <x v="45"/>
  </r>
  <r>
    <x v="39"/>
  </r>
  <r>
    <x v="46"/>
  </r>
  <r>
    <x v="37"/>
  </r>
  <r>
    <x v="37"/>
  </r>
  <r>
    <x v="37"/>
  </r>
  <r>
    <x v="37"/>
  </r>
  <r>
    <x v="10"/>
  </r>
  <r>
    <x v="39"/>
  </r>
  <r>
    <x v="14"/>
  </r>
  <r>
    <x v="4"/>
  </r>
  <r>
    <x v="17"/>
  </r>
  <r>
    <x v="12"/>
  </r>
  <r>
    <x v="68"/>
  </r>
  <r>
    <x v="46"/>
  </r>
  <r>
    <x v="0"/>
  </r>
  <r>
    <x v="1"/>
  </r>
  <r>
    <x v="1"/>
  </r>
  <r>
    <x v="14"/>
  </r>
  <r>
    <x v="4"/>
  </r>
  <r>
    <x v="14"/>
  </r>
  <r>
    <x v="7"/>
  </r>
  <r>
    <x v="27"/>
  </r>
  <r>
    <x v="9"/>
  </r>
  <r>
    <x v="115"/>
  </r>
  <r>
    <x v="14"/>
  </r>
  <r>
    <x v="196"/>
  </r>
  <r>
    <x v="31"/>
  </r>
  <r>
    <x v="31"/>
  </r>
  <r>
    <x v="11"/>
  </r>
  <r>
    <x v="12"/>
  </r>
  <r>
    <x v="40"/>
  </r>
  <r>
    <x v="40"/>
  </r>
  <r>
    <x v="87"/>
  </r>
  <r>
    <x v="28"/>
  </r>
  <r>
    <x v="12"/>
  </r>
  <r>
    <x v="7"/>
  </r>
  <r>
    <x v="9"/>
  </r>
  <r>
    <x v="0"/>
  </r>
  <r>
    <x v="11"/>
  </r>
  <r>
    <x v="15"/>
  </r>
  <r>
    <x v="48"/>
  </r>
  <r>
    <x v="55"/>
  </r>
  <r>
    <x v="131"/>
  </r>
  <r>
    <x v="17"/>
  </r>
  <r>
    <x v="115"/>
  </r>
  <r>
    <x v="11"/>
  </r>
  <r>
    <x v="78"/>
  </r>
  <r>
    <x v="48"/>
  </r>
  <r>
    <x v="0"/>
  </r>
  <r>
    <x v="21"/>
  </r>
  <r>
    <x v="2"/>
  </r>
  <r>
    <x v="16"/>
  </r>
  <r>
    <x v="22"/>
  </r>
  <r>
    <x v="63"/>
  </r>
  <r>
    <x v="4"/>
  </r>
  <r>
    <x v="14"/>
  </r>
  <r>
    <x v="76"/>
  </r>
  <r>
    <x v="115"/>
  </r>
  <r>
    <x v="14"/>
  </r>
  <r>
    <x v="81"/>
  </r>
  <r>
    <x v="39"/>
  </r>
  <r>
    <x v="48"/>
  </r>
  <r>
    <x v="28"/>
  </r>
  <r>
    <x v="174"/>
  </r>
  <r>
    <x v="0"/>
  </r>
  <r>
    <x v="1"/>
  </r>
  <r>
    <x v="15"/>
  </r>
  <r>
    <x v="28"/>
  </r>
  <r>
    <x v="11"/>
  </r>
  <r>
    <x v="12"/>
  </r>
  <r>
    <x v="11"/>
  </r>
  <r>
    <x v="37"/>
  </r>
  <r>
    <x v="7"/>
  </r>
  <r>
    <x v="4"/>
  </r>
  <r>
    <x v="7"/>
  </r>
  <r>
    <x v="7"/>
  </r>
  <r>
    <x v="4"/>
  </r>
  <r>
    <x v="0"/>
  </r>
  <r>
    <x v="0"/>
  </r>
  <r>
    <x v="48"/>
  </r>
  <r>
    <x v="48"/>
  </r>
  <r>
    <x v="48"/>
  </r>
  <r>
    <x v="48"/>
  </r>
  <r>
    <x v="48"/>
  </r>
  <r>
    <x v="40"/>
  </r>
  <r>
    <x v="174"/>
  </r>
  <r>
    <x v="14"/>
  </r>
  <r>
    <x v="24"/>
  </r>
  <r>
    <x v="4"/>
  </r>
  <r>
    <x v="26"/>
  </r>
  <r>
    <x v="0"/>
  </r>
  <r>
    <x v="14"/>
  </r>
  <r>
    <x v="7"/>
  </r>
  <r>
    <x v="14"/>
  </r>
  <r>
    <x v="40"/>
  </r>
  <r>
    <x v="10"/>
  </r>
  <r>
    <x v="14"/>
  </r>
  <r>
    <x v="40"/>
  </r>
  <r>
    <x v="40"/>
  </r>
  <r>
    <x v="25"/>
  </r>
  <r>
    <x v="28"/>
  </r>
  <r>
    <x v="24"/>
  </r>
  <r>
    <x v="8"/>
  </r>
  <r>
    <x v="8"/>
  </r>
  <r>
    <x v="8"/>
  </r>
  <r>
    <x v="14"/>
  </r>
  <r>
    <x v="59"/>
  </r>
  <r>
    <x v="14"/>
  </r>
  <r>
    <x v="14"/>
  </r>
  <r>
    <x v="55"/>
  </r>
  <r>
    <x v="43"/>
  </r>
  <r>
    <x v="37"/>
  </r>
  <r>
    <x v="17"/>
  </r>
  <r>
    <x v="7"/>
  </r>
  <r>
    <x v="115"/>
  </r>
  <r>
    <x v="0"/>
  </r>
  <r>
    <x v="68"/>
  </r>
  <r>
    <x v="28"/>
  </r>
  <r>
    <x v="26"/>
  </r>
  <r>
    <x v="26"/>
  </r>
  <r>
    <x v="28"/>
  </r>
  <r>
    <x v="14"/>
  </r>
  <r>
    <x v="51"/>
  </r>
  <r>
    <x v="26"/>
  </r>
  <r>
    <x v="14"/>
  </r>
  <r>
    <x v="14"/>
  </r>
  <r>
    <x v="7"/>
  </r>
  <r>
    <x v="27"/>
  </r>
  <r>
    <x v="27"/>
  </r>
  <r>
    <x v="27"/>
  </r>
  <r>
    <x v="27"/>
  </r>
  <r>
    <x v="27"/>
  </r>
  <r>
    <x v="20"/>
  </r>
  <r>
    <x v="20"/>
  </r>
  <r>
    <x v="199"/>
  </r>
  <r>
    <x v="20"/>
  </r>
  <r>
    <x v="24"/>
  </r>
  <r>
    <x v="10"/>
  </r>
  <r>
    <x v="10"/>
  </r>
  <r>
    <x v="48"/>
  </r>
  <r>
    <x v="6"/>
  </r>
  <r>
    <x v="14"/>
  </r>
  <r>
    <x v="42"/>
  </r>
  <r>
    <x v="37"/>
  </r>
  <r>
    <x v="0"/>
  </r>
  <r>
    <x v="17"/>
  </r>
  <r>
    <x v="53"/>
  </r>
  <r>
    <x v="53"/>
  </r>
  <r>
    <x v="53"/>
  </r>
  <r>
    <x v="7"/>
  </r>
  <r>
    <x v="7"/>
  </r>
  <r>
    <x v="8"/>
  </r>
  <r>
    <x v="8"/>
  </r>
  <r>
    <x v="8"/>
  </r>
  <r>
    <x v="8"/>
  </r>
  <r>
    <x v="28"/>
  </r>
  <r>
    <x v="0"/>
  </r>
  <r>
    <x v="22"/>
  </r>
  <r>
    <x v="42"/>
  </r>
  <r>
    <x v="28"/>
  </r>
  <r>
    <x v="0"/>
  </r>
  <r>
    <x v="22"/>
  </r>
  <r>
    <x v="8"/>
  </r>
  <r>
    <x v="10"/>
  </r>
  <r>
    <x v="2"/>
  </r>
  <r>
    <x v="11"/>
  </r>
  <r>
    <x v="12"/>
  </r>
  <r>
    <x v="12"/>
  </r>
  <r>
    <x v="17"/>
  </r>
  <r>
    <x v="7"/>
  </r>
  <r>
    <x v="10"/>
  </r>
  <r>
    <x v="7"/>
  </r>
  <r>
    <x v="21"/>
  </r>
  <r>
    <x v="21"/>
  </r>
  <r>
    <x v="12"/>
  </r>
  <r>
    <x v="10"/>
  </r>
  <r>
    <x v="11"/>
  </r>
  <r>
    <x v="11"/>
  </r>
  <r>
    <x v="11"/>
  </r>
  <r>
    <x v="0"/>
  </r>
  <r>
    <x v="2"/>
  </r>
  <r>
    <x v="28"/>
  </r>
  <r>
    <x v="8"/>
  </r>
  <r>
    <x v="8"/>
  </r>
  <r>
    <x v="15"/>
  </r>
  <r>
    <x v="17"/>
  </r>
  <r>
    <x v="45"/>
  </r>
  <r>
    <x v="12"/>
  </r>
  <r>
    <x v="53"/>
  </r>
  <r>
    <x v="2"/>
  </r>
  <r>
    <x v="2"/>
  </r>
  <r>
    <x v="10"/>
  </r>
  <r>
    <x v="11"/>
  </r>
  <r>
    <x v="0"/>
  </r>
  <r>
    <x v="14"/>
  </r>
  <r>
    <x v="11"/>
  </r>
  <r>
    <x v="4"/>
  </r>
  <r>
    <x v="44"/>
  </r>
  <r>
    <x v="11"/>
  </r>
  <r>
    <x v="22"/>
  </r>
  <r>
    <x v="0"/>
  </r>
  <r>
    <x v="12"/>
  </r>
  <r>
    <x v="55"/>
  </r>
  <r>
    <x v="7"/>
  </r>
  <r>
    <x v="4"/>
  </r>
  <r>
    <x v="17"/>
  </r>
  <r>
    <x v="7"/>
  </r>
  <r>
    <x v="11"/>
  </r>
  <r>
    <x v="14"/>
  </r>
  <r>
    <x v="9"/>
  </r>
  <r>
    <x v="6"/>
  </r>
  <r>
    <x v="6"/>
  </r>
  <r>
    <x v="0"/>
  </r>
  <r>
    <x v="12"/>
  </r>
  <r>
    <x v="17"/>
  </r>
  <r>
    <x v="14"/>
  </r>
  <r>
    <x v="14"/>
  </r>
  <r>
    <x v="64"/>
  </r>
  <r>
    <x v="12"/>
  </r>
  <r>
    <x v="12"/>
  </r>
  <r>
    <x v="12"/>
  </r>
  <r>
    <x v="0"/>
  </r>
  <r>
    <x v="10"/>
  </r>
  <r>
    <x v="4"/>
  </r>
  <r>
    <x v="12"/>
  </r>
  <r>
    <x v="0"/>
  </r>
  <r>
    <x v="11"/>
  </r>
  <r>
    <x v="42"/>
  </r>
  <r>
    <x v="34"/>
  </r>
  <r>
    <x v="31"/>
  </r>
  <r>
    <x v="11"/>
  </r>
  <r>
    <x v="10"/>
  </r>
  <r>
    <x v="11"/>
  </r>
  <r>
    <x v="28"/>
  </r>
  <r>
    <x v="31"/>
  </r>
  <r>
    <x v="14"/>
  </r>
  <r>
    <x v="9"/>
  </r>
  <r>
    <x v="28"/>
  </r>
  <r>
    <x v="8"/>
  </r>
  <r>
    <x v="8"/>
  </r>
  <r>
    <x v="8"/>
  </r>
  <r>
    <x v="8"/>
  </r>
  <r>
    <x v="8"/>
  </r>
  <r>
    <x v="0"/>
  </r>
  <r>
    <x v="7"/>
  </r>
  <r>
    <x v="12"/>
  </r>
  <r>
    <x v="12"/>
  </r>
  <r>
    <x v="14"/>
  </r>
  <r>
    <x v="12"/>
  </r>
  <r>
    <x v="0"/>
  </r>
  <r>
    <x v="0"/>
  </r>
  <r>
    <x v="17"/>
  </r>
  <r>
    <x v="21"/>
  </r>
  <r>
    <x v="53"/>
  </r>
  <r>
    <x v="14"/>
  </r>
  <r>
    <x v="15"/>
  </r>
  <r>
    <x v="0"/>
  </r>
  <r>
    <x v="16"/>
  </r>
  <r>
    <x v="16"/>
  </r>
  <r>
    <x v="16"/>
  </r>
  <r>
    <x v="14"/>
  </r>
  <r>
    <x v="14"/>
  </r>
  <r>
    <x v="0"/>
  </r>
  <r>
    <x v="26"/>
  </r>
  <r>
    <x v="11"/>
  </r>
  <r>
    <x v="11"/>
  </r>
  <r>
    <x v="11"/>
  </r>
  <r>
    <x v="0"/>
  </r>
  <r>
    <x v="0"/>
  </r>
  <r>
    <x v="53"/>
  </r>
  <r>
    <x v="53"/>
  </r>
  <r>
    <x v="14"/>
  </r>
  <r>
    <x v="22"/>
  </r>
  <r>
    <x v="243"/>
  </r>
  <r>
    <x v="243"/>
  </r>
  <r>
    <x v="15"/>
  </r>
  <r>
    <x v="15"/>
  </r>
  <r>
    <x v="28"/>
  </r>
  <r>
    <x v="21"/>
  </r>
  <r>
    <x v="22"/>
  </r>
  <r>
    <x v="22"/>
  </r>
  <r>
    <x v="22"/>
  </r>
  <r>
    <x v="22"/>
  </r>
  <r>
    <x v="4"/>
  </r>
  <r>
    <x v="4"/>
  </r>
  <r>
    <x v="4"/>
  </r>
  <r>
    <x v="8"/>
  </r>
  <r>
    <x v="14"/>
  </r>
  <r>
    <x v="34"/>
  </r>
  <r>
    <x v="34"/>
  </r>
  <r>
    <x v="21"/>
  </r>
  <r>
    <x v="22"/>
  </r>
  <r>
    <x v="7"/>
  </r>
  <r>
    <x v="7"/>
  </r>
  <r>
    <x v="28"/>
  </r>
  <r>
    <x v="12"/>
  </r>
  <r>
    <x v="9"/>
  </r>
  <r>
    <x v="34"/>
  </r>
  <r>
    <x v="0"/>
  </r>
  <r>
    <x v="28"/>
  </r>
  <r>
    <x v="7"/>
  </r>
  <r>
    <x v="0"/>
  </r>
  <r>
    <x v="48"/>
  </r>
  <r>
    <x v="52"/>
  </r>
  <r>
    <x v="34"/>
  </r>
  <r>
    <x v="14"/>
  </r>
  <r>
    <x v="14"/>
  </r>
  <r>
    <x v="14"/>
  </r>
  <r>
    <x v="14"/>
  </r>
  <r>
    <x v="10"/>
  </r>
  <r>
    <x v="4"/>
  </r>
  <r>
    <x v="4"/>
  </r>
  <r>
    <x v="16"/>
  </r>
  <r>
    <x v="130"/>
  </r>
  <r>
    <x v="14"/>
  </r>
  <r>
    <x v="130"/>
  </r>
  <r>
    <x v="0"/>
  </r>
  <r>
    <x v="0"/>
  </r>
  <r>
    <x v="51"/>
  </r>
  <r>
    <x v="86"/>
  </r>
  <r>
    <x v="4"/>
  </r>
  <r>
    <x v="4"/>
  </r>
  <r>
    <x v="4"/>
  </r>
  <r>
    <x v="4"/>
  </r>
  <r>
    <x v="4"/>
  </r>
  <r>
    <x v="4"/>
  </r>
  <r>
    <x v="16"/>
  </r>
  <r>
    <x v="16"/>
  </r>
  <r>
    <x v="16"/>
  </r>
  <r>
    <x v="16"/>
  </r>
  <r>
    <x v="16"/>
  </r>
  <r>
    <x v="14"/>
  </r>
  <r>
    <x v="17"/>
  </r>
  <r>
    <x v="17"/>
  </r>
  <r>
    <x v="48"/>
  </r>
  <r>
    <x v="22"/>
  </r>
  <r>
    <x v="10"/>
  </r>
  <r>
    <x v="18"/>
  </r>
  <r>
    <x v="34"/>
  </r>
  <r>
    <x v="34"/>
  </r>
  <r>
    <x v="34"/>
  </r>
  <r>
    <x v="4"/>
  </r>
  <r>
    <x v="4"/>
  </r>
  <r>
    <x v="4"/>
  </r>
  <r>
    <x v="3"/>
  </r>
  <r>
    <x v="10"/>
  </r>
  <r>
    <x v="39"/>
  </r>
  <r>
    <x v="14"/>
  </r>
  <r>
    <x v="14"/>
  </r>
  <r>
    <x v="24"/>
  </r>
  <r>
    <x v="31"/>
  </r>
  <r>
    <x v="0"/>
  </r>
  <r>
    <x v="10"/>
  </r>
  <r>
    <x v="10"/>
  </r>
  <r>
    <x v="0"/>
  </r>
  <r>
    <x v="0"/>
  </r>
  <r>
    <x v="0"/>
  </r>
  <r>
    <x v="4"/>
  </r>
  <r>
    <x v="31"/>
  </r>
  <r>
    <x v="68"/>
  </r>
  <r>
    <x v="15"/>
  </r>
  <r>
    <x v="10"/>
  </r>
  <r>
    <x v="4"/>
  </r>
  <r>
    <x v="24"/>
  </r>
  <r>
    <x v="12"/>
  </r>
  <r>
    <x v="19"/>
  </r>
  <r>
    <x v="33"/>
  </r>
  <r>
    <x v="0"/>
  </r>
  <r>
    <x v="4"/>
  </r>
  <r>
    <x v="33"/>
  </r>
  <r>
    <x v="33"/>
  </r>
  <r>
    <x v="4"/>
  </r>
  <r>
    <x v="24"/>
  </r>
  <r>
    <x v="15"/>
  </r>
  <r>
    <x v="7"/>
  </r>
  <r>
    <x v="12"/>
  </r>
  <r>
    <x v="24"/>
  </r>
  <r>
    <x v="4"/>
  </r>
  <r>
    <x v="64"/>
  </r>
  <r>
    <x v="2"/>
  </r>
  <r>
    <x v="86"/>
  </r>
  <r>
    <x v="37"/>
  </r>
  <r>
    <x v="14"/>
  </r>
  <r>
    <x v="0"/>
  </r>
  <r>
    <x v="16"/>
  </r>
  <r>
    <x v="17"/>
  </r>
  <r>
    <x v="68"/>
  </r>
  <r>
    <x v="31"/>
  </r>
  <r>
    <x v="0"/>
  </r>
  <r>
    <x v="37"/>
  </r>
  <r>
    <x v="11"/>
  </r>
  <r>
    <x v="9"/>
  </r>
  <r>
    <x v="24"/>
  </r>
  <r>
    <x v="45"/>
  </r>
  <r>
    <x v="6"/>
  </r>
  <r>
    <x v="8"/>
  </r>
  <r>
    <x v="6"/>
  </r>
  <r>
    <x v="12"/>
  </r>
  <r>
    <x v="8"/>
  </r>
  <r>
    <x v="8"/>
  </r>
  <r>
    <x v="8"/>
  </r>
  <r>
    <x v="12"/>
  </r>
  <r>
    <x v="12"/>
  </r>
  <r>
    <x v="12"/>
  </r>
  <r>
    <x v="21"/>
  </r>
  <r>
    <x v="68"/>
  </r>
  <r>
    <x v="25"/>
  </r>
  <r>
    <x v="10"/>
  </r>
  <r>
    <x v="33"/>
  </r>
  <r>
    <x v="1"/>
  </r>
  <r>
    <x v="17"/>
  </r>
  <r>
    <x v="44"/>
  </r>
  <r>
    <x v="24"/>
  </r>
  <r>
    <x v="21"/>
  </r>
  <r>
    <x v="24"/>
  </r>
  <r>
    <x v="21"/>
  </r>
  <r>
    <x v="26"/>
  </r>
  <r>
    <x v="21"/>
  </r>
  <r>
    <x v="44"/>
  </r>
  <r>
    <x v="21"/>
  </r>
  <r>
    <x v="24"/>
  </r>
  <r>
    <x v="24"/>
  </r>
  <r>
    <x v="24"/>
  </r>
  <r>
    <x v="26"/>
  </r>
  <r>
    <x v="4"/>
  </r>
  <r>
    <x v="10"/>
  </r>
  <r>
    <x v="22"/>
  </r>
  <r>
    <x v="12"/>
  </r>
  <r>
    <x v="6"/>
  </r>
  <r>
    <x v="0"/>
  </r>
  <r>
    <x v="4"/>
  </r>
  <r>
    <x v="21"/>
  </r>
  <r>
    <x v="0"/>
  </r>
  <r>
    <x v="28"/>
  </r>
  <r>
    <x v="21"/>
  </r>
  <r>
    <x v="2"/>
  </r>
  <r>
    <x v="14"/>
  </r>
  <r>
    <x v="14"/>
  </r>
  <r>
    <x v="14"/>
  </r>
  <r>
    <x v="11"/>
  </r>
  <r>
    <x v="11"/>
  </r>
  <r>
    <x v="45"/>
  </r>
  <r>
    <x v="10"/>
  </r>
  <r>
    <x v="10"/>
  </r>
  <r>
    <x v="53"/>
  </r>
  <r>
    <x v="4"/>
  </r>
  <r>
    <x v="43"/>
  </r>
  <r>
    <x v="2"/>
  </r>
  <r>
    <x v="45"/>
  </r>
  <r>
    <x v="17"/>
  </r>
  <r>
    <x v="12"/>
  </r>
  <r>
    <x v="9"/>
  </r>
  <r>
    <x v="24"/>
  </r>
  <r>
    <x v="44"/>
  </r>
  <r>
    <x v="44"/>
  </r>
  <r>
    <x v="33"/>
  </r>
  <r>
    <x v="33"/>
  </r>
  <r>
    <x v="14"/>
  </r>
  <r>
    <x v="28"/>
  </r>
  <r>
    <x v="28"/>
  </r>
  <r>
    <x v="28"/>
  </r>
  <r>
    <x v="16"/>
  </r>
  <r>
    <x v="28"/>
  </r>
  <r>
    <x v="0"/>
  </r>
  <r>
    <x v="42"/>
  </r>
  <r>
    <x v="14"/>
  </r>
  <r>
    <x v="25"/>
  </r>
  <r>
    <x v="10"/>
  </r>
  <r>
    <x v="16"/>
  </r>
  <r>
    <x v="16"/>
  </r>
  <r>
    <x v="46"/>
  </r>
  <r>
    <x v="17"/>
  </r>
  <r>
    <x v="43"/>
  </r>
  <r>
    <x v="10"/>
  </r>
  <r>
    <x v="70"/>
  </r>
  <r>
    <x v="9"/>
  </r>
  <r>
    <x v="14"/>
  </r>
  <r>
    <x v="37"/>
  </r>
  <r>
    <x v="57"/>
  </r>
  <r>
    <x v="15"/>
  </r>
  <r>
    <x v="37"/>
  </r>
  <r>
    <x v="16"/>
  </r>
  <r>
    <x v="21"/>
  </r>
  <r>
    <x v="21"/>
  </r>
  <r>
    <x v="16"/>
  </r>
  <r>
    <x v="28"/>
  </r>
  <r>
    <x v="14"/>
  </r>
  <r>
    <x v="14"/>
  </r>
  <r>
    <x v="42"/>
  </r>
  <r>
    <x v="4"/>
  </r>
  <r>
    <x v="22"/>
  </r>
  <r>
    <x v="0"/>
  </r>
  <r>
    <x v="14"/>
  </r>
  <r>
    <x v="24"/>
  </r>
  <r>
    <x v="42"/>
  </r>
  <r>
    <x v="31"/>
  </r>
  <r>
    <x v="162"/>
  </r>
  <r>
    <x v="0"/>
  </r>
  <r>
    <x v="14"/>
  </r>
  <r>
    <x v="48"/>
  </r>
  <r>
    <x v="22"/>
  </r>
  <r>
    <x v="10"/>
  </r>
  <r>
    <x v="21"/>
  </r>
  <r>
    <x v="21"/>
  </r>
  <r>
    <x v="111"/>
  </r>
  <r>
    <x v="240"/>
  </r>
  <r>
    <x v="12"/>
  </r>
  <r>
    <x v="28"/>
  </r>
  <r>
    <x v="42"/>
  </r>
  <r>
    <x v="0"/>
  </r>
  <r>
    <x v="0"/>
  </r>
  <r>
    <x v="0"/>
  </r>
  <r>
    <x v="37"/>
  </r>
  <r>
    <x v="0"/>
  </r>
  <r>
    <x v="17"/>
  </r>
  <r>
    <x v="72"/>
  </r>
  <r>
    <x v="48"/>
  </r>
  <r>
    <x v="22"/>
  </r>
  <r>
    <x v="44"/>
  </r>
  <r>
    <x v="37"/>
  </r>
  <r>
    <x v="15"/>
  </r>
  <r>
    <x v="33"/>
  </r>
  <r>
    <x v="31"/>
  </r>
  <r>
    <x v="48"/>
  </r>
  <r>
    <x v="48"/>
  </r>
  <r>
    <x v="10"/>
  </r>
  <r>
    <x v="48"/>
  </r>
  <r>
    <x v="8"/>
  </r>
  <r>
    <x v="15"/>
  </r>
  <r>
    <x v="48"/>
  </r>
  <r>
    <x v="12"/>
  </r>
  <r>
    <x v="0"/>
  </r>
  <r>
    <x v="9"/>
  </r>
  <r>
    <x v="32"/>
  </r>
  <r>
    <x v="45"/>
  </r>
  <r>
    <x v="25"/>
  </r>
  <r>
    <x v="0"/>
  </r>
  <r>
    <x v="48"/>
  </r>
  <r>
    <x v="6"/>
  </r>
  <r>
    <x v="21"/>
  </r>
  <r>
    <x v="21"/>
  </r>
  <r>
    <x v="21"/>
  </r>
  <r>
    <x v="0"/>
  </r>
  <r>
    <x v="28"/>
  </r>
  <r>
    <x v="24"/>
  </r>
  <r>
    <x v="24"/>
  </r>
  <r>
    <x v="33"/>
  </r>
  <r>
    <x v="33"/>
  </r>
  <r>
    <x v="0"/>
  </r>
  <r>
    <x v="37"/>
  </r>
  <r>
    <x v="48"/>
  </r>
  <r>
    <x v="12"/>
  </r>
  <r>
    <x v="10"/>
  </r>
  <r>
    <x v="1"/>
  </r>
  <r>
    <x v="164"/>
  </r>
  <r>
    <x v="8"/>
  </r>
  <r>
    <x v="11"/>
  </r>
  <r>
    <x v="14"/>
  </r>
  <r>
    <x v="6"/>
  </r>
  <r>
    <x v="4"/>
  </r>
  <r>
    <x v="10"/>
  </r>
  <r>
    <x v="17"/>
  </r>
  <r>
    <x v="87"/>
  </r>
  <r>
    <x v="0"/>
  </r>
  <r>
    <x v="130"/>
  </r>
  <r>
    <x v="2"/>
  </r>
  <r>
    <x v="2"/>
  </r>
  <r>
    <x v="28"/>
  </r>
  <r>
    <x v="28"/>
  </r>
  <r>
    <x v="31"/>
  </r>
  <r>
    <x v="0"/>
  </r>
  <r>
    <x v="4"/>
  </r>
  <r>
    <x v="8"/>
  </r>
  <r>
    <x v="48"/>
  </r>
  <r>
    <x v="4"/>
  </r>
  <r>
    <x v="4"/>
  </r>
  <r>
    <x v="22"/>
  </r>
  <r>
    <x v="4"/>
  </r>
  <r>
    <x v="22"/>
  </r>
  <r>
    <x v="6"/>
  </r>
  <r>
    <x v="9"/>
  </r>
  <r>
    <x v="37"/>
  </r>
  <r>
    <x v="159"/>
  </r>
  <r>
    <x v="17"/>
  </r>
  <r>
    <x v="17"/>
  </r>
  <r>
    <x v="12"/>
  </r>
  <r>
    <x v="4"/>
  </r>
  <r>
    <x v="14"/>
  </r>
  <r>
    <x v="45"/>
  </r>
  <r>
    <x v="45"/>
  </r>
  <r>
    <x v="45"/>
  </r>
  <r>
    <x v="4"/>
  </r>
  <r>
    <x v="53"/>
  </r>
  <r>
    <x v="14"/>
  </r>
  <r>
    <x v="17"/>
  </r>
  <r>
    <x v="45"/>
  </r>
  <r>
    <x v="4"/>
  </r>
  <r>
    <x v="0"/>
  </r>
  <r>
    <x v="0"/>
  </r>
  <r>
    <x v="42"/>
  </r>
  <r>
    <x v="0"/>
  </r>
  <r>
    <x v="22"/>
  </r>
  <r>
    <x v="0"/>
  </r>
  <r>
    <x v="14"/>
  </r>
  <r>
    <x v="9"/>
  </r>
  <r>
    <x v="53"/>
  </r>
  <r>
    <x v="42"/>
  </r>
  <r>
    <x v="4"/>
  </r>
  <r>
    <x v="11"/>
  </r>
  <r>
    <x v="15"/>
  </r>
  <r>
    <x v="4"/>
  </r>
  <r>
    <x v="17"/>
  </r>
  <r>
    <x v="10"/>
  </r>
  <r>
    <x v="7"/>
  </r>
  <r>
    <x v="9"/>
  </r>
  <r>
    <x v="4"/>
  </r>
  <r>
    <x v="11"/>
  </r>
  <r>
    <x v="53"/>
  </r>
  <r>
    <x v="37"/>
  </r>
  <r>
    <x v="0"/>
  </r>
  <r>
    <x v="0"/>
  </r>
  <r>
    <x v="0"/>
  </r>
  <r>
    <x v="0"/>
  </r>
  <r>
    <x v="24"/>
  </r>
  <r>
    <x v="0"/>
  </r>
  <r>
    <x v="28"/>
  </r>
  <r>
    <x v="42"/>
  </r>
  <r>
    <x v="15"/>
  </r>
  <r>
    <x v="17"/>
  </r>
  <r>
    <x v="17"/>
  </r>
  <r>
    <x v="42"/>
  </r>
  <r>
    <x v="2"/>
  </r>
  <r>
    <x v="0"/>
  </r>
  <r>
    <x v="12"/>
  </r>
  <r>
    <x v="14"/>
  </r>
  <r>
    <x v="165"/>
  </r>
  <r>
    <x v="7"/>
  </r>
  <r>
    <x v="15"/>
  </r>
  <r>
    <x v="12"/>
  </r>
  <r>
    <x v="12"/>
  </r>
  <r>
    <x v="9"/>
  </r>
  <r>
    <x v="12"/>
  </r>
  <r>
    <x v="31"/>
  </r>
  <r>
    <x v="11"/>
  </r>
  <r>
    <x v="11"/>
  </r>
  <r>
    <x v="4"/>
  </r>
  <r>
    <x v="11"/>
  </r>
  <r>
    <x v="11"/>
  </r>
  <r>
    <x v="25"/>
  </r>
  <r>
    <x v="22"/>
  </r>
  <r>
    <x v="22"/>
  </r>
  <r>
    <x v="22"/>
  </r>
  <r>
    <x v="24"/>
  </r>
  <r>
    <x v="28"/>
  </r>
  <r>
    <x v="60"/>
  </r>
  <r>
    <x v="8"/>
  </r>
  <r>
    <x v="17"/>
  </r>
  <r>
    <x v="28"/>
  </r>
  <r>
    <x v="17"/>
  </r>
  <r>
    <x v="17"/>
  </r>
  <r>
    <x v="112"/>
  </r>
  <r>
    <x v="14"/>
  </r>
  <r>
    <x v="0"/>
  </r>
  <r>
    <x v="55"/>
  </r>
  <r>
    <x v="55"/>
  </r>
  <r>
    <x v="48"/>
  </r>
  <r>
    <x v="48"/>
  </r>
  <r>
    <x v="24"/>
  </r>
  <r>
    <x v="21"/>
  </r>
  <r>
    <x v="48"/>
  </r>
  <r>
    <x v="48"/>
  </r>
  <r>
    <x v="48"/>
  </r>
  <r>
    <x v="48"/>
  </r>
  <r>
    <x v="48"/>
  </r>
  <r>
    <x v="48"/>
  </r>
  <r>
    <x v="48"/>
  </r>
  <r>
    <x v="12"/>
  </r>
  <r>
    <x v="4"/>
  </r>
  <r>
    <x v="12"/>
  </r>
  <r>
    <x v="12"/>
  </r>
  <r>
    <x v="12"/>
  </r>
  <r>
    <x v="0"/>
  </r>
  <r>
    <x v="34"/>
  </r>
  <r>
    <x v="34"/>
  </r>
  <r>
    <x v="17"/>
  </r>
  <r>
    <x v="76"/>
  </r>
  <r>
    <x v="64"/>
  </r>
  <r>
    <x v="60"/>
  </r>
  <r>
    <x v="60"/>
  </r>
  <r>
    <x v="17"/>
  </r>
  <r>
    <x v="17"/>
  </r>
  <r>
    <x v="0"/>
  </r>
  <r>
    <x v="0"/>
  </r>
  <r>
    <x v="0"/>
  </r>
  <r>
    <x v="14"/>
  </r>
  <r>
    <x v="47"/>
  </r>
  <r>
    <x v="6"/>
  </r>
  <r>
    <x v="71"/>
  </r>
  <r>
    <x v="0"/>
  </r>
  <r>
    <x v="37"/>
  </r>
  <r>
    <x v="143"/>
  </r>
  <r>
    <x v="17"/>
  </r>
  <r>
    <x v="17"/>
  </r>
  <r>
    <x v="24"/>
  </r>
  <r>
    <x v="49"/>
  </r>
  <r>
    <x v="10"/>
  </r>
  <r>
    <x v="2"/>
  </r>
  <r>
    <x v="28"/>
  </r>
  <r>
    <x v="16"/>
  </r>
  <r>
    <x v="22"/>
  </r>
  <r>
    <x v="42"/>
  </r>
  <r>
    <x v="14"/>
  </r>
  <r>
    <x v="6"/>
  </r>
  <r>
    <x v="14"/>
  </r>
  <r>
    <x v="28"/>
  </r>
  <r>
    <x v="22"/>
  </r>
  <r>
    <x v="131"/>
  </r>
  <r>
    <x v="131"/>
  </r>
  <r>
    <x v="48"/>
  </r>
  <r>
    <x v="57"/>
  </r>
  <r>
    <x v="136"/>
  </r>
  <r>
    <x v="14"/>
  </r>
  <r>
    <x v="12"/>
  </r>
  <r>
    <x v="12"/>
  </r>
  <r>
    <x v="11"/>
  </r>
  <r>
    <x v="8"/>
  </r>
  <r>
    <x v="55"/>
  </r>
  <r>
    <x v="131"/>
  </r>
  <r>
    <x v="9"/>
  </r>
  <r>
    <x v="48"/>
  </r>
  <r>
    <x v="177"/>
  </r>
  <r>
    <x v="4"/>
  </r>
  <r>
    <x v="12"/>
  </r>
  <r>
    <x v="9"/>
  </r>
  <r>
    <x v="0"/>
  </r>
  <r>
    <x v="11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44"/>
  </r>
  <r>
    <x v="44"/>
  </r>
  <r>
    <x v="12"/>
  </r>
  <r>
    <x v="28"/>
  </r>
  <r>
    <x v="9"/>
  </r>
  <r>
    <x v="11"/>
  </r>
  <r>
    <x v="17"/>
  </r>
  <r>
    <x v="48"/>
  </r>
  <r>
    <x v="24"/>
  </r>
  <r>
    <x v="0"/>
  </r>
  <r>
    <x v="115"/>
  </r>
  <r>
    <x v="9"/>
  </r>
  <r>
    <x v="0"/>
  </r>
  <r>
    <x v="126"/>
  </r>
  <r>
    <x v="48"/>
  </r>
  <r>
    <x v="37"/>
  </r>
  <r>
    <x v="37"/>
  </r>
  <r>
    <x v="17"/>
  </r>
  <r>
    <x v="48"/>
  </r>
  <r>
    <x v="0"/>
  </r>
  <r>
    <x v="48"/>
  </r>
  <r>
    <x v="37"/>
  </r>
  <r>
    <x v="10"/>
  </r>
  <r>
    <x v="17"/>
  </r>
  <r>
    <x v="12"/>
  </r>
  <r>
    <x v="28"/>
  </r>
  <r>
    <x v="7"/>
  </r>
  <r>
    <x v="14"/>
  </r>
  <r>
    <x v="7"/>
  </r>
  <r>
    <x v="14"/>
  </r>
  <r>
    <x v="17"/>
  </r>
  <r>
    <x v="184"/>
  </r>
  <r>
    <x v="17"/>
  </r>
  <r>
    <x v="41"/>
  </r>
  <r>
    <x v="41"/>
  </r>
  <r>
    <x v="26"/>
  </r>
  <r>
    <x v="41"/>
  </r>
  <r>
    <x v="26"/>
  </r>
  <r>
    <x v="77"/>
  </r>
  <r>
    <x v="22"/>
  </r>
  <r>
    <x v="115"/>
  </r>
  <r>
    <x v="7"/>
  </r>
  <r>
    <x v="0"/>
  </r>
  <r>
    <x v="60"/>
  </r>
  <r>
    <x v="31"/>
  </r>
  <r>
    <x v="10"/>
  </r>
  <r>
    <x v="9"/>
  </r>
  <r>
    <x v="21"/>
  </r>
  <r>
    <x v="61"/>
  </r>
  <r>
    <x v="7"/>
  </r>
  <r>
    <x v="22"/>
  </r>
  <r>
    <x v="14"/>
  </r>
  <r>
    <x v="17"/>
  </r>
  <r>
    <x v="14"/>
  </r>
  <r>
    <x v="7"/>
  </r>
  <r>
    <x v="45"/>
  </r>
  <r>
    <x v="55"/>
  </r>
  <r>
    <x v="28"/>
  </r>
  <r>
    <x v="28"/>
  </r>
  <r>
    <x v="28"/>
  </r>
  <r>
    <x v="24"/>
  </r>
  <r>
    <x v="24"/>
  </r>
  <r>
    <x v="14"/>
  </r>
  <r>
    <x v="47"/>
  </r>
  <r>
    <x v="7"/>
  </r>
  <r>
    <x v="71"/>
  </r>
  <r>
    <x v="7"/>
  </r>
  <r>
    <x v="37"/>
  </r>
  <r>
    <x v="48"/>
  </r>
  <r>
    <x v="245"/>
  </r>
  <r>
    <x v="45"/>
  </r>
  <r>
    <x v="28"/>
  </r>
  <r>
    <x v="71"/>
  </r>
  <r>
    <x v="78"/>
  </r>
  <r>
    <x v="37"/>
  </r>
  <r>
    <x v="55"/>
  </r>
  <r>
    <x v="37"/>
  </r>
  <r>
    <x v="37"/>
  </r>
  <r>
    <x v="55"/>
  </r>
  <r>
    <x v="37"/>
  </r>
  <r>
    <x v="55"/>
  </r>
  <r>
    <x v="37"/>
  </r>
  <r>
    <x v="37"/>
  </r>
  <r>
    <x v="22"/>
  </r>
  <r>
    <x v="14"/>
  </r>
  <r>
    <x v="2"/>
  </r>
  <r>
    <x v="60"/>
  </r>
  <r>
    <x v="47"/>
  </r>
  <r>
    <x v="47"/>
  </r>
  <r>
    <x v="17"/>
  </r>
  <r>
    <x v="17"/>
  </r>
  <r>
    <x v="17"/>
  </r>
  <r>
    <x v="37"/>
  </r>
  <r>
    <x v="14"/>
  </r>
  <r>
    <x v="49"/>
  </r>
  <r>
    <x v="24"/>
  </r>
  <r>
    <x v="24"/>
  </r>
  <r>
    <x v="24"/>
  </r>
  <r>
    <x v="48"/>
  </r>
  <r>
    <x v="17"/>
  </r>
  <r>
    <x v="12"/>
  </r>
  <r>
    <x v="40"/>
  </r>
  <r>
    <x v="40"/>
  </r>
  <r>
    <x v="11"/>
  </r>
  <r>
    <x v="24"/>
  </r>
  <r>
    <x v="8"/>
  </r>
  <r>
    <x v="77"/>
  </r>
  <r>
    <x v="10"/>
  </r>
  <r>
    <x v="6"/>
  </r>
  <r>
    <x v="47"/>
  </r>
  <r>
    <x v="47"/>
  </r>
  <r>
    <x v="37"/>
  </r>
  <r>
    <x v="48"/>
  </r>
  <r>
    <x v="48"/>
  </r>
  <r>
    <x v="21"/>
  </r>
  <r>
    <x v="21"/>
  </r>
  <r>
    <x v="14"/>
  </r>
  <r>
    <x v="48"/>
  </r>
  <r>
    <x v="78"/>
  </r>
  <r>
    <x v="0"/>
  </r>
  <r>
    <x v="0"/>
  </r>
  <r>
    <x v="0"/>
  </r>
  <r>
    <x v="29"/>
  </r>
  <r>
    <x v="76"/>
  </r>
  <r>
    <x v="29"/>
  </r>
  <r>
    <x v="0"/>
  </r>
  <r>
    <x v="8"/>
  </r>
  <r>
    <x v="10"/>
  </r>
  <r>
    <x v="28"/>
  </r>
  <r>
    <x v="28"/>
  </r>
  <r>
    <x v="48"/>
  </r>
  <r>
    <x v="37"/>
  </r>
  <r>
    <x v="0"/>
  </r>
  <r>
    <x v="21"/>
  </r>
  <r>
    <x v="0"/>
  </r>
  <r>
    <x v="81"/>
  </r>
  <r>
    <x v="11"/>
  </r>
  <r>
    <x v="14"/>
  </r>
  <r>
    <x v="115"/>
  </r>
  <r>
    <x v="115"/>
  </r>
  <r>
    <x v="10"/>
  </r>
  <r>
    <x v="12"/>
  </r>
  <r>
    <x v="28"/>
  </r>
  <r>
    <x v="28"/>
  </r>
  <r>
    <x v="6"/>
  </r>
  <r>
    <x v="24"/>
  </r>
  <r>
    <x v="16"/>
  </r>
  <r>
    <x v="16"/>
  </r>
  <r>
    <x v="7"/>
  </r>
  <r>
    <x v="7"/>
  </r>
  <r>
    <x v="7"/>
  </r>
  <r>
    <x v="7"/>
  </r>
  <r>
    <x v="28"/>
  </r>
  <r>
    <x v="21"/>
  </r>
  <r>
    <x v="32"/>
  </r>
  <r>
    <x v="32"/>
  </r>
  <r>
    <x v="32"/>
  </r>
  <r>
    <x v="246"/>
  </r>
  <r>
    <x v="246"/>
  </r>
  <r>
    <x v="45"/>
  </r>
  <r>
    <x v="45"/>
  </r>
  <r>
    <x v="55"/>
  </r>
  <r>
    <x v="32"/>
  </r>
  <r>
    <x v="32"/>
  </r>
  <r>
    <x v="247"/>
  </r>
  <r>
    <x v="247"/>
  </r>
  <r>
    <x v="76"/>
  </r>
  <r>
    <x v="16"/>
  </r>
  <r>
    <x v="21"/>
  </r>
  <r>
    <x v="143"/>
  </r>
  <r>
    <x v="24"/>
  </r>
  <r>
    <x v="24"/>
  </r>
  <r>
    <x v="14"/>
  </r>
  <r>
    <x v="4"/>
  </r>
  <r>
    <x v="2"/>
  </r>
  <r>
    <x v="21"/>
  </r>
  <r>
    <x v="21"/>
  </r>
  <r>
    <x v="12"/>
  </r>
  <r>
    <x v="247"/>
  </r>
  <r>
    <x v="247"/>
  </r>
  <r>
    <x v="247"/>
  </r>
  <r>
    <x v="247"/>
  </r>
  <r>
    <x v="2"/>
  </r>
  <r>
    <x v="14"/>
  </r>
  <r>
    <x v="2"/>
  </r>
  <r>
    <x v="2"/>
  </r>
  <r>
    <x v="0"/>
  </r>
  <r>
    <x v="6"/>
  </r>
  <r>
    <x v="42"/>
  </r>
  <r>
    <x v="14"/>
  </r>
  <r>
    <x v="9"/>
  </r>
  <r>
    <x v="6"/>
  </r>
  <r>
    <x v="48"/>
  </r>
  <r>
    <x v="222"/>
  </r>
  <r>
    <x v="60"/>
  </r>
  <r>
    <x v="60"/>
  </r>
  <r>
    <x v="24"/>
  </r>
  <r>
    <x v="17"/>
  </r>
  <r>
    <x v="0"/>
  </r>
  <r>
    <x v="0"/>
  </r>
  <r>
    <x v="14"/>
  </r>
  <r>
    <x v="0"/>
  </r>
  <r>
    <x v="0"/>
  </r>
  <r>
    <x v="17"/>
  </r>
  <r>
    <x v="37"/>
  </r>
  <r>
    <x v="24"/>
  </r>
  <r>
    <x v="40"/>
  </r>
  <r>
    <x v="28"/>
  </r>
  <r>
    <x v="37"/>
  </r>
  <r>
    <x v="37"/>
  </r>
  <r>
    <x v="52"/>
  </r>
  <r>
    <x v="27"/>
  </r>
  <r>
    <x v="2"/>
  </r>
  <r>
    <x v="123"/>
  </r>
  <r>
    <x v="37"/>
  </r>
  <r>
    <x v="31"/>
  </r>
  <r>
    <x v="14"/>
  </r>
  <r>
    <x v="14"/>
  </r>
  <r>
    <x v="0"/>
  </r>
  <r>
    <x v="46"/>
  </r>
  <r>
    <x v="6"/>
  </r>
  <r>
    <x v="4"/>
  </r>
  <r>
    <x v="10"/>
  </r>
  <r>
    <x v="48"/>
  </r>
  <r>
    <x v="115"/>
  </r>
  <r>
    <x v="24"/>
  </r>
  <r>
    <x v="24"/>
  </r>
  <r>
    <x v="4"/>
  </r>
  <r>
    <x v="26"/>
  </r>
  <r>
    <x v="9"/>
  </r>
  <r>
    <x v="45"/>
  </r>
  <r>
    <x v="10"/>
  </r>
  <r>
    <x v="115"/>
  </r>
  <r>
    <x v="4"/>
  </r>
  <r>
    <x v="102"/>
  </r>
  <r>
    <x v="47"/>
  </r>
  <r>
    <x v="47"/>
  </r>
  <r>
    <x v="6"/>
  </r>
  <r>
    <x v="52"/>
  </r>
  <r>
    <x v="12"/>
  </r>
  <r>
    <x v="14"/>
  </r>
  <r>
    <x v="14"/>
  </r>
  <r>
    <x v="0"/>
  </r>
  <r>
    <x v="111"/>
  </r>
  <r>
    <x v="17"/>
  </r>
  <r>
    <x v="17"/>
  </r>
  <r>
    <x v="0"/>
  </r>
  <r>
    <x v="49"/>
  </r>
  <r>
    <x v="49"/>
  </r>
  <r>
    <x v="10"/>
  </r>
  <r>
    <x v="61"/>
  </r>
  <r>
    <x v="2"/>
  </r>
  <r>
    <x v="2"/>
  </r>
  <r>
    <x v="4"/>
  </r>
  <r>
    <x v="17"/>
  </r>
  <r>
    <x v="17"/>
  </r>
  <r>
    <x v="17"/>
  </r>
  <r>
    <x v="17"/>
  </r>
  <r>
    <x v="21"/>
  </r>
  <r>
    <x v="6"/>
  </r>
  <r>
    <x v="58"/>
  </r>
  <r>
    <x v="16"/>
  </r>
  <r>
    <x v="16"/>
  </r>
  <r>
    <x v="12"/>
  </r>
  <r>
    <x v="2"/>
  </r>
  <r>
    <x v="2"/>
  </r>
  <r>
    <x v="44"/>
  </r>
  <r>
    <x v="25"/>
  </r>
  <r>
    <x v="25"/>
  </r>
  <r>
    <x v="14"/>
  </r>
  <r>
    <x v="14"/>
  </r>
  <r>
    <x v="2"/>
  </r>
  <r>
    <x v="2"/>
  </r>
  <r>
    <x v="10"/>
  </r>
  <r>
    <x v="2"/>
  </r>
  <r>
    <x v="2"/>
  </r>
  <r>
    <x v="14"/>
  </r>
  <r>
    <x v="10"/>
  </r>
  <r>
    <x v="0"/>
  </r>
  <r>
    <x v="48"/>
  </r>
  <r>
    <x v="21"/>
  </r>
  <r>
    <x v="2"/>
  </r>
  <r>
    <x v="45"/>
  </r>
  <r>
    <x v="14"/>
  </r>
  <r>
    <x v="17"/>
  </r>
  <r>
    <x v="72"/>
  </r>
  <r>
    <x v="24"/>
  </r>
  <r>
    <x v="37"/>
  </r>
  <r>
    <x v="37"/>
  </r>
  <r>
    <x v="10"/>
  </r>
  <r>
    <x v="48"/>
  </r>
  <r>
    <x v="24"/>
  </r>
  <r>
    <x v="0"/>
  </r>
  <r>
    <x v="76"/>
  </r>
  <r>
    <x v="14"/>
  </r>
  <r>
    <x v="15"/>
  </r>
  <r>
    <x v="15"/>
  </r>
  <r>
    <x v="2"/>
  </r>
  <r>
    <x v="111"/>
  </r>
  <r>
    <x v="42"/>
  </r>
  <r>
    <x v="42"/>
  </r>
  <r>
    <x v="24"/>
  </r>
  <r>
    <x v="48"/>
  </r>
  <r>
    <x v="24"/>
  </r>
  <r>
    <x v="40"/>
  </r>
  <r>
    <x v="12"/>
  </r>
  <r>
    <x v="17"/>
  </r>
  <r>
    <x v="21"/>
  </r>
  <r>
    <x v="24"/>
  </r>
  <r>
    <x v="14"/>
  </r>
  <r>
    <x v="91"/>
  </r>
  <r>
    <x v="45"/>
  </r>
  <r>
    <x v="2"/>
  </r>
  <r>
    <x v="15"/>
  </r>
  <r>
    <x v="17"/>
  </r>
  <r>
    <x v="91"/>
  </r>
  <r>
    <x v="2"/>
  </r>
  <r>
    <x v="49"/>
  </r>
  <r>
    <x v="48"/>
  </r>
  <r>
    <x v="48"/>
  </r>
  <r>
    <x v="45"/>
  </r>
  <r>
    <x v="28"/>
  </r>
  <r>
    <x v="14"/>
  </r>
  <r>
    <x v="8"/>
  </r>
  <r>
    <x v="8"/>
  </r>
  <r>
    <x v="4"/>
  </r>
  <r>
    <x v="53"/>
  </r>
  <r>
    <x v="77"/>
  </r>
  <r>
    <x v="64"/>
  </r>
  <r>
    <x v="64"/>
  </r>
  <r>
    <x v="7"/>
  </r>
  <r>
    <x v="12"/>
  </r>
  <r>
    <x v="24"/>
  </r>
  <r>
    <x v="39"/>
  </r>
  <r>
    <x v="14"/>
  </r>
  <r>
    <x v="14"/>
  </r>
  <r>
    <x v="14"/>
  </r>
  <r>
    <x v="40"/>
  </r>
  <r>
    <x v="21"/>
  </r>
  <r>
    <x v="46"/>
  </r>
  <r>
    <x v="46"/>
  </r>
  <r>
    <x v="42"/>
  </r>
  <r>
    <x v="48"/>
  </r>
  <r>
    <x v="64"/>
  </r>
  <r>
    <x v="14"/>
  </r>
  <r>
    <x v="10"/>
  </r>
  <r>
    <x v="0"/>
  </r>
  <r>
    <x v="21"/>
  </r>
  <r>
    <x v="10"/>
  </r>
  <r>
    <x v="64"/>
  </r>
  <r>
    <x v="11"/>
  </r>
  <r>
    <x v="12"/>
  </r>
  <r>
    <x v="64"/>
  </r>
  <r>
    <x v="10"/>
  </r>
  <r>
    <x v="131"/>
  </r>
  <r>
    <x v="41"/>
  </r>
  <r>
    <x v="41"/>
  </r>
  <r>
    <x v="22"/>
  </r>
  <r>
    <x v="51"/>
  </r>
  <r>
    <x v="24"/>
  </r>
  <r>
    <x v="24"/>
  </r>
  <r>
    <x v="24"/>
  </r>
  <r>
    <x v="17"/>
  </r>
  <r>
    <x v="0"/>
  </r>
  <r>
    <x v="47"/>
  </r>
  <r>
    <x v="21"/>
  </r>
  <r>
    <x v="45"/>
  </r>
  <r>
    <x v="14"/>
  </r>
  <r>
    <x v="2"/>
  </r>
  <r>
    <x v="45"/>
  </r>
  <r>
    <x v="11"/>
  </r>
  <r>
    <x v="12"/>
  </r>
  <r>
    <x v="11"/>
  </r>
  <r>
    <x v="12"/>
  </r>
  <r>
    <x v="12"/>
  </r>
  <r>
    <x v="11"/>
  </r>
  <r>
    <x v="11"/>
  </r>
  <r>
    <x v="115"/>
  </r>
  <r>
    <x v="115"/>
  </r>
  <r>
    <x v="0"/>
  </r>
  <r>
    <x v="1"/>
  </r>
  <r>
    <x v="63"/>
  </r>
  <r>
    <x v="63"/>
  </r>
  <r>
    <x v="4"/>
  </r>
  <r>
    <x v="10"/>
  </r>
  <r>
    <x v="28"/>
  </r>
  <r>
    <x v="119"/>
  </r>
  <r>
    <x v="61"/>
  </r>
  <r>
    <x v="53"/>
  </r>
  <r>
    <x v="22"/>
  </r>
  <r>
    <x v="10"/>
  </r>
  <r>
    <x v="37"/>
  </r>
  <r>
    <x v="0"/>
  </r>
  <r>
    <x v="17"/>
  </r>
  <r>
    <x v="27"/>
  </r>
  <r>
    <x v="17"/>
  </r>
  <r>
    <x v="14"/>
  </r>
  <r>
    <x v="111"/>
  </r>
  <r>
    <x v="11"/>
  </r>
  <r>
    <x v="15"/>
  </r>
  <r>
    <x v="10"/>
  </r>
  <r>
    <x v="0"/>
  </r>
  <r>
    <x v="0"/>
  </r>
  <r>
    <x v="21"/>
  </r>
  <r>
    <x v="24"/>
  </r>
  <r>
    <x v="14"/>
  </r>
  <r>
    <x v="11"/>
  </r>
  <r>
    <x v="83"/>
  </r>
  <r>
    <x v="83"/>
  </r>
  <r>
    <x v="115"/>
  </r>
  <r>
    <x v="46"/>
  </r>
  <r>
    <x v="10"/>
  </r>
  <r>
    <x v="7"/>
  </r>
  <r>
    <x v="36"/>
  </r>
  <r>
    <x v="25"/>
  </r>
  <r>
    <x v="28"/>
  </r>
  <r>
    <x v="7"/>
  </r>
  <r>
    <x v="14"/>
  </r>
  <r>
    <x v="0"/>
  </r>
  <r>
    <x v="40"/>
  </r>
  <r>
    <x v="22"/>
  </r>
  <r>
    <x v="21"/>
  </r>
  <r>
    <x v="11"/>
  </r>
  <r>
    <x v="11"/>
  </r>
  <r>
    <x v="9"/>
  </r>
  <r>
    <x v="9"/>
  </r>
  <r>
    <x v="14"/>
  </r>
  <r>
    <x v="21"/>
  </r>
  <r>
    <x v="27"/>
  </r>
  <r>
    <x v="40"/>
  </r>
  <r>
    <x v="43"/>
  </r>
  <r>
    <x v="14"/>
  </r>
  <r>
    <x v="14"/>
  </r>
  <r>
    <x v="11"/>
  </r>
  <r>
    <x v="24"/>
  </r>
  <r>
    <x v="24"/>
  </r>
  <r>
    <x v="12"/>
  </r>
  <r>
    <x v="42"/>
  </r>
  <r>
    <x v="12"/>
  </r>
  <r>
    <x v="4"/>
  </r>
  <r>
    <x v="11"/>
  </r>
  <r>
    <x v="24"/>
  </r>
  <r>
    <x v="37"/>
  </r>
  <r>
    <x v="37"/>
  </r>
  <r>
    <x v="9"/>
  </r>
  <r>
    <x v="53"/>
  </r>
  <r>
    <x v="24"/>
  </r>
  <r>
    <x v="14"/>
  </r>
  <r>
    <x v="14"/>
  </r>
  <r>
    <x v="14"/>
  </r>
  <r>
    <x v="4"/>
  </r>
  <r>
    <x v="24"/>
  </r>
  <r>
    <x v="14"/>
  </r>
  <r>
    <x v="6"/>
  </r>
  <r>
    <x v="14"/>
  </r>
  <r>
    <x v="32"/>
  </r>
  <r>
    <x v="9"/>
  </r>
  <r>
    <x v="44"/>
  </r>
  <r>
    <x v="0"/>
  </r>
  <r>
    <x v="32"/>
  </r>
  <r>
    <x v="37"/>
  </r>
  <r>
    <x v="6"/>
  </r>
  <r>
    <x v="53"/>
  </r>
  <r>
    <x v="48"/>
  </r>
  <r>
    <x v="53"/>
  </r>
  <r>
    <x v="14"/>
  </r>
  <r>
    <x v="17"/>
  </r>
  <r>
    <x v="14"/>
  </r>
  <r>
    <x v="188"/>
  </r>
  <r>
    <x v="2"/>
  </r>
  <r>
    <x v="14"/>
  </r>
  <r>
    <x v="14"/>
  </r>
  <r>
    <x v="0"/>
  </r>
  <r>
    <x v="24"/>
  </r>
  <r>
    <x v="2"/>
  </r>
  <r>
    <x v="10"/>
  </r>
  <r>
    <x v="12"/>
  </r>
  <r>
    <x v="12"/>
  </r>
  <r>
    <x v="6"/>
  </r>
  <r>
    <x v="11"/>
  </r>
  <r>
    <x v="14"/>
  </r>
  <r>
    <x v="6"/>
  </r>
  <r>
    <x v="9"/>
  </r>
  <r>
    <x v="17"/>
  </r>
  <r>
    <x v="24"/>
  </r>
  <r>
    <x v="26"/>
  </r>
  <r>
    <x v="37"/>
  </r>
  <r>
    <x v="21"/>
  </r>
  <r>
    <x v="12"/>
  </r>
  <r>
    <x v="12"/>
  </r>
  <r>
    <x v="12"/>
  </r>
  <r>
    <x v="12"/>
  </r>
  <r>
    <x v="17"/>
  </r>
  <r>
    <x v="14"/>
  </r>
  <r>
    <x v="17"/>
  </r>
  <r>
    <x v="4"/>
  </r>
  <r>
    <x v="37"/>
  </r>
  <r>
    <x v="7"/>
  </r>
  <r>
    <x v="37"/>
  </r>
  <r>
    <x v="14"/>
  </r>
  <r>
    <x v="48"/>
  </r>
  <r>
    <x v="115"/>
  </r>
  <r>
    <x v="28"/>
  </r>
  <r>
    <x v="28"/>
  </r>
  <r>
    <x v="28"/>
  </r>
  <r>
    <x v="28"/>
  </r>
  <r>
    <x v="28"/>
  </r>
  <r>
    <x v="10"/>
  </r>
  <r>
    <x v="10"/>
  </r>
  <r>
    <x v="0"/>
  </r>
  <r>
    <x v="61"/>
  </r>
  <r>
    <x v="92"/>
  </r>
  <r>
    <x v="26"/>
  </r>
  <r>
    <x v="17"/>
  </r>
  <r>
    <x v="14"/>
  </r>
  <r>
    <x v="115"/>
  </r>
  <r>
    <x v="9"/>
  </r>
  <r>
    <x v="115"/>
  </r>
  <r>
    <x v="22"/>
  </r>
  <r>
    <x v="6"/>
  </r>
  <r>
    <x v="22"/>
  </r>
  <r>
    <x v="2"/>
  </r>
  <r>
    <x v="2"/>
  </r>
  <r>
    <x v="22"/>
  </r>
  <r>
    <x v="37"/>
  </r>
  <r>
    <x v="48"/>
  </r>
  <r>
    <x v="39"/>
  </r>
  <r>
    <x v="37"/>
  </r>
  <r>
    <x v="12"/>
  </r>
  <r>
    <x v="7"/>
  </r>
  <r>
    <x v="14"/>
  </r>
  <r>
    <x v="12"/>
  </r>
  <r>
    <x v="12"/>
  </r>
  <r>
    <x v="6"/>
  </r>
  <r>
    <x v="0"/>
  </r>
  <r>
    <x v="39"/>
  </r>
  <r>
    <x v="37"/>
  </r>
  <r>
    <x v="11"/>
  </r>
  <r>
    <x v="9"/>
  </r>
  <r>
    <x v="11"/>
  </r>
  <r>
    <x v="14"/>
  </r>
  <r>
    <x v="154"/>
  </r>
  <r>
    <x v="61"/>
  </r>
  <r>
    <x v="60"/>
  </r>
  <r>
    <x v="7"/>
  </r>
  <r>
    <x v="0"/>
  </r>
  <r>
    <x v="0"/>
  </r>
  <r>
    <x v="61"/>
  </r>
  <r>
    <x v="14"/>
  </r>
  <r>
    <x v="45"/>
  </r>
  <r>
    <x v="14"/>
  </r>
  <r>
    <x v="6"/>
  </r>
  <r>
    <x v="11"/>
  </r>
  <r>
    <x v="10"/>
  </r>
  <r>
    <x v="10"/>
  </r>
  <r>
    <x v="32"/>
  </r>
  <r>
    <x v="49"/>
  </r>
  <r>
    <x v="17"/>
  </r>
  <r>
    <x v="1"/>
  </r>
  <r>
    <x v="0"/>
  </r>
  <r>
    <x v="10"/>
  </r>
  <r>
    <x v="10"/>
  </r>
  <r>
    <x v="21"/>
  </r>
  <r>
    <x v="19"/>
  </r>
  <r>
    <x v="0"/>
  </r>
  <r>
    <x v="177"/>
  </r>
  <r>
    <x v="7"/>
  </r>
  <r>
    <x v="6"/>
  </r>
  <r>
    <x v="21"/>
  </r>
  <r>
    <x v="11"/>
  </r>
  <r>
    <x v="0"/>
  </r>
  <r>
    <x v="2"/>
  </r>
  <r>
    <x v="2"/>
  </r>
  <r>
    <x v="2"/>
  </r>
  <r>
    <x v="2"/>
  </r>
  <r>
    <x v="9"/>
  </r>
  <r>
    <x v="6"/>
  </r>
  <r>
    <x v="8"/>
  </r>
  <r>
    <x v="14"/>
  </r>
  <r>
    <x v="14"/>
  </r>
  <r>
    <x v="17"/>
  </r>
  <r>
    <x v="0"/>
  </r>
  <r>
    <x v="7"/>
  </r>
  <r>
    <x v="6"/>
  </r>
  <r>
    <x v="26"/>
  </r>
  <r>
    <x v="0"/>
  </r>
  <r>
    <x v="0"/>
  </r>
  <r>
    <x v="0"/>
  </r>
  <r>
    <x v="115"/>
  </r>
  <r>
    <x v="64"/>
  </r>
  <r>
    <x v="111"/>
  </r>
  <r>
    <x v="0"/>
  </r>
  <r>
    <x v="45"/>
  </r>
  <r>
    <x v="0"/>
  </r>
  <r>
    <x v="60"/>
  </r>
  <r>
    <x v="55"/>
  </r>
  <r>
    <x v="37"/>
  </r>
  <r>
    <x v="2"/>
  </r>
  <r>
    <x v="28"/>
  </r>
  <r>
    <x v="24"/>
  </r>
  <r>
    <x v="17"/>
  </r>
  <r>
    <x v="9"/>
  </r>
  <r>
    <x v="9"/>
  </r>
  <r>
    <x v="17"/>
  </r>
  <r>
    <x v="17"/>
  </r>
  <r>
    <x v="12"/>
  </r>
  <r>
    <x v="115"/>
  </r>
  <r>
    <x v="9"/>
  </r>
  <r>
    <x v="9"/>
  </r>
  <r>
    <x v="2"/>
  </r>
  <r>
    <x v="10"/>
  </r>
  <r>
    <x v="6"/>
  </r>
  <r>
    <x v="37"/>
  </r>
  <r>
    <x v="6"/>
  </r>
  <r>
    <x v="2"/>
  </r>
  <r>
    <x v="48"/>
  </r>
  <r>
    <x v="17"/>
  </r>
  <r>
    <x v="10"/>
  </r>
  <r>
    <x v="87"/>
  </r>
  <r>
    <x v="43"/>
  </r>
  <r>
    <x v="33"/>
  </r>
  <r>
    <x v="2"/>
  </r>
  <r>
    <x v="60"/>
  </r>
  <r>
    <x v="10"/>
  </r>
  <r>
    <x v="17"/>
  </r>
  <r>
    <x v="0"/>
  </r>
  <r>
    <x v="0"/>
  </r>
  <r>
    <x v="14"/>
  </r>
  <r>
    <x v="14"/>
  </r>
  <r>
    <x v="14"/>
  </r>
  <r>
    <x v="14"/>
  </r>
  <r>
    <x v="0"/>
  </r>
  <r>
    <x v="57"/>
  </r>
  <r>
    <x v="57"/>
  </r>
  <r>
    <x v="57"/>
  </r>
  <r>
    <x v="57"/>
  </r>
  <r>
    <x v="17"/>
  </r>
  <r>
    <x v="17"/>
  </r>
  <r>
    <x v="17"/>
  </r>
  <r>
    <x v="31"/>
  </r>
  <r>
    <x v="118"/>
  </r>
  <r>
    <x v="25"/>
  </r>
  <r>
    <x v="115"/>
  </r>
  <r>
    <x v="14"/>
  </r>
  <r>
    <x v="17"/>
  </r>
  <r>
    <x v="10"/>
  </r>
  <r>
    <x v="43"/>
  </r>
  <r>
    <x v="123"/>
  </r>
  <r>
    <x v="48"/>
  </r>
  <r>
    <x v="51"/>
  </r>
  <r>
    <x v="0"/>
  </r>
  <r>
    <x v="0"/>
  </r>
  <r>
    <x v="14"/>
  </r>
  <r>
    <x v="14"/>
  </r>
  <r>
    <x v="37"/>
  </r>
  <r>
    <x v="12"/>
  </r>
  <r>
    <x v="22"/>
  </r>
  <r>
    <x v="19"/>
  </r>
  <r>
    <x v="123"/>
  </r>
  <r>
    <x v="0"/>
  </r>
  <r>
    <x v="48"/>
  </r>
  <r>
    <x v="138"/>
  </r>
  <r>
    <x v="48"/>
  </r>
  <r>
    <x v="123"/>
  </r>
  <r>
    <x v="62"/>
  </r>
  <r>
    <x v="0"/>
  </r>
  <r>
    <x v="0"/>
  </r>
  <r>
    <x v="0"/>
  </r>
  <r>
    <x v="14"/>
  </r>
  <r>
    <x v="14"/>
  </r>
  <r>
    <x v="14"/>
  </r>
  <r>
    <x v="14"/>
  </r>
  <r>
    <x v="16"/>
  </r>
  <r>
    <x v="16"/>
  </r>
  <r>
    <x v="14"/>
  </r>
  <r>
    <x v="14"/>
  </r>
  <r>
    <x v="14"/>
  </r>
  <r>
    <x v="14"/>
  </r>
  <r>
    <x v="10"/>
  </r>
  <r>
    <x v="12"/>
  </r>
  <r>
    <x v="6"/>
  </r>
  <r>
    <x v="21"/>
  </r>
  <r>
    <x v="21"/>
  </r>
  <r>
    <x v="21"/>
  </r>
  <r>
    <x v="24"/>
  </r>
  <r>
    <x v="48"/>
  </r>
  <r>
    <x v="136"/>
  </r>
  <r>
    <x v="100"/>
  </r>
  <r>
    <x v="50"/>
  </r>
  <r>
    <x v="76"/>
  </r>
  <r>
    <x v="52"/>
  </r>
  <r>
    <x v="52"/>
  </r>
  <r>
    <x v="37"/>
  </r>
  <r>
    <x v="83"/>
  </r>
  <r>
    <x v="83"/>
  </r>
  <r>
    <x v="10"/>
  </r>
  <r>
    <x v="9"/>
  </r>
  <r>
    <x v="17"/>
  </r>
  <r>
    <x v="0"/>
  </r>
  <r>
    <x v="14"/>
  </r>
  <r>
    <x v="84"/>
  </r>
  <r>
    <x v="14"/>
  </r>
  <r>
    <x v="0"/>
  </r>
  <r>
    <x v="177"/>
  </r>
  <r>
    <x v="10"/>
  </r>
  <r>
    <x v="2"/>
  </r>
  <r>
    <x v="28"/>
  </r>
  <r>
    <x v="10"/>
  </r>
  <r>
    <x v="7"/>
  </r>
  <r>
    <x v="0"/>
  </r>
  <r>
    <x v="7"/>
  </r>
  <r>
    <x v="0"/>
  </r>
  <r>
    <x v="115"/>
  </r>
  <r>
    <x v="48"/>
  </r>
  <r>
    <x v="2"/>
  </r>
  <r>
    <x v="2"/>
  </r>
  <r>
    <x v="8"/>
  </r>
  <r>
    <x v="21"/>
  </r>
  <r>
    <x v="48"/>
  </r>
  <r>
    <x v="48"/>
  </r>
  <r>
    <x v="48"/>
  </r>
  <r>
    <x v="34"/>
  </r>
  <r>
    <x v="42"/>
  </r>
  <r>
    <x v="9"/>
  </r>
  <r>
    <x v="12"/>
  </r>
  <r>
    <x v="14"/>
  </r>
  <r>
    <x v="10"/>
  </r>
  <r>
    <x v="10"/>
  </r>
  <r>
    <x v="9"/>
  </r>
  <r>
    <x v="9"/>
  </r>
  <r>
    <x v="138"/>
  </r>
  <r>
    <x v="71"/>
  </r>
  <r>
    <x v="21"/>
  </r>
  <r>
    <x v="9"/>
  </r>
  <r>
    <x v="115"/>
  </r>
  <r>
    <x v="9"/>
  </r>
  <r>
    <x v="55"/>
  </r>
  <r>
    <x v="55"/>
  </r>
  <r>
    <x v="14"/>
  </r>
  <r>
    <x v="9"/>
  </r>
  <r>
    <x v="9"/>
  </r>
  <r>
    <x v="9"/>
  </r>
  <r>
    <x v="11"/>
  </r>
  <r>
    <x v="128"/>
  </r>
  <r>
    <x v="6"/>
  </r>
  <r>
    <x v="12"/>
  </r>
  <r>
    <x v="28"/>
  </r>
  <r>
    <x v="24"/>
  </r>
  <r>
    <x v="24"/>
  </r>
  <r>
    <x v="48"/>
  </r>
  <r>
    <x v="17"/>
  </r>
  <r>
    <x v="26"/>
  </r>
  <r>
    <x v="2"/>
  </r>
  <r>
    <x v="14"/>
  </r>
  <r>
    <x v="17"/>
  </r>
  <r>
    <x v="24"/>
  </r>
  <r>
    <x v="28"/>
  </r>
  <r>
    <x v="28"/>
  </r>
  <r>
    <x v="2"/>
  </r>
  <r>
    <x v="2"/>
  </r>
  <r>
    <x v="111"/>
  </r>
  <r>
    <x v="81"/>
  </r>
  <r>
    <x v="24"/>
  </r>
  <r>
    <x v="76"/>
  </r>
  <r>
    <x v="14"/>
  </r>
  <r>
    <x v="22"/>
  </r>
  <r>
    <x v="78"/>
  </r>
  <r>
    <x v="78"/>
  </r>
  <r>
    <x v="6"/>
  </r>
  <r>
    <x v="10"/>
  </r>
  <r>
    <x v="26"/>
  </r>
  <r>
    <x v="79"/>
  </r>
  <r>
    <x v="2"/>
  </r>
  <r>
    <x v="2"/>
  </r>
  <r>
    <x v="12"/>
  </r>
  <r>
    <x v="248"/>
  </r>
  <r>
    <x v="11"/>
  </r>
  <r>
    <x v="7"/>
  </r>
  <r>
    <x v="0"/>
  </r>
  <r>
    <x v="0"/>
  </r>
  <r>
    <x v="0"/>
  </r>
  <r>
    <x v="7"/>
  </r>
  <r>
    <x v="25"/>
  </r>
  <r>
    <x v="76"/>
  </r>
  <r>
    <x v="6"/>
  </r>
  <r>
    <x v="14"/>
  </r>
  <r>
    <x v="14"/>
  </r>
  <r>
    <x v="10"/>
  </r>
  <r>
    <x v="14"/>
  </r>
  <r>
    <x v="14"/>
  </r>
  <r>
    <x v="12"/>
  </r>
  <r>
    <x v="32"/>
  </r>
  <r>
    <x v="175"/>
  </r>
  <r>
    <x v="10"/>
  </r>
  <r>
    <x v="10"/>
  </r>
  <r>
    <x v="10"/>
  </r>
  <r>
    <x v="10"/>
  </r>
  <r>
    <x v="22"/>
  </r>
  <r>
    <x v="11"/>
  </r>
  <r>
    <x v="11"/>
  </r>
  <r>
    <x v="11"/>
  </r>
  <r>
    <x v="11"/>
  </r>
  <r>
    <x v="24"/>
  </r>
  <r>
    <x v="37"/>
  </r>
  <r>
    <x v="12"/>
  </r>
  <r>
    <x v="10"/>
  </r>
  <r>
    <x v="10"/>
  </r>
  <r>
    <x v="10"/>
  </r>
  <r>
    <x v="10"/>
  </r>
  <r>
    <x v="114"/>
  </r>
  <r>
    <x v="7"/>
  </r>
  <r>
    <x v="16"/>
  </r>
  <r>
    <x v="28"/>
  </r>
  <r>
    <x v="17"/>
  </r>
  <r>
    <x v="52"/>
  </r>
  <r>
    <x v="56"/>
  </r>
  <r>
    <x v="17"/>
  </r>
  <r>
    <x v="11"/>
  </r>
  <r>
    <x v="7"/>
  </r>
  <r>
    <x v="28"/>
  </r>
  <r>
    <x v="123"/>
  </r>
  <r>
    <x v="152"/>
  </r>
  <r>
    <x v="28"/>
  </r>
  <r>
    <x v="2"/>
  </r>
  <r>
    <x v="2"/>
  </r>
  <r>
    <x v="2"/>
  </r>
  <r>
    <x v="2"/>
  </r>
  <r>
    <x v="2"/>
  </r>
  <r>
    <x v="2"/>
  </r>
  <r>
    <x v="19"/>
  </r>
  <r>
    <x v="10"/>
  </r>
  <r>
    <x v="25"/>
  </r>
  <r>
    <x v="100"/>
  </r>
  <r>
    <x v="25"/>
  </r>
  <r>
    <x v="46"/>
  </r>
  <r>
    <x v="49"/>
  </r>
  <r>
    <x v="11"/>
  </r>
  <r>
    <x v="2"/>
  </r>
  <r>
    <x v="48"/>
  </r>
  <r>
    <x v="48"/>
  </r>
  <r>
    <x v="10"/>
  </r>
  <r>
    <x v="0"/>
  </r>
  <r>
    <x v="131"/>
  </r>
  <r>
    <x v="42"/>
  </r>
  <r>
    <x v="0"/>
  </r>
  <r>
    <x v="11"/>
  </r>
  <r>
    <x v="14"/>
  </r>
  <r>
    <x v="37"/>
  </r>
  <r>
    <x v="12"/>
  </r>
  <r>
    <x v="14"/>
  </r>
  <r>
    <x v="22"/>
  </r>
  <r>
    <x v="10"/>
  </r>
  <r>
    <x v="0"/>
  </r>
  <r>
    <x v="177"/>
  </r>
  <r>
    <x v="0"/>
  </r>
  <r>
    <x v="0"/>
  </r>
  <r>
    <x v="10"/>
  </r>
  <r>
    <x v="11"/>
  </r>
  <r>
    <x v="14"/>
  </r>
  <r>
    <x v="11"/>
  </r>
  <r>
    <x v="17"/>
  </r>
  <r>
    <x v="17"/>
  </r>
  <r>
    <x v="6"/>
  </r>
  <r>
    <x v="17"/>
  </r>
  <r>
    <x v="7"/>
  </r>
  <r>
    <x v="11"/>
  </r>
  <r>
    <x v="25"/>
  </r>
  <r>
    <x v="1"/>
  </r>
  <r>
    <x v="14"/>
  </r>
  <r>
    <x v="14"/>
  </r>
  <r>
    <x v="4"/>
  </r>
  <r>
    <x v="14"/>
  </r>
  <r>
    <x v="115"/>
  </r>
  <r>
    <x v="246"/>
  </r>
  <r>
    <x v="0"/>
  </r>
  <r>
    <x v="28"/>
  </r>
  <r>
    <x v="28"/>
  </r>
  <r>
    <x v="12"/>
  </r>
  <r>
    <x v="26"/>
  </r>
  <r>
    <x v="26"/>
  </r>
  <r>
    <x v="72"/>
  </r>
  <r>
    <x v="40"/>
  </r>
  <r>
    <x v="37"/>
  </r>
  <r>
    <x v="4"/>
  </r>
  <r>
    <x v="132"/>
  </r>
  <r>
    <x v="2"/>
  </r>
  <r>
    <x v="26"/>
  </r>
  <r>
    <x v="14"/>
  </r>
  <r>
    <x v="14"/>
  </r>
  <r>
    <x v="51"/>
  </r>
  <r>
    <x v="177"/>
  </r>
  <r>
    <x v="8"/>
  </r>
  <r>
    <x v="14"/>
  </r>
  <r>
    <x v="0"/>
  </r>
  <r>
    <x v="49"/>
  </r>
  <r>
    <x v="31"/>
  </r>
  <r>
    <x v="72"/>
  </r>
  <r>
    <x v="48"/>
  </r>
  <r>
    <x v="53"/>
  </r>
  <r>
    <x v="0"/>
  </r>
  <r>
    <x v="115"/>
  </r>
  <r>
    <x v="21"/>
  </r>
  <r>
    <x v="0"/>
  </r>
  <r>
    <x v="0"/>
  </r>
  <r>
    <x v="6"/>
  </r>
  <r>
    <x v="9"/>
  </r>
  <r>
    <x v="14"/>
  </r>
  <r>
    <x v="48"/>
  </r>
  <r>
    <x v="0"/>
  </r>
  <r>
    <x v="27"/>
  </r>
  <r>
    <x v="25"/>
  </r>
  <r>
    <x v="12"/>
  </r>
  <r>
    <x v="223"/>
  </r>
  <r>
    <x v="21"/>
  </r>
  <r>
    <x v="31"/>
  </r>
  <r>
    <x v="76"/>
  </r>
  <r>
    <x v="0"/>
  </r>
  <r>
    <x v="7"/>
  </r>
  <r>
    <x v="19"/>
  </r>
  <r>
    <x v="24"/>
  </r>
  <r>
    <x v="14"/>
  </r>
  <r>
    <x v="12"/>
  </r>
  <r>
    <x v="64"/>
  </r>
  <r>
    <x v="53"/>
  </r>
  <r>
    <x v="28"/>
  </r>
  <r>
    <x v="4"/>
  </r>
  <r>
    <x v="12"/>
  </r>
  <r>
    <x v="10"/>
  </r>
  <r>
    <x v="16"/>
  </r>
  <r>
    <x v="17"/>
  </r>
  <r>
    <x v="25"/>
  </r>
  <r>
    <x v="10"/>
  </r>
  <r>
    <x v="48"/>
  </r>
  <r>
    <x v="7"/>
  </r>
  <r>
    <x v="1"/>
  </r>
  <r>
    <x v="2"/>
  </r>
  <r>
    <x v="10"/>
  </r>
  <r>
    <x v="15"/>
  </r>
  <r>
    <x v="4"/>
  </r>
  <r>
    <x v="40"/>
  </r>
  <r>
    <x v="40"/>
  </r>
  <r>
    <x v="10"/>
  </r>
  <r>
    <x v="17"/>
  </r>
  <r>
    <x v="8"/>
  </r>
  <r>
    <x v="19"/>
  </r>
  <r>
    <x v="45"/>
  </r>
  <r>
    <x v="4"/>
  </r>
  <r>
    <x v="0"/>
  </r>
  <r>
    <x v="0"/>
  </r>
  <r>
    <x v="53"/>
  </r>
  <r>
    <x v="0"/>
  </r>
  <r>
    <x v="143"/>
  </r>
  <r>
    <x v="115"/>
  </r>
  <r>
    <x v="14"/>
  </r>
  <r>
    <x v="57"/>
  </r>
  <r>
    <x v="28"/>
  </r>
  <r>
    <x v="0"/>
  </r>
  <r>
    <x v="17"/>
  </r>
  <r>
    <x v="0"/>
  </r>
  <r>
    <x v="69"/>
  </r>
  <r>
    <x v="53"/>
  </r>
  <r>
    <x v="17"/>
  </r>
  <r>
    <x v="17"/>
  </r>
  <r>
    <x v="0"/>
  </r>
  <r>
    <x v="12"/>
  </r>
  <r>
    <x v="14"/>
  </r>
  <r>
    <x v="14"/>
  </r>
  <r>
    <x v="0"/>
  </r>
  <r>
    <x v="18"/>
  </r>
  <r>
    <x v="37"/>
  </r>
  <r>
    <x v="62"/>
  </r>
  <r>
    <x v="62"/>
  </r>
  <r>
    <x v="62"/>
  </r>
  <r>
    <x v="10"/>
  </r>
  <r>
    <x v="7"/>
  </r>
  <r>
    <x v="15"/>
  </r>
  <r>
    <x v="14"/>
  </r>
  <r>
    <x v="14"/>
  </r>
  <r>
    <x v="14"/>
  </r>
  <r>
    <x v="19"/>
  </r>
  <r>
    <x v="26"/>
  </r>
  <r>
    <x v="14"/>
  </r>
  <r>
    <x v="21"/>
  </r>
  <r>
    <x v="2"/>
  </r>
  <r>
    <x v="0"/>
  </r>
  <r>
    <x v="21"/>
  </r>
  <r>
    <x v="9"/>
  </r>
  <r>
    <x v="26"/>
  </r>
  <r>
    <x v="22"/>
  </r>
  <r>
    <x v="14"/>
  </r>
  <r>
    <x v="14"/>
  </r>
  <r>
    <x v="81"/>
  </r>
  <r>
    <x v="40"/>
  </r>
  <r>
    <x v="0"/>
  </r>
  <r>
    <x v="17"/>
  </r>
  <r>
    <x v="26"/>
  </r>
  <r>
    <x v="26"/>
  </r>
  <r>
    <x v="22"/>
  </r>
  <r>
    <x v="0"/>
  </r>
  <r>
    <x v="37"/>
  </r>
  <r>
    <x v="17"/>
  </r>
  <r>
    <x v="1"/>
  </r>
  <r>
    <x v="40"/>
  </r>
  <r>
    <x v="2"/>
  </r>
  <r>
    <x v="48"/>
  </r>
  <r>
    <x v="119"/>
  </r>
  <r>
    <x v="10"/>
  </r>
  <r>
    <x v="11"/>
  </r>
  <r>
    <x v="21"/>
  </r>
  <r>
    <x v="9"/>
  </r>
  <r>
    <x v="12"/>
  </r>
  <r>
    <x v="14"/>
  </r>
  <r>
    <x v="12"/>
  </r>
  <r>
    <x v="0"/>
  </r>
  <r>
    <x v="10"/>
  </r>
  <r>
    <x v="28"/>
  </r>
  <r>
    <x v="224"/>
  </r>
  <r>
    <x v="16"/>
  </r>
  <r>
    <x v="22"/>
  </r>
  <r>
    <x v="9"/>
  </r>
  <r>
    <x v="12"/>
  </r>
  <r>
    <x v="7"/>
  </r>
  <r>
    <x v="0"/>
  </r>
  <r>
    <x v="0"/>
  </r>
  <r>
    <x v="24"/>
  </r>
  <r>
    <x v="49"/>
  </r>
  <r>
    <x v="17"/>
  </r>
  <r>
    <x v="17"/>
  </r>
  <r>
    <x v="17"/>
  </r>
  <r>
    <x v="69"/>
  </r>
  <r>
    <x v="12"/>
  </r>
  <r>
    <x v="0"/>
  </r>
  <r>
    <x v="14"/>
  </r>
  <r>
    <x v="6"/>
  </r>
  <r>
    <x v="12"/>
  </r>
  <r>
    <x v="70"/>
  </r>
  <r>
    <x v="55"/>
  </r>
  <r>
    <x v="4"/>
  </r>
  <r>
    <x v="16"/>
  </r>
  <r>
    <x v="0"/>
  </r>
  <r>
    <x v="8"/>
  </r>
  <r>
    <x v="0"/>
  </r>
  <r>
    <x v="0"/>
  </r>
  <r>
    <x v="53"/>
  </r>
  <r>
    <x v="9"/>
  </r>
  <r>
    <x v="42"/>
  </r>
  <r>
    <x v="4"/>
  </r>
  <r>
    <x v="32"/>
  </r>
  <r>
    <x v="32"/>
  </r>
  <r>
    <x v="4"/>
  </r>
  <r>
    <x v="39"/>
  </r>
  <r>
    <x v="10"/>
  </r>
  <r>
    <x v="19"/>
  </r>
  <r>
    <x v="4"/>
  </r>
  <r>
    <x v="28"/>
  </r>
  <r>
    <x v="28"/>
  </r>
  <r>
    <x v="39"/>
  </r>
  <r>
    <x v="10"/>
  </r>
  <r>
    <x v="17"/>
  </r>
  <r>
    <x v="17"/>
  </r>
  <r>
    <x v="9"/>
  </r>
  <r>
    <x v="10"/>
  </r>
  <r>
    <x v="11"/>
  </r>
  <r>
    <x v="12"/>
  </r>
  <r>
    <x v="16"/>
  </r>
  <r>
    <x v="4"/>
  </r>
  <r>
    <x v="39"/>
  </r>
  <r>
    <x v="11"/>
  </r>
  <r>
    <x v="7"/>
  </r>
  <r>
    <x v="37"/>
  </r>
  <r>
    <x v="9"/>
  </r>
  <r>
    <x v="14"/>
  </r>
  <r>
    <x v="9"/>
  </r>
  <r>
    <x v="4"/>
  </r>
  <r>
    <x v="10"/>
  </r>
  <r>
    <x v="4"/>
  </r>
  <r>
    <x v="7"/>
  </r>
  <r>
    <x v="10"/>
  </r>
  <r>
    <x v="9"/>
  </r>
  <r>
    <x v="10"/>
  </r>
  <r>
    <x v="48"/>
  </r>
  <r>
    <x v="12"/>
  </r>
  <r>
    <x v="4"/>
  </r>
  <r>
    <x v="4"/>
  </r>
  <r>
    <x v="12"/>
  </r>
  <r>
    <x v="10"/>
  </r>
  <r>
    <x v="10"/>
  </r>
  <r>
    <x v="28"/>
  </r>
  <r>
    <x v="10"/>
  </r>
  <r>
    <x v="10"/>
  </r>
  <r>
    <x v="42"/>
  </r>
  <r>
    <x v="42"/>
  </r>
  <r>
    <x v="14"/>
  </r>
  <r>
    <x v="2"/>
  </r>
  <r>
    <x v="12"/>
  </r>
  <r>
    <x v="28"/>
  </r>
  <r>
    <x v="4"/>
  </r>
  <r>
    <x v="37"/>
  </r>
  <r>
    <x v="37"/>
  </r>
  <r>
    <x v="53"/>
  </r>
  <r>
    <x v="42"/>
  </r>
  <r>
    <x v="0"/>
  </r>
  <r>
    <x v="2"/>
  </r>
  <r>
    <x v="10"/>
  </r>
  <r>
    <x v="11"/>
  </r>
  <r>
    <x v="9"/>
  </r>
  <r>
    <x v="4"/>
  </r>
  <r>
    <x v="24"/>
  </r>
  <r>
    <x v="39"/>
  </r>
  <r>
    <x v="45"/>
  </r>
  <r>
    <x v="42"/>
  </r>
  <r>
    <x v="16"/>
  </r>
  <r>
    <x v="2"/>
  </r>
  <r>
    <x v="4"/>
  </r>
  <r>
    <x v="52"/>
  </r>
  <r>
    <x v="16"/>
  </r>
  <r>
    <x v="4"/>
  </r>
  <r>
    <x v="4"/>
  </r>
  <r>
    <x v="12"/>
  </r>
  <r>
    <x v="12"/>
  </r>
  <r>
    <x v="12"/>
  </r>
  <r>
    <x v="19"/>
  </r>
  <r>
    <x v="9"/>
  </r>
  <r>
    <x v="12"/>
  </r>
  <r>
    <x v="0"/>
  </r>
  <r>
    <x v="10"/>
  </r>
  <r>
    <x v="4"/>
  </r>
  <r>
    <x v="0"/>
  </r>
  <r>
    <x v="39"/>
  </r>
  <r>
    <x v="7"/>
  </r>
  <r>
    <x v="16"/>
  </r>
  <r>
    <x v="10"/>
  </r>
  <r>
    <x v="12"/>
  </r>
  <r>
    <x v="0"/>
  </r>
  <r>
    <x v="21"/>
  </r>
  <r>
    <x v="143"/>
  </r>
  <r>
    <x v="24"/>
  </r>
  <r>
    <x v="37"/>
  </r>
  <r>
    <x v="8"/>
  </r>
  <r>
    <x v="24"/>
  </r>
  <r>
    <x v="2"/>
  </r>
  <r>
    <x v="6"/>
  </r>
  <r>
    <x v="37"/>
  </r>
  <r>
    <x v="31"/>
  </r>
  <r>
    <x v="4"/>
  </r>
  <r>
    <x v="4"/>
  </r>
  <r>
    <x v="0"/>
  </r>
  <r>
    <x v="53"/>
  </r>
  <r>
    <x v="0"/>
  </r>
  <r>
    <x v="0"/>
  </r>
  <r>
    <x v="9"/>
  </r>
  <r>
    <x v="37"/>
  </r>
  <r>
    <x v="6"/>
  </r>
  <r>
    <x v="31"/>
  </r>
  <r>
    <x v="21"/>
  </r>
  <r>
    <x v="8"/>
  </r>
  <r>
    <x v="31"/>
  </r>
  <r>
    <x v="2"/>
  </r>
  <r>
    <x v="17"/>
  </r>
  <r>
    <x v="11"/>
  </r>
  <r>
    <x v="7"/>
  </r>
  <r>
    <x v="31"/>
  </r>
  <r>
    <x v="8"/>
  </r>
  <r>
    <x v="6"/>
  </r>
  <r>
    <x v="8"/>
  </r>
  <r>
    <x v="53"/>
  </r>
  <r>
    <x v="21"/>
  </r>
  <r>
    <x v="12"/>
  </r>
  <r>
    <x v="48"/>
  </r>
  <r>
    <x v="28"/>
  </r>
  <r>
    <x v="17"/>
  </r>
  <r>
    <x v="22"/>
  </r>
  <r>
    <x v="11"/>
  </r>
  <r>
    <x v="11"/>
  </r>
  <r>
    <x v="37"/>
  </r>
  <r>
    <x v="0"/>
  </r>
  <r>
    <x v="17"/>
  </r>
  <r>
    <x v="24"/>
  </r>
  <r>
    <x v="21"/>
  </r>
  <r>
    <x v="37"/>
  </r>
  <r>
    <x v="4"/>
  </r>
  <r>
    <x v="0"/>
  </r>
  <r>
    <x v="14"/>
  </r>
  <r>
    <x v="31"/>
  </r>
  <r>
    <x v="10"/>
  </r>
  <r>
    <x v="0"/>
  </r>
  <r>
    <x v="17"/>
  </r>
  <r>
    <x v="26"/>
  </r>
  <r>
    <x v="26"/>
  </r>
  <r>
    <x v="17"/>
  </r>
  <r>
    <x v="15"/>
  </r>
  <r>
    <x v="0"/>
  </r>
  <r>
    <x v="11"/>
  </r>
  <r>
    <x v="0"/>
  </r>
  <r>
    <x v="11"/>
  </r>
  <r>
    <x v="4"/>
  </r>
  <r>
    <x v="47"/>
  </r>
  <r>
    <x v="12"/>
  </r>
  <r>
    <x v="12"/>
  </r>
  <r>
    <x v="19"/>
  </r>
  <r>
    <x v="19"/>
  </r>
  <r>
    <x v="16"/>
  </r>
  <r>
    <x v="16"/>
  </r>
  <r>
    <x v="12"/>
  </r>
  <r>
    <x v="21"/>
  </r>
  <r>
    <x v="15"/>
  </r>
  <r>
    <x v="15"/>
  </r>
  <r>
    <x v="15"/>
  </r>
  <r>
    <x v="48"/>
  </r>
  <r>
    <x v="12"/>
  </r>
  <r>
    <x v="0"/>
  </r>
  <r>
    <x v="4"/>
  </r>
  <r>
    <x v="4"/>
  </r>
  <r>
    <x v="4"/>
  </r>
  <r>
    <x v="11"/>
  </r>
  <r>
    <x v="15"/>
  </r>
  <r>
    <x v="1"/>
  </r>
  <r>
    <x v="10"/>
  </r>
  <r>
    <x v="12"/>
  </r>
  <r>
    <x v="12"/>
  </r>
  <r>
    <x v="50"/>
  </r>
  <r>
    <x v="12"/>
  </r>
  <r>
    <x v="12"/>
  </r>
  <r>
    <x v="50"/>
  </r>
  <r>
    <x v="12"/>
  </r>
  <r>
    <x v="28"/>
  </r>
  <r>
    <x v="12"/>
  </r>
  <r>
    <x v="12"/>
  </r>
  <r>
    <x v="16"/>
  </r>
  <r>
    <x v="1"/>
  </r>
  <r>
    <x v="45"/>
  </r>
  <r>
    <x v="50"/>
  </r>
  <r>
    <x v="50"/>
  </r>
  <r>
    <x v="0"/>
  </r>
  <r>
    <x v="12"/>
  </r>
  <r>
    <x v="0"/>
  </r>
  <r>
    <x v="12"/>
  </r>
  <r>
    <x v="28"/>
  </r>
  <r>
    <x v="28"/>
  </r>
  <r>
    <x v="28"/>
  </r>
  <r>
    <x v="28"/>
  </r>
  <r>
    <x v="28"/>
  </r>
  <r>
    <x v="12"/>
  </r>
  <r>
    <x v="12"/>
  </r>
  <r>
    <x v="28"/>
  </r>
  <r>
    <x v="17"/>
  </r>
  <r>
    <x v="17"/>
  </r>
  <r>
    <x v="47"/>
  </r>
  <r>
    <x v="50"/>
  </r>
  <r>
    <x v="50"/>
  </r>
  <r>
    <x v="0"/>
  </r>
  <r>
    <x v="0"/>
  </r>
  <r>
    <x v="2"/>
  </r>
  <r>
    <x v="0"/>
  </r>
  <r>
    <x v="0"/>
  </r>
  <r>
    <x v="2"/>
  </r>
  <r>
    <x v="15"/>
  </r>
  <r>
    <x v="57"/>
  </r>
  <r>
    <x v="50"/>
  </r>
  <r>
    <x v="28"/>
  </r>
  <r>
    <x v="28"/>
  </r>
  <r>
    <x v="12"/>
  </r>
  <r>
    <x v="12"/>
  </r>
  <r>
    <x v="12"/>
  </r>
  <r>
    <x v="12"/>
  </r>
  <r>
    <x v="12"/>
  </r>
  <r>
    <x v="12"/>
  </r>
  <r>
    <x v="24"/>
  </r>
  <r>
    <x v="24"/>
  </r>
  <r>
    <x v="15"/>
  </r>
  <r>
    <x v="15"/>
  </r>
  <r>
    <x v="11"/>
  </r>
  <r>
    <x v="15"/>
  </r>
  <r>
    <x v="28"/>
  </r>
  <r>
    <x v="28"/>
  </r>
  <r>
    <x v="12"/>
  </r>
  <r>
    <x v="12"/>
  </r>
  <r>
    <x v="12"/>
  </r>
  <r>
    <x v="12"/>
  </r>
  <r>
    <x v="12"/>
  </r>
  <r>
    <x v="12"/>
  </r>
  <r>
    <x v="15"/>
  </r>
  <r>
    <x v="28"/>
  </r>
  <r>
    <x v="57"/>
  </r>
  <r>
    <x v="47"/>
  </r>
  <r>
    <x v="47"/>
  </r>
  <r>
    <x v="15"/>
  </r>
  <r>
    <x v="24"/>
  </r>
  <r>
    <x v="24"/>
  </r>
  <r>
    <x v="0"/>
  </r>
  <r>
    <x v="0"/>
  </r>
  <r>
    <x v="24"/>
  </r>
  <r>
    <x v="15"/>
  </r>
  <r>
    <x v="15"/>
  </r>
  <r>
    <x v="57"/>
  </r>
  <r>
    <x v="57"/>
  </r>
  <r>
    <x v="0"/>
  </r>
  <r>
    <x v="15"/>
  </r>
  <r>
    <x v="15"/>
  </r>
  <r>
    <x v="17"/>
  </r>
  <r>
    <x v="28"/>
  </r>
  <r>
    <x v="0"/>
  </r>
  <r>
    <x v="29"/>
  </r>
  <r>
    <x v="15"/>
  </r>
  <r>
    <x v="7"/>
  </r>
  <r>
    <x v="51"/>
  </r>
  <r>
    <x v="29"/>
  </r>
  <r>
    <x v="76"/>
  </r>
  <r>
    <x v="2"/>
  </r>
  <r>
    <x v="2"/>
  </r>
  <r>
    <x v="15"/>
  </r>
  <r>
    <x v="29"/>
  </r>
  <r>
    <x v="29"/>
  </r>
  <r>
    <x v="57"/>
  </r>
  <r>
    <x v="14"/>
  </r>
  <r>
    <x v="2"/>
  </r>
  <r>
    <x v="10"/>
  </r>
  <r>
    <x v="4"/>
  </r>
  <r>
    <x v="19"/>
  </r>
  <r>
    <x v="19"/>
  </r>
  <r>
    <x v="19"/>
  </r>
  <r>
    <x v="19"/>
  </r>
  <r>
    <x v="57"/>
  </r>
  <r>
    <x v="2"/>
  </r>
  <r>
    <x v="57"/>
  </r>
  <r>
    <x v="45"/>
  </r>
  <r>
    <x v="45"/>
  </r>
  <r>
    <x v="152"/>
  </r>
  <r>
    <x v="152"/>
  </r>
  <r>
    <x v="0"/>
  </r>
  <r>
    <x v="152"/>
  </r>
  <r>
    <x v="139"/>
  </r>
  <r>
    <x v="72"/>
  </r>
  <r>
    <x v="48"/>
  </r>
  <r>
    <x v="12"/>
  </r>
  <r>
    <x v="57"/>
  </r>
  <r>
    <x v="28"/>
  </r>
  <r>
    <x v="12"/>
  </r>
  <r>
    <x v="70"/>
  </r>
  <r>
    <x v="0"/>
  </r>
  <r>
    <x v="50"/>
  </r>
  <r>
    <x v="50"/>
  </r>
  <r>
    <x v="4"/>
  </r>
  <r>
    <x v="15"/>
  </r>
  <r>
    <x v="4"/>
  </r>
  <r>
    <x v="26"/>
  </r>
  <r>
    <x v="26"/>
  </r>
  <r>
    <x v="57"/>
  </r>
  <r>
    <x v="87"/>
  </r>
  <r>
    <x v="17"/>
  </r>
  <r>
    <x v="26"/>
  </r>
  <r>
    <x v="17"/>
  </r>
  <r>
    <x v="0"/>
  </r>
  <r>
    <x v="0"/>
  </r>
  <r>
    <x v="11"/>
  </r>
  <r>
    <x v="11"/>
  </r>
  <r>
    <x v="11"/>
  </r>
  <r>
    <x v="57"/>
  </r>
  <r>
    <x v="31"/>
  </r>
  <r>
    <x v="19"/>
  </r>
  <r>
    <x v="19"/>
  </r>
  <r>
    <x v="14"/>
  </r>
  <r>
    <x v="14"/>
  </r>
  <r>
    <x v="0"/>
  </r>
  <r>
    <x v="14"/>
  </r>
  <r>
    <x v="47"/>
  </r>
  <r>
    <x v="12"/>
  </r>
  <r>
    <x v="12"/>
  </r>
  <r>
    <x v="17"/>
  </r>
  <r>
    <x v="19"/>
  </r>
  <r>
    <x v="26"/>
  </r>
  <r>
    <x v="19"/>
  </r>
  <r>
    <x v="0"/>
  </r>
  <r>
    <x v="0"/>
  </r>
  <r>
    <x v="50"/>
  </r>
  <r>
    <x v="50"/>
  </r>
  <r>
    <x v="50"/>
  </r>
  <r>
    <x v="19"/>
  </r>
  <r>
    <x v="76"/>
  </r>
  <r>
    <x v="50"/>
  </r>
  <r>
    <x v="19"/>
  </r>
  <r>
    <x v="11"/>
  </r>
  <r>
    <x v="11"/>
  </r>
  <r>
    <x v="11"/>
  </r>
  <r>
    <x v="11"/>
  </r>
  <r>
    <x v="11"/>
  </r>
  <r>
    <x v="11"/>
  </r>
  <r>
    <x v="152"/>
  </r>
  <r>
    <x v="0"/>
  </r>
  <r>
    <x v="152"/>
  </r>
  <r>
    <x v="152"/>
  </r>
  <r>
    <x v="152"/>
  </r>
  <r>
    <x v="152"/>
  </r>
  <r>
    <x v="77"/>
  </r>
  <r>
    <x v="12"/>
  </r>
  <r>
    <x v="12"/>
  </r>
  <r>
    <x v="0"/>
  </r>
  <r>
    <x v="0"/>
  </r>
  <r>
    <x v="24"/>
  </r>
  <r>
    <x v="56"/>
  </r>
  <r>
    <x v="56"/>
  </r>
  <r>
    <x v="12"/>
  </r>
  <r>
    <x v="15"/>
  </r>
  <r>
    <x v="15"/>
  </r>
  <r>
    <x v="15"/>
  </r>
  <r>
    <x v="10"/>
  </r>
  <r>
    <x v="57"/>
  </r>
  <r>
    <x v="57"/>
  </r>
  <r>
    <x v="57"/>
  </r>
  <r>
    <x v="12"/>
  </r>
  <r>
    <x v="0"/>
  </r>
  <r>
    <x v="12"/>
  </r>
  <r>
    <x v="15"/>
  </r>
  <r>
    <x v="11"/>
  </r>
  <r>
    <x v="0"/>
  </r>
  <r>
    <x v="45"/>
  </r>
  <r>
    <x v="45"/>
  </r>
  <r>
    <x v="4"/>
  </r>
  <r>
    <x v="19"/>
  </r>
  <r>
    <x v="22"/>
  </r>
  <r>
    <x v="12"/>
  </r>
  <r>
    <x v="0"/>
  </r>
  <r>
    <x v="12"/>
  </r>
  <r>
    <x v="12"/>
  </r>
  <r>
    <x v="57"/>
  </r>
  <r>
    <x v="57"/>
  </r>
  <r>
    <x v="57"/>
  </r>
  <r>
    <x v="0"/>
  </r>
  <r>
    <x v="12"/>
  </r>
  <r>
    <x v="12"/>
  </r>
  <r>
    <x v="12"/>
  </r>
  <r>
    <x v="12"/>
  </r>
  <r>
    <x v="12"/>
  </r>
  <r>
    <x v="12"/>
  </r>
  <r>
    <x v="62"/>
  </r>
  <r>
    <x v="19"/>
  </r>
  <r>
    <x v="46"/>
  </r>
  <r>
    <x v="46"/>
  </r>
  <r>
    <x v="17"/>
  </r>
  <r>
    <x v="0"/>
  </r>
  <r>
    <x v="42"/>
  </r>
  <r>
    <x v="42"/>
  </r>
  <r>
    <x v="42"/>
  </r>
  <r>
    <x v="42"/>
  </r>
  <r>
    <x v="42"/>
  </r>
  <r>
    <x v="122"/>
  </r>
  <r>
    <x v="10"/>
  </r>
  <r>
    <x v="122"/>
  </r>
  <r>
    <x v="31"/>
  </r>
  <r>
    <x v="0"/>
  </r>
  <r>
    <x v="0"/>
  </r>
  <r>
    <x v="0"/>
  </r>
  <r>
    <x v="2"/>
  </r>
  <r>
    <x v="2"/>
  </r>
  <r>
    <x v="14"/>
  </r>
  <r>
    <x v="45"/>
  </r>
  <r>
    <x v="45"/>
  </r>
  <r>
    <x v="19"/>
  </r>
  <r>
    <x v="47"/>
  </r>
  <r>
    <x v="19"/>
  </r>
  <r>
    <x v="12"/>
  </r>
  <r>
    <x v="19"/>
  </r>
  <r>
    <x v="19"/>
  </r>
  <r>
    <x v="19"/>
  </r>
  <r>
    <x v="0"/>
  </r>
  <r>
    <x v="0"/>
  </r>
  <r>
    <x v="0"/>
  </r>
  <r>
    <x v="0"/>
  </r>
  <r>
    <x v="76"/>
  </r>
  <r>
    <x v="0"/>
  </r>
  <r>
    <x v="12"/>
  </r>
  <r>
    <x v="29"/>
  </r>
  <r>
    <x v="0"/>
  </r>
  <r>
    <x v="0"/>
  </r>
  <r>
    <x v="9"/>
  </r>
  <r>
    <x v="11"/>
  </r>
  <r>
    <x v="11"/>
  </r>
  <r>
    <x v="11"/>
  </r>
  <r>
    <x v="128"/>
  </r>
  <r>
    <x v="12"/>
  </r>
  <r>
    <x v="31"/>
  </r>
  <r>
    <x v="12"/>
  </r>
  <r>
    <x v="123"/>
  </r>
  <r>
    <x v="0"/>
  </r>
  <r>
    <x v="0"/>
  </r>
  <r>
    <x v="70"/>
  </r>
  <r>
    <x v="70"/>
  </r>
  <r>
    <x v="0"/>
  </r>
  <r>
    <x v="0"/>
  </r>
  <r>
    <x v="131"/>
  </r>
  <r>
    <x v="152"/>
  </r>
  <r>
    <x v="0"/>
  </r>
  <r>
    <x v="152"/>
  </r>
  <r>
    <x v="0"/>
  </r>
  <r>
    <x v="0"/>
  </r>
  <r>
    <x v="45"/>
  </r>
  <r>
    <x v="0"/>
  </r>
  <r>
    <x v="0"/>
  </r>
  <r>
    <x v="0"/>
  </r>
  <r>
    <x v="42"/>
  </r>
  <r>
    <x v="42"/>
  </r>
  <r>
    <x v="0"/>
  </r>
  <r>
    <x v="0"/>
  </r>
  <r>
    <x v="0"/>
  </r>
  <r>
    <x v="47"/>
  </r>
  <r>
    <x v="0"/>
  </r>
  <r>
    <x v="0"/>
  </r>
  <r>
    <x v="0"/>
  </r>
  <r>
    <x v="0"/>
  </r>
  <r>
    <x v="12"/>
  </r>
  <r>
    <x v="2"/>
  </r>
  <r>
    <x v="2"/>
  </r>
  <r>
    <x v="0"/>
  </r>
  <r>
    <x v="0"/>
  </r>
  <r>
    <x v="0"/>
  </r>
  <r>
    <x v="19"/>
  </r>
  <r>
    <x v="19"/>
  </r>
  <r>
    <x v="0"/>
  </r>
  <r>
    <x v="4"/>
  </r>
  <r>
    <x v="0"/>
  </r>
  <r>
    <x v="42"/>
  </r>
  <r>
    <x v="0"/>
  </r>
  <r>
    <x v="42"/>
  </r>
  <r>
    <x v="47"/>
  </r>
  <r>
    <x v="19"/>
  </r>
  <r>
    <x v="19"/>
  </r>
  <r>
    <x v="19"/>
  </r>
  <r>
    <x v="1"/>
  </r>
  <r>
    <x v="4"/>
  </r>
  <r>
    <x v="4"/>
  </r>
  <r>
    <x v="16"/>
  </r>
  <r>
    <x v="4"/>
  </r>
  <r>
    <x v="15"/>
  </r>
  <r>
    <x v="37"/>
  </r>
  <r>
    <x v="47"/>
  </r>
  <r>
    <x v="10"/>
  </r>
  <r>
    <x v="47"/>
  </r>
  <r>
    <x v="9"/>
  </r>
  <r>
    <x v="0"/>
  </r>
  <r>
    <x v="9"/>
  </r>
  <r>
    <x v="9"/>
  </r>
  <r>
    <x v="9"/>
  </r>
  <r>
    <x v="9"/>
  </r>
  <r>
    <x v="9"/>
  </r>
  <r>
    <x v="12"/>
  </r>
  <r>
    <x v="4"/>
  </r>
  <r>
    <x v="11"/>
  </r>
  <r>
    <x v="11"/>
  </r>
  <r>
    <x v="36"/>
  </r>
  <r>
    <x v="4"/>
  </r>
  <r>
    <x v="123"/>
  </r>
  <r>
    <x v="123"/>
  </r>
  <r>
    <x v="45"/>
  </r>
  <r>
    <x v="77"/>
  </r>
  <r>
    <x v="17"/>
  </r>
  <r>
    <x v="12"/>
  </r>
  <r>
    <x v="10"/>
  </r>
  <r>
    <x v="71"/>
  </r>
  <r>
    <x v="165"/>
  </r>
  <r>
    <x v="10"/>
  </r>
  <r>
    <x v="12"/>
  </r>
  <r>
    <x v="10"/>
  </r>
  <r>
    <x v="19"/>
  </r>
  <r>
    <x v="19"/>
  </r>
  <r>
    <x v="19"/>
  </r>
  <r>
    <x v="19"/>
  </r>
  <r>
    <x v="11"/>
  </r>
  <r>
    <x v="11"/>
  </r>
  <r>
    <x v="11"/>
  </r>
  <r>
    <x v="152"/>
  </r>
  <r>
    <x v="0"/>
  </r>
  <r>
    <x v="0"/>
  </r>
  <r>
    <x v="12"/>
  </r>
  <r>
    <x v="12"/>
  </r>
  <r>
    <x v="0"/>
  </r>
  <r>
    <x v="0"/>
  </r>
  <r>
    <x v="0"/>
  </r>
  <r>
    <x v="12"/>
  </r>
  <r>
    <x v="31"/>
  </r>
  <r>
    <x v="12"/>
  </r>
  <r>
    <x v="31"/>
  </r>
  <r>
    <x v="31"/>
  </r>
  <r>
    <x v="12"/>
  </r>
  <r>
    <x v="31"/>
  </r>
  <r>
    <x v="56"/>
  </r>
  <r>
    <x v="1"/>
  </r>
  <r>
    <x v="1"/>
  </r>
  <r>
    <x v="1"/>
  </r>
  <r>
    <x v="1"/>
  </r>
  <r>
    <x v="1"/>
  </r>
  <r>
    <x v="1"/>
  </r>
  <r>
    <x v="1"/>
  </r>
  <r>
    <x v="31"/>
  </r>
  <r>
    <x v="31"/>
  </r>
  <r>
    <x v="31"/>
  </r>
  <r>
    <x v="12"/>
  </r>
  <r>
    <x v="3"/>
  </r>
  <r>
    <x v="12"/>
  </r>
  <r>
    <x v="12"/>
  </r>
  <r>
    <x v="31"/>
  </r>
  <r>
    <x v="12"/>
  </r>
  <r>
    <x v="19"/>
  </r>
  <r>
    <x v="19"/>
  </r>
  <r>
    <x v="0"/>
  </r>
  <r>
    <x v="19"/>
  </r>
  <r>
    <x v="0"/>
  </r>
  <r>
    <x v="0"/>
  </r>
  <r>
    <x v="0"/>
  </r>
  <r>
    <x v="0"/>
  </r>
  <r>
    <x v="12"/>
  </r>
  <r>
    <x v="19"/>
  </r>
  <r>
    <x v="9"/>
  </r>
  <r>
    <x v="9"/>
  </r>
  <r>
    <x v="45"/>
  </r>
  <r>
    <x v="45"/>
  </r>
  <r>
    <x v="19"/>
  </r>
  <r>
    <x v="9"/>
  </r>
  <r>
    <x v="12"/>
  </r>
  <r>
    <x v="9"/>
  </r>
  <r>
    <x v="9"/>
  </r>
  <r>
    <x v="123"/>
  </r>
  <r>
    <x v="123"/>
  </r>
  <r>
    <x v="14"/>
  </r>
  <r>
    <x v="14"/>
  </r>
  <r>
    <x v="14"/>
  </r>
  <r>
    <x v="14"/>
  </r>
  <r>
    <x v="14"/>
  </r>
  <r>
    <x v="12"/>
  </r>
  <r>
    <x v="28"/>
  </r>
  <r>
    <x v="12"/>
  </r>
  <r>
    <x v="0"/>
  </r>
  <r>
    <x v="0"/>
  </r>
  <r>
    <x v="0"/>
  </r>
  <r>
    <x v="0"/>
  </r>
  <r>
    <x v="0"/>
  </r>
  <r>
    <x v="0"/>
  </r>
  <r>
    <x v="0"/>
  </r>
  <r>
    <x v="14"/>
  </r>
  <r>
    <x v="14"/>
  </r>
  <r>
    <x v="14"/>
  </r>
  <r>
    <x v="14"/>
  </r>
  <r>
    <x v="0"/>
  </r>
  <r>
    <x v="28"/>
  </r>
  <r>
    <x v="0"/>
  </r>
  <r>
    <x v="0"/>
  </r>
  <r>
    <x v="0"/>
  </r>
  <r>
    <x v="0"/>
  </r>
  <r>
    <x v="0"/>
  </r>
  <r>
    <x v="7"/>
  </r>
  <r>
    <x v="14"/>
  </r>
  <r>
    <x v="14"/>
  </r>
  <r>
    <x v="14"/>
  </r>
  <r>
    <x v="14"/>
  </r>
  <r>
    <x v="14"/>
  </r>
  <r>
    <x v="14"/>
  </r>
  <r>
    <x v="9"/>
  </r>
  <r>
    <x v="9"/>
  </r>
  <r>
    <x v="62"/>
  </r>
  <r>
    <x v="0"/>
  </r>
  <r>
    <x v="12"/>
  </r>
  <r>
    <x v="12"/>
  </r>
  <r>
    <x v="0"/>
  </r>
  <r>
    <x v="9"/>
  </r>
  <r>
    <x v="14"/>
  </r>
  <r>
    <x v="0"/>
  </r>
  <r>
    <x v="0"/>
  </r>
  <r>
    <x v="0"/>
  </r>
  <r>
    <x v="0"/>
  </r>
  <r>
    <x v="0"/>
  </r>
  <r>
    <x v="21"/>
  </r>
  <r>
    <x v="10"/>
  </r>
  <r>
    <x v="19"/>
  </r>
  <r>
    <x v="131"/>
  </r>
  <r>
    <x v="78"/>
  </r>
  <r>
    <x v="2"/>
  </r>
  <r>
    <x v="10"/>
  </r>
  <r>
    <x v="0"/>
  </r>
  <r>
    <x v="0"/>
  </r>
  <r>
    <x v="0"/>
  </r>
  <r>
    <x v="0"/>
  </r>
  <r>
    <x v="0"/>
  </r>
  <r>
    <x v="0"/>
  </r>
  <r>
    <x v="11"/>
  </r>
  <r>
    <x v="9"/>
  </r>
  <r>
    <x v="12"/>
  </r>
  <r>
    <x v="0"/>
  </r>
  <r>
    <x v="0"/>
  </r>
  <r>
    <x v="14"/>
  </r>
  <r>
    <x v="14"/>
  </r>
  <r>
    <x v="14"/>
  </r>
  <r>
    <x v="14"/>
  </r>
  <r>
    <x v="28"/>
  </r>
  <r>
    <x v="28"/>
  </r>
  <r>
    <x v="9"/>
  </r>
  <r>
    <x v="48"/>
  </r>
  <r>
    <x v="46"/>
  </r>
  <r>
    <x v="45"/>
  </r>
  <r>
    <x v="26"/>
  </r>
  <r>
    <x v="42"/>
  </r>
  <r>
    <x v="42"/>
  </r>
  <r>
    <x v="6"/>
  </r>
  <r>
    <x v="42"/>
  </r>
  <r>
    <x v="71"/>
  </r>
  <r>
    <x v="7"/>
  </r>
  <r>
    <x v="10"/>
  </r>
  <r>
    <x v="21"/>
  </r>
  <r>
    <x v="17"/>
  </r>
  <r>
    <x v="70"/>
  </r>
  <r>
    <x v="17"/>
  </r>
  <r>
    <x v="131"/>
  </r>
  <r>
    <x v="131"/>
  </r>
  <r>
    <x v="17"/>
  </r>
  <r>
    <x v="79"/>
  </r>
  <r>
    <x v="118"/>
  </r>
  <r>
    <x v="118"/>
  </r>
  <r>
    <x v="21"/>
  </r>
  <r>
    <x v="56"/>
  </r>
  <r>
    <x v="70"/>
  </r>
  <r>
    <x v="70"/>
  </r>
  <r>
    <x v="4"/>
  </r>
  <r>
    <x v="0"/>
  </r>
  <r>
    <x v="0"/>
  </r>
  <r>
    <x v="6"/>
  </r>
  <r>
    <x v="2"/>
  </r>
  <r>
    <x v="2"/>
  </r>
  <r>
    <x v="46"/>
  </r>
  <r>
    <x v="10"/>
  </r>
  <r>
    <x v="32"/>
  </r>
  <r>
    <x v="2"/>
  </r>
  <r>
    <x v="37"/>
  </r>
  <r>
    <x v="37"/>
  </r>
  <r>
    <x v="71"/>
  </r>
  <r>
    <x v="11"/>
  </r>
  <r>
    <x v="0"/>
  </r>
  <r>
    <x v="123"/>
  </r>
  <r>
    <x v="123"/>
  </r>
  <r>
    <x v="123"/>
  </r>
  <r>
    <x v="123"/>
  </r>
  <r>
    <x v="42"/>
  </r>
  <r>
    <x v="42"/>
  </r>
  <r>
    <x v="0"/>
  </r>
  <r>
    <x v="34"/>
  </r>
  <r>
    <x v="27"/>
  </r>
  <r>
    <x v="112"/>
  </r>
  <r>
    <x v="42"/>
  </r>
  <r>
    <x v="42"/>
  </r>
  <r>
    <x v="42"/>
  </r>
  <r>
    <x v="42"/>
  </r>
  <r>
    <x v="42"/>
  </r>
  <r>
    <x v="42"/>
  </r>
  <r>
    <x v="42"/>
  </r>
  <r>
    <x v="30"/>
  </r>
  <r>
    <x v="48"/>
  </r>
  <r>
    <x v="22"/>
  </r>
  <r>
    <x v="78"/>
  </r>
  <r>
    <x v="71"/>
  </r>
  <r>
    <x v="37"/>
  </r>
  <r>
    <x v="84"/>
  </r>
  <r>
    <x v="8"/>
  </r>
  <r>
    <x v="39"/>
  </r>
  <r>
    <x v="45"/>
  </r>
  <r>
    <x v="45"/>
  </r>
  <r>
    <x v="22"/>
  </r>
  <r>
    <x v="28"/>
  </r>
  <r>
    <x v="28"/>
  </r>
  <r>
    <x v="10"/>
  </r>
  <r>
    <x v="37"/>
  </r>
  <r>
    <x v="14"/>
  </r>
  <r>
    <x v="28"/>
  </r>
  <r>
    <x v="2"/>
  </r>
  <r>
    <x v="49"/>
  </r>
  <r>
    <x v="39"/>
  </r>
  <r>
    <x v="37"/>
  </r>
  <r>
    <x v="14"/>
  </r>
  <r>
    <x v="11"/>
  </r>
  <r>
    <x v="10"/>
  </r>
  <r>
    <x v="21"/>
  </r>
  <r>
    <x v="46"/>
  </r>
  <r>
    <x v="6"/>
  </r>
  <r>
    <x v="27"/>
  </r>
  <r>
    <x v="45"/>
  </r>
  <r>
    <x v="63"/>
  </r>
  <r>
    <x v="14"/>
  </r>
  <r>
    <x v="49"/>
  </r>
  <r>
    <x v="16"/>
  </r>
  <r>
    <x v="16"/>
  </r>
  <r>
    <x v="14"/>
  </r>
  <r>
    <x v="9"/>
  </r>
  <r>
    <x v="162"/>
  </r>
  <r>
    <x v="81"/>
  </r>
  <r>
    <x v="19"/>
  </r>
  <r>
    <x v="21"/>
  </r>
  <r>
    <x v="52"/>
  </r>
  <r>
    <x v="14"/>
  </r>
  <r>
    <x v="17"/>
  </r>
  <r>
    <x v="28"/>
  </r>
  <r>
    <x v="249"/>
  </r>
  <r>
    <x v="12"/>
  </r>
  <r>
    <x v="28"/>
  </r>
  <r>
    <x v="28"/>
  </r>
  <r>
    <x v="28"/>
  </r>
  <r>
    <x v="45"/>
  </r>
  <r>
    <x v="45"/>
  </r>
  <r>
    <x v="21"/>
  </r>
  <r>
    <x v="0"/>
  </r>
  <r>
    <x v="53"/>
  </r>
  <r>
    <x v="48"/>
  </r>
  <r>
    <x v="56"/>
  </r>
  <r>
    <x v="21"/>
  </r>
  <r>
    <x v="4"/>
  </r>
  <r>
    <x v="22"/>
  </r>
  <r>
    <x v="72"/>
  </r>
  <r>
    <x v="4"/>
  </r>
  <r>
    <x v="4"/>
  </r>
  <r>
    <x v="56"/>
  </r>
  <r>
    <x v="138"/>
  </r>
  <r>
    <x v="28"/>
  </r>
  <r>
    <x v="28"/>
  </r>
  <r>
    <x v="28"/>
  </r>
  <r>
    <x v="28"/>
  </r>
  <r>
    <x v="108"/>
  </r>
  <r>
    <x v="37"/>
  </r>
  <r>
    <x v="37"/>
  </r>
  <r>
    <x v="42"/>
  </r>
  <r>
    <x v="1"/>
  </r>
  <r>
    <x v="42"/>
  </r>
  <r>
    <x v="62"/>
  </r>
  <r>
    <x v="0"/>
  </r>
  <r>
    <x v="75"/>
  </r>
  <r>
    <x v="75"/>
  </r>
  <r>
    <x v="17"/>
  </r>
  <r>
    <x v="62"/>
  </r>
  <r>
    <x v="37"/>
  </r>
  <r>
    <x v="7"/>
  </r>
  <r>
    <x v="37"/>
  </r>
  <r>
    <x v="3"/>
  </r>
  <r>
    <x v="12"/>
  </r>
  <r>
    <x v="41"/>
  </r>
  <r>
    <x v="41"/>
  </r>
  <r>
    <x v="41"/>
  </r>
  <r>
    <x v="37"/>
  </r>
  <r>
    <x v="17"/>
  </r>
  <r>
    <x v="21"/>
  </r>
  <r>
    <x v="0"/>
  </r>
  <r>
    <x v="14"/>
  </r>
  <r>
    <x v="16"/>
  </r>
  <r>
    <x v="47"/>
  </r>
  <r>
    <x v="47"/>
  </r>
  <r>
    <x v="0"/>
  </r>
  <r>
    <x v="70"/>
  </r>
  <r>
    <x v="45"/>
  </r>
  <r>
    <x v="14"/>
  </r>
  <r>
    <x v="14"/>
  </r>
  <r>
    <x v="19"/>
  </r>
  <r>
    <x v="24"/>
  </r>
  <r>
    <x v="42"/>
  </r>
  <r>
    <x v="41"/>
  </r>
  <r>
    <x v="138"/>
  </r>
  <r>
    <x v="14"/>
  </r>
  <r>
    <x v="14"/>
  </r>
  <r>
    <x v="2"/>
  </r>
  <r>
    <x v="1"/>
  </r>
  <r>
    <x v="0"/>
  </r>
  <r>
    <x v="4"/>
  </r>
  <r>
    <x v="63"/>
  </r>
  <r>
    <x v="57"/>
  </r>
  <r>
    <x v="16"/>
  </r>
  <r>
    <x v="16"/>
  </r>
  <r>
    <x v="2"/>
  </r>
  <r>
    <x v="47"/>
  </r>
  <r>
    <x v="2"/>
  </r>
  <r>
    <x v="2"/>
  </r>
  <r>
    <x v="2"/>
  </r>
  <r>
    <x v="16"/>
  </r>
  <r>
    <x v="16"/>
  </r>
  <r>
    <x v="27"/>
  </r>
  <r>
    <x v="27"/>
  </r>
  <r>
    <x v="27"/>
  </r>
  <r>
    <x v="51"/>
  </r>
  <r>
    <x v="141"/>
  </r>
  <r>
    <x v="141"/>
  </r>
  <r>
    <x v="141"/>
  </r>
  <r>
    <x v="16"/>
  </r>
  <r>
    <x v="16"/>
  </r>
  <r>
    <x v="16"/>
  </r>
  <r>
    <x v="27"/>
  </r>
  <r>
    <x v="141"/>
  </r>
  <r>
    <x v="144"/>
  </r>
  <r>
    <x v="51"/>
  </r>
  <r>
    <x v="11"/>
  </r>
  <r>
    <x v="14"/>
  </r>
  <r>
    <x v="63"/>
  </r>
  <r>
    <x v="11"/>
  </r>
  <r>
    <x v="14"/>
  </r>
  <r>
    <x v="63"/>
  </r>
  <r>
    <x v="141"/>
  </r>
  <r>
    <x v="141"/>
  </r>
  <r>
    <x v="141"/>
  </r>
  <r>
    <x v="141"/>
  </r>
  <r>
    <x v="16"/>
  </r>
  <r>
    <x v="11"/>
  </r>
  <r>
    <x v="27"/>
  </r>
  <r>
    <x v="27"/>
  </r>
  <r>
    <x v="144"/>
  </r>
  <r>
    <x v="144"/>
  </r>
  <r>
    <x v="10"/>
  </r>
  <r>
    <x v="2"/>
  </r>
  <r>
    <x v="2"/>
  </r>
  <r>
    <x v="12"/>
  </r>
  <r>
    <x v="12"/>
  </r>
  <r>
    <x v="1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42"/>
  </r>
  <r>
    <x v="2"/>
  </r>
  <r>
    <x v="2"/>
  </r>
  <r>
    <x v="170"/>
  </r>
  <r>
    <x v="170"/>
  </r>
  <r>
    <x v="2"/>
  </r>
  <r>
    <x v="2"/>
  </r>
  <r>
    <x v="63"/>
  </r>
  <r>
    <x v="14"/>
  </r>
  <r>
    <x v="14"/>
  </r>
  <r>
    <x v="10"/>
  </r>
  <r>
    <x v="10"/>
  </r>
  <r>
    <x v="78"/>
  </r>
  <r>
    <x v="4"/>
  </r>
  <r>
    <x v="78"/>
  </r>
  <r>
    <x v="250"/>
  </r>
  <r>
    <x v="78"/>
  </r>
  <r>
    <x v="250"/>
  </r>
  <r>
    <x v="4"/>
  </r>
  <r>
    <x v="77"/>
  </r>
  <r>
    <x v="28"/>
  </r>
  <r>
    <x v="10"/>
  </r>
  <r>
    <x v="42"/>
  </r>
  <r>
    <x v="165"/>
  </r>
  <r>
    <x v="42"/>
  </r>
  <r>
    <x v="123"/>
  </r>
  <r>
    <x v="16"/>
  </r>
  <r>
    <x v="16"/>
  </r>
  <r>
    <x v="17"/>
  </r>
  <r>
    <x v="11"/>
  </r>
  <r>
    <x v="37"/>
  </r>
  <r>
    <x v="63"/>
  </r>
  <r>
    <x v="4"/>
  </r>
  <r>
    <x v="10"/>
  </r>
  <r>
    <x v="48"/>
  </r>
  <r>
    <x v="59"/>
  </r>
  <r>
    <x v="55"/>
  </r>
  <r>
    <x v="22"/>
  </r>
  <r>
    <x v="87"/>
  </r>
  <r>
    <x v="87"/>
  </r>
  <r>
    <x v="3"/>
  </r>
  <r>
    <x v="55"/>
  </r>
  <r>
    <x v="55"/>
  </r>
  <r>
    <x v="55"/>
  </r>
  <r>
    <x v="10"/>
  </r>
  <r>
    <x v="10"/>
  </r>
  <r>
    <x v="131"/>
  </r>
  <r>
    <x v="131"/>
  </r>
  <r>
    <x v="0"/>
  </r>
  <r>
    <x v="9"/>
  </r>
  <r>
    <x v="57"/>
  </r>
  <r>
    <x v="10"/>
  </r>
  <r>
    <x v="21"/>
  </r>
  <r>
    <x v="56"/>
  </r>
  <r>
    <x v="16"/>
  </r>
  <r>
    <x v="130"/>
  </r>
  <r>
    <x v="28"/>
  </r>
  <r>
    <x v="76"/>
  </r>
  <r>
    <x v="76"/>
  </r>
  <r>
    <x v="42"/>
  </r>
  <r>
    <x v="42"/>
  </r>
  <r>
    <x v="10"/>
  </r>
  <r>
    <x v="2"/>
  </r>
  <r>
    <x v="1"/>
  </r>
  <r>
    <x v="1"/>
  </r>
  <r>
    <x v="10"/>
  </r>
  <r>
    <x v="12"/>
  </r>
  <r>
    <x v="12"/>
  </r>
  <r>
    <x v="12"/>
  </r>
  <r>
    <x v="37"/>
  </r>
  <r>
    <x v="37"/>
  </r>
  <r>
    <x v="37"/>
  </r>
  <r>
    <x v="123"/>
  </r>
  <r>
    <x v="123"/>
  </r>
  <r>
    <x v="123"/>
  </r>
  <r>
    <x v="123"/>
  </r>
  <r>
    <x v="123"/>
  </r>
  <r>
    <x v="12"/>
  </r>
  <r>
    <x v="16"/>
  </r>
  <r>
    <x v="12"/>
  </r>
  <r>
    <x v="12"/>
  </r>
  <r>
    <x v="37"/>
  </r>
  <r>
    <x v="144"/>
  </r>
  <r>
    <x v="37"/>
  </r>
  <r>
    <x v="2"/>
  </r>
  <r>
    <x v="37"/>
  </r>
  <r>
    <x v="0"/>
  </r>
  <r>
    <x v="37"/>
  </r>
  <r>
    <x v="37"/>
  </r>
  <r>
    <x v="37"/>
  </r>
  <r>
    <x v="37"/>
  </r>
  <r>
    <x v="242"/>
  </r>
  <r>
    <x v="0"/>
  </r>
  <r>
    <x v="51"/>
  </r>
  <r>
    <x v="4"/>
  </r>
  <r>
    <x v="4"/>
  </r>
  <r>
    <x v="4"/>
  </r>
  <r>
    <x v="243"/>
  </r>
  <r>
    <x v="19"/>
  </r>
  <r>
    <x v="0"/>
  </r>
  <r>
    <x v="7"/>
  </r>
  <r>
    <x v="0"/>
  </r>
  <r>
    <x v="138"/>
  </r>
  <r>
    <x v="0"/>
  </r>
  <r>
    <x v="12"/>
  </r>
  <r>
    <x v="37"/>
  </r>
  <r>
    <x v="19"/>
  </r>
  <r>
    <x v="48"/>
  </r>
  <r>
    <x v="48"/>
  </r>
  <r>
    <x v="123"/>
  </r>
  <r>
    <x v="123"/>
  </r>
  <r>
    <x v="123"/>
  </r>
  <r>
    <x v="123"/>
  </r>
  <r>
    <x v="7"/>
  </r>
  <r>
    <x v="25"/>
  </r>
  <r>
    <x v="76"/>
  </r>
  <r>
    <x v="4"/>
  </r>
  <r>
    <x v="12"/>
  </r>
  <r>
    <x v="169"/>
  </r>
  <r>
    <x v="169"/>
  </r>
  <r>
    <x v="63"/>
  </r>
  <r>
    <x v="7"/>
  </r>
  <r>
    <x v="12"/>
  </r>
  <r>
    <x v="23"/>
  </r>
  <r>
    <x v="12"/>
  </r>
  <r>
    <x v="45"/>
  </r>
  <r>
    <x v="7"/>
  </r>
  <r>
    <x v="7"/>
  </r>
  <r>
    <x v="14"/>
  </r>
  <r>
    <x v="0"/>
  </r>
  <r>
    <x v="12"/>
  </r>
  <r>
    <x v="0"/>
  </r>
  <r>
    <x v="16"/>
  </r>
  <r>
    <x v="4"/>
  </r>
  <r>
    <x v="4"/>
  </r>
  <r>
    <x v="152"/>
  </r>
  <r>
    <x v="42"/>
  </r>
  <r>
    <x v="0"/>
  </r>
  <r>
    <x v="19"/>
  </r>
  <r>
    <x v="28"/>
  </r>
  <r>
    <x v="19"/>
  </r>
  <r>
    <x v="12"/>
  </r>
  <r>
    <x v="144"/>
  </r>
  <r>
    <x v="68"/>
  </r>
  <r>
    <x v="19"/>
  </r>
  <r>
    <x v="28"/>
  </r>
  <r>
    <x v="169"/>
  </r>
  <r>
    <x v="12"/>
  </r>
  <r>
    <x v="169"/>
  </r>
  <r>
    <x v="21"/>
  </r>
  <r>
    <x v="71"/>
  </r>
  <r>
    <x v="71"/>
  </r>
  <r>
    <x v="42"/>
  </r>
  <r>
    <x v="4"/>
  </r>
  <r>
    <x v="16"/>
  </r>
  <r>
    <x v="249"/>
  </r>
  <r>
    <x v="249"/>
  </r>
  <r>
    <x v="249"/>
  </r>
  <r>
    <x v="249"/>
  </r>
  <r>
    <x v="249"/>
  </r>
  <r>
    <x v="249"/>
  </r>
  <r>
    <x v="7"/>
  </r>
  <r>
    <x v="37"/>
  </r>
  <r>
    <x v="28"/>
  </r>
  <r>
    <x v="19"/>
  </r>
  <r>
    <x v="19"/>
  </r>
  <r>
    <x v="56"/>
  </r>
  <r>
    <x v="28"/>
  </r>
  <r>
    <x v="36"/>
  </r>
  <r>
    <x v="9"/>
  </r>
  <r>
    <x v="0"/>
  </r>
  <r>
    <x v="0"/>
  </r>
  <r>
    <x v="0"/>
  </r>
  <r>
    <x v="14"/>
  </r>
  <r>
    <x v="42"/>
  </r>
  <r>
    <x v="48"/>
  </r>
  <r>
    <x v="12"/>
  </r>
  <r>
    <x v="17"/>
  </r>
  <r>
    <x v="17"/>
  </r>
  <r>
    <x v="17"/>
  </r>
  <r>
    <x v="14"/>
  </r>
  <r>
    <x v="14"/>
  </r>
  <r>
    <x v="56"/>
  </r>
  <r>
    <x v="14"/>
  </r>
  <r>
    <x v="51"/>
  </r>
  <r>
    <x v="45"/>
  </r>
  <r>
    <x v="12"/>
  </r>
  <r>
    <x v="7"/>
  </r>
  <r>
    <x v="7"/>
  </r>
  <r>
    <x v="2"/>
  </r>
  <r>
    <x v="7"/>
  </r>
  <r>
    <x v="76"/>
  </r>
  <r>
    <x v="0"/>
  </r>
  <r>
    <x v="0"/>
  </r>
  <r>
    <x v="4"/>
  </r>
  <r>
    <x v="4"/>
  </r>
  <r>
    <x v="4"/>
  </r>
  <r>
    <x v="4"/>
  </r>
  <r>
    <x v="4"/>
  </r>
  <r>
    <x v="2"/>
  </r>
  <r>
    <x v="234"/>
  </r>
  <r>
    <x v="87"/>
  </r>
  <r>
    <x v="87"/>
  </r>
  <r>
    <x v="87"/>
  </r>
  <r>
    <x v="87"/>
  </r>
  <r>
    <x v="12"/>
  </r>
  <r>
    <x v="19"/>
  </r>
  <r>
    <x v="123"/>
  </r>
  <r>
    <x v="28"/>
  </r>
  <r>
    <x v="19"/>
  </r>
  <r>
    <x v="16"/>
  </r>
  <r>
    <x v="28"/>
  </r>
  <r>
    <x v="19"/>
  </r>
  <r>
    <x v="24"/>
  </r>
  <r>
    <x v="24"/>
  </r>
  <r>
    <x v="10"/>
  </r>
  <r>
    <x v="22"/>
  </r>
  <r>
    <x v="14"/>
  </r>
  <r>
    <x v="24"/>
  </r>
  <r>
    <x v="53"/>
  </r>
  <r>
    <x v="23"/>
  </r>
  <r>
    <x v="4"/>
  </r>
  <r>
    <x v="36"/>
  </r>
  <r>
    <x v="0"/>
  </r>
  <r>
    <x v="51"/>
  </r>
  <r>
    <x v="0"/>
  </r>
  <r>
    <x v="0"/>
  </r>
  <r>
    <x v="0"/>
  </r>
  <r>
    <x v="21"/>
  </r>
  <r>
    <x v="30"/>
  </r>
  <r>
    <x v="48"/>
  </r>
  <r>
    <x v="26"/>
  </r>
  <r>
    <x v="46"/>
  </r>
  <r>
    <x v="46"/>
  </r>
  <r>
    <x v="12"/>
  </r>
  <r>
    <x v="12"/>
  </r>
  <r>
    <x v="0"/>
  </r>
  <r>
    <x v="26"/>
  </r>
  <r>
    <x v="26"/>
  </r>
  <r>
    <x v="16"/>
  </r>
  <r>
    <x v="16"/>
  </r>
  <r>
    <x v="16"/>
  </r>
  <r>
    <x v="26"/>
  </r>
  <r>
    <x v="26"/>
  </r>
  <r>
    <x v="2"/>
  </r>
  <r>
    <x v="2"/>
  </r>
  <r>
    <x v="2"/>
  </r>
  <r>
    <x v="26"/>
  </r>
  <r>
    <x v="79"/>
  </r>
  <r>
    <x v="26"/>
  </r>
  <r>
    <x v="2"/>
  </r>
  <r>
    <x v="53"/>
  </r>
  <r>
    <x v="143"/>
  </r>
  <r>
    <x v="26"/>
  </r>
  <r>
    <x v="42"/>
  </r>
  <r>
    <x v="115"/>
  </r>
  <r>
    <x v="166"/>
  </r>
  <r>
    <x v="19"/>
  </r>
  <r>
    <x v="16"/>
  </r>
  <r>
    <x v="72"/>
  </r>
  <r>
    <x v="12"/>
  </r>
  <r>
    <x v="0"/>
  </r>
  <r>
    <x v="0"/>
  </r>
  <r>
    <x v="61"/>
  </r>
  <r>
    <x v="42"/>
  </r>
  <r>
    <x v="26"/>
  </r>
  <r>
    <x v="42"/>
  </r>
  <r>
    <x v="0"/>
  </r>
  <r>
    <x v="26"/>
  </r>
  <r>
    <x v="0"/>
  </r>
  <r>
    <x v="42"/>
  </r>
  <r>
    <x v="26"/>
  </r>
  <r>
    <x v="54"/>
  </r>
  <r>
    <x v="26"/>
  </r>
  <r>
    <x v="16"/>
  </r>
  <r>
    <x v="0"/>
  </r>
  <r>
    <x v="37"/>
  </r>
  <r>
    <x v="10"/>
  </r>
  <r>
    <x v="26"/>
  </r>
  <r>
    <x v="17"/>
  </r>
  <r>
    <x v="31"/>
  </r>
  <r>
    <x v="0"/>
  </r>
  <r>
    <x v="48"/>
  </r>
  <r>
    <x v="17"/>
  </r>
  <r>
    <x v="7"/>
  </r>
  <r>
    <x v="26"/>
  </r>
  <r>
    <x v="0"/>
  </r>
  <r>
    <x v="10"/>
  </r>
  <r>
    <x v="0"/>
  </r>
  <r>
    <x v="8"/>
  </r>
  <r>
    <x v="14"/>
  </r>
  <r>
    <x v="24"/>
  </r>
  <r>
    <x v="28"/>
  </r>
  <r>
    <x v="166"/>
  </r>
  <r>
    <x v="71"/>
  </r>
  <r>
    <x v="31"/>
  </r>
  <r>
    <x v="26"/>
  </r>
  <r>
    <x v="26"/>
  </r>
  <r>
    <x v="0"/>
  </r>
  <r>
    <x v="63"/>
  </r>
  <r>
    <x v="21"/>
  </r>
  <r>
    <x v="56"/>
  </r>
  <r>
    <x v="130"/>
  </r>
  <r>
    <x v="130"/>
  </r>
  <r>
    <x v="9"/>
  </r>
  <r>
    <x v="28"/>
  </r>
  <r>
    <x v="224"/>
  </r>
  <r>
    <x v="34"/>
  </r>
  <r>
    <x v="9"/>
  </r>
  <r>
    <x v="152"/>
  </r>
  <r>
    <x v="152"/>
  </r>
  <r>
    <x v="152"/>
  </r>
  <r>
    <x v="25"/>
  </r>
  <r>
    <x v="79"/>
  </r>
  <r>
    <x v="29"/>
  </r>
  <r>
    <x v="29"/>
  </r>
  <r>
    <x v="26"/>
  </r>
  <r>
    <x v="144"/>
  </r>
  <r>
    <x v="28"/>
  </r>
  <r>
    <x v="7"/>
  </r>
  <r>
    <x v="14"/>
  </r>
  <r>
    <x v="14"/>
  </r>
  <r>
    <x v="21"/>
  </r>
  <r>
    <x v="14"/>
  </r>
  <r>
    <x v="21"/>
  </r>
  <r>
    <x v="0"/>
  </r>
  <r>
    <x v="16"/>
  </r>
  <r>
    <x v="14"/>
  </r>
  <r>
    <x v="49"/>
  </r>
  <r>
    <x v="79"/>
  </r>
  <r>
    <x v="43"/>
  </r>
  <r>
    <x v="4"/>
  </r>
  <r>
    <x v="0"/>
  </r>
  <r>
    <x v="87"/>
  </r>
  <r>
    <x v="14"/>
  </r>
  <r>
    <x v="14"/>
  </r>
  <r>
    <x v="14"/>
  </r>
  <r>
    <x v="60"/>
  </r>
  <r>
    <x v="11"/>
  </r>
  <r>
    <x v="4"/>
  </r>
  <r>
    <x v="14"/>
  </r>
  <r>
    <x v="14"/>
  </r>
  <r>
    <x v="64"/>
  </r>
  <r>
    <x v="37"/>
  </r>
  <r>
    <x v="14"/>
  </r>
  <r>
    <x v="14"/>
  </r>
  <r>
    <x v="41"/>
  </r>
  <r>
    <x v="18"/>
  </r>
  <r>
    <x v="2"/>
  </r>
  <r>
    <x v="4"/>
  </r>
  <r>
    <x v="34"/>
  </r>
  <r>
    <x v="130"/>
  </r>
  <r>
    <x v="130"/>
  </r>
  <r>
    <x v="78"/>
  </r>
  <r>
    <x v="78"/>
  </r>
  <r>
    <x v="32"/>
  </r>
  <r>
    <x v="160"/>
  </r>
  <r>
    <x v="16"/>
  </r>
  <r>
    <x v="31"/>
  </r>
  <r>
    <x v="42"/>
  </r>
  <r>
    <x v="0"/>
  </r>
  <r>
    <x v="138"/>
  </r>
  <r>
    <x v="42"/>
  </r>
  <r>
    <x v="4"/>
  </r>
  <r>
    <x v="12"/>
  </r>
  <r>
    <x v="4"/>
  </r>
  <r>
    <x v="4"/>
  </r>
  <r>
    <x v="9"/>
  </r>
  <r>
    <x v="102"/>
  </r>
  <r>
    <x v="4"/>
  </r>
  <r>
    <x v="12"/>
  </r>
  <r>
    <x v="55"/>
  </r>
  <r>
    <x v="12"/>
  </r>
  <r>
    <x v="10"/>
  </r>
  <r>
    <x v="55"/>
  </r>
  <r>
    <x v="12"/>
  </r>
  <r>
    <x v="24"/>
  </r>
  <r>
    <x v="2"/>
  </r>
  <r>
    <x v="21"/>
  </r>
  <r>
    <x v="84"/>
  </r>
  <r>
    <x v="0"/>
  </r>
  <r>
    <x v="0"/>
  </r>
  <r>
    <x v="32"/>
  </r>
  <r>
    <x v="10"/>
  </r>
  <r>
    <x v="17"/>
  </r>
  <r>
    <x v="29"/>
  </r>
  <r>
    <x v="1"/>
  </r>
  <r>
    <x v="174"/>
  </r>
  <r>
    <x v="0"/>
  </r>
  <r>
    <x v="24"/>
  </r>
  <r>
    <x v="0"/>
  </r>
  <r>
    <x v="0"/>
  </r>
  <r>
    <x v="0"/>
  </r>
  <r>
    <x v="2"/>
  </r>
  <r>
    <x v="2"/>
  </r>
  <r>
    <x v="0"/>
  </r>
  <r>
    <x v="0"/>
  </r>
  <r>
    <x v="12"/>
  </r>
  <r>
    <x v="12"/>
  </r>
  <r>
    <x v="12"/>
  </r>
  <r>
    <x v="45"/>
  </r>
  <r>
    <x v="29"/>
  </r>
  <r>
    <x v="152"/>
  </r>
  <r>
    <x v="17"/>
  </r>
  <r>
    <x v="152"/>
  </r>
  <r>
    <x v="76"/>
  </r>
  <r>
    <x v="25"/>
  </r>
  <r>
    <x v="45"/>
  </r>
  <r>
    <x v="17"/>
  </r>
  <r>
    <x v="45"/>
  </r>
  <r>
    <x v="45"/>
  </r>
  <r>
    <x v="45"/>
  </r>
  <r>
    <x v="29"/>
  </r>
  <r>
    <x v="0"/>
  </r>
  <r>
    <x v="4"/>
  </r>
  <r>
    <x v="122"/>
  </r>
  <r>
    <x v="122"/>
  </r>
  <r>
    <x v="53"/>
  </r>
  <r>
    <x v="4"/>
  </r>
  <r>
    <x v="53"/>
  </r>
  <r>
    <x v="24"/>
  </r>
  <r>
    <x v="251"/>
  </r>
  <r>
    <x v="23"/>
  </r>
  <r>
    <x v="36"/>
  </r>
  <r>
    <x v="3"/>
  </r>
  <r>
    <x v="53"/>
  </r>
  <r>
    <x v="23"/>
  </r>
  <r>
    <x v="78"/>
  </r>
  <r>
    <x v="10"/>
  </r>
  <r>
    <x v="20"/>
  </r>
  <r>
    <x v="87"/>
  </r>
  <r>
    <x v="252"/>
  </r>
  <r>
    <x v="16"/>
  </r>
  <r>
    <x v="115"/>
  </r>
  <r>
    <x v="16"/>
  </r>
  <r>
    <x v="10"/>
  </r>
  <r>
    <x v="37"/>
  </r>
  <r>
    <x v="42"/>
  </r>
  <r>
    <x v="0"/>
  </r>
  <r>
    <x v="21"/>
  </r>
  <r>
    <x v="7"/>
  </r>
  <r>
    <x v="24"/>
  </r>
  <r>
    <x v="7"/>
  </r>
  <r>
    <x v="10"/>
  </r>
  <r>
    <x v="123"/>
  </r>
  <r>
    <x v="4"/>
  </r>
  <r>
    <x v="4"/>
  </r>
  <r>
    <x v="0"/>
  </r>
  <r>
    <x v="0"/>
  </r>
  <r>
    <x v="10"/>
  </r>
  <r>
    <x v="19"/>
  </r>
  <r>
    <x v="11"/>
  </r>
  <r>
    <x v="7"/>
  </r>
  <r>
    <x v="165"/>
  </r>
  <r>
    <x v="12"/>
  </r>
  <r>
    <x v="19"/>
  </r>
  <r>
    <x v="9"/>
  </r>
  <r>
    <x v="37"/>
  </r>
  <r>
    <x v="37"/>
  </r>
  <r>
    <x v="28"/>
  </r>
  <r>
    <x v="21"/>
  </r>
  <r>
    <x v="0"/>
  </r>
  <r>
    <x v="14"/>
  </r>
  <r>
    <x v="112"/>
  </r>
  <r>
    <x v="0"/>
  </r>
  <r>
    <x v="24"/>
  </r>
  <r>
    <x v="59"/>
  </r>
  <r>
    <x v="0"/>
  </r>
  <r>
    <x v="0"/>
  </r>
  <r>
    <x v="182"/>
  </r>
  <r>
    <x v="48"/>
  </r>
  <r>
    <x v="0"/>
  </r>
  <r>
    <x v="80"/>
  </r>
  <r>
    <x v="21"/>
  </r>
  <r>
    <x v="21"/>
  </r>
  <r>
    <x v="0"/>
  </r>
  <r>
    <x v="14"/>
  </r>
  <r>
    <x v="0"/>
  </r>
  <r>
    <x v="0"/>
  </r>
  <r>
    <x v="123"/>
  </r>
  <r>
    <x v="4"/>
  </r>
  <r>
    <x v="0"/>
  </r>
  <r>
    <x v="23"/>
  </r>
  <r>
    <x v="122"/>
  </r>
  <r>
    <x v="0"/>
  </r>
  <r>
    <x v="4"/>
  </r>
  <r>
    <x v="4"/>
  </r>
  <r>
    <x v="28"/>
  </r>
  <r>
    <x v="28"/>
  </r>
  <r>
    <x v="123"/>
  </r>
  <r>
    <x v="0"/>
  </r>
  <r>
    <x v="0"/>
  </r>
  <r>
    <x v="50"/>
  </r>
  <r>
    <x v="7"/>
  </r>
  <r>
    <x v="42"/>
  </r>
  <r>
    <x v="0"/>
  </r>
  <r>
    <x v="123"/>
  </r>
  <r>
    <x v="10"/>
  </r>
  <r>
    <x v="141"/>
  </r>
  <r>
    <x v="24"/>
  </r>
  <r>
    <x v="31"/>
  </r>
  <r>
    <x v="24"/>
  </r>
  <r>
    <x v="0"/>
  </r>
  <r>
    <x v="4"/>
  </r>
  <r>
    <x v="10"/>
  </r>
  <r>
    <x v="33"/>
  </r>
  <r>
    <x v="175"/>
  </r>
  <r>
    <x v="79"/>
  </r>
  <r>
    <x v="139"/>
  </r>
  <r>
    <x v="10"/>
  </r>
  <r>
    <x v="10"/>
  </r>
  <r>
    <x v="1"/>
  </r>
  <r>
    <x v="4"/>
  </r>
  <r>
    <x v="7"/>
  </r>
  <r>
    <x v="19"/>
  </r>
  <r>
    <x v="86"/>
  </r>
  <r>
    <x v="15"/>
  </r>
  <r>
    <x v="22"/>
  </r>
  <r>
    <x v="22"/>
  </r>
  <r>
    <x v="22"/>
  </r>
  <r>
    <x v="24"/>
  </r>
  <r>
    <x v="2"/>
  </r>
  <r>
    <x v="7"/>
  </r>
  <r>
    <x v="15"/>
  </r>
  <r>
    <x v="7"/>
  </r>
  <r>
    <x v="7"/>
  </r>
  <r>
    <x v="19"/>
  </r>
  <r>
    <x v="4"/>
  </r>
  <r>
    <x v="4"/>
  </r>
  <r>
    <x v="10"/>
  </r>
  <r>
    <x v="28"/>
  </r>
  <r>
    <x v="17"/>
  </r>
  <r>
    <x v="28"/>
  </r>
  <r>
    <x v="12"/>
  </r>
  <r>
    <x v="4"/>
  </r>
  <r>
    <x v="71"/>
  </r>
  <r>
    <x v="55"/>
  </r>
  <r>
    <x v="2"/>
  </r>
  <r>
    <x v="42"/>
  </r>
  <r>
    <x v="2"/>
  </r>
  <r>
    <x v="12"/>
  </r>
  <r>
    <x v="4"/>
  </r>
  <r>
    <x v="12"/>
  </r>
  <r>
    <x v="0"/>
  </r>
  <r>
    <x v="10"/>
  </r>
  <r>
    <x v="45"/>
  </r>
  <r>
    <x v="4"/>
  </r>
  <r>
    <x v="9"/>
  </r>
  <r>
    <x v="9"/>
  </r>
  <r>
    <x v="42"/>
  </r>
  <r>
    <x v="12"/>
  </r>
  <r>
    <x v="12"/>
  </r>
  <r>
    <x v="4"/>
  </r>
  <r>
    <x v="4"/>
  </r>
  <r>
    <x v="81"/>
  </r>
  <r>
    <x v="45"/>
  </r>
  <r>
    <x v="45"/>
  </r>
  <r>
    <x v="81"/>
  </r>
  <r>
    <x v="45"/>
  </r>
  <r>
    <x v="45"/>
  </r>
  <r>
    <x v="12"/>
  </r>
  <r>
    <x v="12"/>
  </r>
  <r>
    <x v="57"/>
  </r>
  <r>
    <x v="51"/>
  </r>
  <r>
    <x v="28"/>
  </r>
  <r>
    <x v="12"/>
  </r>
  <r>
    <x v="42"/>
  </r>
  <r>
    <x v="12"/>
  </r>
  <r>
    <x v="10"/>
  </r>
  <r>
    <x v="42"/>
  </r>
  <r>
    <x v="0"/>
  </r>
  <r>
    <x v="42"/>
  </r>
  <r>
    <x v="48"/>
  </r>
  <r>
    <x v="48"/>
  </r>
  <r>
    <x v="240"/>
  </r>
  <r>
    <x v="4"/>
  </r>
  <r>
    <x v="10"/>
  </r>
  <r>
    <x v="28"/>
  </r>
  <r>
    <x v="0"/>
  </r>
  <r>
    <x v="0"/>
  </r>
  <r>
    <x v="25"/>
  </r>
  <r>
    <x v="76"/>
  </r>
  <r>
    <x v="25"/>
  </r>
  <r>
    <x v="24"/>
  </r>
  <r>
    <x v="7"/>
  </r>
  <r>
    <x v="123"/>
  </r>
  <r>
    <x v="9"/>
  </r>
  <r>
    <x v="4"/>
  </r>
  <r>
    <x v="4"/>
  </r>
  <r>
    <x v="10"/>
  </r>
  <r>
    <x v="0"/>
  </r>
  <r>
    <x v="123"/>
  </r>
  <r>
    <x v="12"/>
  </r>
  <r>
    <x v="0"/>
  </r>
  <r>
    <x v="63"/>
  </r>
  <r>
    <x v="7"/>
  </r>
  <r>
    <x v="7"/>
  </r>
  <r>
    <x v="14"/>
  </r>
  <r>
    <x v="12"/>
  </r>
  <r>
    <x v="4"/>
  </r>
  <r>
    <x v="4"/>
  </r>
  <r>
    <x v="4"/>
  </r>
  <r>
    <x v="72"/>
  </r>
  <r>
    <x v="2"/>
  </r>
  <r>
    <x v="16"/>
  </r>
  <r>
    <x v="16"/>
  </r>
  <r>
    <x v="16"/>
  </r>
  <r>
    <x v="28"/>
  </r>
  <r>
    <x v="7"/>
  </r>
  <r>
    <x v="7"/>
  </r>
  <r>
    <x v="33"/>
  </r>
  <r>
    <x v="14"/>
  </r>
  <r>
    <x v="14"/>
  </r>
  <r>
    <x v="7"/>
  </r>
  <r>
    <x v="7"/>
  </r>
  <r>
    <x v="7"/>
  </r>
  <r>
    <x v="79"/>
  </r>
  <r>
    <x v="79"/>
  </r>
  <r>
    <x v="79"/>
  </r>
  <r>
    <x v="165"/>
  </r>
  <r>
    <x v="19"/>
  </r>
  <r>
    <x v="87"/>
  </r>
  <r>
    <x v="51"/>
  </r>
  <r>
    <x v="12"/>
  </r>
  <r>
    <x v="9"/>
  </r>
  <r>
    <x v="10"/>
  </r>
  <r>
    <x v="10"/>
  </r>
  <r>
    <x v="10"/>
  </r>
  <r>
    <x v="51"/>
  </r>
  <r>
    <x v="0"/>
  </r>
  <r>
    <x v="28"/>
  </r>
  <r>
    <x v="12"/>
  </r>
  <r>
    <x v="141"/>
  </r>
  <r>
    <x v="86"/>
  </r>
  <r>
    <x v="0"/>
  </r>
  <r>
    <x v="0"/>
  </r>
  <r>
    <x v="63"/>
  </r>
  <r>
    <x v="10"/>
  </r>
  <r>
    <x v="10"/>
  </r>
  <r>
    <x v="10"/>
  </r>
  <r>
    <x v="6"/>
  </r>
  <r>
    <x v="77"/>
  </r>
  <r>
    <x v="78"/>
  </r>
  <r>
    <x v="29"/>
  </r>
  <r>
    <x v="29"/>
  </r>
  <r>
    <x v="63"/>
  </r>
  <r>
    <x v="4"/>
  </r>
  <r>
    <x v="165"/>
  </r>
  <r>
    <x v="78"/>
  </r>
  <r>
    <x v="165"/>
  </r>
  <r>
    <x v="16"/>
  </r>
  <r>
    <x v="19"/>
  </r>
  <r>
    <x v="25"/>
  </r>
  <r>
    <x v="28"/>
  </r>
  <r>
    <x v="29"/>
  </r>
  <r>
    <x v="4"/>
  </r>
  <r>
    <x v="6"/>
  </r>
  <r>
    <x v="4"/>
  </r>
  <r>
    <x v="0"/>
  </r>
  <r>
    <x v="77"/>
  </r>
  <r>
    <x v="77"/>
  </r>
  <r>
    <x v="227"/>
  </r>
  <r>
    <x v="12"/>
  </r>
  <r>
    <x v="41"/>
  </r>
  <r>
    <x v="68"/>
  </r>
  <r>
    <x v="0"/>
  </r>
  <r>
    <x v="152"/>
  </r>
  <r>
    <x v="56"/>
  </r>
  <r>
    <x v="130"/>
  </r>
  <r>
    <x v="130"/>
  </r>
  <r>
    <x v="7"/>
  </r>
  <r>
    <x v="10"/>
  </r>
  <r>
    <x v="24"/>
  </r>
  <r>
    <x v="17"/>
  </r>
  <r>
    <x v="9"/>
  </r>
  <r>
    <x v="0"/>
  </r>
  <r>
    <x v="4"/>
  </r>
  <r>
    <x v="7"/>
  </r>
  <r>
    <x v="7"/>
  </r>
  <r>
    <x v="123"/>
  </r>
  <r>
    <x v="125"/>
  </r>
  <r>
    <x v="125"/>
  </r>
  <r>
    <x v="125"/>
  </r>
  <r>
    <x v="125"/>
  </r>
  <r>
    <x v="152"/>
  </r>
  <r>
    <x v="71"/>
  </r>
  <r>
    <x v="42"/>
  </r>
  <r>
    <x v="71"/>
  </r>
  <r>
    <x v="10"/>
  </r>
  <r>
    <x v="45"/>
  </r>
  <r>
    <x v="45"/>
  </r>
  <r>
    <x v="7"/>
  </r>
  <r>
    <x v="7"/>
  </r>
  <r>
    <x v="59"/>
  </r>
  <r>
    <x v="63"/>
  </r>
  <r>
    <x v="20"/>
  </r>
  <r>
    <x v="42"/>
  </r>
  <r>
    <x v="19"/>
  </r>
  <r>
    <x v="4"/>
  </r>
  <r>
    <x v="10"/>
  </r>
  <r>
    <x v="10"/>
  </r>
  <r>
    <x v="0"/>
  </r>
  <r>
    <x v="3"/>
  </r>
  <r>
    <x v="3"/>
  </r>
  <r>
    <x v="3"/>
  </r>
  <r>
    <x v="10"/>
  </r>
  <r>
    <x v="45"/>
  </r>
  <r>
    <x v="79"/>
  </r>
  <r>
    <x v="28"/>
  </r>
  <r>
    <x v="19"/>
  </r>
  <r>
    <x v="19"/>
  </r>
  <r>
    <x v="57"/>
  </r>
  <r>
    <x v="57"/>
  </r>
  <r>
    <x v="7"/>
  </r>
  <r>
    <x v="7"/>
  </r>
  <r>
    <x v="7"/>
  </r>
  <r>
    <x v="12"/>
  </r>
  <r>
    <x v="12"/>
  </r>
  <r>
    <x v="45"/>
  </r>
  <r>
    <x v="12"/>
  </r>
  <r>
    <x v="12"/>
  </r>
  <r>
    <x v="47"/>
  </r>
  <r>
    <x v="71"/>
  </r>
  <r>
    <x v="42"/>
  </r>
  <r>
    <x v="42"/>
  </r>
  <r>
    <x v="71"/>
  </r>
  <r>
    <x v="12"/>
  </r>
  <r>
    <x v="10"/>
  </r>
  <r>
    <x v="28"/>
  </r>
  <r>
    <x v="6"/>
  </r>
  <r>
    <x v="42"/>
  </r>
  <r>
    <x v="6"/>
  </r>
  <r>
    <x v="42"/>
  </r>
  <r>
    <x v="4"/>
  </r>
  <r>
    <x v="51"/>
  </r>
  <r>
    <x v="51"/>
  </r>
  <r>
    <x v="51"/>
  </r>
  <r>
    <x v="48"/>
  </r>
  <r>
    <x v="4"/>
  </r>
  <r>
    <x v="7"/>
  </r>
  <r>
    <x v="7"/>
  </r>
  <r>
    <x v="7"/>
  </r>
  <r>
    <x v="0"/>
  </r>
  <r>
    <x v="2"/>
  </r>
  <r>
    <x v="22"/>
  </r>
  <r>
    <x v="51"/>
  </r>
  <r>
    <x v="51"/>
  </r>
  <r>
    <x v="10"/>
  </r>
  <r>
    <x v="108"/>
  </r>
  <r>
    <x v="51"/>
  </r>
  <r>
    <x v="25"/>
  </r>
  <r>
    <x v="37"/>
  </r>
  <r>
    <x v="34"/>
  </r>
  <r>
    <x v="16"/>
  </r>
  <r>
    <x v="16"/>
  </r>
  <r>
    <x v="16"/>
  </r>
  <r>
    <x v="63"/>
  </r>
  <r>
    <x v="63"/>
  </r>
  <r>
    <x v="12"/>
  </r>
  <r>
    <x v="1"/>
  </r>
  <r>
    <x v="16"/>
  </r>
  <r>
    <x v="16"/>
  </r>
  <r>
    <x v="16"/>
  </r>
  <r>
    <x v="14"/>
  </r>
  <r>
    <x v="57"/>
  </r>
  <r>
    <x v="19"/>
  </r>
  <r>
    <x v="12"/>
  </r>
  <r>
    <x v="51"/>
  </r>
  <r>
    <x v="51"/>
  </r>
  <r>
    <x v="51"/>
  </r>
  <r>
    <x v="22"/>
  </r>
  <r>
    <x v="4"/>
  </r>
  <r>
    <x v="0"/>
  </r>
  <r>
    <x v="1"/>
  </r>
  <r>
    <x v="1"/>
  </r>
  <r>
    <x v="1"/>
  </r>
  <r>
    <x v="1"/>
  </r>
  <r>
    <x v="1"/>
  </r>
  <r>
    <x v="1"/>
  </r>
  <r>
    <x v="69"/>
  </r>
  <r>
    <x v="4"/>
  </r>
  <r>
    <x v="12"/>
  </r>
  <r>
    <x v="12"/>
  </r>
  <r>
    <x v="12"/>
  </r>
  <r>
    <x v="12"/>
  </r>
  <r>
    <x v="12"/>
  </r>
  <r>
    <x v="12"/>
  </r>
  <r>
    <x v="1"/>
  </r>
  <r>
    <x v="51"/>
  </r>
  <r>
    <x v="51"/>
  </r>
  <r>
    <x v="51"/>
  </r>
  <r>
    <x v="51"/>
  </r>
  <r>
    <x v="51"/>
  </r>
  <r>
    <x v="51"/>
  </r>
  <r>
    <x v="51"/>
  </r>
  <r>
    <x v="51"/>
  </r>
  <r>
    <x v="4"/>
  </r>
  <r>
    <x v="21"/>
  </r>
  <r>
    <x v="51"/>
  </r>
  <r>
    <x v="4"/>
  </r>
  <r>
    <x v="4"/>
  </r>
  <r>
    <x v="3"/>
  </r>
  <r>
    <x v="108"/>
  </r>
  <r>
    <x v="47"/>
  </r>
  <r>
    <x v="0"/>
  </r>
  <r>
    <x v="41"/>
  </r>
  <r>
    <x v="10"/>
  </r>
  <r>
    <x v="10"/>
  </r>
  <r>
    <x v="78"/>
  </r>
  <r>
    <x v="63"/>
  </r>
  <r>
    <x v="123"/>
  </r>
  <r>
    <x v="22"/>
  </r>
  <r>
    <x v="7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2"/>
  </r>
  <r>
    <x v="12"/>
  </r>
  <r>
    <x v="12"/>
  </r>
  <r>
    <x v="138"/>
  </r>
  <r>
    <x v="57"/>
  </r>
  <r>
    <x v="57"/>
  </r>
  <r>
    <x v="57"/>
  </r>
  <r>
    <x v="57"/>
  </r>
  <r>
    <x v="1"/>
  </r>
  <r>
    <x v="12"/>
  </r>
  <r>
    <x v="1"/>
  </r>
  <r>
    <x v="1"/>
  </r>
  <r>
    <x v="1"/>
  </r>
  <r>
    <x v="4"/>
  </r>
  <r>
    <x v="4"/>
  </r>
  <r>
    <x v="4"/>
  </r>
  <r>
    <x v="63"/>
  </r>
  <r>
    <x v="63"/>
  </r>
  <r>
    <x v="63"/>
  </r>
  <r>
    <x v="63"/>
  </r>
  <r>
    <x v="63"/>
  </r>
  <r>
    <x v="170"/>
  </r>
  <r>
    <x v="63"/>
  </r>
  <r>
    <x v="1"/>
  </r>
  <r>
    <x v="1"/>
  </r>
  <r>
    <x v="63"/>
  </r>
  <r>
    <x v="63"/>
  </r>
  <r>
    <x v="63"/>
  </r>
  <r>
    <x v="1"/>
  </r>
  <r>
    <x v="10"/>
  </r>
  <r>
    <x v="1"/>
  </r>
  <r>
    <x v="12"/>
  </r>
  <r>
    <x v="1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11"/>
  </r>
  <r>
    <x v="11"/>
  </r>
  <r>
    <x v="87"/>
  </r>
  <r>
    <x v="37"/>
  </r>
  <r>
    <x v="7"/>
  </r>
  <r>
    <x v="144"/>
  </r>
  <r>
    <x v="16"/>
  </r>
  <r>
    <x v="16"/>
  </r>
  <r>
    <x v="16"/>
  </r>
  <r>
    <x v="7"/>
  </r>
  <r>
    <x v="7"/>
  </r>
  <r>
    <x v="7"/>
  </r>
  <r>
    <x v="57"/>
  </r>
  <r>
    <x v="57"/>
  </r>
  <r>
    <x v="57"/>
  </r>
  <r>
    <x v="57"/>
  </r>
  <r>
    <x v="16"/>
  </r>
  <r>
    <x v="7"/>
  </r>
  <r>
    <x v="7"/>
  </r>
  <r>
    <x v="51"/>
  </r>
  <r>
    <x v="115"/>
  </r>
  <r>
    <x v="28"/>
  </r>
  <r>
    <x v="28"/>
  </r>
  <r>
    <x v="78"/>
  </r>
  <r>
    <x v="80"/>
  </r>
  <r>
    <x v="80"/>
  </r>
  <r>
    <x v="80"/>
  </r>
  <r>
    <x v="80"/>
  </r>
  <r>
    <x v="50"/>
  </r>
  <r>
    <x v="50"/>
  </r>
  <r>
    <x v="12"/>
  </r>
  <r>
    <x v="31"/>
  </r>
  <r>
    <x v="57"/>
  </r>
  <r>
    <x v="57"/>
  </r>
  <r>
    <x v="57"/>
  </r>
  <r>
    <x v="79"/>
  </r>
  <r>
    <x v="79"/>
  </r>
  <r>
    <x v="1"/>
  </r>
  <r>
    <x v="1"/>
  </r>
  <r>
    <x v="12"/>
  </r>
  <r>
    <x v="12"/>
  </r>
  <r>
    <x v="12"/>
  </r>
  <r>
    <x v="12"/>
  </r>
  <r>
    <x v="51"/>
  </r>
  <r>
    <x v="48"/>
  </r>
  <r>
    <x v="12"/>
  </r>
  <r>
    <x v="42"/>
  </r>
  <r>
    <x v="138"/>
  </r>
  <r>
    <x v="138"/>
  </r>
  <r>
    <x v="138"/>
  </r>
  <r>
    <x v="138"/>
  </r>
  <r>
    <x v="138"/>
  </r>
  <r>
    <x v="138"/>
  </r>
  <r>
    <x v="138"/>
  </r>
  <r>
    <x v="57"/>
  </r>
  <r>
    <x v="42"/>
  </r>
  <r>
    <x v="41"/>
  </r>
  <r>
    <x v="56"/>
  </r>
  <r>
    <x v="25"/>
  </r>
  <r>
    <x v="11"/>
  </r>
  <r>
    <x v="21"/>
  </r>
  <r>
    <x v="46"/>
  </r>
  <r>
    <x v="55"/>
  </r>
  <r>
    <x v="60"/>
  </r>
  <r>
    <x v="34"/>
  </r>
  <r>
    <x v="11"/>
  </r>
  <r>
    <x v="34"/>
  </r>
  <r>
    <x v="41"/>
  </r>
  <r>
    <x v="45"/>
  </r>
  <r>
    <x v="8"/>
  </r>
  <r>
    <x v="123"/>
  </r>
  <r>
    <x v="115"/>
  </r>
  <r>
    <x v="14"/>
  </r>
  <r>
    <x v="31"/>
  </r>
  <r>
    <x v="14"/>
  </r>
  <r>
    <x v="114"/>
  </r>
  <r>
    <x v="10"/>
  </r>
  <r>
    <x v="10"/>
  </r>
  <r>
    <x v="10"/>
  </r>
  <r>
    <x v="76"/>
  </r>
  <r>
    <x v="10"/>
  </r>
  <r>
    <x v="71"/>
  </r>
  <r>
    <x v="71"/>
  </r>
  <r>
    <x v="71"/>
  </r>
  <r>
    <x v="71"/>
  </r>
  <r>
    <x v="36"/>
  </r>
  <r>
    <x v="14"/>
  </r>
  <r>
    <x v="122"/>
  </r>
  <r>
    <x v="127"/>
  </r>
  <r>
    <x v="157"/>
  </r>
  <r>
    <x v="10"/>
  </r>
  <r>
    <x v="0"/>
  </r>
  <r>
    <x v="10"/>
  </r>
  <r>
    <x v="4"/>
  </r>
  <r>
    <x v="8"/>
  </r>
  <r>
    <x v="28"/>
  </r>
  <r>
    <x v="4"/>
  </r>
  <r>
    <x v="12"/>
  </r>
  <r>
    <x v="12"/>
  </r>
  <r>
    <x v="111"/>
  </r>
  <r>
    <x v="52"/>
  </r>
  <r>
    <x v="53"/>
  </r>
  <r>
    <x v="14"/>
  </r>
  <r>
    <x v="14"/>
  </r>
  <r>
    <x v="14"/>
  </r>
  <r>
    <x v="21"/>
  </r>
  <r>
    <x v="14"/>
  </r>
  <r>
    <x v="7"/>
  </r>
  <r>
    <x v="28"/>
  </r>
  <r>
    <x v="56"/>
  </r>
  <r>
    <x v="56"/>
  </r>
  <r>
    <x v="53"/>
  </r>
  <r>
    <x v="29"/>
  </r>
  <r>
    <x v="4"/>
  </r>
  <r>
    <x v="4"/>
  </r>
  <r>
    <x v="37"/>
  </r>
  <r>
    <x v="28"/>
  </r>
  <r>
    <x v="115"/>
  </r>
  <r>
    <x v="4"/>
  </r>
  <r>
    <x v="10"/>
  </r>
  <r>
    <x v="10"/>
  </r>
  <r>
    <x v="9"/>
  </r>
  <r>
    <x v="21"/>
  </r>
  <r>
    <x v="181"/>
  </r>
  <r>
    <x v="7"/>
  </r>
  <r>
    <x v="10"/>
  </r>
  <r>
    <x v="17"/>
  </r>
  <r>
    <x v="123"/>
  </r>
  <r>
    <x v="123"/>
  </r>
  <r>
    <x v="50"/>
  </r>
  <r>
    <x v="4"/>
  </r>
  <r>
    <x v="56"/>
  </r>
  <r>
    <x v="162"/>
  </r>
  <r>
    <x v="10"/>
  </r>
  <r>
    <x v="115"/>
  </r>
  <r>
    <x v="2"/>
  </r>
  <r>
    <x v="0"/>
  </r>
  <r>
    <x v="37"/>
  </r>
  <r>
    <x v="37"/>
  </r>
  <r>
    <x v="12"/>
  </r>
  <r>
    <x v="123"/>
  </r>
  <r>
    <x v="12"/>
  </r>
  <r>
    <x v="16"/>
  </r>
  <r>
    <x v="17"/>
  </r>
  <r>
    <x v="6"/>
  </r>
  <r>
    <x v="42"/>
  </r>
  <r>
    <x v="45"/>
  </r>
  <r>
    <x v="36"/>
  </r>
  <r>
    <x v="10"/>
  </r>
  <r>
    <x v="21"/>
  </r>
  <r>
    <x v="9"/>
  </r>
  <r>
    <x v="68"/>
  </r>
  <r>
    <x v="12"/>
  </r>
  <r>
    <x v="19"/>
  </r>
  <r>
    <x v="60"/>
  </r>
  <r>
    <x v="24"/>
  </r>
  <r>
    <x v="15"/>
  </r>
  <r>
    <x v="7"/>
  </r>
  <r>
    <x v="16"/>
  </r>
  <r>
    <x v="16"/>
  </r>
  <r>
    <x v="6"/>
  </r>
  <r>
    <x v="7"/>
  </r>
  <r>
    <x v="6"/>
  </r>
  <r>
    <x v="37"/>
  </r>
  <r>
    <x v="57"/>
  </r>
  <r>
    <x v="57"/>
  </r>
  <r>
    <x v="57"/>
  </r>
  <r>
    <x v="28"/>
  </r>
  <r>
    <x v="28"/>
  </r>
  <r>
    <x v="63"/>
  </r>
  <r>
    <x v="166"/>
  </r>
  <r>
    <x v="166"/>
  </r>
  <r>
    <x v="166"/>
  </r>
  <r>
    <x v="51"/>
  </r>
  <r>
    <x v="51"/>
  </r>
  <r>
    <x v="166"/>
  </r>
  <r>
    <x v="51"/>
  </r>
  <r>
    <x v="4"/>
  </r>
  <r>
    <x v="87"/>
  </r>
  <r>
    <x v="29"/>
  </r>
  <r>
    <x v="162"/>
  </r>
  <r>
    <x v="29"/>
  </r>
  <r>
    <x v="29"/>
  </r>
  <r>
    <x v="29"/>
  </r>
  <r>
    <x v="16"/>
  </r>
  <r>
    <x v="12"/>
  </r>
  <r>
    <x v="12"/>
  </r>
  <r>
    <x v="16"/>
  </r>
  <r>
    <x v="162"/>
  </r>
  <r>
    <x v="162"/>
  </r>
  <r>
    <x v="162"/>
  </r>
  <r>
    <x v="14"/>
  </r>
  <r>
    <x v="45"/>
  </r>
  <r>
    <x v="1"/>
  </r>
  <r>
    <x v="4"/>
  </r>
  <r>
    <x v="162"/>
  </r>
  <r>
    <x v="6"/>
  </r>
  <r>
    <x v="162"/>
  </r>
  <r>
    <x v="162"/>
  </r>
  <r>
    <x v="71"/>
  </r>
  <r>
    <x v="48"/>
  </r>
  <r>
    <x v="7"/>
  </r>
  <r>
    <x v="37"/>
  </r>
  <r>
    <x v="37"/>
  </r>
  <r>
    <x v="28"/>
  </r>
  <r>
    <x v="63"/>
  </r>
  <r>
    <x v="0"/>
  </r>
  <r>
    <x v="45"/>
  </r>
  <r>
    <x v="45"/>
  </r>
  <r>
    <x v="16"/>
  </r>
  <r>
    <x v="7"/>
  </r>
  <r>
    <x v="7"/>
  </r>
  <r>
    <x v="16"/>
  </r>
  <r>
    <x v="0"/>
  </r>
  <r>
    <x v="10"/>
  </r>
  <r>
    <x v="0"/>
  </r>
  <r>
    <x v="0"/>
  </r>
  <r>
    <x v="15"/>
  </r>
  <r>
    <x v="4"/>
  </r>
  <r>
    <x v="4"/>
  </r>
  <r>
    <x v="7"/>
  </r>
  <r>
    <x v="19"/>
  </r>
  <r>
    <x v="0"/>
  </r>
  <r>
    <x v="12"/>
  </r>
  <r>
    <x v="12"/>
  </r>
  <r>
    <x v="0"/>
  </r>
  <r>
    <x v="16"/>
  </r>
  <r>
    <x v="89"/>
  </r>
  <r>
    <x v="56"/>
  </r>
  <r>
    <x v="12"/>
  </r>
  <r>
    <x v="12"/>
  </r>
  <r>
    <x v="4"/>
  </r>
  <r>
    <x v="0"/>
  </r>
  <r>
    <x v="4"/>
  </r>
  <r>
    <x v="12"/>
  </r>
  <r>
    <x v="12"/>
  </r>
  <r>
    <x v="12"/>
  </r>
  <r>
    <x v="12"/>
  </r>
  <r>
    <x v="0"/>
  </r>
  <r>
    <x v="86"/>
  </r>
  <r>
    <x v="0"/>
  </r>
  <r>
    <x v="19"/>
  </r>
  <r>
    <x v="14"/>
  </r>
  <r>
    <x v="56"/>
  </r>
  <r>
    <x v="141"/>
  </r>
  <r>
    <x v="33"/>
  </r>
  <r>
    <x v="19"/>
  </r>
  <r>
    <x v="144"/>
  </r>
  <r>
    <x v="1"/>
  </r>
  <r>
    <x v="1"/>
  </r>
  <r>
    <x v="1"/>
  </r>
  <r>
    <x v="128"/>
  </r>
  <r>
    <x v="11"/>
  </r>
  <r>
    <x v="63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141"/>
  </r>
  <r>
    <x v="45"/>
  </r>
  <r>
    <x v="63"/>
  </r>
  <r>
    <x v="63"/>
  </r>
  <r>
    <x v="63"/>
  </r>
  <r>
    <x v="0"/>
  </r>
  <r>
    <x v="63"/>
  </r>
  <r>
    <x v="169"/>
  </r>
  <r>
    <x v="19"/>
  </r>
  <r>
    <x v="141"/>
  </r>
  <r>
    <x v="19"/>
  </r>
  <r>
    <x v="33"/>
  </r>
  <r>
    <x v="12"/>
  </r>
  <r>
    <x v="37"/>
  </r>
  <r>
    <x v="12"/>
  </r>
  <r>
    <x v="9"/>
  </r>
  <r>
    <x v="63"/>
  </r>
  <r>
    <x v="45"/>
  </r>
  <r>
    <x v="45"/>
  </r>
  <r>
    <x v="52"/>
  </r>
  <r>
    <x v="25"/>
  </r>
  <r>
    <x v="76"/>
  </r>
  <r>
    <x v="76"/>
  </r>
  <r>
    <x v="7"/>
  </r>
  <r>
    <x v="48"/>
  </r>
  <r>
    <x v="9"/>
  </r>
  <r>
    <x v="45"/>
  </r>
  <r>
    <x v="71"/>
  </r>
  <r>
    <x v="141"/>
  </r>
  <r>
    <x v="63"/>
  </r>
  <r>
    <x v="51"/>
  </r>
  <r>
    <x v="16"/>
  </r>
  <r>
    <x v="141"/>
  </r>
  <r>
    <x v="4"/>
  </r>
  <r>
    <x v="10"/>
  </r>
  <r>
    <x v="12"/>
  </r>
  <r>
    <x v="12"/>
  </r>
  <r>
    <x v="12"/>
  </r>
  <r>
    <x v="162"/>
  </r>
  <r>
    <x v="45"/>
  </r>
  <r>
    <x v="0"/>
  </r>
  <r>
    <x v="37"/>
  </r>
  <r>
    <x v="12"/>
  </r>
  <r>
    <x v="12"/>
  </r>
  <r>
    <x v="19"/>
  </r>
  <r>
    <x v="155"/>
  </r>
  <r>
    <x v="51"/>
  </r>
  <r>
    <x v="48"/>
  </r>
  <r>
    <x v="10"/>
  </r>
  <r>
    <x v="48"/>
  </r>
  <r>
    <x v="155"/>
  </r>
  <r>
    <x v="10"/>
  </r>
  <r>
    <x v="155"/>
  </r>
  <r>
    <x v="155"/>
  </r>
  <r>
    <x v="155"/>
  </r>
  <r>
    <x v="72"/>
  </r>
  <r>
    <x v="180"/>
  </r>
  <r>
    <x v="7"/>
  </r>
  <r>
    <x v="141"/>
  </r>
  <r>
    <x v="12"/>
  </r>
  <r>
    <x v="2"/>
  </r>
  <r>
    <x v="2"/>
  </r>
  <r>
    <x v="2"/>
  </r>
  <r>
    <x v="4"/>
  </r>
  <r>
    <x v="22"/>
  </r>
  <r>
    <x v="22"/>
  </r>
  <r>
    <x v="42"/>
  </r>
  <r>
    <x v="108"/>
  </r>
  <r>
    <x v="10"/>
  </r>
  <r>
    <x v="7"/>
  </r>
  <r>
    <x v="55"/>
  </r>
  <r>
    <x v="10"/>
  </r>
  <r>
    <x v="25"/>
  </r>
  <r>
    <x v="25"/>
  </r>
  <r>
    <x v="138"/>
  </r>
  <r>
    <x v="138"/>
  </r>
  <r>
    <x v="19"/>
  </r>
  <r>
    <x v="0"/>
  </r>
  <r>
    <x v="0"/>
  </r>
  <r>
    <x v="71"/>
  </r>
  <r>
    <x v="16"/>
  </r>
  <r>
    <x v="138"/>
  </r>
  <r>
    <x v="72"/>
  </r>
  <r>
    <x v="72"/>
  </r>
  <r>
    <x v="9"/>
  </r>
  <r>
    <x v="77"/>
  </r>
  <r>
    <x v="0"/>
  </r>
  <r>
    <x v="0"/>
  </r>
  <r>
    <x v="0"/>
  </r>
  <r>
    <x v="28"/>
  </r>
  <r>
    <x v="0"/>
  </r>
  <r>
    <x v="4"/>
  </r>
  <r>
    <x v="242"/>
  </r>
  <r>
    <x v="242"/>
  </r>
  <r>
    <x v="45"/>
  </r>
  <r>
    <x v="2"/>
  </r>
  <r>
    <x v="7"/>
  </r>
  <r>
    <x v="7"/>
  </r>
  <r>
    <x v="57"/>
  </r>
  <r>
    <x v="7"/>
  </r>
  <r>
    <x v="42"/>
  </r>
  <r>
    <x v="37"/>
  </r>
  <r>
    <x v="51"/>
  </r>
  <r>
    <x v="37"/>
  </r>
  <r>
    <x v="6"/>
  </r>
  <r>
    <x v="6"/>
  </r>
  <r>
    <x v="166"/>
  </r>
  <r>
    <x v="166"/>
  </r>
  <r>
    <x v="166"/>
  </r>
  <r>
    <x v="123"/>
  </r>
  <r>
    <x v="57"/>
  </r>
  <r>
    <x v="57"/>
  </r>
  <r>
    <x v="57"/>
  </r>
  <r>
    <x v="48"/>
  </r>
  <r>
    <x v="123"/>
  </r>
  <r>
    <x v="123"/>
  </r>
  <r>
    <x v="123"/>
  </r>
  <r>
    <x v="14"/>
  </r>
  <r>
    <x v="63"/>
  </r>
  <r>
    <x v="7"/>
  </r>
  <r>
    <x v="123"/>
  </r>
  <r>
    <x v="123"/>
  </r>
  <r>
    <x v="6"/>
  </r>
  <r>
    <x v="6"/>
  </r>
  <r>
    <x v="45"/>
  </r>
  <r>
    <x v="45"/>
  </r>
  <r>
    <x v="71"/>
  </r>
  <r>
    <x v="7"/>
  </r>
  <r>
    <x v="6"/>
  </r>
  <r>
    <x v="7"/>
  </r>
  <r>
    <x v="6"/>
  </r>
  <r>
    <x v="45"/>
  </r>
  <r>
    <x v="45"/>
  </r>
  <r>
    <x v="7"/>
  </r>
  <r>
    <x v="12"/>
  </r>
  <r>
    <x v="7"/>
  </r>
  <r>
    <x v="162"/>
  </r>
  <r>
    <x v="162"/>
  </r>
  <r>
    <x v="162"/>
  </r>
  <r>
    <x v="7"/>
  </r>
  <r>
    <x v="1"/>
  </r>
  <r>
    <x v="7"/>
  </r>
  <r>
    <x v="7"/>
  </r>
  <r>
    <x v="7"/>
  </r>
  <r>
    <x v="63"/>
  </r>
  <r>
    <x v="14"/>
  </r>
  <r>
    <x v="42"/>
  </r>
  <r>
    <x v="42"/>
  </r>
  <r>
    <x v="42"/>
  </r>
  <r>
    <x v="42"/>
  </r>
  <r>
    <x v="42"/>
  </r>
  <r>
    <x v="76"/>
  </r>
  <r>
    <x v="76"/>
  </r>
  <r>
    <x v="6"/>
  </r>
  <r>
    <x v="63"/>
  </r>
  <r>
    <x v="28"/>
  </r>
  <r>
    <x v="63"/>
  </r>
  <r>
    <x v="28"/>
  </r>
  <r>
    <x v="77"/>
  </r>
  <r>
    <x v="4"/>
  </r>
  <r>
    <x v="42"/>
  </r>
  <r>
    <x v="42"/>
  </r>
  <r>
    <x v="42"/>
  </r>
  <r>
    <x v="64"/>
  </r>
  <r>
    <x v="42"/>
  </r>
  <r>
    <x v="17"/>
  </r>
  <r>
    <x v="42"/>
  </r>
  <r>
    <x v="71"/>
  </r>
  <r>
    <x v="37"/>
  </r>
  <r>
    <x v="1"/>
  </r>
  <r>
    <x v="123"/>
  </r>
  <r>
    <x v="163"/>
  </r>
  <r>
    <x v="37"/>
  </r>
  <r>
    <x v="7"/>
  </r>
  <r>
    <x v="51"/>
  </r>
  <r>
    <x v="37"/>
  </r>
  <r>
    <x v="7"/>
  </r>
  <r>
    <x v="37"/>
  </r>
  <r>
    <x v="37"/>
  </r>
  <r>
    <x v="12"/>
  </r>
  <r>
    <x v="7"/>
  </r>
  <r>
    <x v="7"/>
  </r>
  <r>
    <x v="6"/>
  </r>
  <r>
    <x v="1"/>
  </r>
  <r>
    <x v="28"/>
  </r>
  <r>
    <x v="28"/>
  </r>
  <r>
    <x v="28"/>
  </r>
  <r>
    <x v="42"/>
  </r>
  <r>
    <x v="28"/>
  </r>
  <r>
    <x v="28"/>
  </r>
  <r>
    <x v="162"/>
  </r>
  <r>
    <x v="162"/>
  </r>
  <r>
    <x v="37"/>
  </r>
  <r>
    <x v="37"/>
  </r>
  <r>
    <x v="28"/>
  </r>
  <r>
    <x v="14"/>
  </r>
  <r>
    <x v="14"/>
  </r>
  <r>
    <x v="71"/>
  </r>
  <r>
    <x v="37"/>
  </r>
  <r>
    <x v="7"/>
  </r>
  <r>
    <x v="45"/>
  </r>
  <r>
    <x v="19"/>
  </r>
  <r>
    <x v="57"/>
  </r>
  <r>
    <x v="28"/>
  </r>
  <r>
    <x v="42"/>
  </r>
  <r>
    <x v="123"/>
  </r>
  <r>
    <x v="42"/>
  </r>
  <r>
    <x v="42"/>
  </r>
  <r>
    <x v="123"/>
  </r>
  <r>
    <x v="14"/>
  </r>
  <r>
    <x v="28"/>
  </r>
  <r>
    <x v="28"/>
  </r>
  <r>
    <x v="12"/>
  </r>
  <r>
    <x v="57"/>
  </r>
  <r>
    <x v="57"/>
  </r>
  <r>
    <x v="42"/>
  </r>
  <r>
    <x v="57"/>
  </r>
  <r>
    <x v="42"/>
  </r>
  <r>
    <x v="42"/>
  </r>
  <r>
    <x v="42"/>
  </r>
  <r>
    <x v="51"/>
  </r>
  <r>
    <x v="42"/>
  </r>
  <r>
    <x v="42"/>
  </r>
  <r>
    <x v="37"/>
  </r>
  <r>
    <x v="123"/>
  </r>
  <r>
    <x v="123"/>
  </r>
  <r>
    <x v="42"/>
  </r>
  <r>
    <x v="42"/>
  </r>
  <r>
    <x v="42"/>
  </r>
  <r>
    <x v="138"/>
  </r>
  <r>
    <x v="162"/>
  </r>
  <r>
    <x v="7"/>
  </r>
  <r>
    <x v="7"/>
  </r>
  <r>
    <x v="7"/>
  </r>
  <r>
    <x v="6"/>
  </r>
  <r>
    <x v="6"/>
  </r>
  <r>
    <x v="21"/>
  </r>
  <r>
    <x v="7"/>
  </r>
  <r>
    <x v="7"/>
  </r>
  <r>
    <x v="42"/>
  </r>
  <r>
    <x v="16"/>
  </r>
  <r>
    <x v="16"/>
  </r>
  <r>
    <x v="16"/>
  </r>
  <r>
    <x v="45"/>
  </r>
  <r>
    <x v="42"/>
  </r>
  <r>
    <x v="37"/>
  </r>
  <r>
    <x v="37"/>
  </r>
  <r>
    <x v="45"/>
  </r>
  <r>
    <x v="57"/>
  </r>
  <r>
    <x v="42"/>
  </r>
  <r>
    <x v="14"/>
  </r>
  <r>
    <x v="87"/>
  </r>
  <r>
    <x v="12"/>
  </r>
  <r>
    <x v="147"/>
  </r>
  <r>
    <x v="161"/>
  </r>
  <r>
    <x v="1"/>
  </r>
  <r>
    <x v="188"/>
  </r>
  <r>
    <x v="27"/>
  </r>
  <r>
    <x v="27"/>
  </r>
  <r>
    <x v="131"/>
  </r>
  <r>
    <x v="52"/>
  </r>
  <r>
    <x v="42"/>
  </r>
  <r>
    <x v="42"/>
  </r>
  <r>
    <x v="28"/>
  </r>
  <r>
    <x v="28"/>
  </r>
  <r>
    <x v="28"/>
  </r>
  <r>
    <x v="28"/>
  </r>
  <r>
    <x v="28"/>
  </r>
  <r>
    <x v="14"/>
  </r>
  <r>
    <x v="14"/>
  </r>
  <r>
    <x v="23"/>
  </r>
  <r>
    <x v="4"/>
  </r>
  <r>
    <x v="42"/>
  </r>
  <r>
    <x v="42"/>
  </r>
  <r>
    <x v="64"/>
  </r>
  <r>
    <x v="143"/>
  </r>
  <r>
    <x v="143"/>
  </r>
  <r>
    <x v="143"/>
  </r>
  <r>
    <x v="9"/>
  </r>
  <r>
    <x v="9"/>
  </r>
  <r>
    <x v="9"/>
  </r>
  <r>
    <x v="4"/>
  </r>
  <r>
    <x v="45"/>
  </r>
  <r>
    <x v="115"/>
  </r>
  <r>
    <x v="115"/>
  </r>
  <r>
    <x v="115"/>
  </r>
  <r>
    <x v="71"/>
  </r>
  <r>
    <x v="71"/>
  </r>
  <r>
    <x v="6"/>
  </r>
  <r>
    <x v="11"/>
  </r>
  <r>
    <x v="21"/>
  </r>
  <r>
    <x v="34"/>
  </r>
  <r>
    <x v="14"/>
  </r>
  <r>
    <x v="49"/>
  </r>
  <r>
    <x v="42"/>
  </r>
  <r>
    <x v="0"/>
  </r>
  <r>
    <x v="24"/>
  </r>
  <r>
    <x v="111"/>
  </r>
  <r>
    <x v="24"/>
  </r>
  <r>
    <x v="59"/>
  </r>
  <r>
    <x v="86"/>
  </r>
  <r>
    <x v="2"/>
  </r>
  <r>
    <x v="21"/>
  </r>
  <r>
    <x v="28"/>
  </r>
  <r>
    <x v="28"/>
  </r>
  <r>
    <x v="28"/>
  </r>
  <r>
    <x v="135"/>
  </r>
  <r>
    <x v="71"/>
  </r>
  <r>
    <x v="36"/>
  </r>
  <r>
    <x v="83"/>
  </r>
  <r>
    <x v="86"/>
  </r>
  <r>
    <x v="22"/>
  </r>
  <r>
    <x v="86"/>
  </r>
  <r>
    <x v="64"/>
  </r>
  <r>
    <x v="135"/>
  </r>
  <r>
    <x v="135"/>
  </r>
  <r>
    <x v="31"/>
  </r>
  <r>
    <x v="0"/>
  </r>
  <r>
    <x v="0"/>
  </r>
  <r>
    <x v="0"/>
  </r>
  <r>
    <x v="0"/>
  </r>
  <r>
    <x v="28"/>
  </r>
  <r>
    <x v="10"/>
  </r>
  <r>
    <x v="71"/>
  </r>
  <r>
    <x v="71"/>
  </r>
  <r>
    <x v="71"/>
  </r>
  <r>
    <x v="11"/>
  </r>
  <r>
    <x v="11"/>
  </r>
  <r>
    <x v="12"/>
  </r>
  <r>
    <x v="10"/>
  </r>
  <r>
    <x v="135"/>
  </r>
  <r>
    <x v="42"/>
  </r>
  <r>
    <x v="42"/>
  </r>
  <r>
    <x v="135"/>
  </r>
  <r>
    <x v="11"/>
  </r>
  <r>
    <x v="9"/>
  </r>
  <r>
    <x v="9"/>
  </r>
  <r>
    <x v="9"/>
  </r>
  <r>
    <x v="9"/>
  </r>
  <r>
    <x v="4"/>
  </r>
  <r>
    <x v="71"/>
  </r>
  <r>
    <x v="71"/>
  </r>
  <r>
    <x v="71"/>
  </r>
  <r>
    <x v="71"/>
  </r>
  <r>
    <x v="45"/>
  </r>
  <r>
    <x v="42"/>
  </r>
  <r>
    <x v="0"/>
  </r>
  <r>
    <x v="0"/>
  </r>
  <r>
    <x v="1"/>
  </r>
  <r>
    <x v="14"/>
  </r>
  <r>
    <x v="9"/>
  </r>
  <r>
    <x v="0"/>
  </r>
  <r>
    <x v="11"/>
  </r>
  <r>
    <x v="135"/>
  </r>
  <r>
    <x v="64"/>
  </r>
  <r>
    <x v="7"/>
  </r>
  <r>
    <x v="12"/>
  </r>
  <r>
    <x v="12"/>
  </r>
  <r>
    <x v="19"/>
  </r>
  <r>
    <x v="10"/>
  </r>
  <r>
    <x v="12"/>
  </r>
  <r>
    <x v="12"/>
  </r>
  <r>
    <x v="12"/>
  </r>
  <r>
    <x v="12"/>
  </r>
  <r>
    <x v="71"/>
  </r>
  <r>
    <x v="39"/>
  </r>
  <r>
    <x v="52"/>
  </r>
  <r>
    <x v="12"/>
  </r>
  <r>
    <x v="9"/>
  </r>
  <r>
    <x v="12"/>
  </r>
  <r>
    <x v="12"/>
  </r>
  <r>
    <x v="9"/>
  </r>
  <r>
    <x v="53"/>
  </r>
  <r>
    <x v="71"/>
  </r>
  <r>
    <x v="144"/>
  </r>
  <r>
    <x v="86"/>
  </r>
  <r>
    <x v="86"/>
  </r>
  <r>
    <x v="7"/>
  </r>
  <r>
    <x v="34"/>
  </r>
  <r>
    <x v="34"/>
  </r>
  <r>
    <x v="12"/>
  </r>
  <r>
    <x v="12"/>
  </r>
  <r>
    <x v="7"/>
  </r>
  <r>
    <x v="17"/>
  </r>
  <r>
    <x v="57"/>
  </r>
  <r>
    <x v="12"/>
  </r>
  <r>
    <x v="34"/>
  </r>
  <r>
    <x v="9"/>
  </r>
  <r>
    <x v="17"/>
  </r>
  <r>
    <x v="17"/>
  </r>
  <r>
    <x v="17"/>
  </r>
  <r>
    <x v="21"/>
  </r>
  <r>
    <x v="198"/>
  </r>
  <r>
    <x v="24"/>
  </r>
  <r>
    <x v="9"/>
  </r>
  <r>
    <x v="9"/>
  </r>
  <r>
    <x v="34"/>
  </r>
  <r>
    <x v="15"/>
  </r>
  <r>
    <x v="12"/>
  </r>
  <r>
    <x v="12"/>
  </r>
  <r>
    <x v="12"/>
  </r>
  <r>
    <x v="15"/>
  </r>
  <r>
    <x v="4"/>
  </r>
  <r>
    <x v="7"/>
  </r>
  <r>
    <x v="86"/>
  </r>
  <r>
    <x v="7"/>
  </r>
  <r>
    <x v="86"/>
  </r>
  <r>
    <x v="86"/>
  </r>
  <r>
    <x v="17"/>
  </r>
  <r>
    <x v="21"/>
  </r>
  <r>
    <x v="17"/>
  </r>
  <r>
    <x v="17"/>
  </r>
  <r>
    <x v="17"/>
  </r>
  <r>
    <x v="17"/>
  </r>
  <r>
    <x v="21"/>
  </r>
  <r>
    <x v="11"/>
  </r>
  <r>
    <x v="11"/>
  </r>
  <r>
    <x v="11"/>
  </r>
  <r>
    <x v="42"/>
  </r>
  <r>
    <x v="42"/>
  </r>
  <r>
    <x v="42"/>
  </r>
  <r>
    <x v="42"/>
  </r>
  <r>
    <x v="42"/>
  </r>
  <r>
    <x v="42"/>
  </r>
  <r>
    <x v="42"/>
  </r>
  <r>
    <x v="110"/>
  </r>
  <r>
    <x v="42"/>
  </r>
  <r>
    <x v="1"/>
  </r>
  <r>
    <x v="7"/>
  </r>
  <r>
    <x v="7"/>
  </r>
  <r>
    <x v="7"/>
  </r>
  <r>
    <x v="24"/>
  </r>
  <r>
    <x v="24"/>
  </r>
  <r>
    <x v="42"/>
  </r>
  <r>
    <x v="4"/>
  </r>
  <r>
    <x v="4"/>
  </r>
  <r>
    <x v="71"/>
  </r>
  <r>
    <x v="71"/>
  </r>
  <r>
    <x v="42"/>
  </r>
  <r>
    <x v="42"/>
  </r>
  <r>
    <x v="71"/>
  </r>
  <r>
    <x v="42"/>
  </r>
  <r>
    <x v="4"/>
  </r>
  <r>
    <x v="21"/>
  </r>
  <r>
    <x v="10"/>
  </r>
  <r>
    <x v="10"/>
  </r>
  <r>
    <x v="63"/>
  </r>
  <r>
    <x v="63"/>
  </r>
  <r>
    <x v="42"/>
  </r>
  <r>
    <x v="21"/>
  </r>
  <r>
    <x v="53"/>
  </r>
  <r>
    <x v="45"/>
  </r>
  <r>
    <x v="37"/>
  </r>
  <r>
    <x v="42"/>
  </r>
  <r>
    <x v="12"/>
  </r>
  <r>
    <x v="42"/>
  </r>
  <r>
    <x v="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56"/>
  </r>
  <r>
    <x v="7"/>
  </r>
  <r>
    <x v="12"/>
  </r>
  <r>
    <x v="12"/>
  </r>
  <r>
    <x v="71"/>
  </r>
  <r>
    <x v="24"/>
  </r>
  <r>
    <x v="62"/>
  </r>
  <r>
    <x v="62"/>
  </r>
  <r>
    <x v="71"/>
  </r>
  <r>
    <x v="71"/>
  </r>
  <r>
    <x v="71"/>
  </r>
  <r>
    <x v="42"/>
  </r>
  <r>
    <x v="42"/>
  </r>
  <r>
    <x v="71"/>
  </r>
  <r>
    <x v="14"/>
  </r>
  <r>
    <x v="137"/>
  </r>
  <r>
    <x v="137"/>
  </r>
  <r>
    <x v="42"/>
  </r>
  <r>
    <x v="42"/>
  </r>
  <r>
    <x v="28"/>
  </r>
  <r>
    <x v="52"/>
  </r>
  <r>
    <x v="52"/>
  </r>
  <r>
    <x v="52"/>
  </r>
  <r>
    <x v="52"/>
  </r>
  <r>
    <x v="71"/>
  </r>
  <r>
    <x v="45"/>
  </r>
  <r>
    <x v="14"/>
  </r>
  <r>
    <x v="1"/>
  </r>
  <r>
    <x v="71"/>
  </r>
  <r>
    <x v="42"/>
  </r>
  <r>
    <x v="31"/>
  </r>
  <r>
    <x v="42"/>
  </r>
  <r>
    <x v="42"/>
  </r>
  <r>
    <x v="42"/>
  </r>
  <r>
    <x v="42"/>
  </r>
  <r>
    <x v="42"/>
  </r>
  <r>
    <x v="4"/>
  </r>
  <r>
    <x v="37"/>
  </r>
  <r>
    <x v="42"/>
  </r>
  <r>
    <x v="42"/>
  </r>
  <r>
    <x v="34"/>
  </r>
  <r>
    <x v="34"/>
  </r>
  <r>
    <x v="42"/>
  </r>
  <r>
    <x v="42"/>
  </r>
  <r>
    <x v="42"/>
  </r>
  <r>
    <x v="12"/>
  </r>
  <r>
    <x v="4"/>
  </r>
  <r>
    <x v="4"/>
  </r>
  <r>
    <x v="4"/>
  </r>
  <r>
    <x v="42"/>
  </r>
  <r>
    <x v="53"/>
  </r>
  <r>
    <x v="12"/>
  </r>
  <r>
    <x v="30"/>
  </r>
  <r>
    <x v="30"/>
  </r>
  <r>
    <x v="4"/>
  </r>
  <r>
    <x v="4"/>
  </r>
  <r>
    <x v="30"/>
  </r>
  <r>
    <x v="45"/>
  </r>
  <r>
    <x v="4"/>
  </r>
  <r>
    <x v="71"/>
  </r>
  <r>
    <x v="4"/>
  </r>
  <r>
    <x v="4"/>
  </r>
  <r>
    <x v="22"/>
  </r>
  <r>
    <x v="7"/>
  </r>
  <r>
    <x v="7"/>
  </r>
  <r>
    <x v="42"/>
  </r>
  <r>
    <x v="42"/>
  </r>
  <r>
    <x v="53"/>
  </r>
  <r>
    <x v="78"/>
  </r>
  <r>
    <x v="14"/>
  </r>
  <r>
    <x v="12"/>
  </r>
  <r>
    <x v="9"/>
  </r>
  <r>
    <x v="9"/>
  </r>
  <r>
    <x v="8"/>
  </r>
  <r>
    <x v="4"/>
  </r>
  <r>
    <x v="37"/>
  </r>
  <r>
    <x v="31"/>
  </r>
  <r>
    <x v="14"/>
  </r>
  <r>
    <x v="14"/>
  </r>
  <r>
    <x v="31"/>
  </r>
  <r>
    <x v="4"/>
  </r>
  <r>
    <x v="45"/>
  </r>
  <r>
    <x v="45"/>
  </r>
  <r>
    <x v="45"/>
  </r>
  <r>
    <x v="42"/>
  </r>
  <r>
    <x v="45"/>
  </r>
  <r>
    <x v="45"/>
  </r>
  <r>
    <x v="19"/>
  </r>
  <r>
    <x v="19"/>
  </r>
  <r>
    <x v="42"/>
  </r>
  <r>
    <x v="42"/>
  </r>
  <r>
    <x v="53"/>
  </r>
  <r>
    <x v="53"/>
  </r>
  <r>
    <x v="14"/>
  </r>
  <r>
    <x v="53"/>
  </r>
  <r>
    <x v="53"/>
  </r>
  <r>
    <x v="53"/>
  </r>
  <r>
    <x v="53"/>
  </r>
  <r>
    <x v="71"/>
  </r>
  <r>
    <x v="71"/>
  </r>
  <r>
    <x v="4"/>
  </r>
  <r>
    <x v="53"/>
  </r>
  <r>
    <x v="4"/>
  </r>
  <r>
    <x v="4"/>
  </r>
  <r>
    <x v="4"/>
  </r>
  <r>
    <x v="4"/>
  </r>
  <r>
    <x v="4"/>
  </r>
  <r>
    <x v="4"/>
  </r>
  <r>
    <x v="34"/>
  </r>
  <r>
    <x v="115"/>
  </r>
  <r>
    <x v="34"/>
  </r>
  <r>
    <x v="0"/>
  </r>
  <r>
    <x v="0"/>
  </r>
  <r>
    <x v="42"/>
  </r>
  <r>
    <x v="28"/>
  </r>
  <r>
    <x v="71"/>
  </r>
  <r>
    <x v="7"/>
  </r>
  <r>
    <x v="71"/>
  </r>
  <r>
    <x v="71"/>
  </r>
  <r>
    <x v="53"/>
  </r>
  <r>
    <x v="71"/>
  </r>
  <r>
    <x v="71"/>
  </r>
  <r>
    <x v="42"/>
  </r>
  <r>
    <x v="42"/>
  </r>
  <r>
    <x v="7"/>
  </r>
  <r>
    <x v="53"/>
  </r>
  <r>
    <x v="42"/>
  </r>
  <r>
    <x v="42"/>
  </r>
  <r>
    <x v="53"/>
  </r>
  <r>
    <x v="7"/>
  </r>
  <r>
    <x v="53"/>
  </r>
  <r>
    <x v="42"/>
  </r>
  <r>
    <x v="11"/>
  </r>
  <r>
    <x v="53"/>
  </r>
  <r>
    <x v="53"/>
  </r>
  <r>
    <x v="11"/>
  </r>
  <r>
    <x v="42"/>
  </r>
  <r>
    <x v="11"/>
  </r>
  <r>
    <x v="42"/>
  </r>
  <r>
    <x v="11"/>
  </r>
  <r>
    <x v="19"/>
  </r>
  <r>
    <x v="11"/>
  </r>
  <r>
    <x v="11"/>
  </r>
  <r>
    <x v="19"/>
  </r>
  <r>
    <x v="4"/>
  </r>
  <r>
    <x v="9"/>
  </r>
  <r>
    <x v="14"/>
  </r>
  <r>
    <x v="14"/>
  </r>
  <r>
    <x v="14"/>
  </r>
  <r>
    <x v="21"/>
  </r>
  <r>
    <x v="135"/>
  </r>
  <r>
    <x v="14"/>
  </r>
  <r>
    <x v="71"/>
  </r>
  <r>
    <x v="14"/>
  </r>
  <r>
    <x v="14"/>
  </r>
  <r>
    <x v="14"/>
  </r>
  <r>
    <x v="24"/>
  </r>
  <r>
    <x v="37"/>
  </r>
  <r>
    <x v="9"/>
  </r>
  <r>
    <x v="4"/>
  </r>
  <r>
    <x v="7"/>
  </r>
  <r>
    <x v="71"/>
  </r>
  <r>
    <x v="71"/>
  </r>
  <r>
    <x v="14"/>
  </r>
  <r>
    <x v="12"/>
  </r>
  <r>
    <x v="12"/>
  </r>
  <r>
    <x v="34"/>
  </r>
  <r>
    <x v="11"/>
  </r>
  <r>
    <x v="52"/>
  </r>
  <r>
    <x v="52"/>
  </r>
  <r>
    <x v="52"/>
  </r>
  <r>
    <x v="0"/>
  </r>
  <r>
    <x v="71"/>
  </r>
  <r>
    <x v="22"/>
  </r>
  <r>
    <x v="144"/>
  </r>
  <r>
    <x v="135"/>
  </r>
  <r>
    <x v="42"/>
  </r>
  <r>
    <x v="46"/>
  </r>
  <r>
    <x v="12"/>
  </r>
  <r>
    <x v="7"/>
  </r>
  <r>
    <x v="0"/>
  </r>
  <r>
    <x v="42"/>
  </r>
  <r>
    <x v="42"/>
  </r>
  <r>
    <x v="42"/>
  </r>
  <r>
    <x v="52"/>
  </r>
  <r>
    <x v="52"/>
  </r>
  <r>
    <x v="52"/>
  </r>
  <r>
    <x v="216"/>
  </r>
  <r>
    <x v="216"/>
  </r>
  <r>
    <x v="216"/>
  </r>
  <r>
    <x v="216"/>
  </r>
  <r>
    <x v="216"/>
  </r>
  <r>
    <x v="216"/>
  </r>
  <r>
    <x v="14"/>
  </r>
  <r>
    <x v="14"/>
  </r>
  <r>
    <x v="14"/>
  </r>
  <r>
    <x v="17"/>
  </r>
  <r>
    <x v="162"/>
  </r>
  <r>
    <x v="34"/>
  </r>
  <r>
    <x v="142"/>
  </r>
  <r>
    <x v="0"/>
  </r>
  <r>
    <x v="0"/>
  </r>
  <r>
    <x v="17"/>
  </r>
  <r>
    <x v="17"/>
  </r>
  <r>
    <x v="216"/>
  </r>
  <r>
    <x v="17"/>
  </r>
  <r>
    <x v="14"/>
  </r>
  <r>
    <x v="14"/>
  </r>
  <r>
    <x v="14"/>
  </r>
  <r>
    <x v="42"/>
  </r>
  <r>
    <x v="12"/>
  </r>
  <r>
    <x v="4"/>
  </r>
  <r>
    <x v="12"/>
  </r>
  <r>
    <x v="45"/>
  </r>
  <r>
    <x v="87"/>
  </r>
  <r>
    <x v="135"/>
  </r>
  <r>
    <x v="57"/>
  </r>
  <r>
    <x v="17"/>
  </r>
  <r>
    <x v="19"/>
  </r>
  <r>
    <x v="12"/>
  </r>
  <r>
    <x v="12"/>
  </r>
  <r>
    <x v="19"/>
  </r>
  <r>
    <x v="12"/>
  </r>
  <r>
    <x v="12"/>
  </r>
  <r>
    <x v="19"/>
  </r>
  <r>
    <x v="14"/>
  </r>
  <r>
    <x v="21"/>
  </r>
  <r>
    <x v="42"/>
  </r>
  <r>
    <x v="62"/>
  </r>
  <r>
    <x v="14"/>
  </r>
  <r>
    <x v="1"/>
  </r>
  <r>
    <x v="12"/>
  </r>
  <r>
    <x v="12"/>
  </r>
  <r>
    <x v="12"/>
  </r>
  <r>
    <x v="12"/>
  </r>
  <r>
    <x v="12"/>
  </r>
  <r>
    <x v="135"/>
  </r>
  <r>
    <x v="27"/>
  </r>
  <r>
    <x v="12"/>
  </r>
  <r>
    <x v="14"/>
  </r>
  <r>
    <x v="68"/>
  </r>
  <r>
    <x v="64"/>
  </r>
  <r>
    <x v="42"/>
  </r>
  <r>
    <x v="14"/>
  </r>
  <r>
    <x v="31"/>
  </r>
  <r>
    <x v="21"/>
  </r>
  <r>
    <x v="34"/>
  </r>
  <r>
    <x v="12"/>
  </r>
  <r>
    <x v="12"/>
  </r>
  <r>
    <x v="12"/>
  </r>
  <r>
    <x v="42"/>
  </r>
  <r>
    <x v="42"/>
  </r>
  <r>
    <x v="42"/>
  </r>
  <r>
    <x v="53"/>
  </r>
  <r>
    <x v="4"/>
  </r>
  <r>
    <x v="4"/>
  </r>
  <r>
    <x v="39"/>
  </r>
  <r>
    <x v="12"/>
  </r>
  <r>
    <x v="42"/>
  </r>
  <r>
    <x v="42"/>
  </r>
  <r>
    <x v="53"/>
  </r>
  <r>
    <x v="45"/>
  </r>
  <r>
    <x v="4"/>
  </r>
  <r>
    <x v="31"/>
  </r>
  <r>
    <x v="28"/>
  </r>
  <r>
    <x v="16"/>
  </r>
  <r>
    <x v="71"/>
  </r>
  <r>
    <x v="64"/>
  </r>
  <r>
    <x v="135"/>
  </r>
  <r>
    <x v="9"/>
  </r>
  <r>
    <x v="7"/>
  </r>
  <r>
    <x v="12"/>
  </r>
  <r>
    <x v="14"/>
  </r>
  <r>
    <x v="79"/>
  </r>
  <r>
    <x v="79"/>
  </r>
  <r>
    <x v="34"/>
  </r>
  <r>
    <x v="7"/>
  </r>
  <r>
    <x v="1"/>
  </r>
  <r>
    <x v="2"/>
  </r>
  <r>
    <x v="9"/>
  </r>
  <r>
    <x v="4"/>
  </r>
  <r>
    <x v="12"/>
  </r>
  <r>
    <x v="12"/>
  </r>
  <r>
    <x v="12"/>
  </r>
  <r>
    <x v="8"/>
  </r>
  <r>
    <x v="31"/>
  </r>
  <r>
    <x v="21"/>
  </r>
  <r>
    <x v="42"/>
  </r>
  <r>
    <x v="42"/>
  </r>
  <r>
    <x v="14"/>
  </r>
  <r>
    <x v="27"/>
  </r>
  <r>
    <x v="16"/>
  </r>
  <r>
    <x v="135"/>
  </r>
  <r>
    <x v="135"/>
  </r>
  <r>
    <x v="27"/>
  </r>
  <r>
    <x v="0"/>
  </r>
  <r>
    <x v="0"/>
  </r>
  <r>
    <x v="0"/>
  </r>
  <r>
    <x v="37"/>
  </r>
  <r>
    <x v="64"/>
  </r>
  <r>
    <x v="16"/>
  </r>
  <r>
    <x v="16"/>
  </r>
  <r>
    <x v="8"/>
  </r>
  <r>
    <x v="57"/>
  </r>
  <r>
    <x v="137"/>
  </r>
  <r>
    <x v="59"/>
  </r>
  <r>
    <x v="14"/>
  </r>
  <r>
    <x v="56"/>
  </r>
  <r>
    <x v="14"/>
  </r>
  <r>
    <x v="71"/>
  </r>
  <r>
    <x v="57"/>
  </r>
  <r>
    <x v="7"/>
  </r>
  <r>
    <x v="28"/>
  </r>
  <r>
    <x v="86"/>
  </r>
  <r>
    <x v="86"/>
  </r>
  <r>
    <x v="86"/>
  </r>
  <r>
    <x v="86"/>
  </r>
  <r>
    <x v="86"/>
  </r>
  <r>
    <x v="48"/>
  </r>
  <r>
    <x v="68"/>
  </r>
  <r>
    <x v="12"/>
  </r>
  <r>
    <x v="9"/>
  </r>
  <r>
    <x v="4"/>
  </r>
  <r>
    <x v="4"/>
  </r>
  <r>
    <x v="71"/>
  </r>
  <r>
    <x v="86"/>
  </r>
  <r>
    <x v="53"/>
  </r>
  <r>
    <x v="53"/>
  </r>
  <r>
    <x v="53"/>
  </r>
  <r>
    <x v="42"/>
  </r>
  <r>
    <x v="253"/>
  </r>
  <r>
    <x v="52"/>
  </r>
  <r>
    <x v="53"/>
  </r>
  <r>
    <x v="62"/>
  </r>
  <r>
    <x v="62"/>
  </r>
  <r>
    <x v="9"/>
  </r>
  <r>
    <x v="42"/>
  </r>
  <r>
    <x v="19"/>
  </r>
  <r>
    <x v="31"/>
  </r>
  <r>
    <x v="31"/>
  </r>
  <r>
    <x v="143"/>
  </r>
  <r>
    <x v="135"/>
  </r>
  <r>
    <x v="135"/>
  </r>
  <r>
    <x v="34"/>
  </r>
  <r>
    <x v="34"/>
  </r>
  <r>
    <x v="34"/>
  </r>
  <r>
    <x v="34"/>
  </r>
  <r>
    <x v="34"/>
  </r>
  <r>
    <x v="31"/>
  </r>
  <r>
    <x v="9"/>
  </r>
  <r>
    <x v="9"/>
  </r>
  <r>
    <x v="9"/>
  </r>
  <r>
    <x v="9"/>
  </r>
  <r>
    <x v="9"/>
  </r>
  <r>
    <x v="9"/>
  </r>
  <r>
    <x v="9"/>
  </r>
  <r>
    <x v="4"/>
  </r>
  <r>
    <x v="2"/>
  </r>
  <r>
    <x v="9"/>
  </r>
  <r>
    <x v="37"/>
  </r>
  <r>
    <x v="71"/>
  </r>
  <r>
    <x v="71"/>
  </r>
  <r>
    <x v="24"/>
  </r>
  <r>
    <x v="143"/>
  </r>
  <r>
    <x v="31"/>
  </r>
  <r>
    <x v="31"/>
  </r>
  <r>
    <x v="4"/>
  </r>
  <r>
    <x v="7"/>
  </r>
  <r>
    <x v="7"/>
  </r>
  <r>
    <x v="42"/>
  </r>
  <r>
    <x v="42"/>
  </r>
  <r>
    <x v="53"/>
  </r>
  <r>
    <x v="28"/>
  </r>
  <r>
    <x v="9"/>
  </r>
  <r>
    <x v="4"/>
  </r>
  <r>
    <x v="4"/>
  </r>
  <r>
    <x v="42"/>
  </r>
  <r>
    <x v="71"/>
  </r>
  <r>
    <x v="71"/>
  </r>
  <r>
    <x v="42"/>
  </r>
  <r>
    <x v="42"/>
  </r>
  <r>
    <x v="71"/>
  </r>
  <r>
    <x v="42"/>
  </r>
  <r>
    <x v="42"/>
  </r>
  <r>
    <x v="42"/>
  </r>
  <r>
    <x v="0"/>
  </r>
  <r>
    <x v="4"/>
  </r>
  <r>
    <x v="4"/>
  </r>
  <r>
    <x v="37"/>
  </r>
  <r>
    <x v="37"/>
  </r>
  <r>
    <x v="0"/>
  </r>
  <r>
    <x v="37"/>
  </r>
  <r>
    <x v="63"/>
  </r>
  <r>
    <x v="22"/>
  </r>
  <r>
    <x v="7"/>
  </r>
  <r>
    <x v="12"/>
  </r>
  <r>
    <x v="24"/>
  </r>
  <r>
    <x v="43"/>
  </r>
  <r>
    <x v="8"/>
  </r>
  <r>
    <x v="8"/>
  </r>
  <r>
    <x v="8"/>
  </r>
  <r>
    <x v="8"/>
  </r>
  <r>
    <x v="86"/>
  </r>
  <r>
    <x v="37"/>
  </r>
  <r>
    <x v="71"/>
  </r>
  <r>
    <x v="12"/>
  </r>
  <r>
    <x v="12"/>
  </r>
  <r>
    <x v="12"/>
  </r>
  <r>
    <x v="142"/>
  </r>
  <r>
    <x v="4"/>
  </r>
  <r>
    <x v="12"/>
  </r>
  <r>
    <x v="4"/>
  </r>
  <r>
    <x v="17"/>
  </r>
  <r>
    <x v="17"/>
  </r>
  <r>
    <x v="24"/>
  </r>
  <r>
    <x v="17"/>
  </r>
  <r>
    <x v="28"/>
  </r>
  <r>
    <x v="42"/>
  </r>
  <r>
    <x v="86"/>
  </r>
  <r>
    <x v="86"/>
  </r>
  <r>
    <x v="11"/>
  </r>
  <r>
    <x v="42"/>
  </r>
  <r>
    <x v="0"/>
  </r>
  <r>
    <x v="12"/>
  </r>
  <r>
    <x v="12"/>
  </r>
  <r>
    <x v="12"/>
  </r>
  <r>
    <x v="12"/>
  </r>
  <r>
    <x v="12"/>
  </r>
  <r>
    <x v="24"/>
  </r>
  <r>
    <x v="24"/>
  </r>
  <r>
    <x v="8"/>
  </r>
  <r>
    <x v="14"/>
  </r>
  <r>
    <x v="14"/>
  </r>
  <r>
    <x v="14"/>
  </r>
  <r>
    <x v="53"/>
  </r>
  <r>
    <x v="53"/>
  </r>
  <r>
    <x v="53"/>
  </r>
  <r>
    <x v="53"/>
  </r>
  <r>
    <x v="11"/>
  </r>
  <r>
    <x v="7"/>
  </r>
  <r>
    <x v="4"/>
  </r>
  <r>
    <x v="11"/>
  </r>
  <r>
    <x v="86"/>
  </r>
  <r>
    <x v="86"/>
  </r>
  <r>
    <x v="4"/>
  </r>
  <r>
    <x v="204"/>
  </r>
  <r>
    <x v="4"/>
  </r>
  <r>
    <x v="4"/>
  </r>
  <r>
    <x v="4"/>
  </r>
  <r>
    <x v="4"/>
  </r>
  <r>
    <x v="9"/>
  </r>
  <r>
    <x v="15"/>
  </r>
  <r>
    <x v="12"/>
  </r>
  <r>
    <x v="14"/>
  </r>
  <r>
    <x v="142"/>
  </r>
  <r>
    <x v="142"/>
  </r>
  <r>
    <x v="142"/>
  </r>
  <r>
    <x v="0"/>
  </r>
  <r>
    <x v="42"/>
  </r>
  <r>
    <x v="42"/>
  </r>
  <r>
    <x v="45"/>
  </r>
  <r>
    <x v="45"/>
  </r>
  <r>
    <x v="28"/>
  </r>
  <r>
    <x v="28"/>
  </r>
  <r>
    <x v="37"/>
  </r>
  <r>
    <x v="11"/>
  </r>
  <r>
    <x v="142"/>
  </r>
  <r>
    <x v="142"/>
  </r>
  <r>
    <x v="15"/>
  </r>
  <r>
    <x v="15"/>
  </r>
  <r>
    <x v="2"/>
  </r>
  <r>
    <x v="4"/>
  </r>
  <r>
    <x v="15"/>
  </r>
  <r>
    <x v="15"/>
  </r>
  <r>
    <x v="19"/>
  </r>
  <r>
    <x v="28"/>
  </r>
  <r>
    <x v="28"/>
  </r>
  <r>
    <x v="4"/>
  </r>
  <r>
    <x v="4"/>
  </r>
  <r>
    <x v="15"/>
  </r>
  <r>
    <x v="0"/>
  </r>
  <r>
    <x v="1"/>
  </r>
  <r>
    <x v="4"/>
  </r>
  <r>
    <x v="1"/>
  </r>
  <r>
    <x v="12"/>
  </r>
  <r>
    <x v="4"/>
  </r>
  <r>
    <x v="4"/>
  </r>
  <r>
    <x v="86"/>
  </r>
  <r>
    <x v="0"/>
  </r>
  <r>
    <x v="86"/>
  </r>
  <r>
    <x v="2"/>
  </r>
  <r>
    <x v="8"/>
  </r>
  <r>
    <x v="2"/>
  </r>
  <r>
    <x v="115"/>
  </r>
  <r>
    <x v="71"/>
  </r>
  <r>
    <x v="71"/>
  </r>
  <r>
    <x v="254"/>
  </r>
  <r>
    <x v="28"/>
  </r>
  <r>
    <x v="71"/>
  </r>
  <r>
    <x v="71"/>
  </r>
  <r>
    <x v="2"/>
  </r>
  <r>
    <x v="115"/>
  </r>
  <r>
    <x v="71"/>
  </r>
  <r>
    <x v="4"/>
  </r>
  <r>
    <x v="4"/>
  </r>
  <r>
    <x v="9"/>
  </r>
  <r>
    <x v="53"/>
  </r>
  <r>
    <x v="53"/>
  </r>
  <r>
    <x v="4"/>
  </r>
  <r>
    <x v="8"/>
  </r>
  <r>
    <x v="8"/>
  </r>
  <r>
    <x v="4"/>
  </r>
  <r>
    <x v="4"/>
  </r>
  <r>
    <x v="71"/>
  </r>
  <r>
    <x v="71"/>
  </r>
  <r>
    <x v="71"/>
  </r>
  <r>
    <x v="71"/>
  </r>
  <r>
    <x v="71"/>
  </r>
  <r>
    <x v="2"/>
  </r>
  <r>
    <x v="19"/>
  </r>
  <r>
    <x v="42"/>
  </r>
  <r>
    <x v="42"/>
  </r>
  <r>
    <x v="8"/>
  </r>
  <r>
    <x v="52"/>
  </r>
  <r>
    <x v="52"/>
  </r>
  <r>
    <x v="52"/>
  </r>
  <r>
    <x v="9"/>
  </r>
  <r>
    <x v="12"/>
  </r>
  <r>
    <x v="0"/>
  </r>
  <r>
    <x v="11"/>
  </r>
  <r>
    <x v="4"/>
  </r>
  <r>
    <x v="142"/>
  </r>
  <r>
    <x v="37"/>
  </r>
  <r>
    <x v="135"/>
  </r>
  <r>
    <x v="2"/>
  </r>
  <r>
    <x v="6"/>
  </r>
  <r>
    <x v="162"/>
  </r>
  <r>
    <x v="11"/>
  </r>
  <r>
    <x v="12"/>
  </r>
  <r>
    <x v="12"/>
  </r>
  <r>
    <x v="143"/>
  </r>
  <r>
    <x v="12"/>
  </r>
  <r>
    <x v="42"/>
  </r>
  <r>
    <x v="42"/>
  </r>
  <r>
    <x v="142"/>
  </r>
  <r>
    <x v="142"/>
  </r>
  <r>
    <x v="142"/>
  </r>
  <r>
    <x v="142"/>
  </r>
  <r>
    <x v="142"/>
  </r>
  <r>
    <x v="12"/>
  </r>
  <r>
    <x v="64"/>
  </r>
  <r>
    <x v="37"/>
  </r>
  <r>
    <x v="37"/>
  </r>
  <r>
    <x v="12"/>
  </r>
  <r>
    <x v="212"/>
  </r>
  <r>
    <x v="9"/>
  </r>
  <r>
    <x v="11"/>
  </r>
  <r>
    <x v="62"/>
  </r>
  <r>
    <x v="62"/>
  </r>
  <r>
    <x v="4"/>
  </r>
  <r>
    <x v="37"/>
  </r>
  <r>
    <x v="71"/>
  </r>
  <r>
    <x v="10"/>
  </r>
  <r>
    <x v="4"/>
  </r>
  <r>
    <x v="4"/>
  </r>
  <r>
    <x v="10"/>
  </r>
  <r>
    <x v="4"/>
  </r>
  <r>
    <x v="17"/>
  </r>
  <r>
    <x v="17"/>
  </r>
  <r>
    <x v="0"/>
  </r>
  <r>
    <x v="0"/>
  </r>
  <r>
    <x v="0"/>
  </r>
  <r>
    <x v="0"/>
  </r>
  <r>
    <x v="14"/>
  </r>
  <r>
    <x v="42"/>
  </r>
  <r>
    <x v="1"/>
  </r>
  <r>
    <x v="78"/>
  </r>
  <r>
    <x v="7"/>
  </r>
  <r>
    <x v="7"/>
  </r>
  <r>
    <x v="7"/>
  </r>
  <r>
    <x v="36"/>
  </r>
  <r>
    <x v="12"/>
  </r>
  <r>
    <x v="1"/>
  </r>
  <r>
    <x v="0"/>
  </r>
  <r>
    <x v="7"/>
  </r>
  <r>
    <x v="7"/>
  </r>
  <r>
    <x v="7"/>
  </r>
  <r>
    <x v="7"/>
  </r>
  <r>
    <x v="9"/>
  </r>
  <r>
    <x v="9"/>
  </r>
  <r>
    <x v="9"/>
  </r>
  <r>
    <x v="9"/>
  </r>
  <r>
    <x v="9"/>
  </r>
  <r>
    <x v="9"/>
  </r>
  <r>
    <x v="9"/>
  </r>
  <r>
    <x v="9"/>
  </r>
  <r>
    <x v="14"/>
  </r>
  <r>
    <x v="115"/>
  </r>
  <r>
    <x v="0"/>
  </r>
  <r>
    <x v="0"/>
  </r>
  <r>
    <x v="0"/>
  </r>
  <r>
    <x v="42"/>
  </r>
  <r>
    <x v="42"/>
  </r>
  <r>
    <x v="86"/>
  </r>
  <r>
    <x v="2"/>
  </r>
  <r>
    <x v="4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3"/>
  </r>
  <r>
    <x v="53"/>
  </r>
  <r>
    <x v="53"/>
  </r>
  <r>
    <x v="27"/>
  </r>
  <r>
    <x v="27"/>
  </r>
  <r>
    <x v="2"/>
  </r>
  <r>
    <x v="34"/>
  </r>
  <r>
    <x v="11"/>
  </r>
  <r>
    <x v="1"/>
  </r>
  <r>
    <x v="1"/>
  </r>
  <r>
    <x v="4"/>
  </r>
  <r>
    <x v="53"/>
  </r>
  <r>
    <x v="37"/>
  </r>
  <r>
    <x v="24"/>
  </r>
  <r>
    <x v="24"/>
  </r>
  <r>
    <x v="71"/>
  </r>
  <r>
    <x v="1"/>
  </r>
  <r>
    <x v="46"/>
  </r>
  <r>
    <x v="46"/>
  </r>
  <r>
    <x v="46"/>
  </r>
  <r>
    <x v="21"/>
  </r>
  <r>
    <x v="7"/>
  </r>
  <r>
    <x v="12"/>
  </r>
  <r>
    <x v="9"/>
  </r>
  <r>
    <x v="45"/>
  </r>
  <r>
    <x v="53"/>
  </r>
  <r>
    <x v="21"/>
  </r>
  <r>
    <x v="87"/>
  </r>
  <r>
    <x v="4"/>
  </r>
  <r>
    <x v="14"/>
  </r>
  <r>
    <x v="12"/>
  </r>
  <r>
    <x v="11"/>
  </r>
  <r>
    <x v="21"/>
  </r>
  <r>
    <x v="21"/>
  </r>
  <r>
    <x v="21"/>
  </r>
  <r>
    <x v="21"/>
  </r>
  <r>
    <x v="21"/>
  </r>
  <r>
    <x v="21"/>
  </r>
  <r>
    <x v="21"/>
  </r>
  <r>
    <x v="21"/>
  </r>
  <r>
    <x v="141"/>
  </r>
  <r>
    <x v="14"/>
  </r>
  <r>
    <x v="53"/>
  </r>
  <r>
    <x v="53"/>
  </r>
  <r>
    <x v="14"/>
  </r>
  <r>
    <x v="0"/>
  </r>
  <r>
    <x v="0"/>
  </r>
  <r>
    <x v="42"/>
  </r>
  <r>
    <x v="0"/>
  </r>
  <r>
    <x v="2"/>
  </r>
  <r>
    <x v="53"/>
  </r>
  <r>
    <x v="52"/>
  </r>
  <r>
    <x v="12"/>
  </r>
  <r>
    <x v="7"/>
  </r>
  <r>
    <x v="7"/>
  </r>
  <r>
    <x v="2"/>
  </r>
  <r>
    <x v="57"/>
  </r>
  <r>
    <x v="57"/>
  </r>
  <r>
    <x v="14"/>
  </r>
  <r>
    <x v="14"/>
  </r>
  <r>
    <x v="12"/>
  </r>
  <r>
    <x v="42"/>
  </r>
  <r>
    <x v="169"/>
  </r>
  <r>
    <x v="1"/>
  </r>
  <r>
    <x v="0"/>
  </r>
  <r>
    <x v="169"/>
  </r>
  <r>
    <x v="169"/>
  </r>
  <r>
    <x v="12"/>
  </r>
  <r>
    <x v="12"/>
  </r>
  <r>
    <x v="12"/>
  </r>
  <r>
    <x v="12"/>
  </r>
  <r>
    <x v="0"/>
  </r>
  <r>
    <x v="42"/>
  </r>
  <r>
    <x v="42"/>
  </r>
  <r>
    <x v="0"/>
  </r>
  <r>
    <x v="16"/>
  </r>
  <r>
    <x v="0"/>
  </r>
  <r>
    <x v="0"/>
  </r>
  <r>
    <x v="4"/>
  </r>
  <r>
    <x v="24"/>
  </r>
  <r>
    <x v="14"/>
  </r>
  <r>
    <x v="4"/>
  </r>
  <r>
    <x v="19"/>
  </r>
  <r>
    <x v="0"/>
  </r>
  <r>
    <x v="0"/>
  </r>
  <r>
    <x v="37"/>
  </r>
  <r>
    <x v="42"/>
  </r>
  <r>
    <x v="4"/>
  </r>
  <r>
    <x v="4"/>
  </r>
  <r>
    <x v="42"/>
  </r>
  <r>
    <x v="71"/>
  </r>
  <r>
    <x v="2"/>
  </r>
  <r>
    <x v="24"/>
  </r>
  <r>
    <x v="4"/>
  </r>
  <r>
    <x v="57"/>
  </r>
  <r>
    <x v="115"/>
  </r>
  <r>
    <x v="14"/>
  </r>
  <r>
    <x v="9"/>
  </r>
  <r>
    <x v="2"/>
  </r>
  <r>
    <x v="1"/>
  </r>
  <r>
    <x v="1"/>
  </r>
  <r>
    <x v="1"/>
  </r>
  <r>
    <x v="11"/>
  </r>
  <r>
    <x v="79"/>
  </r>
  <r>
    <x v="130"/>
  </r>
  <r>
    <x v="77"/>
  </r>
  <r>
    <x v="71"/>
  </r>
  <r>
    <x v="57"/>
  </r>
  <r>
    <x v="32"/>
  </r>
  <r>
    <x v="28"/>
  </r>
  <r>
    <x v="42"/>
  </r>
  <r>
    <x v="53"/>
  </r>
  <r>
    <x v="14"/>
  </r>
  <r>
    <x v="71"/>
  </r>
  <r>
    <x v="71"/>
  </r>
  <r>
    <x v="12"/>
  </r>
  <r>
    <x v="24"/>
  </r>
  <r>
    <x v="42"/>
  </r>
  <r>
    <x v="12"/>
  </r>
  <r>
    <x v="16"/>
  </r>
  <r>
    <x v="16"/>
  </r>
  <r>
    <x v="16"/>
  </r>
  <r>
    <x v="71"/>
  </r>
  <r>
    <x v="12"/>
  </r>
  <r>
    <x v="46"/>
  </r>
  <r>
    <x v="12"/>
  </r>
  <r>
    <x v="19"/>
  </r>
  <r>
    <x v="12"/>
  </r>
  <r>
    <x v="2"/>
  </r>
  <r>
    <x v="42"/>
  </r>
  <r>
    <x v="22"/>
  </r>
  <r>
    <x v="11"/>
  </r>
  <r>
    <x v="162"/>
  </r>
  <r>
    <x v="9"/>
  </r>
  <r>
    <x v="76"/>
  </r>
  <r>
    <x v="12"/>
  </r>
  <r>
    <x v="2"/>
  </r>
  <r>
    <x v="31"/>
  </r>
  <r>
    <x v="9"/>
  </r>
  <r>
    <x v="45"/>
  </r>
  <r>
    <x v="14"/>
  </r>
  <r>
    <x v="138"/>
  </r>
  <r>
    <x v="10"/>
  </r>
  <r>
    <x v="0"/>
  </r>
  <r>
    <x v="57"/>
  </r>
  <r>
    <x v="14"/>
  </r>
  <r>
    <x v="28"/>
  </r>
  <r>
    <x v="6"/>
  </r>
  <r>
    <x v="6"/>
  </r>
  <r>
    <x v="2"/>
  </r>
  <r>
    <x v="9"/>
  </r>
  <r>
    <x v="16"/>
  </r>
  <r>
    <x v="31"/>
  </r>
  <r>
    <x v="62"/>
  </r>
  <r>
    <x v="42"/>
  </r>
  <r>
    <x v="42"/>
  </r>
  <r>
    <x v="31"/>
  </r>
  <r>
    <x v="42"/>
  </r>
  <r>
    <x v="9"/>
  </r>
  <r>
    <x v="59"/>
  </r>
  <r>
    <x v="142"/>
  </r>
  <r>
    <x v="152"/>
  </r>
  <r>
    <x v="9"/>
  </r>
  <r>
    <x v="169"/>
  </r>
  <r>
    <x v="42"/>
  </r>
  <r>
    <x v="42"/>
  </r>
  <r>
    <x v="42"/>
  </r>
  <r>
    <x v="42"/>
  </r>
  <r>
    <x v="42"/>
  </r>
  <r>
    <x v="42"/>
  </r>
  <r>
    <x v="53"/>
  </r>
  <r>
    <x v="53"/>
  </r>
  <r>
    <x v="53"/>
  </r>
  <r>
    <x v="53"/>
  </r>
  <r>
    <x v="53"/>
  </r>
  <r>
    <x v="14"/>
  </r>
  <r>
    <x v="14"/>
  </r>
  <r>
    <x v="14"/>
  </r>
  <r>
    <x v="12"/>
  </r>
  <r>
    <x v="14"/>
  </r>
  <r>
    <x v="12"/>
  </r>
  <r>
    <x v="12"/>
  </r>
  <r>
    <x v="14"/>
  </r>
  <r>
    <x v="10"/>
  </r>
  <r>
    <x v="14"/>
  </r>
  <r>
    <x v="14"/>
  </r>
  <r>
    <x v="14"/>
  </r>
  <r>
    <x v="16"/>
  </r>
  <r>
    <x v="28"/>
  </r>
  <r>
    <x v="9"/>
  </r>
  <r>
    <x v="143"/>
  </r>
  <r>
    <x v="31"/>
  </r>
  <r>
    <x v="17"/>
  </r>
  <r>
    <x v="86"/>
  </r>
  <r>
    <x v="86"/>
  </r>
  <r>
    <x v="123"/>
  </r>
  <r>
    <x v="24"/>
  </r>
  <r>
    <x v="51"/>
  </r>
  <r>
    <x v="12"/>
  </r>
  <r>
    <x v="176"/>
  </r>
  <r>
    <x v="176"/>
  </r>
  <r>
    <x v="12"/>
  </r>
  <r>
    <x v="12"/>
  </r>
  <r>
    <x v="39"/>
  </r>
  <r>
    <x v="39"/>
  </r>
  <r>
    <x v="39"/>
  </r>
  <r>
    <x v="0"/>
  </r>
  <r>
    <x v="42"/>
  </r>
  <r>
    <x v="42"/>
  </r>
  <r>
    <x v="4"/>
  </r>
  <r>
    <x v="42"/>
  </r>
  <r>
    <x v="12"/>
  </r>
  <r>
    <x v="42"/>
  </r>
  <r>
    <x v="253"/>
  </r>
  <r>
    <x v="42"/>
  </r>
  <r>
    <x v="253"/>
  </r>
  <r>
    <x v="11"/>
  </r>
  <r>
    <x v="24"/>
  </r>
  <r>
    <x v="1"/>
  </r>
  <r>
    <x v="4"/>
  </r>
  <r>
    <x v="14"/>
  </r>
  <r>
    <x v="28"/>
  </r>
  <r>
    <x v="6"/>
  </r>
  <r>
    <x v="22"/>
  </r>
  <r>
    <x v="24"/>
  </r>
  <r>
    <x v="57"/>
  </r>
  <r>
    <x v="71"/>
  </r>
  <r>
    <x v="12"/>
  </r>
  <r>
    <x v="28"/>
  </r>
  <r>
    <x v="28"/>
  </r>
  <r>
    <x v="16"/>
  </r>
  <r>
    <x v="12"/>
  </r>
  <r>
    <x v="12"/>
  </r>
  <r>
    <x v="12"/>
  </r>
  <r>
    <x v="10"/>
  </r>
  <r>
    <x v="10"/>
  </r>
  <r>
    <x v="53"/>
  </r>
  <r>
    <x v="53"/>
  </r>
  <r>
    <x v="130"/>
  </r>
  <r>
    <x v="1"/>
  </r>
  <r>
    <x v="12"/>
  </r>
  <r>
    <x v="0"/>
  </r>
  <r>
    <x v="115"/>
  </r>
  <r>
    <x v="115"/>
  </r>
  <r>
    <x v="115"/>
  </r>
  <r>
    <x v="17"/>
  </r>
  <r>
    <x v="57"/>
  </r>
  <r>
    <x v="57"/>
  </r>
  <r>
    <x v="45"/>
  </r>
  <r>
    <x v="45"/>
  </r>
  <r>
    <x v="24"/>
  </r>
  <r>
    <x v="24"/>
  </r>
  <r>
    <x v="16"/>
  </r>
  <r>
    <x v="16"/>
  </r>
  <r>
    <x v="0"/>
  </r>
  <r>
    <x v="28"/>
  </r>
  <r>
    <x v="28"/>
  </r>
  <r>
    <x v="28"/>
  </r>
  <r>
    <x v="2"/>
  </r>
  <r>
    <x v="54"/>
  </r>
  <r>
    <x v="57"/>
  </r>
  <r>
    <x v="2"/>
  </r>
  <r>
    <x v="2"/>
  </r>
  <r>
    <x v="89"/>
  </r>
  <r>
    <x v="89"/>
  </r>
  <r>
    <x v="79"/>
  </r>
  <r>
    <x v="79"/>
  </r>
  <r>
    <x v="37"/>
  </r>
  <r>
    <x v="37"/>
  </r>
  <r>
    <x v="37"/>
  </r>
  <r>
    <x v="25"/>
  </r>
  <r>
    <x v="199"/>
  </r>
  <r>
    <x v="108"/>
  </r>
  <r>
    <x v="108"/>
  </r>
  <r>
    <x v="22"/>
  </r>
  <r>
    <x v="76"/>
  </r>
  <r>
    <x v="105"/>
  </r>
  <r>
    <x v="25"/>
  </r>
  <r>
    <x v="105"/>
  </r>
  <r>
    <x v="124"/>
  </r>
  <r>
    <x v="124"/>
  </r>
  <r>
    <x v="28"/>
  </r>
  <r>
    <x v="28"/>
  </r>
  <r>
    <x v="28"/>
  </r>
  <r>
    <x v="0"/>
  </r>
  <r>
    <x v="42"/>
  </r>
  <r>
    <x v="123"/>
  </r>
  <r>
    <x v="8"/>
  </r>
  <r>
    <x v="8"/>
  </r>
  <r>
    <x v="12"/>
  </r>
  <r>
    <x v="4"/>
  </r>
  <r>
    <x v="4"/>
  </r>
  <r>
    <x v="10"/>
  </r>
  <r>
    <x v="0"/>
  </r>
  <r>
    <x v="36"/>
  </r>
  <r>
    <x v="42"/>
  </r>
  <r>
    <x v="201"/>
  </r>
  <r>
    <x v="79"/>
  </r>
  <r>
    <x v="28"/>
  </r>
  <r>
    <x v="57"/>
  </r>
  <r>
    <x v="57"/>
  </r>
  <r>
    <x v="0"/>
  </r>
  <r>
    <x v="199"/>
  </r>
  <r>
    <x v="76"/>
  </r>
  <r>
    <x v="48"/>
  </r>
  <r>
    <x v="25"/>
  </r>
  <r>
    <x v="76"/>
  </r>
  <r>
    <x v="102"/>
  </r>
  <r>
    <x v="4"/>
  </r>
  <r>
    <x v="4"/>
  </r>
  <r>
    <x v="4"/>
  </r>
  <r>
    <x v="4"/>
  </r>
  <r>
    <x v="4"/>
  </r>
  <r>
    <x v="10"/>
  </r>
  <r>
    <x v="10"/>
  </r>
  <r>
    <x v="0"/>
  </r>
  <r>
    <x v="42"/>
  </r>
  <r>
    <x v="42"/>
  </r>
  <r>
    <x v="42"/>
  </r>
  <r>
    <x v="42"/>
  </r>
  <r>
    <x v="0"/>
  </r>
  <r>
    <x v="42"/>
  </r>
  <r>
    <x v="53"/>
  </r>
  <r>
    <x v="53"/>
  </r>
  <r>
    <x v="53"/>
  </r>
  <r>
    <x v="14"/>
  </r>
  <r>
    <x v="143"/>
  </r>
  <r>
    <x v="143"/>
  </r>
  <r>
    <x v="42"/>
  </r>
  <r>
    <x v="12"/>
  </r>
  <r>
    <x v="14"/>
  </r>
  <r>
    <x v="143"/>
  </r>
  <r>
    <x v="16"/>
  </r>
  <r>
    <x v="16"/>
  </r>
  <r>
    <x v="42"/>
  </r>
  <r>
    <x v="37"/>
  </r>
  <r>
    <x v="16"/>
  </r>
  <r>
    <x v="87"/>
  </r>
  <r>
    <x v="0"/>
  </r>
  <r>
    <x v="40"/>
  </r>
  <r>
    <x v="40"/>
  </r>
  <r>
    <x v="40"/>
  </r>
  <r>
    <x v="21"/>
  </r>
  <r>
    <x v="17"/>
  </r>
  <r>
    <x v="22"/>
  </r>
  <r>
    <x v="22"/>
  </r>
  <r>
    <x v="40"/>
  </r>
  <r>
    <x v="40"/>
  </r>
  <r>
    <x v="40"/>
  </r>
  <r>
    <x v="17"/>
  </r>
  <r>
    <x v="17"/>
  </r>
  <r>
    <x v="0"/>
  </r>
  <r>
    <x v="126"/>
  </r>
  <r>
    <x v="0"/>
  </r>
  <r>
    <x v="0"/>
  </r>
  <r>
    <x v="0"/>
  </r>
  <r>
    <x v="0"/>
  </r>
  <r>
    <x v="0"/>
  </r>
  <r>
    <x v="0"/>
  </r>
  <r>
    <x v="255"/>
  </r>
  <r>
    <x v="4"/>
  </r>
  <r>
    <x v="4"/>
  </r>
  <r>
    <x v="112"/>
  </r>
  <r>
    <x v="37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1"/>
  </r>
  <r>
    <x v="7"/>
  </r>
  <r>
    <x v="17"/>
  </r>
  <r>
    <x v="71"/>
  </r>
  <r>
    <x v="71"/>
  </r>
  <r>
    <x v="71"/>
  </r>
  <r>
    <x v="28"/>
  </r>
  <r>
    <x v="84"/>
  </r>
  <r>
    <x v="87"/>
  </r>
  <r>
    <x v="7"/>
  </r>
  <r>
    <x v="21"/>
  </r>
  <r>
    <x v="42"/>
  </r>
  <r>
    <x v="14"/>
  </r>
  <r>
    <x v="14"/>
  </r>
  <r>
    <x v="8"/>
  </r>
  <r>
    <x v="30"/>
  </r>
  <r>
    <x v="16"/>
  </r>
  <r>
    <x v="8"/>
  </r>
  <r>
    <x v="8"/>
  </r>
  <r>
    <x v="8"/>
  </r>
  <r>
    <x v="62"/>
  </r>
  <r>
    <x v="62"/>
  </r>
  <r>
    <x v="60"/>
  </r>
  <r>
    <x v="126"/>
  </r>
  <r>
    <x v="59"/>
  </r>
  <r>
    <x v="62"/>
  </r>
  <r>
    <x v="45"/>
  </r>
  <r>
    <x v="45"/>
  </r>
  <r>
    <x v="30"/>
  </r>
  <r>
    <x v="12"/>
  </r>
  <r>
    <x v="30"/>
  </r>
  <r>
    <x v="30"/>
  </r>
  <r>
    <x v="8"/>
  </r>
  <r>
    <x v="55"/>
  </r>
  <r>
    <x v="55"/>
  </r>
  <r>
    <x v="9"/>
  </r>
  <r>
    <x v="17"/>
  </r>
  <r>
    <x v="51"/>
  </r>
  <r>
    <x v="28"/>
  </r>
  <r>
    <x v="40"/>
  </r>
  <r>
    <x v="111"/>
  </r>
  <r>
    <x v="132"/>
  </r>
  <r>
    <x v="14"/>
  </r>
  <r>
    <x v="14"/>
  </r>
  <r>
    <x v="14"/>
  </r>
  <r>
    <x v="14"/>
  </r>
  <r>
    <x v="28"/>
  </r>
  <r>
    <x v="0"/>
  </r>
  <r>
    <x v="14"/>
  </r>
  <r>
    <x v="12"/>
  </r>
  <r>
    <x v="49"/>
  </r>
  <r>
    <x v="10"/>
  </r>
  <r>
    <x v="0"/>
  </r>
  <r>
    <x v="226"/>
  </r>
  <r>
    <x v="28"/>
  </r>
  <r>
    <x v="62"/>
  </r>
  <r>
    <x v="61"/>
  </r>
  <r>
    <x v="17"/>
  </r>
  <r>
    <x v="37"/>
  </r>
  <r>
    <x v="48"/>
  </r>
  <r>
    <x v="48"/>
  </r>
  <r>
    <x v="28"/>
  </r>
  <r>
    <x v="28"/>
  </r>
  <r>
    <x v="14"/>
  </r>
  <r>
    <x v="14"/>
  </r>
  <r>
    <x v="14"/>
  </r>
  <r>
    <x v="14"/>
  </r>
  <r>
    <x v="10"/>
  </r>
  <r>
    <x v="14"/>
  </r>
  <r>
    <x v="14"/>
  </r>
  <r>
    <x v="12"/>
  </r>
  <r>
    <x v="45"/>
  </r>
  <r>
    <x v="14"/>
  </r>
  <r>
    <x v="14"/>
  </r>
  <r>
    <x v="14"/>
  </r>
  <r>
    <x v="45"/>
  </r>
  <r>
    <x v="69"/>
  </r>
  <r>
    <x v="10"/>
  </r>
  <r>
    <x v="34"/>
  </r>
  <r>
    <x v="31"/>
  </r>
  <r>
    <x v="37"/>
  </r>
  <r>
    <x v="28"/>
  </r>
  <r>
    <x v="22"/>
  </r>
  <r>
    <x v="177"/>
  </r>
  <r>
    <x v="16"/>
  </r>
  <r>
    <x v="14"/>
  </r>
  <r>
    <x v="14"/>
  </r>
  <r>
    <x v="16"/>
  </r>
  <r>
    <x v="21"/>
  </r>
  <r>
    <x v="21"/>
  </r>
  <r>
    <x v="21"/>
  </r>
  <r>
    <x v="21"/>
  </r>
  <r>
    <x v="52"/>
  </r>
  <r>
    <x v="52"/>
  </r>
  <r>
    <x v="52"/>
  </r>
  <r>
    <x v="16"/>
  </r>
  <r>
    <x v="42"/>
  </r>
  <r>
    <x v="10"/>
  </r>
  <r>
    <x v="4"/>
  </r>
  <r>
    <x v="62"/>
  </r>
  <r>
    <x v="48"/>
  </r>
  <r>
    <x v="48"/>
  </r>
  <r>
    <x v="10"/>
  </r>
  <r>
    <x v="16"/>
  </r>
  <r>
    <x v="57"/>
  </r>
  <r>
    <x v="26"/>
  </r>
  <r>
    <x v="31"/>
  </r>
  <r>
    <x v="11"/>
  </r>
  <r>
    <x v="48"/>
  </r>
  <r>
    <x v="78"/>
  </r>
  <r>
    <x v="21"/>
  </r>
  <r>
    <x v="11"/>
  </r>
  <r>
    <x v="6"/>
  </r>
  <r>
    <x v="14"/>
  </r>
  <r>
    <x v="48"/>
  </r>
  <r>
    <x v="14"/>
  </r>
  <r>
    <x v="62"/>
  </r>
  <r>
    <x v="78"/>
  </r>
  <r>
    <x v="226"/>
  </r>
  <r>
    <x v="226"/>
  </r>
  <r>
    <x v="7"/>
  </r>
  <r>
    <x v="49"/>
  </r>
  <r>
    <x v="49"/>
  </r>
  <r>
    <x v="0"/>
  </r>
  <r>
    <x v="48"/>
  </r>
  <r>
    <x v="62"/>
  </r>
  <r>
    <x v="62"/>
  </r>
  <r>
    <x v="14"/>
  </r>
  <r>
    <x v="14"/>
  </r>
  <r>
    <x v="14"/>
  </r>
  <r>
    <x v="14"/>
  </r>
  <r>
    <x v="14"/>
  </r>
  <r>
    <x v="17"/>
  </r>
  <r>
    <x v="115"/>
  </r>
  <r>
    <x v="12"/>
  </r>
  <r>
    <x v="0"/>
  </r>
  <r>
    <x v="24"/>
  </r>
  <r>
    <x v="4"/>
  </r>
  <r>
    <x v="14"/>
  </r>
  <r>
    <x v="48"/>
  </r>
  <r>
    <x v="14"/>
  </r>
  <r>
    <x v="61"/>
  </r>
  <r>
    <x v="0"/>
  </r>
  <r>
    <x v="0"/>
  </r>
  <r>
    <x v="14"/>
  </r>
  <r>
    <x v="14"/>
  </r>
  <r>
    <x v="115"/>
  </r>
  <r>
    <x v="34"/>
  </r>
  <r>
    <x v="24"/>
  </r>
  <r>
    <x v="71"/>
  </r>
  <r>
    <x v="24"/>
  </r>
  <r>
    <x v="12"/>
  </r>
  <r>
    <x v="12"/>
  </r>
  <r>
    <x v="12"/>
  </r>
  <r>
    <x v="12"/>
  </r>
  <r>
    <x v="17"/>
  </r>
  <r>
    <x v="76"/>
  </r>
  <r>
    <x v="9"/>
  </r>
  <r>
    <x v="14"/>
  </r>
  <r>
    <x v="21"/>
  </r>
  <r>
    <x v="17"/>
  </r>
  <r>
    <x v="6"/>
  </r>
  <r>
    <x v="10"/>
  </r>
  <r>
    <x v="40"/>
  </r>
  <r>
    <x v="14"/>
  </r>
  <r>
    <x v="14"/>
  </r>
  <r>
    <x v="2"/>
  </r>
  <r>
    <x v="31"/>
  </r>
  <r>
    <x v="12"/>
  </r>
  <r>
    <x v="12"/>
  </r>
  <r>
    <x v="16"/>
  </r>
  <r>
    <x v="17"/>
  </r>
  <r>
    <x v="53"/>
  </r>
  <r>
    <x v="17"/>
  </r>
  <r>
    <x v="55"/>
  </r>
  <r>
    <x v="12"/>
  </r>
  <r>
    <x v="0"/>
  </r>
  <r>
    <x v="0"/>
  </r>
  <r>
    <x v="0"/>
  </r>
  <r>
    <x v="14"/>
  </r>
  <r>
    <x v="14"/>
  </r>
  <r>
    <x v="21"/>
  </r>
  <r>
    <x v="10"/>
  </r>
  <r>
    <x v="26"/>
  </r>
  <r>
    <x v="16"/>
  </r>
  <r>
    <x v="41"/>
  </r>
  <r>
    <x v="12"/>
  </r>
  <r>
    <x v="45"/>
  </r>
  <r>
    <x v="14"/>
  </r>
  <r>
    <x v="0"/>
  </r>
  <r>
    <x v="247"/>
  </r>
  <r>
    <x v="247"/>
  </r>
  <r>
    <x v="21"/>
  </r>
  <r>
    <x v="53"/>
  </r>
  <r>
    <x v="26"/>
  </r>
  <r>
    <x v="71"/>
  </r>
  <r>
    <x v="49"/>
  </r>
  <r>
    <x v="49"/>
  </r>
  <r>
    <x v="28"/>
  </r>
  <r>
    <x v="48"/>
  </r>
  <r>
    <x v="12"/>
  </r>
  <r>
    <x v="12"/>
  </r>
  <r>
    <x v="12"/>
  </r>
  <r>
    <x v="40"/>
  </r>
  <r>
    <x v="175"/>
  </r>
  <r>
    <x v="10"/>
  </r>
  <r>
    <x v="42"/>
  </r>
  <r>
    <x v="26"/>
  </r>
  <r>
    <x v="37"/>
  </r>
  <r>
    <x v="45"/>
  </r>
  <r>
    <x v="14"/>
  </r>
  <r>
    <x v="22"/>
  </r>
  <r>
    <x v="10"/>
  </r>
  <r>
    <x v="37"/>
  </r>
  <r>
    <x v="14"/>
  </r>
  <r>
    <x v="22"/>
  </r>
  <r>
    <x v="42"/>
  </r>
  <r>
    <x v="14"/>
  </r>
  <r>
    <x v="48"/>
  </r>
  <r>
    <x v="48"/>
  </r>
  <r>
    <x v="77"/>
  </r>
  <r>
    <x v="77"/>
  </r>
  <r>
    <x v="14"/>
  </r>
  <r>
    <x v="62"/>
  </r>
  <r>
    <x v="0"/>
  </r>
  <r>
    <x v="15"/>
  </r>
  <r>
    <x v="115"/>
  </r>
  <r>
    <x v="12"/>
  </r>
  <r>
    <x v="24"/>
  </r>
  <r>
    <x v="37"/>
  </r>
  <r>
    <x v="14"/>
  </r>
  <r>
    <x v="4"/>
  </r>
  <r>
    <x v="46"/>
  </r>
  <r>
    <x v="55"/>
  </r>
  <r>
    <x v="14"/>
  </r>
  <r>
    <x v="76"/>
  </r>
  <r>
    <x v="131"/>
  </r>
  <r>
    <x v="12"/>
  </r>
  <r>
    <x v="42"/>
  </r>
  <r>
    <x v="26"/>
  </r>
  <r>
    <x v="28"/>
  </r>
  <r>
    <x v="115"/>
  </r>
  <r>
    <x v="0"/>
  </r>
  <r>
    <x v="0"/>
  </r>
  <r>
    <x v="0"/>
  </r>
  <r>
    <x v="0"/>
  </r>
  <r>
    <x v="7"/>
  </r>
  <r>
    <x v="22"/>
  </r>
  <r>
    <x v="22"/>
  </r>
  <r>
    <x v="26"/>
  </r>
  <r>
    <x v="24"/>
  </r>
  <r>
    <x v="14"/>
  </r>
  <r>
    <x v="7"/>
  </r>
  <r>
    <x v="7"/>
  </r>
  <r>
    <x v="42"/>
  </r>
  <r>
    <x v="64"/>
  </r>
  <r>
    <x v="42"/>
  </r>
  <r>
    <x v="24"/>
  </r>
  <r>
    <x v="24"/>
  </r>
  <r>
    <x v="64"/>
  </r>
  <r>
    <x v="52"/>
  </r>
  <r>
    <x v="8"/>
  </r>
  <r>
    <x v="17"/>
  </r>
  <r>
    <x v="17"/>
  </r>
  <r>
    <x v="32"/>
  </r>
  <r>
    <x v="0"/>
  </r>
  <r>
    <x v="49"/>
  </r>
  <r>
    <x v="49"/>
  </r>
  <r>
    <x v="49"/>
  </r>
  <r>
    <x v="12"/>
  </r>
  <r>
    <x v="55"/>
  </r>
  <r>
    <x v="48"/>
  </r>
  <r>
    <x v="0"/>
  </r>
  <r>
    <x v="14"/>
  </r>
  <r>
    <x v="45"/>
  </r>
  <r>
    <x v="78"/>
  </r>
  <r>
    <x v="14"/>
  </r>
  <r>
    <x v="22"/>
  </r>
  <r>
    <x v="126"/>
  </r>
  <r>
    <x v="17"/>
  </r>
  <r>
    <x v="48"/>
  </r>
  <r>
    <x v="17"/>
  </r>
  <r>
    <x v="110"/>
  </r>
  <r>
    <x v="1"/>
  </r>
  <r>
    <x v="76"/>
  </r>
  <r>
    <x v="14"/>
  </r>
  <r>
    <x v="12"/>
  </r>
  <r>
    <x v="78"/>
  </r>
  <r>
    <x v="49"/>
  </r>
  <r>
    <x v="48"/>
  </r>
  <r>
    <x v="34"/>
  </r>
  <r>
    <x v="22"/>
  </r>
  <r>
    <x v="123"/>
  </r>
  <r>
    <x v="14"/>
  </r>
  <r>
    <x v="14"/>
  </r>
  <r>
    <x v="14"/>
  </r>
  <r>
    <x v="14"/>
  </r>
  <r>
    <x v="14"/>
  </r>
  <r>
    <x v="16"/>
  </r>
  <r>
    <x v="48"/>
  </r>
  <r>
    <x v="37"/>
  </r>
  <r>
    <x v="46"/>
  </r>
  <r>
    <x v="46"/>
  </r>
  <r>
    <x v="29"/>
  </r>
  <r>
    <x v="29"/>
  </r>
  <r>
    <x v="34"/>
  </r>
  <r>
    <x v="61"/>
  </r>
  <r>
    <x v="37"/>
  </r>
  <r>
    <x v="48"/>
  </r>
  <r>
    <x v="10"/>
  </r>
  <r>
    <x v="17"/>
  </r>
  <r>
    <x v="48"/>
  </r>
  <r>
    <x v="48"/>
  </r>
  <r>
    <x v="166"/>
  </r>
  <r>
    <x v="17"/>
  </r>
  <r>
    <x v="22"/>
  </r>
  <r>
    <x v="22"/>
  </r>
  <r>
    <x v="49"/>
  </r>
  <r>
    <x v="12"/>
  </r>
  <r>
    <x v="22"/>
  </r>
  <r>
    <x v="22"/>
  </r>
  <r>
    <x v="14"/>
  </r>
  <r>
    <x v="26"/>
  </r>
  <r>
    <x v="45"/>
  </r>
  <r>
    <x v="28"/>
  </r>
  <r>
    <x v="17"/>
  </r>
  <r>
    <x v="48"/>
  </r>
  <r>
    <x v="12"/>
  </r>
  <r>
    <x v="34"/>
  </r>
  <r>
    <x v="22"/>
  </r>
  <r>
    <x v="22"/>
  </r>
  <r>
    <x v="17"/>
  </r>
  <r>
    <x v="253"/>
  </r>
  <r>
    <x v="14"/>
  </r>
  <r>
    <x v="78"/>
  </r>
  <r>
    <x v="2"/>
  </r>
  <r>
    <x v="17"/>
  </r>
  <r>
    <x v="17"/>
  </r>
  <r>
    <x v="28"/>
  </r>
  <r>
    <x v="28"/>
  </r>
  <r>
    <x v="12"/>
  </r>
  <r>
    <x v="12"/>
  </r>
  <r>
    <x v="14"/>
  </r>
  <r>
    <x v="11"/>
  </r>
  <r>
    <x v="12"/>
  </r>
  <r>
    <x v="58"/>
  </r>
  <r>
    <x v="58"/>
  </r>
  <r>
    <x v="58"/>
  </r>
  <r>
    <x v="0"/>
  </r>
  <r>
    <x v="52"/>
  </r>
  <r>
    <x v="28"/>
  </r>
  <r>
    <x v="16"/>
  </r>
  <r>
    <x v="24"/>
  </r>
  <r>
    <x v="111"/>
  </r>
  <r>
    <x v="130"/>
  </r>
  <r>
    <x v="60"/>
  </r>
  <r>
    <x v="12"/>
  </r>
  <r>
    <x v="60"/>
  </r>
  <r>
    <x v="60"/>
  </r>
  <r>
    <x v="14"/>
  </r>
  <r>
    <x v="17"/>
  </r>
  <r>
    <x v="77"/>
  </r>
  <r>
    <x v="12"/>
  </r>
  <r>
    <x v="24"/>
  </r>
  <r>
    <x v="11"/>
  </r>
  <r>
    <x v="24"/>
  </r>
  <r>
    <x v="7"/>
  </r>
  <r>
    <x v="61"/>
  </r>
  <r>
    <x v="87"/>
  </r>
  <r>
    <x v="48"/>
  </r>
  <r>
    <x v="12"/>
  </r>
  <r>
    <x v="51"/>
  </r>
  <r>
    <x v="51"/>
  </r>
  <r>
    <x v="7"/>
  </r>
  <r>
    <x v="14"/>
  </r>
  <r>
    <x v="17"/>
  </r>
  <r>
    <x v="39"/>
  </r>
  <r>
    <x v="42"/>
  </r>
  <r>
    <x v="16"/>
  </r>
  <r>
    <x v="16"/>
  </r>
  <r>
    <x v="26"/>
  </r>
  <r>
    <x v="24"/>
  </r>
  <r>
    <x v="14"/>
  </r>
  <r>
    <x v="14"/>
  </r>
  <r>
    <x v="7"/>
  </r>
  <r>
    <x v="14"/>
  </r>
  <r>
    <x v="55"/>
  </r>
  <r>
    <x v="0"/>
  </r>
  <r>
    <x v="48"/>
  </r>
  <r>
    <x v="58"/>
  </r>
  <r>
    <x v="58"/>
  </r>
  <r>
    <x v="16"/>
  </r>
  <r>
    <x v="16"/>
  </r>
  <r>
    <x v="17"/>
  </r>
  <r>
    <x v="17"/>
  </r>
  <r>
    <x v="17"/>
  </r>
  <r>
    <x v="17"/>
  </r>
  <r>
    <x v="45"/>
  </r>
  <r>
    <x v="17"/>
  </r>
  <r>
    <x v="48"/>
  </r>
  <r>
    <x v="56"/>
  </r>
  <r>
    <x v="48"/>
  </r>
  <r>
    <x v="14"/>
  </r>
  <r>
    <x v="5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37"/>
  </r>
  <r>
    <x v="42"/>
  </r>
  <r>
    <x v="17"/>
  </r>
  <r>
    <x v="14"/>
  </r>
  <r>
    <x v="37"/>
  </r>
  <r>
    <x v="14"/>
  </r>
  <r>
    <x v="14"/>
  </r>
  <r>
    <x v="14"/>
  </r>
  <r>
    <x v="14"/>
  </r>
  <r>
    <x v="14"/>
  </r>
  <r>
    <x v="11"/>
  </r>
  <r>
    <x v="14"/>
  </r>
  <r>
    <x v="42"/>
  </r>
  <r>
    <x v="42"/>
  </r>
  <r>
    <x v="42"/>
  </r>
  <r>
    <x v="22"/>
  </r>
  <r>
    <x v="22"/>
  </r>
  <r>
    <x v="22"/>
  </r>
  <r>
    <x v="22"/>
  </r>
  <r>
    <x v="22"/>
  </r>
  <r>
    <x v="22"/>
  </r>
  <r>
    <x v="7"/>
  </r>
  <r>
    <x v="7"/>
  </r>
  <r>
    <x v="17"/>
  </r>
  <r>
    <x v="2"/>
  </r>
  <r>
    <x v="115"/>
  </r>
  <r>
    <x v="14"/>
  </r>
  <r>
    <x v="42"/>
  </r>
  <r>
    <x v="4"/>
  </r>
  <r>
    <x v="1"/>
  </r>
  <r>
    <x v="16"/>
  </r>
  <r>
    <x v="16"/>
  </r>
  <r>
    <x v="16"/>
  </r>
  <r>
    <x v="16"/>
  </r>
  <r>
    <x v="0"/>
  </r>
  <r>
    <x v="0"/>
  </r>
  <r>
    <x v="0"/>
  </r>
  <r>
    <x v="14"/>
  </r>
  <r>
    <x v="0"/>
  </r>
  <r>
    <x v="0"/>
  </r>
  <r>
    <x v="17"/>
  </r>
  <r>
    <x v="17"/>
  </r>
  <r>
    <x v="14"/>
  </r>
  <r>
    <x v="14"/>
  </r>
  <r>
    <x v="14"/>
  </r>
  <r>
    <x v="37"/>
  </r>
  <r>
    <x v="28"/>
  </r>
  <r>
    <x v="78"/>
  </r>
  <r>
    <x v="62"/>
  </r>
  <r>
    <x v="17"/>
  </r>
  <r>
    <x v="78"/>
  </r>
  <r>
    <x v="12"/>
  </r>
  <r>
    <x v="12"/>
  </r>
  <r>
    <x v="12"/>
  </r>
  <r>
    <x v="14"/>
  </r>
  <r>
    <x v="22"/>
  </r>
  <r>
    <x v="22"/>
  </r>
  <r>
    <x v="22"/>
  </r>
  <r>
    <x v="17"/>
  </r>
  <r>
    <x v="17"/>
  </r>
  <r>
    <x v="17"/>
  </r>
  <r>
    <x v="22"/>
  </r>
  <r>
    <x v="22"/>
  </r>
  <r>
    <x v="22"/>
  </r>
  <r>
    <x v="17"/>
  </r>
  <r>
    <x v="17"/>
  </r>
  <r>
    <x v="16"/>
  </r>
  <r>
    <x v="17"/>
  </r>
  <r>
    <x v="17"/>
  </r>
  <r>
    <x v="17"/>
  </r>
  <r>
    <x v="17"/>
  </r>
  <r>
    <x v="14"/>
  </r>
  <r>
    <x v="14"/>
  </r>
  <r>
    <x v="14"/>
  </r>
  <r>
    <x v="47"/>
  </r>
  <r>
    <x v="131"/>
  </r>
  <r>
    <x v="14"/>
  </r>
  <r>
    <x v="14"/>
  </r>
  <r>
    <x v="48"/>
  </r>
  <r>
    <x v="143"/>
  </r>
  <r>
    <x v="48"/>
  </r>
  <r>
    <x v="14"/>
  </r>
  <r>
    <x v="14"/>
  </r>
  <r>
    <x v="34"/>
  </r>
  <r>
    <x v="34"/>
  </r>
  <r>
    <x v="14"/>
  </r>
  <r>
    <x v="42"/>
  </r>
  <r>
    <x v="42"/>
  </r>
  <r>
    <x v="31"/>
  </r>
  <r>
    <x v="86"/>
  </r>
  <r>
    <x v="76"/>
  </r>
  <r>
    <x v="76"/>
  </r>
  <r>
    <x v="76"/>
  </r>
  <r>
    <x v="76"/>
  </r>
  <r>
    <x v="25"/>
  </r>
  <r>
    <x v="76"/>
  </r>
  <r>
    <x v="76"/>
  </r>
  <r>
    <x v="76"/>
  </r>
  <r>
    <x v="23"/>
  </r>
  <r>
    <x v="48"/>
  </r>
  <r>
    <x v="59"/>
  </r>
  <r>
    <x v="210"/>
  </r>
  <r>
    <x v="10"/>
  </r>
  <r>
    <x v="10"/>
  </r>
  <r>
    <x v="63"/>
  </r>
  <r>
    <x v="85"/>
  </r>
  <r>
    <x v="119"/>
  </r>
  <r>
    <x v="90"/>
  </r>
  <r>
    <x v="10"/>
  </r>
  <r>
    <x v="63"/>
  </r>
  <r>
    <x v="15"/>
  </r>
  <r>
    <x v="23"/>
  </r>
  <r>
    <x v="23"/>
  </r>
  <r>
    <x v="78"/>
  </r>
  <r>
    <x v="76"/>
  </r>
  <r>
    <x v="25"/>
  </r>
  <r>
    <x v="10"/>
  </r>
  <r>
    <x v="25"/>
  </r>
  <r>
    <x v="25"/>
  </r>
  <r>
    <x v="124"/>
  </r>
  <r>
    <x v="124"/>
  </r>
  <r>
    <x v="7"/>
  </r>
  <r>
    <x v="7"/>
  </r>
  <r>
    <x v="7"/>
  </r>
  <r>
    <x v="86"/>
  </r>
  <r>
    <x v="25"/>
  </r>
  <r>
    <x v="25"/>
  </r>
  <r>
    <x v="25"/>
  </r>
  <r>
    <x v="27"/>
  </r>
  <r>
    <x v="27"/>
  </r>
  <r>
    <x v="75"/>
  </r>
  <r>
    <x v="83"/>
  </r>
  <r>
    <x v="25"/>
  </r>
  <r>
    <x v="7"/>
  </r>
  <r>
    <x v="7"/>
  </r>
  <r>
    <x v="12"/>
  </r>
  <r>
    <x v="25"/>
  </r>
  <r>
    <x v="76"/>
  </r>
  <r>
    <x v="256"/>
  </r>
  <r>
    <x v="76"/>
  </r>
  <r>
    <x v="76"/>
  </r>
  <r>
    <x v="76"/>
  </r>
  <r>
    <x v="25"/>
  </r>
  <r>
    <x v="25"/>
  </r>
  <r>
    <x v="199"/>
  </r>
  <r>
    <x v="76"/>
  </r>
  <r>
    <x v="76"/>
  </r>
  <r>
    <x v="25"/>
  </r>
  <r>
    <x v="76"/>
  </r>
  <r>
    <x v="25"/>
  </r>
  <r>
    <x v="25"/>
  </r>
  <r>
    <x v="25"/>
  </r>
  <r>
    <x v="25"/>
  </r>
  <r>
    <x v="25"/>
  </r>
  <r>
    <x v="25"/>
  </r>
  <r>
    <x v="25"/>
  </r>
  <r>
    <x v="3"/>
  </r>
  <r>
    <x v="25"/>
  </r>
  <r>
    <x v="25"/>
  </r>
  <r>
    <x v="25"/>
  </r>
  <r>
    <x v="25"/>
  </r>
  <r>
    <x v="25"/>
  </r>
  <r>
    <x v="25"/>
  </r>
  <r>
    <x v="59"/>
  </r>
  <r>
    <x v="45"/>
  </r>
  <r>
    <x v="46"/>
  </r>
  <r>
    <x v="141"/>
  </r>
  <r>
    <x v="76"/>
  </r>
  <r>
    <x v="25"/>
  </r>
  <r>
    <x v="25"/>
  </r>
  <r>
    <x v="76"/>
  </r>
  <r>
    <x v="10"/>
  </r>
  <r>
    <x v="14"/>
  </r>
  <r>
    <x v="3"/>
  </r>
  <r>
    <x v="3"/>
  </r>
  <r>
    <x v="2"/>
  </r>
  <r>
    <x v="14"/>
  </r>
  <r>
    <x v="23"/>
  </r>
  <r>
    <x v="23"/>
  </r>
  <r>
    <x v="102"/>
  </r>
  <r>
    <x v="59"/>
  </r>
  <r>
    <x v="56"/>
  </r>
  <r>
    <x v="27"/>
  </r>
  <r>
    <x v="53"/>
  </r>
  <r>
    <x v="56"/>
  </r>
  <r>
    <x v="112"/>
  </r>
  <r>
    <x v="26"/>
  </r>
  <r>
    <x v="31"/>
  </r>
  <r>
    <x v="188"/>
  </r>
  <r>
    <x v="46"/>
  </r>
  <r>
    <x v="46"/>
  </r>
  <r>
    <x v="46"/>
  </r>
  <r>
    <x v="77"/>
  </r>
  <r>
    <x v="77"/>
  </r>
  <r>
    <x v="77"/>
  </r>
  <r>
    <x v="3"/>
  </r>
  <r>
    <x v="55"/>
  </r>
  <r>
    <x v="2"/>
  </r>
  <r>
    <x v="118"/>
  </r>
  <r>
    <x v="6"/>
  </r>
  <r>
    <x v="21"/>
  </r>
  <r>
    <x v="16"/>
  </r>
  <r>
    <x v="75"/>
  </r>
  <r>
    <x v="75"/>
  </r>
  <r>
    <x v="35"/>
  </r>
  <r>
    <x v="59"/>
  </r>
  <r>
    <x v="6"/>
  </r>
  <r>
    <x v="28"/>
  </r>
  <r>
    <x v="81"/>
  </r>
  <r>
    <x v="81"/>
  </r>
  <r>
    <x v="81"/>
  </r>
  <r>
    <x v="149"/>
  </r>
  <r>
    <x v="80"/>
  </r>
  <r>
    <x v="45"/>
  </r>
  <r>
    <x v="76"/>
  </r>
  <r>
    <x v="32"/>
  </r>
  <r>
    <x v="63"/>
  </r>
  <r>
    <x v="25"/>
  </r>
  <r>
    <x v="14"/>
  </r>
  <r>
    <x v="14"/>
  </r>
  <r>
    <x v="104"/>
  </r>
  <r>
    <x v="14"/>
  </r>
  <r>
    <x v="204"/>
  </r>
  <r>
    <x v="25"/>
  </r>
  <r>
    <x v="20"/>
  </r>
  <r>
    <x v="25"/>
  </r>
  <r>
    <x v="83"/>
  </r>
  <r>
    <x v="204"/>
  </r>
  <r>
    <x v="10"/>
  </r>
  <r>
    <x v="46"/>
  </r>
  <r>
    <x v="46"/>
  </r>
  <r>
    <x v="46"/>
  </r>
  <r>
    <x v="10"/>
  </r>
  <r>
    <x v="10"/>
  </r>
  <r>
    <x v="10"/>
  </r>
  <r>
    <x v="25"/>
  </r>
  <r>
    <x v="12"/>
  </r>
  <r>
    <x v="10"/>
  </r>
  <r>
    <x v="55"/>
  </r>
  <r>
    <x v="55"/>
  </r>
  <r>
    <x v="55"/>
  </r>
  <r>
    <x v="83"/>
  </r>
  <r>
    <x v="132"/>
  </r>
  <r>
    <x v="76"/>
  </r>
  <r>
    <x v="25"/>
  </r>
  <r>
    <x v="25"/>
  </r>
  <r>
    <x v="100"/>
  </r>
  <r>
    <x v="67"/>
  </r>
  <r>
    <x v="59"/>
  </r>
  <r>
    <x v="116"/>
  </r>
  <r>
    <x v="56"/>
  </r>
  <r>
    <x v="257"/>
  </r>
  <r>
    <x v="15"/>
  </r>
  <r>
    <x v="56"/>
  </r>
  <r>
    <x v="116"/>
  </r>
  <r>
    <x v="116"/>
  </r>
  <r>
    <x v="15"/>
  </r>
  <r>
    <x v="15"/>
  </r>
  <r>
    <x v="29"/>
  </r>
  <r>
    <x v="45"/>
  </r>
  <r>
    <x v="23"/>
  </r>
  <r>
    <x v="45"/>
  </r>
  <r>
    <x v="90"/>
  </r>
  <r>
    <x v="90"/>
  </r>
  <r>
    <x v="30"/>
  </r>
  <r>
    <x v="30"/>
  </r>
  <r>
    <x v="48"/>
  </r>
  <r>
    <x v="14"/>
  </r>
  <r>
    <x v="14"/>
  </r>
  <r>
    <x v="257"/>
  </r>
  <r>
    <x v="93"/>
  </r>
  <r>
    <x v="76"/>
  </r>
  <r>
    <x v="25"/>
  </r>
  <r>
    <x v="76"/>
  </r>
  <r>
    <x v="76"/>
  </r>
  <r>
    <x v="76"/>
  </r>
  <r>
    <x v="36"/>
  </r>
  <r>
    <x v="93"/>
  </r>
  <r>
    <x v="82"/>
  </r>
  <r>
    <x v="25"/>
  </r>
  <r>
    <x v="25"/>
  </r>
  <r>
    <x v="25"/>
  </r>
  <r>
    <x v="78"/>
  </r>
  <r>
    <x v="12"/>
  </r>
  <r>
    <x v="12"/>
  </r>
  <r>
    <x v="77"/>
  </r>
  <r>
    <x v="12"/>
  </r>
  <r>
    <x v="10"/>
  </r>
  <r>
    <x v="154"/>
  </r>
  <r>
    <x v="31"/>
  </r>
  <r>
    <x v="166"/>
  </r>
  <r>
    <x v="154"/>
  </r>
  <r>
    <x v="31"/>
  </r>
  <r>
    <x v="14"/>
  </r>
  <r>
    <x v="157"/>
  </r>
  <r>
    <x v="87"/>
  </r>
  <r>
    <x v="0"/>
  </r>
  <r>
    <x v="0"/>
  </r>
  <r>
    <x v="81"/>
  </r>
  <r>
    <x v="81"/>
  </r>
  <r>
    <x v="81"/>
  </r>
  <r>
    <x v="81"/>
  </r>
  <r>
    <x v="81"/>
  </r>
  <r>
    <x v="12"/>
  </r>
  <r>
    <x v="81"/>
  </r>
  <r>
    <x v="81"/>
  </r>
  <r>
    <x v="81"/>
  </r>
  <r>
    <x v="57"/>
  </r>
  <r>
    <x v="87"/>
  </r>
  <r>
    <x v="31"/>
  </r>
  <r>
    <x v="31"/>
  </r>
  <r>
    <x v="31"/>
  </r>
  <r>
    <x v="72"/>
  </r>
  <r>
    <x v="25"/>
  </r>
  <r>
    <x v="155"/>
  </r>
  <r>
    <x v="31"/>
  </r>
  <r>
    <x v="113"/>
  </r>
  <r>
    <x v="199"/>
  </r>
  <r>
    <x v="77"/>
  </r>
  <r>
    <x v="21"/>
  </r>
  <r>
    <x v="194"/>
  </r>
  <r>
    <x v="81"/>
  </r>
  <r>
    <x v="77"/>
  </r>
  <r>
    <x v="30"/>
  </r>
  <r>
    <x v="30"/>
  </r>
  <r>
    <x v="36"/>
  </r>
  <r>
    <x v="36"/>
  </r>
  <r>
    <x v="112"/>
  </r>
  <r>
    <x v="112"/>
  </r>
  <r>
    <x v="72"/>
  </r>
  <r>
    <x v="86"/>
  </r>
  <r>
    <x v="14"/>
  </r>
  <r>
    <x v="183"/>
  </r>
  <r>
    <x v="81"/>
  </r>
  <r>
    <x v="81"/>
  </r>
  <r>
    <x v="81"/>
  </r>
  <r>
    <x v="94"/>
  </r>
  <r>
    <x v="94"/>
  </r>
  <r>
    <x v="82"/>
  </r>
  <r>
    <x v="94"/>
  </r>
  <r>
    <x v="112"/>
  </r>
  <r>
    <x v="93"/>
  </r>
  <r>
    <x v="93"/>
  </r>
  <r>
    <x v="103"/>
  </r>
  <r>
    <x v="48"/>
  </r>
  <r>
    <x v="48"/>
  </r>
  <r>
    <x v="12"/>
  </r>
  <r>
    <x v="12"/>
  </r>
  <r>
    <x v="75"/>
  </r>
  <r>
    <x v="75"/>
  </r>
  <r>
    <x v="77"/>
  </r>
  <r>
    <x v="82"/>
  </r>
  <r>
    <x v="82"/>
  </r>
  <r>
    <x v="99"/>
  </r>
  <r>
    <x v="99"/>
  </r>
  <r>
    <x v="99"/>
  </r>
  <r>
    <x v="103"/>
  </r>
  <r>
    <x v="112"/>
  </r>
  <r>
    <x v="112"/>
  </r>
  <r>
    <x v="72"/>
  </r>
  <r>
    <x v="12"/>
  </r>
  <r>
    <x v="72"/>
  </r>
  <r>
    <x v="26"/>
  </r>
  <r>
    <x v="48"/>
  </r>
  <r>
    <x v="12"/>
  </r>
  <r>
    <x v="72"/>
  </r>
  <r>
    <x v="72"/>
  </r>
  <r>
    <x v="72"/>
  </r>
  <r>
    <x v="72"/>
  </r>
  <r>
    <x v="52"/>
  </r>
  <r>
    <x v="72"/>
  </r>
  <r>
    <x v="87"/>
  </r>
  <r>
    <x v="81"/>
  </r>
  <r>
    <x v="35"/>
  </r>
  <r>
    <x v="208"/>
  </r>
  <r>
    <x v="113"/>
  </r>
  <r>
    <x v="31"/>
  </r>
  <r>
    <x v="93"/>
  </r>
  <r>
    <x v="93"/>
  </r>
  <r>
    <x v="77"/>
  </r>
  <r>
    <x v="217"/>
  </r>
  <r>
    <x v="258"/>
  </r>
  <r>
    <x v="134"/>
  </r>
  <r>
    <x v="134"/>
  </r>
  <r>
    <x v="134"/>
  </r>
  <r>
    <x v="0"/>
  </r>
  <r>
    <x v="0"/>
  </r>
  <r>
    <x v="76"/>
  </r>
  <r>
    <x v="56"/>
  </r>
  <r>
    <x v="76"/>
  </r>
  <r>
    <x v="76"/>
  </r>
  <r>
    <x v="233"/>
  </r>
  <r>
    <x v="100"/>
  </r>
  <r>
    <x v="100"/>
  </r>
  <r>
    <x v="63"/>
  </r>
  <r>
    <x v="23"/>
  </r>
  <r>
    <x v="100"/>
  </r>
  <r>
    <x v="25"/>
  </r>
  <r>
    <x v="25"/>
  </r>
  <r>
    <x v="12"/>
  </r>
  <r>
    <x v="56"/>
  </r>
  <r>
    <x v="52"/>
  </r>
  <r>
    <x v="52"/>
  </r>
  <r>
    <x v="76"/>
  </r>
  <r>
    <x v="102"/>
  </r>
  <r>
    <x v="48"/>
  </r>
  <r>
    <x v="161"/>
  </r>
  <r>
    <x v="193"/>
  </r>
  <r>
    <x v="63"/>
  </r>
  <r>
    <x v="9"/>
  </r>
  <r>
    <x v="56"/>
  </r>
  <r>
    <x v="108"/>
  </r>
  <r>
    <x v="108"/>
  </r>
  <r>
    <x v="108"/>
  </r>
  <r>
    <x v="108"/>
  </r>
  <r>
    <x v="48"/>
  </r>
  <r>
    <x v="86"/>
  </r>
  <r>
    <x v="141"/>
  </r>
  <r>
    <x v="141"/>
  </r>
  <r>
    <x v="72"/>
  </r>
  <r>
    <x v="9"/>
  </r>
  <r>
    <x v="9"/>
  </r>
  <r>
    <x v="56"/>
  </r>
  <r>
    <x v="76"/>
  </r>
  <r>
    <x v="76"/>
  </r>
  <r>
    <x v="76"/>
  </r>
  <r>
    <x v="76"/>
  </r>
  <r>
    <x v="3"/>
  </r>
  <r>
    <x v="76"/>
  </r>
  <r>
    <x v="100"/>
  </r>
  <r>
    <x v="83"/>
  </r>
  <r>
    <x v="59"/>
  </r>
  <r>
    <x v="25"/>
  </r>
  <r>
    <x v="118"/>
  </r>
  <r>
    <x v="100"/>
  </r>
  <r>
    <x v="100"/>
  </r>
  <r>
    <x v="48"/>
  </r>
  <r>
    <x v="83"/>
  </r>
  <r>
    <x v="72"/>
  </r>
  <r>
    <x v="111"/>
  </r>
  <r>
    <x v="14"/>
  </r>
  <r>
    <x v="111"/>
  </r>
  <r>
    <x v="100"/>
  </r>
  <r>
    <x v="48"/>
  </r>
  <r>
    <x v="87"/>
  </r>
  <r>
    <x v="87"/>
  </r>
  <r>
    <x v="6"/>
  </r>
  <r>
    <x v="25"/>
  </r>
  <r>
    <x v="23"/>
  </r>
  <r>
    <x v="23"/>
  </r>
  <r>
    <x v="25"/>
  </r>
  <r>
    <x v="76"/>
  </r>
  <r>
    <x v="76"/>
  </r>
  <r>
    <x v="76"/>
  </r>
  <r>
    <x v="23"/>
  </r>
  <r>
    <x v="12"/>
  </r>
  <r>
    <x v="4"/>
  </r>
  <r>
    <x v="23"/>
  </r>
  <r>
    <x v="23"/>
  </r>
  <r>
    <x v="14"/>
  </r>
  <r>
    <x v="28"/>
  </r>
  <r>
    <x v="28"/>
  </r>
  <r>
    <x v="23"/>
  </r>
  <r>
    <x v="23"/>
  </r>
  <r>
    <x v="23"/>
  </r>
  <r>
    <x v="4"/>
  </r>
  <r>
    <x v="23"/>
  </r>
  <r>
    <x v="23"/>
  </r>
  <r>
    <x v="23"/>
  </r>
  <r>
    <x v="115"/>
  </r>
  <r>
    <x v="115"/>
  </r>
  <r>
    <x v="4"/>
  </r>
  <r>
    <x v="115"/>
  </r>
  <r>
    <x v="14"/>
  </r>
  <r>
    <x v="25"/>
  </r>
  <r>
    <x v="23"/>
  </r>
  <r>
    <x v="23"/>
  </r>
  <r>
    <x v="23"/>
  </r>
  <r>
    <x v="23"/>
  </r>
  <r>
    <x v="23"/>
  </r>
  <r>
    <x v="23"/>
  </r>
  <r>
    <x v="23"/>
  </r>
  <r>
    <x v="21"/>
  </r>
  <r>
    <x v="25"/>
  </r>
  <r>
    <x v="25"/>
  </r>
  <r>
    <x v="25"/>
  </r>
  <r>
    <x v="23"/>
  </r>
  <r>
    <x v="23"/>
  </r>
  <r>
    <x v="91"/>
  </r>
  <r>
    <x v="91"/>
  </r>
  <r>
    <x v="81"/>
  </r>
  <r>
    <x v="10"/>
  </r>
  <r>
    <x v="10"/>
  </r>
  <r>
    <x v="10"/>
  </r>
  <r>
    <x v="14"/>
  </r>
  <r>
    <x v="48"/>
  </r>
  <r>
    <x v="28"/>
  </r>
  <r>
    <x v="48"/>
  </r>
  <r>
    <x v="22"/>
  </r>
  <r>
    <x v="9"/>
  </r>
  <r>
    <x v="16"/>
  </r>
  <r>
    <x v="171"/>
  </r>
  <r>
    <x v="30"/>
  </r>
  <r>
    <x v="12"/>
  </r>
  <r>
    <x v="0"/>
  </r>
  <r>
    <x v="14"/>
  </r>
  <r>
    <x v="17"/>
  </r>
  <r>
    <x v="10"/>
  </r>
  <r>
    <x v="0"/>
  </r>
  <r>
    <x v="0"/>
  </r>
  <r>
    <x v="17"/>
  </r>
  <r>
    <x v="17"/>
  </r>
  <r>
    <x v="26"/>
  </r>
  <r>
    <x v="24"/>
  </r>
  <r>
    <x v="48"/>
  </r>
  <r>
    <x v="14"/>
  </r>
  <r>
    <x v="53"/>
  </r>
  <r>
    <x v="14"/>
  </r>
  <r>
    <x v="46"/>
  </r>
  <r>
    <x v="171"/>
  </r>
  <r>
    <x v="171"/>
  </r>
  <r>
    <x v="87"/>
  </r>
  <r>
    <x v="28"/>
  </r>
  <r>
    <x v="16"/>
  </r>
  <r>
    <x v="28"/>
  </r>
  <r>
    <x v="0"/>
  </r>
  <r>
    <x v="48"/>
  </r>
  <r>
    <x v="28"/>
  </r>
  <r>
    <x v="14"/>
  </r>
  <r>
    <x v="10"/>
  </r>
  <r>
    <x v="10"/>
  </r>
  <r>
    <x v="12"/>
  </r>
  <r>
    <x v="48"/>
  </r>
  <r>
    <x v="14"/>
  </r>
  <r>
    <x v="22"/>
  </r>
  <r>
    <x v="10"/>
  </r>
  <r>
    <x v="55"/>
  </r>
  <r>
    <x v="55"/>
  </r>
  <r>
    <x v="40"/>
  </r>
  <r>
    <x v="0"/>
  </r>
  <r>
    <x v="0"/>
  </r>
  <r>
    <x v="22"/>
  </r>
  <r>
    <x v="22"/>
  </r>
  <r>
    <x v="14"/>
  </r>
  <r>
    <x v="32"/>
  </r>
  <r>
    <x v="40"/>
  </r>
  <r>
    <x v="41"/>
  </r>
  <r>
    <x v="14"/>
  </r>
  <r>
    <x v="14"/>
  </r>
  <r>
    <x v="14"/>
  </r>
  <r>
    <x v="62"/>
  </r>
  <r>
    <x v="48"/>
  </r>
  <r>
    <x v="48"/>
  </r>
  <r>
    <x v="48"/>
  </r>
  <r>
    <x v="12"/>
  </r>
  <r>
    <x v="39"/>
  </r>
  <r>
    <x v="28"/>
  </r>
  <r>
    <x v="32"/>
  </r>
  <r>
    <x v="30"/>
  </r>
  <r>
    <x v="30"/>
  </r>
  <r>
    <x v="26"/>
  </r>
  <r>
    <x v="14"/>
  </r>
  <r>
    <x v="17"/>
  </r>
  <r>
    <x v="46"/>
  </r>
  <r>
    <x v="81"/>
  </r>
  <r>
    <x v="130"/>
  </r>
  <r>
    <x v="60"/>
  </r>
  <r>
    <x v="60"/>
  </r>
  <r>
    <x v="14"/>
  </r>
  <r>
    <x v="16"/>
  </r>
  <r>
    <x v="16"/>
  </r>
  <r>
    <x v="17"/>
  </r>
  <r>
    <x v="16"/>
  </r>
  <r>
    <x v="16"/>
  </r>
  <r>
    <x v="52"/>
  </r>
  <r>
    <x v="48"/>
  </r>
  <r>
    <x v="48"/>
  </r>
  <r>
    <x v="14"/>
  </r>
  <r>
    <x v="28"/>
  </r>
  <r>
    <x v="28"/>
  </r>
  <r>
    <x v="16"/>
  </r>
  <r>
    <x v="171"/>
  </r>
  <r>
    <x v="64"/>
  </r>
  <r>
    <x v="77"/>
  </r>
  <r>
    <x v="16"/>
  </r>
  <r>
    <x v="4"/>
  </r>
  <r>
    <x v="76"/>
  </r>
  <r>
    <x v="16"/>
  </r>
  <r>
    <x v="8"/>
  </r>
  <r>
    <x v="131"/>
  </r>
  <r>
    <x v="134"/>
  </r>
  <r>
    <x v="143"/>
  </r>
  <r>
    <x v="14"/>
  </r>
  <r>
    <x v="14"/>
  </r>
  <r>
    <x v="28"/>
  </r>
  <r>
    <x v="37"/>
  </r>
  <r>
    <x v="28"/>
  </r>
  <r>
    <x v="14"/>
  </r>
  <r>
    <x v="30"/>
  </r>
  <r>
    <x v="30"/>
  </r>
  <r>
    <x v="26"/>
  </r>
  <r>
    <x v="21"/>
  </r>
  <r>
    <x v="45"/>
  </r>
  <r>
    <x v="4"/>
  </r>
  <r>
    <x v="28"/>
  </r>
  <r>
    <x v="28"/>
  </r>
  <r>
    <x v="28"/>
  </r>
  <r>
    <x v="34"/>
  </r>
  <r>
    <x v="26"/>
  </r>
  <r>
    <x v="2"/>
  </r>
  <r>
    <x v="28"/>
  </r>
  <r>
    <x v="28"/>
  </r>
  <r>
    <x v="46"/>
  </r>
  <r>
    <x v="100"/>
  </r>
  <r>
    <x v="138"/>
  </r>
  <r>
    <x v="7"/>
  </r>
  <r>
    <x v="7"/>
  </r>
  <r>
    <x v="7"/>
  </r>
  <r>
    <x v="46"/>
  </r>
  <r>
    <x v="17"/>
  </r>
  <r>
    <x v="40"/>
  </r>
  <r>
    <x v="2"/>
  </r>
  <r>
    <x v="40"/>
  </r>
  <r>
    <x v="62"/>
  </r>
  <r>
    <x v="171"/>
  </r>
  <r>
    <x v="171"/>
  </r>
  <r>
    <x v="171"/>
  </r>
  <r>
    <x v="131"/>
  </r>
  <r>
    <x v="48"/>
  </r>
  <r>
    <x v="45"/>
  </r>
  <r>
    <x v="48"/>
  </r>
  <r>
    <x v="14"/>
  </r>
  <r>
    <x v="16"/>
  </r>
  <r>
    <x v="28"/>
  </r>
  <r>
    <x v="171"/>
  </r>
  <r>
    <x v="26"/>
  </r>
  <r>
    <x v="26"/>
  </r>
  <r>
    <x v="14"/>
  </r>
  <r>
    <x v="14"/>
  </r>
  <r>
    <x v="26"/>
  </r>
  <r>
    <x v="22"/>
  </r>
  <r>
    <x v="28"/>
  </r>
  <r>
    <x v="17"/>
  </r>
  <r>
    <x v="64"/>
  </r>
  <r>
    <x v="22"/>
  </r>
  <r>
    <x v="22"/>
  </r>
  <r>
    <x v="17"/>
  </r>
  <r>
    <x v="17"/>
  </r>
  <r>
    <x v="17"/>
  </r>
  <r>
    <x v="17"/>
  </r>
  <r>
    <x v="8"/>
  </r>
  <r>
    <x v="8"/>
  </r>
  <r>
    <x v="8"/>
  </r>
  <r>
    <x v="48"/>
  </r>
  <r>
    <x v="26"/>
  </r>
  <r>
    <x v="16"/>
  </r>
  <r>
    <x v="130"/>
  </r>
  <r>
    <x v="37"/>
  </r>
  <r>
    <x v="26"/>
  </r>
  <r>
    <x v="41"/>
  </r>
  <r>
    <x v="62"/>
  </r>
  <r>
    <x v="21"/>
  </r>
  <r>
    <x v="81"/>
  </r>
  <r>
    <x v="14"/>
  </r>
  <r>
    <x v="14"/>
  </r>
  <r>
    <x v="39"/>
  </r>
  <r>
    <x v="17"/>
  </r>
  <r>
    <x v="28"/>
  </r>
  <r>
    <x v="12"/>
  </r>
  <r>
    <x v="171"/>
  </r>
  <r>
    <x v="28"/>
  </r>
  <r>
    <x v="4"/>
  </r>
  <r>
    <x v="130"/>
  </r>
  <r>
    <x v="64"/>
  </r>
  <r>
    <x v="41"/>
  </r>
  <r>
    <x v="28"/>
  </r>
  <r>
    <x v="28"/>
  </r>
  <r>
    <x v="14"/>
  </r>
  <r>
    <x v="14"/>
  </r>
  <r>
    <x v="16"/>
  </r>
  <r>
    <x v="62"/>
  </r>
  <r>
    <x v="10"/>
  </r>
  <r>
    <x v="130"/>
  </r>
  <r>
    <x v="10"/>
  </r>
  <r>
    <x v="10"/>
  </r>
  <r>
    <x v="171"/>
  </r>
  <r>
    <x v="10"/>
  </r>
  <r>
    <x v="34"/>
  </r>
  <r>
    <x v="34"/>
  </r>
  <r>
    <x v="34"/>
  </r>
  <r>
    <x v="28"/>
  </r>
  <r>
    <x v="40"/>
  </r>
  <r>
    <x v="16"/>
  </r>
  <r>
    <x v="16"/>
  </r>
  <r>
    <x v="2"/>
  </r>
  <r>
    <x v="10"/>
  </r>
  <r>
    <x v="10"/>
  </r>
  <r>
    <x v="14"/>
  </r>
  <r>
    <x v="10"/>
  </r>
  <r>
    <x v="28"/>
  </r>
  <r>
    <x v="28"/>
  </r>
  <r>
    <x v="31"/>
  </r>
  <r>
    <x v="24"/>
  </r>
  <r>
    <x v="14"/>
  </r>
  <r>
    <x v="171"/>
  </r>
  <r>
    <x v="171"/>
  </r>
  <r>
    <x v="28"/>
  </r>
  <r>
    <x v="28"/>
  </r>
  <r>
    <x v="22"/>
  </r>
  <r>
    <x v="52"/>
  </r>
  <r>
    <x v="0"/>
  </r>
  <r>
    <x v="14"/>
  </r>
  <r>
    <x v="32"/>
  </r>
  <r>
    <x v="0"/>
  </r>
  <r>
    <x v="0"/>
  </r>
  <r>
    <x v="0"/>
  </r>
  <r>
    <x v="0"/>
  </r>
  <r>
    <x v="0"/>
  </r>
  <r>
    <x v="0"/>
  </r>
  <r>
    <x v="0"/>
  </r>
  <r>
    <x v="80"/>
  </r>
  <r>
    <x v="80"/>
  </r>
  <r>
    <x v="80"/>
  </r>
  <r>
    <x v="80"/>
  </r>
  <r>
    <x v="125"/>
  </r>
  <r>
    <x v="2"/>
  </r>
  <r>
    <x v="2"/>
  </r>
  <r>
    <x v="2"/>
  </r>
  <r>
    <x v="14"/>
  </r>
  <r>
    <x v="14"/>
  </r>
  <r>
    <x v="14"/>
  </r>
  <r>
    <x v="14"/>
  </r>
  <r>
    <x v="45"/>
  </r>
  <r>
    <x v="45"/>
  </r>
  <r>
    <x v="45"/>
  </r>
  <r>
    <x v="91"/>
  </r>
  <r>
    <x v="105"/>
  </r>
  <r>
    <x v="25"/>
  </r>
  <r>
    <x v="25"/>
  </r>
  <r>
    <x v="25"/>
  </r>
  <r>
    <x v="91"/>
  </r>
  <r>
    <x v="23"/>
  </r>
  <r>
    <x v="23"/>
  </r>
  <r>
    <x v="25"/>
  </r>
  <r>
    <x v="12"/>
  </r>
  <r>
    <x v="25"/>
  </r>
  <r>
    <x v="25"/>
  </r>
  <r>
    <x v="25"/>
  </r>
  <r>
    <x v="75"/>
  </r>
  <r>
    <x v="25"/>
  </r>
  <r>
    <x v="25"/>
  </r>
  <r>
    <x v="25"/>
  </r>
  <r>
    <x v="12"/>
  </r>
  <r>
    <x v="12"/>
  </r>
  <r>
    <x v="12"/>
  </r>
  <r>
    <x v="12"/>
  </r>
  <r>
    <x v="25"/>
  </r>
  <r>
    <x v="12"/>
  </r>
  <r>
    <x v="12"/>
  </r>
  <r>
    <x v="25"/>
  </r>
  <r>
    <x v="23"/>
  </r>
  <r>
    <x v="23"/>
  </r>
  <r>
    <x v="25"/>
  </r>
  <r>
    <x v="12"/>
  </r>
  <r>
    <x v="52"/>
  </r>
  <r>
    <x v="12"/>
  </r>
  <r>
    <x v="81"/>
  </r>
  <r>
    <x v="23"/>
  </r>
  <r>
    <x v="23"/>
  </r>
  <r>
    <x v="12"/>
  </r>
  <r>
    <x v="99"/>
  </r>
  <r>
    <x v="99"/>
  </r>
  <r>
    <x v="21"/>
  </r>
  <r>
    <x v="21"/>
  </r>
  <r>
    <x v="244"/>
  </r>
  <r>
    <x v="96"/>
  </r>
  <r>
    <x v="99"/>
  </r>
  <r>
    <x v="99"/>
  </r>
  <r>
    <x v="99"/>
  </r>
  <r>
    <x v="193"/>
  </r>
  <r>
    <x v="244"/>
  </r>
  <r>
    <x v="244"/>
  </r>
  <r>
    <x v="244"/>
  </r>
  <r>
    <x v="34"/>
  </r>
  <r>
    <x v="25"/>
  </r>
  <r>
    <x v="94"/>
  </r>
  <r>
    <x v="12"/>
  </r>
  <r>
    <x v="25"/>
  </r>
  <r>
    <x v="23"/>
  </r>
  <r>
    <x v="12"/>
  </r>
  <r>
    <x v="23"/>
  </r>
  <r>
    <x v="12"/>
  </r>
  <r>
    <x v="23"/>
  </r>
  <r>
    <x v="25"/>
  </r>
  <r>
    <x v="25"/>
  </r>
  <r>
    <x v="81"/>
  </r>
  <r>
    <x v="96"/>
  </r>
  <r>
    <x v="29"/>
  </r>
  <r>
    <x v="29"/>
  </r>
  <r>
    <x v="29"/>
  </r>
  <r>
    <x v="120"/>
  </r>
  <r>
    <x v="29"/>
  </r>
  <r>
    <x v="21"/>
  </r>
  <r>
    <x v="9"/>
  </r>
  <r>
    <x v="76"/>
  </r>
  <r>
    <x v="76"/>
  </r>
  <r>
    <x v="21"/>
  </r>
  <r>
    <x v="21"/>
  </r>
  <r>
    <x v="9"/>
  </r>
  <r>
    <x v="21"/>
  </r>
  <r>
    <x v="23"/>
  </r>
  <r>
    <x v="99"/>
  </r>
  <r>
    <x v="134"/>
  </r>
  <r>
    <x v="134"/>
  </r>
  <r>
    <x v="134"/>
  </r>
  <r>
    <x v="29"/>
  </r>
  <r>
    <x v="177"/>
  </r>
  <r>
    <x v="134"/>
  </r>
  <r>
    <x v="29"/>
  </r>
  <r>
    <x v="9"/>
  </r>
  <r>
    <x v="29"/>
  </r>
  <r>
    <x v="29"/>
  </r>
  <r>
    <x v="29"/>
  </r>
  <r>
    <x v="85"/>
  </r>
  <r>
    <x v="99"/>
  </r>
  <r>
    <x v="81"/>
  </r>
  <r>
    <x v="81"/>
  </r>
  <r>
    <x v="81"/>
  </r>
  <r>
    <x v="81"/>
  </r>
  <r>
    <x v="81"/>
  </r>
  <r>
    <x v="81"/>
  </r>
  <r>
    <x v="81"/>
  </r>
  <r>
    <x v="93"/>
  </r>
  <r>
    <x v="78"/>
  </r>
  <r>
    <x v="25"/>
  </r>
  <r>
    <x v="82"/>
  </r>
  <r>
    <x v="12"/>
  </r>
  <r>
    <x v="21"/>
  </r>
  <r>
    <x v="23"/>
  </r>
  <r>
    <x v="12"/>
  </r>
  <r>
    <x v="28"/>
  </r>
  <r>
    <x v="21"/>
  </r>
  <r>
    <x v="20"/>
  </r>
  <r>
    <x v="12"/>
  </r>
  <r>
    <x v="45"/>
  </r>
  <r>
    <x v="2"/>
  </r>
  <r>
    <x v="76"/>
  </r>
  <r>
    <x v="25"/>
  </r>
  <r>
    <x v="199"/>
  </r>
  <r>
    <x v="76"/>
  </r>
  <r>
    <x v="76"/>
  </r>
  <r>
    <x v="76"/>
  </r>
  <r>
    <x v="76"/>
  </r>
  <r>
    <x v="76"/>
  </r>
  <r>
    <x v="23"/>
  </r>
  <r>
    <x v="23"/>
  </r>
  <r>
    <x v="25"/>
  </r>
  <r>
    <x v="2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85"/>
  </r>
  <r>
    <x v="22"/>
  </r>
  <r>
    <x v="22"/>
  </r>
  <r>
    <x v="22"/>
  </r>
  <r>
    <x v="22"/>
  </r>
  <r>
    <x v="22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0"/>
  </r>
  <r>
    <x v="0"/>
  </r>
  <r>
    <x v="0"/>
  </r>
  <r>
    <x v="56"/>
  </r>
  <r>
    <x v="56"/>
  </r>
  <r>
    <x v="79"/>
  </r>
  <r>
    <x v="79"/>
  </r>
  <r>
    <x v="79"/>
  </r>
  <r>
    <x v="79"/>
  </r>
  <r>
    <x v="79"/>
  </r>
  <r>
    <x v="79"/>
  </r>
  <r>
    <x v="79"/>
  </r>
  <r>
    <x v="79"/>
  </r>
  <r>
    <x v="10"/>
  </r>
  <r>
    <x v="0"/>
  </r>
  <r>
    <x v="40"/>
  </r>
  <r>
    <x v="52"/>
  </r>
  <r>
    <x v="36"/>
  </r>
  <r>
    <x v="14"/>
  </r>
  <r>
    <x v="14"/>
  </r>
  <r>
    <x v="42"/>
  </r>
  <r>
    <x v="17"/>
  </r>
  <r>
    <x v="22"/>
  </r>
  <r>
    <x v="14"/>
  </r>
  <r>
    <x v="41"/>
  </r>
  <r>
    <x v="17"/>
  </r>
  <r>
    <x v="17"/>
  </r>
  <r>
    <x v="17"/>
  </r>
  <r>
    <x v="10"/>
  </r>
  <r>
    <x v="171"/>
  </r>
  <r>
    <x v="171"/>
  </r>
  <r>
    <x v="21"/>
  </r>
  <r>
    <x v="28"/>
  </r>
  <r>
    <x v="28"/>
  </r>
  <r>
    <x v="12"/>
  </r>
  <r>
    <x v="17"/>
  </r>
  <r>
    <x v="48"/>
  </r>
  <r>
    <x v="12"/>
  </r>
  <r>
    <x v="17"/>
  </r>
  <r>
    <x v="53"/>
  </r>
  <r>
    <x v="138"/>
  </r>
  <r>
    <x v="14"/>
  </r>
  <r>
    <x v="28"/>
  </r>
  <r>
    <x v="87"/>
  </r>
  <r>
    <x v="0"/>
  </r>
  <r>
    <x v="28"/>
  </r>
  <r>
    <x v="46"/>
  </r>
  <r>
    <x v="14"/>
  </r>
  <r>
    <x v="14"/>
  </r>
  <r>
    <x v="14"/>
  </r>
  <r>
    <x v="24"/>
  </r>
  <r>
    <x v="24"/>
  </r>
  <r>
    <x v="14"/>
  </r>
  <r>
    <x v="17"/>
  </r>
  <r>
    <x v="64"/>
  </r>
  <r>
    <x v="41"/>
  </r>
  <r>
    <x v="41"/>
  </r>
  <r>
    <x v="41"/>
  </r>
  <r>
    <x v="41"/>
  </r>
  <r>
    <x v="7"/>
  </r>
  <r>
    <x v="224"/>
  </r>
  <r>
    <x v="224"/>
  </r>
  <r>
    <x v="45"/>
  </r>
  <r>
    <x v="24"/>
  </r>
  <r>
    <x v="171"/>
  </r>
  <r>
    <x v="39"/>
  </r>
  <r>
    <x v="24"/>
  </r>
  <r>
    <x v="130"/>
  </r>
  <r>
    <x v="61"/>
  </r>
  <r>
    <x v="14"/>
  </r>
  <r>
    <x v="46"/>
  </r>
  <r>
    <x v="166"/>
  </r>
  <r>
    <x v="166"/>
  </r>
  <r>
    <x v="45"/>
  </r>
  <r>
    <x v="45"/>
  </r>
  <r>
    <x v="16"/>
  </r>
  <r>
    <x v="64"/>
  </r>
  <r>
    <x v="64"/>
  </r>
  <r>
    <x v="130"/>
  </r>
  <r>
    <x v="130"/>
  </r>
  <r>
    <x v="81"/>
  </r>
  <r>
    <x v="114"/>
  </r>
  <r>
    <x v="71"/>
  </r>
  <r>
    <x v="0"/>
  </r>
  <r>
    <x v="34"/>
  </r>
  <r>
    <x v="0"/>
  </r>
  <r>
    <x v="2"/>
  </r>
  <r>
    <x v="81"/>
  </r>
  <r>
    <x v="81"/>
  </r>
  <r>
    <x v="53"/>
  </r>
  <r>
    <x v="30"/>
  </r>
  <r>
    <x v="78"/>
  </r>
  <r>
    <x v="14"/>
  </r>
  <r>
    <x v="14"/>
  </r>
  <r>
    <x v="14"/>
  </r>
  <r>
    <x v="17"/>
  </r>
  <r>
    <x v="17"/>
  </r>
  <r>
    <x v="17"/>
  </r>
  <r>
    <x v="0"/>
  </r>
  <r>
    <x v="25"/>
  </r>
  <r>
    <x v="14"/>
  </r>
  <r>
    <x v="14"/>
  </r>
  <r>
    <x v="25"/>
  </r>
  <r>
    <x v="53"/>
  </r>
  <r>
    <x v="10"/>
  </r>
  <r>
    <x v="22"/>
  </r>
  <r>
    <x v="55"/>
  </r>
  <r>
    <x v="45"/>
  </r>
  <r>
    <x v="22"/>
  </r>
  <r>
    <x v="14"/>
  </r>
  <r>
    <x v="24"/>
  </r>
  <r>
    <x v="0"/>
  </r>
  <r>
    <x v="16"/>
  </r>
  <r>
    <x v="14"/>
  </r>
  <r>
    <x v="17"/>
  </r>
  <r>
    <x v="42"/>
  </r>
  <r>
    <x v="42"/>
  </r>
  <r>
    <x v="42"/>
  </r>
  <r>
    <x v="0"/>
  </r>
  <r>
    <x v="143"/>
  </r>
  <r>
    <x v="143"/>
  </r>
  <r>
    <x v="48"/>
  </r>
  <r>
    <x v="0"/>
  </r>
  <r>
    <x v="0"/>
  </r>
  <r>
    <x v="62"/>
  </r>
  <r>
    <x v="7"/>
  </r>
  <r>
    <x v="14"/>
  </r>
  <r>
    <x v="14"/>
  </r>
  <r>
    <x v="0"/>
  </r>
  <r>
    <x v="14"/>
  </r>
  <r>
    <x v="23"/>
  </r>
  <r>
    <x v="46"/>
  </r>
  <r>
    <x v="9"/>
  </r>
  <r>
    <x v="9"/>
  </r>
  <r>
    <x v="17"/>
  </r>
  <r>
    <x v="130"/>
  </r>
  <r>
    <x v="11"/>
  </r>
  <r>
    <x v="14"/>
  </r>
  <r>
    <x v="14"/>
  </r>
  <r>
    <x v="9"/>
  </r>
  <r>
    <x v="14"/>
  </r>
  <r>
    <x v="14"/>
  </r>
  <r>
    <x v="45"/>
  </r>
  <r>
    <x v="45"/>
  </r>
  <r>
    <x v="130"/>
  </r>
  <r>
    <x v="14"/>
  </r>
  <r>
    <x v="14"/>
  </r>
  <r>
    <x v="14"/>
  </r>
  <r>
    <x v="0"/>
  </r>
  <r>
    <x v="14"/>
  </r>
  <r>
    <x v="9"/>
  </r>
  <r>
    <x v="24"/>
  </r>
  <r>
    <x v="55"/>
  </r>
  <r>
    <x v="0"/>
  </r>
  <r>
    <x v="0"/>
  </r>
  <r>
    <x v="9"/>
  </r>
  <r>
    <x v="9"/>
  </r>
  <r>
    <x v="23"/>
  </r>
  <r>
    <x v="78"/>
  </r>
  <r>
    <x v="30"/>
  </r>
  <r>
    <x v="14"/>
  </r>
  <r>
    <x v="22"/>
  </r>
  <r>
    <x v="48"/>
  </r>
  <r>
    <x v="34"/>
  </r>
  <r>
    <x v="119"/>
  </r>
  <r>
    <x v="26"/>
  </r>
  <r>
    <x v="16"/>
  </r>
  <r>
    <x v="14"/>
  </r>
  <r>
    <x v="14"/>
  </r>
  <r>
    <x v="48"/>
  </r>
  <r>
    <x v="2"/>
  </r>
  <r>
    <x v="7"/>
  </r>
  <r>
    <x v="17"/>
  </r>
  <r>
    <x v="17"/>
  </r>
  <r>
    <x v="45"/>
  </r>
  <r>
    <x v="45"/>
  </r>
  <r>
    <x v="45"/>
  </r>
  <r>
    <x v="0"/>
  </r>
  <r>
    <x v="48"/>
  </r>
  <r>
    <x v="0"/>
  </r>
  <r>
    <x v="45"/>
  </r>
  <r>
    <x v="17"/>
  </r>
  <r>
    <x v="41"/>
  </r>
  <r>
    <x v="10"/>
  </r>
  <r>
    <x v="17"/>
  </r>
  <r>
    <x v="17"/>
  </r>
  <r>
    <x v="17"/>
  </r>
  <r>
    <x v="48"/>
  </r>
  <r>
    <x v="81"/>
  </r>
  <r>
    <x v="48"/>
  </r>
  <r>
    <x v="48"/>
  </r>
  <r>
    <x v="45"/>
  </r>
  <r>
    <x v="45"/>
  </r>
  <r>
    <x v="45"/>
  </r>
  <r>
    <x v="171"/>
  </r>
  <r>
    <x v="171"/>
  </r>
  <r>
    <x v="12"/>
  </r>
  <r>
    <x v="12"/>
  </r>
  <r>
    <x v="123"/>
  </r>
  <r>
    <x v="36"/>
  </r>
  <r>
    <x v="28"/>
  </r>
  <r>
    <x v="43"/>
  </r>
  <r>
    <x v="36"/>
  </r>
  <r>
    <x v="4"/>
  </r>
  <r>
    <x v="4"/>
  </r>
  <r>
    <x v="4"/>
  </r>
  <r>
    <x v="4"/>
  </r>
  <r>
    <x v="4"/>
  </r>
  <r>
    <x v="4"/>
  </r>
  <r>
    <x v="10"/>
  </r>
  <r>
    <x v="4"/>
  </r>
  <r>
    <x v="4"/>
  </r>
  <r>
    <x v="132"/>
  </r>
  <r>
    <x v="10"/>
  </r>
  <r>
    <x v="10"/>
  </r>
  <r>
    <x v="10"/>
  </r>
  <r>
    <x v="113"/>
  </r>
  <r>
    <x v="79"/>
  </r>
  <r>
    <x v="79"/>
  </r>
  <r>
    <x v="79"/>
  </r>
  <r>
    <x v="79"/>
  </r>
  <r>
    <x v="79"/>
  </r>
  <r>
    <x v="79"/>
  </r>
  <r>
    <x v="79"/>
  </r>
  <r>
    <x v="165"/>
  </r>
  <r>
    <x v="40"/>
  </r>
  <r>
    <x v="79"/>
  </r>
  <r>
    <x v="28"/>
  </r>
  <r>
    <x v="28"/>
  </r>
  <r>
    <x v="28"/>
  </r>
  <r>
    <x v="28"/>
  </r>
  <r>
    <x v="28"/>
  </r>
  <r>
    <x v="28"/>
  </r>
  <r>
    <x v="28"/>
  </r>
  <r>
    <x v="48"/>
  </r>
  <r>
    <x v="0"/>
  </r>
  <r>
    <x v="12"/>
  </r>
  <r>
    <x v="12"/>
  </r>
  <r>
    <x v="12"/>
  </r>
  <r>
    <x v="12"/>
  </r>
  <r>
    <x v="12"/>
  </r>
  <r>
    <x v="12"/>
  </r>
  <r>
    <x v="12"/>
  </r>
  <r>
    <x v="0"/>
  </r>
  <r>
    <x v="0"/>
  </r>
  <r>
    <x v="0"/>
  </r>
  <r>
    <x v="10"/>
  </r>
  <r>
    <x v="0"/>
  </r>
  <r>
    <x v="0"/>
  </r>
  <r>
    <x v="22"/>
  </r>
  <r>
    <x v="0"/>
  </r>
  <r>
    <x v="0"/>
  </r>
  <r>
    <x v="9"/>
  </r>
  <r>
    <x v="86"/>
  </r>
  <r>
    <x v="28"/>
  </r>
  <r>
    <x v="28"/>
  </r>
  <r>
    <x v="28"/>
  </r>
  <r>
    <x v="28"/>
  </r>
  <r>
    <x v="28"/>
  </r>
  <r>
    <x v="100"/>
  </r>
  <r>
    <x v="4"/>
  </r>
  <r>
    <x v="4"/>
  </r>
  <r>
    <x v="4"/>
  </r>
  <r>
    <x v="4"/>
  </r>
  <r>
    <x v="165"/>
  </r>
  <r>
    <x v="165"/>
  </r>
  <r>
    <x v="113"/>
  </r>
  <r>
    <x v="56"/>
  </r>
  <r>
    <x v="10"/>
  </r>
  <r>
    <x v="10"/>
  </r>
  <r>
    <x v="162"/>
  </r>
  <r>
    <x v="10"/>
  </r>
  <r>
    <x v="10"/>
  </r>
  <r>
    <x v="0"/>
  </r>
  <r>
    <x v="10"/>
  </r>
  <r>
    <x v="10"/>
  </r>
  <r>
    <x v="10"/>
  </r>
  <r>
    <x v="10"/>
  </r>
  <r>
    <x v="10"/>
  </r>
  <r>
    <x v="10"/>
  </r>
  <r>
    <x v="138"/>
  </r>
  <r>
    <x v="138"/>
  </r>
  <r>
    <x v="10"/>
  </r>
  <r>
    <x v="22"/>
  </r>
  <r>
    <x v="146"/>
  </r>
  <r>
    <x v="28"/>
  </r>
  <r>
    <x v="175"/>
  </r>
  <r>
    <x v="175"/>
  </r>
  <r>
    <x v="12"/>
  </r>
  <r>
    <x v="6"/>
  </r>
  <r>
    <x v="7"/>
  </r>
  <r>
    <x v="108"/>
  </r>
  <r>
    <x v="6"/>
  </r>
  <r>
    <x v="6"/>
  </r>
  <r>
    <x v="6"/>
  </r>
  <r>
    <x v="6"/>
  </r>
  <r>
    <x v="6"/>
  </r>
  <r>
    <x v="6"/>
  </r>
  <r>
    <x v="25"/>
  </r>
  <r>
    <x v="6"/>
  </r>
  <r>
    <x v="6"/>
  </r>
  <r>
    <x v="6"/>
  </r>
  <r>
    <x v="6"/>
  </r>
  <r>
    <x v="6"/>
  </r>
  <r>
    <x v="6"/>
  </r>
  <r>
    <x v="6"/>
  </r>
  <r>
    <x v="6"/>
  </r>
  <r>
    <x v="156"/>
  </r>
  <r>
    <x v="6"/>
  </r>
  <r>
    <x v="6"/>
  </r>
  <r>
    <x v="6"/>
  </r>
  <r>
    <x v="6"/>
  </r>
  <r>
    <x v="6"/>
  </r>
  <r>
    <x v="6"/>
  </r>
  <r>
    <x v="45"/>
  </r>
  <r>
    <x v="6"/>
  </r>
  <r>
    <x v="6"/>
  </r>
  <r>
    <x v="6"/>
  </r>
  <r>
    <x v="6"/>
  </r>
  <r>
    <x v="6"/>
  </r>
  <r>
    <x v="6"/>
  </r>
  <r>
    <x v="6"/>
  </r>
  <r>
    <x v="6"/>
  </r>
  <r>
    <x v="48"/>
  </r>
  <r>
    <x v="28"/>
  </r>
  <r>
    <x v="24"/>
  </r>
  <r>
    <x v="48"/>
  </r>
  <r>
    <x v="16"/>
  </r>
  <r>
    <x v="10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23"/>
  </r>
  <r>
    <x v="24"/>
  </r>
  <r>
    <x v="24"/>
  </r>
  <r>
    <x v="24"/>
  </r>
  <r>
    <x v="24"/>
  </r>
  <r>
    <x v="24"/>
  </r>
  <r>
    <x v="28"/>
  </r>
  <r>
    <x v="28"/>
  </r>
  <r>
    <x v="28"/>
  </r>
  <r>
    <x v="28"/>
  </r>
  <r>
    <x v="4"/>
  </r>
  <r>
    <x v="4"/>
  </r>
  <r>
    <x v="4"/>
  </r>
  <r>
    <x v="4"/>
  </r>
  <r>
    <x v="4"/>
  </r>
  <r>
    <x v="14"/>
  </r>
  <r>
    <x v="14"/>
  </r>
  <r>
    <x v="42"/>
  </r>
  <r>
    <x v="16"/>
  </r>
  <r>
    <x v="42"/>
  </r>
  <r>
    <x v="8"/>
  </r>
  <r>
    <x v="28"/>
  </r>
  <r>
    <x v="42"/>
  </r>
  <r>
    <x v="42"/>
  </r>
  <r>
    <x v="42"/>
  </r>
  <r>
    <x v="4"/>
  </r>
  <r>
    <x v="4"/>
  </r>
  <r>
    <x v="114"/>
  </r>
  <r>
    <x v="0"/>
  </r>
  <r>
    <x v="123"/>
  </r>
  <r>
    <x v="4"/>
  </r>
  <r>
    <x v="71"/>
  </r>
  <r>
    <x v="57"/>
  </r>
  <r>
    <x v="45"/>
  </r>
  <r>
    <x v="130"/>
  </r>
  <r>
    <x v="12"/>
  </r>
  <r>
    <x v="0"/>
  </r>
  <r>
    <x v="12"/>
  </r>
  <r>
    <x v="4"/>
  </r>
  <r>
    <x v="81"/>
  </r>
  <r>
    <x v="81"/>
  </r>
  <r>
    <x v="77"/>
  </r>
  <r>
    <x v="10"/>
  </r>
  <r>
    <x v="146"/>
  </r>
  <r>
    <x v="10"/>
  </r>
  <r>
    <x v="42"/>
  </r>
  <r>
    <x v="42"/>
  </r>
  <r>
    <x v="12"/>
  </r>
  <r>
    <x v="42"/>
  </r>
  <r>
    <x v="42"/>
  </r>
  <r>
    <x v="12"/>
  </r>
  <r>
    <x v="42"/>
  </r>
  <r>
    <x v="42"/>
  </r>
  <r>
    <x v="42"/>
  </r>
  <r>
    <x v="42"/>
  </r>
  <r>
    <x v="12"/>
  </r>
  <r>
    <x v="12"/>
  </r>
  <r>
    <x v="12"/>
  </r>
  <r>
    <x v="12"/>
  </r>
  <r>
    <x v="12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42"/>
  </r>
  <r>
    <x v="42"/>
  </r>
  <r>
    <x v="12"/>
  </r>
  <r>
    <x v="12"/>
  </r>
  <r>
    <x v="12"/>
  </r>
  <r>
    <x v="42"/>
  </r>
  <r>
    <x v="12"/>
  </r>
  <r>
    <x v="42"/>
  </r>
  <r>
    <x v="10"/>
  </r>
  <r>
    <x v="10"/>
  </r>
  <r>
    <x v="10"/>
  </r>
  <r>
    <x v="10"/>
  </r>
  <r>
    <x v="10"/>
  </r>
  <r>
    <x v="123"/>
  </r>
  <r>
    <x v="24"/>
  </r>
  <r>
    <x v="24"/>
  </r>
  <r>
    <x v="24"/>
  </r>
  <r>
    <x v="80"/>
  </r>
  <r>
    <x v="25"/>
  </r>
  <r>
    <x v="42"/>
  </r>
  <r>
    <x v="12"/>
  </r>
  <r>
    <x v="165"/>
  </r>
  <r>
    <x v="141"/>
  </r>
  <r>
    <x v="28"/>
  </r>
  <r>
    <x v="15"/>
  </r>
  <r>
    <x v="50"/>
  </r>
  <r>
    <x v="15"/>
  </r>
  <r>
    <x v="11"/>
  </r>
  <r>
    <x v="11"/>
  </r>
  <r>
    <x v="14"/>
  </r>
  <r>
    <x v="0"/>
  </r>
  <r>
    <x v="11"/>
  </r>
  <r>
    <x v="11"/>
  </r>
  <r>
    <x v="11"/>
  </r>
  <r>
    <x v="42"/>
  </r>
  <r>
    <x v="72"/>
  </r>
  <r>
    <x v="33"/>
  </r>
  <r>
    <x v="138"/>
  </r>
  <r>
    <x v="86"/>
  </r>
  <r>
    <x v="86"/>
  </r>
  <r>
    <x v="86"/>
  </r>
  <r>
    <x v="0"/>
  </r>
  <r>
    <x v="86"/>
  </r>
  <r>
    <x v="0"/>
  </r>
  <r>
    <x v="0"/>
  </r>
  <r>
    <x v="86"/>
  </r>
  <r>
    <x v="86"/>
  </r>
  <r>
    <x v="86"/>
  </r>
  <r>
    <x v="86"/>
  </r>
  <r>
    <x v="10"/>
  </r>
  <r>
    <x v="10"/>
  </r>
  <r>
    <x v="14"/>
  </r>
  <r>
    <x v="76"/>
  </r>
  <r>
    <x v="59"/>
  </r>
  <r>
    <x v="59"/>
  </r>
  <r>
    <x v="59"/>
  </r>
  <r>
    <x v="52"/>
  </r>
  <r>
    <x v="71"/>
  </r>
  <r>
    <x v="52"/>
  </r>
  <r>
    <x v="10"/>
  </r>
  <r>
    <x v="108"/>
  </r>
  <r>
    <x v="175"/>
  </r>
  <r>
    <x v="126"/>
  </r>
  <r>
    <x v="175"/>
  </r>
  <r>
    <x v="3"/>
  </r>
  <r>
    <x v="3"/>
  </r>
  <r>
    <x v="3"/>
  </r>
  <r>
    <x v="3"/>
  </r>
  <r>
    <x v="23"/>
  </r>
  <r>
    <x v="57"/>
  </r>
  <r>
    <x v="4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32"/>
  </r>
  <r>
    <x v="14"/>
  </r>
  <r>
    <x v="138"/>
  </r>
  <r>
    <x v="63"/>
  </r>
  <r>
    <x v="87"/>
  </r>
  <r>
    <x v="37"/>
  </r>
  <r>
    <x v="63"/>
  </r>
  <r>
    <x v="63"/>
  </r>
  <r>
    <x v="63"/>
  </r>
  <r>
    <x v="63"/>
  </r>
  <r>
    <x v="63"/>
  </r>
  <r>
    <x v="59"/>
  </r>
  <r>
    <x v="63"/>
  </r>
  <r>
    <x v="63"/>
  </r>
  <r>
    <x v="63"/>
  </r>
  <r>
    <x v="63"/>
  </r>
  <r>
    <x v="77"/>
  </r>
  <r>
    <x v="77"/>
  </r>
  <r>
    <x v="63"/>
  </r>
  <r>
    <x v="63"/>
  </r>
  <r>
    <x v="12"/>
  </r>
  <r>
    <x v="63"/>
  </r>
  <r>
    <x v="63"/>
  </r>
  <r>
    <x v="12"/>
  </r>
  <r>
    <x v="0"/>
  </r>
  <r>
    <x v="63"/>
  </r>
  <r>
    <x v="63"/>
  </r>
  <r>
    <x v="77"/>
  </r>
  <r>
    <x v="63"/>
  </r>
  <r>
    <x v="63"/>
  </r>
  <r>
    <x v="63"/>
  </r>
  <r>
    <x v="63"/>
  </r>
  <r>
    <x v="4"/>
  </r>
  <r>
    <x v="0"/>
  </r>
  <r>
    <x v="63"/>
  </r>
  <r>
    <x v="63"/>
  </r>
  <r>
    <x v="63"/>
  </r>
  <r>
    <x v="259"/>
  </r>
  <r>
    <x v="36"/>
  </r>
  <r>
    <x v="12"/>
  </r>
  <r>
    <x v="12"/>
  </r>
  <r>
    <x v="63"/>
  </r>
  <r>
    <x v="63"/>
  </r>
  <r>
    <x v="63"/>
  </r>
  <r>
    <x v="87"/>
  </r>
  <r>
    <x v="63"/>
  </r>
  <r>
    <x v="42"/>
  </r>
  <r>
    <x v="4"/>
  </r>
  <r>
    <x v="42"/>
  </r>
  <r>
    <x v="204"/>
  </r>
  <r>
    <x v="138"/>
  </r>
  <r>
    <x v="138"/>
  </r>
  <r>
    <x v="9"/>
  </r>
  <r>
    <x v="45"/>
  </r>
  <r>
    <x v="45"/>
  </r>
  <r>
    <x v="138"/>
  </r>
  <r>
    <x v="16"/>
  </r>
  <r>
    <x v="16"/>
  </r>
  <r>
    <x v="16"/>
  </r>
  <r>
    <x v="0"/>
  </r>
  <r>
    <x v="16"/>
  </r>
  <r>
    <x v="24"/>
  </r>
  <r>
    <x v="45"/>
  </r>
  <r>
    <x v="17"/>
  </r>
  <r>
    <x v="16"/>
  </r>
  <r>
    <x v="3"/>
  </r>
  <r>
    <x v="3"/>
  </r>
  <r>
    <x v="14"/>
  </r>
  <r>
    <x v="1"/>
  </r>
  <r>
    <x v="0"/>
  </r>
  <r>
    <x v="0"/>
  </r>
  <r>
    <x v="92"/>
  </r>
  <r>
    <x v="16"/>
  </r>
  <r>
    <x v="16"/>
  </r>
  <r>
    <x v="40"/>
  </r>
  <r>
    <x v="22"/>
  </r>
  <r>
    <x v="87"/>
  </r>
  <r>
    <x v="22"/>
  </r>
  <r>
    <x v="22"/>
  </r>
  <r>
    <x v="22"/>
  </r>
  <r>
    <x v="22"/>
  </r>
  <r>
    <x v="0"/>
  </r>
  <r>
    <x v="10"/>
  </r>
  <r>
    <x v="36"/>
  </r>
  <r>
    <x v="63"/>
  </r>
  <r>
    <x v="4"/>
  </r>
  <r>
    <x v="10"/>
  </r>
  <r>
    <x v="10"/>
  </r>
  <r>
    <x v="10"/>
  </r>
  <r>
    <x v="10"/>
  </r>
  <r>
    <x v="10"/>
  </r>
  <r>
    <x v="10"/>
  </r>
  <r>
    <x v="10"/>
  </r>
  <r>
    <x v="63"/>
  </r>
  <r>
    <x v="4"/>
  </r>
  <r>
    <x v="42"/>
  </r>
  <r>
    <x v="71"/>
  </r>
  <r>
    <x v="71"/>
  </r>
  <r>
    <x v="10"/>
  </r>
  <r>
    <x v="0"/>
  </r>
  <r>
    <x v="0"/>
  </r>
  <r>
    <x v="0"/>
  </r>
  <r>
    <x v="10"/>
  </r>
  <r>
    <x v="10"/>
  </r>
  <r>
    <x v="142"/>
  </r>
  <r>
    <x v="142"/>
  </r>
  <r>
    <x v="142"/>
  </r>
  <r>
    <x v="12"/>
  </r>
  <r>
    <x v="4"/>
  </r>
  <r>
    <x v="15"/>
  </r>
  <r>
    <x v="42"/>
  </r>
  <r>
    <x v="42"/>
  </r>
  <r>
    <x v="42"/>
  </r>
  <r>
    <x v="31"/>
  </r>
  <r>
    <x v="42"/>
  </r>
  <r>
    <x v="31"/>
  </r>
  <r>
    <x v="31"/>
  </r>
  <r>
    <x v="31"/>
  </r>
  <r>
    <x v="31"/>
  </r>
  <r>
    <x v="7"/>
  </r>
  <r>
    <x v="48"/>
  </r>
  <r>
    <x v="42"/>
  </r>
  <r>
    <x v="42"/>
  </r>
  <r>
    <x v="0"/>
  </r>
  <r>
    <x v="10"/>
  </r>
  <r>
    <x v="10"/>
  </r>
  <r>
    <x v="10"/>
  </r>
  <r>
    <x v="10"/>
  </r>
  <r>
    <x v="10"/>
  </r>
  <r>
    <x v="10"/>
  </r>
  <r>
    <x v="138"/>
  </r>
  <r>
    <x v="10"/>
  </r>
  <r>
    <x v="138"/>
  </r>
  <r>
    <x v="138"/>
  </r>
  <r>
    <x v="138"/>
  </r>
  <r>
    <x v="10"/>
  </r>
  <r>
    <x v="10"/>
  </r>
  <r>
    <x v="10"/>
  </r>
  <r>
    <x v="10"/>
  </r>
  <r>
    <x v="19"/>
  </r>
  <r>
    <x v="7"/>
  </r>
  <r>
    <x v="14"/>
  </r>
  <r>
    <x v="123"/>
  </r>
  <r>
    <x v="123"/>
  </r>
  <r>
    <x v="123"/>
  </r>
  <r>
    <x v="123"/>
  </r>
  <r>
    <x v="123"/>
  </r>
  <r>
    <x v="123"/>
  </r>
  <r>
    <x v="42"/>
  </r>
  <r>
    <x v="48"/>
  </r>
  <r>
    <x v="123"/>
  </r>
  <r>
    <x v="76"/>
  </r>
  <r>
    <x v="76"/>
  </r>
  <r>
    <x v="123"/>
  </r>
  <r>
    <x v="4"/>
  </r>
  <r>
    <x v="4"/>
  </r>
  <r>
    <x v="4"/>
  </r>
  <r>
    <x v="22"/>
  </r>
  <r>
    <x v="22"/>
  </r>
  <r>
    <x v="22"/>
  </r>
  <r>
    <x v="1"/>
  </r>
  <r>
    <x v="1"/>
  </r>
  <r>
    <x v="4"/>
  </r>
  <r>
    <x v="22"/>
  </r>
  <r>
    <x v="22"/>
  </r>
  <r>
    <x v="100"/>
  </r>
  <r>
    <x v="11"/>
  </r>
  <r>
    <x v="33"/>
  </r>
  <r>
    <x v="33"/>
  </r>
  <r>
    <x v="16"/>
  </r>
  <r>
    <x v="16"/>
  </r>
  <r>
    <x v="4"/>
  </r>
  <r>
    <x v="4"/>
  </r>
  <r>
    <x v="33"/>
  </r>
  <r>
    <x v="28"/>
  </r>
  <r>
    <x v="123"/>
  </r>
  <r>
    <x v="123"/>
  </r>
  <r>
    <x v="11"/>
  </r>
  <r>
    <x v="10"/>
  </r>
  <r>
    <x v="123"/>
  </r>
  <r>
    <x v="123"/>
  </r>
  <r>
    <x v="63"/>
  </r>
  <r>
    <x v="35"/>
  </r>
  <r>
    <x v="123"/>
  </r>
  <r>
    <x v="0"/>
  </r>
  <r>
    <x v="123"/>
  </r>
  <r>
    <x v="123"/>
  </r>
  <r>
    <x v="123"/>
  </r>
  <r>
    <x v="36"/>
  </r>
  <r>
    <x v="123"/>
  </r>
  <r>
    <x v="14"/>
  </r>
  <r>
    <x v="10"/>
  </r>
  <r>
    <x v="123"/>
  </r>
  <r>
    <x v="123"/>
  </r>
  <r>
    <x v="123"/>
  </r>
  <r>
    <x v="123"/>
  </r>
  <r>
    <x v="123"/>
  </r>
  <r>
    <x v="123"/>
  </r>
  <r>
    <x v="0"/>
  </r>
  <r>
    <x v="0"/>
  </r>
  <r>
    <x v="0"/>
  </r>
  <r>
    <x v="0"/>
  </r>
  <r>
    <x v="12"/>
  </r>
  <r>
    <x v="0"/>
  </r>
  <r>
    <x v="0"/>
  </r>
  <r>
    <x v="0"/>
  </r>
  <r>
    <x v="152"/>
  </r>
  <r>
    <x v="123"/>
  </r>
  <r>
    <x v="123"/>
  </r>
  <r>
    <x v="123"/>
  </r>
  <r>
    <x v="123"/>
  </r>
  <r>
    <x v="123"/>
  </r>
  <r>
    <x v="1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78"/>
  </r>
  <r>
    <x v="78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4"/>
  </r>
  <r>
    <x v="4"/>
  </r>
  <r>
    <x v="2"/>
  </r>
  <r>
    <x v="4"/>
  </r>
  <r>
    <x v="87"/>
  </r>
  <r>
    <x v="16"/>
  </r>
  <r>
    <x v="4"/>
  </r>
  <r>
    <x v="10"/>
  </r>
  <r>
    <x v="10"/>
  </r>
  <r>
    <x v="4"/>
  </r>
  <r>
    <x v="4"/>
  </r>
  <r>
    <x v="4"/>
  </r>
  <r>
    <x v="36"/>
  </r>
  <r>
    <x v="17"/>
  </r>
  <r>
    <x v="1"/>
  </r>
  <r>
    <x v="1"/>
  </r>
  <r>
    <x v="10"/>
  </r>
  <r>
    <x v="4"/>
  </r>
  <r>
    <x v="10"/>
  </r>
  <r>
    <x v="4"/>
  </r>
  <r>
    <x v="126"/>
  </r>
  <r>
    <x v="36"/>
  </r>
  <r>
    <x v="56"/>
  </r>
  <r>
    <x v="56"/>
  </r>
  <r>
    <x v="129"/>
  </r>
  <r>
    <x v="12"/>
  </r>
  <r>
    <x v="12"/>
  </r>
  <r>
    <x v="77"/>
  </r>
  <r>
    <x v="77"/>
  </r>
  <r>
    <x v="4"/>
  </r>
  <r>
    <x v="4"/>
  </r>
  <r>
    <x v="10"/>
  </r>
  <r>
    <x v="4"/>
  </r>
  <r>
    <x v="4"/>
  </r>
  <r>
    <x v="7"/>
  </r>
  <r>
    <x v="7"/>
  </r>
  <r>
    <x v="7"/>
  </r>
  <r>
    <x v="17"/>
  </r>
  <r>
    <x v="2"/>
  </r>
  <r>
    <x v="12"/>
  </r>
  <r>
    <x v="12"/>
  </r>
  <r>
    <x v="12"/>
  </r>
  <r>
    <x v="52"/>
  </r>
  <r>
    <x v="12"/>
  </r>
  <r>
    <x v="10"/>
  </r>
  <r>
    <x v="10"/>
  </r>
  <r>
    <x v="10"/>
  </r>
  <r>
    <x v="87"/>
  </r>
  <r>
    <x v="87"/>
  </r>
  <r>
    <x v="87"/>
  </r>
  <r>
    <x v="87"/>
  </r>
  <r>
    <x v="152"/>
  </r>
  <r>
    <x v="12"/>
  </r>
  <r>
    <x v="12"/>
  </r>
  <r>
    <x v="12"/>
  </r>
  <r>
    <x v="12"/>
  </r>
  <r>
    <x v="12"/>
  </r>
  <r>
    <x v="42"/>
  </r>
  <r>
    <x v="42"/>
  </r>
  <r>
    <x v="12"/>
  </r>
  <r>
    <x v="12"/>
  </r>
  <r>
    <x v="123"/>
  </r>
  <r>
    <x v="42"/>
  </r>
  <r>
    <x v="42"/>
  </r>
  <r>
    <x v="12"/>
  </r>
  <r>
    <x v="12"/>
  </r>
  <r>
    <x v="10"/>
  </r>
  <r>
    <x v="10"/>
  </r>
  <r>
    <x v="12"/>
  </r>
  <r>
    <x v="4"/>
  </r>
  <r>
    <x v="10"/>
  </r>
  <r>
    <x v="12"/>
  </r>
  <r>
    <x v="4"/>
  </r>
  <r>
    <x v="12"/>
  </r>
  <r>
    <x v="10"/>
  </r>
  <r>
    <x v="12"/>
  </r>
  <r>
    <x v="12"/>
  </r>
  <r>
    <x v="12"/>
  </r>
  <r>
    <x v="12"/>
  </r>
  <r>
    <x v="10"/>
  </r>
  <r>
    <x v="12"/>
  </r>
  <r>
    <x v="12"/>
  </r>
  <r>
    <x v="57"/>
  </r>
  <r>
    <x v="12"/>
  </r>
  <r>
    <x v="12"/>
  </r>
  <r>
    <x v="12"/>
  </r>
  <r>
    <x v="12"/>
  </r>
  <r>
    <x v="10"/>
  </r>
  <r>
    <x v="12"/>
  </r>
  <r>
    <x v="12"/>
  </r>
  <r>
    <x v="7"/>
  </r>
  <r>
    <x v="12"/>
  </r>
  <r>
    <x v="12"/>
  </r>
  <r>
    <x v="12"/>
  </r>
  <r>
    <x v="12"/>
  </r>
  <r>
    <x v="4"/>
  </r>
  <r>
    <x v="162"/>
  </r>
  <r>
    <x v="162"/>
  </r>
  <r>
    <x v="162"/>
  </r>
  <r>
    <x v="7"/>
  </r>
  <r>
    <x v="12"/>
  </r>
  <r>
    <x v="4"/>
  </r>
  <r>
    <x v="4"/>
  </r>
  <r>
    <x v="4"/>
  </r>
  <r>
    <x v="4"/>
  </r>
  <r>
    <x v="56"/>
  </r>
  <r>
    <x v="7"/>
  </r>
  <r>
    <x v="152"/>
  </r>
  <r>
    <x v="16"/>
  </r>
  <r>
    <x v="0"/>
  </r>
  <r>
    <x v="0"/>
  </r>
  <r>
    <x v="0"/>
  </r>
  <r>
    <x v="0"/>
  </r>
  <r>
    <x v="0"/>
  </r>
  <r>
    <x v="42"/>
  </r>
  <r>
    <x v="42"/>
  </r>
  <r>
    <x v="128"/>
  </r>
  <r>
    <x v="123"/>
  </r>
  <r>
    <x v="123"/>
  </r>
  <r>
    <x v="163"/>
  </r>
  <r>
    <x v="0"/>
  </r>
  <r>
    <x v="14"/>
  </r>
  <r>
    <x v="14"/>
  </r>
  <r>
    <x v="10"/>
  </r>
  <r>
    <x v="46"/>
  </r>
  <r>
    <x v="14"/>
  </r>
  <r>
    <x v="25"/>
  </r>
  <r>
    <x v="0"/>
  </r>
  <r>
    <x v="0"/>
  </r>
  <r>
    <x v="83"/>
  </r>
  <r>
    <x v="8"/>
  </r>
  <r>
    <x v="78"/>
  </r>
  <r>
    <x v="24"/>
  </r>
  <r>
    <x v="6"/>
  </r>
  <r>
    <x v="4"/>
  </r>
  <r>
    <x v="134"/>
  </r>
  <r>
    <x v="134"/>
  </r>
  <r>
    <x v="134"/>
  </r>
  <r>
    <x v="134"/>
  </r>
  <r>
    <x v="0"/>
  </r>
  <r>
    <x v="4"/>
  </r>
  <r>
    <x v="4"/>
  </r>
  <r>
    <x v="4"/>
  </r>
  <r>
    <x v="11"/>
  </r>
  <r>
    <x v="10"/>
  </r>
  <r>
    <x v="10"/>
  </r>
  <r>
    <x v="77"/>
  </r>
  <r>
    <x v="77"/>
  </r>
  <r>
    <x v="77"/>
  </r>
  <r>
    <x v="87"/>
  </r>
  <r>
    <x v="87"/>
  </r>
  <r>
    <x v="87"/>
  </r>
  <r>
    <x v="12"/>
  </r>
  <r>
    <x v="14"/>
  </r>
  <r>
    <x v="10"/>
  </r>
  <r>
    <x v="10"/>
  </r>
  <r>
    <x v="4"/>
  </r>
  <r>
    <x v="56"/>
  </r>
  <r>
    <x v="56"/>
  </r>
  <r>
    <x v="25"/>
  </r>
  <r>
    <x v="0"/>
  </r>
  <r>
    <x v="4"/>
  </r>
  <r>
    <x v="4"/>
  </r>
  <r>
    <x v="4"/>
  </r>
  <r>
    <x v="10"/>
  </r>
  <r>
    <x v="4"/>
  </r>
  <r>
    <x v="28"/>
  </r>
  <r>
    <x v="87"/>
  </r>
  <r>
    <x v="12"/>
  </r>
  <r>
    <x v="12"/>
  </r>
  <r>
    <x v="43"/>
  </r>
  <r>
    <x v="42"/>
  </r>
  <r>
    <x v="12"/>
  </r>
  <r>
    <x v="10"/>
  </r>
  <r>
    <x v="87"/>
  </r>
  <r>
    <x v="87"/>
  </r>
  <r>
    <x v="138"/>
  </r>
  <r>
    <x v="87"/>
  </r>
  <r>
    <x v="123"/>
  </r>
  <r>
    <x v="123"/>
  </r>
  <r>
    <x v="152"/>
  </r>
  <r>
    <x v="56"/>
  </r>
  <r>
    <x v="56"/>
  </r>
  <r>
    <x v="12"/>
  </r>
  <r>
    <x v="12"/>
  </r>
  <r>
    <x v="12"/>
  </r>
  <r>
    <x v="12"/>
  </r>
  <r>
    <x v="25"/>
  </r>
  <r>
    <x v="12"/>
  </r>
  <r>
    <x v="12"/>
  </r>
  <r>
    <x v="12"/>
  </r>
  <r>
    <x v="14"/>
  </r>
  <r>
    <x v="14"/>
  </r>
  <r>
    <x v="12"/>
  </r>
  <r>
    <x v="14"/>
  </r>
  <r>
    <x v="81"/>
  </r>
  <r>
    <x v="4"/>
  </r>
  <r>
    <x v="4"/>
  </r>
  <r>
    <x v="10"/>
  </r>
  <r>
    <x v="14"/>
  </r>
  <r>
    <x v="14"/>
  </r>
  <r>
    <x v="14"/>
  </r>
  <r>
    <x v="10"/>
  </r>
  <r>
    <x v="22"/>
  </r>
  <r>
    <x v="10"/>
  </r>
  <r>
    <x v="10"/>
  </r>
  <r>
    <x v="4"/>
  </r>
  <r>
    <x v="0"/>
  </r>
  <r>
    <x v="48"/>
  </r>
  <r>
    <x v="14"/>
  </r>
  <r>
    <x v="7"/>
  </r>
  <r>
    <x v="56"/>
  </r>
  <r>
    <x v="32"/>
  </r>
  <r>
    <x v="4"/>
  </r>
  <r>
    <x v="4"/>
  </r>
  <r>
    <x v="10"/>
  </r>
  <r>
    <x v="10"/>
  </r>
  <r>
    <x v="25"/>
  </r>
  <r>
    <x v="55"/>
  </r>
  <r>
    <x v="2"/>
  </r>
  <r>
    <x v="0"/>
  </r>
  <r>
    <x v="10"/>
  </r>
  <r>
    <x v="108"/>
  </r>
  <r>
    <x v="32"/>
  </r>
  <r>
    <x v="152"/>
  </r>
  <r>
    <x v="123"/>
  </r>
  <r>
    <x v="123"/>
  </r>
  <r>
    <x v="123"/>
  </r>
  <r>
    <x v="123"/>
  </r>
  <r>
    <x v="168"/>
  </r>
  <r>
    <x v="123"/>
  </r>
  <r>
    <x v="123"/>
  </r>
  <r>
    <x v="123"/>
  </r>
  <r>
    <x v="123"/>
  </r>
  <r>
    <x v="123"/>
  </r>
  <r>
    <x v="33"/>
  </r>
  <r>
    <x v="251"/>
  </r>
  <r>
    <x v="183"/>
  </r>
  <r>
    <x v="7"/>
  </r>
  <r>
    <x v="183"/>
  </r>
  <r>
    <x v="10"/>
  </r>
  <r>
    <x v="42"/>
  </r>
  <r>
    <x v="42"/>
  </r>
  <r>
    <x v="29"/>
  </r>
  <r>
    <x v="42"/>
  </r>
  <r>
    <x v="42"/>
  </r>
  <r>
    <x v="42"/>
  </r>
  <r>
    <x v="42"/>
  </r>
  <r>
    <x v="51"/>
  </r>
  <r>
    <x v="51"/>
  </r>
  <r>
    <x v="60"/>
  </r>
  <r>
    <x v="10"/>
  </r>
  <r>
    <x v="31"/>
  </r>
  <r>
    <x v="4"/>
  </r>
  <r>
    <x v="85"/>
  </r>
  <r>
    <x v="0"/>
  </r>
  <r>
    <x v="32"/>
  </r>
  <r>
    <x v="14"/>
  </r>
  <r>
    <x v="7"/>
  </r>
  <r>
    <x v="7"/>
  </r>
  <r>
    <x v="7"/>
  </r>
  <r>
    <x v="7"/>
  </r>
  <r>
    <x v="7"/>
  </r>
  <r>
    <x v="7"/>
  </r>
  <r>
    <x v="7"/>
  </r>
  <r>
    <x v="7"/>
  </r>
  <r>
    <x v="84"/>
  </r>
  <r>
    <x v="24"/>
  </r>
  <r>
    <x v="24"/>
  </r>
  <r>
    <x v="24"/>
  </r>
  <r>
    <x v="33"/>
  </r>
  <r>
    <x v="33"/>
  </r>
  <r>
    <x v="86"/>
  </r>
  <r>
    <x v="115"/>
  </r>
  <r>
    <x v="113"/>
  </r>
  <r>
    <x v="56"/>
  </r>
  <r>
    <x v="56"/>
  </r>
  <r>
    <x v="56"/>
  </r>
  <r>
    <x v="56"/>
  </r>
  <r>
    <x v="138"/>
  </r>
  <r>
    <x v="138"/>
  </r>
  <r>
    <x v="138"/>
  </r>
  <r>
    <x v="19"/>
  </r>
  <r>
    <x v="138"/>
  </r>
  <r>
    <x v="138"/>
  </r>
  <r>
    <x v="7"/>
  </r>
  <r>
    <x v="4"/>
  </r>
  <r>
    <x v="4"/>
  </r>
  <r>
    <x v="145"/>
  </r>
  <r>
    <x v="0"/>
  </r>
  <r>
    <x v="0"/>
  </r>
  <r>
    <x v="28"/>
  </r>
  <r>
    <x v="28"/>
  </r>
  <r>
    <x v="28"/>
  </r>
  <r>
    <x v="28"/>
  </r>
  <r>
    <x v="10"/>
  </r>
  <r>
    <x v="4"/>
  </r>
  <r>
    <x v="4"/>
  </r>
  <r>
    <x v="28"/>
  </r>
  <r>
    <x v="28"/>
  </r>
  <r>
    <x v="28"/>
  </r>
  <r>
    <x v="4"/>
  </r>
  <r>
    <x v="4"/>
  </r>
  <r>
    <x v="42"/>
  </r>
  <r>
    <x v="77"/>
  </r>
  <r>
    <x v="4"/>
  </r>
  <r>
    <x v="4"/>
  </r>
  <r>
    <x v="4"/>
  </r>
  <r>
    <x v="4"/>
  </r>
  <r>
    <x v="4"/>
  </r>
  <r>
    <x v="1"/>
  </r>
  <r>
    <x v="10"/>
  </r>
  <r>
    <x v="4"/>
  </r>
  <r>
    <x v="10"/>
  </r>
  <r>
    <x v="10"/>
  </r>
  <r>
    <x v="10"/>
  </r>
  <r>
    <x v="10"/>
  </r>
  <r>
    <x v="0"/>
  </r>
  <r>
    <x v="10"/>
  </r>
  <r>
    <x v="10"/>
  </r>
  <r>
    <x v="201"/>
  </r>
  <r>
    <x v="12"/>
  </r>
  <r>
    <x v="12"/>
  </r>
  <r>
    <x v="42"/>
  </r>
  <r>
    <x v="12"/>
  </r>
  <r>
    <x v="14"/>
  </r>
  <r>
    <x v="4"/>
  </r>
  <r>
    <x v="42"/>
  </r>
  <r>
    <x v="42"/>
  </r>
  <r>
    <x v="87"/>
  </r>
  <r>
    <x v="77"/>
  </r>
  <r>
    <x v="77"/>
  </r>
  <r>
    <x v="87"/>
  </r>
  <r>
    <x v="42"/>
  </r>
  <r>
    <x v="53"/>
  </r>
  <r>
    <x v="53"/>
  </r>
  <r>
    <x v="53"/>
  </r>
  <r>
    <x v="87"/>
  </r>
  <r>
    <x v="123"/>
  </r>
  <r>
    <x v="42"/>
  </r>
  <r>
    <x v="12"/>
  </r>
  <r>
    <x v="56"/>
  </r>
  <r>
    <x v="56"/>
  </r>
  <r>
    <x v="56"/>
  </r>
  <r>
    <x v="56"/>
  </r>
  <r>
    <x v="87"/>
  </r>
  <r>
    <x v="87"/>
  </r>
  <r>
    <x v="43"/>
  </r>
  <r>
    <x v="50"/>
  </r>
  <r>
    <x v="4"/>
  </r>
  <r>
    <x v="10"/>
  </r>
  <r>
    <x v="4"/>
  </r>
  <r>
    <x v="10"/>
  </r>
  <r>
    <x v="4"/>
  </r>
  <r>
    <x v="87"/>
  </r>
  <r>
    <x v="4"/>
  </r>
  <r>
    <x v="4"/>
  </r>
  <r>
    <x v="87"/>
  </r>
  <r>
    <x v="12"/>
  </r>
  <r>
    <x v="10"/>
  </r>
  <r>
    <x v="10"/>
  </r>
  <r>
    <x v="10"/>
  </r>
  <r>
    <x v="12"/>
  </r>
  <r>
    <x v="4"/>
  </r>
  <r>
    <x v="71"/>
  </r>
  <r>
    <x v="4"/>
  </r>
  <r>
    <x v="4"/>
  </r>
  <r>
    <x v="4"/>
  </r>
  <r>
    <x v="10"/>
  </r>
  <r>
    <x v="4"/>
  </r>
  <r>
    <x v="4"/>
  </r>
  <r>
    <x v="4"/>
  </r>
  <r>
    <x v="4"/>
  </r>
  <r>
    <x v="4"/>
  </r>
  <r>
    <x v="25"/>
  </r>
  <r>
    <x v="77"/>
  </r>
  <r>
    <x v="14"/>
  </r>
  <r>
    <x v="123"/>
  </r>
  <r>
    <x v="123"/>
  </r>
  <r>
    <x v="72"/>
  </r>
  <r>
    <x v="0"/>
  </r>
  <r>
    <x v="10"/>
  </r>
  <r>
    <x v="4"/>
  </r>
  <r>
    <x v="64"/>
  </r>
  <r>
    <x v="10"/>
  </r>
  <r>
    <x v="64"/>
  </r>
  <r>
    <x v="10"/>
  </r>
  <r>
    <x v="4"/>
  </r>
  <r>
    <x v="4"/>
  </r>
  <r>
    <x v="87"/>
  </r>
  <r>
    <x v="10"/>
  </r>
  <r>
    <x v="155"/>
  </r>
  <r>
    <x v="14"/>
  </r>
  <r>
    <x v="4"/>
  </r>
  <r>
    <x v="4"/>
  </r>
  <r>
    <x v="77"/>
  </r>
  <r>
    <x v="24"/>
  </r>
  <r>
    <x v="24"/>
  </r>
  <r>
    <x v="4"/>
  </r>
  <r>
    <x v="4"/>
  </r>
  <r>
    <x v="10"/>
  </r>
  <r>
    <x v="4"/>
  </r>
  <r>
    <x v="113"/>
  </r>
  <r>
    <x v="4"/>
  </r>
  <r>
    <x v="10"/>
  </r>
  <r>
    <x v="10"/>
  </r>
  <r>
    <x v="10"/>
  </r>
  <r>
    <x v="4"/>
  </r>
  <r>
    <x v="10"/>
  </r>
  <r>
    <x v="10"/>
  </r>
  <r>
    <x v="10"/>
  </r>
  <r>
    <x v="4"/>
  </r>
  <r>
    <x v="4"/>
  </r>
  <r>
    <x v="12"/>
  </r>
  <r>
    <x v="149"/>
  </r>
  <r>
    <x v="12"/>
  </r>
  <r>
    <x v="87"/>
  </r>
  <r>
    <x v="19"/>
  </r>
  <r>
    <x v="12"/>
  </r>
  <r>
    <x v="130"/>
  </r>
  <r>
    <x v="10"/>
  </r>
  <r>
    <x v="56"/>
  </r>
  <r>
    <x v="10"/>
  </r>
  <r>
    <x v="33"/>
  </r>
  <r>
    <x v="10"/>
  </r>
  <r>
    <x v="10"/>
  </r>
  <r>
    <x v="10"/>
  </r>
  <r>
    <x v="33"/>
  </r>
  <r>
    <x v="10"/>
  </r>
  <r>
    <x v="10"/>
  </r>
  <r>
    <x v="87"/>
  </r>
  <r>
    <x v="16"/>
  </r>
  <r>
    <x v="16"/>
  </r>
  <r>
    <x v="10"/>
  </r>
  <r>
    <x v="10"/>
  </r>
  <r>
    <x v="11"/>
  </r>
  <r>
    <x v="10"/>
  </r>
  <r>
    <x v="10"/>
  </r>
  <r>
    <x v="7"/>
  </r>
  <r>
    <x v="10"/>
  </r>
  <r>
    <x v="10"/>
  </r>
  <r>
    <x v="10"/>
  </r>
  <r>
    <x v="10"/>
  </r>
  <r>
    <x v="10"/>
  </r>
  <r>
    <x v="126"/>
  </r>
  <r>
    <x v="10"/>
  </r>
  <r>
    <x v="10"/>
  </r>
  <r>
    <x v="260"/>
  </r>
  <r>
    <x v="14"/>
  </r>
  <r>
    <x v="14"/>
  </r>
  <r>
    <x v="4"/>
  </r>
  <r>
    <x v="51"/>
  </r>
  <r>
    <x v="87"/>
  </r>
  <r>
    <x v="51"/>
  </r>
  <r>
    <x v="51"/>
  </r>
  <r>
    <x v="51"/>
  </r>
  <r>
    <x v="126"/>
  </r>
  <r>
    <x v="126"/>
  </r>
  <r>
    <x v="126"/>
  </r>
  <r>
    <x v="10"/>
  </r>
  <r>
    <x v="10"/>
  </r>
  <r>
    <x v="10"/>
  </r>
  <r>
    <x v="86"/>
  </r>
  <r>
    <x v="4"/>
  </r>
  <r>
    <x v="10"/>
  </r>
  <r>
    <x v="4"/>
  </r>
  <r>
    <x v="4"/>
  </r>
  <r>
    <x v="10"/>
  </r>
  <r>
    <x v="86"/>
  </r>
  <r>
    <x v="240"/>
  </r>
  <r>
    <x v="53"/>
  </r>
  <r>
    <x v="240"/>
  </r>
  <r>
    <x v="4"/>
  </r>
  <r>
    <x v="10"/>
  </r>
  <r>
    <x v="55"/>
  </r>
  <r>
    <x v="10"/>
  </r>
  <r>
    <x v="10"/>
  </r>
  <r>
    <x v="9"/>
  </r>
  <r>
    <x v="10"/>
  </r>
  <r>
    <x v="10"/>
  </r>
  <r>
    <x v="10"/>
  </r>
  <r>
    <x v="16"/>
  </r>
  <r>
    <x v="4"/>
  </r>
  <r>
    <x v="4"/>
  </r>
  <r>
    <x v="4"/>
  </r>
  <r>
    <x v="4"/>
  </r>
  <r>
    <x v="10"/>
  </r>
  <r>
    <x v="10"/>
  </r>
  <r>
    <x v="10"/>
  </r>
  <r>
    <x v="10"/>
  </r>
  <r>
    <x v="14"/>
  </r>
  <r>
    <x v="4"/>
  </r>
  <r>
    <x v="71"/>
  </r>
  <r>
    <x v="71"/>
  </r>
  <r>
    <x v="53"/>
  </r>
  <r>
    <x v="4"/>
  </r>
  <r>
    <x v="71"/>
  </r>
  <r>
    <x v="71"/>
  </r>
  <r>
    <x v="10"/>
  </r>
  <r>
    <x v="10"/>
  </r>
  <r>
    <x v="10"/>
  </r>
  <r>
    <x v="10"/>
  </r>
  <r>
    <x v="10"/>
  </r>
  <r>
    <x v="26"/>
  </r>
  <r>
    <x v="22"/>
  </r>
  <r>
    <x v="34"/>
  </r>
  <r>
    <x v="261"/>
  </r>
  <r>
    <x v="34"/>
  </r>
  <r>
    <x v="130"/>
  </r>
  <r>
    <x v="13"/>
  </r>
  <r>
    <x v="130"/>
  </r>
  <r>
    <x v="79"/>
  </r>
  <r>
    <x v="79"/>
  </r>
  <r>
    <x v="0"/>
  </r>
  <r>
    <x v="0"/>
  </r>
  <r>
    <x v="0"/>
  </r>
  <r>
    <x v="0"/>
  </r>
  <r>
    <x v="64"/>
  </r>
  <r>
    <x v="10"/>
  </r>
  <r>
    <x v="28"/>
  </r>
  <r>
    <x v="262"/>
  </r>
  <r>
    <x v="12"/>
  </r>
  <r>
    <x v="146"/>
  </r>
  <r>
    <x v="37"/>
  </r>
  <r>
    <x v="1"/>
  </r>
  <r>
    <x v="1"/>
  </r>
  <r>
    <x v="49"/>
  </r>
  <r>
    <x v="49"/>
  </r>
  <r>
    <x v="22"/>
  </r>
  <r>
    <x v="55"/>
  </r>
  <r>
    <x v="34"/>
  </r>
  <r>
    <x v="30"/>
  </r>
  <r>
    <x v="30"/>
  </r>
  <r>
    <x v="60"/>
  </r>
  <r>
    <x v="21"/>
  </r>
  <r>
    <x v="42"/>
  </r>
  <r>
    <x v="21"/>
  </r>
  <r>
    <x v="42"/>
  </r>
  <r>
    <x v="42"/>
  </r>
  <r>
    <x v="31"/>
  </r>
  <r>
    <x v="123"/>
  </r>
  <r>
    <x v="78"/>
  </r>
  <r>
    <x v="87"/>
  </r>
  <r>
    <x v="87"/>
  </r>
  <r>
    <x v="42"/>
  </r>
  <r>
    <x v="42"/>
  </r>
  <r>
    <x v="51"/>
  </r>
  <r>
    <x v="123"/>
  </r>
  <r>
    <x v="123"/>
  </r>
  <r>
    <x v="0"/>
  </r>
  <r>
    <x v="123"/>
  </r>
  <r>
    <x v="76"/>
  </r>
  <r>
    <x v="102"/>
  </r>
  <r>
    <x v="14"/>
  </r>
  <r>
    <x v="12"/>
  </r>
  <r>
    <x v="4"/>
  </r>
  <r>
    <x v="138"/>
  </r>
  <r>
    <x v="4"/>
  </r>
  <r>
    <x v="4"/>
  </r>
  <r>
    <x v="12"/>
  </r>
  <r>
    <x v="77"/>
  </r>
  <r>
    <x v="1"/>
  </r>
  <r>
    <x v="77"/>
  </r>
  <r>
    <x v="77"/>
  </r>
  <r>
    <x v="77"/>
  </r>
  <r>
    <x v="77"/>
  </r>
  <r>
    <x v="77"/>
  </r>
  <r>
    <x v="4"/>
  </r>
  <r>
    <x v="16"/>
  </r>
  <r>
    <x v="77"/>
  </r>
  <r>
    <x v="16"/>
  </r>
  <r>
    <x v="87"/>
  </r>
  <r>
    <x v="87"/>
  </r>
  <r>
    <x v="12"/>
  </r>
  <r>
    <x v="12"/>
  </r>
  <r>
    <x v="1"/>
  </r>
  <r>
    <x v="10"/>
  </r>
  <r>
    <x v="262"/>
  </r>
  <r>
    <x v="4"/>
  </r>
  <r>
    <x v="4"/>
  </r>
  <r>
    <x v="10"/>
  </r>
  <r>
    <x v="42"/>
  </r>
  <r>
    <x v="87"/>
  </r>
  <r>
    <x v="4"/>
  </r>
  <r>
    <x v="77"/>
  </r>
  <r>
    <x v="251"/>
  </r>
  <r>
    <x v="251"/>
  </r>
  <r>
    <x v="10"/>
  </r>
  <r>
    <x v="10"/>
  </r>
  <r>
    <x v="10"/>
  </r>
  <r>
    <x v="10"/>
  </r>
  <r>
    <x v="19"/>
  </r>
  <r>
    <x v="22"/>
  </r>
  <r>
    <x v="1"/>
  </r>
  <r>
    <x v="14"/>
  </r>
  <r>
    <x v="7"/>
  </r>
  <r>
    <x v="7"/>
  </r>
  <r>
    <x v="7"/>
  </r>
  <r>
    <x v="7"/>
  </r>
  <r>
    <x v="165"/>
  </r>
  <r>
    <x v="7"/>
  </r>
  <r>
    <x v="12"/>
  </r>
  <r>
    <x v="12"/>
  </r>
  <r>
    <x v="25"/>
  </r>
  <r>
    <x v="123"/>
  </r>
  <r>
    <x v="123"/>
  </r>
  <r>
    <x v="28"/>
  </r>
  <r>
    <x v="16"/>
  </r>
  <r>
    <x v="16"/>
  </r>
  <r>
    <x v="40"/>
  </r>
  <r>
    <x v="28"/>
  </r>
  <r>
    <x v="40"/>
  </r>
  <r>
    <x v="29"/>
  </r>
  <r>
    <x v="28"/>
  </r>
  <r>
    <x v="28"/>
  </r>
  <r>
    <x v="40"/>
  </r>
  <r>
    <x v="40"/>
  </r>
  <r>
    <x v="40"/>
  </r>
  <r>
    <x v="40"/>
  </r>
  <r>
    <x v="52"/>
  </r>
  <r>
    <x v="40"/>
  </r>
  <r>
    <x v="40"/>
  </r>
  <r>
    <x v="12"/>
  </r>
  <r>
    <x v="33"/>
  </r>
  <r>
    <x v="14"/>
  </r>
  <r>
    <x v="14"/>
  </r>
  <r>
    <x v="10"/>
  </r>
  <r>
    <x v="8"/>
  </r>
  <r>
    <x v="7"/>
  </r>
  <r>
    <x v="12"/>
  </r>
  <r>
    <x v="7"/>
  </r>
  <r>
    <x v="87"/>
  </r>
  <r>
    <x v="14"/>
  </r>
  <r>
    <x v="14"/>
  </r>
  <r>
    <x v="7"/>
  </r>
  <r>
    <x v="7"/>
  </r>
  <r>
    <x v="7"/>
  </r>
  <r>
    <x v="7"/>
  </r>
  <r>
    <x v="7"/>
  </r>
  <r>
    <x v="7"/>
  </r>
  <r>
    <x v="4"/>
  </r>
  <r>
    <x v="4"/>
  </r>
  <r>
    <x v="7"/>
  </r>
  <r>
    <x v="7"/>
  </r>
  <r>
    <x v="10"/>
  </r>
  <r>
    <x v="10"/>
  </r>
  <r>
    <x v="10"/>
  </r>
  <r>
    <x v="12"/>
  </r>
  <r>
    <x v="12"/>
  </r>
  <r>
    <x v="12"/>
  </r>
  <r>
    <x v="1"/>
  </r>
  <r>
    <x v="12"/>
  </r>
  <r>
    <x v="12"/>
  </r>
  <r>
    <x v="12"/>
  </r>
  <r>
    <x v="12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2"/>
  </r>
  <r>
    <x v="19"/>
  </r>
  <r>
    <x v="0"/>
  </r>
  <r>
    <x v="4"/>
  </r>
  <r>
    <x v="6"/>
  </r>
  <r>
    <x v="1"/>
  </r>
  <r>
    <x v="1"/>
  </r>
  <r>
    <x v="1"/>
  </r>
  <r>
    <x v="1"/>
  </r>
  <r>
    <x v="1"/>
  </r>
  <r>
    <x v="1"/>
  </r>
  <r>
    <x v="1"/>
  </r>
  <r>
    <x v="17"/>
  </r>
  <r>
    <x v="17"/>
  </r>
  <r>
    <x v="0"/>
  </r>
  <r>
    <x v="16"/>
  </r>
  <r>
    <x v="263"/>
  </r>
  <r>
    <x v="263"/>
  </r>
  <r>
    <x v="16"/>
  </r>
  <r>
    <x v="12"/>
  </r>
  <r>
    <x v="138"/>
  </r>
  <r>
    <x v="10"/>
  </r>
  <r>
    <x v="36"/>
  </r>
  <r>
    <x v="36"/>
  </r>
  <r>
    <x v="36"/>
  </r>
  <r>
    <x v="36"/>
  </r>
  <r>
    <x v="36"/>
  </r>
  <r>
    <x v="36"/>
  </r>
  <r>
    <x v="11"/>
  </r>
  <r>
    <x v="36"/>
  </r>
  <r>
    <x v="1"/>
  </r>
  <r>
    <x v="42"/>
  </r>
  <r>
    <x v="48"/>
  </r>
  <r>
    <x v="0"/>
  </r>
  <r>
    <x v="54"/>
  </r>
  <r>
    <x v="78"/>
  </r>
  <r>
    <x v="78"/>
  </r>
  <r>
    <x v="78"/>
  </r>
  <r>
    <x v="63"/>
  </r>
  <r>
    <x v="78"/>
  </r>
  <r>
    <x v="78"/>
  </r>
  <r>
    <x v="78"/>
  </r>
  <r>
    <x v="78"/>
  </r>
  <r>
    <x v="53"/>
  </r>
  <r>
    <x v="11"/>
  </r>
  <r>
    <x v="53"/>
  </r>
  <r>
    <x v="45"/>
  </r>
  <r>
    <x v="4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2"/>
  </r>
  <r>
    <x v="24"/>
  </r>
  <r>
    <x v="37"/>
  </r>
  <r>
    <x v="45"/>
  </r>
  <r>
    <x v="43"/>
  </r>
  <r>
    <x v="43"/>
  </r>
  <r>
    <x v="0"/>
  </r>
  <r>
    <x v="27"/>
  </r>
  <r>
    <x v="27"/>
  </r>
  <r>
    <x v="27"/>
  </r>
  <r>
    <x v="27"/>
  </r>
  <r>
    <x v="27"/>
  </r>
  <r>
    <x v="27"/>
  </r>
  <r>
    <x v="52"/>
  </r>
  <r>
    <x v="138"/>
  </r>
  <r>
    <x v="10"/>
  </r>
  <r>
    <x v="126"/>
  </r>
  <r>
    <x v="10"/>
  </r>
  <r>
    <x v="126"/>
  </r>
  <r>
    <x v="126"/>
  </r>
  <r>
    <x v="154"/>
  </r>
  <r>
    <x v="57"/>
  </r>
  <r>
    <x v="26"/>
  </r>
  <r>
    <x v="26"/>
  </r>
  <r>
    <x v="72"/>
  </r>
  <r>
    <x v="0"/>
  </r>
  <r>
    <x v="0"/>
  </r>
  <r>
    <x v="72"/>
  </r>
  <r>
    <x v="115"/>
  </r>
  <r>
    <x v="115"/>
  </r>
  <r>
    <x v="0"/>
  </r>
  <r>
    <x v="0"/>
  </r>
  <r>
    <x v="48"/>
  </r>
  <r>
    <x v="45"/>
  </r>
  <r>
    <x v="123"/>
  </r>
  <r>
    <x v="10"/>
  </r>
  <r>
    <x v="123"/>
  </r>
  <r>
    <x v="123"/>
  </r>
  <r>
    <x v="10"/>
  </r>
  <r>
    <x v="123"/>
  </r>
  <r>
    <x v="123"/>
  </r>
  <r>
    <x v="123"/>
  </r>
  <r>
    <x v="123"/>
  </r>
  <r>
    <x v="123"/>
  </r>
  <r>
    <x v="123"/>
  </r>
  <r>
    <x v="123"/>
  </r>
  <r>
    <x v="7"/>
  </r>
  <r>
    <x v="123"/>
  </r>
  <r>
    <x v="123"/>
  </r>
  <r>
    <x v="4"/>
  </r>
  <r>
    <x v="123"/>
  </r>
  <r>
    <x v="123"/>
  </r>
  <r>
    <x v="123"/>
  </r>
  <r>
    <x v="146"/>
  </r>
  <r>
    <x v="146"/>
  </r>
  <r>
    <x v="17"/>
  </r>
  <r>
    <x v="123"/>
  </r>
  <r>
    <x v="108"/>
  </r>
  <r>
    <x v="142"/>
  </r>
  <r>
    <x v="12"/>
  </r>
  <r>
    <x v="63"/>
  </r>
  <r>
    <x v="12"/>
  </r>
  <r>
    <x v="49"/>
  </r>
  <r>
    <x v="31"/>
  </r>
  <r>
    <x v="31"/>
  </r>
  <r>
    <x v="60"/>
  </r>
  <r>
    <x v="46"/>
  </r>
  <r>
    <x v="14"/>
  </r>
  <r>
    <x v="60"/>
  </r>
  <r>
    <x v="14"/>
  </r>
  <r>
    <x v="4"/>
  </r>
  <r>
    <x v="17"/>
  </r>
  <r>
    <x v="4"/>
  </r>
  <r>
    <x v="49"/>
  </r>
  <r>
    <x v="32"/>
  </r>
  <r>
    <x v="48"/>
  </r>
  <r>
    <x v="17"/>
  </r>
  <r>
    <x v="17"/>
  </r>
  <r>
    <x v="4"/>
  </r>
  <r>
    <x v="49"/>
  </r>
  <r>
    <x v="33"/>
  </r>
  <r>
    <x v="4"/>
  </r>
  <r>
    <x v="10"/>
  </r>
  <r>
    <x v="4"/>
  </r>
  <r>
    <x v="4"/>
  </r>
  <r>
    <x v="4"/>
  </r>
  <r>
    <x v="10"/>
  </r>
  <r>
    <x v="10"/>
  </r>
  <r>
    <x v="4"/>
  </r>
  <r>
    <x v="126"/>
  </r>
  <r>
    <x v="10"/>
  </r>
  <r>
    <x v="10"/>
  </r>
  <r>
    <x v="16"/>
  </r>
  <r>
    <x v="10"/>
  </r>
  <r>
    <x v="14"/>
  </r>
  <r>
    <x v="42"/>
  </r>
  <r>
    <x v="0"/>
  </r>
  <r>
    <x v="0"/>
  </r>
  <r>
    <x v="0"/>
  </r>
  <r>
    <x v="131"/>
  </r>
  <r>
    <x v="4"/>
  </r>
  <r>
    <x v="131"/>
  </r>
  <r>
    <x v="4"/>
  </r>
  <r>
    <x v="7"/>
  </r>
  <r>
    <x v="10"/>
  </r>
  <r>
    <x v="10"/>
  </r>
  <r>
    <x v="10"/>
  </r>
  <r>
    <x v="10"/>
  </r>
  <r>
    <x v="10"/>
  </r>
  <r>
    <x v="10"/>
  </r>
  <r>
    <x v="14"/>
  </r>
  <r>
    <x v="30"/>
  </r>
  <r>
    <x v="30"/>
  </r>
  <r>
    <x v="14"/>
  </r>
  <r>
    <x v="17"/>
  </r>
  <r>
    <x v="57"/>
  </r>
  <r>
    <x v="126"/>
  </r>
  <r>
    <x v="2"/>
  </r>
  <r>
    <x v="131"/>
  </r>
  <r>
    <x v="126"/>
  </r>
  <r>
    <x v="126"/>
  </r>
  <r>
    <x v="71"/>
  </r>
  <r>
    <x v="16"/>
  </r>
  <r>
    <x v="131"/>
  </r>
  <r>
    <x v="10"/>
  </r>
  <r>
    <x v="48"/>
  </r>
  <r>
    <x v="42"/>
  </r>
  <r>
    <x v="14"/>
  </r>
  <r>
    <x v="152"/>
  </r>
  <r>
    <x v="131"/>
  </r>
  <r>
    <x v="12"/>
  </r>
  <r>
    <x v="12"/>
  </r>
  <r>
    <x v="12"/>
  </r>
  <r>
    <x v="36"/>
  </r>
  <r>
    <x v="165"/>
  </r>
  <r>
    <x v="190"/>
  </r>
  <r>
    <x v="50"/>
  </r>
  <r>
    <x v="165"/>
  </r>
  <r>
    <x v="123"/>
  </r>
  <r>
    <x v="77"/>
  </r>
  <r>
    <x v="56"/>
  </r>
  <r>
    <x v="50"/>
  </r>
  <r>
    <x v="10"/>
  </r>
  <r>
    <x v="4"/>
  </r>
  <r>
    <x v="4"/>
  </r>
  <r>
    <x v="186"/>
  </r>
  <r>
    <x v="75"/>
  </r>
  <r>
    <x v="37"/>
  </r>
  <r>
    <x v="4"/>
  </r>
  <r>
    <x v="19"/>
  </r>
  <r>
    <x v="19"/>
  </r>
  <r>
    <x v="4"/>
  </r>
  <r>
    <x v="10"/>
  </r>
  <r>
    <x v="1"/>
  </r>
  <r>
    <x v="112"/>
  </r>
  <r>
    <x v="48"/>
  </r>
  <r>
    <x v="31"/>
  </r>
  <r>
    <x v="131"/>
  </r>
  <r>
    <x v="152"/>
  </r>
  <r>
    <x v="28"/>
  </r>
  <r>
    <x v="0"/>
  </r>
  <r>
    <x v="24"/>
  </r>
  <r>
    <x v="28"/>
  </r>
  <r>
    <x v="12"/>
  </r>
  <r>
    <x v="4"/>
  </r>
  <r>
    <x v="28"/>
  </r>
  <r>
    <x v="11"/>
  </r>
  <r>
    <x v="171"/>
  </r>
  <r>
    <x v="46"/>
  </r>
  <r>
    <x v="171"/>
  </r>
  <r>
    <x v="14"/>
  </r>
  <r>
    <x v="131"/>
  </r>
  <r>
    <x v="126"/>
  </r>
  <r>
    <x v="12"/>
  </r>
  <r>
    <x v="76"/>
  </r>
  <r>
    <x v="25"/>
  </r>
  <r>
    <x v="14"/>
  </r>
  <r>
    <x v="12"/>
  </r>
  <r>
    <x v="10"/>
  </r>
  <r>
    <x v="4"/>
  </r>
  <r>
    <x v="10"/>
  </r>
  <r>
    <x v="56"/>
  </r>
  <r>
    <x v="56"/>
  </r>
  <r>
    <x v="22"/>
  </r>
  <r>
    <x v="12"/>
  </r>
  <r>
    <x v="12"/>
  </r>
  <r>
    <x v="12"/>
  </r>
  <r>
    <x v="12"/>
  </r>
  <r>
    <x v="14"/>
  </r>
  <r>
    <x v="78"/>
  </r>
  <r>
    <x v="78"/>
  </r>
  <r>
    <x v="24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4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56"/>
  </r>
  <r>
    <x v="12"/>
  </r>
  <r>
    <x v="12"/>
  </r>
  <r>
    <x v="175"/>
  </r>
  <r>
    <x v="131"/>
  </r>
  <r>
    <x v="48"/>
  </r>
  <r>
    <x v="122"/>
  </r>
  <r>
    <x v="49"/>
  </r>
  <r>
    <x v="40"/>
  </r>
  <r>
    <x v="26"/>
  </r>
  <r>
    <x v="24"/>
  </r>
  <r>
    <x v="33"/>
  </r>
  <r>
    <x v="45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129"/>
  </r>
  <r>
    <x v="0"/>
  </r>
  <r>
    <x v="129"/>
  </r>
  <r>
    <x v="129"/>
  </r>
  <r>
    <x v="115"/>
  </r>
  <r>
    <x v="115"/>
  </r>
  <r>
    <x v="51"/>
  </r>
  <r>
    <x v="0"/>
  </r>
  <r>
    <x v="0"/>
  </r>
  <r>
    <x v="37"/>
  </r>
  <r>
    <x v="1"/>
  </r>
  <r>
    <x v="11"/>
  </r>
  <r>
    <x v="1"/>
  </r>
  <r>
    <x v="4"/>
  </r>
  <r>
    <x v="14"/>
  </r>
  <r>
    <x v="14"/>
  </r>
  <r>
    <x v="1"/>
  </r>
  <r>
    <x v="15"/>
  </r>
  <r>
    <x v="53"/>
  </r>
  <r>
    <x v="0"/>
  </r>
  <r>
    <x v="0"/>
  </r>
  <r>
    <x v="2"/>
  </r>
  <r>
    <x v="33"/>
  </r>
  <r>
    <x v="10"/>
  </r>
  <r>
    <x v="0"/>
  </r>
  <r>
    <x v="108"/>
  </r>
  <r>
    <x v="9"/>
  </r>
  <r>
    <x v="114"/>
  </r>
  <r>
    <x v="0"/>
  </r>
  <r>
    <x v="0"/>
  </r>
  <r>
    <x v="0"/>
  </r>
  <r>
    <x v="0"/>
  </r>
  <r>
    <x v="0"/>
  </r>
  <r>
    <x v="24"/>
  </r>
  <r>
    <x v="0"/>
  </r>
  <r>
    <x v="0"/>
  </r>
  <r>
    <x v="51"/>
  </r>
  <r>
    <x v="40"/>
  </r>
  <r>
    <x v="113"/>
  </r>
  <r>
    <x v="0"/>
  </r>
  <r>
    <x v="0"/>
  </r>
  <r>
    <x v="0"/>
  </r>
  <r>
    <x v="0"/>
  </r>
  <r>
    <x v="31"/>
  </r>
  <r>
    <x v="31"/>
  </r>
  <r>
    <x v="31"/>
  </r>
  <r>
    <x v="31"/>
  </r>
  <r>
    <x v="10"/>
  </r>
  <r>
    <x v="17"/>
  </r>
  <r>
    <x v="33"/>
  </r>
  <r>
    <x v="152"/>
  </r>
  <r>
    <x v="36"/>
  </r>
  <r>
    <x v="19"/>
  </r>
  <r>
    <x v="12"/>
  </r>
  <r>
    <x v="36"/>
  </r>
  <r>
    <x v="0"/>
  </r>
  <r>
    <x v="0"/>
  </r>
  <r>
    <x v="71"/>
  </r>
  <r>
    <x v="87"/>
  </r>
  <r>
    <x v="10"/>
  </r>
  <r>
    <x v="10"/>
  </r>
  <r>
    <x v="10"/>
  </r>
  <r>
    <x v="43"/>
  </r>
  <r>
    <x v="9"/>
  </r>
  <r>
    <x v="87"/>
  </r>
  <r>
    <x v="87"/>
  </r>
  <r>
    <x v="43"/>
  </r>
  <r>
    <x v="16"/>
  </r>
  <r>
    <x v="43"/>
  </r>
  <r>
    <x v="19"/>
  </r>
  <r>
    <x v="138"/>
  </r>
  <r>
    <x v="0"/>
  </r>
  <r>
    <x v="165"/>
  </r>
  <r>
    <x v="87"/>
  </r>
  <r>
    <x v="87"/>
  </r>
  <r>
    <x v="87"/>
  </r>
  <r>
    <x v="12"/>
  </r>
  <r>
    <x v="12"/>
  </r>
  <r>
    <x v="87"/>
  </r>
  <r>
    <x v="14"/>
  </r>
  <r>
    <x v="7"/>
  </r>
  <r>
    <x v="87"/>
  </r>
  <r>
    <x v="87"/>
  </r>
  <r>
    <x v="12"/>
  </r>
  <r>
    <x v="10"/>
  </r>
  <r>
    <x v="4"/>
  </r>
  <r>
    <x v="8"/>
  </r>
  <r>
    <x v="76"/>
  </r>
  <r>
    <x v="4"/>
  </r>
  <r>
    <x v="3"/>
  </r>
  <r>
    <x v="183"/>
  </r>
  <r>
    <x v="3"/>
  </r>
  <r>
    <x v="183"/>
  </r>
  <r>
    <x v="183"/>
  </r>
  <r>
    <x v="183"/>
  </r>
  <r>
    <x v="183"/>
  </r>
  <r>
    <x v="25"/>
  </r>
  <r>
    <x v="10"/>
  </r>
  <r>
    <x v="12"/>
  </r>
  <r>
    <x v="69"/>
  </r>
  <r>
    <x v="0"/>
  </r>
  <r>
    <x v="14"/>
  </r>
  <r>
    <x v="69"/>
  </r>
  <r>
    <x v="69"/>
  </r>
  <r>
    <x v="69"/>
  </r>
  <r>
    <x v="25"/>
  </r>
  <r>
    <x v="4"/>
  </r>
  <r>
    <x v="40"/>
  </r>
  <r>
    <x v="0"/>
  </r>
  <r>
    <x v="64"/>
  </r>
  <r>
    <x v="81"/>
  </r>
  <r>
    <x v="40"/>
  </r>
  <r>
    <x v="14"/>
  </r>
  <r>
    <x v="14"/>
  </r>
  <r>
    <x v="130"/>
  </r>
  <r>
    <x v="22"/>
  </r>
  <r>
    <x v="111"/>
  </r>
  <r>
    <x v="166"/>
  </r>
  <r>
    <x v="130"/>
  </r>
  <r>
    <x v="40"/>
  </r>
  <r>
    <x v="14"/>
  </r>
  <r>
    <x v="14"/>
  </r>
  <r>
    <x v="10"/>
  </r>
  <r>
    <x v="14"/>
  </r>
  <r>
    <x v="28"/>
  </r>
  <r>
    <x v="0"/>
  </r>
  <r>
    <x v="28"/>
  </r>
  <r>
    <x v="28"/>
  </r>
  <r>
    <x v="42"/>
  </r>
  <r>
    <x v="0"/>
  </r>
  <r>
    <x v="12"/>
  </r>
  <r>
    <x v="12"/>
  </r>
  <r>
    <x v="29"/>
  </r>
  <r>
    <x v="10"/>
  </r>
  <r>
    <x v="12"/>
  </r>
  <r>
    <x v="7"/>
  </r>
  <r>
    <x v="7"/>
  </r>
  <r>
    <x v="7"/>
  </r>
  <r>
    <x v="96"/>
  </r>
  <r>
    <x v="12"/>
  </r>
  <r>
    <x v="55"/>
  </r>
  <r>
    <x v="9"/>
  </r>
  <r>
    <x v="7"/>
  </r>
  <r>
    <x v="7"/>
  </r>
  <r>
    <x v="7"/>
  </r>
  <r>
    <x v="7"/>
  </r>
  <r>
    <x v="7"/>
  </r>
  <r>
    <x v="7"/>
  </r>
  <r>
    <x v="14"/>
  </r>
  <r>
    <x v="10"/>
  </r>
  <r>
    <x v="10"/>
  </r>
  <r>
    <x v="86"/>
  </r>
  <r>
    <x v="0"/>
  </r>
  <r>
    <x v="42"/>
  </r>
  <r>
    <x v="26"/>
  </r>
  <r>
    <x v="123"/>
  </r>
  <r>
    <x v="123"/>
  </r>
  <r>
    <x v="123"/>
  </r>
  <r>
    <x v="4"/>
  </r>
  <r>
    <x v="4"/>
  </r>
  <r>
    <x v="46"/>
  </r>
  <r>
    <x v="76"/>
  </r>
  <r>
    <x v="14"/>
  </r>
  <r>
    <x v="174"/>
  </r>
  <r>
    <x v="4"/>
  </r>
  <r>
    <x v="12"/>
  </r>
  <r>
    <x v="12"/>
  </r>
  <r>
    <x v="10"/>
  </r>
  <r>
    <x v="12"/>
  </r>
  <r>
    <x v="12"/>
  </r>
  <r>
    <x v="10"/>
  </r>
  <r>
    <x v="10"/>
  </r>
  <r>
    <x v="42"/>
  </r>
  <r>
    <x v="10"/>
  </r>
  <r>
    <x v="42"/>
  </r>
  <r>
    <x v="87"/>
  </r>
  <r>
    <x v="80"/>
  </r>
  <r>
    <x v="77"/>
  </r>
  <r>
    <x v="12"/>
  </r>
  <r>
    <x v="77"/>
  </r>
  <r>
    <x v="12"/>
  </r>
  <r>
    <x v="86"/>
  </r>
  <r>
    <x v="86"/>
  </r>
  <r>
    <x v="86"/>
  </r>
  <r>
    <x v="12"/>
  </r>
  <r>
    <x v="86"/>
  </r>
  <r>
    <x v="12"/>
  </r>
  <r>
    <x v="12"/>
  </r>
  <r>
    <x v="12"/>
  </r>
  <r>
    <x v="42"/>
  </r>
  <r>
    <x v="76"/>
  </r>
  <r>
    <x v="12"/>
  </r>
  <r>
    <x v="12"/>
  </r>
  <r>
    <x v="77"/>
  </r>
  <r>
    <x v="24"/>
  </r>
  <r>
    <x v="152"/>
  </r>
  <r>
    <x v="10"/>
  </r>
  <r>
    <x v="152"/>
  </r>
  <r>
    <x v="10"/>
  </r>
  <r>
    <x v="17"/>
  </r>
  <r>
    <x v="10"/>
  </r>
  <r>
    <x v="4"/>
  </r>
  <r>
    <x v="42"/>
  </r>
  <r>
    <x v="0"/>
  </r>
  <r>
    <x v="28"/>
  </r>
  <r>
    <x v="56"/>
  </r>
  <r>
    <x v="56"/>
  </r>
  <r>
    <x v="0"/>
  </r>
  <r>
    <x v="12"/>
  </r>
  <r>
    <x v="10"/>
  </r>
  <r>
    <x v="56"/>
  </r>
  <r>
    <x v="56"/>
  </r>
  <r>
    <x v="100"/>
  </r>
  <r>
    <x v="56"/>
  </r>
  <r>
    <x v="10"/>
  </r>
  <r>
    <x v="56"/>
  </r>
  <r>
    <x v="77"/>
  </r>
  <r>
    <x v="77"/>
  </r>
  <r>
    <x v="10"/>
  </r>
  <r>
    <x v="10"/>
  </r>
  <r>
    <x v="0"/>
  </r>
  <r>
    <x v="7"/>
  </r>
  <r>
    <x v="36"/>
  </r>
  <r>
    <x v="3"/>
  </r>
  <r>
    <x v="16"/>
  </r>
  <r>
    <x v="10"/>
  </r>
  <r>
    <x v="10"/>
  </r>
  <r>
    <x v="12"/>
  </r>
  <r>
    <x v="80"/>
  </r>
  <r>
    <x v="45"/>
  </r>
  <r>
    <x v="264"/>
  </r>
  <r>
    <x v="25"/>
  </r>
  <r>
    <x v="25"/>
  </r>
  <r>
    <x v="138"/>
  </r>
  <r>
    <x v="138"/>
  </r>
  <r>
    <x v="138"/>
  </r>
  <r>
    <x v="50"/>
  </r>
  <r>
    <x v="138"/>
  </r>
  <r>
    <x v="112"/>
  </r>
  <r>
    <x v="42"/>
  </r>
  <r>
    <x v="19"/>
  </r>
  <r>
    <x v="19"/>
  </r>
  <r>
    <x v="19"/>
  </r>
  <r>
    <x v="10"/>
  </r>
  <r>
    <x v="10"/>
  </r>
  <r>
    <x v="10"/>
  </r>
  <r>
    <x v="10"/>
  </r>
  <r>
    <x v="19"/>
  </r>
  <r>
    <x v="36"/>
  </r>
  <r>
    <x v="14"/>
  </r>
  <r>
    <x v="12"/>
  </r>
  <r>
    <x v="12"/>
  </r>
  <r>
    <x v="12"/>
  </r>
  <r>
    <x v="123"/>
  </r>
  <r>
    <x v="123"/>
  </r>
  <r>
    <x v="123"/>
  </r>
  <r>
    <x v="10"/>
  </r>
  <r>
    <x v="10"/>
  </r>
  <r>
    <x v="10"/>
  </r>
  <r>
    <x v="10"/>
  </r>
  <r>
    <x v="10"/>
  </r>
  <r>
    <x v="10"/>
  </r>
  <r>
    <x v="42"/>
  </r>
  <r>
    <x v="42"/>
  </r>
  <r>
    <x v="42"/>
  </r>
  <r>
    <x v="42"/>
  </r>
  <r>
    <x v="42"/>
  </r>
  <r>
    <x v="123"/>
  </r>
  <r>
    <x v="10"/>
  </r>
  <r>
    <x v="123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29"/>
  </r>
  <r>
    <x v="87"/>
  </r>
  <r>
    <x v="27"/>
  </r>
  <r>
    <x v="111"/>
  </r>
  <r>
    <x v="14"/>
  </r>
  <r>
    <x v="14"/>
  </r>
  <r>
    <x v="28"/>
  </r>
  <r>
    <x v="10"/>
  </r>
  <r>
    <x v="10"/>
  </r>
  <r>
    <x v="14"/>
  </r>
  <r>
    <x v="0"/>
  </r>
  <r>
    <x v="0"/>
  </r>
  <r>
    <x v="28"/>
  </r>
  <r>
    <x v="28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24"/>
  </r>
  <r>
    <x v="24"/>
  </r>
  <r>
    <x v="24"/>
  </r>
  <r>
    <x v="24"/>
  </r>
  <r>
    <x v="24"/>
  </r>
  <r>
    <x v="24"/>
  </r>
  <r>
    <x v="24"/>
  </r>
  <r>
    <x v="25"/>
  </r>
  <r>
    <x v="72"/>
  </r>
  <r>
    <x v="29"/>
  </r>
  <r>
    <x v="0"/>
  </r>
  <r>
    <x v="4"/>
  </r>
  <r>
    <x v="52"/>
  </r>
  <r>
    <x v="0"/>
  </r>
  <r>
    <x v="0"/>
  </r>
  <r>
    <x v="10"/>
  </r>
  <r>
    <x v="10"/>
  </r>
  <r>
    <x v="10"/>
  </r>
  <r>
    <x v="10"/>
  </r>
  <r>
    <x v="10"/>
  </r>
  <r>
    <x v="10"/>
  </r>
  <r>
    <x v="14"/>
  </r>
  <r>
    <x v="24"/>
  </r>
  <r>
    <x v="265"/>
  </r>
  <r>
    <x v="24"/>
  </r>
  <r>
    <x v="24"/>
  </r>
  <r>
    <x v="24"/>
  </r>
  <r>
    <x v="16"/>
  </r>
  <r>
    <x v="36"/>
  </r>
  <r>
    <x v="36"/>
  </r>
  <r>
    <x v="36"/>
  </r>
  <r>
    <x v="0"/>
  </r>
  <r>
    <x v="86"/>
  </r>
  <r>
    <x v="86"/>
  </r>
  <r>
    <x v="86"/>
  </r>
  <r>
    <x v="86"/>
  </r>
  <r>
    <x v="10"/>
  </r>
  <r>
    <x v="10"/>
  </r>
  <r>
    <x v="10"/>
  </r>
  <r>
    <x v="10"/>
  </r>
  <r>
    <x v="86"/>
  </r>
  <r>
    <x v="86"/>
  </r>
  <r>
    <x v="86"/>
  </r>
  <r>
    <x v="86"/>
  </r>
  <r>
    <x v="4"/>
  </r>
  <r>
    <x v="4"/>
  </r>
  <r>
    <x v="138"/>
  </r>
  <r>
    <x v="4"/>
  </r>
  <r>
    <x v="4"/>
  </r>
  <r>
    <x v="4"/>
  </r>
  <r>
    <x v="4"/>
  </r>
  <r>
    <x v="42"/>
  </r>
  <r>
    <x v="12"/>
  </r>
  <r>
    <x v="12"/>
  </r>
  <r>
    <x v="12"/>
  </r>
  <r>
    <x v="12"/>
  </r>
  <r>
    <x v="12"/>
  </r>
  <r>
    <x v="12"/>
  </r>
  <r>
    <x v="12"/>
  </r>
  <r>
    <x v="16"/>
  </r>
  <r>
    <x v="12"/>
  </r>
  <r>
    <x v="123"/>
  </r>
  <r>
    <x v="7"/>
  </r>
  <r>
    <x v="12"/>
  </r>
  <r>
    <x v="11"/>
  </r>
  <r>
    <x v="12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0"/>
  </r>
  <r>
    <x v="4"/>
  </r>
  <r>
    <x v="14"/>
  </r>
  <r>
    <x v="4"/>
  </r>
  <r>
    <x v="4"/>
  </r>
  <r>
    <x v="4"/>
  </r>
  <r>
    <x v="4"/>
  </r>
  <r>
    <x v="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30"/>
  </r>
  <r>
    <x v="28"/>
  </r>
  <r>
    <x v="12"/>
  </r>
  <r>
    <x v="4"/>
  </r>
  <r>
    <x v="14"/>
  </r>
  <r>
    <x v="17"/>
  </r>
  <r>
    <x v="17"/>
  </r>
  <r>
    <x v="0"/>
  </r>
  <r>
    <x v="81"/>
  </r>
  <r>
    <x v="31"/>
  </r>
  <r>
    <x v="0"/>
  </r>
  <r>
    <x v="0"/>
  </r>
  <r>
    <x v="0"/>
  </r>
  <r>
    <x v="0"/>
  </r>
  <r>
    <x v="48"/>
  </r>
  <r>
    <x v="0"/>
  </r>
  <r>
    <x v="2"/>
  </r>
  <r>
    <x v="0"/>
  </r>
  <r>
    <x v="33"/>
  </r>
  <r>
    <x v="33"/>
  </r>
  <r>
    <x v="10"/>
  </r>
  <r>
    <x v="0"/>
  </r>
  <r>
    <x v="33"/>
  </r>
  <r>
    <x v="0"/>
  </r>
  <r>
    <x v="33"/>
  </r>
  <r>
    <x v="0"/>
  </r>
  <r>
    <x v="0"/>
  </r>
  <r>
    <x v="10"/>
  </r>
  <r>
    <x v="10"/>
  </r>
  <r>
    <x v="33"/>
  </r>
  <r>
    <x v="0"/>
  </r>
  <r>
    <x v="12"/>
  </r>
  <r>
    <x v="0"/>
  </r>
  <r>
    <x v="0"/>
  </r>
  <r>
    <x v="123"/>
  </r>
  <r>
    <x v="72"/>
  </r>
  <r>
    <x v="72"/>
  </r>
  <r>
    <x v="72"/>
  </r>
  <r>
    <x v="123"/>
  </r>
  <r>
    <x v="64"/>
  </r>
  <r>
    <x v="87"/>
  </r>
  <r>
    <x v="4"/>
  </r>
  <r>
    <x v="199"/>
  </r>
  <r>
    <x v="42"/>
  </r>
  <r>
    <x v="42"/>
  </r>
  <r>
    <x v="42"/>
  </r>
  <r>
    <x v="42"/>
  </r>
  <r>
    <x v="42"/>
  </r>
  <r>
    <x v="76"/>
  </r>
  <r>
    <x v="42"/>
  </r>
  <r>
    <x v="42"/>
  </r>
  <r>
    <x v="42"/>
  </r>
  <r>
    <x v="76"/>
  </r>
  <r>
    <x v="8"/>
  </r>
  <r>
    <x v="4"/>
  </r>
  <r>
    <x v="48"/>
  </r>
  <r>
    <x v="76"/>
  </r>
  <r>
    <x v="7"/>
  </r>
  <r>
    <x v="12"/>
  </r>
  <r>
    <x v="12"/>
  </r>
  <r>
    <x v="14"/>
  </r>
  <r>
    <x v="45"/>
  </r>
  <r>
    <x v="12"/>
  </r>
  <r>
    <x v="7"/>
  </r>
  <r>
    <x v="12"/>
  </r>
  <r>
    <x v="12"/>
  </r>
  <r>
    <x v="10"/>
  </r>
  <r>
    <x v="154"/>
  </r>
  <r>
    <x v="154"/>
  </r>
  <r>
    <x v="154"/>
  </r>
  <r>
    <x v="76"/>
  </r>
  <r>
    <x v="199"/>
  </r>
  <r>
    <x v="24"/>
  </r>
  <r>
    <x v="4"/>
  </r>
  <r>
    <x v="4"/>
  </r>
  <r>
    <x v="4"/>
  </r>
  <r>
    <x v="4"/>
  </r>
  <r>
    <x v="126"/>
  </r>
  <r>
    <x v="0"/>
  </r>
  <r>
    <x v="22"/>
  </r>
  <r>
    <x v="57"/>
  </r>
  <r>
    <x v="0"/>
  </r>
  <r>
    <x v="0"/>
  </r>
  <r>
    <x v="10"/>
  </r>
  <r>
    <x v="42"/>
  </r>
  <r>
    <x v="42"/>
  </r>
  <r>
    <x v="42"/>
  </r>
  <r>
    <x v="77"/>
  </r>
  <r>
    <x v="0"/>
  </r>
  <r>
    <x v="0"/>
  </r>
  <r>
    <x v="0"/>
  </r>
  <r>
    <x v="0"/>
  </r>
  <r>
    <x v="0"/>
  </r>
  <r>
    <x v="0"/>
  </r>
  <r>
    <x v="12"/>
  </r>
  <r>
    <x v="10"/>
  </r>
  <r>
    <x v="10"/>
  </r>
  <r>
    <x v="10"/>
  </r>
  <r>
    <x v="10"/>
  </r>
  <r>
    <x v="10"/>
  </r>
  <r>
    <x v="10"/>
  </r>
  <r>
    <x v="2"/>
  </r>
  <r>
    <x v="30"/>
  </r>
  <r>
    <x v="30"/>
  </r>
  <r>
    <x v="86"/>
  </r>
  <r>
    <x v="86"/>
  </r>
  <r>
    <x v="4"/>
  </r>
  <r>
    <x v="86"/>
  </r>
  <r>
    <x v="4"/>
  </r>
  <r>
    <x v="86"/>
  </r>
  <r>
    <x v="4"/>
  </r>
  <r>
    <x v="33"/>
  </r>
  <r>
    <x v="42"/>
  </r>
  <r>
    <x v="10"/>
  </r>
  <r>
    <x v="42"/>
  </r>
  <r>
    <x v="42"/>
  </r>
  <r>
    <x v="42"/>
  </r>
  <r>
    <x v="32"/>
  </r>
  <r>
    <x v="42"/>
  </r>
  <r>
    <x v="55"/>
  </r>
  <r>
    <x v="33"/>
  </r>
  <r>
    <x v="10"/>
  </r>
  <r>
    <x v="21"/>
  </r>
  <r>
    <x v="16"/>
  </r>
  <r>
    <x v="14"/>
  </r>
  <r>
    <x v="10"/>
  </r>
  <r>
    <x v="28"/>
  </r>
  <r>
    <x v="0"/>
  </r>
  <r>
    <x v="10"/>
  </r>
  <r>
    <x v="4"/>
  </r>
  <r>
    <x v="4"/>
  </r>
  <r>
    <x v="4"/>
  </r>
  <r>
    <x v="10"/>
  </r>
  <r>
    <x v="177"/>
  </r>
  <r>
    <x v="10"/>
  </r>
  <r>
    <x v="0"/>
  </r>
  <r>
    <x v="0"/>
  </r>
  <r>
    <x v="0"/>
  </r>
  <r>
    <x v="0"/>
  </r>
  <r>
    <x v="10"/>
  </r>
  <r>
    <x v="10"/>
  </r>
  <r>
    <x v="22"/>
  </r>
  <r>
    <x v="0"/>
  </r>
  <r>
    <x v="68"/>
  </r>
  <r>
    <x v="71"/>
  </r>
  <r>
    <x v="68"/>
  </r>
  <r>
    <x v="138"/>
  </r>
  <r>
    <x v="68"/>
  </r>
  <r>
    <x v="138"/>
  </r>
  <r>
    <x v="138"/>
  </r>
  <r>
    <x v="138"/>
  </r>
  <r>
    <x v="138"/>
  </r>
  <r>
    <x v="138"/>
  </r>
  <r>
    <x v="4"/>
  </r>
  <r>
    <x v="0"/>
  </r>
  <r>
    <x v="138"/>
  </r>
  <r>
    <x v="9"/>
  </r>
  <r>
    <x v="9"/>
  </r>
  <r>
    <x v="9"/>
  </r>
  <r>
    <x v="9"/>
  </r>
  <r>
    <x v="24"/>
  </r>
  <r>
    <x v="24"/>
  </r>
  <r>
    <x v="24"/>
  </r>
  <r>
    <x v="24"/>
  </r>
  <r>
    <x v="14"/>
  </r>
  <r>
    <x v="17"/>
  </r>
  <r>
    <x v="1"/>
  </r>
  <r>
    <x v="1"/>
  </r>
  <r>
    <x v="1"/>
  </r>
  <r>
    <x v="1"/>
  </r>
  <r>
    <x v="24"/>
  </r>
  <r>
    <x v="31"/>
  </r>
  <r>
    <x v="14"/>
  </r>
  <r>
    <x v="12"/>
  </r>
  <r>
    <x v="12"/>
  </r>
  <r>
    <x v="12"/>
  </r>
  <r>
    <x v="227"/>
  </r>
  <r>
    <x v="10"/>
  </r>
  <r>
    <x v="12"/>
  </r>
  <r>
    <x v="227"/>
  </r>
  <r>
    <x v="12"/>
  </r>
  <r>
    <x v="4"/>
  </r>
  <r>
    <x v="4"/>
  </r>
  <r>
    <x v="4"/>
  </r>
  <r>
    <x v="4"/>
  </r>
  <r>
    <x v="63"/>
  </r>
  <r>
    <x v="123"/>
  </r>
  <r>
    <x v="22"/>
  </r>
  <r>
    <x v="152"/>
  </r>
  <r>
    <x v="10"/>
  </r>
  <r>
    <x v="10"/>
  </r>
  <r>
    <x v="10"/>
  </r>
  <r>
    <x v="10"/>
  </r>
  <r>
    <x v="10"/>
  </r>
  <r>
    <x v="12"/>
  </r>
  <r>
    <x v="4"/>
  </r>
  <r>
    <x v="17"/>
  </r>
  <r>
    <x v="4"/>
  </r>
  <r>
    <x v="10"/>
  </r>
  <r>
    <x v="12"/>
  </r>
  <r>
    <x v="10"/>
  </r>
  <r>
    <x v="10"/>
  </r>
  <r>
    <x v="10"/>
  </r>
  <r>
    <x v="138"/>
  </r>
  <r>
    <x v="28"/>
  </r>
  <r>
    <x v="28"/>
  </r>
  <r>
    <x v="12"/>
  </r>
  <r>
    <x v="79"/>
  </r>
  <r>
    <x v="79"/>
  </r>
  <r>
    <x v="79"/>
  </r>
  <r>
    <x v="79"/>
  </r>
  <r>
    <x v="45"/>
  </r>
  <r>
    <x v="45"/>
  </r>
  <r>
    <x v="45"/>
  </r>
  <r>
    <x v="45"/>
  </r>
  <r>
    <x v="12"/>
  </r>
  <r>
    <x v="4"/>
  </r>
  <r>
    <x v="4"/>
  </r>
  <r>
    <x v="4"/>
  </r>
  <r>
    <x v="12"/>
  </r>
  <r>
    <x v="4"/>
  </r>
  <r>
    <x v="4"/>
  </r>
  <r>
    <x v="4"/>
  </r>
  <r>
    <x v="7"/>
  </r>
  <r>
    <x v="4"/>
  </r>
  <r>
    <x v="79"/>
  </r>
  <r>
    <x v="79"/>
  </r>
  <r>
    <x v="2"/>
  </r>
  <r>
    <x v="4"/>
  </r>
  <r>
    <x v="77"/>
  </r>
  <r>
    <x v="79"/>
  </r>
  <r>
    <x v="68"/>
  </r>
  <r>
    <x v="68"/>
  </r>
  <r>
    <x v="4"/>
  </r>
  <r>
    <x v="4"/>
  </r>
  <r>
    <x v="87"/>
  </r>
  <r>
    <x v="4"/>
  </r>
  <r>
    <x v="4"/>
  </r>
  <r>
    <x v="165"/>
  </r>
  <r>
    <x v="79"/>
  </r>
  <r>
    <x v="4"/>
  </r>
  <r>
    <x v="10"/>
  </r>
  <r>
    <x v="165"/>
  </r>
  <r>
    <x v="4"/>
  </r>
  <r>
    <x v="10"/>
  </r>
  <r>
    <x v="16"/>
  </r>
  <r>
    <x v="4"/>
  </r>
  <r>
    <x v="78"/>
  </r>
  <r>
    <x v="78"/>
  </r>
  <r>
    <x v="78"/>
  </r>
  <r>
    <x v="10"/>
  </r>
  <r>
    <x v="12"/>
  </r>
  <r>
    <x v="12"/>
  </r>
  <r>
    <x v="79"/>
  </r>
  <r>
    <x v="79"/>
  </r>
  <r>
    <x v="10"/>
  </r>
  <r>
    <x v="10"/>
  </r>
  <r>
    <x v="87"/>
  </r>
  <r>
    <x v="14"/>
  </r>
  <r>
    <x v="1"/>
  </r>
  <r>
    <x v="42"/>
  </r>
  <r>
    <x v="4"/>
  </r>
  <r>
    <x v="240"/>
  </r>
  <r>
    <x v="4"/>
  </r>
  <r>
    <x v="4"/>
  </r>
  <r>
    <x v="53"/>
  </r>
  <r>
    <x v="4"/>
  </r>
  <r>
    <x v="4"/>
  </r>
  <r>
    <x v="14"/>
  </r>
  <r>
    <x v="2"/>
  </r>
  <r>
    <x v="2"/>
  </r>
  <r>
    <x v="2"/>
  </r>
  <r>
    <x v="2"/>
  </r>
  <r>
    <x v="4"/>
  </r>
  <r>
    <x v="4"/>
  </r>
  <r>
    <x v="4"/>
  </r>
  <r>
    <x v="4"/>
  </r>
  <r>
    <x v="4"/>
  </r>
  <r>
    <x v="4"/>
  </r>
  <r>
    <x v="4"/>
  </r>
  <r>
    <x v="41"/>
  </r>
  <r>
    <x v="155"/>
  </r>
  <r>
    <x v="37"/>
  </r>
  <r>
    <x v="138"/>
  </r>
  <r>
    <x v="50"/>
  </r>
  <r>
    <x v="19"/>
  </r>
  <r>
    <x v="10"/>
  </r>
  <r>
    <x v="10"/>
  </r>
  <r>
    <x v="10"/>
  </r>
  <r>
    <x v="10"/>
  </r>
  <r>
    <x v="10"/>
  </r>
  <r>
    <x v="9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2"/>
  </r>
  <r>
    <x v="72"/>
  </r>
  <r>
    <x v="0"/>
  </r>
  <r>
    <x v="14"/>
  </r>
  <r>
    <x v="36"/>
  </r>
  <r>
    <x v="4"/>
  </r>
  <r>
    <x v="4"/>
  </r>
  <r>
    <x v="77"/>
  </r>
  <r>
    <x v="12"/>
  </r>
  <r>
    <x v="29"/>
  </r>
  <r>
    <x v="77"/>
  </r>
  <r>
    <x v="77"/>
  </r>
  <r>
    <x v="77"/>
  </r>
  <r>
    <x v="0"/>
  </r>
  <r>
    <x v="10"/>
  </r>
  <r>
    <x v="10"/>
  </r>
  <r>
    <x v="72"/>
  </r>
  <r>
    <x v="0"/>
  </r>
  <r>
    <x v="0"/>
  </r>
  <r>
    <x v="0"/>
  </r>
  <r>
    <x v="0"/>
  </r>
  <r>
    <x v="16"/>
  </r>
  <r>
    <x v="16"/>
  </r>
  <r>
    <x v="14"/>
  </r>
  <r>
    <x v="14"/>
  </r>
  <r>
    <x v="16"/>
  </r>
  <r>
    <x v="0"/>
  </r>
  <r>
    <x v="115"/>
  </r>
  <r>
    <x v="11"/>
  </r>
  <r>
    <x v="12"/>
  </r>
  <r>
    <x v="68"/>
  </r>
  <r>
    <x v="80"/>
  </r>
  <r>
    <x v="154"/>
  </r>
  <r>
    <x v="12"/>
  </r>
  <r>
    <x v="12"/>
  </r>
  <r>
    <x v="12"/>
  </r>
  <r>
    <x v="45"/>
  </r>
  <r>
    <x v="14"/>
  </r>
  <r>
    <x v="0"/>
  </r>
  <r>
    <x v="19"/>
  </r>
  <r>
    <x v="45"/>
  </r>
  <r>
    <x v="28"/>
  </r>
  <r>
    <x v="10"/>
  </r>
  <r>
    <x v="19"/>
  </r>
  <r>
    <x v="14"/>
  </r>
  <r>
    <x v="28"/>
  </r>
  <r>
    <x v="28"/>
  </r>
  <r>
    <x v="104"/>
  </r>
  <r>
    <x v="28"/>
  </r>
  <r>
    <x v="10"/>
  </r>
  <r>
    <x v="42"/>
  </r>
  <r>
    <x v="28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12"/>
  </r>
  <r>
    <x v="0"/>
  </r>
  <r>
    <x v="0"/>
  </r>
  <r>
    <x v="9"/>
  </r>
  <r>
    <x v="9"/>
  </r>
  <r>
    <x v="56"/>
  </r>
  <r>
    <x v="56"/>
  </r>
  <r>
    <x v="56"/>
  </r>
  <r>
    <x v="56"/>
  </r>
  <r>
    <x v="56"/>
  </r>
  <r>
    <x v="7"/>
  </r>
  <r>
    <x v="56"/>
  </r>
  <r>
    <x v="56"/>
  </r>
  <r>
    <x v="79"/>
  </r>
  <r>
    <x v="79"/>
  </r>
  <r>
    <x v="79"/>
  </r>
  <r>
    <x v="79"/>
  </r>
  <r>
    <x v="79"/>
  </r>
  <r>
    <x v="79"/>
  </r>
  <r>
    <x v="79"/>
  </r>
  <r>
    <x v="79"/>
  </r>
  <r>
    <x v="52"/>
  </r>
  <r>
    <x v="0"/>
  </r>
  <r>
    <x v="0"/>
  </r>
  <r>
    <x v="0"/>
  </r>
  <r>
    <x v="79"/>
  </r>
  <r>
    <x v="0"/>
  </r>
  <r>
    <x v="14"/>
  </r>
  <r>
    <x v="79"/>
  </r>
  <r>
    <x v="79"/>
  </r>
  <r>
    <x v="22"/>
  </r>
  <r>
    <x v="56"/>
  </r>
  <r>
    <x v="22"/>
  </r>
  <r>
    <x v="71"/>
  </r>
  <r>
    <x v="10"/>
  </r>
  <r>
    <x v="10"/>
  </r>
  <r>
    <x v="9"/>
  </r>
  <r>
    <x v="78"/>
  </r>
  <r>
    <x v="6"/>
  </r>
  <r>
    <x v="86"/>
  </r>
  <r>
    <x v="9"/>
  </r>
  <r>
    <x v="36"/>
  </r>
  <r>
    <x v="36"/>
  </r>
  <r>
    <x v="12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36"/>
  </r>
  <r>
    <x v="36"/>
  </r>
  <r>
    <x v="36"/>
  </r>
  <r>
    <x v="12"/>
  </r>
  <r>
    <x v="12"/>
  </r>
  <r>
    <x v="36"/>
  </r>
  <r>
    <x v="12"/>
  </r>
  <r>
    <x v="12"/>
  </r>
  <r>
    <x v="12"/>
  </r>
  <r>
    <x v="10"/>
  </r>
  <r>
    <x v="10"/>
  </r>
  <r>
    <x v="77"/>
  </r>
  <r>
    <x v="138"/>
  </r>
  <r>
    <x v="10"/>
  </r>
  <r>
    <x v="9"/>
  </r>
  <r>
    <x v="10"/>
  </r>
  <r>
    <x v="10"/>
  </r>
  <r>
    <x v="34"/>
  </r>
  <r>
    <x v="165"/>
  </r>
  <r>
    <x v="165"/>
  </r>
  <r>
    <x v="165"/>
  </r>
  <r>
    <x v="165"/>
  </r>
  <r>
    <x v="42"/>
  </r>
  <r>
    <x v="0"/>
  </r>
  <r>
    <x v="0"/>
  </r>
  <r>
    <x v="0"/>
  </r>
  <r>
    <x v="0"/>
  </r>
  <r>
    <x v="16"/>
  </r>
  <r>
    <x v="126"/>
  </r>
  <r>
    <x v="126"/>
  </r>
  <r>
    <x v="10"/>
  </r>
  <r>
    <x v="12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2"/>
  </r>
  <r>
    <x v="12"/>
  </r>
  <r>
    <x v="12"/>
  </r>
  <r>
    <x v="10"/>
  </r>
  <r>
    <x v="12"/>
  </r>
  <r>
    <x v="12"/>
  </r>
  <r>
    <x v="12"/>
  </r>
  <r>
    <x v="4"/>
  </r>
  <r>
    <x v="10"/>
  </r>
  <r>
    <x v="10"/>
  </r>
  <r>
    <x v="10"/>
  </r>
  <r>
    <x v="10"/>
  </r>
  <r>
    <x v="10"/>
  </r>
  <r>
    <x v="10"/>
  </r>
  <r>
    <x v="10"/>
  </r>
  <r>
    <x v="1"/>
  </r>
  <r>
    <x v="6"/>
  </r>
  <r>
    <x v="12"/>
  </r>
  <r>
    <x v="1"/>
  </r>
  <r>
    <x v="6"/>
  </r>
  <r>
    <x v="162"/>
  </r>
  <r>
    <x v="57"/>
  </r>
  <r>
    <x v="10"/>
  </r>
  <r>
    <x v="0"/>
  </r>
  <r>
    <x v="72"/>
  </r>
  <r>
    <x v="10"/>
  </r>
  <r>
    <x v="12"/>
  </r>
  <r>
    <x v="12"/>
  </r>
  <r>
    <x v="12"/>
  </r>
  <r>
    <x v="12"/>
  </r>
  <r>
    <x v="4"/>
  </r>
  <r>
    <x v="12"/>
  </r>
  <r>
    <x v="22"/>
  </r>
  <r>
    <x v="12"/>
  </r>
  <r>
    <x v="16"/>
  </r>
  <r>
    <x v="56"/>
  </r>
  <r>
    <x v="56"/>
  </r>
  <r>
    <x v="53"/>
  </r>
  <r>
    <x v="12"/>
  </r>
  <r>
    <x v="12"/>
  </r>
  <r>
    <x v="123"/>
  </r>
  <r>
    <x v="123"/>
  </r>
  <r>
    <x v="115"/>
  </r>
  <r>
    <x v="57"/>
  </r>
  <r>
    <x v="57"/>
  </r>
  <r>
    <x v="57"/>
  </r>
  <r>
    <x v="57"/>
  </r>
  <r>
    <x v="9"/>
  </r>
  <r>
    <x v="4"/>
  </r>
  <r>
    <x v="79"/>
  </r>
  <r>
    <x v="10"/>
  </r>
  <r>
    <x v="10"/>
  </r>
  <r>
    <x v="10"/>
  </r>
  <r>
    <x v="4"/>
  </r>
  <r>
    <x v="16"/>
  </r>
  <r>
    <x v="48"/>
  </r>
  <r>
    <x v="126"/>
  </r>
  <r>
    <x v="10"/>
  </r>
  <r>
    <x v="4"/>
  </r>
  <r>
    <x v="22"/>
  </r>
  <r>
    <x v="175"/>
  </r>
  <r>
    <x v="4"/>
  </r>
  <r>
    <x v="10"/>
  </r>
  <r>
    <x v="10"/>
  </r>
  <r>
    <x v="12"/>
  </r>
  <r>
    <x v="36"/>
  </r>
  <r>
    <x v="36"/>
  </r>
  <r>
    <x v="36"/>
  </r>
  <r>
    <x v="10"/>
  </r>
  <r>
    <x v="10"/>
  </r>
  <r>
    <x v="10"/>
  </r>
  <r>
    <x v="10"/>
  </r>
  <r>
    <x v="10"/>
  </r>
  <r>
    <x v="10"/>
  </r>
  <r>
    <x v="14"/>
  </r>
  <r>
    <x v="14"/>
  </r>
  <r>
    <x v="10"/>
  </r>
  <r>
    <x v="123"/>
  </r>
  <r>
    <x v="123"/>
  </r>
  <r>
    <x v="10"/>
  </r>
  <r>
    <x v="10"/>
  </r>
  <r>
    <x v="14"/>
  </r>
  <r>
    <x v="1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36"/>
  </r>
  <r>
    <x v="12"/>
  </r>
  <r>
    <x v="77"/>
  </r>
  <r>
    <x v="123"/>
  </r>
  <r>
    <x v="36"/>
  </r>
  <r>
    <x v="79"/>
  </r>
  <r>
    <x v="42"/>
  </r>
  <r>
    <x v="0"/>
  </r>
  <r>
    <x v="0"/>
  </r>
  <r>
    <x v="12"/>
  </r>
  <r>
    <x v="115"/>
  </r>
  <r>
    <x v="12"/>
  </r>
  <r>
    <x v="1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9"/>
  </r>
  <r>
    <x v="0"/>
  </r>
  <r>
    <x v="0"/>
  </r>
  <r>
    <x v="0"/>
  </r>
  <r>
    <x v="0"/>
  </r>
  <r>
    <x v="0"/>
  </r>
  <r>
    <x v="0"/>
  </r>
  <r>
    <x v="12"/>
  </r>
  <r>
    <x v="4"/>
  </r>
  <r>
    <x v="4"/>
  </r>
  <r>
    <x v="4"/>
  </r>
  <r>
    <x v="149"/>
  </r>
  <r>
    <x v="149"/>
  </r>
  <r>
    <x v="154"/>
  </r>
  <r>
    <x v="174"/>
  </r>
  <r>
    <x v="4"/>
  </r>
  <r>
    <x v="96"/>
  </r>
  <r>
    <x v="96"/>
  </r>
  <r>
    <x v="96"/>
  </r>
  <r>
    <x v="7"/>
  </r>
  <r>
    <x v="7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8"/>
  </r>
  <r>
    <x v="10"/>
  </r>
  <r>
    <x v="42"/>
  </r>
  <r>
    <x v="10"/>
  </r>
  <r>
    <x v="16"/>
  </r>
  <r>
    <x v="138"/>
  </r>
  <r>
    <x v="130"/>
  </r>
  <r>
    <x v="25"/>
  </r>
  <r>
    <x v="28"/>
  </r>
  <r>
    <x v="71"/>
  </r>
  <r>
    <x v="14"/>
  </r>
  <r>
    <x v="14"/>
  </r>
  <r>
    <x v="14"/>
  </r>
  <r>
    <x v="14"/>
  </r>
  <r>
    <x v="14"/>
  </r>
  <r>
    <x v="14"/>
  </r>
  <r>
    <x v="14"/>
  </r>
  <r>
    <x v="21"/>
  </r>
  <r>
    <x v="86"/>
  </r>
  <r>
    <x v="51"/>
  </r>
  <r>
    <x v="51"/>
  </r>
  <r>
    <x v="51"/>
  </r>
  <r>
    <x v="86"/>
  </r>
  <r>
    <x v="51"/>
  </r>
  <r>
    <x v="51"/>
  </r>
  <r>
    <x v="86"/>
  </r>
  <r>
    <x v="51"/>
  </r>
  <r>
    <x v="51"/>
  </r>
  <r>
    <x v="51"/>
  </r>
  <r>
    <x v="86"/>
  </r>
  <r>
    <x v="51"/>
  </r>
  <r>
    <x v="51"/>
  </r>
  <r>
    <x v="51"/>
  </r>
  <r>
    <x v="51"/>
  </r>
  <r>
    <x v="51"/>
  </r>
  <r>
    <x v="51"/>
  </r>
  <r>
    <x v="16"/>
  </r>
  <r>
    <x v="130"/>
  </r>
  <r>
    <x v="10"/>
  </r>
  <r>
    <x v="188"/>
  </r>
  <r>
    <x v="188"/>
  </r>
  <r>
    <x v="188"/>
  </r>
  <r>
    <x v="161"/>
  </r>
  <r>
    <x v="12"/>
  </r>
  <r>
    <x v="12"/>
  </r>
  <r>
    <x v="42"/>
  </r>
  <r>
    <x v="25"/>
  </r>
  <r>
    <x v="14"/>
  </r>
  <r>
    <x v="42"/>
  </r>
  <r>
    <x v="42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4"/>
  </r>
  <r>
    <x v="87"/>
  </r>
  <r>
    <x v="130"/>
  </r>
  <r>
    <x v="16"/>
  </r>
  <r>
    <x v="40"/>
  </r>
  <r>
    <x v="40"/>
  </r>
  <r>
    <x v="4"/>
  </r>
  <r>
    <x v="10"/>
  </r>
  <r>
    <x v="12"/>
  </r>
  <r>
    <x v="12"/>
  </r>
  <r>
    <x v="72"/>
  </r>
  <r>
    <x v="72"/>
  </r>
  <r>
    <x v="12"/>
  </r>
  <r>
    <x v="12"/>
  </r>
  <r>
    <x v="12"/>
  </r>
  <r>
    <x v="12"/>
  </r>
  <r>
    <x v="35"/>
  </r>
  <r>
    <x v="12"/>
  </r>
  <r>
    <x v="12"/>
  </r>
  <r>
    <x v="12"/>
  </r>
  <r>
    <x v="12"/>
  </r>
  <r>
    <x v="12"/>
  </r>
  <r>
    <x v="16"/>
  </r>
  <r>
    <x v="55"/>
  </r>
  <r>
    <x v="77"/>
  </r>
  <r>
    <x v="12"/>
  </r>
  <r>
    <x v="12"/>
  </r>
  <r>
    <x v="22"/>
  </r>
  <r>
    <x v="51"/>
  </r>
  <r>
    <x v="45"/>
  </r>
  <r>
    <x v="45"/>
  </r>
  <r>
    <x v="51"/>
  </r>
  <r>
    <x v="45"/>
  </r>
  <r>
    <x v="51"/>
  </r>
  <r>
    <x v="115"/>
  </r>
  <r>
    <x v="51"/>
  </r>
  <r>
    <x v="51"/>
  </r>
  <r>
    <x v="10"/>
  </r>
  <r>
    <x v="12"/>
  </r>
  <r>
    <x v="12"/>
  </r>
  <r>
    <x v="4"/>
  </r>
  <r>
    <x v="6"/>
  </r>
  <r>
    <x v="12"/>
  </r>
  <r>
    <x v="132"/>
  </r>
  <r>
    <x v="15"/>
  </r>
  <r>
    <x v="15"/>
  </r>
  <r>
    <x v="87"/>
  </r>
  <r>
    <x v="19"/>
  </r>
  <r>
    <x v="24"/>
  </r>
  <r>
    <x v="24"/>
  </r>
  <r>
    <x v="10"/>
  </r>
  <r>
    <x v="41"/>
  </r>
  <r>
    <x v="86"/>
  </r>
  <r>
    <x v="86"/>
  </r>
  <r>
    <x v="86"/>
  </r>
  <r>
    <x v="86"/>
  </r>
  <r>
    <x v="86"/>
  </r>
  <r>
    <x v="71"/>
  </r>
  <r>
    <x v="8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12"/>
  </r>
  <r>
    <x v="12"/>
  </r>
  <r>
    <x v="7"/>
  </r>
  <r>
    <x v="7"/>
  </r>
  <r>
    <x v="7"/>
  </r>
  <r>
    <x v="7"/>
  </r>
  <r>
    <x v="4"/>
  </r>
  <r>
    <x v="7"/>
  </r>
  <r>
    <x v="4"/>
  </r>
  <r>
    <x v="4"/>
  </r>
  <r>
    <x v="141"/>
  </r>
  <r>
    <x v="141"/>
  </r>
  <r>
    <x v="163"/>
  </r>
  <r>
    <x v="162"/>
  </r>
  <r>
    <x v="1"/>
  </r>
  <r>
    <x v="56"/>
  </r>
  <r>
    <x v="1"/>
  </r>
  <r>
    <x v="24"/>
  </r>
  <r>
    <x v="24"/>
  </r>
  <r>
    <x v="24"/>
  </r>
  <r>
    <x v="115"/>
  </r>
  <r>
    <x v="123"/>
  </r>
  <r>
    <x v="110"/>
  </r>
  <r>
    <x v="1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0"/>
  </r>
  <r>
    <x v="4"/>
  </r>
  <r>
    <x v="4"/>
  </r>
  <r>
    <x v="19"/>
  </r>
  <r>
    <x v="42"/>
  </r>
  <r>
    <x v="85"/>
  </r>
  <r>
    <x v="1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87"/>
  </r>
  <r>
    <x v="42"/>
  </r>
  <r>
    <x v="42"/>
  </r>
  <r>
    <x v="10"/>
  </r>
  <r>
    <x v="89"/>
  </r>
  <r>
    <x v="78"/>
  </r>
  <r>
    <x v="42"/>
  </r>
  <r>
    <x v="42"/>
  </r>
  <r>
    <x v="42"/>
  </r>
  <r>
    <x v="42"/>
  </r>
  <r>
    <x v="42"/>
  </r>
  <r>
    <x v="42"/>
  </r>
  <r>
    <x v="28"/>
  </r>
  <r>
    <x v="15"/>
  </r>
  <r>
    <x v="102"/>
  </r>
  <r>
    <x v="86"/>
  </r>
  <r>
    <x v="86"/>
  </r>
  <r>
    <x v="86"/>
  </r>
  <r>
    <x v="15"/>
  </r>
  <r>
    <x v="72"/>
  </r>
  <r>
    <x v="4"/>
  </r>
  <r>
    <x v="4"/>
  </r>
  <r>
    <x v="10"/>
  </r>
  <r>
    <x v="4"/>
  </r>
  <r>
    <x v="4"/>
  </r>
  <r>
    <x v="4"/>
  </r>
  <r>
    <x v="4"/>
  </r>
  <r>
    <x v="4"/>
  </r>
  <r>
    <x v="115"/>
  </r>
  <r>
    <x v="11"/>
  </r>
  <r>
    <x v="78"/>
  </r>
  <r>
    <x v="78"/>
  </r>
  <r>
    <x v="78"/>
  </r>
  <r>
    <x v="78"/>
  </r>
  <r>
    <x v="78"/>
  </r>
  <r>
    <x v="12"/>
  </r>
  <r>
    <x v="78"/>
  </r>
  <r>
    <x v="78"/>
  </r>
  <r>
    <x v="78"/>
  </r>
  <r>
    <x v="87"/>
  </r>
  <r>
    <x v="87"/>
  </r>
  <r>
    <x v="87"/>
  </r>
  <r>
    <x v="78"/>
  </r>
  <r>
    <x v="78"/>
  </r>
  <r>
    <x v="78"/>
  </r>
  <r>
    <x v="78"/>
  </r>
  <r>
    <x v="78"/>
  </r>
  <r>
    <x v="26"/>
  </r>
  <r>
    <x v="78"/>
  </r>
  <r>
    <x v="78"/>
  </r>
  <r>
    <x v="78"/>
  </r>
  <r>
    <x v="78"/>
  </r>
  <r>
    <x v="78"/>
  </r>
  <r>
    <x v="78"/>
  </r>
  <r>
    <x v="36"/>
  </r>
  <r>
    <x v="2"/>
  </r>
  <r>
    <x v="78"/>
  </r>
  <r>
    <x v="10"/>
  </r>
  <r>
    <x v="14"/>
  </r>
  <r>
    <x v="130"/>
  </r>
  <r>
    <x v="14"/>
  </r>
  <r>
    <x v="17"/>
  </r>
  <r>
    <x v="14"/>
  </r>
  <r>
    <x v="86"/>
  </r>
  <r>
    <x v="14"/>
  </r>
  <r>
    <x v="85"/>
  </r>
  <r>
    <x v="25"/>
  </r>
  <r>
    <x v="28"/>
  </r>
  <r>
    <x v="4"/>
  </r>
  <r>
    <x v="24"/>
  </r>
  <r>
    <x v="48"/>
  </r>
  <r>
    <x v="16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23"/>
  </r>
  <r>
    <x v="123"/>
  </r>
  <r>
    <x v="123"/>
  </r>
  <r>
    <x v="123"/>
  </r>
  <r>
    <x v="123"/>
  </r>
  <r>
    <x v="123"/>
  </r>
  <r>
    <x v="123"/>
  </r>
  <r>
    <x v="123"/>
  </r>
  <r>
    <x v="138"/>
  </r>
  <r>
    <x v="4"/>
  </r>
  <r>
    <x v="4"/>
  </r>
  <r>
    <x v="130"/>
  </r>
  <r>
    <x v="138"/>
  </r>
  <r>
    <x v="138"/>
  </r>
  <r>
    <x v="138"/>
  </r>
  <r>
    <x v="138"/>
  </r>
  <r>
    <x v="138"/>
  </r>
  <r>
    <x v="4"/>
  </r>
  <r>
    <x v="4"/>
  </r>
  <r>
    <x v="4"/>
  </r>
  <r>
    <x v="32"/>
  </r>
  <r>
    <x v="64"/>
  </r>
  <r>
    <x v="152"/>
  </r>
  <r>
    <x v="6"/>
  </r>
  <r>
    <x v="123"/>
  </r>
  <r>
    <x v="36"/>
  </r>
  <r>
    <x v="28"/>
  </r>
  <r>
    <x v="77"/>
  </r>
  <r>
    <x v="9"/>
  </r>
  <r>
    <x v="16"/>
  </r>
  <r>
    <x v="16"/>
  </r>
  <r>
    <x v="10"/>
  </r>
  <r>
    <x v="33"/>
  </r>
  <r>
    <x v="10"/>
  </r>
  <r>
    <x v="10"/>
  </r>
  <r>
    <x v="31"/>
  </r>
  <r>
    <x v="31"/>
  </r>
  <r>
    <x v="40"/>
  </r>
  <r>
    <x v="113"/>
  </r>
  <r>
    <x v="28"/>
  </r>
  <r>
    <x v="28"/>
  </r>
  <r>
    <x v="28"/>
  </r>
  <r>
    <x v="7"/>
  </r>
  <r>
    <x v="25"/>
  </r>
  <r>
    <x v="7"/>
  </r>
  <r>
    <x v="7"/>
  </r>
  <r>
    <x v="7"/>
  </r>
  <r>
    <x v="76"/>
  </r>
  <r>
    <x v="25"/>
  </r>
  <r>
    <x v="25"/>
  </r>
  <r>
    <x v="69"/>
  </r>
  <r>
    <x v="69"/>
  </r>
  <r>
    <x v="25"/>
  </r>
  <r>
    <x v="79"/>
  </r>
  <r>
    <x v="87"/>
  </r>
  <r>
    <x v="123"/>
  </r>
  <r>
    <x v="138"/>
  </r>
  <r>
    <x v="138"/>
  </r>
  <r>
    <x v="10"/>
  </r>
  <r>
    <x v="10"/>
  </r>
  <r>
    <x v="111"/>
  </r>
  <r>
    <x v="10"/>
  </r>
  <r>
    <x v="165"/>
  </r>
  <r>
    <x v="25"/>
  </r>
  <r>
    <x v="25"/>
  </r>
  <r>
    <x v="10"/>
  </r>
  <r>
    <x v="4"/>
  </r>
  <r>
    <x v="4"/>
  </r>
  <r>
    <x v="4"/>
  </r>
  <r>
    <x v="10"/>
  </r>
  <r>
    <x v="10"/>
  </r>
  <r>
    <x v="4"/>
  </r>
  <r>
    <x v="4"/>
  </r>
  <r>
    <x v="4"/>
  </r>
  <r>
    <x v="10"/>
  </r>
  <r>
    <x v="4"/>
  </r>
  <r>
    <x v="10"/>
  </r>
  <r>
    <x v="4"/>
  </r>
  <r>
    <x v="4"/>
  </r>
  <r>
    <x v="10"/>
  </r>
  <r>
    <x v="0"/>
  </r>
  <r>
    <x v="55"/>
  </r>
  <r>
    <x v="0"/>
  </r>
  <r>
    <x v="10"/>
  </r>
  <r>
    <x v="4"/>
  </r>
  <r>
    <x v="42"/>
  </r>
  <r>
    <x v="10"/>
  </r>
  <r>
    <x v="76"/>
  </r>
  <r>
    <x v="25"/>
  </r>
  <r>
    <x v="10"/>
  </r>
  <r>
    <x v="115"/>
  </r>
  <r>
    <x v="152"/>
  </r>
  <r>
    <x v="68"/>
  </r>
  <r>
    <x v="10"/>
  </r>
  <r>
    <x v="10"/>
  </r>
  <r>
    <x v="10"/>
  </r>
  <r>
    <x v="122"/>
  </r>
  <r>
    <x v="204"/>
  </r>
  <r>
    <x v="75"/>
  </r>
  <r>
    <x v="75"/>
  </r>
  <r>
    <x v="45"/>
  </r>
  <r>
    <x v="45"/>
  </r>
  <r>
    <x v="45"/>
  </r>
  <r>
    <x v="45"/>
  </r>
  <r>
    <x v="16"/>
  </r>
  <r>
    <x v="266"/>
  </r>
  <r>
    <x v="64"/>
  </r>
  <r>
    <x v="42"/>
  </r>
  <r>
    <x v="7"/>
  </r>
  <r>
    <x v="2"/>
  </r>
  <r>
    <x v="42"/>
  </r>
  <r>
    <x v="0"/>
  </r>
  <r>
    <x v="0"/>
  </r>
  <r>
    <x v="0"/>
  </r>
  <r>
    <x v="0"/>
  </r>
  <r>
    <x v="0"/>
  </r>
  <r>
    <x v="0"/>
  </r>
  <r>
    <x v="31"/>
  </r>
  <r>
    <x v="31"/>
  </r>
  <r>
    <x v="10"/>
  </r>
  <r>
    <x v="10"/>
  </r>
  <r>
    <x v="33"/>
  </r>
  <r>
    <x v="33"/>
  </r>
  <r>
    <x v="31"/>
  </r>
  <r>
    <x v="8"/>
  </r>
  <r>
    <x v="40"/>
  </r>
  <r>
    <x v="28"/>
  </r>
  <r>
    <x v="14"/>
  </r>
  <r>
    <x v="12"/>
  </r>
  <r>
    <x v="33"/>
  </r>
  <r>
    <x v="12"/>
  </r>
  <r>
    <x v="10"/>
  </r>
  <r>
    <x v="10"/>
  </r>
  <r>
    <x v="36"/>
  </r>
  <r>
    <x v="36"/>
  </r>
  <r>
    <x v="12"/>
  </r>
  <r>
    <x v="80"/>
  </r>
  <r>
    <x v="165"/>
  </r>
  <r>
    <x v="165"/>
  </r>
  <r>
    <x v="87"/>
  </r>
  <r>
    <x v="87"/>
  </r>
  <r>
    <x v="10"/>
  </r>
  <r>
    <x v="10"/>
  </r>
  <r>
    <x v="42"/>
  </r>
  <r>
    <x v="71"/>
  </r>
  <r>
    <x v="10"/>
  </r>
  <r>
    <x v="1"/>
  </r>
  <r>
    <x v="1"/>
  </r>
  <r>
    <x v="111"/>
  </r>
  <r>
    <x v="14"/>
  </r>
  <r>
    <x v="10"/>
  </r>
  <r>
    <x v="10"/>
  </r>
  <r>
    <x v="10"/>
  </r>
  <r>
    <x v="10"/>
  </r>
  <r>
    <x v="48"/>
  </r>
  <r>
    <x v="12"/>
  </r>
  <r>
    <x v="12"/>
  </r>
  <r>
    <x v="100"/>
  </r>
  <r>
    <x v="1"/>
  </r>
  <r>
    <x v="77"/>
  </r>
  <r>
    <x v="31"/>
  </r>
  <r>
    <x v="139"/>
  </r>
  <r>
    <x v="16"/>
  </r>
  <r>
    <x v="16"/>
  </r>
  <r>
    <x v="10"/>
  </r>
  <r>
    <x v="10"/>
  </r>
  <r>
    <x v="0"/>
  </r>
  <r>
    <x v="0"/>
  </r>
  <r>
    <x v="0"/>
  </r>
  <r>
    <x v="0"/>
  </r>
  <r>
    <x v="0"/>
  </r>
  <r>
    <x v="12"/>
  </r>
  <r>
    <x v="48"/>
  </r>
  <r>
    <x v="37"/>
  </r>
  <r>
    <x v="0"/>
  </r>
  <r>
    <x v="9"/>
  </r>
  <r>
    <x v="10"/>
  </r>
  <r>
    <x v="10"/>
  </r>
  <r>
    <x v="42"/>
  </r>
  <r>
    <x v="11"/>
  </r>
  <r>
    <x v="11"/>
  </r>
  <r>
    <x v="28"/>
  </r>
  <r>
    <x v="28"/>
  </r>
  <r>
    <x v="28"/>
  </r>
  <r>
    <x v="12"/>
  </r>
  <r>
    <x v="10"/>
  </r>
  <r>
    <x v="10"/>
  </r>
  <r>
    <x v="10"/>
  </r>
  <r>
    <x v="4"/>
  </r>
  <r>
    <x v="2"/>
  </r>
  <r>
    <x v="4"/>
  </r>
  <r>
    <x v="4"/>
  </r>
  <r>
    <x v="4"/>
  </r>
  <r>
    <x v="12"/>
  </r>
  <r>
    <x v="123"/>
  </r>
  <r>
    <x v="123"/>
  </r>
  <r>
    <x v="10"/>
  </r>
  <r>
    <x v="138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23"/>
  </r>
  <r>
    <x v="10"/>
  </r>
  <r>
    <x v="10"/>
  </r>
  <r>
    <x v="14"/>
  </r>
  <r>
    <x v="10"/>
  </r>
  <r>
    <x v="10"/>
  </r>
  <r>
    <x v="71"/>
  </r>
  <r>
    <x v="10"/>
  </r>
  <r>
    <x v="10"/>
  </r>
  <r>
    <x v="10"/>
  </r>
  <r>
    <x v="42"/>
  </r>
  <r>
    <x v="10"/>
  </r>
  <r>
    <x v="10"/>
  </r>
  <r>
    <x v="10"/>
  </r>
  <r>
    <x v="4"/>
  </r>
  <r>
    <x v="165"/>
  </r>
  <r>
    <x v="10"/>
  </r>
  <r>
    <x v="20"/>
  </r>
  <r>
    <x v="7"/>
  </r>
  <r>
    <x v="10"/>
  </r>
  <r>
    <x v="4"/>
  </r>
  <r>
    <x v="165"/>
  </r>
  <r>
    <x v="165"/>
  </r>
  <r>
    <x v="4"/>
  </r>
  <r>
    <x v="4"/>
  </r>
  <r>
    <x v="4"/>
  </r>
  <r>
    <x v="12"/>
  </r>
  <r>
    <x v="4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123"/>
  </r>
  <r>
    <x v="87"/>
  </r>
  <r>
    <x v="4"/>
  </r>
  <r>
    <x v="50"/>
  </r>
  <r>
    <x v="4"/>
  </r>
  <r>
    <x v="4"/>
  </r>
  <r>
    <x v="50"/>
  </r>
  <r>
    <x v="130"/>
  </r>
  <r>
    <x v="4"/>
  </r>
  <r>
    <x v="28"/>
  </r>
  <r>
    <x v="28"/>
  </r>
  <r>
    <x v="28"/>
  </r>
  <r>
    <x v="28"/>
  </r>
  <r>
    <x v="28"/>
  </r>
  <r>
    <x v="10"/>
  </r>
  <r>
    <x v="10"/>
  </r>
  <r>
    <x v="4"/>
  </r>
  <r>
    <x v="10"/>
  </r>
  <r>
    <x v="10"/>
  </r>
  <r>
    <x v="10"/>
  </r>
  <r>
    <x v="4"/>
  </r>
  <r>
    <x v="10"/>
  </r>
  <r>
    <x v="4"/>
  </r>
  <r>
    <x v="25"/>
  </r>
  <r>
    <x v="42"/>
  </r>
  <r>
    <x v="165"/>
  </r>
  <r>
    <x v="42"/>
  </r>
  <r>
    <x v="42"/>
  </r>
  <r>
    <x v="44"/>
  </r>
  <r>
    <x v="42"/>
  </r>
  <r>
    <x v="4"/>
  </r>
  <r>
    <x v="42"/>
  </r>
  <r>
    <x v="4"/>
  </r>
  <r>
    <x v="10"/>
  </r>
  <r>
    <x v="10"/>
  </r>
  <r>
    <x v="165"/>
  </r>
  <r>
    <x v="10"/>
  </r>
  <r>
    <x v="10"/>
  </r>
  <r>
    <x v="10"/>
  </r>
  <r>
    <x v="10"/>
  </r>
  <r>
    <x v="7"/>
  </r>
  <r>
    <x v="10"/>
  </r>
  <r>
    <x v="7"/>
  </r>
  <r>
    <x v="10"/>
  </r>
  <r>
    <x v="87"/>
  </r>
  <r>
    <x v="25"/>
  </r>
  <r>
    <x v="10"/>
  </r>
  <r>
    <x v="152"/>
  </r>
  <r>
    <x v="10"/>
  </r>
  <r>
    <x v="23"/>
  </r>
  <r>
    <x v="42"/>
  </r>
  <r>
    <x v="42"/>
  </r>
  <r>
    <x v="0"/>
  </r>
  <r>
    <x v="123"/>
  </r>
  <r>
    <x v="123"/>
  </r>
  <r>
    <x v="14"/>
  </r>
  <r>
    <x v="63"/>
  </r>
  <r>
    <x v="63"/>
  </r>
  <r>
    <x v="63"/>
  </r>
  <r>
    <x v="14"/>
  </r>
  <r>
    <x v="10"/>
  </r>
  <r>
    <x v="85"/>
  </r>
  <r>
    <x v="8"/>
  </r>
  <r>
    <x v="8"/>
  </r>
  <r>
    <x v="8"/>
  </r>
  <r>
    <x v="8"/>
  </r>
  <r>
    <x v="0"/>
  </r>
  <r>
    <x v="10"/>
  </r>
  <r>
    <x v="0"/>
  </r>
  <r>
    <x v="71"/>
  </r>
  <r>
    <x v="115"/>
  </r>
  <r>
    <x v="141"/>
  </r>
  <r>
    <x v="141"/>
  </r>
  <r>
    <x v="141"/>
  </r>
  <r>
    <x v="141"/>
  </r>
  <r>
    <x v="144"/>
  </r>
  <r>
    <x v="87"/>
  </r>
  <r>
    <x v="131"/>
  </r>
  <r>
    <x v="36"/>
  </r>
  <r>
    <x v="131"/>
  </r>
  <r>
    <x v="14"/>
  </r>
  <r>
    <x v="123"/>
  </r>
  <r>
    <x v="16"/>
  </r>
  <r>
    <x v="123"/>
  </r>
  <r>
    <x v="36"/>
  </r>
  <r>
    <x v="12"/>
  </r>
  <r>
    <x v="17"/>
  </r>
  <r>
    <x v="25"/>
  </r>
  <r>
    <x v="87"/>
  </r>
  <r>
    <x v="87"/>
  </r>
  <r>
    <x v="87"/>
  </r>
  <r>
    <x v="79"/>
  </r>
  <r>
    <x v="79"/>
  </r>
  <r>
    <x v="79"/>
  </r>
  <r>
    <x v="79"/>
  </r>
  <r>
    <x v="79"/>
  </r>
  <r>
    <x v="175"/>
  </r>
  <r>
    <x v="175"/>
  </r>
  <r>
    <x v="175"/>
  </r>
  <r>
    <x v="6"/>
  </r>
  <r>
    <x v="126"/>
  </r>
  <r>
    <x v="7"/>
  </r>
  <r>
    <x v="7"/>
  </r>
  <r>
    <x v="7"/>
  </r>
  <r>
    <x v="7"/>
  </r>
  <r>
    <x v="81"/>
  </r>
  <r>
    <x v="86"/>
  </r>
  <r>
    <x v="4"/>
  </r>
  <r>
    <x v="4"/>
  </r>
  <r>
    <x v="183"/>
  </r>
  <r>
    <x v="4"/>
  </r>
  <r>
    <x v="4"/>
  </r>
  <r>
    <x v="183"/>
  </r>
  <r>
    <x v="7"/>
  </r>
  <r>
    <x v="25"/>
  </r>
  <r>
    <x v="138"/>
  </r>
  <r>
    <x v="138"/>
  </r>
  <r>
    <x v="138"/>
  </r>
  <r>
    <x v="115"/>
  </r>
  <r>
    <x v="45"/>
  </r>
  <r>
    <x v="12"/>
  </r>
  <r>
    <x v="45"/>
  </r>
  <r>
    <x v="10"/>
  </r>
  <r>
    <x v="10"/>
  </r>
  <r>
    <x v="10"/>
  </r>
  <r>
    <x v="10"/>
  </r>
  <r>
    <x v="10"/>
  </r>
  <r>
    <x v="42"/>
  </r>
  <r>
    <x v="42"/>
  </r>
  <r>
    <x v="42"/>
  </r>
  <r>
    <x v="42"/>
  </r>
  <r>
    <x v="10"/>
  </r>
  <r>
    <x v="0"/>
  </r>
  <r>
    <x v="10"/>
  </r>
  <r>
    <x v="10"/>
  </r>
  <r>
    <x v="10"/>
  </r>
  <r>
    <x v="10"/>
  </r>
  <r>
    <x v="10"/>
  </r>
  <r>
    <x v="9"/>
  </r>
  <r>
    <x v="163"/>
  </r>
  <r>
    <x v="42"/>
  </r>
  <r>
    <x v="10"/>
  </r>
  <r>
    <x v="10"/>
  </r>
  <r>
    <x v="10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4"/>
  </r>
  <r>
    <x v="4"/>
  </r>
  <r>
    <x v="4"/>
  </r>
  <r>
    <x v="4"/>
  </r>
  <r>
    <x v="4"/>
  </r>
  <r>
    <x v="4"/>
  </r>
  <r>
    <x v="4"/>
  </r>
  <r>
    <x v="4"/>
  </r>
  <r>
    <x v="16"/>
  </r>
  <r>
    <x v="4"/>
  </r>
  <r>
    <x v="4"/>
  </r>
  <r>
    <x v="4"/>
  </r>
  <r>
    <x v="4"/>
  </r>
  <r>
    <x v="19"/>
  </r>
  <r>
    <x v="9"/>
  </r>
  <r>
    <x v="165"/>
  </r>
  <r>
    <x v="4"/>
  </r>
  <r>
    <x v="4"/>
  </r>
  <r>
    <x v="6"/>
  </r>
  <r>
    <x v="17"/>
  </r>
  <r>
    <x v="17"/>
  </r>
  <r>
    <x v="0"/>
  </r>
  <r>
    <x v="60"/>
  </r>
  <r>
    <x v="130"/>
  </r>
  <r>
    <x v="174"/>
  </r>
  <r>
    <x v="48"/>
  </r>
  <r>
    <x v="17"/>
  </r>
  <r>
    <x v="26"/>
  </r>
  <r>
    <x v="45"/>
  </r>
  <r>
    <x v="76"/>
  </r>
  <r>
    <x v="52"/>
  </r>
  <r>
    <x v="52"/>
  </r>
  <r>
    <x v="78"/>
  </r>
  <r>
    <x v="114"/>
  </r>
  <r>
    <x v="1"/>
  </r>
  <r>
    <x v="14"/>
  </r>
  <r>
    <x v="30"/>
  </r>
  <r>
    <x v="76"/>
  </r>
  <r>
    <x v="111"/>
  </r>
  <r>
    <x v="48"/>
  </r>
  <r>
    <x v="12"/>
  </r>
  <r>
    <x v="63"/>
  </r>
  <r>
    <x v="63"/>
  </r>
  <r>
    <x v="22"/>
  </r>
  <r>
    <x v="22"/>
  </r>
  <r>
    <x v="63"/>
  </r>
  <r>
    <x v="22"/>
  </r>
  <r>
    <x v="78"/>
  </r>
  <r>
    <x v="63"/>
  </r>
  <r>
    <x v="63"/>
  </r>
  <r>
    <x v="63"/>
  </r>
  <r>
    <x v="63"/>
  </r>
  <r>
    <x v="0"/>
  </r>
  <r>
    <x v="0"/>
  </r>
  <r>
    <x v="0"/>
  </r>
  <r>
    <x v="0"/>
  </r>
  <r>
    <x v="0"/>
  </r>
  <r>
    <x v="0"/>
  </r>
  <r>
    <x v="0"/>
  </r>
  <r>
    <x v="10"/>
  </r>
  <r>
    <x v="10"/>
  </r>
  <r>
    <x v="10"/>
  </r>
  <r>
    <x v="0"/>
  </r>
  <r>
    <x v="10"/>
  </r>
  <r>
    <x v="10"/>
  </r>
  <r>
    <x v="42"/>
  </r>
  <r>
    <x v="87"/>
  </r>
  <r>
    <x v="10"/>
  </r>
  <r>
    <x v="71"/>
  </r>
  <r>
    <x v="10"/>
  </r>
  <r>
    <x v="10"/>
  </r>
  <r>
    <x v="10"/>
  </r>
  <r>
    <x v="10"/>
  </r>
  <r>
    <x v="63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10"/>
  </r>
  <r>
    <x v="16"/>
  </r>
  <r>
    <x v="12"/>
  </r>
  <r>
    <x v="12"/>
  </r>
  <r>
    <x v="17"/>
  </r>
  <r>
    <x v="190"/>
  </r>
  <r>
    <x v="4"/>
  </r>
  <r>
    <x v="42"/>
  </r>
  <r>
    <x v="81"/>
  </r>
  <r>
    <x v="10"/>
  </r>
  <r>
    <x v="10"/>
  </r>
  <r>
    <x v="56"/>
  </r>
  <r>
    <x v="56"/>
  </r>
  <r>
    <x v="56"/>
  </r>
  <r>
    <x v="43"/>
  </r>
  <r>
    <x v="0"/>
  </r>
  <r>
    <x v="0"/>
  </r>
  <r>
    <x v="0"/>
  </r>
  <r>
    <x v="30"/>
  </r>
  <r>
    <x v="111"/>
  </r>
  <r>
    <x v="0"/>
  </r>
  <r>
    <x v="50"/>
  </r>
  <r>
    <x v="36"/>
  </r>
  <r>
    <x v="71"/>
  </r>
  <r>
    <x v="56"/>
  </r>
  <r>
    <x v="56"/>
  </r>
  <r>
    <x v="123"/>
  </r>
  <r>
    <x v="175"/>
  </r>
  <r>
    <x v="10"/>
  </r>
  <r>
    <x v="12"/>
  </r>
  <r>
    <x v="12"/>
  </r>
  <r>
    <x v="12"/>
  </r>
  <r>
    <x v="64"/>
  </r>
  <r>
    <x v="12"/>
  </r>
  <r>
    <x v="12"/>
  </r>
  <r>
    <x v="12"/>
  </r>
  <r>
    <x v="100"/>
  </r>
  <r>
    <x v="12"/>
  </r>
  <r>
    <x v="25"/>
  </r>
  <r>
    <x v="12"/>
  </r>
  <r>
    <x v="12"/>
  </r>
  <r>
    <x v="8"/>
  </r>
  <r>
    <x v="42"/>
  </r>
  <r>
    <x v="0"/>
  </r>
  <r>
    <x v="0"/>
  </r>
  <r>
    <x v="0"/>
  </r>
  <r>
    <x v="0"/>
  </r>
  <r>
    <x v="0"/>
  </r>
  <r>
    <x v="14"/>
  </r>
  <r>
    <x v="10"/>
  </r>
  <r>
    <x v="45"/>
  </r>
  <r>
    <x v="6"/>
  </r>
  <r>
    <x v="10"/>
  </r>
  <r>
    <x v="10"/>
  </r>
  <r>
    <x v="10"/>
  </r>
  <r>
    <x v="10"/>
  </r>
  <r>
    <x v="10"/>
  </r>
  <r>
    <x v="267"/>
  </r>
  <r>
    <x v="10"/>
  </r>
  <r>
    <x v="10"/>
  </r>
  <r>
    <x v="10"/>
  </r>
  <r>
    <x v="267"/>
  </r>
  <r>
    <x v="267"/>
  </r>
  <r>
    <x v="1"/>
  </r>
  <r>
    <x v="12"/>
  </r>
  <r>
    <x v="12"/>
  </r>
  <r>
    <x v="4"/>
  </r>
  <r>
    <x v="7"/>
  </r>
  <r>
    <x v="10"/>
  </r>
  <r>
    <x v="10"/>
  </r>
  <r>
    <x v="10"/>
  </r>
  <r>
    <x v="42"/>
  </r>
  <r>
    <x v="16"/>
  </r>
  <r>
    <x v="16"/>
  </r>
  <r>
    <x v="28"/>
  </r>
  <r>
    <x v="28"/>
  </r>
  <r>
    <x v="16"/>
  </r>
  <r>
    <x v="16"/>
  </r>
  <r>
    <x v="22"/>
  </r>
  <r>
    <x v="22"/>
  </r>
  <r>
    <x v="143"/>
  </r>
  <r>
    <x v="4"/>
  </r>
  <r>
    <x v="42"/>
  </r>
  <r>
    <x v="25"/>
  </r>
  <r>
    <x v="25"/>
  </r>
  <r>
    <x v="4"/>
  </r>
  <r>
    <x v="42"/>
  </r>
  <r>
    <x v="143"/>
  </r>
  <r>
    <x v="143"/>
  </r>
  <r>
    <x v="42"/>
  </r>
  <r>
    <x v="42"/>
  </r>
  <r>
    <x v="10"/>
  </r>
  <r>
    <x v="10"/>
  </r>
  <r>
    <x v="28"/>
  </r>
  <r>
    <x v="190"/>
  </r>
  <r>
    <x v="12"/>
  </r>
  <r>
    <x v="87"/>
  </r>
  <r>
    <x v="12"/>
  </r>
  <r>
    <x v="12"/>
  </r>
  <r>
    <x v="10"/>
  </r>
  <r>
    <x v="87"/>
  </r>
  <r>
    <x v="12"/>
  </r>
  <r>
    <x v="0"/>
  </r>
  <r>
    <x v="56"/>
  </r>
  <r>
    <x v="4"/>
  </r>
  <r>
    <x v="165"/>
  </r>
  <r>
    <x v="165"/>
  </r>
  <r>
    <x v="28"/>
  </r>
  <r>
    <x v="163"/>
  </r>
  <r>
    <x v="4"/>
  </r>
  <r>
    <x v="123"/>
  </r>
  <r>
    <x v="123"/>
  </r>
  <r>
    <x v="122"/>
  </r>
  <r>
    <x v="71"/>
  </r>
  <r>
    <x v="71"/>
  </r>
  <r>
    <x v="71"/>
  </r>
  <r>
    <x v="7"/>
  </r>
  <r>
    <x v="10"/>
  </r>
  <r>
    <x v="138"/>
  </r>
  <r>
    <x v="108"/>
  </r>
  <r>
    <x v="22"/>
  </r>
  <r>
    <x v="4"/>
  </r>
  <r>
    <x v="0"/>
  </r>
  <r>
    <x v="14"/>
  </r>
  <r>
    <x v="14"/>
  </r>
  <r>
    <x v="72"/>
  </r>
  <r>
    <x v="48"/>
  </r>
  <r>
    <x v="112"/>
  </r>
  <r>
    <x v="11"/>
  </r>
  <r>
    <x v="112"/>
  </r>
  <r>
    <x v="76"/>
  </r>
  <r>
    <x v="11"/>
  </r>
  <r>
    <x v="4"/>
  </r>
  <r>
    <x v="24"/>
  </r>
  <r>
    <x v="123"/>
  </r>
  <r>
    <x v="28"/>
  </r>
  <r>
    <x v="0"/>
  </r>
  <r>
    <x v="36"/>
  </r>
  <r>
    <x v="36"/>
  </r>
  <r>
    <x v="52"/>
  </r>
  <r>
    <x v="89"/>
  </r>
  <r>
    <x v="89"/>
  </r>
  <r>
    <x v="0"/>
  </r>
  <r>
    <x v="0"/>
  </r>
  <r>
    <x v="14"/>
  </r>
  <r>
    <x v="57"/>
  </r>
  <r>
    <x v="64"/>
  </r>
  <r>
    <x v="10"/>
  </r>
  <r>
    <x v="1"/>
  </r>
  <r>
    <x v="1"/>
  </r>
  <r>
    <x v="4"/>
  </r>
  <r>
    <x v="19"/>
  </r>
  <r>
    <x v="12"/>
  </r>
  <r>
    <x v="4"/>
  </r>
  <r>
    <x v="81"/>
  </r>
  <r>
    <x v="16"/>
  </r>
  <r>
    <x v="0"/>
  </r>
  <r>
    <x v="10"/>
  </r>
  <r>
    <x v="10"/>
  </r>
  <r>
    <x v="138"/>
  </r>
  <r>
    <x v="138"/>
  </r>
  <r>
    <x v="138"/>
  </r>
  <r>
    <x v="138"/>
  </r>
  <r>
    <x v="138"/>
  </r>
  <r>
    <x v="138"/>
  </r>
  <r>
    <x v="138"/>
  </r>
  <r>
    <x v="4"/>
  </r>
  <r>
    <x v="4"/>
  </r>
  <r>
    <x v="4"/>
  </r>
  <r>
    <x v="4"/>
  </r>
  <r>
    <x v="10"/>
  </r>
  <r>
    <x v="29"/>
  </r>
  <r>
    <x v="42"/>
  </r>
  <r>
    <x v="25"/>
  </r>
  <r>
    <x v="29"/>
  </r>
  <r>
    <x v="29"/>
  </r>
  <r>
    <x v="29"/>
  </r>
  <r>
    <x v="26"/>
  </r>
  <r>
    <x v="174"/>
  </r>
  <r>
    <x v="8"/>
  </r>
  <r>
    <x v="56"/>
  </r>
  <r>
    <x v="56"/>
  </r>
  <r>
    <x v="12"/>
  </r>
  <r>
    <x v="12"/>
  </r>
  <r>
    <x v="64"/>
  </r>
  <r>
    <x v="64"/>
  </r>
  <r>
    <x v="143"/>
  </r>
  <r>
    <x v="26"/>
  </r>
  <r>
    <x v="72"/>
  </r>
  <r>
    <x v="123"/>
  </r>
  <r>
    <x v="123"/>
  </r>
  <r>
    <x v="42"/>
  </r>
  <r>
    <x v="42"/>
  </r>
  <r>
    <x v="4"/>
  </r>
  <r>
    <x v="22"/>
  </r>
  <r>
    <x v="22"/>
  </r>
  <r>
    <x v="22"/>
  </r>
  <r>
    <x v="78"/>
  </r>
  <r>
    <x v="78"/>
  </r>
  <r>
    <x v="78"/>
  </r>
  <r>
    <x v="10"/>
  </r>
  <r>
    <x v="10"/>
  </r>
  <r>
    <x v="10"/>
  </r>
  <r>
    <x v="10"/>
  </r>
  <r>
    <x v="10"/>
  </r>
  <r>
    <x v="10"/>
  </r>
  <r>
    <x v="36"/>
  </r>
  <r>
    <x v="10"/>
  </r>
  <r>
    <x v="17"/>
  </r>
  <r>
    <x v="17"/>
  </r>
  <r>
    <x v="17"/>
  </r>
  <r>
    <x v="28"/>
  </r>
  <r>
    <x v="16"/>
  </r>
  <r>
    <x v="0"/>
  </r>
  <r>
    <x v="11"/>
  </r>
  <r>
    <x v="115"/>
  </r>
  <r>
    <x v="115"/>
  </r>
  <r>
    <x v="7"/>
  </r>
  <r>
    <x v="7"/>
  </r>
  <r>
    <x v="175"/>
  </r>
  <r>
    <x v="14"/>
  </r>
  <r>
    <x v="12"/>
  </r>
  <r>
    <x v="10"/>
  </r>
  <r>
    <x v="11"/>
  </r>
  <r>
    <x v="31"/>
  </r>
  <r>
    <x v="123"/>
  </r>
  <r>
    <x v="81"/>
  </r>
  <r>
    <x v="115"/>
  </r>
  <r>
    <x v="115"/>
  </r>
  <r>
    <x v="48"/>
  </r>
  <r>
    <x v="9"/>
  </r>
  <r>
    <x v="28"/>
  </r>
  <r>
    <x v="4"/>
  </r>
  <r>
    <x v="4"/>
  </r>
  <r>
    <x v="4"/>
  </r>
  <r>
    <x v="4"/>
  </r>
  <r>
    <x v="4"/>
  </r>
  <r>
    <x v="30"/>
  </r>
  <r>
    <x v="12"/>
  </r>
  <r>
    <x v="7"/>
  </r>
  <r>
    <x v="7"/>
  </r>
  <r>
    <x v="16"/>
  </r>
  <r>
    <x v="12"/>
  </r>
  <r>
    <x v="0"/>
  </r>
  <r>
    <x v="14"/>
  </r>
  <r>
    <x v="14"/>
  </r>
  <r>
    <x v="14"/>
  </r>
  <r>
    <x v="0"/>
  </r>
  <r>
    <x v="0"/>
  </r>
  <r>
    <x v="14"/>
  </r>
  <r>
    <x v="14"/>
  </r>
  <r>
    <x v="14"/>
  </r>
  <r>
    <x v="14"/>
  </r>
  <r>
    <x v="8"/>
  </r>
  <r>
    <x v="8"/>
  </r>
  <r>
    <x v="10"/>
  </r>
  <r>
    <x v="8"/>
  </r>
  <r>
    <x v="1"/>
  </r>
  <r>
    <x v="70"/>
  </r>
  <r>
    <x v="0"/>
  </r>
  <r>
    <x v="0"/>
  </r>
  <r>
    <x v="123"/>
  </r>
  <r>
    <x v="123"/>
  </r>
  <r>
    <x v="12"/>
  </r>
  <r>
    <x v="12"/>
  </r>
  <r>
    <x v="12"/>
  </r>
  <r>
    <x v="12"/>
  </r>
  <r>
    <x v="12"/>
  </r>
  <r>
    <x v="0"/>
  </r>
  <r>
    <x v="0"/>
  </r>
  <r>
    <x v="0"/>
  </r>
  <r>
    <x v="0"/>
  </r>
  <r>
    <x v="0"/>
  </r>
  <r>
    <x v="1"/>
  </r>
  <r>
    <x v="8"/>
  </r>
  <r>
    <x v="12"/>
  </r>
  <r>
    <x v="12"/>
  </r>
  <r>
    <x v="12"/>
  </r>
  <r>
    <x v="12"/>
  </r>
  <r>
    <x v="12"/>
  </r>
  <r>
    <x v="87"/>
  </r>
  <r>
    <x v="16"/>
  </r>
  <r>
    <x v="16"/>
  </r>
  <r>
    <x v="165"/>
  </r>
  <r>
    <x v="50"/>
  </r>
  <r>
    <x v="44"/>
  </r>
  <r>
    <x v="16"/>
  </r>
  <r>
    <x v="23"/>
  </r>
  <r>
    <x v="77"/>
  </r>
  <r>
    <x v="10"/>
  </r>
  <r>
    <x v="48"/>
  </r>
  <r>
    <x v="0"/>
  </r>
  <r>
    <x v="86"/>
  </r>
  <r>
    <x v="86"/>
  </r>
  <r>
    <x v="86"/>
  </r>
  <r>
    <x v="86"/>
  </r>
  <r>
    <x v="86"/>
  </r>
  <r>
    <x v="86"/>
  </r>
  <r>
    <x v="86"/>
  </r>
  <r>
    <x v="86"/>
  </r>
  <r>
    <x v="86"/>
  </r>
  <r>
    <x v="86"/>
  </r>
  <r>
    <x v="12"/>
  </r>
  <r>
    <x v="12"/>
  </r>
  <r>
    <x v="12"/>
  </r>
  <r>
    <x v="42"/>
  </r>
  <r>
    <x v="12"/>
  </r>
  <r>
    <x v="0"/>
  </r>
  <r>
    <x v="130"/>
  </r>
  <r>
    <x v="130"/>
  </r>
  <r>
    <x v="64"/>
  </r>
  <r>
    <x v="71"/>
  </r>
  <r>
    <x v="72"/>
  </r>
  <r>
    <x v="115"/>
  </r>
  <r>
    <x v="115"/>
  </r>
  <r>
    <x v="0"/>
  </r>
  <r>
    <x v="0"/>
  </r>
  <r>
    <x v="0"/>
  </r>
  <r>
    <x v="87"/>
  </r>
  <r>
    <x v="10"/>
  </r>
  <r>
    <x v="10"/>
  </r>
  <r>
    <x v="10"/>
  </r>
  <r>
    <x v="36"/>
  </r>
  <r>
    <x v="7"/>
  </r>
  <r>
    <x v="87"/>
  </r>
  <r>
    <x v="85"/>
  </r>
  <r>
    <x v="29"/>
  </r>
  <r>
    <x v="76"/>
  </r>
  <r>
    <x v="76"/>
  </r>
  <r>
    <x v="76"/>
  </r>
  <r>
    <x v="10"/>
  </r>
  <r>
    <x v="10"/>
  </r>
  <r>
    <x v="10"/>
  </r>
  <r>
    <x v="10"/>
  </r>
  <r>
    <x v="4"/>
  </r>
  <r>
    <x v="4"/>
  </r>
  <r>
    <x v="10"/>
  </r>
  <r>
    <x v="4"/>
  </r>
  <r>
    <x v="4"/>
  </r>
  <r>
    <x v="10"/>
  </r>
  <r>
    <x v="10"/>
  </r>
  <r>
    <x v="4"/>
  </r>
  <r>
    <x v="4"/>
  </r>
  <r>
    <x v="10"/>
  </r>
  <r>
    <x v="10"/>
  </r>
  <r>
    <x v="4"/>
  </r>
  <r>
    <x v="4"/>
  </r>
  <r>
    <x v="4"/>
  </r>
  <r>
    <x v="123"/>
  </r>
  <r>
    <x v="4"/>
  </r>
  <r>
    <x v="4"/>
  </r>
  <r>
    <x v="4"/>
  </r>
  <r>
    <x v="4"/>
  </r>
  <r>
    <x v="11"/>
  </r>
  <r>
    <x v="10"/>
  </r>
  <r>
    <x v="11"/>
  </r>
  <r>
    <x v="4"/>
  </r>
  <r>
    <x v="105"/>
  </r>
  <r>
    <x v="4"/>
  </r>
  <r>
    <x v="4"/>
  </r>
  <r>
    <x v="10"/>
  </r>
  <r>
    <x v="10"/>
  </r>
  <r>
    <x v="10"/>
  </r>
  <r>
    <x v="10"/>
  </r>
  <r>
    <x v="10"/>
  </r>
  <r>
    <x v="50"/>
  </r>
  <r>
    <x v="0"/>
  </r>
  <r>
    <x v="14"/>
  </r>
  <r>
    <x v="17"/>
  </r>
  <r>
    <x v="17"/>
  </r>
  <r>
    <x v="42"/>
  </r>
  <r>
    <x v="12"/>
  </r>
  <r>
    <x v="42"/>
  </r>
  <r>
    <x v="12"/>
  </r>
  <r>
    <x v="12"/>
  </r>
  <r>
    <x v="12"/>
  </r>
  <r>
    <x v="12"/>
  </r>
  <r>
    <x v="4"/>
  </r>
  <r>
    <x v="42"/>
  </r>
  <r>
    <x v="0"/>
  </r>
  <r>
    <x v="28"/>
  </r>
  <r>
    <x v="53"/>
  </r>
  <r>
    <x v="168"/>
  </r>
  <r>
    <x v="36"/>
  </r>
  <r>
    <x v="52"/>
  </r>
  <r>
    <x v="11"/>
  </r>
  <r>
    <x v="12"/>
  </r>
  <r>
    <x v="56"/>
  </r>
  <r>
    <x v="12"/>
  </r>
  <r>
    <x v="12"/>
  </r>
  <r>
    <x v="152"/>
  </r>
  <r>
    <x v="4"/>
  </r>
  <r>
    <x v="4"/>
  </r>
  <r>
    <x v="4"/>
  </r>
  <r>
    <x v="4"/>
  </r>
  <r>
    <x v="12"/>
  </r>
  <r>
    <x v="77"/>
  </r>
  <r>
    <x v="2"/>
  </r>
  <r>
    <x v="138"/>
  </r>
  <r>
    <x v="56"/>
  </r>
  <r>
    <x v="56"/>
  </r>
  <r>
    <x v="77"/>
  </r>
  <r>
    <x v="2"/>
  </r>
  <r>
    <x v="4"/>
  </r>
  <r>
    <x v="2"/>
  </r>
  <r>
    <x v="77"/>
  </r>
  <r>
    <x v="77"/>
  </r>
  <r>
    <x v="42"/>
  </r>
  <r>
    <x v="29"/>
  </r>
  <r>
    <x v="29"/>
  </r>
  <r>
    <x v="7"/>
  </r>
  <r>
    <x v="114"/>
  </r>
  <r>
    <x v="114"/>
  </r>
  <r>
    <x v="24"/>
  </r>
  <r>
    <x v="24"/>
  </r>
  <r>
    <x v="24"/>
  </r>
  <r>
    <x v="76"/>
  </r>
  <r>
    <x v="87"/>
  </r>
  <r>
    <x v="36"/>
  </r>
  <r>
    <x v="36"/>
  </r>
  <r>
    <x v="36"/>
  </r>
  <r>
    <x v="36"/>
  </r>
  <r>
    <x v="36"/>
  </r>
  <r>
    <x v="165"/>
  </r>
  <r>
    <x v="25"/>
  </r>
  <r>
    <x v="36"/>
  </r>
  <r>
    <x v="36"/>
  </r>
  <r>
    <x v="36"/>
  </r>
  <r>
    <x v="115"/>
  </r>
  <r>
    <x v="36"/>
  </r>
  <r>
    <x v="12"/>
  </r>
  <r>
    <x v="36"/>
  </r>
  <r>
    <x v="12"/>
  </r>
  <r>
    <x v="12"/>
  </r>
  <r>
    <x v="12"/>
  </r>
  <r>
    <x v="12"/>
  </r>
  <r>
    <x v="0"/>
  </r>
  <r>
    <x v="12"/>
  </r>
  <r>
    <x v="12"/>
  </r>
  <r>
    <x v="12"/>
  </r>
  <r>
    <x v="12"/>
  </r>
  <r>
    <x v="12"/>
  </r>
  <r>
    <x v="12"/>
  </r>
  <r>
    <x v="12"/>
  </r>
  <r>
    <x v="4"/>
  </r>
  <r>
    <x v="4"/>
  </r>
  <r>
    <x v="10"/>
  </r>
  <r>
    <x v="10"/>
  </r>
  <r>
    <x v="21"/>
  </r>
  <r>
    <x v="10"/>
  </r>
  <r>
    <x v="10"/>
  </r>
  <r>
    <x v="10"/>
  </r>
  <r>
    <x v="10"/>
  </r>
  <r>
    <x v="10"/>
  </r>
  <r>
    <x v="10"/>
  </r>
  <r>
    <x v="72"/>
  </r>
  <r>
    <x v="115"/>
  </r>
  <r>
    <x v="10"/>
  </r>
  <r>
    <x v="10"/>
  </r>
  <r>
    <x v="12"/>
  </r>
  <r>
    <x v="12"/>
  </r>
  <r>
    <x v="12"/>
  </r>
  <r>
    <x v="10"/>
  </r>
  <r>
    <x v="10"/>
  </r>
  <r>
    <x v="10"/>
  </r>
  <r>
    <x v="12"/>
  </r>
  <r>
    <x v="12"/>
  </r>
  <r>
    <x v="0"/>
  </r>
  <r>
    <x v="53"/>
  </r>
  <r>
    <x v="0"/>
  </r>
  <r>
    <x v="2"/>
  </r>
  <r>
    <x v="37"/>
  </r>
  <r>
    <x v="42"/>
  </r>
  <r>
    <x v="37"/>
  </r>
  <r>
    <x v="48"/>
  </r>
  <r>
    <x v="4"/>
  </r>
  <r>
    <x v="4"/>
  </r>
  <r>
    <x v="4"/>
  </r>
  <r>
    <x v="123"/>
  </r>
  <r>
    <x v="123"/>
  </r>
  <r>
    <x v="123"/>
  </r>
  <r>
    <x v="42"/>
  </r>
  <r>
    <x v="42"/>
  </r>
  <r>
    <x v="10"/>
  </r>
  <r>
    <x v="10"/>
  </r>
  <r>
    <x v="22"/>
  </r>
  <r>
    <x v="25"/>
  </r>
  <r>
    <x v="96"/>
  </r>
  <r>
    <x v="63"/>
  </r>
  <r>
    <x v="69"/>
  </r>
  <r>
    <x v="130"/>
  </r>
  <r>
    <x v="24"/>
  </r>
  <r>
    <x v="24"/>
  </r>
  <r>
    <x v="21"/>
  </r>
  <r>
    <x v="24"/>
  </r>
  <r>
    <x v="24"/>
  </r>
  <r>
    <x v="71"/>
  </r>
  <r>
    <x v="24"/>
  </r>
  <r>
    <x v="24"/>
  </r>
  <r>
    <x v="24"/>
  </r>
  <r>
    <x v="24"/>
  </r>
  <r>
    <x v="24"/>
  </r>
  <r>
    <x v="56"/>
  </r>
  <r>
    <x v="12"/>
  </r>
  <r>
    <x v="100"/>
  </r>
  <r>
    <x v="123"/>
  </r>
  <r>
    <x v="130"/>
  </r>
  <r>
    <x v="63"/>
  </r>
  <r>
    <x v="64"/>
  </r>
  <r>
    <x v="77"/>
  </r>
  <r>
    <x v="85"/>
  </r>
  <r>
    <x v="10"/>
  </r>
  <r>
    <x v="14"/>
  </r>
  <r>
    <x v="14"/>
  </r>
  <r>
    <x v="18"/>
  </r>
  <r>
    <x v="22"/>
  </r>
  <r>
    <x v="22"/>
  </r>
  <r>
    <x v="8"/>
  </r>
  <r>
    <x v="10"/>
  </r>
  <r>
    <x v="138"/>
  </r>
  <r>
    <x v="8"/>
  </r>
  <r>
    <x v="19"/>
  </r>
  <r>
    <x v="4"/>
  </r>
  <r>
    <x v="10"/>
  </r>
  <r>
    <x v="78"/>
  </r>
  <r>
    <x v="0"/>
  </r>
  <r>
    <x v="123"/>
  </r>
  <r>
    <x v="4"/>
  </r>
  <r>
    <x v="141"/>
  </r>
  <r>
    <x v="141"/>
  </r>
  <r>
    <x v="141"/>
  </r>
  <r>
    <x v="131"/>
  </r>
  <r>
    <x v="131"/>
  </r>
  <r>
    <x v="131"/>
  </r>
  <r>
    <x v="131"/>
  </r>
  <r>
    <x v="0"/>
  </r>
  <r>
    <x v="123"/>
  </r>
  <r>
    <x v="126"/>
  </r>
  <r>
    <x v="12"/>
  </r>
  <r>
    <x v="16"/>
  </r>
  <r>
    <x v="9"/>
  </r>
  <r>
    <x v="10"/>
  </r>
  <r>
    <x v="123"/>
  </r>
  <r>
    <x v="22"/>
  </r>
  <r>
    <x v="4"/>
  </r>
  <r>
    <x v="115"/>
  </r>
  <r>
    <x v="4"/>
  </r>
  <r>
    <x v="57"/>
  </r>
  <r>
    <x v="36"/>
  </r>
  <r>
    <x v="1"/>
  </r>
  <r>
    <x v="11"/>
  </r>
  <r>
    <x v="79"/>
  </r>
  <r>
    <x v="1"/>
  </r>
  <r>
    <x v="10"/>
  </r>
  <r>
    <x v="10"/>
  </r>
  <r>
    <x v="126"/>
  </r>
  <r>
    <x v="10"/>
  </r>
  <r>
    <x v="87"/>
  </r>
  <r>
    <x v="4"/>
  </r>
  <r>
    <x v="10"/>
  </r>
  <r>
    <x v="0"/>
  </r>
  <r>
    <x v="4"/>
  </r>
  <r>
    <x v="10"/>
  </r>
  <r>
    <x v="10"/>
  </r>
  <r>
    <x v="4"/>
  </r>
  <r>
    <x v="4"/>
  </r>
  <r>
    <x v="4"/>
  </r>
  <r>
    <x v="35"/>
  </r>
  <r>
    <x v="10"/>
  </r>
  <r>
    <x v="36"/>
  </r>
  <r>
    <x v="4"/>
  </r>
  <r>
    <x v="10"/>
  </r>
  <r>
    <x v="10"/>
  </r>
  <r>
    <x v="10"/>
  </r>
  <r>
    <x v="10"/>
  </r>
  <r>
    <x v="152"/>
  </r>
  <r>
    <x v="123"/>
  </r>
  <r>
    <x v="57"/>
  </r>
  <r>
    <x v="12"/>
  </r>
  <r>
    <x v="52"/>
  </r>
  <r>
    <x v="53"/>
  </r>
  <r>
    <x v="53"/>
  </r>
  <r>
    <x v="16"/>
  </r>
  <r>
    <x v="10"/>
  </r>
  <r>
    <x v="10"/>
  </r>
  <r>
    <x v="10"/>
  </r>
  <r>
    <x v="14"/>
  </r>
  <r>
    <x v="0"/>
  </r>
  <r>
    <x v="0"/>
  </r>
  <r>
    <x v="0"/>
  </r>
  <r>
    <x v="0"/>
  </r>
  <r>
    <x v="0"/>
  </r>
  <r>
    <x v="0"/>
  </r>
  <r>
    <x v="12"/>
  </r>
  <r>
    <x v="12"/>
  </r>
  <r>
    <x v="123"/>
  </r>
  <r>
    <x v="123"/>
  </r>
  <r>
    <x v="42"/>
  </r>
  <r>
    <x v="42"/>
  </r>
  <r>
    <x v="29"/>
  </r>
  <r>
    <x v="21"/>
  </r>
  <r>
    <x v="9"/>
  </r>
  <r>
    <x v="16"/>
  </r>
  <r>
    <x v="123"/>
  </r>
  <r>
    <x v="0"/>
  </r>
  <r>
    <x v="42"/>
  </r>
  <r>
    <x v="100"/>
  </r>
  <r>
    <x v="78"/>
  </r>
  <r>
    <x v="71"/>
  </r>
  <r>
    <x v="162"/>
  </r>
  <r>
    <x v="7"/>
  </r>
  <r>
    <x v="24"/>
  </r>
  <r>
    <x v="24"/>
  </r>
  <r>
    <x v="24"/>
  </r>
  <r>
    <x v="24"/>
  </r>
  <r>
    <x v="86"/>
  </r>
  <r>
    <x v="24"/>
  </r>
  <r>
    <x v="63"/>
  </r>
  <r>
    <x v="14"/>
  </r>
  <r>
    <x v="174"/>
  </r>
  <r>
    <x v="7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0"/>
  </r>
  <r>
    <x v="10"/>
  </r>
  <r>
    <x v="78"/>
  </r>
  <r>
    <x v="14"/>
  </r>
  <r>
    <x v="14"/>
  </r>
  <r>
    <x v="14"/>
  </r>
  <r>
    <x v="14"/>
  </r>
  <r>
    <x v="28"/>
  </r>
  <r>
    <x v="28"/>
  </r>
  <r>
    <x v="28"/>
  </r>
  <r>
    <x v="14"/>
  </r>
  <r>
    <x v="14"/>
  </r>
  <r>
    <x v="48"/>
  </r>
  <r>
    <x v="14"/>
  </r>
  <r>
    <x v="130"/>
  </r>
  <r>
    <x v="130"/>
  </r>
  <r>
    <x v="14"/>
  </r>
  <r>
    <x v="14"/>
  </r>
  <r>
    <x v="14"/>
  </r>
  <r>
    <x v="14"/>
  </r>
  <r>
    <x v="10"/>
  </r>
  <r>
    <x v="10"/>
  </r>
  <r>
    <x v="14"/>
  </r>
  <r>
    <x v="14"/>
  </r>
  <r>
    <x v="41"/>
  </r>
  <r>
    <x v="245"/>
  </r>
  <r>
    <x v="14"/>
  </r>
  <r>
    <x v="130"/>
  </r>
  <r>
    <x v="62"/>
  </r>
  <r>
    <x v="19"/>
  </r>
  <r>
    <x v="19"/>
  </r>
  <r>
    <x v="130"/>
  </r>
  <r>
    <x v="14"/>
  </r>
  <r>
    <x v="14"/>
  </r>
  <r>
    <x v="130"/>
  </r>
  <r>
    <x v="9"/>
  </r>
  <r>
    <x v="130"/>
  </r>
  <r>
    <x v="14"/>
  </r>
  <r>
    <x v="46"/>
  </r>
  <r>
    <x v="46"/>
  </r>
  <r>
    <x v="14"/>
  </r>
  <r>
    <x v="28"/>
  </r>
  <r>
    <x v="31"/>
  </r>
  <r>
    <x v="0"/>
  </r>
  <r>
    <x v="9"/>
  </r>
  <r>
    <x v="64"/>
  </r>
  <r>
    <x v="55"/>
  </r>
  <r>
    <x v="63"/>
  </r>
  <r>
    <x v="28"/>
  </r>
  <r>
    <x v="77"/>
  </r>
  <r>
    <x v="41"/>
  </r>
  <r>
    <x v="77"/>
  </r>
  <r>
    <x v="30"/>
  </r>
  <r>
    <x v="138"/>
  </r>
  <r>
    <x v="46"/>
  </r>
  <r>
    <x v="46"/>
  </r>
  <r>
    <x v="64"/>
  </r>
  <r>
    <x v="64"/>
  </r>
  <r>
    <x v="0"/>
  </r>
  <r>
    <x v="64"/>
  </r>
  <r>
    <x v="14"/>
  </r>
  <r>
    <x v="14"/>
  </r>
  <r>
    <x v="0"/>
  </r>
  <r>
    <x v="64"/>
  </r>
  <r>
    <x v="14"/>
  </r>
  <r>
    <x v="0"/>
  </r>
  <r>
    <x v="10"/>
  </r>
  <r>
    <x v="31"/>
  </r>
  <r>
    <x v="14"/>
  </r>
  <r>
    <x v="10"/>
  </r>
  <r>
    <x v="10"/>
  </r>
  <r>
    <x v="10"/>
  </r>
  <r>
    <x v="16"/>
  </r>
  <r>
    <x v="183"/>
  </r>
  <r>
    <x v="10"/>
  </r>
  <r>
    <x v="123"/>
  </r>
  <r>
    <x v="0"/>
  </r>
  <r>
    <x v="41"/>
  </r>
  <r>
    <x v="139"/>
  </r>
  <r>
    <x v="41"/>
  </r>
  <r>
    <x v="14"/>
  </r>
  <r>
    <x v="33"/>
  </r>
  <r>
    <x v="81"/>
  </r>
  <r>
    <x v="0"/>
  </r>
  <r>
    <x v="14"/>
  </r>
  <r>
    <x v="8"/>
  </r>
  <r>
    <x v="80"/>
  </r>
  <r>
    <x v="29"/>
  </r>
  <r>
    <x v="34"/>
  </r>
  <r>
    <x v="4"/>
  </r>
  <r>
    <x v="17"/>
  </r>
  <r>
    <x v="23"/>
  </r>
  <r>
    <x v="17"/>
  </r>
  <r>
    <x v="48"/>
  </r>
  <r>
    <x v="22"/>
  </r>
  <r>
    <x v="3"/>
  </r>
  <r>
    <x v="28"/>
  </r>
  <r>
    <x v="49"/>
  </r>
  <r>
    <x v="28"/>
  </r>
  <r>
    <x v="217"/>
  </r>
  <r>
    <x v="62"/>
  </r>
  <r>
    <x v="72"/>
  </r>
  <r>
    <x v="79"/>
  </r>
  <r>
    <x v="17"/>
  </r>
  <r>
    <x v="30"/>
  </r>
  <r>
    <x v="12"/>
  </r>
  <r>
    <x v="28"/>
  </r>
  <r>
    <x v="22"/>
  </r>
  <r>
    <x v="12"/>
  </r>
  <r>
    <x v="24"/>
  </r>
  <r>
    <x v="28"/>
  </r>
  <r>
    <x v="24"/>
  </r>
  <r>
    <x v="16"/>
  </r>
  <r>
    <x v="24"/>
  </r>
  <r>
    <x v="24"/>
  </r>
  <r>
    <x v="21"/>
  </r>
  <r>
    <x v="0"/>
  </r>
  <r>
    <x v="28"/>
  </r>
  <r>
    <x v="22"/>
  </r>
  <r>
    <x v="28"/>
  </r>
  <r>
    <x v="4"/>
  </r>
  <r>
    <x v="21"/>
  </r>
  <r>
    <x v="12"/>
  </r>
  <r>
    <x v="21"/>
  </r>
  <r>
    <x v="22"/>
  </r>
  <r>
    <x v="111"/>
  </r>
  <r>
    <x v="64"/>
  </r>
  <r>
    <x v="42"/>
  </r>
  <r>
    <x v="17"/>
  </r>
  <r>
    <x v="40"/>
  </r>
  <r>
    <x v="28"/>
  </r>
  <r>
    <x v="77"/>
  </r>
  <r>
    <x v="28"/>
  </r>
  <r>
    <x v="14"/>
  </r>
  <r>
    <x v="14"/>
  </r>
  <r>
    <x v="16"/>
  </r>
  <r>
    <x v="22"/>
  </r>
  <r>
    <x v="130"/>
  </r>
  <r>
    <x v="64"/>
  </r>
  <r>
    <x v="14"/>
  </r>
  <r>
    <x v="14"/>
  </r>
  <r>
    <x v="131"/>
  </r>
  <r>
    <x v="77"/>
  </r>
  <r>
    <x v="77"/>
  </r>
  <r>
    <x v="131"/>
  </r>
  <r>
    <x v="0"/>
  </r>
  <r>
    <x v="22"/>
  </r>
  <r>
    <x v="14"/>
  </r>
  <r>
    <x v="14"/>
  </r>
  <r>
    <x v="171"/>
  </r>
  <r>
    <x v="141"/>
  </r>
  <r>
    <x v="12"/>
  </r>
  <r>
    <x v="165"/>
  </r>
  <r>
    <x v="33"/>
  </r>
  <r>
    <x v="28"/>
  </r>
  <r>
    <x v="46"/>
  </r>
  <r>
    <x v="46"/>
  </r>
  <r>
    <x v="46"/>
  </r>
  <r>
    <x v="46"/>
  </r>
  <r>
    <x v="181"/>
  </r>
  <r>
    <x v="4"/>
  </r>
  <r>
    <x v="33"/>
  </r>
  <r>
    <x v="33"/>
  </r>
  <r>
    <x v="154"/>
  </r>
  <r>
    <x v="17"/>
  </r>
  <r>
    <x v="10"/>
  </r>
  <r>
    <x v="10"/>
  </r>
  <r>
    <x v="28"/>
  </r>
  <r>
    <x v="10"/>
  </r>
  <r>
    <x v="17"/>
  </r>
  <r>
    <x v="40"/>
  </r>
  <r>
    <x v="14"/>
  </r>
  <r>
    <x v="34"/>
  </r>
  <r>
    <x v="14"/>
  </r>
  <r>
    <x v="14"/>
  </r>
  <r>
    <x v="14"/>
  </r>
  <r>
    <x v="40"/>
  </r>
  <r>
    <x v="83"/>
  </r>
  <r>
    <x v="25"/>
  </r>
  <r>
    <x v="89"/>
  </r>
  <r>
    <x v="34"/>
  </r>
  <r>
    <x v="41"/>
  </r>
  <r>
    <x v="14"/>
  </r>
  <r>
    <x v="59"/>
  </r>
  <r>
    <x v="89"/>
  </r>
  <r>
    <x v="89"/>
  </r>
  <r>
    <x v="89"/>
  </r>
  <r>
    <x v="89"/>
  </r>
  <r>
    <x v="6"/>
  </r>
  <r>
    <x v="86"/>
  </r>
  <r>
    <x v="42"/>
  </r>
  <r>
    <x v="22"/>
  </r>
  <r>
    <x v="14"/>
  </r>
  <r>
    <x v="89"/>
  </r>
  <r>
    <x v="89"/>
  </r>
  <r>
    <x v="89"/>
  </r>
  <r>
    <x v="89"/>
  </r>
  <r>
    <x v="42"/>
  </r>
  <r>
    <x v="108"/>
  </r>
  <r>
    <x v="42"/>
  </r>
  <r>
    <x v="1"/>
  </r>
  <r>
    <x v="1"/>
  </r>
  <r>
    <x v="42"/>
  </r>
  <r>
    <x v="10"/>
  </r>
  <r>
    <x v="10"/>
  </r>
  <r>
    <x v="40"/>
  </r>
  <r>
    <x v="10"/>
  </r>
  <r>
    <x v="10"/>
  </r>
  <r>
    <x v="10"/>
  </r>
  <r>
    <x v="10"/>
  </r>
  <r>
    <x v="14"/>
  </r>
  <r>
    <x v="14"/>
  </r>
  <r>
    <x v="14"/>
  </r>
  <r>
    <x v="14"/>
  </r>
  <r>
    <x v="28"/>
  </r>
  <r>
    <x v="28"/>
  </r>
  <r>
    <x v="28"/>
  </r>
  <r>
    <x v="138"/>
  </r>
  <r>
    <x v="78"/>
  </r>
  <r>
    <x v="78"/>
  </r>
  <r>
    <x v="10"/>
  </r>
  <r>
    <x v="78"/>
  </r>
  <r>
    <x v="78"/>
  </r>
  <r>
    <x v="10"/>
  </r>
  <r>
    <x v="123"/>
  </r>
  <r>
    <x v="78"/>
  </r>
  <r>
    <x v="14"/>
  </r>
  <r>
    <x v="76"/>
  </r>
  <r>
    <x v="165"/>
  </r>
  <r>
    <x v="76"/>
  </r>
  <r>
    <x v="27"/>
  </r>
  <r>
    <x v="10"/>
  </r>
  <r>
    <x v="10"/>
  </r>
  <r>
    <x v="10"/>
  </r>
  <r>
    <x v="10"/>
  </r>
  <r>
    <x v="10"/>
  </r>
  <r>
    <x v="264"/>
  </r>
  <r>
    <x v="10"/>
  </r>
  <r>
    <x v="10"/>
  </r>
  <r>
    <x v="41"/>
  </r>
  <r>
    <x v="12"/>
  </r>
  <r>
    <x v="12"/>
  </r>
  <r>
    <x v="12"/>
  </r>
  <r>
    <x v="12"/>
  </r>
  <r>
    <x v="138"/>
  </r>
  <r>
    <x v="10"/>
  </r>
  <r>
    <x v="10"/>
  </r>
  <r>
    <x v="123"/>
  </r>
  <r>
    <x v="157"/>
  </r>
  <r>
    <x v="19"/>
  </r>
  <r>
    <x v="21"/>
  </r>
  <r>
    <x v="45"/>
  </r>
  <r>
    <x v="1"/>
  </r>
  <r>
    <x v="1"/>
  </r>
  <r>
    <x v="7"/>
  </r>
  <r>
    <x v="115"/>
  </r>
  <r>
    <x v="11"/>
  </r>
  <r>
    <x v="64"/>
  </r>
  <r>
    <x v="17"/>
  </r>
  <r>
    <x v="12"/>
  </r>
  <r>
    <x v="1"/>
  </r>
  <r>
    <x v="1"/>
  </r>
  <r>
    <x v="11"/>
  </r>
  <r>
    <x v="64"/>
  </r>
  <r>
    <x v="45"/>
  </r>
  <r>
    <x v="29"/>
  </r>
  <r>
    <x v="4"/>
  </r>
  <r>
    <x v="10"/>
  </r>
  <r>
    <x v="10"/>
  </r>
  <r>
    <x v="12"/>
  </r>
  <r>
    <x v="12"/>
  </r>
  <r>
    <x v="77"/>
  </r>
  <r>
    <x v="12"/>
  </r>
  <r>
    <x v="12"/>
  </r>
  <r>
    <x v="86"/>
  </r>
  <r>
    <x v="77"/>
  </r>
  <r>
    <x v="3"/>
  </r>
  <r>
    <x v="0"/>
  </r>
  <r>
    <x v="42"/>
  </r>
  <r>
    <x v="7"/>
  </r>
  <r>
    <x v="7"/>
  </r>
  <r>
    <x v="7"/>
  </r>
  <r>
    <x v="17"/>
  </r>
  <r>
    <x v="17"/>
  </r>
  <r>
    <x v="17"/>
  </r>
  <r>
    <x v="87"/>
  </r>
  <r>
    <x v="29"/>
  </r>
  <r>
    <x v="42"/>
  </r>
  <r>
    <x v="17"/>
  </r>
  <r>
    <x v="59"/>
  </r>
  <r>
    <x v="42"/>
  </r>
  <r>
    <x v="42"/>
  </r>
  <r>
    <x v="42"/>
  </r>
  <r>
    <x v="130"/>
  </r>
  <r>
    <x v="52"/>
  </r>
  <r>
    <x v="17"/>
  </r>
  <r>
    <x v="48"/>
  </r>
  <r>
    <x v="12"/>
  </r>
  <r>
    <x v="14"/>
  </r>
  <r>
    <x v="62"/>
  </r>
  <r>
    <x v="12"/>
  </r>
  <r>
    <x v="30"/>
  </r>
  <r>
    <x v="14"/>
  </r>
  <r>
    <x v="23"/>
  </r>
  <r>
    <x v="14"/>
  </r>
  <r>
    <x v="25"/>
  </r>
  <r>
    <x v="42"/>
  </r>
  <r>
    <x v="14"/>
  </r>
  <r>
    <x v="34"/>
  </r>
  <r>
    <x v="59"/>
  </r>
  <r>
    <x v="16"/>
  </r>
  <r>
    <x v="14"/>
  </r>
  <r>
    <x v="11"/>
  </r>
  <r>
    <x v="201"/>
  </r>
  <r>
    <x v="77"/>
  </r>
  <r>
    <x v="81"/>
  </r>
  <r>
    <x v="4"/>
  </r>
  <r>
    <x v="138"/>
  </r>
  <r>
    <x v="138"/>
  </r>
  <r>
    <x v="0"/>
  </r>
  <r>
    <x v="268"/>
  </r>
  <r>
    <x v="126"/>
  </r>
  <r>
    <x v="138"/>
  </r>
  <r>
    <x v="138"/>
  </r>
  <r>
    <x v="138"/>
  </r>
  <r>
    <x v="76"/>
  </r>
  <r>
    <x v="138"/>
  </r>
  <r>
    <x v="269"/>
  </r>
  <r>
    <x v="46"/>
  </r>
  <r>
    <x v="0"/>
  </r>
  <r>
    <x v="16"/>
  </r>
  <r>
    <x v="171"/>
  </r>
  <r>
    <x v="28"/>
  </r>
  <r>
    <x v="0"/>
  </r>
  <r>
    <x v="0"/>
  </r>
  <r>
    <x v="0"/>
  </r>
  <r>
    <x v="0"/>
  </r>
  <r>
    <x v="0"/>
  </r>
  <r>
    <x v="0"/>
  </r>
  <r>
    <x v="0"/>
  </r>
  <r>
    <x v="23"/>
  </r>
  <r>
    <x v="12"/>
  </r>
  <r>
    <x v="75"/>
  </r>
  <r>
    <x v="17"/>
  </r>
  <r>
    <x v="9"/>
  </r>
  <r>
    <x v="138"/>
  </r>
  <r>
    <x v="138"/>
  </r>
  <r>
    <x v="10"/>
  </r>
  <r>
    <x v="10"/>
  </r>
  <r>
    <x v="10"/>
  </r>
  <r>
    <x v="14"/>
  </r>
  <r>
    <x v="199"/>
  </r>
  <r>
    <x v="32"/>
  </r>
  <r>
    <x v="9"/>
  </r>
  <r>
    <x v="9"/>
  </r>
  <r>
    <x v="9"/>
  </r>
  <r>
    <x v="17"/>
  </r>
  <r>
    <x v="138"/>
  </r>
  <r>
    <x v="17"/>
  </r>
  <r>
    <x v="17"/>
  </r>
  <r>
    <x v="40"/>
  </r>
  <r>
    <x v="2"/>
  </r>
  <r>
    <x v="224"/>
  </r>
  <r>
    <x v="45"/>
  </r>
  <r>
    <x v="16"/>
  </r>
  <r>
    <x v="103"/>
  </r>
  <r>
    <x v="2"/>
  </r>
  <r>
    <x v="2"/>
  </r>
  <r>
    <x v="268"/>
  </r>
  <r>
    <x v="128"/>
  </r>
  <r>
    <x v="10"/>
  </r>
  <r>
    <x v="10"/>
  </r>
  <r>
    <x v="10"/>
  </r>
  <r>
    <x v="10"/>
  </r>
  <r>
    <x v="131"/>
  </r>
  <r>
    <x v="33"/>
  </r>
  <r>
    <x v="33"/>
  </r>
  <r>
    <x v="107"/>
  </r>
  <r>
    <x v="34"/>
  </r>
  <r>
    <x v="33"/>
  </r>
  <r>
    <x v="78"/>
  </r>
  <r>
    <x v="4"/>
  </r>
  <r>
    <x v="4"/>
  </r>
  <r>
    <x v="4"/>
  </r>
  <r>
    <x v="4"/>
  </r>
  <r>
    <x v="10"/>
  </r>
  <r>
    <x v="4"/>
  </r>
  <r>
    <x v="10"/>
  </r>
  <r>
    <x v="4"/>
  </r>
  <r>
    <x v="10"/>
  </r>
  <r>
    <x v="29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30"/>
  </r>
  <r>
    <x v="4"/>
  </r>
  <r>
    <x v="4"/>
  </r>
  <r>
    <x v="4"/>
  </r>
  <r>
    <x v="4"/>
  </r>
  <r>
    <x v="2"/>
  </r>
  <r>
    <x v="2"/>
  </r>
  <r>
    <x v="2"/>
  </r>
  <r>
    <x v="14"/>
  </r>
  <r>
    <x v="14"/>
  </r>
  <r>
    <x v="17"/>
  </r>
  <r>
    <x v="131"/>
  </r>
  <r>
    <x v="14"/>
  </r>
  <r>
    <x v="40"/>
  </r>
  <r>
    <x v="245"/>
  </r>
  <r>
    <x v="130"/>
  </r>
  <r>
    <x v="55"/>
  </r>
  <r>
    <x v="10"/>
  </r>
  <r>
    <x v="10"/>
  </r>
  <r>
    <x v="30"/>
  </r>
  <r>
    <x v="10"/>
  </r>
  <r>
    <x v="10"/>
  </r>
  <r>
    <x v="10"/>
  </r>
  <r>
    <x v="10"/>
  </r>
  <r>
    <x v="10"/>
  </r>
  <r>
    <x v="10"/>
  </r>
  <r>
    <x v="0"/>
  </r>
  <r>
    <x v="14"/>
  </r>
  <r>
    <x v="0"/>
  </r>
  <r>
    <x v="4"/>
  </r>
  <r>
    <x v="4"/>
  </r>
  <r>
    <x v="36"/>
  </r>
  <r>
    <x v="36"/>
  </r>
  <r>
    <x v="36"/>
  </r>
  <r>
    <x v="36"/>
  </r>
  <r>
    <x v="17"/>
  </r>
  <r>
    <x v="12"/>
  </r>
  <r>
    <x v="12"/>
  </r>
  <r>
    <x v="12"/>
  </r>
  <r>
    <x v="12"/>
  </r>
  <r>
    <x v="12"/>
  </r>
  <r>
    <x v="12"/>
  </r>
  <r>
    <x v="87"/>
  </r>
  <r>
    <x v="0"/>
  </r>
  <r>
    <x v="81"/>
  </r>
  <r>
    <x v="77"/>
  </r>
  <r>
    <x v="10"/>
  </r>
  <r>
    <x v="76"/>
  </r>
  <r>
    <x v="14"/>
  </r>
  <r>
    <x v="171"/>
  </r>
  <r>
    <x v="171"/>
  </r>
  <r>
    <x v="131"/>
  </r>
  <r>
    <x v="131"/>
  </r>
  <r>
    <x v="131"/>
  </r>
  <r>
    <x v="131"/>
  </r>
  <r>
    <x v="131"/>
  </r>
  <r>
    <x v="131"/>
  </r>
  <r>
    <x v="157"/>
  </r>
  <r>
    <x v="76"/>
  </r>
  <r>
    <x v="56"/>
  </r>
  <r>
    <x v="30"/>
  </r>
  <r>
    <x v="14"/>
  </r>
  <r>
    <x v="56"/>
  </r>
  <r>
    <x v="25"/>
  </r>
  <r>
    <x v="17"/>
  </r>
  <r>
    <x v="126"/>
  </r>
  <r>
    <x v="126"/>
  </r>
  <r>
    <x v="25"/>
  </r>
  <r>
    <x v="0"/>
  </r>
  <r>
    <x v="48"/>
  </r>
  <r>
    <x v="25"/>
  </r>
  <r>
    <x v="12"/>
  </r>
  <r>
    <x v="26"/>
  </r>
  <r>
    <x v="76"/>
  </r>
  <r>
    <x v="165"/>
  </r>
  <r>
    <x v="17"/>
  </r>
  <r>
    <x v="17"/>
  </r>
  <r>
    <x v="2"/>
  </r>
  <r>
    <x v="62"/>
  </r>
  <r>
    <x v="27"/>
  </r>
  <r>
    <x v="70"/>
  </r>
  <r>
    <x v="165"/>
  </r>
  <r>
    <x v="165"/>
  </r>
  <r>
    <x v="165"/>
  </r>
  <r>
    <x v="165"/>
  </r>
  <r>
    <x v="165"/>
  </r>
  <r>
    <x v="165"/>
  </r>
  <r>
    <x v="14"/>
  </r>
  <r>
    <x v="29"/>
  </r>
  <r>
    <x v="4"/>
  </r>
  <r>
    <x v="4"/>
  </r>
  <r>
    <x v="4"/>
  </r>
  <r>
    <x v="14"/>
  </r>
  <r>
    <x v="14"/>
  </r>
  <r>
    <x v="10"/>
  </r>
  <r>
    <x v="126"/>
  </r>
  <r>
    <x v="10"/>
  </r>
  <r>
    <x v="10"/>
  </r>
  <r>
    <x v="10"/>
  </r>
  <r>
    <x v="4"/>
  </r>
  <r>
    <x v="10"/>
  </r>
  <r>
    <x v="0"/>
  </r>
  <r>
    <x v="0"/>
  </r>
  <r>
    <x v="0"/>
  </r>
  <r>
    <x v="23"/>
  </r>
  <r>
    <x v="166"/>
  </r>
  <r>
    <x v="17"/>
  </r>
  <r>
    <x v="0"/>
  </r>
  <r>
    <x v="0"/>
  </r>
  <r>
    <x v="24"/>
  </r>
  <r>
    <x v="24"/>
  </r>
  <r>
    <x v="24"/>
  </r>
  <r>
    <x v="108"/>
  </r>
  <r>
    <x v="0"/>
  </r>
  <r>
    <x v="12"/>
  </r>
  <r>
    <x v="24"/>
  </r>
  <r>
    <x v="24"/>
  </r>
  <r>
    <x v="70"/>
  </r>
  <r>
    <x v="64"/>
  </r>
  <r>
    <x v="12"/>
  </r>
  <r>
    <x v="63"/>
  </r>
  <r>
    <x v="56"/>
  </r>
  <r>
    <x v="41"/>
  </r>
  <r>
    <x v="2"/>
  </r>
  <r>
    <x v="46"/>
  </r>
  <r>
    <x v="46"/>
  </r>
  <r>
    <x v="16"/>
  </r>
  <r>
    <x v="16"/>
  </r>
  <r>
    <x v="141"/>
  </r>
  <r>
    <x v="26"/>
  </r>
  <r>
    <x v="12"/>
  </r>
  <r>
    <x v="123"/>
  </r>
  <r>
    <x v="123"/>
  </r>
  <r>
    <x v="123"/>
  </r>
  <r>
    <x v="123"/>
  </r>
  <r>
    <x v="152"/>
  </r>
  <r>
    <x v="152"/>
  </r>
  <r>
    <x v="42"/>
  </r>
  <r>
    <x v="42"/>
  </r>
  <r>
    <x v="64"/>
  </r>
  <r>
    <x v="24"/>
  </r>
  <r>
    <x v="4"/>
  </r>
  <r>
    <x v="123"/>
  </r>
  <r>
    <x v="123"/>
  </r>
  <r>
    <x v="16"/>
  </r>
  <r>
    <x v="14"/>
  </r>
  <r>
    <x v="24"/>
  </r>
  <r>
    <x v="24"/>
  </r>
  <r>
    <x v="24"/>
  </r>
  <r>
    <x v="24"/>
  </r>
  <r>
    <x v="24"/>
  </r>
  <r>
    <x v="4"/>
  </r>
  <r>
    <x v="165"/>
  </r>
  <r>
    <x v="165"/>
  </r>
  <r>
    <x v="4"/>
  </r>
  <r>
    <x v="217"/>
  </r>
  <r>
    <x v="4"/>
  </r>
  <r>
    <x v="4"/>
  </r>
  <r>
    <x v="2"/>
  </r>
  <r>
    <x v="4"/>
  </r>
  <r>
    <x v="4"/>
  </r>
  <r>
    <x v="2"/>
  </r>
  <r>
    <x v="2"/>
  </r>
  <r>
    <x v="2"/>
  </r>
  <r>
    <x v="84"/>
  </r>
  <r>
    <x v="152"/>
  </r>
  <r>
    <x v="152"/>
  </r>
  <r>
    <x v="46"/>
  </r>
  <r>
    <x v="46"/>
  </r>
  <r>
    <x v="14"/>
  </r>
  <r>
    <x v="9"/>
  </r>
  <r>
    <x v="46"/>
  </r>
  <r>
    <x v="57"/>
  </r>
  <r>
    <x v="6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0"/>
  </r>
  <r>
    <x v="64"/>
  </r>
  <r>
    <x v="0"/>
  </r>
  <r>
    <x v="24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0"/>
  </r>
  <r>
    <x v="0"/>
  </r>
  <r>
    <x v="53"/>
  </r>
  <r>
    <x v="30"/>
  </r>
  <r>
    <x v="30"/>
  </r>
  <r>
    <x v="28"/>
  </r>
  <r>
    <x v="30"/>
  </r>
  <r>
    <x v="53"/>
  </r>
  <r>
    <x v="12"/>
  </r>
  <r>
    <x v="0"/>
  </r>
  <r>
    <x v="10"/>
  </r>
  <r>
    <x v="76"/>
  </r>
  <r>
    <x v="71"/>
  </r>
  <r>
    <x v="10"/>
  </r>
  <r>
    <x v="10"/>
  </r>
  <r>
    <x v="15"/>
  </r>
  <r>
    <x v="9"/>
  </r>
  <r>
    <x v="63"/>
  </r>
  <r>
    <x v="9"/>
  </r>
  <r>
    <x v="123"/>
  </r>
  <r>
    <x v="31"/>
  </r>
  <r>
    <x v="4"/>
  </r>
  <r>
    <x v="4"/>
  </r>
  <r>
    <x v="4"/>
  </r>
  <r>
    <x v="4"/>
  </r>
  <r>
    <x v="4"/>
  </r>
  <r>
    <x v="10"/>
  </r>
  <r>
    <x v="12"/>
  </r>
  <r>
    <x v="12"/>
  </r>
  <r>
    <x v="64"/>
  </r>
  <r>
    <x v="37"/>
  </r>
  <r>
    <x v="10"/>
  </r>
  <r>
    <x v="7"/>
  </r>
  <r>
    <x v="7"/>
  </r>
  <r>
    <x v="1"/>
  </r>
  <r>
    <x v="233"/>
  </r>
  <r>
    <x v="10"/>
  </r>
  <r>
    <x v="10"/>
  </r>
  <r>
    <x v="123"/>
  </r>
  <r>
    <x v="0"/>
  </r>
  <r>
    <x v="16"/>
  </r>
  <r>
    <x v="16"/>
  </r>
  <r>
    <x v="16"/>
  </r>
  <r>
    <x v="16"/>
  </r>
  <r>
    <x v="16"/>
  </r>
  <r>
    <x v="152"/>
  </r>
  <r>
    <x v="123"/>
  </r>
  <r>
    <x v="152"/>
  </r>
  <r>
    <x v="10"/>
  </r>
  <r>
    <x v="6"/>
  </r>
  <r>
    <x v="7"/>
  </r>
  <r>
    <x v="63"/>
  </r>
  <r>
    <x v="63"/>
  </r>
  <r>
    <x v="16"/>
  </r>
  <r>
    <x v="16"/>
  </r>
  <r>
    <x v="123"/>
  </r>
  <r>
    <x v="123"/>
  </r>
  <r>
    <x v="16"/>
  </r>
  <r>
    <x v="16"/>
  </r>
  <r>
    <x v="4"/>
  </r>
  <r>
    <x v="4"/>
  </r>
  <r>
    <x v="4"/>
  </r>
  <r>
    <x v="16"/>
  </r>
  <r>
    <x v="4"/>
  </r>
  <r>
    <x v="4"/>
  </r>
  <r>
    <x v="16"/>
  </r>
  <r>
    <x v="16"/>
  </r>
  <r>
    <x v="16"/>
  </r>
  <r>
    <x v="152"/>
  </r>
  <r>
    <x v="4"/>
  </r>
  <r>
    <x v="123"/>
  </r>
  <r>
    <x v="10"/>
  </r>
  <r>
    <x v="55"/>
  </r>
  <r>
    <x v="31"/>
  </r>
  <r>
    <x v="6"/>
  </r>
  <r>
    <x v="81"/>
  </r>
  <r>
    <x v="123"/>
  </r>
  <r>
    <x v="123"/>
  </r>
  <r>
    <x v="4"/>
  </r>
  <r>
    <x v="4"/>
  </r>
  <r>
    <x v="4"/>
  </r>
  <r>
    <x v="17"/>
  </r>
  <r>
    <x v="9"/>
  </r>
  <r>
    <x v="28"/>
  </r>
  <r>
    <x v="10"/>
  </r>
  <r>
    <x v="7"/>
  </r>
  <r>
    <x v="123"/>
  </r>
  <r>
    <x v="4"/>
  </r>
  <r>
    <x v="4"/>
  </r>
  <r>
    <x v="12"/>
  </r>
  <r>
    <x v="12"/>
  </r>
  <r>
    <x v="12"/>
  </r>
  <r>
    <x v="4"/>
  </r>
  <r>
    <x v="4"/>
  </r>
  <r>
    <x v="4"/>
  </r>
  <r>
    <x v="4"/>
  </r>
  <r>
    <x v="14"/>
  </r>
  <r>
    <x v="14"/>
  </r>
  <r>
    <x v="10"/>
  </r>
  <r>
    <x v="10"/>
  </r>
  <r>
    <x v="10"/>
  </r>
  <r>
    <x v="10"/>
  </r>
  <r>
    <x v="10"/>
  </r>
  <r>
    <x v="10"/>
  </r>
  <r>
    <x v="166"/>
  </r>
  <r>
    <x v="19"/>
  </r>
  <r>
    <x v="19"/>
  </r>
  <r>
    <x v="19"/>
  </r>
  <r>
    <x v="19"/>
  </r>
  <r>
    <x v="123"/>
  </r>
  <r>
    <x v="28"/>
  </r>
  <r>
    <x v="123"/>
  </r>
  <r>
    <x v="24"/>
  </r>
  <r>
    <x v="28"/>
  </r>
  <r>
    <x v="19"/>
  </r>
  <r>
    <x v="19"/>
  </r>
  <r>
    <x v="123"/>
  </r>
  <r>
    <x v="10"/>
  </r>
  <r>
    <x v="123"/>
  </r>
  <r>
    <x v="123"/>
  </r>
  <r>
    <x v="11"/>
  </r>
  <r>
    <x v="10"/>
  </r>
  <r>
    <x v="10"/>
  </r>
  <r>
    <x v="10"/>
  </r>
  <r>
    <x v="10"/>
  </r>
  <r>
    <x v="123"/>
  </r>
  <r>
    <x v="123"/>
  </r>
  <r>
    <x v="0"/>
  </r>
  <r>
    <x v="28"/>
  </r>
  <r>
    <x v="28"/>
  </r>
  <r>
    <x v="123"/>
  </r>
  <r>
    <x v="17"/>
  </r>
  <r>
    <x v="160"/>
  </r>
  <r>
    <x v="17"/>
  </r>
  <r>
    <x v="160"/>
  </r>
  <r>
    <x v="17"/>
  </r>
  <r>
    <x v="6"/>
  </r>
  <r>
    <x v="4"/>
  </r>
  <r>
    <x v="45"/>
  </r>
  <r>
    <x v="17"/>
  </r>
  <r>
    <x v="4"/>
  </r>
  <r>
    <x v="78"/>
  </r>
  <r>
    <x v="10"/>
  </r>
  <r>
    <x v="10"/>
  </r>
  <r>
    <x v="4"/>
  </r>
  <r>
    <x v="12"/>
  </r>
  <r>
    <x v="72"/>
  </r>
  <r>
    <x v="28"/>
  </r>
  <r>
    <x v="78"/>
  </r>
  <r>
    <x v="42"/>
  </r>
  <r>
    <x v="42"/>
  </r>
  <r>
    <x v="87"/>
  </r>
  <r>
    <x v="42"/>
  </r>
  <r>
    <x v="24"/>
  </r>
  <r>
    <x v="24"/>
  </r>
  <r>
    <x v="10"/>
  </r>
  <r>
    <x v="10"/>
  </r>
  <r>
    <x v="123"/>
  </r>
  <r>
    <x v="86"/>
  </r>
  <r>
    <x v="123"/>
  </r>
  <r>
    <x v="123"/>
  </r>
  <r>
    <x v="123"/>
  </r>
  <r>
    <x v="108"/>
  </r>
  <r>
    <x v="19"/>
  </r>
  <r>
    <x v="19"/>
  </r>
  <r>
    <x v="16"/>
  </r>
  <r>
    <x v="37"/>
  </r>
  <r>
    <x v="123"/>
  </r>
  <r>
    <x v="51"/>
  </r>
  <r>
    <x v="0"/>
  </r>
  <r>
    <x v="4"/>
  </r>
  <r>
    <x v="149"/>
  </r>
  <r>
    <x v="10"/>
  </r>
  <r>
    <x v="86"/>
  </r>
  <r>
    <x v="79"/>
  </r>
  <r>
    <x v="7"/>
  </r>
  <r>
    <x v="123"/>
  </r>
  <r>
    <x v="123"/>
  </r>
  <r>
    <x v="165"/>
  </r>
  <r>
    <x v="165"/>
  </r>
  <r>
    <x v="48"/>
  </r>
  <r>
    <x v="63"/>
  </r>
  <r>
    <x v="63"/>
  </r>
  <r>
    <x v="45"/>
  </r>
  <r>
    <x v="63"/>
  </r>
  <r>
    <x v="63"/>
  </r>
  <r>
    <x v="63"/>
  </r>
  <r>
    <x v="11"/>
  </r>
  <r>
    <x v="138"/>
  </r>
  <r>
    <x v="42"/>
  </r>
  <r>
    <x v="1"/>
  </r>
  <r>
    <x v="28"/>
  </r>
  <r>
    <x v="1"/>
  </r>
  <r>
    <x v="1"/>
  </r>
  <r>
    <x v="138"/>
  </r>
  <r>
    <x v="1"/>
  </r>
  <r>
    <x v="1"/>
  </r>
  <r>
    <x v="1"/>
  </r>
  <r>
    <x v="1"/>
  </r>
  <r>
    <x v="1"/>
  </r>
  <r>
    <x v="4"/>
  </r>
  <r>
    <x v="143"/>
  </r>
  <r>
    <x v="138"/>
  </r>
  <r>
    <x v="4"/>
  </r>
  <r>
    <x v="4"/>
  </r>
  <r>
    <x v="4"/>
  </r>
  <r>
    <x v="138"/>
  </r>
  <r>
    <x v="138"/>
  </r>
  <r>
    <x v="138"/>
  </r>
  <r>
    <x v="13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"/>
  </r>
  <r>
    <x v="7"/>
  </r>
  <r>
    <x v="7"/>
  </r>
  <r>
    <x v="7"/>
  </r>
  <r>
    <x v="7"/>
  </r>
  <r>
    <x v="7"/>
  </r>
  <r>
    <x v="7"/>
  </r>
  <r>
    <x v="16"/>
  </r>
  <r>
    <x v="16"/>
  </r>
  <r>
    <x v="16"/>
  </r>
  <r>
    <x v="16"/>
  </r>
  <r>
    <x v="16"/>
  </r>
  <r>
    <x v="4"/>
  </r>
  <r>
    <x v="4"/>
  </r>
  <r>
    <x v="123"/>
  </r>
  <r>
    <x v="123"/>
  </r>
  <r>
    <x v="123"/>
  </r>
  <r>
    <x v="123"/>
  </r>
  <r>
    <x v="123"/>
  </r>
  <r>
    <x v="152"/>
  </r>
  <r>
    <x v="123"/>
  </r>
  <r>
    <x v="12"/>
  </r>
  <r>
    <x v="12"/>
  </r>
  <r>
    <x v="1"/>
  </r>
  <r>
    <x v="1"/>
  </r>
  <r>
    <x v="1"/>
  </r>
  <r>
    <x v="1"/>
  </r>
  <r>
    <x v="1"/>
  </r>
  <r>
    <x v="7"/>
  </r>
  <r>
    <x v="7"/>
  </r>
  <r>
    <x v="1"/>
  </r>
  <r>
    <x v="1"/>
  </r>
  <r>
    <x v="10"/>
  </r>
  <r>
    <x v="10"/>
  </r>
  <r>
    <x v="10"/>
  </r>
  <r>
    <x v="10"/>
  </r>
  <r>
    <x v="10"/>
  </r>
  <r>
    <x v="10"/>
  </r>
  <r>
    <x v="1"/>
  </r>
  <r>
    <x v="9"/>
  </r>
  <r>
    <x v="10"/>
  </r>
  <r>
    <x v="10"/>
  </r>
  <r>
    <x v="10"/>
  </r>
  <r>
    <x v="10"/>
  </r>
  <r>
    <x v="12"/>
  </r>
  <r>
    <x v="42"/>
  </r>
  <r>
    <x v="10"/>
  </r>
  <r>
    <x v="10"/>
  </r>
  <r>
    <x v="138"/>
  </r>
  <r>
    <x v="138"/>
  </r>
  <r>
    <x v="10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4"/>
  </r>
  <r>
    <x v="10"/>
  </r>
  <r>
    <x v="10"/>
  </r>
  <r>
    <x v="10"/>
  </r>
  <r>
    <x v="1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123"/>
  </r>
  <r>
    <x v="123"/>
  </r>
  <r>
    <x v="123"/>
  </r>
  <r>
    <x v="138"/>
  </r>
  <r>
    <x v="138"/>
  </r>
  <r>
    <x v="123"/>
  </r>
  <r>
    <x v="123"/>
  </r>
  <r>
    <x v="34"/>
  </r>
  <r>
    <x v="123"/>
  </r>
  <r>
    <x v="123"/>
  </r>
  <r>
    <x v="123"/>
  </r>
  <r>
    <x v="1"/>
  </r>
  <r>
    <x v="138"/>
  </r>
  <r>
    <x v="12"/>
  </r>
  <r>
    <x v="12"/>
  </r>
  <r>
    <x v="12"/>
  </r>
  <r>
    <x v="12"/>
  </r>
  <r>
    <x v="12"/>
  </r>
  <r>
    <x v="71"/>
  </r>
  <r>
    <x v="1"/>
  </r>
  <r>
    <x v="51"/>
  </r>
  <r>
    <x v="57"/>
  </r>
  <r>
    <x v="123"/>
  </r>
  <r>
    <x v="28"/>
  </r>
  <r>
    <x v="19"/>
  </r>
  <r>
    <x v="19"/>
  </r>
  <r>
    <x v="42"/>
  </r>
  <r>
    <x v="42"/>
  </r>
  <r>
    <x v="42"/>
  </r>
  <r>
    <x v="4"/>
  </r>
  <r>
    <x v="4"/>
  </r>
  <r>
    <x v="6"/>
  </r>
  <r>
    <x v="28"/>
  </r>
  <r>
    <x v="10"/>
  </r>
  <r>
    <x v="138"/>
  </r>
  <r>
    <x v="17"/>
  </r>
  <r>
    <x v="227"/>
  </r>
  <r>
    <x v="53"/>
  </r>
  <r>
    <x v="161"/>
  </r>
  <r>
    <x v="4"/>
  </r>
  <r>
    <x v="4"/>
  </r>
  <r>
    <x v="204"/>
  </r>
  <r>
    <x v="4"/>
  </r>
  <r>
    <x v="174"/>
  </r>
  <r>
    <x v="11"/>
  </r>
  <r>
    <x v="76"/>
  </r>
  <r>
    <x v="12"/>
  </r>
  <r>
    <x v="24"/>
  </r>
  <r>
    <x v="77"/>
  </r>
  <r>
    <x v="10"/>
  </r>
  <r>
    <x v="12"/>
  </r>
  <r>
    <x v="7"/>
  </r>
  <r>
    <x v="3"/>
  </r>
  <r>
    <x v="3"/>
  </r>
  <r>
    <x v="4"/>
  </r>
  <r>
    <x v="14"/>
  </r>
  <r>
    <x v="3"/>
  </r>
  <r>
    <x v="4"/>
  </r>
  <r>
    <x v="68"/>
  </r>
  <r>
    <x v="4"/>
  </r>
  <r>
    <x v="37"/>
  </r>
  <r>
    <x v="9"/>
  </r>
  <r>
    <x v="25"/>
  </r>
  <r>
    <x v="1"/>
  </r>
  <r>
    <x v="143"/>
  </r>
  <r>
    <x v="64"/>
  </r>
  <r>
    <x v="4"/>
  </r>
  <r>
    <x v="4"/>
  </r>
  <r>
    <x v="72"/>
  </r>
  <r>
    <x v="108"/>
  </r>
  <r>
    <x v="12"/>
  </r>
  <r>
    <x v="7"/>
  </r>
  <r>
    <x v="7"/>
  </r>
  <r>
    <x v="33"/>
  </r>
  <r>
    <x v="12"/>
  </r>
  <r>
    <x v="45"/>
  </r>
  <r>
    <x v="10"/>
  </r>
  <r>
    <x v="141"/>
  </r>
  <r>
    <x v="141"/>
  </r>
  <r>
    <x v="141"/>
  </r>
  <r>
    <x v="141"/>
  </r>
  <r>
    <x v="141"/>
  </r>
  <r>
    <x v="141"/>
  </r>
  <r>
    <x v="123"/>
  </r>
  <r>
    <x v="28"/>
  </r>
  <r>
    <x v="0"/>
  </r>
  <r>
    <x v="152"/>
  </r>
  <r>
    <x v="152"/>
  </r>
  <r>
    <x v="56"/>
  </r>
  <r>
    <x v="56"/>
  </r>
  <r>
    <x v="48"/>
  </r>
  <r>
    <x v="48"/>
  </r>
  <r>
    <x v="4"/>
  </r>
  <r>
    <x v="141"/>
  </r>
  <r>
    <x v="12"/>
  </r>
  <r>
    <x v="12"/>
  </r>
  <r>
    <x v="1"/>
  </r>
  <r>
    <x v="1"/>
  </r>
  <r>
    <x v="123"/>
  </r>
  <r>
    <x v="123"/>
  </r>
  <r>
    <x v="76"/>
  </r>
  <r>
    <x v="55"/>
  </r>
  <r>
    <x v="25"/>
  </r>
  <r>
    <x v="25"/>
  </r>
  <r>
    <x v="166"/>
  </r>
  <r>
    <x v="16"/>
  </r>
  <r>
    <x v="12"/>
  </r>
  <r>
    <x v="12"/>
  </r>
  <r>
    <x v="10"/>
  </r>
  <r>
    <x v="48"/>
  </r>
  <r>
    <x v="16"/>
  </r>
  <r>
    <x v="46"/>
  </r>
  <r>
    <x v="23"/>
  </r>
  <r>
    <x v="23"/>
  </r>
  <r>
    <x v="87"/>
  </r>
  <r>
    <x v="87"/>
  </r>
  <r>
    <x v="21"/>
  </r>
  <r>
    <x v="17"/>
  </r>
  <r>
    <x v="12"/>
  </r>
  <r>
    <x v="4"/>
  </r>
  <r>
    <x v="12"/>
  </r>
  <r>
    <x v="0"/>
  </r>
  <r>
    <x v="12"/>
  </r>
  <r>
    <x v="42"/>
  </r>
  <r>
    <x v="123"/>
  </r>
  <r>
    <x v="123"/>
  </r>
  <r>
    <x v="138"/>
  </r>
  <r>
    <x v="78"/>
  </r>
  <r>
    <x v="57"/>
  </r>
  <r>
    <x v="28"/>
  </r>
  <r>
    <x v="81"/>
  </r>
  <r>
    <x v="12"/>
  </r>
  <r>
    <x v="10"/>
  </r>
  <r>
    <x v="10"/>
  </r>
  <r>
    <x v="123"/>
  </r>
  <r>
    <x v="4"/>
  </r>
  <r>
    <x v="72"/>
  </r>
  <r>
    <x v="42"/>
  </r>
  <r>
    <x v="123"/>
  </r>
  <r>
    <x v="48"/>
  </r>
  <r>
    <x v="72"/>
  </r>
  <r>
    <x v="29"/>
  </r>
  <r>
    <x v="4"/>
  </r>
  <r>
    <x v="0"/>
  </r>
  <r>
    <x v="0"/>
  </r>
  <r>
    <x v="12"/>
  </r>
  <r>
    <x v="7"/>
  </r>
  <r>
    <x v="4"/>
  </r>
  <r>
    <x v="63"/>
  </r>
  <r>
    <x v="10"/>
  </r>
  <r>
    <x v="0"/>
  </r>
  <r>
    <x v="0"/>
  </r>
  <r>
    <x v="36"/>
  </r>
  <r>
    <x v="43"/>
  </r>
  <r>
    <x v="24"/>
  </r>
  <r>
    <x v="12"/>
  </r>
  <r>
    <x v="61"/>
  </r>
  <r>
    <x v="0"/>
  </r>
  <r>
    <x v="9"/>
  </r>
  <r>
    <x v="24"/>
  </r>
  <r>
    <x v="37"/>
  </r>
  <r>
    <x v="4"/>
  </r>
  <r>
    <x v="2"/>
  </r>
  <r>
    <x v="12"/>
  </r>
  <r>
    <x v="9"/>
  </r>
  <r>
    <x v="9"/>
  </r>
  <r>
    <x v="9"/>
  </r>
  <r>
    <x v="16"/>
  </r>
  <r>
    <x v="44"/>
  </r>
  <r>
    <x v="10"/>
  </r>
  <r>
    <x v="12"/>
  </r>
  <r>
    <x v="57"/>
  </r>
  <r>
    <x v="10"/>
  </r>
  <r>
    <x v="30"/>
  </r>
  <r>
    <x v="224"/>
  </r>
  <r>
    <x v="28"/>
  </r>
  <r>
    <x v="24"/>
  </r>
  <r>
    <x v="12"/>
  </r>
  <r>
    <x v="112"/>
  </r>
  <r>
    <x v="0"/>
  </r>
  <r>
    <x v="4"/>
  </r>
  <r>
    <x v="183"/>
  </r>
  <r>
    <x v="12"/>
  </r>
  <r>
    <x v="4"/>
  </r>
  <r>
    <x v="57"/>
  </r>
  <r>
    <x v="56"/>
  </r>
  <r>
    <x v="28"/>
  </r>
  <r>
    <x v="12"/>
  </r>
  <r>
    <x v="123"/>
  </r>
  <r>
    <x v="123"/>
  </r>
  <r>
    <x v="4"/>
  </r>
  <r>
    <x v="4"/>
  </r>
  <r>
    <x v="4"/>
  </r>
  <r>
    <x v="4"/>
  </r>
  <r>
    <x v="4"/>
  </r>
  <r>
    <x v="4"/>
  </r>
  <r>
    <x v="4"/>
  </r>
  <r>
    <x v="4"/>
  </r>
  <r>
    <x v="87"/>
  </r>
  <r>
    <x v="9"/>
  </r>
  <r>
    <x v="123"/>
  </r>
  <r>
    <x v="17"/>
  </r>
  <r>
    <x v="4"/>
  </r>
  <r>
    <x v="7"/>
  </r>
  <r>
    <x v="69"/>
  </r>
  <r>
    <x v="69"/>
  </r>
  <r>
    <x v="6"/>
  </r>
  <r>
    <x v="28"/>
  </r>
  <r>
    <x v="45"/>
  </r>
  <r>
    <x v="28"/>
  </r>
  <r>
    <x v="12"/>
  </r>
  <r>
    <x v="12"/>
  </r>
  <r>
    <x v="4"/>
  </r>
  <r>
    <x v="6"/>
  </r>
  <r>
    <x v="4"/>
  </r>
  <r>
    <x v="4"/>
  </r>
  <r>
    <x v="115"/>
  </r>
  <r>
    <x v="115"/>
  </r>
  <r>
    <x v="10"/>
  </r>
  <r>
    <x v="115"/>
  </r>
  <r>
    <x v="131"/>
  </r>
  <r>
    <x v="16"/>
  </r>
  <r>
    <x v="16"/>
  </r>
  <r>
    <x v="16"/>
  </r>
  <r>
    <x v="16"/>
  </r>
  <r>
    <x v="16"/>
  </r>
  <r>
    <x v="131"/>
  </r>
  <r>
    <x v="79"/>
  </r>
  <r>
    <x v="79"/>
  </r>
  <r>
    <x v="27"/>
  </r>
  <r>
    <x v="71"/>
  </r>
  <r>
    <x v="12"/>
  </r>
  <r>
    <x v="12"/>
  </r>
  <r>
    <x v="10"/>
  </r>
  <r>
    <x v="10"/>
  </r>
  <r>
    <x v="4"/>
  </r>
  <r>
    <x v="131"/>
  </r>
  <r>
    <x v="31"/>
  </r>
  <r>
    <x v="10"/>
  </r>
  <r>
    <x v="12"/>
  </r>
  <r>
    <x v="11"/>
  </r>
  <r>
    <x v="28"/>
  </r>
  <r>
    <x v="68"/>
  </r>
  <r>
    <x v="71"/>
  </r>
  <r>
    <x v="29"/>
  </r>
  <r>
    <x v="42"/>
  </r>
  <r>
    <x v="143"/>
  </r>
  <r>
    <x v="42"/>
  </r>
  <r>
    <x v="42"/>
  </r>
  <r>
    <x v="4"/>
  </r>
  <r>
    <x v="17"/>
  </r>
  <r>
    <x v="71"/>
  </r>
  <r>
    <x v="25"/>
  </r>
  <r>
    <x v="12"/>
  </r>
  <r>
    <x v="79"/>
  </r>
  <r>
    <x v="12"/>
  </r>
  <r>
    <x v="22"/>
  </r>
  <r>
    <x v="36"/>
  </r>
  <r>
    <x v="36"/>
  </r>
  <r>
    <x v="10"/>
  </r>
  <r>
    <x v="10"/>
  </r>
  <r>
    <x v="4"/>
  </r>
  <r>
    <x v="28"/>
  </r>
  <r>
    <x v="24"/>
  </r>
  <r>
    <x v="29"/>
  </r>
  <r>
    <x v="48"/>
  </r>
  <r>
    <x v="126"/>
  </r>
  <r>
    <x v="10"/>
  </r>
  <r>
    <x v="87"/>
  </r>
  <r>
    <x v="42"/>
  </r>
  <r>
    <x v="76"/>
  </r>
  <r>
    <x v="14"/>
  </r>
  <r>
    <x v="19"/>
  </r>
  <r>
    <x v="10"/>
  </r>
  <r>
    <x v="169"/>
  </r>
  <r>
    <x v="10"/>
  </r>
  <r>
    <x v="126"/>
  </r>
  <r>
    <x v="152"/>
  </r>
  <r>
    <x v="49"/>
  </r>
  <r>
    <x v="76"/>
  </r>
  <r>
    <x v="36"/>
  </r>
  <r>
    <x v="16"/>
  </r>
  <r>
    <x v="4"/>
  </r>
  <r>
    <x v="4"/>
  </r>
  <r>
    <x v="4"/>
  </r>
  <r>
    <x v="27"/>
  </r>
  <r>
    <x v="12"/>
  </r>
  <r>
    <x v="16"/>
  </r>
  <r>
    <x v="23"/>
  </r>
  <r>
    <x v="23"/>
  </r>
  <r>
    <x v="9"/>
  </r>
  <r>
    <x v="9"/>
  </r>
  <r>
    <x v="7"/>
  </r>
  <r>
    <x v="57"/>
  </r>
  <r>
    <x v="0"/>
  </r>
  <r>
    <x v="12"/>
  </r>
  <r>
    <x v="126"/>
  </r>
  <r>
    <x v="10"/>
  </r>
  <r>
    <x v="53"/>
  </r>
  <r>
    <x v="4"/>
  </r>
  <r>
    <x v="12"/>
  </r>
  <r>
    <x v="14"/>
  </r>
  <r>
    <x v="14"/>
  </r>
  <r>
    <x v="1"/>
  </r>
  <r>
    <x v="9"/>
  </r>
  <r>
    <x v="16"/>
  </r>
  <r>
    <x v="0"/>
  </r>
  <r>
    <x v="16"/>
  </r>
  <r>
    <x v="28"/>
  </r>
  <r>
    <x v="75"/>
  </r>
  <r>
    <x v="80"/>
  </r>
  <r>
    <x v="10"/>
  </r>
  <r>
    <x v="57"/>
  </r>
  <r>
    <x v="35"/>
  </r>
  <r>
    <x v="19"/>
  </r>
  <r>
    <x v="24"/>
  </r>
  <r>
    <x v="17"/>
  </r>
  <r>
    <x v="70"/>
  </r>
  <r>
    <x v="4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1"/>
  </r>
  <r>
    <x v="51"/>
  </r>
  <r>
    <x v="51"/>
  </r>
  <r>
    <x v="51"/>
  </r>
  <r>
    <x v="51"/>
  </r>
  <r>
    <x v="51"/>
  </r>
  <r>
    <x v="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52"/>
  </r>
  <r>
    <x v="152"/>
  </r>
  <r>
    <x v="152"/>
  </r>
  <r>
    <x v="152"/>
  </r>
  <r>
    <x v="4"/>
  </r>
  <r>
    <x v="4"/>
  </r>
  <r>
    <x v="79"/>
  </r>
  <r>
    <x v="42"/>
  </r>
  <r>
    <x v="42"/>
  </r>
  <r>
    <x v="42"/>
  </r>
  <r>
    <x v="12"/>
  </r>
  <r>
    <x v="12"/>
  </r>
  <r>
    <x v="12"/>
  </r>
  <r>
    <x v="12"/>
  </r>
  <r>
    <x v="14"/>
  </r>
  <r>
    <x v="87"/>
  </r>
  <r>
    <x v="152"/>
  </r>
  <r>
    <x v="152"/>
  </r>
  <r>
    <x v="152"/>
  </r>
  <r>
    <x v="152"/>
  </r>
  <r>
    <x v="152"/>
  </r>
  <r>
    <x v="152"/>
  </r>
  <r>
    <x v="12"/>
  </r>
  <r>
    <x v="77"/>
  </r>
  <r>
    <x v="14"/>
  </r>
  <r>
    <x v="52"/>
  </r>
  <r>
    <x v="52"/>
  </r>
  <r>
    <x v="52"/>
  </r>
  <r>
    <x v="52"/>
  </r>
  <r>
    <x v="12"/>
  </r>
  <r>
    <x v="0"/>
  </r>
  <r>
    <x v="10"/>
  </r>
  <r>
    <x v="28"/>
  </r>
  <r>
    <x v="28"/>
  </r>
  <r>
    <x v="28"/>
  </r>
  <r>
    <x v="28"/>
  </r>
  <r>
    <x v="70"/>
  </r>
  <r>
    <x v="86"/>
  </r>
  <r>
    <x v="86"/>
  </r>
  <r>
    <x v="86"/>
  </r>
  <r>
    <x v="87"/>
  </r>
  <r>
    <x v="87"/>
  </r>
  <r>
    <x v="87"/>
  </r>
  <r>
    <x v="87"/>
  </r>
  <r>
    <x v="87"/>
  </r>
  <r>
    <x v="87"/>
  </r>
  <r>
    <x v="87"/>
  </r>
  <r>
    <x v="87"/>
  </r>
  <r>
    <x v="141"/>
  </r>
  <r>
    <x v="115"/>
  </r>
  <r>
    <x v="115"/>
  </r>
  <r>
    <x v="51"/>
  </r>
  <r>
    <x v="115"/>
  </r>
  <r>
    <x v="115"/>
  </r>
  <r>
    <x v="24"/>
  </r>
  <r>
    <x v="115"/>
  </r>
  <r>
    <x v="24"/>
  </r>
  <r>
    <x v="24"/>
  </r>
  <r>
    <x v="115"/>
  </r>
  <r>
    <x v="115"/>
  </r>
  <r>
    <x v="86"/>
  </r>
  <r>
    <x v="71"/>
  </r>
  <r>
    <x v="114"/>
  </r>
  <r>
    <x v="51"/>
  </r>
  <r>
    <x v="51"/>
  </r>
  <r>
    <x v="51"/>
  </r>
  <r>
    <x v="86"/>
  </r>
  <r>
    <x v="86"/>
  </r>
  <r>
    <x v="4"/>
  </r>
  <r>
    <x v="0"/>
  </r>
  <r>
    <x v="86"/>
  </r>
  <r>
    <x v="86"/>
  </r>
  <r>
    <x v="51"/>
  </r>
  <r>
    <x v="52"/>
  </r>
  <r>
    <x v="9"/>
  </r>
  <r>
    <x v="57"/>
  </r>
  <r>
    <x v="9"/>
  </r>
  <r>
    <x v="63"/>
  </r>
  <r>
    <x v="9"/>
  </r>
  <r>
    <x v="9"/>
  </r>
  <r>
    <x v="9"/>
  </r>
  <r>
    <x v="9"/>
  </r>
  <r>
    <x v="9"/>
  </r>
  <r>
    <x v="8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1"/>
  </r>
  <r>
    <x v="51"/>
  </r>
  <r>
    <x v="51"/>
  </r>
  <r>
    <x v="51"/>
  </r>
  <r>
    <x v="12"/>
  </r>
  <r>
    <x v="8"/>
  </r>
  <r>
    <x v="12"/>
  </r>
  <r>
    <x v="12"/>
  </r>
  <r>
    <x v="12"/>
  </r>
  <r>
    <x v="12"/>
  </r>
  <r>
    <x v="12"/>
  </r>
  <r>
    <x v="12"/>
  </r>
  <r>
    <x v="12"/>
  </r>
  <r>
    <x v="42"/>
  </r>
  <r>
    <x v="12"/>
  </r>
  <r>
    <x v="12"/>
  </r>
  <r>
    <x v="12"/>
  </r>
  <r>
    <x v="14"/>
  </r>
  <r>
    <x v="28"/>
  </r>
  <r>
    <x v="14"/>
  </r>
  <r>
    <x v="14"/>
  </r>
  <r>
    <x v="14"/>
  </r>
  <r>
    <x v="14"/>
  </r>
  <r>
    <x v="14"/>
  </r>
  <r>
    <x v="1"/>
  </r>
  <r>
    <x v="14"/>
  </r>
  <r>
    <x v="63"/>
  </r>
  <r>
    <x v="14"/>
  </r>
  <r>
    <x v="14"/>
  </r>
  <r>
    <x v="122"/>
  </r>
  <r>
    <x v="10"/>
  </r>
  <r>
    <x v="10"/>
  </r>
  <r>
    <x v="0"/>
  </r>
  <r>
    <x v="36"/>
  </r>
  <r>
    <x v="36"/>
  </r>
  <r>
    <x v="22"/>
  </r>
  <r>
    <x v="12"/>
  </r>
  <r>
    <x v="4"/>
  </r>
  <r>
    <x v="12"/>
  </r>
  <r>
    <x v="22"/>
  </r>
  <r>
    <x v="12"/>
  </r>
  <r>
    <x v="115"/>
  </r>
  <r>
    <x v="24"/>
  </r>
  <r>
    <x v="56"/>
  </r>
  <r>
    <x v="56"/>
  </r>
  <r>
    <x v="56"/>
  </r>
  <r>
    <x v="56"/>
  </r>
  <r>
    <x v="56"/>
  </r>
  <r>
    <x v="78"/>
  </r>
  <r>
    <x v="55"/>
  </r>
  <r>
    <x v="9"/>
  </r>
  <r>
    <x v="4"/>
  </r>
  <r>
    <x v="4"/>
  </r>
  <r>
    <x v="4"/>
  </r>
  <r>
    <x v="28"/>
  </r>
  <r>
    <x v="4"/>
  </r>
  <r>
    <x v="4"/>
  </r>
  <r>
    <x v="0"/>
  </r>
  <r>
    <x v="17"/>
  </r>
  <r>
    <x v="61"/>
  </r>
  <r>
    <x v="0"/>
  </r>
  <r>
    <x v="28"/>
  </r>
  <r>
    <x v="31"/>
  </r>
  <r>
    <x v="37"/>
  </r>
  <r>
    <x v="12"/>
  </r>
  <r>
    <x v="12"/>
  </r>
  <r>
    <x v="12"/>
  </r>
  <r>
    <x v="12"/>
  </r>
  <r>
    <x v="12"/>
  </r>
  <r>
    <x v="12"/>
  </r>
  <r>
    <x v="12"/>
  </r>
  <r>
    <x v="0"/>
  </r>
  <r>
    <x v="12"/>
  </r>
  <r>
    <x v="146"/>
  </r>
  <r>
    <x v="115"/>
  </r>
  <r>
    <x v="10"/>
  </r>
  <r>
    <x v="267"/>
  </r>
  <r>
    <x v="267"/>
  </r>
  <r>
    <x v="146"/>
  </r>
  <r>
    <x v="146"/>
  </r>
  <r>
    <x v="146"/>
  </r>
  <r>
    <x v="10"/>
  </r>
  <r>
    <x v="10"/>
  </r>
  <r>
    <x v="10"/>
  </r>
  <r>
    <x v="10"/>
  </r>
  <r>
    <x v="12"/>
  </r>
  <r>
    <x v="14"/>
  </r>
  <r>
    <x v="14"/>
  </r>
  <r>
    <x v="36"/>
  </r>
  <r>
    <x v="36"/>
  </r>
  <r>
    <x v="14"/>
  </r>
  <r>
    <x v="14"/>
  </r>
  <r>
    <x v="36"/>
  </r>
  <r>
    <x v="14"/>
  </r>
  <r>
    <x v="71"/>
  </r>
  <r>
    <x v="14"/>
  </r>
  <r>
    <x v="36"/>
  </r>
  <r>
    <x v="14"/>
  </r>
  <r>
    <x v="12"/>
  </r>
  <r>
    <x v="14"/>
  </r>
  <r>
    <x v="12"/>
  </r>
  <r>
    <x v="14"/>
  </r>
  <r>
    <x v="12"/>
  </r>
  <r>
    <x v="14"/>
  </r>
  <r>
    <x v="14"/>
  </r>
  <r>
    <x v="81"/>
  </r>
  <r>
    <x v="72"/>
  </r>
  <r>
    <x v="72"/>
  </r>
  <r>
    <x v="10"/>
  </r>
  <r>
    <x v="227"/>
  </r>
  <r>
    <x v="165"/>
  </r>
  <r>
    <x v="39"/>
  </r>
  <r>
    <x v="14"/>
  </r>
  <r>
    <x v="12"/>
  </r>
  <r>
    <x v="128"/>
  </r>
  <r>
    <x v="123"/>
  </r>
  <r>
    <x v="123"/>
  </r>
  <r>
    <x v="123"/>
  </r>
  <r>
    <x v="71"/>
  </r>
  <r>
    <x v="16"/>
  </r>
  <r>
    <x v="1"/>
  </r>
  <r>
    <x v="45"/>
  </r>
  <r>
    <x v="78"/>
  </r>
  <r>
    <x v="81"/>
  </r>
  <r>
    <x v="21"/>
  </r>
  <r>
    <x v="27"/>
  </r>
  <r>
    <x v="165"/>
  </r>
  <r>
    <x v="10"/>
  </r>
  <r>
    <x v="10"/>
  </r>
  <r>
    <x v="10"/>
  </r>
  <r>
    <x v="10"/>
  </r>
  <r>
    <x v="4"/>
  </r>
  <r>
    <x v="9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0"/>
  </r>
  <r>
    <x v="15"/>
  </r>
  <r>
    <x v="4"/>
  </r>
  <r>
    <x v="21"/>
  </r>
  <r>
    <x v="4"/>
  </r>
  <r>
    <x v="4"/>
  </r>
  <r>
    <x v="15"/>
  </r>
  <r>
    <x v="4"/>
  </r>
  <r>
    <x v="4"/>
  </r>
  <r>
    <x v="4"/>
  </r>
  <r>
    <x v="4"/>
  </r>
  <r>
    <x v="4"/>
  </r>
  <r>
    <x v="270"/>
  </r>
  <r>
    <x v="4"/>
  </r>
  <r>
    <x v="165"/>
  </r>
  <r>
    <x v="138"/>
  </r>
  <r>
    <x v="4"/>
  </r>
  <r>
    <x v="86"/>
  </r>
  <r>
    <x v="4"/>
  </r>
  <r>
    <x v="10"/>
  </r>
  <r>
    <x v="138"/>
  </r>
  <r>
    <x v="138"/>
  </r>
  <r>
    <x v="138"/>
  </r>
  <r>
    <x v="114"/>
  </r>
  <r>
    <x v="114"/>
  </r>
  <r>
    <x v="138"/>
  </r>
  <r>
    <x v="138"/>
  </r>
  <r>
    <x v="138"/>
  </r>
  <r>
    <x v="138"/>
  </r>
  <r>
    <x v="138"/>
  </r>
  <r>
    <x v="154"/>
  </r>
  <r>
    <x v="24"/>
  </r>
  <r>
    <x v="3"/>
  </r>
  <r>
    <x v="3"/>
  </r>
  <r>
    <x v="154"/>
  </r>
  <r>
    <x v="7"/>
  </r>
  <r>
    <x v="10"/>
  </r>
  <r>
    <x v="10"/>
  </r>
  <r>
    <x v="21"/>
  </r>
  <r>
    <x v="4"/>
  </r>
  <r>
    <x v="123"/>
  </r>
  <r>
    <x v="123"/>
  </r>
  <r>
    <x v="123"/>
  </r>
  <r>
    <x v="123"/>
  </r>
  <r>
    <x v="123"/>
  </r>
  <r>
    <x v="123"/>
  </r>
  <r>
    <x v="4"/>
  </r>
  <r>
    <x v="0"/>
  </r>
  <r>
    <x v="0"/>
  </r>
  <r>
    <x v="8"/>
  </r>
  <r>
    <x v="8"/>
  </r>
  <r>
    <x v="10"/>
  </r>
  <r>
    <x v="70"/>
  </r>
  <r>
    <x v="0"/>
  </r>
  <r>
    <x v="10"/>
  </r>
  <r>
    <x v="10"/>
  </r>
  <r>
    <x v="12"/>
  </r>
  <r>
    <x v="0"/>
  </r>
  <r>
    <x v="165"/>
  </r>
  <r>
    <x v="36"/>
  </r>
  <r>
    <x v="36"/>
  </r>
  <r>
    <x v="36"/>
  </r>
  <r>
    <x v="36"/>
  </r>
  <r>
    <x v="10"/>
  </r>
  <r>
    <x v="36"/>
  </r>
  <r>
    <x v="12"/>
  </r>
  <r>
    <x v="36"/>
  </r>
  <r>
    <x v="36"/>
  </r>
  <r>
    <x v="271"/>
  </r>
  <r>
    <x v="36"/>
  </r>
  <r>
    <x v="36"/>
  </r>
  <r>
    <x v="152"/>
  </r>
  <r>
    <x v="152"/>
  </r>
  <r>
    <x v="4"/>
  </r>
  <r>
    <x v="77"/>
  </r>
  <r>
    <x v="4"/>
  </r>
  <r>
    <x v="78"/>
  </r>
  <r>
    <x v="28"/>
  </r>
  <r>
    <x v="28"/>
  </r>
  <r>
    <x v="51"/>
  </r>
  <r>
    <x v="31"/>
  </r>
  <r>
    <x v="79"/>
  </r>
  <r>
    <x v="42"/>
  </r>
  <r>
    <x v="12"/>
  </r>
  <r>
    <x v="42"/>
  </r>
  <r>
    <x v="19"/>
  </r>
  <r>
    <x v="115"/>
  </r>
  <r>
    <x v="123"/>
  </r>
  <r>
    <x v="123"/>
  </r>
  <r>
    <x v="123"/>
  </r>
  <r>
    <x v="123"/>
  </r>
  <r>
    <x v="86"/>
  </r>
  <r>
    <x v="86"/>
  </r>
  <r>
    <x v="28"/>
  </r>
  <r>
    <x v="86"/>
  </r>
  <r>
    <x v="86"/>
  </r>
  <r>
    <x v="86"/>
  </r>
  <r>
    <x v="175"/>
  </r>
  <r>
    <x v="86"/>
  </r>
  <r>
    <x v="42"/>
  </r>
  <r>
    <x v="10"/>
  </r>
  <r>
    <x v="42"/>
  </r>
  <r>
    <x v="7"/>
  </r>
  <r>
    <x v="42"/>
  </r>
  <r>
    <x v="10"/>
  </r>
  <r>
    <x v="10"/>
  </r>
  <r>
    <x v="10"/>
  </r>
  <r>
    <x v="28"/>
  </r>
  <r>
    <x v="12"/>
  </r>
  <r>
    <x v="12"/>
  </r>
  <r>
    <x v="1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63"/>
  </r>
  <r>
    <x v="76"/>
  </r>
  <r>
    <x v="123"/>
  </r>
  <r>
    <x v="123"/>
  </r>
  <r>
    <x v="123"/>
  </r>
  <r>
    <x v="123"/>
  </r>
  <r>
    <x v="123"/>
  </r>
  <r>
    <x v="123"/>
  </r>
  <r>
    <x v="123"/>
  </r>
  <r>
    <x v="123"/>
  </r>
  <r>
    <x v="28"/>
  </r>
  <r>
    <x v="4"/>
  </r>
  <r>
    <x v="126"/>
  </r>
  <r>
    <x v="10"/>
  </r>
  <r>
    <x v="7"/>
  </r>
  <r>
    <x v="152"/>
  </r>
  <r>
    <x v="152"/>
  </r>
  <r>
    <x v="9"/>
  </r>
  <r>
    <x v="108"/>
  </r>
  <r>
    <x v="16"/>
  </r>
  <r>
    <x v="12"/>
  </r>
  <r>
    <x v="28"/>
  </r>
  <r>
    <x v="12"/>
  </r>
  <r>
    <x v="28"/>
  </r>
  <r>
    <x v="12"/>
  </r>
  <r>
    <x v="10"/>
  </r>
  <r>
    <x v="128"/>
  </r>
  <r>
    <x v="0"/>
  </r>
  <r>
    <x v="42"/>
  </r>
  <r>
    <x v="57"/>
  </r>
  <r>
    <x v="12"/>
  </r>
  <r>
    <x v="229"/>
  </r>
  <r>
    <x v="14"/>
  </r>
  <r>
    <x v="123"/>
  </r>
  <r>
    <x v="123"/>
  </r>
  <r>
    <x v="123"/>
  </r>
  <r>
    <x v="7"/>
  </r>
  <r>
    <x v="89"/>
  </r>
  <r>
    <x v="56"/>
  </r>
  <r>
    <x v="7"/>
  </r>
  <r>
    <x v="7"/>
  </r>
  <r>
    <x v="36"/>
  </r>
  <r>
    <x v="12"/>
  </r>
  <r>
    <x v="56"/>
  </r>
  <r>
    <x v="4"/>
  </r>
  <r>
    <x v="12"/>
  </r>
  <r>
    <x v="31"/>
  </r>
  <r>
    <x v="4"/>
  </r>
  <r>
    <x v="4"/>
  </r>
  <r>
    <x v="12"/>
  </r>
  <r>
    <x v="70"/>
  </r>
  <r>
    <x v="28"/>
  </r>
  <r>
    <x v="11"/>
  </r>
  <r>
    <x v="12"/>
  </r>
  <r>
    <x v="12"/>
  </r>
  <r>
    <x v="12"/>
  </r>
  <r>
    <x v="12"/>
  </r>
  <r>
    <x v="12"/>
  </r>
  <r>
    <x v="22"/>
  </r>
  <r>
    <x v="22"/>
  </r>
  <r>
    <x v="10"/>
  </r>
  <r>
    <x v="4"/>
  </r>
  <r>
    <x v="4"/>
  </r>
  <r>
    <x v="4"/>
  </r>
  <r>
    <x v="4"/>
  </r>
  <r>
    <x v="4"/>
  </r>
  <r>
    <x v="4"/>
  </r>
  <r>
    <x v="15"/>
  </r>
  <r>
    <x v="4"/>
  </r>
  <r>
    <x v="4"/>
  </r>
  <r>
    <x v="4"/>
  </r>
  <r>
    <x v="4"/>
  </r>
  <r>
    <x v="138"/>
  </r>
  <r>
    <x v="138"/>
  </r>
  <r>
    <x v="138"/>
  </r>
  <r>
    <x v="138"/>
  </r>
  <r>
    <x v="138"/>
  </r>
  <r>
    <x v="12"/>
  </r>
  <r>
    <x v="12"/>
  </r>
  <r>
    <x v="165"/>
  </r>
  <r>
    <x v="165"/>
  </r>
  <r>
    <x v="165"/>
  </r>
  <r>
    <x v="165"/>
  </r>
  <r>
    <x v="14"/>
  </r>
  <r>
    <x v="36"/>
  </r>
  <r>
    <x v="12"/>
  </r>
  <r>
    <x v="1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8"/>
  </r>
  <r>
    <x v="10"/>
  </r>
  <r>
    <x v="71"/>
  </r>
  <r>
    <x v="33"/>
  </r>
  <r>
    <x v="22"/>
  </r>
  <r>
    <x v="24"/>
  </r>
  <r>
    <x v="181"/>
  </r>
  <r>
    <x v="181"/>
  </r>
  <r>
    <x v="181"/>
  </r>
  <r>
    <x v="87"/>
  </r>
  <r>
    <x v="87"/>
  </r>
  <r>
    <x v="181"/>
  </r>
  <r>
    <x v="181"/>
  </r>
  <r>
    <x v="10"/>
  </r>
  <r>
    <x v="10"/>
  </r>
  <r>
    <x v="112"/>
  </r>
  <r>
    <x v="138"/>
  </r>
  <r>
    <x v="138"/>
  </r>
  <r>
    <x v="10"/>
  </r>
  <r>
    <x v="10"/>
  </r>
  <r>
    <x v="10"/>
  </r>
  <r>
    <x v="25"/>
  </r>
  <r>
    <x v="12"/>
  </r>
  <r>
    <x v="12"/>
  </r>
  <r>
    <x v="108"/>
  </r>
  <r>
    <x v="12"/>
  </r>
  <r>
    <x v="10"/>
  </r>
  <r>
    <x v="10"/>
  </r>
  <r>
    <x v="9"/>
  </r>
  <r>
    <x v="10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32"/>
  </r>
  <r>
    <x v="12"/>
  </r>
  <r>
    <x v="28"/>
  </r>
  <r>
    <x v="28"/>
  </r>
  <r>
    <x v="28"/>
  </r>
  <r>
    <x v="10"/>
  </r>
  <r>
    <x v="10"/>
  </r>
  <r>
    <x v="22"/>
  </r>
  <r>
    <x v="48"/>
  </r>
  <r>
    <x v="24"/>
  </r>
  <r>
    <x v="24"/>
  </r>
  <r>
    <x v="24"/>
  </r>
  <r>
    <x v="24"/>
  </r>
  <r>
    <x v="24"/>
  </r>
  <r>
    <x v="24"/>
  </r>
  <r>
    <x v="24"/>
  </r>
  <r>
    <x v="48"/>
  </r>
  <r>
    <x v="24"/>
  </r>
  <r>
    <x v="48"/>
  </r>
  <r>
    <x v="48"/>
  </r>
  <r>
    <x v="24"/>
  </r>
  <r>
    <x v="24"/>
  </r>
  <r>
    <x v="10"/>
  </r>
  <r>
    <x v="10"/>
  </r>
  <r>
    <x v="12"/>
  </r>
  <r>
    <x v="24"/>
  </r>
  <r>
    <x v="12"/>
  </r>
  <r>
    <x v="79"/>
  </r>
  <r>
    <x v="4"/>
  </r>
  <r>
    <x v="106"/>
  </r>
  <r>
    <x v="12"/>
  </r>
  <r>
    <x v="22"/>
  </r>
  <r>
    <x v="64"/>
  </r>
  <r>
    <x v="14"/>
  </r>
  <r>
    <x v="76"/>
  </r>
  <r>
    <x v="112"/>
  </r>
  <r>
    <x v="77"/>
  </r>
  <r>
    <x v="11"/>
  </r>
  <r>
    <x v="22"/>
  </r>
  <r>
    <x v="0"/>
  </r>
  <r>
    <x v="64"/>
  </r>
  <r>
    <x v="64"/>
  </r>
  <r>
    <x v="64"/>
  </r>
  <r>
    <x v="64"/>
  </r>
  <r>
    <x v="86"/>
  </r>
  <r>
    <x v="87"/>
  </r>
  <r>
    <x v="36"/>
  </r>
  <r>
    <x v="36"/>
  </r>
  <r>
    <x v="165"/>
  </r>
  <r>
    <x v="114"/>
  </r>
  <r>
    <x v="12"/>
  </r>
  <r>
    <x v="22"/>
  </r>
  <r>
    <x v="22"/>
  </r>
  <r>
    <x v="175"/>
  </r>
  <r>
    <x v="175"/>
  </r>
  <r>
    <x v="87"/>
  </r>
  <r>
    <x v="23"/>
  </r>
  <r>
    <x v="10"/>
  </r>
  <r>
    <x v="9"/>
  </r>
  <r>
    <x v="9"/>
  </r>
  <r>
    <x v="9"/>
  </r>
  <r>
    <x v="4"/>
  </r>
  <r>
    <x v="10"/>
  </r>
  <r>
    <x v="15"/>
  </r>
  <r>
    <x v="19"/>
  </r>
  <r>
    <x v="0"/>
  </r>
  <r>
    <x v="0"/>
  </r>
  <r>
    <x v="0"/>
  </r>
  <r>
    <x v="53"/>
  </r>
  <r>
    <x v="4"/>
  </r>
  <r>
    <x v="4"/>
  </r>
  <r>
    <x v="4"/>
  </r>
  <r>
    <x v="4"/>
  </r>
  <r>
    <x v="4"/>
  </r>
  <r>
    <x v="4"/>
  </r>
  <r>
    <x v="28"/>
  </r>
  <r>
    <x v="0"/>
  </r>
  <r>
    <x v="0"/>
  </r>
  <r>
    <x v="0"/>
  </r>
  <r>
    <x v="0"/>
  </r>
  <r>
    <x v="7"/>
  </r>
  <r>
    <x v="7"/>
  </r>
  <r>
    <x v="7"/>
  </r>
  <r>
    <x v="7"/>
  </r>
  <r>
    <x v="7"/>
  </r>
  <r>
    <x v="4"/>
  </r>
  <r>
    <x v="4"/>
  </r>
  <r>
    <x v="4"/>
  </r>
  <r>
    <x v="69"/>
  </r>
  <r>
    <x v="69"/>
  </r>
  <r>
    <x v="69"/>
  </r>
  <r>
    <x v="69"/>
  </r>
  <r>
    <x v="69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6"/>
  </r>
  <r>
    <x v="10"/>
  </r>
  <r>
    <x v="10"/>
  </r>
  <r>
    <x v="104"/>
  </r>
  <r>
    <x v="10"/>
  </r>
  <r>
    <x v="93"/>
  </r>
  <r>
    <x v="152"/>
  </r>
  <r>
    <x v="152"/>
  </r>
  <r>
    <x v="152"/>
  </r>
  <r>
    <x v="152"/>
  </r>
  <r>
    <x v="152"/>
  </r>
  <r>
    <x v="152"/>
  </r>
  <r>
    <x v="10"/>
  </r>
  <r>
    <x v="115"/>
  </r>
  <r>
    <x v="6"/>
  </r>
  <r>
    <x v="9"/>
  </r>
  <r>
    <x v="6"/>
  </r>
  <r>
    <x v="75"/>
  </r>
  <r>
    <x v="72"/>
  </r>
  <r>
    <x v="10"/>
  </r>
  <r>
    <x v="138"/>
  </r>
  <r>
    <x v="12"/>
  </r>
  <r>
    <x v="12"/>
  </r>
  <r>
    <x v="12"/>
  </r>
  <r>
    <x v="123"/>
  </r>
  <r>
    <x v="131"/>
  </r>
  <r>
    <x v="152"/>
  </r>
  <r>
    <x v="152"/>
  </r>
  <r>
    <x v="87"/>
  </r>
  <r>
    <x v="10"/>
  </r>
  <r>
    <x v="87"/>
  </r>
  <r>
    <x v="87"/>
  </r>
  <r>
    <x v="123"/>
  </r>
  <r>
    <x v="87"/>
  </r>
  <r>
    <x v="123"/>
  </r>
  <r>
    <x v="12"/>
  </r>
  <r>
    <x v="8"/>
  </r>
  <r>
    <x v="8"/>
  </r>
  <r>
    <x v="14"/>
  </r>
  <r>
    <x v="8"/>
  </r>
  <r>
    <x v="8"/>
  </r>
  <r>
    <x v="10"/>
  </r>
  <r>
    <x v="10"/>
  </r>
  <r>
    <x v="0"/>
  </r>
  <r>
    <x v="0"/>
  </r>
  <r>
    <x v="0"/>
  </r>
  <r>
    <x v="9"/>
  </r>
  <r>
    <x v="152"/>
  </r>
  <r>
    <x v="152"/>
  </r>
  <r>
    <x v="9"/>
  </r>
  <r>
    <x v="131"/>
  </r>
  <r>
    <x v="45"/>
  </r>
  <r>
    <x v="4"/>
  </r>
  <r>
    <x v="10"/>
  </r>
  <r>
    <x v="21"/>
  </r>
  <r>
    <x v="16"/>
  </r>
  <r>
    <x v="19"/>
  </r>
  <r>
    <x v="4"/>
  </r>
  <r>
    <x v="7"/>
  </r>
  <r>
    <x v="2"/>
  </r>
  <r>
    <x v="14"/>
  </r>
  <r>
    <x v="12"/>
  </r>
  <r>
    <x v="1"/>
  </r>
  <r>
    <x v="31"/>
  </r>
  <r>
    <x v="87"/>
  </r>
  <r>
    <x v="123"/>
  </r>
  <r>
    <x v="24"/>
  </r>
  <r>
    <x v="4"/>
  </r>
  <r>
    <x v="78"/>
  </r>
  <r>
    <x v="78"/>
  </r>
  <r>
    <x v="42"/>
  </r>
  <r>
    <x v="87"/>
  </r>
  <r>
    <x v="78"/>
  </r>
  <r>
    <x v="25"/>
  </r>
  <r>
    <x v="63"/>
  </r>
  <r>
    <x v="63"/>
  </r>
  <r>
    <x v="56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0"/>
  </r>
  <r>
    <x v="10"/>
  </r>
  <r>
    <x v="10"/>
  </r>
  <r>
    <x v="10"/>
  </r>
  <r>
    <x v="0"/>
  </r>
  <r>
    <x v="0"/>
  </r>
  <r>
    <x v="14"/>
  </r>
  <r>
    <x v="14"/>
  </r>
  <r>
    <x v="14"/>
  </r>
  <r>
    <x v="4"/>
  </r>
  <r>
    <x v="152"/>
  </r>
  <r>
    <x v="10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12"/>
  </r>
  <r>
    <x v="7"/>
  </r>
  <r>
    <x v="12"/>
  </r>
  <r>
    <x v="4"/>
  </r>
  <r>
    <x v="9"/>
  </r>
  <r>
    <x v="4"/>
  </r>
  <r>
    <x v="4"/>
  </r>
  <r>
    <x v="4"/>
  </r>
  <r>
    <x v="4"/>
  </r>
  <r>
    <x v="4"/>
  </r>
  <r>
    <x v="4"/>
  </r>
  <r>
    <x v="10"/>
  </r>
  <r>
    <x v="10"/>
  </r>
  <r>
    <x v="0"/>
  </r>
  <r>
    <x v="0"/>
  </r>
  <r>
    <x v="184"/>
  </r>
  <r>
    <x v="0"/>
  </r>
  <r>
    <x v="0"/>
  </r>
  <r>
    <x v="4"/>
  </r>
  <r>
    <x v="4"/>
  </r>
  <r>
    <x v="4"/>
  </r>
  <r>
    <x v="10"/>
  </r>
  <r>
    <x v="1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0"/>
  </r>
  <r>
    <x v="175"/>
  </r>
  <r>
    <x v="3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36"/>
  </r>
  <r>
    <x v="36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36"/>
  </r>
  <r>
    <x v="36"/>
  </r>
  <r>
    <x v="36"/>
  </r>
  <r>
    <x v="42"/>
  </r>
  <r>
    <x v="0"/>
  </r>
  <r>
    <x v="0"/>
  </r>
  <r>
    <x v="0"/>
  </r>
  <r>
    <x v="17"/>
  </r>
  <r>
    <x v="17"/>
  </r>
  <r>
    <x v="29"/>
  </r>
  <r>
    <x v="123"/>
  </r>
  <r>
    <x v="10"/>
  </r>
  <r>
    <x v="10"/>
  </r>
  <r>
    <x v="10"/>
  </r>
  <r>
    <x v="10"/>
  </r>
  <r>
    <x v="10"/>
  </r>
  <r>
    <x v="10"/>
  </r>
  <r>
    <x v="69"/>
  </r>
  <r>
    <x v="10"/>
  </r>
  <r>
    <x v="10"/>
  </r>
  <r>
    <x v="10"/>
  </r>
  <r>
    <x v="10"/>
  </r>
  <r>
    <x v="10"/>
  </r>
  <r>
    <x v="39"/>
  </r>
  <r>
    <x v="78"/>
  </r>
  <r>
    <x v="10"/>
  </r>
  <r>
    <x v="10"/>
  </r>
  <r>
    <x v="79"/>
  </r>
  <r>
    <x v="4"/>
  </r>
  <r>
    <x v="123"/>
  </r>
  <r>
    <x v="10"/>
  </r>
  <r>
    <x v="10"/>
  </r>
  <r>
    <x v="10"/>
  </r>
  <r>
    <x v="10"/>
  </r>
  <r>
    <x v="10"/>
  </r>
  <r>
    <x v="10"/>
  </r>
  <r>
    <x v="4"/>
  </r>
  <r>
    <x v="4"/>
  </r>
  <r>
    <x v="17"/>
  </r>
  <r>
    <x v="10"/>
  </r>
  <r>
    <x v="86"/>
  </r>
  <r>
    <x v="24"/>
  </r>
  <r>
    <x v="24"/>
  </r>
  <r>
    <x v="24"/>
  </r>
  <r>
    <x v="24"/>
  </r>
  <r>
    <x v="24"/>
  </r>
  <r>
    <x v="24"/>
  </r>
  <r>
    <x v="24"/>
  </r>
  <r>
    <x v="10"/>
  </r>
  <r>
    <x v="12"/>
  </r>
  <r>
    <x v="12"/>
  </r>
  <r>
    <x v="12"/>
  </r>
  <r>
    <x v="12"/>
  </r>
  <r>
    <x v="12"/>
  </r>
  <r>
    <x v="12"/>
  </r>
  <r>
    <x v="17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63"/>
  </r>
  <r>
    <x v="100"/>
  </r>
  <r>
    <x v="86"/>
  </r>
  <r>
    <x v="10"/>
  </r>
  <r>
    <x v="163"/>
  </r>
  <r>
    <x v="163"/>
  </r>
  <r>
    <x v="10"/>
  </r>
  <r>
    <x v="10"/>
  </r>
  <r>
    <x v="10"/>
  </r>
  <r>
    <x v="10"/>
  </r>
  <r>
    <x v="10"/>
  </r>
  <r>
    <x v="52"/>
  </r>
  <r>
    <x v="10"/>
  </r>
  <r>
    <x v="0"/>
  </r>
  <r>
    <x v="123"/>
  </r>
  <r>
    <x v="123"/>
  </r>
  <r>
    <x v="10"/>
  </r>
  <r>
    <x v="123"/>
  </r>
  <r>
    <x v="7"/>
  </r>
  <r>
    <x v="123"/>
  </r>
  <r>
    <x v="10"/>
  </r>
  <r>
    <x v="10"/>
  </r>
  <r>
    <x v="17"/>
  </r>
  <r>
    <x v="10"/>
  </r>
  <r>
    <x v="10"/>
  </r>
  <r>
    <x v="16"/>
  </r>
  <r>
    <x v="0"/>
  </r>
  <r>
    <x v="10"/>
  </r>
  <r>
    <x v="10"/>
  </r>
  <r>
    <x v="10"/>
  </r>
  <r>
    <x v="17"/>
  </r>
  <r>
    <x v="10"/>
  </r>
  <r>
    <x v="10"/>
  </r>
  <r>
    <x v="10"/>
  </r>
  <r>
    <x v="10"/>
  </r>
  <r>
    <x v="10"/>
  </r>
  <r>
    <x v="10"/>
  </r>
  <r>
    <x v="28"/>
  </r>
  <r>
    <x v="28"/>
  </r>
  <r>
    <x v="28"/>
  </r>
  <r>
    <x v="28"/>
  </r>
  <r>
    <x v="68"/>
  </r>
  <r>
    <x v="7"/>
  </r>
  <r>
    <x v="123"/>
  </r>
  <r>
    <x v="12"/>
  </r>
  <r>
    <x v="4"/>
  </r>
  <r>
    <x v="3"/>
  </r>
  <r>
    <x v="4"/>
  </r>
  <r>
    <x v="162"/>
  </r>
  <r>
    <x v="24"/>
  </r>
  <r>
    <x v="9"/>
  </r>
  <r>
    <x v="10"/>
  </r>
  <r>
    <x v="10"/>
  </r>
  <r>
    <x v="10"/>
  </r>
  <r>
    <x v="10"/>
  </r>
  <r>
    <x v="10"/>
  </r>
  <r>
    <x v="25"/>
  </r>
  <r>
    <x v="63"/>
  </r>
  <r>
    <x v="25"/>
  </r>
  <r>
    <x v="31"/>
  </r>
  <r>
    <x v="59"/>
  </r>
  <r>
    <x v="90"/>
  </r>
  <r>
    <x v="14"/>
  </r>
  <r>
    <x v="240"/>
  </r>
  <r>
    <x v="165"/>
  </r>
  <r>
    <x v="10"/>
  </r>
  <r>
    <x v="4"/>
  </r>
  <r>
    <x v="4"/>
  </r>
  <r>
    <x v="43"/>
  </r>
  <r>
    <x v="16"/>
  </r>
  <r>
    <x v="16"/>
  </r>
  <r>
    <x v="16"/>
  </r>
  <r>
    <x v="21"/>
  </r>
  <r>
    <x v="60"/>
  </r>
  <r>
    <x v="55"/>
  </r>
  <r>
    <x v="87"/>
  </r>
  <r>
    <x v="4"/>
  </r>
  <r>
    <x v="42"/>
  </r>
  <r>
    <x v="55"/>
  </r>
  <r>
    <x v="10"/>
  </r>
  <r>
    <x v="76"/>
  </r>
  <r>
    <x v="53"/>
  </r>
  <r>
    <x v="86"/>
  </r>
  <r>
    <x v="53"/>
  </r>
  <r>
    <x v="24"/>
  </r>
  <r>
    <x v="24"/>
  </r>
  <r>
    <x v="86"/>
  </r>
  <r>
    <x v="163"/>
  </r>
  <r>
    <x v="63"/>
  </r>
  <r>
    <x v="63"/>
  </r>
  <r>
    <x v="63"/>
  </r>
  <r>
    <x v="63"/>
  </r>
  <r>
    <x v="0"/>
  </r>
  <r>
    <x v="63"/>
  </r>
  <r>
    <x v="63"/>
  </r>
  <r>
    <x v="175"/>
  </r>
  <r>
    <x v="12"/>
  </r>
  <r>
    <x v="1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2"/>
  </r>
  <r>
    <x v="15"/>
  </r>
  <r>
    <x v="15"/>
  </r>
  <r>
    <x v="4"/>
  </r>
  <r>
    <x v="12"/>
  </r>
  <r>
    <x v="0"/>
  </r>
  <r>
    <x v="9"/>
  </r>
  <r>
    <x v="0"/>
  </r>
  <r>
    <x v="12"/>
  </r>
  <r>
    <x v="56"/>
  </r>
  <r>
    <x v="24"/>
  </r>
  <r>
    <x v="70"/>
  </r>
  <r>
    <x v="2"/>
  </r>
  <r>
    <x v="9"/>
  </r>
  <r>
    <x v="9"/>
  </r>
  <r>
    <x v="9"/>
  </r>
  <r>
    <x v="9"/>
  </r>
  <r>
    <x v="24"/>
  </r>
  <r>
    <x v="12"/>
  </r>
  <r>
    <x v="12"/>
  </r>
  <r>
    <x v="36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42"/>
  </r>
  <r>
    <x v="87"/>
  </r>
  <r>
    <x v="87"/>
  </r>
  <r>
    <x v="10"/>
  </r>
  <r>
    <x v="10"/>
  </r>
  <r>
    <x v="10"/>
  </r>
  <r>
    <x v="146"/>
  </r>
  <r>
    <x v="10"/>
  </r>
  <r>
    <x v="48"/>
  </r>
  <r>
    <x v="10"/>
  </r>
  <r>
    <x v="10"/>
  </r>
  <r>
    <x v="10"/>
  </r>
  <r>
    <x v="165"/>
  </r>
  <r>
    <x v="25"/>
  </r>
  <r>
    <x v="25"/>
  </r>
  <r>
    <x v="14"/>
  </r>
  <r>
    <x v="1"/>
  </r>
  <r>
    <x v="4"/>
  </r>
  <r>
    <x v="4"/>
  </r>
  <r>
    <x v="154"/>
  </r>
  <r>
    <x v="0"/>
  </r>
  <r>
    <x v="86"/>
  </r>
  <r>
    <x v="71"/>
  </r>
  <r>
    <x v="71"/>
  </r>
  <r>
    <x v="123"/>
  </r>
  <r>
    <x v="24"/>
  </r>
  <r>
    <x v="75"/>
  </r>
  <r>
    <x v="14"/>
  </r>
  <r>
    <x v="14"/>
  </r>
  <r>
    <x v="14"/>
  </r>
  <r>
    <x v="14"/>
  </r>
  <r>
    <x v="14"/>
  </r>
  <r>
    <x v="10"/>
  </r>
  <r>
    <x v="28"/>
  </r>
  <r>
    <x v="21"/>
  </r>
  <r>
    <x v="108"/>
  </r>
  <r>
    <x v="108"/>
  </r>
  <r>
    <x v="108"/>
  </r>
  <r>
    <x v="14"/>
  </r>
  <r>
    <x v="24"/>
  </r>
  <r>
    <x v="4"/>
  </r>
  <r>
    <x v="77"/>
  </r>
  <r>
    <x v="76"/>
  </r>
  <r>
    <x v="138"/>
  </r>
  <r>
    <x v="0"/>
  </r>
  <r>
    <x v="3"/>
  </r>
  <r>
    <x v="3"/>
  </r>
  <r>
    <x v="19"/>
  </r>
  <r>
    <x v="138"/>
  </r>
  <r>
    <x v="17"/>
  </r>
  <r>
    <x v="48"/>
  </r>
  <r>
    <x v="77"/>
  </r>
  <r>
    <x v="25"/>
  </r>
  <r>
    <x v="77"/>
  </r>
  <r>
    <x v="89"/>
  </r>
  <r>
    <x v="29"/>
  </r>
  <r>
    <x v="77"/>
  </r>
  <r>
    <x v="77"/>
  </r>
  <r>
    <x v="77"/>
  </r>
  <r>
    <x v="12"/>
  </r>
  <r>
    <x v="56"/>
  </r>
  <r>
    <x v="102"/>
  </r>
  <r>
    <x v="77"/>
  </r>
  <r>
    <x v="19"/>
  </r>
  <r>
    <x v="57"/>
  </r>
  <r>
    <x v="57"/>
  </r>
  <r>
    <x v="57"/>
  </r>
  <r>
    <x v="28"/>
  </r>
  <r>
    <x v="183"/>
  </r>
  <r>
    <x v="1"/>
  </r>
  <r>
    <x v="28"/>
  </r>
  <r>
    <x v="36"/>
  </r>
  <r>
    <x v="28"/>
  </r>
  <r>
    <x v="28"/>
  </r>
  <r>
    <x v="28"/>
  </r>
  <r>
    <x v="24"/>
  </r>
  <r>
    <x v="24"/>
  </r>
  <r>
    <x v="28"/>
  </r>
  <r>
    <x v="28"/>
  </r>
  <r>
    <x v="28"/>
  </r>
  <r>
    <x v="123"/>
  </r>
  <r>
    <x v="123"/>
  </r>
  <r>
    <x v="123"/>
  </r>
  <r>
    <x v="123"/>
  </r>
  <r>
    <x v="123"/>
  </r>
  <r>
    <x v="142"/>
  </r>
  <r>
    <x v="77"/>
  </r>
  <r>
    <x v="12"/>
  </r>
  <r>
    <x v="10"/>
  </r>
  <r>
    <x v="12"/>
  </r>
  <r>
    <x v="12"/>
  </r>
  <r>
    <x v="142"/>
  </r>
  <r>
    <x v="10"/>
  </r>
  <r>
    <x v="0"/>
  </r>
  <r>
    <x v="4"/>
  </r>
  <r>
    <x v="12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6"/>
  </r>
  <r>
    <x v="4"/>
  </r>
  <r>
    <x v="4"/>
  </r>
  <r>
    <x v="55"/>
  </r>
  <r>
    <x v="141"/>
  </r>
  <r>
    <x v="0"/>
  </r>
  <r>
    <x v="10"/>
  </r>
  <r>
    <x v="24"/>
  </r>
  <r>
    <x v="77"/>
  </r>
  <r>
    <x v="77"/>
  </r>
  <r>
    <x v="16"/>
  </r>
  <r>
    <x v="10"/>
  </r>
  <r>
    <x v="87"/>
  </r>
  <r>
    <x v="87"/>
  </r>
  <r>
    <x v="87"/>
  </r>
  <r>
    <x v="175"/>
  </r>
  <r>
    <x v="87"/>
  </r>
  <r>
    <x v="87"/>
  </r>
  <r>
    <x v="87"/>
  </r>
  <r>
    <x v="87"/>
  </r>
  <r>
    <x v="87"/>
  </r>
  <r>
    <x v="87"/>
  </r>
  <r>
    <x v="0"/>
  </r>
  <r>
    <x v="87"/>
  </r>
  <r>
    <x v="87"/>
  </r>
  <r>
    <x v="87"/>
  </r>
  <r>
    <x v="87"/>
  </r>
  <r>
    <x v="42"/>
  </r>
  <r>
    <x v="111"/>
  </r>
  <r>
    <x v="81"/>
  </r>
  <r>
    <x v="59"/>
  </r>
  <r>
    <x v="72"/>
  </r>
  <r>
    <x v="72"/>
  </r>
  <r>
    <x v="72"/>
  </r>
  <r>
    <x v="4"/>
  </r>
  <r>
    <x v="123"/>
  </r>
  <r>
    <x v="12"/>
  </r>
  <r>
    <x v="63"/>
  </r>
  <r>
    <x v="63"/>
  </r>
  <r>
    <x v="63"/>
  </r>
  <r>
    <x v="63"/>
  </r>
  <r>
    <x v="77"/>
  </r>
  <r>
    <x v="63"/>
  </r>
  <r>
    <x v="63"/>
  </r>
  <r>
    <x v="4"/>
  </r>
  <r>
    <x v="4"/>
  </r>
  <r>
    <x v="12"/>
  </r>
  <r>
    <x v="4"/>
  </r>
  <r>
    <x v="4"/>
  </r>
  <r>
    <x v="4"/>
  </r>
  <r>
    <x v="4"/>
  </r>
  <r>
    <x v="4"/>
  </r>
  <r>
    <x v="87"/>
  </r>
  <r>
    <x v="4"/>
  </r>
  <r>
    <x v="4"/>
  </r>
  <r>
    <x v="4"/>
  </r>
  <r>
    <x v="4"/>
  </r>
  <r>
    <x v="34"/>
  </r>
  <r>
    <x v="4"/>
  </r>
  <r>
    <x v="4"/>
  </r>
  <r>
    <x v="4"/>
  </r>
  <r>
    <x v="4"/>
  </r>
  <r>
    <x v="4"/>
  </r>
  <r>
    <x v="4"/>
  </r>
  <r>
    <x v="36"/>
  </r>
  <r>
    <x v="4"/>
  </r>
  <r>
    <x v="4"/>
  </r>
  <r>
    <x v="4"/>
  </r>
  <r>
    <x v="1"/>
  </r>
  <r>
    <x v="20"/>
  </r>
  <r>
    <x v="12"/>
  </r>
  <r>
    <x v="115"/>
  </r>
  <r>
    <x v="34"/>
  </r>
  <r>
    <x v="12"/>
  </r>
  <r>
    <x v="22"/>
  </r>
  <r>
    <x v="22"/>
  </r>
  <r>
    <x v="12"/>
  </r>
  <r>
    <x v="152"/>
  </r>
  <r>
    <x v="87"/>
  </r>
  <r>
    <x v="87"/>
  </r>
  <r>
    <x v="78"/>
  </r>
  <r>
    <x v="96"/>
  </r>
  <r>
    <x v="7"/>
  </r>
  <r>
    <x v="4"/>
  </r>
  <r>
    <x v="16"/>
  </r>
  <r>
    <x v="126"/>
  </r>
  <r>
    <x v="25"/>
  </r>
  <r>
    <x v="56"/>
  </r>
  <r>
    <x v="56"/>
  </r>
  <r>
    <x v="29"/>
  </r>
  <r>
    <x v="25"/>
  </r>
  <r>
    <x v="14"/>
  </r>
  <r>
    <x v="14"/>
  </r>
  <r>
    <x v="12"/>
  </r>
  <r>
    <x v="16"/>
  </r>
  <r>
    <x v="86"/>
  </r>
  <r>
    <x v="12"/>
  </r>
  <r>
    <x v="12"/>
  </r>
  <r>
    <x v="68"/>
  </r>
  <r>
    <x v="12"/>
  </r>
  <r>
    <x v="12"/>
  </r>
  <r>
    <x v="115"/>
  </r>
  <r>
    <x v="175"/>
  </r>
  <r>
    <x v="126"/>
  </r>
  <r>
    <x v="39"/>
  </r>
  <r>
    <x v="272"/>
  </r>
  <r>
    <x v="273"/>
  </r>
  <r>
    <x v="272"/>
  </r>
  <r>
    <x v="63"/>
  </r>
  <r>
    <x v="4"/>
  </r>
  <r>
    <x v="4"/>
  </r>
  <r>
    <x v="50"/>
  </r>
  <r>
    <x v="10"/>
  </r>
  <r>
    <x v="10"/>
  </r>
  <r>
    <x v="10"/>
  </r>
  <r>
    <x v="10"/>
  </r>
  <r>
    <x v="10"/>
  </r>
  <r>
    <x v="10"/>
  </r>
  <r>
    <x v="36"/>
  </r>
  <r>
    <x v="36"/>
  </r>
  <r>
    <x v="36"/>
  </r>
  <r>
    <x v="36"/>
  </r>
  <r>
    <x v="10"/>
  </r>
  <r>
    <x v="123"/>
  </r>
  <r>
    <x v="7"/>
  </r>
  <r>
    <x v="12"/>
  </r>
  <r>
    <x v="7"/>
  </r>
  <r>
    <x v="78"/>
  </r>
  <r>
    <x v="78"/>
  </r>
  <r>
    <x v="78"/>
  </r>
  <r>
    <x v="78"/>
  </r>
  <r>
    <x v="78"/>
  </r>
  <r>
    <x v="10"/>
  </r>
  <r>
    <x v="10"/>
  </r>
  <r>
    <x v="10"/>
  </r>
  <r>
    <x v="10"/>
  </r>
  <r>
    <x v="10"/>
  </r>
  <r>
    <x v="42"/>
  </r>
  <r>
    <x v="42"/>
  </r>
  <r>
    <x v="42"/>
  </r>
  <r>
    <x v="42"/>
  </r>
  <r>
    <x v="10"/>
  </r>
  <r>
    <x v="42"/>
  </r>
  <r>
    <x v="42"/>
  </r>
  <r>
    <x v="14"/>
  </r>
  <r>
    <x v="0"/>
  </r>
  <r>
    <x v="42"/>
  </r>
  <r>
    <x v="42"/>
  </r>
  <r>
    <x v="123"/>
  </r>
  <r>
    <x v="123"/>
  </r>
  <r>
    <x v="123"/>
  </r>
  <r>
    <x v="123"/>
  </r>
  <r>
    <x v="76"/>
  </r>
  <r>
    <x v="24"/>
  </r>
  <r>
    <x v="24"/>
  </r>
  <r>
    <x v="123"/>
  </r>
  <r>
    <x v="123"/>
  </r>
  <r>
    <x v="123"/>
  </r>
  <r>
    <x v="10"/>
  </r>
  <r>
    <x v="77"/>
  </r>
  <r>
    <x v="79"/>
  </r>
  <r>
    <x v="79"/>
  </r>
  <r>
    <x v="79"/>
  </r>
  <r>
    <x v="112"/>
  </r>
  <r>
    <x v="0"/>
  </r>
  <r>
    <x v="12"/>
  </r>
  <r>
    <x v="28"/>
  </r>
  <r>
    <x v="28"/>
  </r>
  <r>
    <x v="28"/>
  </r>
  <r>
    <x v="12"/>
  </r>
  <r>
    <x v="0"/>
  </r>
  <r>
    <x v="0"/>
  </r>
  <r>
    <x v="12"/>
  </r>
  <r>
    <x v="10"/>
  </r>
  <r>
    <x v="57"/>
  </r>
  <r>
    <x v="14"/>
  </r>
  <r>
    <x v="14"/>
  </r>
  <r>
    <x v="10"/>
  </r>
  <r>
    <x v="4"/>
  </r>
  <r>
    <x v="16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23"/>
  </r>
  <r>
    <x v="123"/>
  </r>
  <r>
    <x v="123"/>
  </r>
  <r>
    <x v="123"/>
  </r>
  <r>
    <x v="123"/>
  </r>
  <r>
    <x v="123"/>
  </r>
  <r>
    <x v="123"/>
  </r>
  <r>
    <x v="10"/>
  </r>
  <r>
    <x v="4"/>
  </r>
  <r>
    <x v="123"/>
  </r>
  <r>
    <x v="123"/>
  </r>
  <r>
    <x v="4"/>
  </r>
  <r>
    <x v="123"/>
  </r>
  <r>
    <x v="123"/>
  </r>
  <r>
    <x v="123"/>
  </r>
  <r>
    <x v="123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4"/>
  </r>
  <r>
    <x v="4"/>
  </r>
  <r>
    <x v="4"/>
  </r>
  <r>
    <x v="24"/>
  </r>
  <r>
    <x v="4"/>
  </r>
  <r>
    <x v="4"/>
  </r>
  <r>
    <x v="4"/>
  </r>
  <r>
    <x v="4"/>
  </r>
  <r>
    <x v="248"/>
  </r>
  <r>
    <x v="25"/>
  </r>
  <r>
    <x v="155"/>
  </r>
  <r>
    <x v="115"/>
  </r>
  <r>
    <x v="4"/>
  </r>
  <r>
    <x v="51"/>
  </r>
  <r>
    <x v="12"/>
  </r>
  <r>
    <x v="12"/>
  </r>
  <r>
    <x v="28"/>
  </r>
  <r>
    <x v="10"/>
  </r>
  <r>
    <x v="12"/>
  </r>
  <r>
    <x v="45"/>
  </r>
  <r>
    <x v="28"/>
  </r>
  <r>
    <x v="28"/>
  </r>
  <r>
    <x v="28"/>
  </r>
  <r>
    <x v="28"/>
  </r>
  <r>
    <x v="28"/>
  </r>
  <r>
    <x v="28"/>
  </r>
  <r>
    <x v="128"/>
  </r>
  <r>
    <x v="128"/>
  </r>
  <r>
    <x v="42"/>
  </r>
  <r>
    <x v="128"/>
  </r>
  <r>
    <x v="128"/>
  </r>
  <r>
    <x v="7"/>
  </r>
  <r>
    <x v="126"/>
  </r>
  <r>
    <x v="36"/>
  </r>
  <r>
    <x v="36"/>
  </r>
  <r>
    <x v="10"/>
  </r>
  <r>
    <x v="36"/>
  </r>
  <r>
    <x v="12"/>
  </r>
  <r>
    <x v="36"/>
  </r>
  <r>
    <x v="12"/>
  </r>
  <r>
    <x v="36"/>
  </r>
  <r>
    <x v="4"/>
  </r>
  <r>
    <x v="126"/>
  </r>
  <r>
    <x v="8"/>
  </r>
  <r>
    <x v="48"/>
  </r>
  <r>
    <x v="8"/>
  </r>
  <r>
    <x v="12"/>
  </r>
  <r>
    <x v="16"/>
  </r>
  <r>
    <x v="126"/>
  </r>
  <r>
    <x v="21"/>
  </r>
  <r>
    <x v="14"/>
  </r>
  <r>
    <x v="126"/>
  </r>
  <r>
    <x v="126"/>
  </r>
  <r>
    <x v="126"/>
  </r>
  <r>
    <x v="126"/>
  </r>
  <r>
    <x v="64"/>
  </r>
  <r>
    <x v="72"/>
  </r>
  <r>
    <x v="31"/>
  </r>
  <r>
    <x v="7"/>
  </r>
  <r>
    <x v="0"/>
  </r>
  <r>
    <x v="52"/>
  </r>
  <r>
    <x v="16"/>
  </r>
  <r>
    <x v="4"/>
  </r>
  <r>
    <x v="115"/>
  </r>
  <r>
    <x v="4"/>
  </r>
  <r>
    <x v="4"/>
  </r>
  <r>
    <x v="2"/>
  </r>
  <r>
    <x v="4"/>
  </r>
  <r>
    <x v="4"/>
  </r>
  <r>
    <x v="10"/>
  </r>
  <r>
    <x v="3"/>
  </r>
  <r>
    <x v="10"/>
  </r>
  <r>
    <x v="10"/>
  </r>
  <r>
    <x v="10"/>
  </r>
  <r>
    <x v="3"/>
  </r>
  <r>
    <x v="87"/>
  </r>
  <r>
    <x v="0"/>
  </r>
  <r>
    <x v="10"/>
  </r>
  <r>
    <x v="48"/>
  </r>
  <r>
    <x v="57"/>
  </r>
  <r>
    <x v="52"/>
  </r>
  <r>
    <x v="31"/>
  </r>
  <r>
    <x v="22"/>
  </r>
  <r>
    <x v="33"/>
  </r>
  <r>
    <x v="33"/>
  </r>
  <r>
    <x v="33"/>
  </r>
  <r>
    <x v="33"/>
  </r>
  <r>
    <x v="0"/>
  </r>
  <r>
    <x v="0"/>
  </r>
  <r>
    <x v="0"/>
  </r>
  <r>
    <x v="0"/>
  </r>
  <r>
    <x v="0"/>
  </r>
  <r>
    <x v="33"/>
  </r>
  <r>
    <x v="33"/>
  </r>
  <r>
    <x v="0"/>
  </r>
  <r>
    <x v="0"/>
  </r>
  <r>
    <x v="10"/>
  </r>
  <r>
    <x v="0"/>
  </r>
  <r>
    <x v="10"/>
  </r>
  <r>
    <x v="10"/>
  </r>
  <r>
    <x v="42"/>
  </r>
  <r>
    <x v="10"/>
  </r>
  <r>
    <x v="10"/>
  </r>
  <r>
    <x v="0"/>
  </r>
  <r>
    <x v="0"/>
  </r>
  <r>
    <x v="0"/>
  </r>
  <r>
    <x v="33"/>
  </r>
  <r>
    <x v="33"/>
  </r>
  <r>
    <x v="28"/>
  </r>
  <r>
    <x v="33"/>
  </r>
  <r>
    <x v="15"/>
  </r>
  <r>
    <x v="15"/>
  </r>
  <r>
    <x v="0"/>
  </r>
  <r>
    <x v="33"/>
  </r>
  <r>
    <x v="33"/>
  </r>
  <r>
    <x v="33"/>
  </r>
  <r>
    <x v="10"/>
  </r>
  <r>
    <x v="0"/>
  </r>
  <r>
    <x v="0"/>
  </r>
  <r>
    <x v="7"/>
  </r>
  <r>
    <x v="33"/>
  </r>
  <r>
    <x v="0"/>
  </r>
  <r>
    <x v="0"/>
  </r>
  <r>
    <x v="0"/>
  </r>
  <r>
    <x v="33"/>
  </r>
  <r>
    <x v="33"/>
  </r>
  <r>
    <x v="33"/>
  </r>
  <r>
    <x v="33"/>
  </r>
  <r>
    <x v="0"/>
  </r>
  <r>
    <x v="0"/>
  </r>
  <r>
    <x v="7"/>
  </r>
  <r>
    <x v="0"/>
  </r>
  <r>
    <x v="0"/>
  </r>
  <r>
    <x v="42"/>
  </r>
  <r>
    <x v="42"/>
  </r>
  <r>
    <x v="42"/>
  </r>
  <r>
    <x v="33"/>
  </r>
  <r>
    <x v="33"/>
  </r>
  <r>
    <x v="0"/>
  </r>
  <r>
    <x v="0"/>
  </r>
  <r>
    <x v="0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36"/>
  </r>
  <r>
    <x v="12"/>
  </r>
  <r>
    <x v="12"/>
  </r>
  <r>
    <x v="123"/>
  </r>
  <r>
    <x v="123"/>
  </r>
  <r>
    <x v="56"/>
  </r>
  <r>
    <x v="152"/>
  </r>
  <r>
    <x v="28"/>
  </r>
  <r>
    <x v="152"/>
  </r>
  <r>
    <x v="16"/>
  </r>
  <r>
    <x v="77"/>
  </r>
  <r>
    <x v="12"/>
  </r>
  <r>
    <x v="88"/>
  </r>
  <r>
    <x v="77"/>
  </r>
  <r>
    <x v="115"/>
  </r>
  <r>
    <x v="115"/>
  </r>
  <r>
    <x v="123"/>
  </r>
  <r>
    <x v="152"/>
  </r>
  <r>
    <x v="52"/>
  </r>
  <r>
    <x v="52"/>
  </r>
  <r>
    <x v="138"/>
  </r>
  <r>
    <x v="138"/>
  </r>
  <r>
    <x v="52"/>
  </r>
  <r>
    <x v="4"/>
  </r>
  <r>
    <x v="4"/>
  </r>
  <r>
    <x v="4"/>
  </r>
  <r>
    <x v="4"/>
  </r>
  <r>
    <x v="0"/>
  </r>
  <r>
    <x v="4"/>
  </r>
  <r>
    <x v="12"/>
  </r>
  <r>
    <x v="52"/>
  </r>
  <r>
    <x v="87"/>
  </r>
  <r>
    <x v="4"/>
  </r>
  <r>
    <x v="4"/>
  </r>
  <r>
    <x v="4"/>
  </r>
  <r>
    <x v="31"/>
  </r>
  <r>
    <x v="10"/>
  </r>
  <r>
    <x v="10"/>
  </r>
  <r>
    <x v="12"/>
  </r>
  <r>
    <x v="10"/>
  </r>
  <r>
    <x v="10"/>
  </r>
  <r>
    <x v="10"/>
  </r>
  <r>
    <x v="10"/>
  </r>
  <r>
    <x v="123"/>
  </r>
  <r>
    <x v="53"/>
  </r>
  <r>
    <x v="10"/>
  </r>
  <r>
    <x v="10"/>
  </r>
  <r>
    <x v="10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39"/>
  </r>
  <r>
    <x v="10"/>
  </r>
  <r>
    <x v="138"/>
  </r>
  <r>
    <x v="138"/>
  </r>
  <r>
    <x v="138"/>
  </r>
  <r>
    <x v="138"/>
  </r>
  <r>
    <x v="138"/>
  </r>
  <r>
    <x v="138"/>
  </r>
  <r>
    <x v="138"/>
  </r>
  <r>
    <x v="21"/>
  </r>
  <r>
    <x v="138"/>
  </r>
  <r>
    <x v="48"/>
  </r>
  <r>
    <x v="163"/>
  </r>
  <r>
    <x v="163"/>
  </r>
  <r>
    <x v="43"/>
  </r>
  <r>
    <x v="24"/>
  </r>
  <r>
    <x v="14"/>
  </r>
  <r>
    <x v="22"/>
  </r>
  <r>
    <x v="19"/>
  </r>
  <r>
    <x v="19"/>
  </r>
  <r>
    <x v="63"/>
  </r>
  <r>
    <x v="78"/>
  </r>
  <r>
    <x v="63"/>
  </r>
  <r>
    <x v="63"/>
  </r>
  <r>
    <x v="63"/>
  </r>
  <r>
    <x v="63"/>
  </r>
  <r>
    <x v="57"/>
  </r>
  <r>
    <x v="4"/>
  </r>
  <r>
    <x v="0"/>
  </r>
  <r>
    <x v="12"/>
  </r>
  <r>
    <x v="12"/>
  </r>
  <r>
    <x v="36"/>
  </r>
  <r>
    <x v="36"/>
  </r>
  <r>
    <x v="115"/>
  </r>
  <r>
    <x v="115"/>
  </r>
  <r>
    <x v="115"/>
  </r>
  <r>
    <x v="115"/>
  </r>
  <r>
    <x v="115"/>
  </r>
  <r>
    <x v="87"/>
  </r>
  <r>
    <x v="48"/>
  </r>
  <r>
    <x v="10"/>
  </r>
  <r>
    <x v="28"/>
  </r>
  <r>
    <x v="4"/>
  </r>
  <r>
    <x v="42"/>
  </r>
  <r>
    <x v="10"/>
  </r>
  <r>
    <x v="4"/>
  </r>
  <r>
    <x v="4"/>
  </r>
  <r>
    <x v="4"/>
  </r>
  <r>
    <x v="4"/>
  </r>
  <r>
    <x v="10"/>
  </r>
  <r>
    <x v="86"/>
  </r>
  <r>
    <x v="10"/>
  </r>
  <r>
    <x v="51"/>
  </r>
  <r>
    <x v="10"/>
  </r>
  <r>
    <x v="10"/>
  </r>
  <r>
    <x v="10"/>
  </r>
  <r>
    <x v="53"/>
  </r>
  <r>
    <x v="4"/>
  </r>
  <r>
    <x v="10"/>
  </r>
  <r>
    <x v="4"/>
  </r>
  <r>
    <x v="10"/>
  </r>
  <r>
    <x v="4"/>
  </r>
  <r>
    <x v="0"/>
  </r>
  <r>
    <x v="12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0"/>
  </r>
  <r>
    <x v="69"/>
  </r>
  <r>
    <x v="7"/>
  </r>
  <r>
    <x v="36"/>
  </r>
  <r>
    <x v="69"/>
  </r>
  <r>
    <x v="69"/>
  </r>
  <r>
    <x v="16"/>
  </r>
  <r>
    <x v="7"/>
  </r>
  <r>
    <x v="42"/>
  </r>
  <r>
    <x v="4"/>
  </r>
  <r>
    <x v="123"/>
  </r>
  <r>
    <x v="108"/>
  </r>
  <r>
    <x v="4"/>
  </r>
  <r>
    <x v="113"/>
  </r>
  <r>
    <x v="7"/>
  </r>
  <r>
    <x v="10"/>
  </r>
  <r>
    <x v="7"/>
  </r>
  <r>
    <x v="152"/>
  </r>
  <r>
    <x v="152"/>
  </r>
  <r>
    <x v="152"/>
  </r>
  <r>
    <x v="152"/>
  </r>
  <r>
    <x v="152"/>
  </r>
  <r>
    <x v="152"/>
  </r>
  <r>
    <x v="42"/>
  </r>
  <r>
    <x v="42"/>
  </r>
  <r>
    <x v="42"/>
  </r>
  <r>
    <x v="123"/>
  </r>
  <r>
    <x v="16"/>
  </r>
  <r>
    <x v="16"/>
  </r>
  <r>
    <x v="123"/>
  </r>
  <r>
    <x v="123"/>
  </r>
  <r>
    <x v="115"/>
  </r>
  <r>
    <x v="40"/>
  </r>
  <r>
    <x v="123"/>
  </r>
  <r>
    <x v="123"/>
  </r>
  <r>
    <x v="24"/>
  </r>
  <r>
    <x v="24"/>
  </r>
  <r>
    <x v="4"/>
  </r>
  <r>
    <x v="24"/>
  </r>
  <r>
    <x v="21"/>
  </r>
  <r>
    <x v="24"/>
  </r>
  <r>
    <x v="21"/>
  </r>
  <r>
    <x v="4"/>
  </r>
  <r>
    <x v="4"/>
  </r>
  <r>
    <x v="138"/>
  </r>
  <r>
    <x v="4"/>
  </r>
  <r>
    <x v="126"/>
  </r>
  <r>
    <x v="10"/>
  </r>
  <r>
    <x v="126"/>
  </r>
  <r>
    <x v="79"/>
  </r>
  <r>
    <x v="10"/>
  </r>
  <r>
    <x v="10"/>
  </r>
  <r>
    <x v="10"/>
  </r>
  <r>
    <x v="10"/>
  </r>
  <r>
    <x v="10"/>
  </r>
  <r>
    <x v="10"/>
  </r>
  <r>
    <x v="26"/>
  </r>
  <r>
    <x v="10"/>
  </r>
  <r>
    <x v="10"/>
  </r>
  <r>
    <x v="10"/>
  </r>
  <r>
    <x v="48"/>
  </r>
  <r>
    <x v="274"/>
  </r>
  <r>
    <x v="21"/>
  </r>
  <r>
    <x v="76"/>
  </r>
  <r>
    <x v="76"/>
  </r>
  <r>
    <x v="76"/>
  </r>
  <r>
    <x v="76"/>
  </r>
  <r>
    <x v="21"/>
  </r>
  <r>
    <x v="240"/>
  </r>
  <r>
    <x v="0"/>
  </r>
  <r>
    <x v="0"/>
  </r>
  <r>
    <x v="0"/>
  </r>
  <r>
    <x v="0"/>
  </r>
  <r>
    <x v="0"/>
  </r>
  <r>
    <x v="0"/>
  </r>
  <r>
    <x v="4"/>
  </r>
  <r>
    <x v="56"/>
  </r>
  <r>
    <x v="56"/>
  </r>
  <r>
    <x v="56"/>
  </r>
  <r>
    <x v="4"/>
  </r>
  <r>
    <x v="4"/>
  </r>
  <r>
    <x v="253"/>
  </r>
  <r>
    <x v="4"/>
  </r>
  <r>
    <x v="14"/>
  </r>
  <r>
    <x v="4"/>
  </r>
  <r>
    <x v="14"/>
  </r>
  <r>
    <x v="42"/>
  </r>
  <r>
    <x v="57"/>
  </r>
  <r>
    <x v="57"/>
  </r>
  <r>
    <x v="138"/>
  </r>
  <r>
    <x v="138"/>
  </r>
  <r>
    <x v="68"/>
  </r>
  <r>
    <x v="21"/>
  </r>
  <r>
    <x v="21"/>
  </r>
  <r>
    <x v="78"/>
  </r>
  <r>
    <x v="78"/>
  </r>
  <r>
    <x v="78"/>
  </r>
  <r>
    <x v="72"/>
  </r>
  <r>
    <x v="51"/>
  </r>
  <r>
    <x v="21"/>
  </r>
  <r>
    <x v="175"/>
  </r>
  <r>
    <x v="175"/>
  </r>
  <r>
    <x v="0"/>
  </r>
  <r>
    <x v="175"/>
  </r>
  <r>
    <x v="16"/>
  </r>
  <r>
    <x v="4"/>
  </r>
  <r>
    <x v="4"/>
  </r>
  <r>
    <x v="4"/>
  </r>
  <r>
    <x v="4"/>
  </r>
  <r>
    <x v="41"/>
  </r>
  <r>
    <x v="14"/>
  </r>
  <r>
    <x v="30"/>
  </r>
  <r>
    <x v="17"/>
  </r>
  <r>
    <x v="71"/>
  </r>
  <r>
    <x v="12"/>
  </r>
  <r>
    <x v="78"/>
  </r>
  <r>
    <x v="78"/>
  </r>
  <r>
    <x v="6"/>
  </r>
  <r>
    <x v="28"/>
  </r>
  <r>
    <x v="28"/>
  </r>
  <r>
    <x v="28"/>
  </r>
  <r>
    <x v="28"/>
  </r>
  <r>
    <x v="28"/>
  </r>
  <r>
    <x v="28"/>
  </r>
  <r>
    <x v="28"/>
  </r>
  <r>
    <x v="71"/>
  </r>
  <r>
    <x v="28"/>
  </r>
  <r>
    <x v="80"/>
  </r>
  <r>
    <x v="12"/>
  </r>
  <r>
    <x v="0"/>
  </r>
  <r>
    <x v="76"/>
  </r>
  <r>
    <x v="12"/>
  </r>
  <r>
    <x v="80"/>
  </r>
  <r>
    <x v="12"/>
  </r>
  <r>
    <x v="12"/>
  </r>
  <r>
    <x v="12"/>
  </r>
  <r>
    <x v="80"/>
  </r>
  <r>
    <x v="12"/>
  </r>
  <r>
    <x v="12"/>
  </r>
  <r>
    <x v="12"/>
  </r>
  <r>
    <x v="80"/>
  </r>
  <r>
    <x v="86"/>
  </r>
  <r>
    <x v="123"/>
  </r>
  <r>
    <x v="42"/>
  </r>
  <r>
    <x v="56"/>
  </r>
  <r>
    <x v="56"/>
  </r>
  <r>
    <x v="56"/>
  </r>
  <r>
    <x v="80"/>
  </r>
  <r>
    <x v="80"/>
  </r>
  <r>
    <x v="80"/>
  </r>
  <r>
    <x v="80"/>
  </r>
  <r>
    <x v="80"/>
  </r>
  <r>
    <x v="80"/>
  </r>
  <r>
    <x v="56"/>
  </r>
  <r>
    <x v="56"/>
  </r>
  <r>
    <x v="56"/>
  </r>
  <r>
    <x v="56"/>
  </r>
  <r>
    <x v="56"/>
  </r>
  <r>
    <x v="0"/>
  </r>
  <r>
    <x v="0"/>
  </r>
  <r>
    <x v="0"/>
  </r>
  <r>
    <x v="0"/>
  </r>
  <r>
    <x v="12"/>
  </r>
  <r>
    <x v="12"/>
  </r>
  <r>
    <x v="0"/>
  </r>
  <r>
    <x v="0"/>
  </r>
  <r>
    <x v="12"/>
  </r>
  <r>
    <x v="0"/>
  </r>
  <r>
    <x v="0"/>
  </r>
  <r>
    <x v="86"/>
  </r>
  <r>
    <x v="86"/>
  </r>
  <r>
    <x v="79"/>
  </r>
  <r>
    <x v="42"/>
  </r>
  <r>
    <x v="12"/>
  </r>
  <r>
    <x v="37"/>
  </r>
  <r>
    <x v="76"/>
  </r>
  <r>
    <x v="21"/>
  </r>
  <r>
    <x v="33"/>
  </r>
  <r>
    <x v="6"/>
  </r>
  <r>
    <x v="4"/>
  </r>
  <r>
    <x v="33"/>
  </r>
  <r>
    <x v="115"/>
  </r>
  <r>
    <x v="115"/>
  </r>
  <r>
    <x v="6"/>
  </r>
  <r>
    <x v="4"/>
  </r>
  <r>
    <x v="10"/>
  </r>
  <r>
    <x v="10"/>
  </r>
  <r>
    <x v="10"/>
  </r>
  <r>
    <x v="52"/>
  </r>
  <r>
    <x v="4"/>
  </r>
  <r>
    <x v="168"/>
  </r>
  <r>
    <x v="12"/>
  </r>
  <r>
    <x v="12"/>
  </r>
  <r>
    <x v="96"/>
  </r>
  <r>
    <x v="96"/>
  </r>
  <r>
    <x v="10"/>
  </r>
  <r>
    <x v="10"/>
  </r>
  <r>
    <x v="10"/>
  </r>
  <r>
    <x v="17"/>
  </r>
  <r>
    <x v="10"/>
  </r>
  <r>
    <x v="22"/>
  </r>
  <r>
    <x v="136"/>
  </r>
  <r>
    <x v="90"/>
  </r>
  <r>
    <x v="46"/>
  </r>
  <r>
    <x v="12"/>
  </r>
  <r>
    <x v="10"/>
  </r>
  <r>
    <x v="14"/>
  </r>
  <r>
    <x v="14"/>
  </r>
  <r>
    <x v="10"/>
  </r>
  <r>
    <x v="14"/>
  </r>
  <r>
    <x v="152"/>
  </r>
  <r>
    <x v="12"/>
  </r>
  <r>
    <x v="28"/>
  </r>
  <r>
    <x v="0"/>
  </r>
  <r>
    <x v="0"/>
  </r>
  <r>
    <x v="188"/>
  </r>
  <r>
    <x v="28"/>
  </r>
  <r>
    <x v="10"/>
  </r>
  <r>
    <x v="10"/>
  </r>
  <r>
    <x v="36"/>
  </r>
  <r>
    <x v="87"/>
  </r>
  <r>
    <x v="71"/>
  </r>
  <r>
    <x v="17"/>
  </r>
  <r>
    <x v="10"/>
  </r>
  <r>
    <x v="10"/>
  </r>
  <r>
    <x v="123"/>
  </r>
  <r>
    <x v="8"/>
  </r>
  <r>
    <x v="8"/>
  </r>
  <r>
    <x v="85"/>
  </r>
  <r>
    <x v="164"/>
  </r>
  <r>
    <x v="164"/>
  </r>
  <r>
    <x v="164"/>
  </r>
  <r>
    <x v="164"/>
  </r>
  <r>
    <x v="164"/>
  </r>
  <r>
    <x v="164"/>
  </r>
  <r>
    <x v="164"/>
  </r>
  <r>
    <x v="164"/>
  </r>
  <r>
    <x v="164"/>
  </r>
  <r>
    <x v="24"/>
  </r>
  <r>
    <x v="22"/>
  </r>
  <r>
    <x v="12"/>
  </r>
  <r>
    <x v="164"/>
  </r>
  <r>
    <x v="164"/>
  </r>
  <r>
    <x v="164"/>
  </r>
  <r>
    <x v="164"/>
  </r>
  <r>
    <x v="0"/>
  </r>
  <r>
    <x v="69"/>
  </r>
  <r>
    <x v="14"/>
  </r>
  <r>
    <x v="69"/>
  </r>
  <r>
    <x v="69"/>
  </r>
  <r>
    <x v="69"/>
  </r>
  <r>
    <x v="69"/>
  </r>
  <r>
    <x v="69"/>
  </r>
  <r>
    <x v="69"/>
  </r>
  <r>
    <x v="69"/>
  </r>
  <r>
    <x v="164"/>
  </r>
  <r>
    <x v="149"/>
  </r>
  <r>
    <x v="80"/>
  </r>
  <r>
    <x v="149"/>
  </r>
  <r>
    <x v="71"/>
  </r>
  <r>
    <x v="71"/>
  </r>
  <r>
    <x v="80"/>
  </r>
  <r>
    <x v="19"/>
  </r>
  <r>
    <x v="71"/>
  </r>
  <r>
    <x v="71"/>
  </r>
  <r>
    <x v="71"/>
  </r>
  <r>
    <x v="71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0"/>
  </r>
  <r>
    <x v="0"/>
  </r>
  <r>
    <x v="0"/>
  </r>
  <r>
    <x v="0"/>
  </r>
  <r>
    <x v="0"/>
  </r>
  <r>
    <x v="4"/>
  </r>
  <r>
    <x v="42"/>
  </r>
  <r>
    <x v="42"/>
  </r>
  <r>
    <x v="42"/>
  </r>
  <r>
    <x v="42"/>
  </r>
  <r>
    <x v="42"/>
  </r>
  <r>
    <x v="42"/>
  </r>
  <r>
    <x v="4"/>
  </r>
  <r>
    <x v="42"/>
  </r>
  <r>
    <x v="10"/>
  </r>
  <r>
    <x v="6"/>
  </r>
  <r>
    <x v="10"/>
  </r>
  <r>
    <x v="42"/>
  </r>
  <r>
    <x v="4"/>
  </r>
  <r>
    <x v="42"/>
  </r>
  <r>
    <x v="42"/>
  </r>
  <r>
    <x v="42"/>
  </r>
  <r>
    <x v="42"/>
  </r>
  <r>
    <x v="42"/>
  </r>
  <r>
    <x v="86"/>
  </r>
  <r>
    <x v="85"/>
  </r>
  <r>
    <x v="26"/>
  </r>
  <r>
    <x v="32"/>
  </r>
  <r>
    <x v="10"/>
  </r>
  <r>
    <x v="10"/>
  </r>
  <r>
    <x v="10"/>
  </r>
  <r>
    <x v="10"/>
  </r>
  <r>
    <x v="42"/>
  </r>
  <r>
    <x v="10"/>
  </r>
  <r>
    <x v="10"/>
  </r>
  <r>
    <x v="10"/>
  </r>
  <r>
    <x v="10"/>
  </r>
  <r>
    <x v="10"/>
  </r>
  <r>
    <x v="0"/>
  </r>
  <r>
    <x v="7"/>
  </r>
  <r>
    <x v="29"/>
  </r>
  <r>
    <x v="29"/>
  </r>
  <r>
    <x v="29"/>
  </r>
  <r>
    <x v="36"/>
  </r>
  <r>
    <x v="36"/>
  </r>
  <r>
    <x v="57"/>
  </r>
  <r>
    <x v="17"/>
  </r>
  <r>
    <x v="10"/>
  </r>
  <r>
    <x v="10"/>
  </r>
  <r>
    <x v="10"/>
  </r>
  <r>
    <x v="10"/>
  </r>
  <r>
    <x v="10"/>
  </r>
  <r>
    <x v="4"/>
  </r>
  <r>
    <x v="4"/>
  </r>
  <r>
    <x v="4"/>
  </r>
  <r>
    <x v="56"/>
  </r>
  <r>
    <x v="19"/>
  </r>
  <r>
    <x v="30"/>
  </r>
  <r>
    <x v="30"/>
  </r>
  <r>
    <x v="24"/>
  </r>
  <r>
    <x v="22"/>
  </r>
  <r>
    <x v="114"/>
  </r>
  <r>
    <x v="36"/>
  </r>
  <r>
    <x v="54"/>
  </r>
  <r>
    <x v="78"/>
  </r>
  <r>
    <x v="78"/>
  </r>
  <r>
    <x v="78"/>
  </r>
  <r>
    <x v="54"/>
  </r>
  <r>
    <x v="10"/>
  </r>
  <r>
    <x v="10"/>
  </r>
  <r>
    <x v="10"/>
  </r>
  <r>
    <x v="10"/>
  </r>
  <r>
    <x v="28"/>
  </r>
  <r>
    <x v="162"/>
  </r>
  <r>
    <x v="48"/>
  </r>
  <r>
    <x v="76"/>
  </r>
  <r>
    <x v="4"/>
  </r>
  <r>
    <x v="4"/>
  </r>
  <r>
    <x v="4"/>
  </r>
  <r>
    <x v="152"/>
  </r>
  <r>
    <x v="152"/>
  </r>
  <r>
    <x v="152"/>
  </r>
  <r>
    <x v="15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23"/>
  </r>
  <r>
    <x v="123"/>
  </r>
  <r>
    <x v="138"/>
  </r>
  <r>
    <x v="87"/>
  </r>
  <r>
    <x v="4"/>
  </r>
  <r>
    <x v="39"/>
  </r>
  <r>
    <x v="28"/>
  </r>
  <r>
    <x v="10"/>
  </r>
  <r>
    <x v="53"/>
  </r>
  <r>
    <x v="160"/>
  </r>
  <r>
    <x v="160"/>
  </r>
  <r>
    <x v="152"/>
  </r>
  <r>
    <x v="152"/>
  </r>
  <r>
    <x v="4"/>
  </r>
  <r>
    <x v="4"/>
  </r>
  <r>
    <x v="4"/>
  </r>
  <r>
    <x v="4"/>
  </r>
  <r>
    <x v="4"/>
  </r>
  <r>
    <x v="4"/>
  </r>
  <r>
    <x v="87"/>
  </r>
  <r>
    <x v="123"/>
  </r>
  <r>
    <x v="123"/>
  </r>
  <r>
    <x v="123"/>
  </r>
  <r>
    <x v="123"/>
  </r>
  <r>
    <x v="123"/>
  </r>
  <r>
    <x v="138"/>
  </r>
  <r>
    <x v="4"/>
  </r>
  <r>
    <x v="4"/>
  </r>
  <r>
    <x v="7"/>
  </r>
  <r>
    <x v="123"/>
  </r>
  <r>
    <x v="7"/>
  </r>
  <r>
    <x v="7"/>
  </r>
  <r>
    <x v="123"/>
  </r>
  <r>
    <x v="7"/>
  </r>
  <r>
    <x v="123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23"/>
  </r>
  <r>
    <x v="123"/>
  </r>
  <r>
    <x v="123"/>
  </r>
  <r>
    <x v="123"/>
  </r>
  <r>
    <x v="123"/>
  </r>
  <r>
    <x v="123"/>
  </r>
  <r>
    <x v="123"/>
  </r>
  <r>
    <x v="123"/>
  </r>
  <r>
    <x v="4"/>
  </r>
  <r>
    <x v="4"/>
  </r>
  <r>
    <x v="4"/>
  </r>
  <r>
    <x v="4"/>
  </r>
  <r>
    <x v="51"/>
  </r>
  <r>
    <x v="51"/>
  </r>
  <r>
    <x v="51"/>
  </r>
  <r>
    <x v="51"/>
  </r>
  <r>
    <x v="51"/>
  </r>
  <r>
    <x v="123"/>
  </r>
  <r>
    <x v="123"/>
  </r>
  <r>
    <x v="123"/>
  </r>
  <r>
    <x v="123"/>
  </r>
  <r>
    <x v="123"/>
  </r>
  <r>
    <x v="51"/>
  </r>
  <r>
    <x v="51"/>
  </r>
  <r>
    <x v="51"/>
  </r>
  <r>
    <x v="51"/>
  </r>
  <r>
    <x v="51"/>
  </r>
  <r>
    <x v="51"/>
  </r>
  <r>
    <x v="51"/>
  </r>
  <r>
    <x v="16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38"/>
  </r>
  <r>
    <x v="138"/>
  </r>
  <r>
    <x v="138"/>
  </r>
  <r>
    <x v="51"/>
  </r>
  <r>
    <x v="138"/>
  </r>
  <r>
    <x v="138"/>
  </r>
  <r>
    <x v="138"/>
  </r>
  <r>
    <x v="138"/>
  </r>
  <r>
    <x v="51"/>
  </r>
  <r>
    <x v="51"/>
  </r>
  <r>
    <x v="4"/>
  </r>
  <r>
    <x v="4"/>
  </r>
  <r>
    <x v="4"/>
  </r>
  <r>
    <x v="12"/>
  </r>
  <r>
    <x v="12"/>
  </r>
  <r>
    <x v="12"/>
  </r>
  <r>
    <x v="14"/>
  </r>
  <r>
    <x v="25"/>
  </r>
  <r>
    <x v="78"/>
  </r>
  <r>
    <x v="71"/>
  </r>
  <r>
    <x v="77"/>
  </r>
  <r>
    <x v="2"/>
  </r>
  <r>
    <x v="52"/>
  </r>
  <r>
    <x v="37"/>
  </r>
  <r>
    <x v="37"/>
  </r>
  <r>
    <x v="51"/>
  </r>
  <r>
    <x v="51"/>
  </r>
  <r>
    <x v="37"/>
  </r>
  <r>
    <x v="37"/>
  </r>
  <r>
    <x v="37"/>
  </r>
  <r>
    <x v="37"/>
  </r>
  <r>
    <x v="12"/>
  </r>
  <r>
    <x v="16"/>
  </r>
  <r>
    <x v="16"/>
  </r>
  <r>
    <x v="16"/>
  </r>
  <r>
    <x v="16"/>
  </r>
  <r>
    <x v="16"/>
  </r>
  <r>
    <x v="7"/>
  </r>
  <r>
    <x v="7"/>
  </r>
  <r>
    <x v="7"/>
  </r>
  <r>
    <x v="78"/>
  </r>
  <r>
    <x v="41"/>
  </r>
  <r>
    <x v="41"/>
  </r>
  <r>
    <x v="12"/>
  </r>
  <r>
    <x v="71"/>
  </r>
  <r>
    <x v="71"/>
  </r>
  <r>
    <x v="22"/>
  </r>
  <r>
    <x v="139"/>
  </r>
  <r>
    <x v="16"/>
  </r>
  <r>
    <x v="28"/>
  </r>
  <r>
    <x v="21"/>
  </r>
  <r>
    <x v="22"/>
  </r>
  <r>
    <x v="46"/>
  </r>
  <r>
    <x v="7"/>
  </r>
  <r>
    <x v="144"/>
  </r>
  <r>
    <x v="7"/>
  </r>
  <r>
    <x v="0"/>
  </r>
  <r>
    <x v="0"/>
  </r>
  <r>
    <x v="0"/>
  </r>
  <r>
    <x v="4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3"/>
  </r>
  <r>
    <x v="53"/>
  </r>
  <r>
    <x v="7"/>
  </r>
  <r>
    <x v="7"/>
  </r>
  <r>
    <x v="7"/>
  </r>
  <r>
    <x v="7"/>
  </r>
  <r>
    <x v="7"/>
  </r>
  <r>
    <x v="7"/>
  </r>
  <r>
    <x v="7"/>
  </r>
  <r>
    <x v="152"/>
  </r>
  <r>
    <x v="152"/>
  </r>
  <r>
    <x v="42"/>
  </r>
  <r>
    <x v="152"/>
  </r>
  <r>
    <x v="152"/>
  </r>
  <r>
    <x v="28"/>
  </r>
  <r>
    <x v="10"/>
  </r>
  <r>
    <x v="10"/>
  </r>
  <r>
    <x v="10"/>
  </r>
  <r>
    <x v="10"/>
  </r>
  <r>
    <x v="4"/>
  </r>
  <r>
    <x v="123"/>
  </r>
  <r>
    <x v="123"/>
  </r>
  <r>
    <x v="233"/>
  </r>
  <r>
    <x v="16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60"/>
  </r>
  <r>
    <x v="60"/>
  </r>
  <r>
    <x v="60"/>
  </r>
  <r>
    <x v="60"/>
  </r>
  <r>
    <x v="10"/>
  </r>
  <r>
    <x v="10"/>
  </r>
  <r>
    <x v="28"/>
  </r>
  <r>
    <x v="6"/>
  </r>
  <r>
    <x v="89"/>
  </r>
  <r>
    <x v="0"/>
  </r>
  <r>
    <x v="30"/>
  </r>
  <r>
    <x v="10"/>
  </r>
  <r>
    <x v="2"/>
  </r>
  <r>
    <x v="2"/>
  </r>
  <r>
    <x v="53"/>
  </r>
  <r>
    <x v="2"/>
  </r>
  <r>
    <x v="4"/>
  </r>
  <r>
    <x v="131"/>
  </r>
  <r>
    <x v="25"/>
  </r>
  <r>
    <x v="12"/>
  </r>
  <r>
    <x v="48"/>
  </r>
  <r>
    <x v="10"/>
  </r>
  <r>
    <x v="10"/>
  </r>
  <r>
    <x v="7"/>
  </r>
  <r>
    <x v="7"/>
  </r>
  <r>
    <x v="108"/>
  </r>
  <r>
    <x v="4"/>
  </r>
  <r>
    <x v="7"/>
  </r>
  <r>
    <x v="7"/>
  </r>
  <r>
    <x v="7"/>
  </r>
  <r>
    <x v="7"/>
  </r>
  <r>
    <x v="7"/>
  </r>
  <r>
    <x v="0"/>
  </r>
  <r>
    <x v="0"/>
  </r>
  <r>
    <x v="21"/>
  </r>
  <r>
    <x v="53"/>
  </r>
  <r>
    <x v="53"/>
  </r>
  <r>
    <x v="53"/>
  </r>
  <r>
    <x v="53"/>
  </r>
  <r>
    <x v="53"/>
  </r>
  <r>
    <x v="53"/>
  </r>
  <r>
    <x v="7"/>
  </r>
  <r>
    <x v="7"/>
  </r>
  <r>
    <x v="7"/>
  </r>
  <r>
    <x v="7"/>
  </r>
  <r>
    <x v="7"/>
  </r>
  <r>
    <x v="28"/>
  </r>
  <r>
    <x v="28"/>
  </r>
  <r>
    <x v="28"/>
  </r>
  <r>
    <x v="28"/>
  </r>
  <r>
    <x v="28"/>
  </r>
  <r>
    <x v="28"/>
  </r>
  <r>
    <x v="118"/>
  </r>
  <r>
    <x v="4"/>
  </r>
  <r>
    <x v="53"/>
  </r>
  <r>
    <x v="0"/>
  </r>
  <r>
    <x v="7"/>
  </r>
  <r>
    <x v="123"/>
  </r>
  <r>
    <x v="7"/>
  </r>
  <r>
    <x v="7"/>
  </r>
  <r>
    <x v="7"/>
  </r>
  <r>
    <x v="123"/>
  </r>
  <r>
    <x v="10"/>
  </r>
  <r>
    <x v="10"/>
  </r>
  <r>
    <x v="4"/>
  </r>
  <r>
    <x v="123"/>
  </r>
  <r>
    <x v="55"/>
  </r>
  <r>
    <x v="175"/>
  </r>
  <r>
    <x v="10"/>
  </r>
  <r>
    <x v="10"/>
  </r>
  <r>
    <x v="10"/>
  </r>
  <r>
    <x v="10"/>
  </r>
  <r>
    <x v="123"/>
  </r>
  <r>
    <x v="123"/>
  </r>
  <r>
    <x v="53"/>
  </r>
  <r>
    <x v="7"/>
  </r>
  <r>
    <x v="0"/>
  </r>
  <r>
    <x v="28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4"/>
  </r>
  <r>
    <x v="4"/>
  </r>
  <r>
    <x v="4"/>
  </r>
  <r>
    <x v="10"/>
  </r>
  <r>
    <x v="45"/>
  </r>
  <r>
    <x v="4"/>
  </r>
  <r>
    <x v="4"/>
  </r>
  <r>
    <x v="71"/>
  </r>
  <r>
    <x v="71"/>
  </r>
  <r>
    <x v="71"/>
  </r>
  <r>
    <x v="10"/>
  </r>
  <r>
    <x v="4"/>
  </r>
  <r>
    <x v="14"/>
  </r>
  <r>
    <x v="4"/>
  </r>
  <r>
    <x v="4"/>
  </r>
  <r>
    <x v="25"/>
  </r>
  <r>
    <x v="2"/>
  </r>
  <r>
    <x v="138"/>
  </r>
  <r>
    <x v="15"/>
  </r>
  <r>
    <x v="10"/>
  </r>
  <r>
    <x v="15"/>
  </r>
  <r>
    <x v="10"/>
  </r>
  <r>
    <x v="26"/>
  </r>
  <r>
    <x v="21"/>
  </r>
  <r>
    <x v="4"/>
  </r>
  <r>
    <x v="48"/>
  </r>
  <r>
    <x v="138"/>
  </r>
  <r>
    <x v="48"/>
  </r>
  <r>
    <x v="138"/>
  </r>
  <r>
    <x v="53"/>
  </r>
  <r>
    <x v="165"/>
  </r>
  <r>
    <x v="165"/>
  </r>
  <r>
    <x v="165"/>
  </r>
  <r>
    <x v="4"/>
  </r>
  <r>
    <x v="165"/>
  </r>
  <r>
    <x v="4"/>
  </r>
  <r>
    <x v="4"/>
  </r>
  <r>
    <x v="4"/>
  </r>
  <r>
    <x v="4"/>
  </r>
  <r>
    <x v="165"/>
  </r>
  <r>
    <x v="165"/>
  </r>
  <r>
    <x v="16"/>
  </r>
  <r>
    <x v="165"/>
  </r>
  <r>
    <x v="4"/>
  </r>
  <r>
    <x v="165"/>
  </r>
  <r>
    <x v="4"/>
  </r>
  <r>
    <x v="144"/>
  </r>
  <r>
    <x v="144"/>
  </r>
  <r>
    <x v="4"/>
  </r>
  <r>
    <x v="0"/>
  </r>
  <r>
    <x v="83"/>
  </r>
  <r>
    <x v="75"/>
  </r>
  <r>
    <x v="7"/>
  </r>
  <r>
    <x v="4"/>
  </r>
  <r>
    <x v="4"/>
  </r>
  <r>
    <x v="4"/>
  </r>
  <r>
    <x v="7"/>
  </r>
  <r>
    <x v="7"/>
  </r>
  <r>
    <x v="10"/>
  </r>
  <r>
    <x v="10"/>
  </r>
  <r>
    <x v="28"/>
  </r>
  <r>
    <x v="165"/>
  </r>
  <r>
    <x v="4"/>
  </r>
  <r>
    <x v="165"/>
  </r>
  <r>
    <x v="4"/>
  </r>
  <r>
    <x v="4"/>
  </r>
  <r>
    <x v="59"/>
  </r>
  <r>
    <x v="59"/>
  </r>
  <r>
    <x v="59"/>
  </r>
  <r>
    <x v="165"/>
  </r>
  <r>
    <x v="4"/>
  </r>
  <r>
    <x v="49"/>
  </r>
  <r>
    <x v="95"/>
  </r>
  <r>
    <x v="42"/>
  </r>
  <r>
    <x v="115"/>
  </r>
  <r>
    <x v="115"/>
  </r>
  <r>
    <x v="7"/>
  </r>
  <r>
    <x v="115"/>
  </r>
  <r>
    <x v="115"/>
  </r>
  <r>
    <x v="115"/>
  </r>
  <r>
    <x v="71"/>
  </r>
  <r>
    <x v="123"/>
  </r>
  <r>
    <x v="22"/>
  </r>
  <r>
    <x v="275"/>
  </r>
  <r>
    <x v="275"/>
  </r>
  <r>
    <x v="275"/>
  </r>
  <r>
    <x v="26"/>
  </r>
  <r>
    <x v="275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76"/>
  </r>
  <r>
    <x v="10"/>
  </r>
  <r>
    <x v="42"/>
  </r>
  <r>
    <x v="42"/>
  </r>
  <r>
    <x v="4"/>
  </r>
  <r>
    <x v="4"/>
  </r>
  <r>
    <x v="12"/>
  </r>
  <r>
    <x v="17"/>
  </r>
  <r>
    <x v="12"/>
  </r>
  <r>
    <x v="10"/>
  </r>
  <r>
    <x v="10"/>
  </r>
  <r>
    <x v="10"/>
  </r>
  <r>
    <x v="10"/>
  </r>
  <r>
    <x v="57"/>
  </r>
  <r>
    <x v="10"/>
  </r>
  <r>
    <x v="10"/>
  </r>
  <r>
    <x v="10"/>
  </r>
  <r>
    <x v="57"/>
  </r>
  <r>
    <x v="57"/>
  </r>
  <r>
    <x v="57"/>
  </r>
  <r>
    <x v="57"/>
  </r>
  <r>
    <x v="10"/>
  </r>
  <r>
    <x v="31"/>
  </r>
  <r>
    <x v="31"/>
  </r>
  <r>
    <x v="31"/>
  </r>
  <r>
    <x v="86"/>
  </r>
  <r>
    <x v="86"/>
  </r>
  <r>
    <x v="86"/>
  </r>
  <r>
    <x v="86"/>
  </r>
  <r>
    <x v="51"/>
  </r>
  <r>
    <x v="86"/>
  </r>
  <r>
    <x v="86"/>
  </r>
  <r>
    <x v="86"/>
  </r>
  <r>
    <x v="86"/>
  </r>
  <r>
    <x v="86"/>
  </r>
  <r>
    <x v="86"/>
  </r>
  <r>
    <x v="86"/>
  </r>
  <r>
    <x v="86"/>
  </r>
  <r>
    <x v="86"/>
  </r>
  <r>
    <x v="183"/>
  </r>
  <r>
    <x v="183"/>
  </r>
  <r>
    <x v="10"/>
  </r>
  <r>
    <x v="10"/>
  </r>
  <r>
    <x v="4"/>
  </r>
  <r>
    <x v="4"/>
  </r>
  <r>
    <x v="10"/>
  </r>
  <r>
    <x v="24"/>
  </r>
  <r>
    <x v="10"/>
  </r>
  <r>
    <x v="25"/>
  </r>
  <r>
    <x v="10"/>
  </r>
  <r>
    <x v="4"/>
  </r>
  <r>
    <x v="4"/>
  </r>
  <r>
    <x v="53"/>
  </r>
  <r>
    <x v="10"/>
  </r>
  <r>
    <x v="4"/>
  </r>
  <r>
    <x v="4"/>
  </r>
  <r>
    <x v="10"/>
  </r>
  <r>
    <x v="4"/>
  </r>
  <r>
    <x v="10"/>
  </r>
  <r>
    <x v="10"/>
  </r>
  <r>
    <x v="10"/>
  </r>
  <r>
    <x v="77"/>
  </r>
  <r>
    <x v="24"/>
  </r>
  <r>
    <x v="4"/>
  </r>
  <r>
    <x v="4"/>
  </r>
  <r>
    <x v="4"/>
  </r>
  <r>
    <x v="4"/>
  </r>
  <r>
    <x v="154"/>
  </r>
  <r>
    <x v="123"/>
  </r>
  <r>
    <x v="154"/>
  </r>
  <r>
    <x v="154"/>
  </r>
  <r>
    <x v="154"/>
  </r>
  <r>
    <x v="154"/>
  </r>
  <r>
    <x v="1"/>
  </r>
  <r>
    <x v="154"/>
  </r>
  <r>
    <x v="165"/>
  </r>
  <r>
    <x v="4"/>
  </r>
  <r>
    <x v="4"/>
  </r>
  <r>
    <x v="165"/>
  </r>
  <r>
    <x v="4"/>
  </r>
  <r>
    <x v="165"/>
  </r>
  <r>
    <x v="4"/>
  </r>
  <r>
    <x v="4"/>
  </r>
  <r>
    <x v="165"/>
  </r>
  <r>
    <x v="4"/>
  </r>
  <r>
    <x v="4"/>
  </r>
  <r>
    <x v="1"/>
  </r>
  <r>
    <x v="100"/>
  </r>
  <r>
    <x v="0"/>
  </r>
  <r>
    <x v="0"/>
  </r>
  <r>
    <x v="4"/>
  </r>
  <r>
    <x v="10"/>
  </r>
  <r>
    <x v="4"/>
  </r>
  <r>
    <x v="10"/>
  </r>
  <r>
    <x v="4"/>
  </r>
  <r>
    <x v="4"/>
  </r>
  <r>
    <x v="19"/>
  </r>
  <r>
    <x v="4"/>
  </r>
  <r>
    <x v="111"/>
  </r>
  <r>
    <x v="4"/>
  </r>
  <r>
    <x v="10"/>
  </r>
  <r>
    <x v="10"/>
  </r>
  <r>
    <x v="10"/>
  </r>
  <r>
    <x v="10"/>
  </r>
  <r>
    <x v="10"/>
  </r>
  <r>
    <x v="10"/>
  </r>
  <r>
    <x v="7"/>
  </r>
  <r>
    <x v="7"/>
  </r>
  <r>
    <x v="10"/>
  </r>
  <r>
    <x v="10"/>
  </r>
  <r>
    <x v="22"/>
  </r>
  <r>
    <x v="78"/>
  </r>
  <r>
    <x v="78"/>
  </r>
  <r>
    <x v="22"/>
  </r>
  <r>
    <x v="22"/>
  </r>
  <r>
    <x v="22"/>
  </r>
  <r>
    <x v="22"/>
  </r>
  <r>
    <x v="78"/>
  </r>
  <r>
    <x v="78"/>
  </r>
  <r>
    <x v="78"/>
  </r>
  <r>
    <x v="78"/>
  </r>
  <r>
    <x v="78"/>
  </r>
  <r>
    <x v="22"/>
  </r>
  <r>
    <x v="78"/>
  </r>
  <r>
    <x v="78"/>
  </r>
  <r>
    <x v="78"/>
  </r>
  <r>
    <x v="78"/>
  </r>
  <r>
    <x v="78"/>
  </r>
  <r>
    <x v="12"/>
  </r>
  <r>
    <x v="53"/>
  </r>
  <r>
    <x v="4"/>
  </r>
  <r>
    <x v="4"/>
  </r>
  <r>
    <x v="4"/>
  </r>
  <r>
    <x v="4"/>
  </r>
  <r>
    <x v="4"/>
  </r>
  <r>
    <x v="24"/>
  </r>
  <r>
    <x v="2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38"/>
  </r>
  <r>
    <x v="4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4"/>
  </r>
  <r>
    <x v="4"/>
  </r>
  <r>
    <x v="138"/>
  </r>
  <r>
    <x v="4"/>
  </r>
  <r>
    <x v="10"/>
  </r>
  <r>
    <x v="175"/>
  </r>
  <r>
    <x v="175"/>
  </r>
  <r>
    <x v="22"/>
  </r>
  <r>
    <x v="175"/>
  </r>
  <r>
    <x v="9"/>
  </r>
  <r>
    <x v="9"/>
  </r>
  <r>
    <x v="9"/>
  </r>
  <r>
    <x v="9"/>
  </r>
  <r>
    <x v="129"/>
  </r>
  <r>
    <x v="10"/>
  </r>
  <r>
    <x v="10"/>
  </r>
  <r>
    <x v="10"/>
  </r>
  <r>
    <x v="10"/>
  </r>
  <r>
    <x v="161"/>
  </r>
  <r>
    <x v="123"/>
  </r>
  <r>
    <x v="123"/>
  </r>
  <r>
    <x v="123"/>
  </r>
  <r>
    <x v="123"/>
  </r>
  <r>
    <x v="123"/>
  </r>
  <r>
    <x v="86"/>
  </r>
  <r>
    <x v="86"/>
  </r>
  <r>
    <x v="86"/>
  </r>
  <r>
    <x v="86"/>
  </r>
  <r>
    <x v="4"/>
  </r>
  <r>
    <x v="5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23"/>
  </r>
  <r>
    <x v="28"/>
  </r>
  <r>
    <x v="28"/>
  </r>
  <r>
    <x v="28"/>
  </r>
  <r>
    <x v="9"/>
  </r>
  <r>
    <x v="9"/>
  </r>
  <r>
    <x v="9"/>
  </r>
  <r>
    <x v="9"/>
  </r>
  <r>
    <x v="80"/>
  </r>
  <r>
    <x v="10"/>
  </r>
  <r>
    <x v="4"/>
  </r>
  <r>
    <x v="63"/>
  </r>
  <r>
    <x v="63"/>
  </r>
  <r>
    <x v="4"/>
  </r>
  <r>
    <x v="50"/>
  </r>
  <r>
    <x v="10"/>
  </r>
  <r>
    <x v="50"/>
  </r>
  <r>
    <x v="50"/>
  </r>
  <r>
    <x v="50"/>
  </r>
  <r>
    <x v="50"/>
  </r>
  <r>
    <x v="86"/>
  </r>
  <r>
    <x v="86"/>
  </r>
  <r>
    <x v="86"/>
  </r>
  <r>
    <x v="86"/>
  </r>
  <r>
    <x v="26"/>
  </r>
  <r>
    <x v="4"/>
  </r>
  <r>
    <x v="10"/>
  </r>
  <r>
    <x v="4"/>
  </r>
  <r>
    <x v="4"/>
  </r>
  <r>
    <x v="4"/>
  </r>
  <r>
    <x v="87"/>
  </r>
  <r>
    <x v="4"/>
  </r>
  <r>
    <x v="4"/>
  </r>
  <r>
    <x v="165"/>
  </r>
  <r>
    <x v="10"/>
  </r>
  <r>
    <x v="4"/>
  </r>
  <r>
    <x v="87"/>
  </r>
  <r>
    <x v="4"/>
  </r>
  <r>
    <x v="10"/>
  </r>
  <r>
    <x v="10"/>
  </r>
  <r>
    <x v="10"/>
  </r>
  <r>
    <x v="10"/>
  </r>
  <r>
    <x v="4"/>
  </r>
  <r>
    <x v="10"/>
  </r>
  <r>
    <x v="4"/>
  </r>
  <r>
    <x v="4"/>
  </r>
  <r>
    <x v="4"/>
  </r>
  <r>
    <x v="10"/>
  </r>
  <r>
    <x v="10"/>
  </r>
  <r>
    <x v="4"/>
  </r>
  <r>
    <x v="42"/>
  </r>
  <r>
    <x v="138"/>
  </r>
  <r>
    <x v="123"/>
  </r>
  <r>
    <x v="138"/>
  </r>
  <r>
    <x v="123"/>
  </r>
  <r>
    <x v="4"/>
  </r>
  <r>
    <x v="123"/>
  </r>
  <r>
    <x v="10"/>
  </r>
  <r>
    <x v="0"/>
  </r>
  <r>
    <x v="0"/>
  </r>
  <r>
    <x v="10"/>
  </r>
  <r>
    <x v="4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4"/>
  </r>
  <r>
    <x v="4"/>
  </r>
  <r>
    <x v="6"/>
  </r>
  <r>
    <x v="72"/>
  </r>
  <r>
    <x v="68"/>
  </r>
  <r>
    <x v="123"/>
  </r>
  <r>
    <x v="123"/>
  </r>
  <r>
    <x v="123"/>
  </r>
  <r>
    <x v="123"/>
  </r>
  <r>
    <x v="123"/>
  </r>
  <r>
    <x v="123"/>
  </r>
  <r>
    <x v="123"/>
  </r>
  <r>
    <x v="14"/>
  </r>
  <r>
    <x v="10"/>
  </r>
  <r>
    <x v="10"/>
  </r>
  <r>
    <x v="10"/>
  </r>
  <r>
    <x v="10"/>
  </r>
  <r>
    <x v="10"/>
  </r>
  <r>
    <x v="4"/>
  </r>
  <r>
    <x v="10"/>
  </r>
  <r>
    <x v="4"/>
  </r>
  <r>
    <x v="4"/>
  </r>
  <r>
    <x v="4"/>
  </r>
  <r>
    <x v="165"/>
  </r>
  <r>
    <x v="10"/>
  </r>
  <r>
    <x v="10"/>
  </r>
  <r>
    <x v="10"/>
  </r>
  <r>
    <x v="10"/>
  </r>
  <r>
    <x v="10"/>
  </r>
  <r>
    <x v="10"/>
  </r>
  <r>
    <x v="10"/>
  </r>
  <r>
    <x v="21"/>
  </r>
  <r>
    <x v="21"/>
  </r>
  <r>
    <x v="4"/>
  </r>
  <r>
    <x v="4"/>
  </r>
  <r>
    <x v="4"/>
  </r>
  <r>
    <x v="10"/>
  </r>
  <r>
    <x v="10"/>
  </r>
  <r>
    <x v="12"/>
  </r>
  <r>
    <x v="0"/>
  </r>
  <r>
    <x v="80"/>
  </r>
  <r>
    <x v="80"/>
  </r>
  <r>
    <x v="0"/>
  </r>
  <r>
    <x v="0"/>
  </r>
  <r>
    <x v="10"/>
  </r>
  <r>
    <x v="10"/>
  </r>
  <r>
    <x v="10"/>
  </r>
  <r>
    <x v="10"/>
  </r>
  <r>
    <x v="10"/>
  </r>
  <r>
    <x v="4"/>
  </r>
  <r>
    <x v="4"/>
  </r>
  <r>
    <x v="122"/>
  </r>
  <r>
    <x v="24"/>
  </r>
  <r>
    <x v="4"/>
  </r>
  <r>
    <x v="24"/>
  </r>
  <r>
    <x v="24"/>
  </r>
  <r>
    <x v="24"/>
  </r>
  <r>
    <x v="24"/>
  </r>
  <r>
    <x v="68"/>
  </r>
  <r>
    <x v="10"/>
  </r>
  <r>
    <x v="10"/>
  </r>
  <r>
    <x v="10"/>
  </r>
  <r>
    <x v="4"/>
  </r>
  <r>
    <x v="1"/>
  </r>
  <r>
    <x v="4"/>
  </r>
  <r>
    <x v="4"/>
  </r>
  <r>
    <x v="4"/>
  </r>
  <r>
    <x v="4"/>
  </r>
  <r>
    <x v="175"/>
  </r>
  <r>
    <x v="131"/>
  </r>
  <r>
    <x v="10"/>
  </r>
  <r>
    <x v="10"/>
  </r>
  <r>
    <x v="10"/>
  </r>
  <r>
    <x v="10"/>
  </r>
  <r>
    <x v="10"/>
  </r>
  <r>
    <x v="10"/>
  </r>
  <r>
    <x v="148"/>
  </r>
  <r>
    <x v="4"/>
  </r>
  <r>
    <x v="4"/>
  </r>
  <r>
    <x v="9"/>
  </r>
  <r>
    <x v="4"/>
  </r>
  <r>
    <x v="138"/>
  </r>
  <r>
    <x v="138"/>
  </r>
  <r>
    <x v="29"/>
  </r>
  <r>
    <x v="138"/>
  </r>
  <r>
    <x v="29"/>
  </r>
  <r>
    <x v="4"/>
  </r>
  <r>
    <x v="154"/>
  </r>
  <r>
    <x v="45"/>
  </r>
  <r>
    <x v="14"/>
  </r>
  <r>
    <x v="6"/>
  </r>
  <r>
    <x v="4"/>
  </r>
  <r>
    <x v="52"/>
  </r>
  <r>
    <x v="52"/>
  </r>
  <r>
    <x v="138"/>
  </r>
  <r>
    <x v="138"/>
  </r>
  <r>
    <x v="4"/>
  </r>
  <r>
    <x v="4"/>
  </r>
  <r>
    <x v="10"/>
  </r>
  <r>
    <x v="4"/>
  </r>
  <r>
    <x v="4"/>
  </r>
  <r>
    <x v="10"/>
  </r>
  <r>
    <x v="4"/>
  </r>
  <r>
    <x v="4"/>
  </r>
  <r>
    <x v="10"/>
  </r>
  <r>
    <x v="10"/>
  </r>
  <r>
    <x v="10"/>
  </r>
  <r>
    <x v="10"/>
  </r>
  <r>
    <x v="10"/>
  </r>
  <r>
    <x v="115"/>
  </r>
  <r>
    <x v="115"/>
  </r>
  <r>
    <x v="115"/>
  </r>
  <r>
    <x v="115"/>
  </r>
  <r>
    <x v="115"/>
  </r>
  <r>
    <x v="115"/>
  </r>
  <r>
    <x v="115"/>
  </r>
  <r>
    <x v="41"/>
  </r>
  <r>
    <x v="11"/>
  </r>
  <r>
    <x v="10"/>
  </r>
  <r>
    <x v="4"/>
  </r>
  <r>
    <x v="4"/>
  </r>
  <r>
    <x v="4"/>
  </r>
  <r>
    <x v="4"/>
  </r>
  <r>
    <x v="10"/>
  </r>
  <r>
    <x v="4"/>
  </r>
  <r>
    <x v="123"/>
  </r>
  <r>
    <x v="123"/>
  </r>
  <r>
    <x v="123"/>
  </r>
  <r>
    <x v="123"/>
  </r>
  <r>
    <x v="152"/>
  </r>
  <r>
    <x v="152"/>
  </r>
  <r>
    <x v="152"/>
  </r>
  <r>
    <x v="152"/>
  </r>
  <r>
    <x v="152"/>
  </r>
  <r>
    <x v="152"/>
  </r>
  <r>
    <x v="14"/>
  </r>
  <r>
    <x v="14"/>
  </r>
  <r>
    <x v="131"/>
  </r>
  <r>
    <x v="14"/>
  </r>
  <r>
    <x v="14"/>
  </r>
  <r>
    <x v="14"/>
  </r>
  <r>
    <x v="14"/>
  </r>
  <r>
    <x v="14"/>
  </r>
  <r>
    <x v="4"/>
  </r>
  <r>
    <x v="4"/>
  </r>
  <r>
    <x v="10"/>
  </r>
  <r>
    <x v="123"/>
  </r>
  <r>
    <x v="108"/>
  </r>
  <r>
    <x v="51"/>
  </r>
  <r>
    <x v="115"/>
  </r>
  <r>
    <x v="12"/>
  </r>
  <r>
    <x v="31"/>
  </r>
  <r>
    <x v="31"/>
  </r>
  <r>
    <x v="24"/>
  </r>
  <r>
    <x v="108"/>
  </r>
  <r>
    <x v="108"/>
  </r>
  <r>
    <x v="108"/>
  </r>
  <r>
    <x v="0"/>
  </r>
  <r>
    <x v="108"/>
  </r>
  <r>
    <x v="75"/>
  </r>
  <r>
    <x v="108"/>
  </r>
  <r>
    <x v="108"/>
  </r>
  <r>
    <x v="12"/>
  </r>
  <r>
    <x v="108"/>
  </r>
  <r>
    <x v="131"/>
  </r>
  <r>
    <x v="108"/>
  </r>
  <r>
    <x v="10"/>
  </r>
  <r>
    <x v="17"/>
  </r>
  <r>
    <x v="45"/>
  </r>
  <r>
    <x v="4"/>
  </r>
  <r>
    <x v="4"/>
  </r>
  <r>
    <x v="4"/>
  </r>
  <r>
    <x v="4"/>
  </r>
  <r>
    <x v="10"/>
  </r>
  <r>
    <x v="10"/>
  </r>
  <r>
    <x v="12"/>
  </r>
  <r>
    <x v="4"/>
  </r>
  <r>
    <x v="10"/>
  </r>
  <r>
    <x v="4"/>
  </r>
  <r>
    <x v="56"/>
  </r>
  <r>
    <x v="56"/>
  </r>
  <r>
    <x v="4"/>
  </r>
  <r>
    <x v="4"/>
  </r>
  <r>
    <x v="56"/>
  </r>
  <r>
    <x v="56"/>
  </r>
  <r>
    <x v="56"/>
  </r>
  <r>
    <x v="4"/>
  </r>
  <r>
    <x v="130"/>
  </r>
  <r>
    <x v="12"/>
  </r>
  <r>
    <x v="4"/>
  </r>
  <r>
    <x v="4"/>
  </r>
  <r>
    <x v="77"/>
  </r>
  <r>
    <x v="10"/>
  </r>
  <r>
    <x v="33"/>
  </r>
  <r>
    <x v="4"/>
  </r>
  <r>
    <x v="33"/>
  </r>
  <r>
    <x v="10"/>
  </r>
  <r>
    <x v="10"/>
  </r>
  <r>
    <x v="100"/>
  </r>
  <r>
    <x v="63"/>
  </r>
  <r>
    <x v="10"/>
  </r>
  <r>
    <x v="10"/>
  </r>
  <r>
    <x v="10"/>
  </r>
  <r>
    <x v="12"/>
  </r>
  <r>
    <x v="10"/>
  </r>
  <r>
    <x v="10"/>
  </r>
  <r>
    <x v="10"/>
  </r>
  <r>
    <x v="10"/>
  </r>
  <r>
    <x v="48"/>
  </r>
  <r>
    <x v="10"/>
  </r>
  <r>
    <x v="10"/>
  </r>
  <r>
    <x v="4"/>
  </r>
  <r>
    <x v="4"/>
  </r>
  <r>
    <x v="4"/>
  </r>
  <r>
    <x v="53"/>
  </r>
  <r>
    <x v="123"/>
  </r>
  <r>
    <x v="113"/>
  </r>
  <r>
    <x v="123"/>
  </r>
  <r>
    <x v="123"/>
  </r>
  <r>
    <x v="123"/>
  </r>
  <r>
    <x v="123"/>
  </r>
  <r>
    <x v="123"/>
  </r>
  <r>
    <x v="0"/>
  </r>
  <r>
    <x v="123"/>
  </r>
  <r>
    <x v="123"/>
  </r>
  <r>
    <x v="12"/>
  </r>
  <r>
    <x v="12"/>
  </r>
  <r>
    <x v="12"/>
  </r>
  <r>
    <x v="12"/>
  </r>
  <r>
    <x v="12"/>
  </r>
  <r>
    <x v="12"/>
  </r>
  <r>
    <x v="12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31"/>
  </r>
  <r>
    <x v="4"/>
  </r>
  <r>
    <x v="4"/>
  </r>
  <r>
    <x v="4"/>
  </r>
  <r>
    <x v="4"/>
  </r>
  <r>
    <x v="4"/>
  </r>
  <r>
    <x v="22"/>
  </r>
  <r>
    <x v="4"/>
  </r>
  <r>
    <x v="4"/>
  </r>
  <r>
    <x v="4"/>
  </r>
  <r>
    <x v="4"/>
  </r>
  <r>
    <x v="4"/>
  </r>
  <r>
    <x v="4"/>
  </r>
  <r>
    <x v="4"/>
  </r>
  <r>
    <x v="108"/>
  </r>
  <r>
    <x v="2"/>
  </r>
  <r>
    <x v="27"/>
  </r>
  <r>
    <x v="108"/>
  </r>
  <r>
    <x v="12"/>
  </r>
  <r>
    <x v="108"/>
  </r>
  <r>
    <x v="10"/>
  </r>
  <r>
    <x v="10"/>
  </r>
  <r>
    <x v="10"/>
  </r>
  <r>
    <x v="10"/>
  </r>
  <r>
    <x v="10"/>
  </r>
  <r>
    <x v="4"/>
  </r>
  <r>
    <x v="10"/>
  </r>
  <r>
    <x v="4"/>
  </r>
  <r>
    <x v="71"/>
  </r>
  <r>
    <x v="71"/>
  </r>
  <r>
    <x v="71"/>
  </r>
  <r>
    <x v="71"/>
  </r>
  <r>
    <x v="14"/>
  </r>
  <r>
    <x v="16"/>
  </r>
  <r>
    <x v="10"/>
  </r>
  <r>
    <x v="15"/>
  </r>
  <r>
    <x v="10"/>
  </r>
  <r>
    <x v="10"/>
  </r>
  <r>
    <x v="10"/>
  </r>
  <r>
    <x v="10"/>
  </r>
  <r>
    <x v="4"/>
  </r>
  <r>
    <x v="4"/>
  </r>
  <r>
    <x v="10"/>
  </r>
  <r>
    <x v="4"/>
  </r>
  <r>
    <x v="10"/>
  </r>
  <r>
    <x v="10"/>
  </r>
  <r>
    <x v="10"/>
  </r>
  <r>
    <x v="4"/>
  </r>
  <r>
    <x v="4"/>
  </r>
  <r>
    <x v="10"/>
  </r>
  <r>
    <x v="4"/>
  </r>
  <r>
    <x v="4"/>
  </r>
  <r>
    <x v="4"/>
  </r>
  <r>
    <x v="126"/>
  </r>
  <r>
    <x v="10"/>
  </r>
  <r>
    <x v="37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"/>
  </r>
  <r>
    <x v="78"/>
  </r>
  <r>
    <x v="78"/>
  </r>
  <r>
    <x v="78"/>
  </r>
  <r>
    <x v="78"/>
  </r>
  <r>
    <x v="78"/>
  </r>
  <r>
    <x v="78"/>
  </r>
  <r>
    <x v="4"/>
  </r>
  <r>
    <x v="4"/>
  </r>
  <r>
    <x v="12"/>
  </r>
  <r>
    <x v="12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4"/>
  </r>
  <r>
    <x v="4"/>
  </r>
  <r>
    <x v="76"/>
  </r>
  <r>
    <x v="76"/>
  </r>
  <r>
    <x v="77"/>
  </r>
  <r>
    <x v="4"/>
  </r>
  <r>
    <x v="4"/>
  </r>
  <r>
    <x v="22"/>
  </r>
  <r>
    <x v="22"/>
  </r>
  <r>
    <x v="22"/>
  </r>
  <r>
    <x v="22"/>
  </r>
  <r>
    <x v="22"/>
  </r>
  <r>
    <x v="22"/>
  </r>
  <r>
    <x v="22"/>
  </r>
  <r>
    <x v="10"/>
  </r>
  <r>
    <x v="78"/>
  </r>
  <r>
    <x v="10"/>
  </r>
  <r>
    <x v="10"/>
  </r>
  <r>
    <x v="10"/>
  </r>
  <r>
    <x v="10"/>
  </r>
  <r>
    <x v="10"/>
  </r>
  <r>
    <x v="50"/>
  </r>
  <r>
    <x v="4"/>
  </r>
  <r>
    <x v="4"/>
  </r>
  <r>
    <x v="81"/>
  </r>
  <r>
    <x v="8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2"/>
  </r>
  <r>
    <x v="142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2"/>
  </r>
  <r>
    <x v="12"/>
  </r>
  <r>
    <x v="12"/>
  </r>
  <r>
    <x v="12"/>
  </r>
  <r>
    <x v="87"/>
  </r>
  <r>
    <x v="9"/>
  </r>
  <r>
    <x v="36"/>
  </r>
  <r>
    <x v="36"/>
  </r>
  <r>
    <x v="36"/>
  </r>
  <r>
    <x v="50"/>
  </r>
  <r>
    <x v="36"/>
  </r>
  <r>
    <x v="36"/>
  </r>
  <r>
    <x v="36"/>
  </r>
  <r>
    <x v="0"/>
  </r>
  <r>
    <x v="36"/>
  </r>
  <r>
    <x v="10"/>
  </r>
  <r>
    <x v="10"/>
  </r>
  <r>
    <x v="10"/>
  </r>
  <r>
    <x v="30"/>
  </r>
  <r>
    <x v="71"/>
  </r>
  <r>
    <x v="71"/>
  </r>
  <r>
    <x v="71"/>
  </r>
  <r>
    <x v="7"/>
  </r>
  <r>
    <x v="30"/>
  </r>
  <r>
    <x v="77"/>
  </r>
  <r>
    <x v="77"/>
  </r>
  <r>
    <x v="10"/>
  </r>
  <r>
    <x v="10"/>
  </r>
  <r>
    <x v="10"/>
  </r>
  <r>
    <x v="4"/>
  </r>
  <r>
    <x v="4"/>
  </r>
  <r>
    <x v="10"/>
  </r>
  <r>
    <x v="28"/>
  </r>
  <r>
    <x v="144"/>
  </r>
  <r>
    <x v="10"/>
  </r>
  <r>
    <x v="10"/>
  </r>
  <r>
    <x v="10"/>
  </r>
  <r>
    <x v="12"/>
  </r>
  <r>
    <x v="123"/>
  </r>
  <r>
    <x v="123"/>
  </r>
  <r>
    <x v="87"/>
  </r>
  <r>
    <x v="251"/>
  </r>
  <r>
    <x v="12"/>
  </r>
  <r>
    <x v="12"/>
  </r>
  <r>
    <x v="4"/>
  </r>
  <r>
    <x v="4"/>
  </r>
  <r>
    <x v="4"/>
  </r>
  <r>
    <x v="4"/>
  </r>
  <r>
    <x v="10"/>
  </r>
  <r>
    <x v="42"/>
  </r>
  <r>
    <x v="6"/>
  </r>
  <r>
    <x v="6"/>
  </r>
  <r>
    <x v="6"/>
  </r>
  <r>
    <x v="76"/>
  </r>
  <r>
    <x v="126"/>
  </r>
  <r>
    <x v="126"/>
  </r>
  <r>
    <x v="126"/>
  </r>
  <r>
    <x v="126"/>
  </r>
  <r>
    <x v="10"/>
  </r>
  <r>
    <x v="10"/>
  </r>
  <r>
    <x v="22"/>
  </r>
  <r>
    <x v="10"/>
  </r>
  <r>
    <x v="10"/>
  </r>
  <r>
    <x v="10"/>
  </r>
  <r>
    <x v="54"/>
  </r>
  <r>
    <x v="20"/>
  </r>
  <r>
    <x v="115"/>
  </r>
  <r>
    <x v="115"/>
  </r>
  <r>
    <x v="115"/>
  </r>
  <r>
    <x v="115"/>
  </r>
  <r>
    <x v="51"/>
  </r>
  <r>
    <x v="115"/>
  </r>
  <r>
    <x v="51"/>
  </r>
  <r>
    <x v="10"/>
  </r>
  <r>
    <x v="115"/>
  </r>
  <r>
    <x v="115"/>
  </r>
  <r>
    <x v="4"/>
  </r>
  <r>
    <x v="14"/>
  </r>
  <r>
    <x v="37"/>
  </r>
  <r>
    <x v="37"/>
  </r>
  <r>
    <x v="10"/>
  </r>
  <r>
    <x v="37"/>
  </r>
  <r>
    <x v="31"/>
  </r>
  <r>
    <x v="10"/>
  </r>
  <r>
    <x v="4"/>
  </r>
  <r>
    <x v="10"/>
  </r>
  <r>
    <x v="10"/>
  </r>
  <r>
    <x v="0"/>
  </r>
  <r>
    <x v="24"/>
  </r>
  <r>
    <x v="68"/>
  </r>
  <r>
    <x v="10"/>
  </r>
  <r>
    <x v="48"/>
  </r>
  <r>
    <x v="131"/>
  </r>
  <r>
    <x v="123"/>
  </r>
  <r>
    <x v="123"/>
  </r>
  <r>
    <x v="123"/>
  </r>
  <r>
    <x v="123"/>
  </r>
  <r>
    <x v="123"/>
  </r>
  <r>
    <x v="48"/>
  </r>
  <r>
    <x v="123"/>
  </r>
  <r>
    <x v="123"/>
  </r>
  <r>
    <x v="123"/>
  </r>
  <r>
    <x v="138"/>
  </r>
  <r>
    <x v="138"/>
  </r>
  <r>
    <x v="123"/>
  </r>
  <r>
    <x v="123"/>
  </r>
  <r>
    <x v="123"/>
  </r>
  <r>
    <x v="123"/>
  </r>
  <r>
    <x v="123"/>
  </r>
  <r>
    <x v="123"/>
  </r>
  <r>
    <x v="10"/>
  </r>
  <r>
    <x v="4"/>
  </r>
  <r>
    <x v="33"/>
  </r>
  <r>
    <x v="28"/>
  </r>
  <r>
    <x v="28"/>
  </r>
  <r>
    <x v="63"/>
  </r>
  <r>
    <x v="14"/>
  </r>
  <r>
    <x v="12"/>
  </r>
  <r>
    <x v="12"/>
  </r>
  <r>
    <x v="81"/>
  </r>
  <r>
    <x v="24"/>
  </r>
  <r>
    <x v="24"/>
  </r>
  <r>
    <x v="24"/>
  </r>
  <r>
    <x v="24"/>
  </r>
  <r>
    <x v="24"/>
  </r>
  <r>
    <x v="0"/>
  </r>
  <r>
    <x v="14"/>
  </r>
  <r>
    <x v="14"/>
  </r>
  <r>
    <x v="14"/>
  </r>
  <r>
    <x v="14"/>
  </r>
  <r>
    <x v="14"/>
  </r>
  <r>
    <x v="141"/>
  </r>
  <r>
    <x v="86"/>
  </r>
  <r>
    <x v="86"/>
  </r>
  <r>
    <x v="123"/>
  </r>
  <r>
    <x v="42"/>
  </r>
  <r>
    <x v="4"/>
  </r>
  <r>
    <x v="42"/>
  </r>
  <r>
    <x v="87"/>
  </r>
  <r>
    <x v="111"/>
  </r>
  <r>
    <x v="42"/>
  </r>
  <r>
    <x v="42"/>
  </r>
  <r>
    <x v="0"/>
  </r>
  <r>
    <x v="87"/>
  </r>
  <r>
    <x v="12"/>
  </r>
  <r>
    <x v="36"/>
  </r>
  <r>
    <x v="42"/>
  </r>
  <r>
    <x v="112"/>
  </r>
  <r>
    <x v="12"/>
  </r>
  <r>
    <x v="42"/>
  </r>
  <r>
    <x v="103"/>
  </r>
  <r>
    <x v="4"/>
  </r>
  <r>
    <x v="4"/>
  </r>
  <r>
    <x v="4"/>
  </r>
  <r>
    <x v="4"/>
  </r>
  <r>
    <x v="4"/>
  </r>
  <r>
    <x v="4"/>
  </r>
  <r>
    <x v="4"/>
  </r>
  <r>
    <x v="4"/>
  </r>
  <r>
    <x v="77"/>
  </r>
  <r>
    <x v="22"/>
  </r>
  <r>
    <x v="77"/>
  </r>
  <r>
    <x v="4"/>
  </r>
  <r>
    <x v="4"/>
  </r>
  <r>
    <x v="165"/>
  </r>
  <r>
    <x v="165"/>
  </r>
  <r>
    <x v="165"/>
  </r>
  <r>
    <x v="146"/>
  </r>
  <r>
    <x v="165"/>
  </r>
  <r>
    <x v="146"/>
  </r>
  <r>
    <x v="12"/>
  </r>
  <r>
    <x v="4"/>
  </r>
  <r>
    <x v="4"/>
  </r>
  <r>
    <x v="42"/>
  </r>
  <r>
    <x v="4"/>
  </r>
  <r>
    <x v="4"/>
  </r>
  <r>
    <x v="4"/>
  </r>
  <r>
    <x v="4"/>
  </r>
  <r>
    <x v="4"/>
  </r>
  <r>
    <x v="87"/>
  </r>
  <r>
    <x v="87"/>
  </r>
  <r>
    <x v="87"/>
  </r>
  <r>
    <x v="87"/>
  </r>
  <r>
    <x v="87"/>
  </r>
  <r>
    <x v="87"/>
  </r>
  <r>
    <x v="7"/>
  </r>
  <r>
    <x v="87"/>
  </r>
  <r>
    <x v="7"/>
  </r>
  <r>
    <x v="87"/>
  </r>
  <r>
    <x v="63"/>
  </r>
  <r>
    <x v="63"/>
  </r>
  <r>
    <x v="63"/>
  </r>
  <r>
    <x v="87"/>
  </r>
  <r>
    <x v="87"/>
  </r>
  <r>
    <x v="87"/>
  </r>
  <r>
    <x v="87"/>
  </r>
  <r>
    <x v="10"/>
  </r>
  <r>
    <x v="4"/>
  </r>
  <r>
    <x v="4"/>
  </r>
  <r>
    <x v="26"/>
  </r>
  <r>
    <x v="4"/>
  </r>
  <r>
    <x v="26"/>
  </r>
  <r>
    <x v="4"/>
  </r>
  <r>
    <x v="4"/>
  </r>
  <r>
    <x v="57"/>
  </r>
  <r>
    <x v="12"/>
  </r>
  <r>
    <x v="12"/>
  </r>
  <r>
    <x v="12"/>
  </r>
  <r>
    <x v="12"/>
  </r>
  <r>
    <x v="12"/>
  </r>
  <r>
    <x v="4"/>
  </r>
  <r>
    <x v="1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4"/>
  </r>
  <r>
    <x v="30"/>
  </r>
  <r>
    <x v="30"/>
  </r>
  <r>
    <x v="3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0"/>
  </r>
  <r>
    <x v="12"/>
  </r>
  <r>
    <x v="7"/>
  </r>
  <r>
    <x v="12"/>
  </r>
  <r>
    <x v="12"/>
  </r>
  <r>
    <x v="12"/>
  </r>
  <r>
    <x v="36"/>
  </r>
  <r>
    <x v="36"/>
  </r>
  <r>
    <x v="36"/>
  </r>
  <r>
    <x v="12"/>
  </r>
  <r>
    <x v="36"/>
  </r>
  <r>
    <x v="36"/>
  </r>
  <r>
    <x v="36"/>
  </r>
  <r>
    <x v="10"/>
  </r>
  <r>
    <x v="10"/>
  </r>
  <r>
    <x v="10"/>
  </r>
  <r>
    <x v="10"/>
  </r>
  <r>
    <x v="10"/>
  </r>
  <r>
    <x v="28"/>
  </r>
  <r>
    <x v="275"/>
  </r>
  <r>
    <x v="7"/>
  </r>
  <r>
    <x v="7"/>
  </r>
  <r>
    <x v="7"/>
  </r>
  <r>
    <x v="7"/>
  </r>
  <r>
    <x v="28"/>
  </r>
  <r>
    <x v="7"/>
  </r>
  <r>
    <x v="7"/>
  </r>
  <r>
    <x v="7"/>
  </r>
  <r>
    <x v="7"/>
  </r>
  <r>
    <x v="7"/>
  </r>
  <r>
    <x v="7"/>
  </r>
  <r>
    <x v="123"/>
  </r>
  <r>
    <x v="123"/>
  </r>
  <r>
    <x v="14"/>
  </r>
  <r>
    <x v="14"/>
  </r>
  <r>
    <x v="123"/>
  </r>
  <r>
    <x v="10"/>
  </r>
  <r>
    <x v="50"/>
  </r>
  <r>
    <x v="50"/>
  </r>
  <r>
    <x v="71"/>
  </r>
  <r>
    <x v="50"/>
  </r>
  <r>
    <x v="71"/>
  </r>
  <r>
    <x v="50"/>
  </r>
  <r>
    <x v="50"/>
  </r>
  <r>
    <x v="42"/>
  </r>
  <r>
    <x v="12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6"/>
  </r>
  <r>
    <x v="126"/>
  </r>
  <r>
    <x v="126"/>
  </r>
  <r>
    <x v="12"/>
  </r>
  <r>
    <x v="12"/>
  </r>
  <r>
    <x v="126"/>
  </r>
  <r>
    <x v="7"/>
  </r>
  <r>
    <x v="29"/>
  </r>
  <r>
    <x v="29"/>
  </r>
  <r>
    <x v="34"/>
  </r>
  <r>
    <x v="53"/>
  </r>
  <r>
    <x v="81"/>
  </r>
  <r>
    <x v="81"/>
  </r>
  <r>
    <x v="48"/>
  </r>
  <r>
    <x v="165"/>
  </r>
  <r>
    <x v="4"/>
  </r>
  <r>
    <x v="165"/>
  </r>
  <r>
    <x v="165"/>
  </r>
  <r>
    <x v="7"/>
  </r>
  <r>
    <x v="7"/>
  </r>
  <r>
    <x v="86"/>
  </r>
  <r>
    <x v="7"/>
  </r>
  <r>
    <x v="86"/>
  </r>
  <r>
    <x v="86"/>
  </r>
  <r>
    <x v="29"/>
  </r>
  <r>
    <x v="138"/>
  </r>
  <r>
    <x v="7"/>
  </r>
  <r>
    <x v="7"/>
  </r>
  <r>
    <x v="7"/>
  </r>
  <r>
    <x v="7"/>
  </r>
  <r>
    <x v="7"/>
  </r>
  <r>
    <x v="7"/>
  </r>
  <r>
    <x v="7"/>
  </r>
  <r>
    <x v="7"/>
  </r>
  <r>
    <x v="10"/>
  </r>
  <r>
    <x v="10"/>
  </r>
  <r>
    <x v="4"/>
  </r>
  <r>
    <x v="71"/>
  </r>
  <r>
    <x v="86"/>
  </r>
  <r>
    <x v="4"/>
  </r>
  <r>
    <x v="100"/>
  </r>
  <r>
    <x v="4"/>
  </r>
  <r>
    <x v="4"/>
  </r>
  <r>
    <x v="10"/>
  </r>
  <r>
    <x v="28"/>
  </r>
  <r>
    <x v="28"/>
  </r>
  <r>
    <x v="36"/>
  </r>
  <r>
    <x v="36"/>
  </r>
  <r>
    <x v="36"/>
  </r>
  <r>
    <x v="36"/>
  </r>
  <r>
    <x v="36"/>
  </r>
  <r>
    <x v="36"/>
  </r>
  <r>
    <x v="0"/>
  </r>
  <r>
    <x v="36"/>
  </r>
  <r>
    <x v="63"/>
  </r>
  <r>
    <x v="36"/>
  </r>
  <r>
    <x v="36"/>
  </r>
  <r>
    <x v="36"/>
  </r>
  <r>
    <x v="36"/>
  </r>
  <r>
    <x v="36"/>
  </r>
  <r>
    <x v="36"/>
  </r>
  <r>
    <x v="36"/>
  </r>
  <r>
    <x v="25"/>
  </r>
  <r>
    <x v="25"/>
  </r>
  <r>
    <x v="36"/>
  </r>
  <r>
    <x v="36"/>
  </r>
  <r>
    <x v="36"/>
  </r>
  <r>
    <x v="36"/>
  </r>
  <r>
    <x v="48"/>
  </r>
  <r>
    <x v="55"/>
  </r>
  <r>
    <x v="9"/>
  </r>
  <r>
    <x v="9"/>
  </r>
  <r>
    <x v="87"/>
  </r>
  <r>
    <x v="87"/>
  </r>
  <r>
    <x v="29"/>
  </r>
  <r>
    <x v="36"/>
  </r>
  <r>
    <x v="36"/>
  </r>
  <r>
    <x v="12"/>
  </r>
  <r>
    <x v="100"/>
  </r>
  <r>
    <x v="12"/>
  </r>
  <r>
    <x v="12"/>
  </r>
  <r>
    <x v="86"/>
  </r>
  <r>
    <x v="86"/>
  </r>
  <r>
    <x v="86"/>
  </r>
  <r>
    <x v="86"/>
  </r>
  <r>
    <x v="86"/>
  </r>
  <r>
    <x v="48"/>
  </r>
  <r>
    <x v="10"/>
  </r>
  <r>
    <x v="10"/>
  </r>
  <r>
    <x v="10"/>
  </r>
  <r>
    <x v="46"/>
  </r>
  <r>
    <x v="10"/>
  </r>
  <r>
    <x v="10"/>
  </r>
  <r>
    <x v="10"/>
  </r>
  <r>
    <x v="10"/>
  </r>
  <r>
    <x v="136"/>
  </r>
  <r>
    <x v="36"/>
  </r>
  <r>
    <x v="36"/>
  </r>
  <r>
    <x v="36"/>
  </r>
  <r>
    <x v="126"/>
  </r>
  <r>
    <x v="126"/>
  </r>
  <r>
    <x v="10"/>
  </r>
  <r>
    <x v="10"/>
  </r>
  <r>
    <x v="10"/>
  </r>
  <r>
    <x v="4"/>
  </r>
  <r>
    <x v="4"/>
  </r>
  <r>
    <x v="10"/>
  </r>
  <r>
    <x v="4"/>
  </r>
  <r>
    <x v="4"/>
  </r>
  <r>
    <x v="4"/>
  </r>
  <r>
    <x v="4"/>
  </r>
  <r>
    <x v="10"/>
  </r>
  <r>
    <x v="10"/>
  </r>
  <r>
    <x v="4"/>
  </r>
  <r>
    <x v="10"/>
  </r>
  <r>
    <x v="4"/>
  </r>
  <r>
    <x v="4"/>
  </r>
  <r>
    <x v="10"/>
  </r>
  <r>
    <x v="31"/>
  </r>
  <r>
    <x v="10"/>
  </r>
  <r>
    <x v="42"/>
  </r>
  <r>
    <x v="21"/>
  </r>
  <r>
    <x v="4"/>
  </r>
  <r>
    <x v="10"/>
  </r>
  <r>
    <x v="10"/>
  </r>
  <r>
    <x v="10"/>
  </r>
  <r>
    <x v="12"/>
  </r>
  <r>
    <x v="12"/>
  </r>
  <r>
    <x v="12"/>
  </r>
  <r>
    <x v="12"/>
  </r>
  <r>
    <x v="12"/>
  </r>
  <r>
    <x v="63"/>
  </r>
  <r>
    <x v="63"/>
  </r>
  <r>
    <x v="63"/>
  </r>
  <r>
    <x v="12"/>
  </r>
  <r>
    <x v="12"/>
  </r>
  <r>
    <x v="12"/>
  </r>
  <r>
    <x v="0"/>
  </r>
  <r>
    <x v="16"/>
  </r>
  <r>
    <x v="12"/>
  </r>
  <r>
    <x v="166"/>
  </r>
  <r>
    <x v="4"/>
  </r>
  <r>
    <x v="4"/>
  </r>
  <r>
    <x v="4"/>
  </r>
  <r>
    <x v="4"/>
  </r>
  <r>
    <x v="53"/>
  </r>
  <r>
    <x v="4"/>
  </r>
  <r>
    <x v="4"/>
  </r>
  <r>
    <x v="4"/>
  </r>
  <r>
    <x v="42"/>
  </r>
  <r>
    <x v="7"/>
  </r>
  <r>
    <x v="42"/>
  </r>
  <r>
    <x v="7"/>
  </r>
  <r>
    <x v="10"/>
  </r>
  <r>
    <x v="4"/>
  </r>
  <r>
    <x v="4"/>
  </r>
  <r>
    <x v="4"/>
  </r>
  <r>
    <x v="9"/>
  </r>
  <r>
    <x v="25"/>
  </r>
  <r>
    <x v="9"/>
  </r>
  <r>
    <x v="16"/>
  </r>
  <r>
    <x v="9"/>
  </r>
  <r>
    <x v="16"/>
  </r>
  <r>
    <x v="16"/>
  </r>
  <r>
    <x v="12"/>
  </r>
  <r>
    <x v="123"/>
  </r>
  <r>
    <x v="123"/>
  </r>
  <r>
    <x v="123"/>
  </r>
  <r>
    <x v="123"/>
  </r>
  <r>
    <x v="0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23"/>
  </r>
  <r>
    <x v="10"/>
  </r>
  <r>
    <x v="123"/>
  </r>
  <r>
    <x v="123"/>
  </r>
  <r>
    <x v="79"/>
  </r>
  <r>
    <x v="7"/>
  </r>
  <r>
    <x v="7"/>
  </r>
  <r>
    <x v="7"/>
  </r>
  <r>
    <x v="79"/>
  </r>
  <r>
    <x v="10"/>
  </r>
  <r>
    <x v="10"/>
  </r>
  <r>
    <x v="10"/>
  </r>
  <r>
    <x v="10"/>
  </r>
  <r>
    <x v="10"/>
  </r>
  <r>
    <x v="10"/>
  </r>
  <r>
    <x v="4"/>
  </r>
  <r>
    <x v="78"/>
  </r>
  <r>
    <x v="78"/>
  </r>
  <r>
    <x v="78"/>
  </r>
  <r>
    <x v="7"/>
  </r>
  <r>
    <x v="48"/>
  </r>
  <r>
    <x v="14"/>
  </r>
  <r>
    <x v="78"/>
  </r>
  <r>
    <x v="78"/>
  </r>
  <r>
    <x v="78"/>
  </r>
  <r>
    <x v="78"/>
  </r>
  <r>
    <x v="78"/>
  </r>
  <r>
    <x v="78"/>
  </r>
  <r>
    <x v="78"/>
  </r>
  <r>
    <x v="78"/>
  </r>
  <r>
    <x v="53"/>
  </r>
  <r>
    <x v="78"/>
  </r>
  <r>
    <x v="78"/>
  </r>
  <r>
    <x v="78"/>
  </r>
  <r>
    <x v="87"/>
  </r>
  <r>
    <x v="87"/>
  </r>
  <r>
    <x v="78"/>
  </r>
  <r>
    <x v="78"/>
  </r>
  <r>
    <x v="78"/>
  </r>
  <r>
    <x v="78"/>
  </r>
  <r>
    <x v="78"/>
  </r>
  <r>
    <x v="10"/>
  </r>
  <r>
    <x v="10"/>
  </r>
  <r>
    <x v="10"/>
  </r>
  <r>
    <x v="10"/>
  </r>
  <r>
    <x v="0"/>
  </r>
  <r>
    <x v="68"/>
  </r>
  <r>
    <x v="10"/>
  </r>
  <r>
    <x v="68"/>
  </r>
  <r>
    <x v="71"/>
  </r>
  <r>
    <x v="71"/>
  </r>
  <r>
    <x v="71"/>
  </r>
  <r>
    <x v="71"/>
  </r>
  <r>
    <x v="71"/>
  </r>
  <r>
    <x v="71"/>
  </r>
  <r>
    <x v="71"/>
  </r>
  <r>
    <x v="138"/>
  </r>
  <r>
    <x v="138"/>
  </r>
  <r>
    <x v="4"/>
  </r>
  <r>
    <x v="42"/>
  </r>
  <r>
    <x v="12"/>
  </r>
  <r>
    <x v="4"/>
  </r>
  <r>
    <x v="4"/>
  </r>
  <r>
    <x v="4"/>
  </r>
  <r>
    <x v="126"/>
  </r>
  <r>
    <x v="10"/>
  </r>
  <r>
    <x v="12"/>
  </r>
  <r>
    <x v="71"/>
  </r>
  <r>
    <x v="126"/>
  </r>
  <r>
    <x v="19"/>
  </r>
  <r>
    <x v="16"/>
  </r>
  <r>
    <x v="12"/>
  </r>
  <r>
    <x v="12"/>
  </r>
  <r>
    <x v="12"/>
  </r>
  <r>
    <x v="12"/>
  </r>
  <r>
    <x v="12"/>
  </r>
  <r>
    <x v="12"/>
  </r>
  <r>
    <x v="12"/>
  </r>
  <r>
    <x v="7"/>
  </r>
  <r>
    <x v="87"/>
  </r>
  <r>
    <x v="7"/>
  </r>
  <r>
    <x v="7"/>
  </r>
  <r>
    <x v="7"/>
  </r>
  <r>
    <x v="7"/>
  </r>
  <r>
    <x v="7"/>
  </r>
  <r>
    <x v="7"/>
  </r>
  <r>
    <x v="7"/>
  </r>
  <r>
    <x v="112"/>
  </r>
  <r>
    <x v="6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67"/>
  </r>
  <r>
    <x v="4"/>
  </r>
  <r>
    <x v="72"/>
  </r>
  <r>
    <x v="10"/>
  </r>
  <r>
    <x v="71"/>
  </r>
  <r>
    <x v="138"/>
  </r>
  <r>
    <x v="4"/>
  </r>
  <r>
    <x v="4"/>
  </r>
  <r>
    <x v="4"/>
  </r>
  <r>
    <x v="138"/>
  </r>
  <r>
    <x v="4"/>
  </r>
  <r>
    <x v="138"/>
  </r>
  <r>
    <x v="77"/>
  </r>
  <r>
    <x v="21"/>
  </r>
  <r>
    <x v="4"/>
  </r>
  <r>
    <x v="4"/>
  </r>
  <r>
    <x v="4"/>
  </r>
  <r>
    <x v="144"/>
  </r>
  <r>
    <x v="138"/>
  </r>
  <r>
    <x v="4"/>
  </r>
  <r>
    <x v="4"/>
  </r>
  <r>
    <x v="4"/>
  </r>
  <r>
    <x v="138"/>
  </r>
  <r>
    <x v="4"/>
  </r>
  <r>
    <x v="51"/>
  </r>
  <r>
    <x v="0"/>
  </r>
  <r>
    <x v="138"/>
  </r>
  <r>
    <x v="4"/>
  </r>
  <r>
    <x v="24"/>
  </r>
  <r>
    <x v="24"/>
  </r>
  <r>
    <x v="24"/>
  </r>
  <r>
    <x v="24"/>
  </r>
  <r>
    <x v="24"/>
  </r>
  <r>
    <x v="24"/>
  </r>
  <r>
    <x v="24"/>
  </r>
  <r>
    <x v="42"/>
  </r>
  <r>
    <x v="42"/>
  </r>
  <r>
    <x v="42"/>
  </r>
  <r>
    <x v="50"/>
  </r>
  <r>
    <x v="50"/>
  </r>
  <r>
    <x v="50"/>
  </r>
  <r>
    <x v="0"/>
  </r>
  <r>
    <x v="0"/>
  </r>
  <r>
    <x v="42"/>
  </r>
  <r>
    <x v="42"/>
  </r>
  <r>
    <x v="14"/>
  </r>
  <r>
    <x v="2"/>
  </r>
  <r>
    <x v="76"/>
  </r>
  <r>
    <x v="4"/>
  </r>
  <r>
    <x v="4"/>
  </r>
  <r>
    <x v="4"/>
  </r>
  <r>
    <x v="4"/>
  </r>
  <r>
    <x v="10"/>
  </r>
  <r>
    <x v="10"/>
  </r>
  <r>
    <x v="10"/>
  </r>
  <r>
    <x v="4"/>
  </r>
  <r>
    <x v="10"/>
  </r>
  <r>
    <x v="4"/>
  </r>
  <r>
    <x v="10"/>
  </r>
  <r>
    <x v="10"/>
  </r>
  <r>
    <x v="10"/>
  </r>
  <r>
    <x v="10"/>
  </r>
  <r>
    <x v="10"/>
  </r>
  <r>
    <x v="10"/>
  </r>
  <r>
    <x v="7"/>
  </r>
  <r>
    <x v="10"/>
  </r>
  <r>
    <x v="7"/>
  </r>
  <r>
    <x v="7"/>
  </r>
  <r>
    <x v="21"/>
  </r>
  <r>
    <x v="6"/>
  </r>
  <r>
    <x v="10"/>
  </r>
  <r>
    <x v="7"/>
  </r>
  <r>
    <x v="7"/>
  </r>
  <r>
    <x v="32"/>
  </r>
  <r>
    <x v="17"/>
  </r>
  <r>
    <x v="111"/>
  </r>
  <r>
    <x v="48"/>
  </r>
  <r>
    <x v="77"/>
  </r>
  <r>
    <x v="10"/>
  </r>
  <r>
    <x v="10"/>
  </r>
  <r>
    <x v="10"/>
  </r>
  <r>
    <x v="4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"/>
  </r>
  <r>
    <x v="7"/>
  </r>
  <r>
    <x v="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10"/>
  </r>
  <r>
    <x v="10"/>
  </r>
  <r>
    <x v="10"/>
  </r>
  <r>
    <x v="10"/>
  </r>
  <r>
    <x v="87"/>
  </r>
  <r>
    <x v="87"/>
  </r>
  <r>
    <x v="10"/>
  </r>
  <r>
    <x v="10"/>
  </r>
  <r>
    <x v="10"/>
  </r>
  <r>
    <x v="10"/>
  </r>
  <r>
    <x v="25"/>
  </r>
  <r>
    <x v="22"/>
  </r>
  <r>
    <x v="25"/>
  </r>
  <r>
    <x v="113"/>
  </r>
  <r>
    <x v="19"/>
  </r>
  <r>
    <x v="36"/>
  </r>
  <r>
    <x v="36"/>
  </r>
  <r>
    <x v="36"/>
  </r>
  <r>
    <x v="36"/>
  </r>
  <r>
    <x v="36"/>
  </r>
  <r>
    <x v="53"/>
  </r>
  <r>
    <x v="36"/>
  </r>
  <r>
    <x v="36"/>
  </r>
  <r>
    <x v="12"/>
  </r>
  <r>
    <x v="36"/>
  </r>
  <r>
    <x v="36"/>
  </r>
  <r>
    <x v="36"/>
  </r>
  <r>
    <x v="36"/>
  </r>
  <r>
    <x v="12"/>
  </r>
  <r>
    <x v="36"/>
  </r>
  <r>
    <x v="12"/>
  </r>
  <r>
    <x v="12"/>
  </r>
  <r>
    <x v="12"/>
  </r>
  <r>
    <x v="12"/>
  </r>
  <r>
    <x v="42"/>
  </r>
  <r>
    <x v="87"/>
  </r>
  <r>
    <x v="42"/>
  </r>
  <r>
    <x v="4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10"/>
  </r>
  <r>
    <x v="77"/>
  </r>
  <r>
    <x v="36"/>
  </r>
  <r>
    <x v="36"/>
  </r>
  <r>
    <x v="36"/>
  </r>
  <r>
    <x v="36"/>
  </r>
  <r>
    <x v="273"/>
  </r>
  <r>
    <x v="273"/>
  </r>
  <r>
    <x v="3"/>
  </r>
  <r>
    <x v="86"/>
  </r>
  <r>
    <x v="86"/>
  </r>
  <r>
    <x v="10"/>
  </r>
  <r>
    <x v="86"/>
  </r>
  <r>
    <x v="86"/>
  </r>
  <r>
    <x v="86"/>
  </r>
  <r>
    <x v="87"/>
  </r>
  <r>
    <x v="7"/>
  </r>
  <r>
    <x v="36"/>
  </r>
  <r>
    <x v="7"/>
  </r>
  <r>
    <x v="36"/>
  </r>
  <r>
    <x v="9"/>
  </r>
  <r>
    <x v="7"/>
  </r>
  <r>
    <x v="7"/>
  </r>
  <r>
    <x v="7"/>
  </r>
  <r>
    <x v="7"/>
  </r>
  <r>
    <x v="53"/>
  </r>
  <r>
    <x v="36"/>
  </r>
  <r>
    <x v="7"/>
  </r>
  <r>
    <x v="7"/>
  </r>
  <r>
    <x v="12"/>
  </r>
  <r>
    <x v="64"/>
  </r>
  <r>
    <x v="17"/>
  </r>
  <r>
    <x v="17"/>
  </r>
  <r>
    <x v="6"/>
  </r>
  <r>
    <x v="150"/>
  </r>
  <r>
    <x v="42"/>
  </r>
  <r>
    <x v="43"/>
  </r>
  <r>
    <x v="77"/>
  </r>
  <r>
    <x v="24"/>
  </r>
  <r>
    <x v="77"/>
  </r>
  <r>
    <x v="24"/>
  </r>
  <r>
    <x v="24"/>
  </r>
  <r>
    <x v="24"/>
  </r>
  <r>
    <x v="10"/>
  </r>
  <r>
    <x v="24"/>
  </r>
  <r>
    <x v="86"/>
  </r>
  <r>
    <x v="9"/>
  </r>
  <r>
    <x v="86"/>
  </r>
  <r>
    <x v="10"/>
  </r>
  <r>
    <x v="11"/>
  </r>
  <r>
    <x v="57"/>
  </r>
  <r>
    <x v="86"/>
  </r>
  <r>
    <x v="10"/>
  </r>
  <r>
    <x v="115"/>
  </r>
  <r>
    <x v="86"/>
  </r>
  <r>
    <x v="86"/>
  </r>
  <r>
    <x v="86"/>
  </r>
  <r>
    <x v="86"/>
  </r>
  <r>
    <x v="8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36"/>
  </r>
  <r>
    <x v="4"/>
  </r>
  <r>
    <x v="4"/>
  </r>
  <r>
    <x v="4"/>
  </r>
  <r>
    <x v="4"/>
  </r>
  <r>
    <x v="4"/>
  </r>
  <r>
    <x v="36"/>
  </r>
  <r>
    <x v="4"/>
  </r>
  <r>
    <x v="36"/>
  </r>
  <r>
    <x v="4"/>
  </r>
  <r>
    <x v="10"/>
  </r>
  <r>
    <x v="10"/>
  </r>
  <r>
    <x v="10"/>
  </r>
  <r>
    <x v="10"/>
  </r>
  <r>
    <x v="10"/>
  </r>
  <r>
    <x v="142"/>
  </r>
  <r>
    <x v="4"/>
  </r>
  <r>
    <x v="4"/>
  </r>
  <r>
    <x v="4"/>
  </r>
  <r>
    <x v="123"/>
  </r>
  <r>
    <x v="10"/>
  </r>
  <r>
    <x v="4"/>
  </r>
  <r>
    <x v="165"/>
  </r>
  <r>
    <x v="12"/>
  </r>
  <r>
    <x v="4"/>
  </r>
  <r>
    <x v="4"/>
  </r>
  <r>
    <x v="4"/>
  </r>
  <r>
    <x v="4"/>
  </r>
  <r>
    <x v="12"/>
  </r>
  <r>
    <x v="12"/>
  </r>
  <r>
    <x v="57"/>
  </r>
  <r>
    <x v="0"/>
  </r>
  <r>
    <x v="0"/>
  </r>
  <r>
    <x v="36"/>
  </r>
  <r>
    <x v="22"/>
  </r>
  <r>
    <x v="36"/>
  </r>
  <r>
    <x v="12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48"/>
  </r>
  <r>
    <x v="31"/>
  </r>
  <r>
    <x v="75"/>
  </r>
  <r>
    <x v="63"/>
  </r>
  <r>
    <x v="12"/>
  </r>
  <r>
    <x v="45"/>
  </r>
  <r>
    <x v="63"/>
  </r>
  <r>
    <x v="63"/>
  </r>
  <r>
    <x v="141"/>
  </r>
  <r>
    <x v="71"/>
  </r>
  <r>
    <x v="63"/>
  </r>
  <r>
    <x v="63"/>
  </r>
  <r>
    <x v="63"/>
  </r>
  <r>
    <x v="22"/>
  </r>
  <r>
    <x v="55"/>
  </r>
  <r>
    <x v="123"/>
  </r>
  <r>
    <x v="152"/>
  </r>
  <r>
    <x v="63"/>
  </r>
  <r>
    <x v="123"/>
  </r>
  <r>
    <x v="63"/>
  </r>
  <r>
    <x v="78"/>
  </r>
  <r>
    <x v="4"/>
  </r>
  <r>
    <x v="63"/>
  </r>
  <r>
    <x v="10"/>
  </r>
  <r>
    <x v="10"/>
  </r>
  <r>
    <x v="10"/>
  </r>
  <r>
    <x v="10"/>
  </r>
  <r>
    <x v="165"/>
  </r>
  <r>
    <x v="43"/>
  </r>
  <r>
    <x v="43"/>
  </r>
  <r>
    <x v="165"/>
  </r>
  <r>
    <x v="4"/>
  </r>
  <r>
    <x v="36"/>
  </r>
  <r>
    <x v="10"/>
  </r>
  <r>
    <x v="12"/>
  </r>
  <r>
    <x v="36"/>
  </r>
  <r>
    <x v="87"/>
  </r>
  <r>
    <x v="87"/>
  </r>
  <r>
    <x v="36"/>
  </r>
  <r>
    <x v="36"/>
  </r>
  <r>
    <x v="36"/>
  </r>
  <r>
    <x v="87"/>
  </r>
  <r>
    <x v="10"/>
  </r>
  <r>
    <x v="36"/>
  </r>
  <r>
    <x v="5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42"/>
  </r>
  <r>
    <x v="42"/>
  </r>
  <r>
    <x v="9"/>
  </r>
  <r>
    <x v="9"/>
  </r>
  <r>
    <x v="9"/>
  </r>
  <r>
    <x v="9"/>
  </r>
  <r>
    <x v="9"/>
  </r>
  <r>
    <x v="77"/>
  </r>
  <r>
    <x v="86"/>
  </r>
  <r>
    <x v="86"/>
  </r>
  <r>
    <x v="115"/>
  </r>
  <r>
    <x v="10"/>
  </r>
  <r>
    <x v="30"/>
  </r>
  <r>
    <x v="71"/>
  </r>
  <r>
    <x v="115"/>
  </r>
  <r>
    <x v="25"/>
  </r>
  <r>
    <x v="25"/>
  </r>
  <r>
    <x v="77"/>
  </r>
  <r>
    <x v="14"/>
  </r>
  <r>
    <x v="0"/>
  </r>
  <r>
    <x v="4"/>
  </r>
  <r>
    <x v="10"/>
  </r>
  <r>
    <x v="10"/>
  </r>
  <r>
    <x v="10"/>
  </r>
  <r>
    <x v="4"/>
  </r>
  <r>
    <x v="16"/>
  </r>
  <r>
    <x v="123"/>
  </r>
  <r>
    <x v="4"/>
  </r>
  <r>
    <x v="10"/>
  </r>
  <r>
    <x v="10"/>
  </r>
  <r>
    <x v="4"/>
  </r>
  <r>
    <x v="4"/>
  </r>
  <r>
    <x v="4"/>
  </r>
  <r>
    <x v="10"/>
  </r>
  <r>
    <x v="12"/>
  </r>
  <r>
    <x v="10"/>
  </r>
  <r>
    <x v="12"/>
  </r>
  <r>
    <x v="10"/>
  </r>
  <r>
    <x v="10"/>
  </r>
  <r>
    <x v="12"/>
  </r>
  <r>
    <x v="10"/>
  </r>
  <r>
    <x v="10"/>
  </r>
  <r>
    <x v="10"/>
  </r>
  <r>
    <x v="12"/>
  </r>
  <r>
    <x v="12"/>
  </r>
  <r>
    <x v="12"/>
  </r>
  <r>
    <x v="12"/>
  </r>
  <r>
    <x v="12"/>
  </r>
  <r>
    <x v="12"/>
  </r>
  <r>
    <x v="10"/>
  </r>
  <r>
    <x v="10"/>
  </r>
  <r>
    <x v="10"/>
  </r>
  <r>
    <x v="10"/>
  </r>
  <r>
    <x v="12"/>
  </r>
  <r>
    <x v="12"/>
  </r>
  <r>
    <x v="12"/>
  </r>
  <r>
    <x v="7"/>
  </r>
  <r>
    <x v="12"/>
  </r>
  <r>
    <x v="12"/>
  </r>
  <r>
    <x v="7"/>
  </r>
  <r>
    <x v="12"/>
  </r>
  <r>
    <x v="36"/>
  </r>
  <r>
    <x v="4"/>
  </r>
  <r>
    <x v="10"/>
  </r>
  <r>
    <x v="12"/>
  </r>
  <r>
    <x v="12"/>
  </r>
  <r>
    <x v="4"/>
  </r>
  <r>
    <x v="87"/>
  </r>
  <r>
    <x v="12"/>
  </r>
  <r>
    <x v="86"/>
  </r>
  <r>
    <x v="86"/>
  </r>
  <r>
    <x v="45"/>
  </r>
  <r>
    <x v="45"/>
  </r>
  <r>
    <x v="45"/>
  </r>
  <r>
    <x v="276"/>
  </r>
  <r>
    <x v="12"/>
  </r>
  <r>
    <x v="77"/>
  </r>
  <r>
    <x v="7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4"/>
  </r>
  <r>
    <x v="14"/>
  </r>
  <r>
    <x v="14"/>
  </r>
  <r>
    <x v="14"/>
  </r>
  <r>
    <x v="14"/>
  </r>
  <r>
    <x v="86"/>
  </r>
  <r>
    <x v="86"/>
  </r>
  <r>
    <x v="14"/>
  </r>
  <r>
    <x v="10"/>
  </r>
  <r>
    <x v="4"/>
  </r>
  <r>
    <x v="8"/>
  </r>
  <r>
    <x v="4"/>
  </r>
  <r>
    <x v="10"/>
  </r>
  <r>
    <x v="3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252"/>
  </r>
  <r>
    <x v="165"/>
  </r>
  <r>
    <x v="165"/>
  </r>
  <r>
    <x v="12"/>
  </r>
  <r>
    <x v="7"/>
  </r>
  <r>
    <x v="126"/>
  </r>
  <r>
    <x v="7"/>
  </r>
  <r>
    <x v="0"/>
  </r>
  <r>
    <x v="55"/>
  </r>
  <r>
    <x v="80"/>
  </r>
  <r>
    <x v="80"/>
  </r>
  <r>
    <x v="80"/>
  </r>
  <r>
    <x v="80"/>
  </r>
  <r>
    <x v="80"/>
  </r>
  <r>
    <x v="80"/>
  </r>
  <r>
    <x v="80"/>
  </r>
  <r>
    <x v="80"/>
  </r>
  <r>
    <x v="9"/>
  </r>
  <r>
    <x v="80"/>
  </r>
  <r>
    <x v="80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4"/>
  </r>
  <r>
    <x v="99"/>
  </r>
  <r>
    <x v="10"/>
  </r>
  <r>
    <x v="10"/>
  </r>
  <r>
    <x v="10"/>
  </r>
  <r>
    <x v="10"/>
  </r>
  <r>
    <x v="12"/>
  </r>
  <r>
    <x v="138"/>
  </r>
  <r>
    <x v="170"/>
  </r>
  <r>
    <x v="12"/>
  </r>
  <r>
    <x v="12"/>
  </r>
  <r>
    <x v="86"/>
  </r>
  <r>
    <x v="12"/>
  </r>
  <r>
    <x v="86"/>
  </r>
  <r>
    <x v="126"/>
  </r>
  <r>
    <x v="108"/>
  </r>
  <r>
    <x v="72"/>
  </r>
  <r>
    <x v="12"/>
  </r>
  <r>
    <x v="77"/>
  </r>
  <r>
    <x v="77"/>
  </r>
  <r>
    <x v="12"/>
  </r>
  <r>
    <x v="2"/>
  </r>
  <r>
    <x v="12"/>
  </r>
  <r>
    <x v="12"/>
  </r>
  <r>
    <x v="165"/>
  </r>
  <r>
    <x v="4"/>
  </r>
  <r>
    <x v="4"/>
  </r>
  <r>
    <x v="42"/>
  </r>
  <r>
    <x v="40"/>
  </r>
  <r>
    <x v="4"/>
  </r>
  <r>
    <x v="30"/>
  </r>
  <r>
    <x v="14"/>
  </r>
  <r>
    <x v="14"/>
  </r>
  <r>
    <x v="28"/>
  </r>
  <r>
    <x v="30"/>
  </r>
  <r>
    <x v="55"/>
  </r>
  <r>
    <x v="4"/>
  </r>
  <r>
    <x v="4"/>
  </r>
  <r>
    <x v="10"/>
  </r>
  <r>
    <x v="72"/>
  </r>
  <r>
    <x v="111"/>
  </r>
  <r>
    <x v="28"/>
  </r>
  <r>
    <x v="10"/>
  </r>
  <r>
    <x v="8"/>
  </r>
  <r>
    <x v="28"/>
  </r>
  <r>
    <x v="37"/>
  </r>
  <r>
    <x v="28"/>
  </r>
  <r>
    <x v="30"/>
  </r>
  <r>
    <x v="28"/>
  </r>
  <r>
    <x v="28"/>
  </r>
  <r>
    <x v="100"/>
  </r>
  <r>
    <x v="28"/>
  </r>
  <r>
    <x v="28"/>
  </r>
  <r>
    <x v="76"/>
  </r>
  <r>
    <x v="28"/>
  </r>
  <r>
    <x v="28"/>
  </r>
  <r>
    <x v="2"/>
  </r>
  <r>
    <x v="10"/>
  </r>
  <r>
    <x v="10"/>
  </r>
  <r>
    <x v="10"/>
  </r>
  <r>
    <x v="10"/>
  </r>
  <r>
    <x v="126"/>
  </r>
  <r>
    <x v="0"/>
  </r>
  <r>
    <x v="0"/>
  </r>
  <r>
    <x v="10"/>
  </r>
  <r>
    <x v="10"/>
  </r>
  <r>
    <x v="4"/>
  </r>
  <r>
    <x v="10"/>
  </r>
  <r>
    <x v="4"/>
  </r>
  <r>
    <x v="10"/>
  </r>
  <r>
    <x v="10"/>
  </r>
  <r>
    <x v="10"/>
  </r>
  <r>
    <x v="7"/>
  </r>
  <r>
    <x v="10"/>
  </r>
  <r>
    <x v="10"/>
  </r>
  <r>
    <x v="10"/>
  </r>
  <r>
    <x v="10"/>
  </r>
  <r>
    <x v="10"/>
  </r>
  <r>
    <x v="10"/>
  </r>
  <r>
    <x v="10"/>
  </r>
  <r>
    <x v="85"/>
  </r>
  <r>
    <x v="2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76"/>
  </r>
  <r>
    <x v="2"/>
  </r>
  <r>
    <x v="77"/>
  </r>
  <r>
    <x v="77"/>
  </r>
  <r>
    <x v="77"/>
  </r>
  <r>
    <x v="2"/>
  </r>
  <r>
    <x v="10"/>
  </r>
  <r>
    <x v="48"/>
  </r>
  <r>
    <x v="10"/>
  </r>
  <r>
    <x v="10"/>
  </r>
  <r>
    <x v="76"/>
  </r>
  <r>
    <x v="10"/>
  </r>
  <r>
    <x v="10"/>
  </r>
  <r>
    <x v="10"/>
  </r>
  <r>
    <x v="42"/>
  </r>
  <r>
    <x v="138"/>
  </r>
  <r>
    <x v="2"/>
  </r>
  <r>
    <x v="87"/>
  </r>
  <r>
    <x v="42"/>
  </r>
  <r>
    <x v="10"/>
  </r>
  <r>
    <x v="10"/>
  </r>
  <r>
    <x v="28"/>
  </r>
  <r>
    <x v="4"/>
  </r>
  <r>
    <x v="12"/>
  </r>
  <r>
    <x v="10"/>
  </r>
  <r>
    <x v="4"/>
  </r>
  <r>
    <x v="4"/>
  </r>
  <r>
    <x v="12"/>
  </r>
  <r>
    <x v="0"/>
  </r>
  <r>
    <x v="87"/>
  </r>
  <r>
    <x v="21"/>
  </r>
  <r>
    <x v="21"/>
  </r>
  <r>
    <x v="72"/>
  </r>
  <r>
    <x v="72"/>
  </r>
  <r>
    <x v="52"/>
  </r>
  <r>
    <x v="45"/>
  </r>
  <r>
    <x v="14"/>
  </r>
  <r>
    <x v="14"/>
  </r>
  <r>
    <x v="0"/>
  </r>
  <r>
    <x v="23"/>
  </r>
  <r>
    <x v="5"/>
  </r>
  <r>
    <x v="26"/>
  </r>
  <r>
    <x v="14"/>
  </r>
  <r>
    <x v="0"/>
  </r>
  <r>
    <x v="2"/>
  </r>
  <r>
    <x v="48"/>
  </r>
  <r>
    <x v="12"/>
  </r>
  <r>
    <x v="4"/>
  </r>
  <r>
    <x v="10"/>
  </r>
  <r>
    <x v="4"/>
  </r>
  <r>
    <x v="10"/>
  </r>
  <r>
    <x v="4"/>
  </r>
  <r>
    <x v="9"/>
  </r>
  <r>
    <x v="10"/>
  </r>
  <r>
    <x v="10"/>
  </r>
  <r>
    <x v="10"/>
  </r>
  <r>
    <x v="27"/>
  </r>
  <r>
    <x v="10"/>
  </r>
  <r>
    <x v="10"/>
  </r>
  <r>
    <x v="10"/>
  </r>
  <r>
    <x v="10"/>
  </r>
  <r>
    <x v="10"/>
  </r>
  <r>
    <x v="10"/>
  </r>
  <r>
    <x v="10"/>
  </r>
  <r>
    <x v="10"/>
  </r>
  <r>
    <x v="77"/>
  </r>
  <r>
    <x v="126"/>
  </r>
  <r>
    <x v="126"/>
  </r>
  <r>
    <x v="9"/>
  </r>
  <r>
    <x v="131"/>
  </r>
  <r>
    <x v="4"/>
  </r>
  <r>
    <x v="4"/>
  </r>
  <r>
    <x v="4"/>
  </r>
  <r>
    <x v="165"/>
  </r>
  <r>
    <x v="4"/>
  </r>
  <r>
    <x v="165"/>
  </r>
  <r>
    <x v="165"/>
  </r>
  <r>
    <x v="4"/>
  </r>
  <r>
    <x v="4"/>
  </r>
  <r>
    <x v="4"/>
  </r>
  <r>
    <x v="4"/>
  </r>
  <r>
    <x v="12"/>
  </r>
  <r>
    <x v="4"/>
  </r>
  <r>
    <x v="22"/>
  </r>
  <r>
    <x v="0"/>
  </r>
  <r>
    <x v="4"/>
  </r>
  <r>
    <x v="10"/>
  </r>
  <r>
    <x v="4"/>
  </r>
  <r>
    <x v="4"/>
  </r>
  <r>
    <x v="10"/>
  </r>
  <r>
    <x v="10"/>
  </r>
  <r>
    <x v="42"/>
  </r>
  <r>
    <x v="108"/>
  </r>
  <r>
    <x v="108"/>
  </r>
  <r>
    <x v="108"/>
  </r>
  <r>
    <x v="0"/>
  </r>
  <r>
    <x v="14"/>
  </r>
  <r>
    <x v="108"/>
  </r>
  <r>
    <x v="108"/>
  </r>
  <r>
    <x v="108"/>
  </r>
  <r>
    <x v="14"/>
  </r>
  <r>
    <x v="108"/>
  </r>
  <r>
    <x v="0"/>
  </r>
  <r>
    <x v="16"/>
  </r>
  <r>
    <x v="108"/>
  </r>
  <r>
    <x v="10"/>
  </r>
  <r>
    <x v="21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4"/>
  </r>
  <r>
    <x v="10"/>
  </r>
  <r>
    <x v="10"/>
  </r>
  <r>
    <x v="12"/>
  </r>
  <r>
    <x v="12"/>
  </r>
  <r>
    <x v="10"/>
  </r>
  <r>
    <x v="12"/>
  </r>
  <r>
    <x v="12"/>
  </r>
  <r>
    <x v="12"/>
  </r>
  <r>
    <x v="12"/>
  </r>
  <r>
    <x v="10"/>
  </r>
  <r>
    <x v="81"/>
  </r>
  <r>
    <x v="129"/>
  </r>
  <r>
    <x v="4"/>
  </r>
  <r>
    <x v="4"/>
  </r>
  <r>
    <x v="10"/>
  </r>
  <r>
    <x v="10"/>
  </r>
  <r>
    <x v="10"/>
  </r>
  <r>
    <x v="4"/>
  </r>
  <r>
    <x v="10"/>
  </r>
  <r>
    <x v="4"/>
  </r>
  <r>
    <x v="4"/>
  </r>
  <r>
    <x v="10"/>
  </r>
  <r>
    <x v="87"/>
  </r>
  <r>
    <x v="87"/>
  </r>
  <r>
    <x v="87"/>
  </r>
  <r>
    <x v="10"/>
  </r>
  <r>
    <x v="10"/>
  </r>
  <r>
    <x v="10"/>
  </r>
  <r>
    <x v="10"/>
  </r>
  <r>
    <x v="54"/>
  </r>
  <r>
    <x v="54"/>
  </r>
  <r>
    <x v="126"/>
  </r>
  <r>
    <x v="54"/>
  </r>
  <r>
    <x v="54"/>
  </r>
  <r>
    <x v="54"/>
  </r>
  <r>
    <x v="4"/>
  </r>
  <r>
    <x v="34"/>
  </r>
  <r>
    <x v="126"/>
  </r>
  <r>
    <x v="42"/>
  </r>
  <r>
    <x v="42"/>
  </r>
  <r>
    <x v="42"/>
  </r>
  <r>
    <x v="126"/>
  </r>
  <r>
    <x v="126"/>
  </r>
  <r>
    <x v="7"/>
  </r>
  <r>
    <x v="10"/>
  </r>
  <r>
    <x v="10"/>
  </r>
  <r>
    <x v="10"/>
  </r>
  <r>
    <x v="10"/>
  </r>
  <r>
    <x v="126"/>
  </r>
  <r>
    <x v="126"/>
  </r>
  <r>
    <x v="126"/>
  </r>
  <r>
    <x v="14"/>
  </r>
  <r>
    <x v="9"/>
  </r>
  <r>
    <x v="9"/>
  </r>
  <r>
    <x v="4"/>
  </r>
  <r>
    <x v="165"/>
  </r>
  <r>
    <x v="165"/>
  </r>
  <r>
    <x v="165"/>
  </r>
  <r>
    <x v="10"/>
  </r>
  <r>
    <x v="4"/>
  </r>
  <r>
    <x v="86"/>
  </r>
  <r>
    <x v="71"/>
  </r>
  <r>
    <x v="71"/>
  </r>
  <r>
    <x v="10"/>
  </r>
  <r>
    <x v="33"/>
  </r>
  <r>
    <x v="4"/>
  </r>
  <r>
    <x v="14"/>
  </r>
  <r>
    <x v="108"/>
  </r>
  <r>
    <x v="108"/>
  </r>
  <r>
    <x v="14"/>
  </r>
  <r>
    <x v="14"/>
  </r>
  <r>
    <x v="48"/>
  </r>
  <r>
    <x v="14"/>
  </r>
  <r>
    <x v="0"/>
  </r>
  <r>
    <x v="40"/>
  </r>
  <r>
    <x v="14"/>
  </r>
  <r>
    <x v="4"/>
  </r>
  <r>
    <x v="4"/>
  </r>
  <r>
    <x v="4"/>
  </r>
  <r>
    <x v="25"/>
  </r>
  <r>
    <x v="73"/>
  </r>
  <r>
    <x v="11"/>
  </r>
  <r>
    <x v="4"/>
  </r>
  <r>
    <x v="123"/>
  </r>
  <r>
    <x v="12"/>
  </r>
  <r>
    <x v="55"/>
  </r>
  <r>
    <x v="188"/>
  </r>
  <r>
    <x v="55"/>
  </r>
  <r>
    <x v="55"/>
  </r>
  <r>
    <x v="10"/>
  </r>
  <r>
    <x v="2"/>
  </r>
  <r>
    <x v="16"/>
  </r>
  <r>
    <x v="0"/>
  </r>
  <r>
    <x v="1"/>
  </r>
  <r>
    <x v="10"/>
  </r>
  <r>
    <x v="1"/>
  </r>
  <r>
    <x v="78"/>
  </r>
  <r>
    <x v="78"/>
  </r>
  <r>
    <x v="78"/>
  </r>
  <r>
    <x v="12"/>
  </r>
  <r>
    <x v="12"/>
  </r>
  <r>
    <x v="87"/>
  </r>
  <r>
    <x v="87"/>
  </r>
  <r>
    <x v="87"/>
  </r>
  <r>
    <x v="14"/>
  </r>
  <r>
    <x v="87"/>
  </r>
  <r>
    <x v="84"/>
  </r>
  <r>
    <x v="84"/>
  </r>
  <r>
    <x v="10"/>
  </r>
  <r>
    <x v="10"/>
  </r>
  <r>
    <x v="165"/>
  </r>
  <r>
    <x v="42"/>
  </r>
  <r>
    <x v="128"/>
  </r>
  <r>
    <x v="56"/>
  </r>
  <r>
    <x v="42"/>
  </r>
  <r>
    <x v="42"/>
  </r>
  <r>
    <x v="42"/>
  </r>
  <r>
    <x v="12"/>
  </r>
  <r>
    <x v="42"/>
  </r>
  <r>
    <x v="42"/>
  </r>
  <r>
    <x v="56"/>
  </r>
  <r>
    <x v="56"/>
  </r>
  <r>
    <x v="42"/>
  </r>
  <r>
    <x v="56"/>
  </r>
  <r>
    <x v="42"/>
  </r>
  <r>
    <x v="42"/>
  </r>
  <r>
    <x v="4"/>
  </r>
  <r>
    <x v="4"/>
  </r>
  <r>
    <x v="56"/>
  </r>
  <r>
    <x v="123"/>
  </r>
  <r>
    <x v="56"/>
  </r>
  <r>
    <x v="56"/>
  </r>
  <r>
    <x v="42"/>
  </r>
  <r>
    <x v="12"/>
  </r>
  <r>
    <x v="7"/>
  </r>
  <r>
    <x v="72"/>
  </r>
  <r>
    <x v="7"/>
  </r>
  <r>
    <x v="7"/>
  </r>
  <r>
    <x v="87"/>
  </r>
  <r>
    <x v="10"/>
  </r>
  <r>
    <x v="12"/>
  </r>
  <r>
    <x v="12"/>
  </r>
  <r>
    <x v="72"/>
  </r>
  <r>
    <x v="12"/>
  </r>
  <r>
    <x v="7"/>
  </r>
  <r>
    <x v="7"/>
  </r>
  <r>
    <x v="7"/>
  </r>
  <r>
    <x v="12"/>
  </r>
  <r>
    <x v="12"/>
  </r>
  <r>
    <x v="12"/>
  </r>
  <r>
    <x v="12"/>
  </r>
  <r>
    <x v="77"/>
  </r>
  <r>
    <x v="42"/>
  </r>
  <r>
    <x v="87"/>
  </r>
  <r>
    <x v="12"/>
  </r>
  <r>
    <x v="87"/>
  </r>
  <r>
    <x v="56"/>
  </r>
  <r>
    <x v="12"/>
  </r>
  <r>
    <x v="14"/>
  </r>
  <r>
    <x v="12"/>
  </r>
  <r>
    <x v="12"/>
  </r>
  <r>
    <x v="12"/>
  </r>
  <r>
    <x v="56"/>
  </r>
  <r>
    <x v="12"/>
  </r>
  <r>
    <x v="12"/>
  </r>
  <r>
    <x v="12"/>
  </r>
  <r>
    <x v="12"/>
  </r>
  <r>
    <x v="0"/>
  </r>
  <r>
    <x v="78"/>
  </r>
  <r>
    <x v="12"/>
  </r>
  <r>
    <x v="12"/>
  </r>
  <r>
    <x v="36"/>
  </r>
  <r>
    <x v="12"/>
  </r>
  <r>
    <x v="12"/>
  </r>
  <r>
    <x v="10"/>
  </r>
  <r>
    <x v="12"/>
  </r>
  <r>
    <x v="89"/>
  </r>
  <r>
    <x v="89"/>
  </r>
  <r>
    <x v="89"/>
  </r>
  <r>
    <x v="12"/>
  </r>
  <r>
    <x v="12"/>
  </r>
  <r>
    <x v="12"/>
  </r>
  <r>
    <x v="12"/>
  </r>
  <r>
    <x v="12"/>
  </r>
  <r>
    <x v="42"/>
  </r>
  <r>
    <x v="89"/>
  </r>
  <r>
    <x v="76"/>
  </r>
  <r>
    <x v="105"/>
  </r>
  <r>
    <x v="77"/>
  </r>
  <r>
    <x v="12"/>
  </r>
  <r>
    <x v="12"/>
  </r>
  <r>
    <x v="123"/>
  </r>
  <r>
    <x v="12"/>
  </r>
  <r>
    <x v="251"/>
  </r>
  <r>
    <x v="41"/>
  </r>
  <r>
    <x v="12"/>
  </r>
  <r>
    <x v="4"/>
  </r>
  <r>
    <x v="89"/>
  </r>
  <r>
    <x v="12"/>
  </r>
  <r>
    <x v="30"/>
  </r>
  <r>
    <x v="10"/>
  </r>
  <r>
    <x v="4"/>
  </r>
  <r>
    <x v="77"/>
  </r>
  <r>
    <x v="12"/>
  </r>
  <r>
    <x v="12"/>
  </r>
  <r>
    <x v="12"/>
  </r>
  <r>
    <x v="77"/>
  </r>
  <r>
    <x v="12"/>
  </r>
  <r>
    <x v="12"/>
  </r>
  <r>
    <x v="12"/>
  </r>
  <r>
    <x v="10"/>
  </r>
  <r>
    <x v="77"/>
  </r>
  <r>
    <x v="57"/>
  </r>
  <r>
    <x v="57"/>
  </r>
  <r>
    <x v="77"/>
  </r>
  <r>
    <x v="42"/>
  </r>
  <r>
    <x v="87"/>
  </r>
  <r>
    <x v="87"/>
  </r>
  <r>
    <x v="87"/>
  </r>
  <r>
    <x v="87"/>
  </r>
  <r>
    <x v="87"/>
  </r>
  <r>
    <x v="59"/>
  </r>
  <r>
    <x v="87"/>
  </r>
  <r>
    <x v="123"/>
  </r>
  <r>
    <x v="87"/>
  </r>
  <r>
    <x v="77"/>
  </r>
  <r>
    <x v="85"/>
  </r>
  <r>
    <x v="24"/>
  </r>
  <r>
    <x v="24"/>
  </r>
  <r>
    <x v="4"/>
  </r>
  <r>
    <x v="77"/>
  </r>
  <r>
    <x v="17"/>
  </r>
  <r>
    <x v="17"/>
  </r>
  <r>
    <x v="22"/>
  </r>
  <r>
    <x v="3"/>
  </r>
  <r>
    <x v="77"/>
  </r>
  <r>
    <x v="4"/>
  </r>
  <r>
    <x v="4"/>
  </r>
  <r>
    <x v="10"/>
  </r>
  <r>
    <x v="39"/>
  </r>
  <r>
    <x v="115"/>
  </r>
  <r>
    <x v="10"/>
  </r>
  <r>
    <x v="165"/>
  </r>
  <r>
    <x v="165"/>
  </r>
  <r>
    <x v="165"/>
  </r>
  <r>
    <x v="4"/>
  </r>
  <r>
    <x v="19"/>
  </r>
  <r>
    <x v="53"/>
  </r>
  <r>
    <x v="0"/>
  </r>
  <r>
    <x v="22"/>
  </r>
  <r>
    <x v="22"/>
  </r>
  <r>
    <x v="14"/>
  </r>
  <r>
    <x v="4"/>
  </r>
  <r>
    <x v="31"/>
  </r>
  <r>
    <x v="31"/>
  </r>
  <r>
    <x v="4"/>
  </r>
  <r>
    <x v="131"/>
  </r>
  <r>
    <x v="63"/>
  </r>
  <r>
    <x v="126"/>
  </r>
  <r>
    <x v="12"/>
  </r>
  <r>
    <x v="12"/>
  </r>
  <r>
    <x v="4"/>
  </r>
  <r>
    <x v="41"/>
  </r>
  <r>
    <x v="22"/>
  </r>
  <r>
    <x v="10"/>
  </r>
  <r>
    <x v="264"/>
  </r>
  <r>
    <x v="26"/>
  </r>
  <r>
    <x v="27"/>
  </r>
  <r>
    <x v="0"/>
  </r>
  <r>
    <x v="76"/>
  </r>
  <r>
    <x v="3"/>
  </r>
  <r>
    <x v="4"/>
  </r>
  <r>
    <x v="52"/>
  </r>
  <r>
    <x v="0"/>
  </r>
  <r>
    <x v="4"/>
  </r>
  <r>
    <x v="4"/>
  </r>
  <r>
    <x v="163"/>
  </r>
  <r>
    <x v="4"/>
  </r>
  <r>
    <x v="12"/>
  </r>
  <r>
    <x v="12"/>
  </r>
  <r>
    <x v="0"/>
  </r>
  <r>
    <x v="0"/>
  </r>
  <r>
    <x v="12"/>
  </r>
  <r>
    <x v="27"/>
  </r>
  <r>
    <x v="27"/>
  </r>
  <r>
    <x v="27"/>
  </r>
  <r>
    <x v="76"/>
  </r>
  <r>
    <x v="0"/>
  </r>
  <r>
    <x v="52"/>
  </r>
  <r>
    <x v="138"/>
  </r>
  <r>
    <x v="138"/>
  </r>
  <r>
    <x v="4"/>
  </r>
  <r>
    <x v="4"/>
  </r>
  <r>
    <x v="4"/>
  </r>
  <r>
    <x v="123"/>
  </r>
  <r>
    <x v="123"/>
  </r>
  <r>
    <x v="123"/>
  </r>
  <r>
    <x v="4"/>
  </r>
  <r>
    <x v="4"/>
  </r>
  <r>
    <x v="123"/>
  </r>
  <r>
    <x v="4"/>
  </r>
  <r>
    <x v="138"/>
  </r>
  <r>
    <x v="80"/>
  </r>
  <r>
    <x v="138"/>
  </r>
  <r>
    <x v="138"/>
  </r>
  <r>
    <x v="123"/>
  </r>
  <r>
    <x v="25"/>
  </r>
  <r>
    <x v="22"/>
  </r>
  <r>
    <x v="69"/>
  </r>
  <r>
    <x v="6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28"/>
  </r>
  <r>
    <x v="28"/>
  </r>
  <r>
    <x v="3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0"/>
  </r>
  <r>
    <x v="22"/>
  </r>
  <r>
    <x v="22"/>
  </r>
  <r>
    <x v="30"/>
  </r>
  <r>
    <x v="22"/>
  </r>
  <r>
    <x v="22"/>
  </r>
  <r>
    <x v="25"/>
  </r>
  <r>
    <x v="22"/>
  </r>
  <r>
    <x v="28"/>
  </r>
  <r>
    <x v="22"/>
  </r>
  <r>
    <x v="28"/>
  </r>
  <r>
    <x v="28"/>
  </r>
  <r>
    <x v="22"/>
  </r>
  <r>
    <x v="138"/>
  </r>
  <r>
    <x v="4"/>
  </r>
  <r>
    <x v="24"/>
  </r>
  <r>
    <x v="4"/>
  </r>
  <r>
    <x v="63"/>
  </r>
  <r>
    <x v="10"/>
  </r>
  <r>
    <x v="63"/>
  </r>
  <r>
    <x v="14"/>
  </r>
  <r>
    <x v="14"/>
  </r>
  <r>
    <x v="14"/>
  </r>
  <r>
    <x v="14"/>
  </r>
  <r>
    <x v="53"/>
  </r>
  <r>
    <x v="86"/>
  </r>
  <r>
    <x v="86"/>
  </r>
  <r>
    <x v="86"/>
  </r>
  <r>
    <x v="39"/>
  </r>
  <r>
    <x v="42"/>
  </r>
  <r>
    <x v="42"/>
  </r>
  <r>
    <x v="42"/>
  </r>
  <r>
    <x v="42"/>
  </r>
  <r>
    <x v="78"/>
  </r>
  <r>
    <x v="78"/>
  </r>
  <r>
    <x v="78"/>
  </r>
  <r>
    <x v="86"/>
  </r>
  <r>
    <x v="14"/>
  </r>
  <r>
    <x v="196"/>
  </r>
  <r>
    <x v="14"/>
  </r>
  <r>
    <x v="12"/>
  </r>
  <r>
    <x v="12"/>
  </r>
  <r>
    <x v="161"/>
  </r>
  <r>
    <x v="12"/>
  </r>
  <r>
    <x v="56"/>
  </r>
  <r>
    <x v="56"/>
  </r>
  <r>
    <x v="12"/>
  </r>
  <r>
    <x v="12"/>
  </r>
  <r>
    <x v="9"/>
  </r>
  <r>
    <x v="40"/>
  </r>
  <r>
    <x v="40"/>
  </r>
  <r>
    <x v="12"/>
  </r>
  <r>
    <x v="10"/>
  </r>
  <r>
    <x v="10"/>
  </r>
  <r>
    <x v="56"/>
  </r>
  <r>
    <x v="175"/>
  </r>
  <r>
    <x v="175"/>
  </r>
  <r>
    <x v="4"/>
  </r>
  <r>
    <x v="17"/>
  </r>
  <r>
    <x v="102"/>
  </r>
  <r>
    <x v="75"/>
  </r>
  <r>
    <x v="75"/>
  </r>
  <r>
    <x v="10"/>
  </r>
  <r>
    <x v="3"/>
  </r>
  <r>
    <x v="29"/>
  </r>
  <r>
    <x v="53"/>
  </r>
  <r>
    <x v="56"/>
  </r>
  <r>
    <x v="81"/>
  </r>
  <r>
    <x v="78"/>
  </r>
  <r>
    <x v="4"/>
  </r>
  <r>
    <x v="4"/>
  </r>
  <r>
    <x v="4"/>
  </r>
  <r>
    <x v="19"/>
  </r>
  <r>
    <x v="4"/>
  </r>
  <r>
    <x v="1"/>
  </r>
  <r>
    <x v="53"/>
  </r>
  <r>
    <x v="4"/>
  </r>
  <r>
    <x v="4"/>
  </r>
  <r>
    <x v="3"/>
  </r>
  <r>
    <x v="2"/>
  </r>
  <r>
    <x v="10"/>
  </r>
  <r>
    <x v="126"/>
  </r>
  <r>
    <x v="10"/>
  </r>
  <r>
    <x v="10"/>
  </r>
  <r>
    <x v="19"/>
  </r>
  <r>
    <x v="25"/>
  </r>
  <r>
    <x v="4"/>
  </r>
  <r>
    <x v="4"/>
  </r>
  <r>
    <x v="4"/>
  </r>
  <r>
    <x v="4"/>
  </r>
  <r>
    <x v="4"/>
  </r>
  <r>
    <x v="4"/>
  </r>
  <r>
    <x v="4"/>
  </r>
  <r>
    <x v="165"/>
  </r>
  <r>
    <x v="103"/>
  </r>
  <r>
    <x v="16"/>
  </r>
  <r>
    <x v="4"/>
  </r>
  <r>
    <x v="10"/>
  </r>
  <r>
    <x v="165"/>
  </r>
  <r>
    <x v="165"/>
  </r>
  <r>
    <x v="165"/>
  </r>
  <r>
    <x v="76"/>
  </r>
  <r>
    <x v="28"/>
  </r>
  <r>
    <x v="19"/>
  </r>
  <r>
    <x v="28"/>
  </r>
  <r>
    <x v="4"/>
  </r>
  <r>
    <x v="45"/>
  </r>
  <r>
    <x v="45"/>
  </r>
  <r>
    <x v="86"/>
  </r>
  <r>
    <x v="4"/>
  </r>
  <r>
    <x v="4"/>
  </r>
  <r>
    <x v="4"/>
  </r>
  <r>
    <x v="37"/>
  </r>
  <r>
    <x v="0"/>
  </r>
  <r>
    <x v="10"/>
  </r>
  <r>
    <x v="24"/>
  </r>
  <r>
    <x v="24"/>
  </r>
  <r>
    <x v="24"/>
  </r>
  <r>
    <x v="24"/>
  </r>
  <r>
    <x v="24"/>
  </r>
  <r>
    <x v="24"/>
  </r>
  <r>
    <x v="10"/>
  </r>
  <r>
    <x v="10"/>
  </r>
  <r>
    <x v="10"/>
  </r>
  <r>
    <x v="4"/>
  </r>
  <r>
    <x v="138"/>
  </r>
  <r>
    <x v="10"/>
  </r>
  <r>
    <x v="10"/>
  </r>
  <r>
    <x v="10"/>
  </r>
  <r>
    <x v="123"/>
  </r>
  <r>
    <x v="24"/>
  </r>
  <r>
    <x v="24"/>
  </r>
  <r>
    <x v="24"/>
  </r>
  <r>
    <x v="4"/>
  </r>
  <r>
    <x v="10"/>
  </r>
  <r>
    <x v="123"/>
  </r>
  <r>
    <x v="4"/>
  </r>
  <r>
    <x v="12"/>
  </r>
  <r>
    <x v="29"/>
  </r>
  <r>
    <x v="152"/>
  </r>
  <r>
    <x v="152"/>
  </r>
  <r>
    <x v="152"/>
  </r>
  <r>
    <x v="76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1"/>
  </r>
  <r>
    <x v="27"/>
  </r>
  <r>
    <x v="126"/>
  </r>
  <r>
    <x v="0"/>
  </r>
  <r>
    <x v="56"/>
  </r>
  <r>
    <x v="56"/>
  </r>
  <r>
    <x v="10"/>
  </r>
  <r>
    <x v="10"/>
  </r>
  <r>
    <x v="10"/>
  </r>
  <r>
    <x v="7"/>
  </r>
  <r>
    <x v="10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2"/>
  </r>
  <r>
    <x v="2"/>
  </r>
  <r>
    <x v="2"/>
  </r>
  <r>
    <x v="10"/>
  </r>
  <r>
    <x v="126"/>
  </r>
  <r>
    <x v="126"/>
  </r>
  <r>
    <x v="24"/>
  </r>
  <r>
    <x v="4"/>
  </r>
  <r>
    <x v="4"/>
  </r>
  <r>
    <x v="4"/>
  </r>
  <r>
    <x v="4"/>
  </r>
  <r>
    <x v="4"/>
  </r>
  <r>
    <x v="4"/>
  </r>
  <r>
    <x v="10"/>
  </r>
  <r>
    <x v="10"/>
  </r>
  <r>
    <x v="50"/>
  </r>
  <r>
    <x v="42"/>
  </r>
  <r>
    <x v="10"/>
  </r>
  <r>
    <x v="33"/>
  </r>
  <r>
    <x v="12"/>
  </r>
  <r>
    <x v="72"/>
  </r>
  <r>
    <x v="106"/>
  </r>
  <r>
    <x v="10"/>
  </r>
  <r>
    <x v="12"/>
  </r>
  <r>
    <x v="10"/>
  </r>
  <r>
    <x v="14"/>
  </r>
  <r>
    <x v="1"/>
  </r>
  <r>
    <x v="0"/>
  </r>
  <r>
    <x v="0"/>
  </r>
  <r>
    <x v="22"/>
  </r>
  <r>
    <x v="0"/>
  </r>
  <r>
    <x v="162"/>
  </r>
  <r>
    <x v="12"/>
  </r>
  <r>
    <x v="4"/>
  </r>
  <r>
    <x v="4"/>
  </r>
  <r>
    <x v="4"/>
  </r>
  <r>
    <x v="4"/>
  </r>
  <r>
    <x v="4"/>
  </r>
  <r>
    <x v="4"/>
  </r>
  <r>
    <x v="165"/>
  </r>
  <r>
    <x v="165"/>
  </r>
  <r>
    <x v="4"/>
  </r>
  <r>
    <x v="10"/>
  </r>
  <r>
    <x v="10"/>
  </r>
  <r>
    <x v="10"/>
  </r>
  <r>
    <x v="10"/>
  </r>
  <r>
    <x v="10"/>
  </r>
  <r>
    <x v="9"/>
  </r>
  <r>
    <x v="165"/>
  </r>
  <r>
    <x v="165"/>
  </r>
  <r>
    <x v="146"/>
  </r>
  <r>
    <x v="146"/>
  </r>
  <r>
    <x v="146"/>
  </r>
  <r>
    <x v="146"/>
  </r>
  <r>
    <x v="51"/>
  </r>
  <r>
    <x v="146"/>
  </r>
  <r>
    <x v="146"/>
  </r>
  <r>
    <x v="146"/>
  </r>
  <r>
    <x v="12"/>
  </r>
  <r>
    <x v="12"/>
  </r>
  <r>
    <x v="12"/>
  </r>
  <r>
    <x v="42"/>
  </r>
  <r>
    <x v="4"/>
  </r>
  <r>
    <x v="10"/>
  </r>
  <r>
    <x v="123"/>
  </r>
  <r>
    <x v="123"/>
  </r>
  <r>
    <x v="123"/>
  </r>
  <r>
    <x v="123"/>
  </r>
  <r>
    <x v="123"/>
  </r>
  <r>
    <x v="123"/>
  </r>
  <r>
    <x v="123"/>
  </r>
  <r>
    <x v="14"/>
  </r>
  <r>
    <x v="10"/>
  </r>
  <r>
    <x v="24"/>
  </r>
  <r>
    <x v="10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5"/>
  </r>
  <r>
    <x v="123"/>
  </r>
  <r>
    <x v="15"/>
  </r>
  <r>
    <x v="15"/>
  </r>
  <r>
    <x v="1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28"/>
  </r>
  <r>
    <x v="59"/>
  </r>
  <r>
    <x v="4"/>
  </r>
  <r>
    <x v="24"/>
  </r>
  <r>
    <x v="24"/>
  </r>
  <r>
    <x v="24"/>
  </r>
  <r>
    <x v="48"/>
  </r>
  <r>
    <x v="6"/>
  </r>
  <r>
    <x v="24"/>
  </r>
  <r>
    <x v="24"/>
  </r>
  <r>
    <x v="24"/>
  </r>
  <r>
    <x v="24"/>
  </r>
  <r>
    <x v="9"/>
  </r>
  <r>
    <x v="24"/>
  </r>
  <r>
    <x v="24"/>
  </r>
  <r>
    <x v="76"/>
  </r>
  <r>
    <x v="76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54"/>
  </r>
  <r>
    <x v="12"/>
  </r>
  <r>
    <x v="2"/>
  </r>
  <r>
    <x v="12"/>
  </r>
  <r>
    <x v="10"/>
  </r>
  <r>
    <x v="21"/>
  </r>
  <r>
    <x v="45"/>
  </r>
  <r>
    <x v="21"/>
  </r>
  <r>
    <x v="244"/>
  </r>
  <r>
    <x v="4"/>
  </r>
  <r>
    <x v="48"/>
  </r>
  <r>
    <x v="16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65"/>
  </r>
  <r>
    <x v="4"/>
  </r>
  <r>
    <x v="4"/>
  </r>
  <r>
    <x v="4"/>
  </r>
  <r>
    <x v="4"/>
  </r>
  <r>
    <x v="4"/>
  </r>
  <r>
    <x v="4"/>
  </r>
  <r>
    <x v="81"/>
  </r>
  <r>
    <x v="81"/>
  </r>
  <r>
    <x v="1"/>
  </r>
  <r>
    <x v="1"/>
  </r>
  <r>
    <x v="1"/>
  </r>
  <r>
    <x v="138"/>
  </r>
  <r>
    <x v="59"/>
  </r>
  <r>
    <x v="59"/>
  </r>
  <r>
    <x v="7"/>
  </r>
  <r>
    <x v="264"/>
  </r>
  <r>
    <x v="42"/>
  </r>
  <r>
    <x v="123"/>
  </r>
  <r>
    <x v="103"/>
  </r>
  <r>
    <x v="9"/>
  </r>
  <r>
    <x v="4"/>
  </r>
  <r>
    <x v="10"/>
  </r>
  <r>
    <x v="46"/>
  </r>
  <r>
    <x v="68"/>
  </r>
  <r>
    <x v="49"/>
  </r>
  <r>
    <x v="42"/>
  </r>
  <r>
    <x v="4"/>
  </r>
  <r>
    <x v="4"/>
  </r>
  <r>
    <x v="4"/>
  </r>
  <r>
    <x v="4"/>
  </r>
  <r>
    <x v="4"/>
  </r>
  <r>
    <x v="183"/>
  </r>
  <r>
    <x v="183"/>
  </r>
  <r>
    <x v="77"/>
  </r>
  <r>
    <x v="12"/>
  </r>
  <r>
    <x v="24"/>
  </r>
  <r>
    <x v="27"/>
  </r>
  <r>
    <x v="77"/>
  </r>
  <r>
    <x v="77"/>
  </r>
  <r>
    <x v="114"/>
  </r>
  <r>
    <x v="165"/>
  </r>
  <r>
    <x v="165"/>
  </r>
  <r>
    <x v="14"/>
  </r>
  <r>
    <x v="165"/>
  </r>
  <r>
    <x v="165"/>
  </r>
  <r>
    <x v="21"/>
  </r>
  <r>
    <x v="31"/>
  </r>
  <r>
    <x v="21"/>
  </r>
  <r>
    <x v="21"/>
  </r>
  <r>
    <x v="31"/>
  </r>
  <r>
    <x v="24"/>
  </r>
  <r>
    <x v="4"/>
  </r>
  <r>
    <x v="165"/>
  </r>
  <r>
    <x v="4"/>
  </r>
  <r>
    <x v="71"/>
  </r>
  <r>
    <x v="4"/>
  </r>
  <r>
    <x v="77"/>
  </r>
  <r>
    <x v="77"/>
  </r>
  <r>
    <x v="77"/>
  </r>
  <r>
    <x v="42"/>
  </r>
  <r>
    <x v="1"/>
  </r>
  <r>
    <x v="1"/>
  </r>
  <r>
    <x v="42"/>
  </r>
  <r>
    <x v="1"/>
  </r>
  <r>
    <x v="43"/>
  </r>
  <r>
    <x v="17"/>
  </r>
  <r>
    <x v="9"/>
  </r>
  <r>
    <x v="40"/>
  </r>
  <r>
    <x v="42"/>
  </r>
  <r>
    <x v="75"/>
  </r>
  <r>
    <x v="48"/>
  </r>
  <r>
    <x v="75"/>
  </r>
  <r>
    <x v="138"/>
  </r>
  <r>
    <x v="0"/>
  </r>
  <r>
    <x v="10"/>
  </r>
  <r>
    <x v="126"/>
  </r>
  <r>
    <x v="9"/>
  </r>
  <r>
    <x v="9"/>
  </r>
  <r>
    <x v="9"/>
  </r>
  <r>
    <x v="9"/>
  </r>
  <r>
    <x v="9"/>
  </r>
  <r>
    <x v="9"/>
  </r>
  <r>
    <x v="9"/>
  </r>
  <r>
    <x v="22"/>
  </r>
  <r>
    <x v="0"/>
  </r>
  <r>
    <x v="4"/>
  </r>
  <r>
    <x v="0"/>
  </r>
  <r>
    <x v="0"/>
  </r>
  <r>
    <x v="0"/>
  </r>
  <r>
    <x v="0"/>
  </r>
  <r>
    <x v="55"/>
  </r>
  <r>
    <x v="55"/>
  </r>
  <r>
    <x v="10"/>
  </r>
  <r>
    <x v="55"/>
  </r>
  <r>
    <x v="10"/>
  </r>
  <r>
    <x v="10"/>
  </r>
  <r>
    <x v="10"/>
  </r>
  <r>
    <x v="115"/>
  </r>
  <r>
    <x v="115"/>
  </r>
  <r>
    <x v="115"/>
  </r>
  <r>
    <x v="10"/>
  </r>
  <r>
    <x v="24"/>
  </r>
  <r>
    <x v="108"/>
  </r>
  <r>
    <x v="108"/>
  </r>
  <r>
    <x v="108"/>
  </r>
  <r>
    <x v="36"/>
  </r>
  <r>
    <x v="80"/>
  </r>
  <r>
    <x v="10"/>
  </r>
  <r>
    <x v="12"/>
  </r>
  <r>
    <x v="10"/>
  </r>
  <r>
    <x v="42"/>
  </r>
  <r>
    <x v="26"/>
  </r>
  <r>
    <x v="89"/>
  </r>
  <r>
    <x v="89"/>
  </r>
  <r>
    <x v="22"/>
  </r>
  <r>
    <x v="42"/>
  </r>
  <r>
    <x v="22"/>
  </r>
  <r>
    <x v="12"/>
  </r>
  <r>
    <x v="12"/>
  </r>
  <r>
    <x v="12"/>
  </r>
  <r>
    <x v="42"/>
  </r>
  <r>
    <x v="123"/>
  </r>
  <r>
    <x v="42"/>
  </r>
  <r>
    <x v="146"/>
  </r>
  <r>
    <x v="7"/>
  </r>
  <r>
    <x v="4"/>
  </r>
  <r>
    <x v="56"/>
  </r>
  <r>
    <x v="224"/>
  </r>
  <r>
    <x v="22"/>
  </r>
  <r>
    <x v="26"/>
  </r>
  <r>
    <x v="50"/>
  </r>
  <r>
    <x v="138"/>
  </r>
  <r>
    <x v="10"/>
  </r>
  <r>
    <x v="50"/>
  </r>
  <r>
    <x v="29"/>
  </r>
  <r>
    <x v="29"/>
  </r>
  <r>
    <x v="29"/>
  </r>
  <r>
    <x v="12"/>
  </r>
  <r>
    <x v="12"/>
  </r>
  <r>
    <x v="50"/>
  </r>
  <r>
    <x v="26"/>
  </r>
  <r>
    <x v="14"/>
  </r>
  <r>
    <x v="26"/>
  </r>
  <r>
    <x v="12"/>
  </r>
  <r>
    <x v="12"/>
  </r>
  <r>
    <x v="12"/>
  </r>
  <r>
    <x v="12"/>
  </r>
  <r>
    <x v="87"/>
  </r>
  <r>
    <x v="12"/>
  </r>
  <r>
    <x v="87"/>
  </r>
  <r>
    <x v="87"/>
  </r>
  <r>
    <x v="4"/>
  </r>
  <r>
    <x v="12"/>
  </r>
  <r>
    <x v="87"/>
  </r>
  <r>
    <x v="126"/>
  </r>
  <r>
    <x v="87"/>
  </r>
  <r>
    <x v="87"/>
  </r>
  <r>
    <x v="12"/>
  </r>
  <r>
    <x v="87"/>
  </r>
  <r>
    <x v="12"/>
  </r>
  <r>
    <x v="87"/>
  </r>
  <r>
    <x v="12"/>
  </r>
  <r>
    <x v="4"/>
  </r>
  <r>
    <x v="12"/>
  </r>
  <r>
    <x v="87"/>
  </r>
  <r>
    <x v="87"/>
  </r>
  <r>
    <x v="12"/>
  </r>
  <r>
    <x v="24"/>
  </r>
  <r>
    <x v="12"/>
  </r>
  <r>
    <x v="4"/>
  </r>
  <r>
    <x v="115"/>
  </r>
  <r>
    <x v="4"/>
  </r>
  <r>
    <x v="63"/>
  </r>
  <r>
    <x v="45"/>
  </r>
  <r>
    <x v="4"/>
  </r>
  <r>
    <x v="4"/>
  </r>
  <r>
    <x v="142"/>
  </r>
  <r>
    <x v="53"/>
  </r>
  <r>
    <x v="17"/>
  </r>
  <r>
    <x v="17"/>
  </r>
  <r>
    <x v="17"/>
  </r>
  <r>
    <x v="53"/>
  </r>
  <r>
    <x v="17"/>
  </r>
  <r>
    <x v="12"/>
  </r>
  <r>
    <x v="22"/>
  </r>
  <r>
    <x v="33"/>
  </r>
  <r>
    <x v="57"/>
  </r>
  <r>
    <x v="0"/>
  </r>
  <r>
    <x v="24"/>
  </r>
  <r>
    <x v="0"/>
  </r>
  <r>
    <x v="0"/>
  </r>
  <r>
    <x v="0"/>
  </r>
  <r>
    <x v="42"/>
  </r>
  <r>
    <x v="26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4"/>
  </r>
  <r>
    <x v="26"/>
  </r>
  <r>
    <x v="36"/>
  </r>
  <r>
    <x v="12"/>
  </r>
  <r>
    <x v="4"/>
  </r>
  <r>
    <x v="36"/>
  </r>
  <r>
    <x v="87"/>
  </r>
  <r>
    <x v="48"/>
  </r>
  <r>
    <x v="36"/>
  </r>
  <r>
    <x v="87"/>
  </r>
  <r>
    <x v="87"/>
  </r>
  <r>
    <x v="129"/>
  </r>
  <r>
    <x v="129"/>
  </r>
  <r>
    <x v="129"/>
  </r>
  <r>
    <x v="87"/>
  </r>
  <r>
    <x v="87"/>
  </r>
  <r>
    <x v="10"/>
  </r>
  <r>
    <x v="10"/>
  </r>
  <r>
    <x v="10"/>
  </r>
  <r>
    <x v="10"/>
  </r>
  <r>
    <x v="10"/>
  </r>
  <r>
    <x v="10"/>
  </r>
  <r>
    <x v="4"/>
  </r>
  <r>
    <x v="160"/>
  </r>
  <r>
    <x v="31"/>
  </r>
  <r>
    <x v="4"/>
  </r>
  <r>
    <x v="0"/>
  </r>
  <r>
    <x v="42"/>
  </r>
  <r>
    <x v="42"/>
  </r>
  <r>
    <x v="12"/>
  </r>
  <r>
    <x v="7"/>
  </r>
  <r>
    <x v="12"/>
  </r>
  <r>
    <x v="4"/>
  </r>
  <r>
    <x v="16"/>
  </r>
  <r>
    <x v="4"/>
  </r>
  <r>
    <x v="7"/>
  </r>
  <r>
    <x v="12"/>
  </r>
  <r>
    <x v="52"/>
  </r>
  <r>
    <x v="0"/>
  </r>
  <r>
    <x v="4"/>
  </r>
  <r>
    <x v="1"/>
  </r>
  <r>
    <x v="0"/>
  </r>
  <r>
    <x v="0"/>
  </r>
  <r>
    <x v="17"/>
  </r>
  <r>
    <x v="42"/>
  </r>
  <r>
    <x v="68"/>
  </r>
  <r>
    <x v="12"/>
  </r>
  <r>
    <x v="12"/>
  </r>
  <r>
    <x v="12"/>
  </r>
  <r>
    <x v="87"/>
  </r>
  <r>
    <x v="87"/>
  </r>
  <r>
    <x v="68"/>
  </r>
  <r>
    <x v="129"/>
  </r>
  <r>
    <x v="52"/>
  </r>
  <r>
    <x v="10"/>
  </r>
  <r>
    <x v="78"/>
  </r>
  <r>
    <x v="86"/>
  </r>
  <r>
    <x v="4"/>
  </r>
  <r>
    <x v="68"/>
  </r>
  <r>
    <x v="68"/>
  </r>
  <r>
    <x v="68"/>
  </r>
  <r>
    <x v="68"/>
  </r>
  <r>
    <x v="68"/>
  </r>
  <r>
    <x v="56"/>
  </r>
  <r>
    <x v="0"/>
  </r>
  <r>
    <x v="10"/>
  </r>
  <r>
    <x v="4"/>
  </r>
  <r>
    <x v="4"/>
  </r>
  <r>
    <x v="77"/>
  </r>
  <r>
    <x v="8"/>
  </r>
  <r>
    <x v="77"/>
  </r>
  <r>
    <x v="77"/>
  </r>
  <r>
    <x v="77"/>
  </r>
  <r>
    <x v="77"/>
  </r>
  <r>
    <x v="138"/>
  </r>
  <r>
    <x v="138"/>
  </r>
  <r>
    <x v="14"/>
  </r>
  <r>
    <x v="8"/>
  </r>
  <r>
    <x v="76"/>
  </r>
  <r>
    <x v="76"/>
  </r>
  <r>
    <x v="12"/>
  </r>
  <r>
    <x v="115"/>
  </r>
  <r>
    <x v="115"/>
  </r>
  <r>
    <x v="115"/>
  </r>
  <r>
    <x v="115"/>
  </r>
  <r>
    <x v="115"/>
  </r>
  <r>
    <x v="115"/>
  </r>
  <r>
    <x v="4"/>
  </r>
  <r>
    <x v="4"/>
  </r>
  <r>
    <x v="4"/>
  </r>
  <r>
    <x v="36"/>
  </r>
  <r>
    <x v="36"/>
  </r>
  <r>
    <x v="208"/>
  </r>
  <r>
    <x v="208"/>
  </r>
  <r>
    <x v="123"/>
  </r>
  <r>
    <x v="123"/>
  </r>
  <r>
    <x v="12"/>
  </r>
  <r>
    <x v="12"/>
  </r>
  <r>
    <x v="12"/>
  </r>
  <r>
    <x v="45"/>
  </r>
  <r>
    <x v="0"/>
  </r>
  <r>
    <x v="0"/>
  </r>
  <r>
    <x v="0"/>
  </r>
  <r>
    <x v="52"/>
  </r>
  <r>
    <x v="48"/>
  </r>
  <r>
    <x v="114"/>
  </r>
  <r>
    <x v="52"/>
  </r>
  <r>
    <x v="0"/>
  </r>
  <r>
    <x v="12"/>
  </r>
  <r>
    <x v="12"/>
  </r>
  <r>
    <x v="10"/>
  </r>
  <r>
    <x v="10"/>
  </r>
  <r>
    <x v="10"/>
  </r>
  <r>
    <x v="0"/>
  </r>
  <r>
    <x v="12"/>
  </r>
  <r>
    <x v="123"/>
  </r>
  <r>
    <x v="123"/>
  </r>
  <r>
    <x v="123"/>
  </r>
  <r>
    <x v="123"/>
  </r>
  <r>
    <x v="12"/>
  </r>
  <r>
    <x v="12"/>
  </r>
  <r>
    <x v="184"/>
  </r>
  <r>
    <x v="22"/>
  </r>
  <r>
    <x v="22"/>
  </r>
  <r>
    <x v="22"/>
  </r>
  <r>
    <x v="51"/>
  </r>
  <r>
    <x v="22"/>
  </r>
  <r>
    <x v="36"/>
  </r>
  <r>
    <x v="130"/>
  </r>
  <r>
    <x v="22"/>
  </r>
  <r>
    <x v="21"/>
  </r>
  <r>
    <x v="21"/>
  </r>
  <r>
    <x v="86"/>
  </r>
  <r>
    <x v="86"/>
  </r>
  <r>
    <x v="42"/>
  </r>
  <r>
    <x v="42"/>
  </r>
  <r>
    <x v="42"/>
  </r>
  <r>
    <x v="43"/>
  </r>
  <r>
    <x v="43"/>
  </r>
  <r>
    <x v="43"/>
  </r>
  <r>
    <x v="43"/>
  </r>
  <r>
    <x v="43"/>
  </r>
  <r>
    <x v="43"/>
  </r>
  <r>
    <x v="43"/>
  </r>
  <r>
    <x v="10"/>
  </r>
  <r>
    <x v="10"/>
  </r>
  <r>
    <x v="10"/>
  </r>
  <r>
    <x v="10"/>
  </r>
  <r>
    <x v="138"/>
  </r>
  <r>
    <x v="13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"/>
  </r>
  <r>
    <x v="51"/>
  </r>
  <r>
    <x v="51"/>
  </r>
  <r>
    <x v="51"/>
  </r>
  <r>
    <x v="51"/>
  </r>
  <r>
    <x v="51"/>
  </r>
  <r>
    <x v="51"/>
  </r>
  <r>
    <x v="51"/>
  </r>
  <r>
    <x v="51"/>
  </r>
  <r>
    <x v="45"/>
  </r>
  <r>
    <x v="51"/>
  </r>
  <r>
    <x v="28"/>
  </r>
  <r>
    <x v="28"/>
  </r>
  <r>
    <x v="28"/>
  </r>
  <r>
    <x v="28"/>
  </r>
  <r>
    <x v="57"/>
  </r>
  <r>
    <x v="57"/>
  </r>
  <r>
    <x v="10"/>
  </r>
  <r>
    <x v="21"/>
  </r>
  <r>
    <x v="0"/>
  </r>
  <r>
    <x v="115"/>
  </r>
  <r>
    <x v="12"/>
  </r>
  <r>
    <x v="152"/>
  </r>
  <r>
    <x v="12"/>
  </r>
  <r>
    <x v="152"/>
  </r>
  <r>
    <x v="10"/>
  </r>
  <r>
    <x v="10"/>
  </r>
  <r>
    <x v="152"/>
  </r>
  <r>
    <x v="55"/>
  </r>
  <r>
    <x v="152"/>
  </r>
  <r>
    <x v="157"/>
  </r>
  <r>
    <x v="42"/>
  </r>
  <r>
    <x v="12"/>
  </r>
  <r>
    <x v="16"/>
  </r>
  <r>
    <x v="12"/>
  </r>
  <r>
    <x v="10"/>
  </r>
  <r>
    <x v="12"/>
  </r>
  <r>
    <x v="10"/>
  </r>
  <r>
    <x v="10"/>
  </r>
  <r>
    <x v="46"/>
  </r>
  <r>
    <x v="1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25"/>
  </r>
  <r>
    <x v="12"/>
  </r>
  <r>
    <x v="12"/>
  </r>
  <r>
    <x v="80"/>
  </r>
  <r>
    <x v="9"/>
  </r>
  <r>
    <x v="7"/>
  </r>
  <r>
    <x v="7"/>
  </r>
  <r>
    <x v="7"/>
  </r>
  <r>
    <x v="7"/>
  </r>
  <r>
    <x v="10"/>
  </r>
  <r>
    <x v="51"/>
  </r>
  <r>
    <x v="51"/>
  </r>
  <r>
    <x v="51"/>
  </r>
  <r>
    <x v="51"/>
  </r>
  <r>
    <x v="51"/>
  </r>
  <r>
    <x v="162"/>
  </r>
  <r>
    <x v="138"/>
  </r>
  <r>
    <x v="0"/>
  </r>
  <r>
    <x v="10"/>
  </r>
  <r>
    <x v="9"/>
  </r>
  <r>
    <x v="0"/>
  </r>
  <r>
    <x v="12"/>
  </r>
  <r>
    <x v="0"/>
  </r>
  <r>
    <x v="0"/>
  </r>
  <r>
    <x v="0"/>
  </r>
  <r>
    <x v="0"/>
  </r>
  <r>
    <x v="0"/>
  </r>
  <r>
    <x v="128"/>
  </r>
  <r>
    <x v="53"/>
  </r>
  <r>
    <x v="168"/>
  </r>
  <r>
    <x v="136"/>
  </r>
  <r>
    <x v="42"/>
  </r>
  <r>
    <x v="10"/>
  </r>
  <r>
    <x v="42"/>
  </r>
  <r>
    <x v="10"/>
  </r>
  <r>
    <x v="10"/>
  </r>
  <r>
    <x v="165"/>
  </r>
  <r>
    <x v="10"/>
  </r>
  <r>
    <x v="10"/>
  </r>
  <r>
    <x v="36"/>
  </r>
  <r>
    <x v="36"/>
  </r>
  <r>
    <x v="36"/>
  </r>
  <r>
    <x v="178"/>
  </r>
  <r>
    <x v="178"/>
  </r>
  <r>
    <x v="178"/>
  </r>
  <r>
    <x v="175"/>
  </r>
  <r>
    <x v="55"/>
  </r>
  <r>
    <x v="55"/>
  </r>
  <r>
    <x v="55"/>
  </r>
  <r>
    <x v="55"/>
  </r>
  <r>
    <x v="39"/>
  </r>
  <r>
    <x v="39"/>
  </r>
  <r>
    <x v="36"/>
  </r>
  <r>
    <x v="39"/>
  </r>
  <r>
    <x v="36"/>
  </r>
  <r>
    <x v="39"/>
  </r>
  <r>
    <x v="39"/>
  </r>
  <r>
    <x v="12"/>
  </r>
  <r>
    <x v="12"/>
  </r>
  <r>
    <x v="45"/>
  </r>
  <r>
    <x v="36"/>
  </r>
  <r>
    <x v="36"/>
  </r>
  <r>
    <x v="11"/>
  </r>
  <r>
    <x v="36"/>
  </r>
  <r>
    <x v="36"/>
  </r>
  <r>
    <x v="36"/>
  </r>
  <r>
    <x v="36"/>
  </r>
  <r>
    <x v="26"/>
  </r>
  <r>
    <x v="276"/>
  </r>
  <r>
    <x v="169"/>
  </r>
  <r>
    <x v="276"/>
  </r>
  <r>
    <x v="12"/>
  </r>
  <r>
    <x v="12"/>
  </r>
  <r>
    <x v="2"/>
  </r>
  <r>
    <x v="276"/>
  </r>
  <r>
    <x v="12"/>
  </r>
  <r>
    <x v="12"/>
  </r>
  <r>
    <x v="276"/>
  </r>
  <r>
    <x v="276"/>
  </r>
  <r>
    <x v="12"/>
  </r>
  <r>
    <x v="12"/>
  </r>
  <r>
    <x v="12"/>
  </r>
  <r>
    <x v="12"/>
  </r>
  <r>
    <x v="12"/>
  </r>
  <r>
    <x v="12"/>
  </r>
  <r>
    <x v="12"/>
  </r>
  <r>
    <x v="77"/>
  </r>
  <r>
    <x v="77"/>
  </r>
  <r>
    <x v="4"/>
  </r>
  <r>
    <x v="4"/>
  </r>
  <r>
    <x v="12"/>
  </r>
  <r>
    <x v="12"/>
  </r>
  <r>
    <x v="12"/>
  </r>
  <r>
    <x v="36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22"/>
  </r>
  <r>
    <x v="135"/>
  </r>
  <r>
    <x v="12"/>
  </r>
  <r>
    <x v="36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7"/>
  </r>
  <r>
    <x v="4"/>
  </r>
  <r>
    <x v="10"/>
  </r>
  <r>
    <x v="10"/>
  </r>
  <r>
    <x v="4"/>
  </r>
  <r>
    <x v="4"/>
  </r>
  <r>
    <x v="4"/>
  </r>
  <r>
    <x v="28"/>
  </r>
  <r>
    <x v="28"/>
  </r>
  <r>
    <x v="4"/>
  </r>
  <r>
    <x v="4"/>
  </r>
  <r>
    <x v="4"/>
  </r>
  <r>
    <x v="4"/>
  </r>
  <r>
    <x v="4"/>
  </r>
  <r>
    <x v="0"/>
  </r>
  <r>
    <x v="42"/>
  </r>
  <r>
    <x v="0"/>
  </r>
  <r>
    <x v="123"/>
  </r>
  <r>
    <x v="123"/>
  </r>
  <r>
    <x v="12"/>
  </r>
  <r>
    <x v="11"/>
  </r>
  <r>
    <x v="16"/>
  </r>
  <r>
    <x v="87"/>
  </r>
  <r>
    <x v="87"/>
  </r>
  <r>
    <x v="10"/>
  </r>
  <r>
    <x v="10"/>
  </r>
  <r>
    <x v="114"/>
  </r>
  <r>
    <x v="126"/>
  </r>
  <r>
    <x v="87"/>
  </r>
  <r>
    <x v="39"/>
  </r>
  <r>
    <x v="87"/>
  </r>
  <r>
    <x v="87"/>
  </r>
  <r>
    <x v="87"/>
  </r>
  <r>
    <x v="87"/>
  </r>
  <r>
    <x v="87"/>
  </r>
  <r>
    <x v="10"/>
  </r>
  <r>
    <x v="10"/>
  </r>
  <r>
    <x v="10"/>
  </r>
  <r>
    <x v="4"/>
  </r>
  <r>
    <x v="4"/>
  </r>
  <r>
    <x v="10"/>
  </r>
  <r>
    <x v="115"/>
  </r>
  <r>
    <x v="115"/>
  </r>
  <r>
    <x v="10"/>
  </r>
  <r>
    <x v="115"/>
  </r>
  <r>
    <x v="115"/>
  </r>
  <r>
    <x v="10"/>
  </r>
  <r>
    <x v="10"/>
  </r>
  <r>
    <x v="10"/>
  </r>
  <r>
    <x v="277"/>
  </r>
  <r>
    <x v="4"/>
  </r>
  <r>
    <x v="10"/>
  </r>
  <r>
    <x v="114"/>
  </r>
  <r>
    <x v="15"/>
  </r>
  <r>
    <x v="53"/>
  </r>
  <r>
    <x v="171"/>
  </r>
  <r>
    <x v="15"/>
  </r>
  <r>
    <x v="4"/>
  </r>
  <r>
    <x v="15"/>
  </r>
  <r>
    <x v="243"/>
  </r>
  <r>
    <x v="31"/>
  </r>
  <r>
    <x v="59"/>
  </r>
  <r>
    <x v="33"/>
  </r>
  <r>
    <x v="39"/>
  </r>
  <r>
    <x v="39"/>
  </r>
  <r>
    <x v="162"/>
  </r>
  <r>
    <x v="4"/>
  </r>
  <r>
    <x v="12"/>
  </r>
  <r>
    <x v="12"/>
  </r>
  <r>
    <x v="0"/>
  </r>
  <r>
    <x v="0"/>
  </r>
  <r>
    <x v="53"/>
  </r>
  <r>
    <x v="0"/>
  </r>
  <r>
    <x v="17"/>
  </r>
  <r>
    <x v="44"/>
  </r>
  <r>
    <x v="138"/>
  </r>
  <r>
    <x v="81"/>
  </r>
  <r>
    <x v="16"/>
  </r>
  <r>
    <x v="81"/>
  </r>
  <r>
    <x v="0"/>
  </r>
  <r>
    <x v="17"/>
  </r>
  <r>
    <x v="0"/>
  </r>
  <r>
    <x v="14"/>
  </r>
  <r>
    <x v="0"/>
  </r>
  <r>
    <x v="0"/>
  </r>
  <r>
    <x v="0"/>
  </r>
  <r>
    <x v="0"/>
  </r>
  <r>
    <x v="0"/>
  </r>
  <r>
    <x v="0"/>
  </r>
  <r>
    <x v="45"/>
  </r>
  <r>
    <x v="10"/>
  </r>
  <r>
    <x v="165"/>
  </r>
  <r>
    <x v="165"/>
  </r>
  <r>
    <x v="42"/>
  </r>
  <r>
    <x v="103"/>
  </r>
  <r>
    <x v="10"/>
  </r>
  <r>
    <x v="87"/>
  </r>
  <r>
    <x v="10"/>
  </r>
  <r>
    <x v="128"/>
  </r>
  <r>
    <x v="42"/>
  </r>
  <r>
    <x v="10"/>
  </r>
  <r>
    <x v="12"/>
  </r>
  <r>
    <x v="4"/>
  </r>
  <r>
    <x v="28"/>
  </r>
  <r>
    <x v="12"/>
  </r>
  <r>
    <x v="12"/>
  </r>
  <r>
    <x v="12"/>
  </r>
  <r>
    <x v="12"/>
  </r>
  <r>
    <x v="12"/>
  </r>
  <r>
    <x v="12"/>
  </r>
  <r>
    <x v="12"/>
  </r>
  <r>
    <x v="87"/>
  </r>
  <r>
    <x v="24"/>
  </r>
  <r>
    <x v="42"/>
  </r>
  <r>
    <x v="42"/>
  </r>
  <r>
    <x v="42"/>
  </r>
  <r>
    <x v="42"/>
  </r>
  <r>
    <x v="42"/>
  </r>
  <r>
    <x v="76"/>
  </r>
  <r>
    <x v="14"/>
  </r>
  <r>
    <x v="77"/>
  </r>
  <r>
    <x v="16"/>
  </r>
  <r>
    <x v="4"/>
  </r>
  <r>
    <x v="0"/>
  </r>
  <r>
    <x v="0"/>
  </r>
  <r>
    <x v="30"/>
  </r>
  <r>
    <x v="17"/>
  </r>
  <r>
    <x v="0"/>
  </r>
  <r>
    <x v="4"/>
  </r>
  <r>
    <x v="11"/>
  </r>
  <r>
    <x v="36"/>
  </r>
  <r>
    <x v="36"/>
  </r>
  <r>
    <x v="36"/>
  </r>
  <r>
    <x v="36"/>
  </r>
  <r>
    <x v="10"/>
  </r>
  <r>
    <x v="174"/>
  </r>
  <r>
    <x v="174"/>
  </r>
  <r>
    <x v="22"/>
  </r>
  <r>
    <x v="174"/>
  </r>
  <r>
    <x v="22"/>
  </r>
  <r>
    <x v="174"/>
  </r>
  <r>
    <x v="174"/>
  </r>
  <r>
    <x v="76"/>
  </r>
  <r>
    <x v="10"/>
  </r>
  <r>
    <x v="78"/>
  </r>
  <r>
    <x v="78"/>
  </r>
  <r>
    <x v="174"/>
  </r>
  <r>
    <x v="22"/>
  </r>
  <r>
    <x v="174"/>
  </r>
  <r>
    <x v="22"/>
  </r>
  <r>
    <x v="22"/>
  </r>
  <r>
    <x v="152"/>
  </r>
  <r>
    <x v="22"/>
  </r>
  <r>
    <x v="4"/>
  </r>
  <r>
    <x v="243"/>
  </r>
  <r>
    <x v="4"/>
  </r>
  <r>
    <x v="33"/>
  </r>
  <r>
    <x v="99"/>
  </r>
  <r>
    <x v="41"/>
  </r>
  <r>
    <x v="17"/>
  </r>
  <r>
    <x v="22"/>
  </r>
  <r>
    <x v="123"/>
  </r>
  <r>
    <x v="4"/>
  </r>
  <r>
    <x v="4"/>
  </r>
  <r>
    <x v="4"/>
  </r>
  <r>
    <x v="4"/>
  </r>
  <r>
    <x v="4"/>
  </r>
  <r>
    <x v="0"/>
  </r>
  <r>
    <x v="0"/>
  </r>
  <r>
    <x v="0"/>
  </r>
  <r>
    <x v="22"/>
  </r>
  <r>
    <x v="22"/>
  </r>
  <r>
    <x v="22"/>
  </r>
  <r>
    <x v="22"/>
  </r>
  <r>
    <x v="22"/>
  </r>
  <r>
    <x v="22"/>
  </r>
  <r>
    <x v="22"/>
  </r>
  <r>
    <x v="99"/>
  </r>
  <r>
    <x v="14"/>
  </r>
  <r>
    <x v="78"/>
  </r>
  <r>
    <x v="78"/>
  </r>
  <r>
    <x v="28"/>
  </r>
  <r>
    <x v="28"/>
  </r>
  <r>
    <x v="7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115"/>
  </r>
  <r>
    <x v="0"/>
  </r>
  <r>
    <x v="0"/>
  </r>
  <r>
    <x v="0"/>
  </r>
  <r>
    <x v="0"/>
  </r>
  <r>
    <x v="28"/>
  </r>
  <r>
    <x v="10"/>
  </r>
  <r>
    <x v="10"/>
  </r>
  <r>
    <x v="10"/>
  </r>
  <r>
    <x v="10"/>
  </r>
  <r>
    <x v="10"/>
  </r>
  <r>
    <x v="10"/>
  </r>
  <r>
    <x v="7"/>
  </r>
  <r>
    <x v="10"/>
  </r>
  <r>
    <x v="10"/>
  </r>
  <r>
    <x v="10"/>
  </r>
  <r>
    <x v="10"/>
  </r>
  <r>
    <x v="10"/>
  </r>
  <r>
    <x v="77"/>
  </r>
  <r>
    <x v="10"/>
  </r>
  <r>
    <x v="10"/>
  </r>
  <r>
    <x v="10"/>
  </r>
  <r>
    <x v="77"/>
  </r>
  <r>
    <x v="10"/>
  </r>
  <r>
    <x v="0"/>
  </r>
  <r>
    <x v="0"/>
  </r>
  <r>
    <x v="2"/>
  </r>
  <r>
    <x v="2"/>
  </r>
  <r>
    <x v="63"/>
  </r>
  <r>
    <x v="63"/>
  </r>
  <r>
    <x v="10"/>
  </r>
  <r>
    <x v="10"/>
  </r>
  <r>
    <x v="10"/>
  </r>
  <r>
    <x v="80"/>
  </r>
  <r>
    <x v="14"/>
  </r>
  <r>
    <x v="4"/>
  </r>
  <r>
    <x v="71"/>
  </r>
  <r>
    <x v="2"/>
  </r>
  <r>
    <x v="138"/>
  </r>
  <r>
    <x v="42"/>
  </r>
  <r>
    <x v="123"/>
  </r>
  <r>
    <x v="42"/>
  </r>
  <r>
    <x v="10"/>
  </r>
  <r>
    <x v="10"/>
  </r>
  <r>
    <x v="28"/>
  </r>
  <r>
    <x v="12"/>
  </r>
  <r>
    <x v="4"/>
  </r>
  <r>
    <x v="108"/>
  </r>
  <r>
    <x v="4"/>
  </r>
  <r>
    <x v="4"/>
  </r>
  <r>
    <x v="4"/>
  </r>
  <r>
    <x v="4"/>
  </r>
  <r>
    <x v="4"/>
  </r>
  <r>
    <x v="0"/>
  </r>
  <r>
    <x v="165"/>
  </r>
  <r>
    <x v="21"/>
  </r>
  <r>
    <x v="21"/>
  </r>
  <r>
    <x v="72"/>
  </r>
  <r>
    <x v="42"/>
  </r>
  <r>
    <x v="12"/>
  </r>
  <r>
    <x v="12"/>
  </r>
  <r>
    <x v="12"/>
  </r>
  <r>
    <x v="42"/>
  </r>
  <r>
    <x v="42"/>
  </r>
  <r>
    <x v="12"/>
  </r>
  <r>
    <x v="42"/>
  </r>
  <r>
    <x v="42"/>
  </r>
  <r>
    <x v="42"/>
  </r>
  <r>
    <x v="42"/>
  </r>
  <r>
    <x v="42"/>
  </r>
  <r>
    <x v="87"/>
  </r>
  <r>
    <x v="87"/>
  </r>
  <r>
    <x v="87"/>
  </r>
  <r>
    <x v="87"/>
  </r>
  <r>
    <x v="71"/>
  </r>
  <r>
    <x v="42"/>
  </r>
  <r>
    <x v="42"/>
  </r>
  <r>
    <x v="42"/>
  </r>
  <r>
    <x v="36"/>
  </r>
  <r>
    <x v="42"/>
  </r>
  <r>
    <x v="42"/>
  </r>
  <r>
    <x v="72"/>
  </r>
  <r>
    <x v="42"/>
  </r>
  <r>
    <x v="183"/>
  </r>
  <r>
    <x v="42"/>
  </r>
  <r>
    <x v="42"/>
  </r>
  <r>
    <x v="45"/>
  </r>
  <r>
    <x v="45"/>
  </r>
  <r>
    <x v="45"/>
  </r>
  <r>
    <x v="45"/>
  </r>
  <r>
    <x v="14"/>
  </r>
  <r>
    <x v="7"/>
  </r>
  <r>
    <x v="0"/>
  </r>
  <r>
    <x v="0"/>
  </r>
  <r>
    <x v="55"/>
  </r>
  <r>
    <x v="36"/>
  </r>
  <r>
    <x v="10"/>
  </r>
  <r>
    <x v="10"/>
  </r>
  <r>
    <x v="12"/>
  </r>
  <r>
    <x v="72"/>
  </r>
  <r>
    <x v="16"/>
  </r>
  <r>
    <x v="12"/>
  </r>
  <r>
    <x v="55"/>
  </r>
  <r>
    <x v="8"/>
  </r>
  <r>
    <x v="14"/>
  </r>
  <r>
    <x v="2"/>
  </r>
  <r>
    <x v="64"/>
  </r>
  <r>
    <x v="45"/>
  </r>
  <r>
    <x v="45"/>
  </r>
  <r>
    <x v="64"/>
  </r>
  <r>
    <x v="45"/>
  </r>
  <r>
    <x v="36"/>
  </r>
  <r>
    <x v="36"/>
  </r>
  <r>
    <x v="36"/>
  </r>
  <r>
    <x v="14"/>
  </r>
  <r>
    <x v="10"/>
  </r>
  <r>
    <x v="10"/>
  </r>
  <r>
    <x v="63"/>
  </r>
  <r>
    <x v="69"/>
  </r>
  <r>
    <x v="69"/>
  </r>
  <r>
    <x v="69"/>
  </r>
  <r>
    <x v="69"/>
  </r>
  <r>
    <x v="36"/>
  </r>
  <r>
    <x v="36"/>
  </r>
  <r>
    <x v="75"/>
  </r>
  <r>
    <x v="4"/>
  </r>
  <r>
    <x v="4"/>
  </r>
  <r>
    <x v="4"/>
  </r>
  <r>
    <x v="10"/>
  </r>
  <r>
    <x v="10"/>
  </r>
  <r>
    <x v="4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10"/>
  </r>
  <r>
    <x v="4"/>
  </r>
  <r>
    <x v="4"/>
  </r>
  <r>
    <x v="4"/>
  </r>
  <r>
    <x v="4"/>
  </r>
  <r>
    <x v="6"/>
  </r>
  <r>
    <x v="6"/>
  </r>
  <r>
    <x v="130"/>
  </r>
  <r>
    <x v="39"/>
  </r>
  <r>
    <x v="152"/>
  </r>
  <r>
    <x v="152"/>
  </r>
  <r>
    <x v="152"/>
  </r>
  <r>
    <x v="24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5"/>
  </r>
  <r>
    <x v="112"/>
  </r>
  <r>
    <x v="10"/>
  </r>
  <r>
    <x v="8"/>
  </r>
  <r>
    <x v="17"/>
  </r>
  <r>
    <x v="14"/>
  </r>
  <r>
    <x v="8"/>
  </r>
  <r>
    <x v="8"/>
  </r>
  <r>
    <x v="8"/>
  </r>
  <r>
    <x v="9"/>
  </r>
  <r>
    <x v="28"/>
  </r>
  <r>
    <x v="28"/>
  </r>
  <r>
    <x v="28"/>
  </r>
  <r>
    <x v="28"/>
  </r>
  <r>
    <x v="28"/>
  </r>
  <r>
    <x v="79"/>
  </r>
  <r>
    <x v="53"/>
  </r>
  <r>
    <x v="9"/>
  </r>
  <r>
    <x v="25"/>
  </r>
  <r>
    <x v="14"/>
  </r>
  <r>
    <x v="12"/>
  </r>
  <r>
    <x v="12"/>
  </r>
  <r>
    <x v="36"/>
  </r>
  <r>
    <x v="4"/>
  </r>
  <r>
    <x v="165"/>
  </r>
  <r>
    <x v="36"/>
  </r>
  <r>
    <x v="0"/>
  </r>
  <r>
    <x v="152"/>
  </r>
  <r>
    <x v="12"/>
  </r>
  <r>
    <x v="12"/>
  </r>
  <r>
    <x v="12"/>
  </r>
  <r>
    <x v="12"/>
  </r>
  <r>
    <x v="42"/>
  </r>
  <r>
    <x v="12"/>
  </r>
  <r>
    <x v="42"/>
  </r>
  <r>
    <x v="42"/>
  </r>
  <r>
    <x v="42"/>
  </r>
  <r>
    <x v="42"/>
  </r>
  <r>
    <x v="42"/>
  </r>
  <r>
    <x v="87"/>
  </r>
  <r>
    <x v="87"/>
  </r>
  <r>
    <x v="0"/>
  </r>
  <r>
    <x v="24"/>
  </r>
  <r>
    <x v="24"/>
  </r>
  <r>
    <x v="24"/>
  </r>
  <r>
    <x v="24"/>
  </r>
  <r>
    <x v="24"/>
  </r>
  <r>
    <x v="12"/>
  </r>
  <r>
    <x v="10"/>
  </r>
  <r>
    <x v="24"/>
  </r>
  <r>
    <x v="10"/>
  </r>
  <r>
    <x v="10"/>
  </r>
  <r>
    <x v="24"/>
  </r>
  <r>
    <x v="24"/>
  </r>
  <r>
    <x v="24"/>
  </r>
  <r>
    <x v="87"/>
  </r>
  <r>
    <x v="87"/>
  </r>
  <r>
    <x v="87"/>
  </r>
  <r>
    <x v="87"/>
  </r>
  <r>
    <x v="87"/>
  </r>
  <r>
    <x v="87"/>
  </r>
  <r>
    <x v="14"/>
  </r>
  <r>
    <x v="14"/>
  </r>
  <r>
    <x v="87"/>
  </r>
  <r>
    <x v="87"/>
  </r>
  <r>
    <x v="87"/>
  </r>
  <r>
    <x v="4"/>
  </r>
  <r>
    <x v="87"/>
  </r>
  <r>
    <x v="0"/>
  </r>
  <r>
    <x v="115"/>
  </r>
  <r>
    <x v="87"/>
  </r>
  <r>
    <x v="87"/>
  </r>
  <r>
    <x v="70"/>
  </r>
  <r>
    <x v="11"/>
  </r>
  <r>
    <x v="0"/>
  </r>
  <r>
    <x v="87"/>
  </r>
  <r>
    <x v="12"/>
  </r>
  <r>
    <x v="87"/>
  </r>
  <r>
    <x v="87"/>
  </r>
  <r>
    <x v="87"/>
  </r>
  <r>
    <x v="87"/>
  </r>
  <r>
    <x v="14"/>
  </r>
  <r>
    <x v="14"/>
  </r>
  <r>
    <x v="87"/>
  </r>
  <r>
    <x v="87"/>
  </r>
  <r>
    <x v="87"/>
  </r>
  <r>
    <x v="87"/>
  </r>
  <r>
    <x v="87"/>
  </r>
  <r>
    <x v="87"/>
  </r>
  <r>
    <x v="87"/>
  </r>
  <r>
    <x v="63"/>
  </r>
  <r>
    <x v="63"/>
  </r>
  <r>
    <x v="63"/>
  </r>
  <r>
    <x v="63"/>
  </r>
  <r>
    <x v="63"/>
  </r>
  <r>
    <x v="46"/>
  </r>
  <r>
    <x v="67"/>
  </r>
  <r>
    <x v="12"/>
  </r>
  <r>
    <x v="87"/>
  </r>
  <r>
    <x v="0"/>
  </r>
  <r>
    <x v="87"/>
  </r>
  <r>
    <x v="0"/>
  </r>
  <r>
    <x v="87"/>
  </r>
  <r>
    <x v="14"/>
  </r>
  <r>
    <x v="87"/>
  </r>
  <r>
    <x v="87"/>
  </r>
  <r>
    <x v="87"/>
  </r>
  <r>
    <x v="0"/>
  </r>
  <r>
    <x v="87"/>
  </r>
  <r>
    <x v="8"/>
  </r>
  <r>
    <x v="87"/>
  </r>
  <r>
    <x v="87"/>
  </r>
  <r>
    <x v="87"/>
  </r>
  <r>
    <x v="87"/>
  </r>
  <r>
    <x v="87"/>
  </r>
  <r>
    <x v="87"/>
  </r>
  <r>
    <x v="45"/>
  </r>
  <r>
    <x v="16"/>
  </r>
  <r>
    <x v="22"/>
  </r>
  <r>
    <x v="87"/>
  </r>
  <r>
    <x v="87"/>
  </r>
  <r>
    <x v="87"/>
  </r>
  <r>
    <x v="67"/>
  </r>
  <r>
    <x v="87"/>
  </r>
  <r>
    <x v="63"/>
  </r>
  <r>
    <x v="63"/>
  </r>
  <r>
    <x v="278"/>
  </r>
  <r>
    <x v="278"/>
  </r>
  <r>
    <x v="87"/>
  </r>
  <r>
    <x v="278"/>
  </r>
  <r>
    <x v="87"/>
  </r>
  <r>
    <x v="87"/>
  </r>
  <r>
    <x v="87"/>
  </r>
  <r>
    <x v="87"/>
  </r>
  <r>
    <x v="31"/>
  </r>
  <r>
    <x v="0"/>
  </r>
  <r>
    <x v="7"/>
  </r>
  <r>
    <x v="1"/>
  </r>
  <r>
    <x v="4"/>
  </r>
  <r>
    <x v="11"/>
  </r>
  <r>
    <x v="4"/>
  </r>
  <r>
    <x v="4"/>
  </r>
  <r>
    <x v="4"/>
  </r>
  <r>
    <x v="4"/>
  </r>
  <r>
    <x v="28"/>
  </r>
  <r>
    <x v="4"/>
  </r>
  <r>
    <x v="4"/>
  </r>
  <r>
    <x v="53"/>
  </r>
  <r>
    <x v="86"/>
  </r>
  <r>
    <x v="87"/>
  </r>
  <r>
    <x v="42"/>
  </r>
  <r>
    <x v="77"/>
  </r>
  <r>
    <x v="165"/>
  </r>
  <r>
    <x v="42"/>
  </r>
  <r>
    <x v="42"/>
  </r>
  <r>
    <x v="42"/>
  </r>
  <r>
    <x v="42"/>
  </r>
  <r>
    <x v="42"/>
  </r>
  <r>
    <x v="42"/>
  </r>
  <r>
    <x v="42"/>
  </r>
  <r>
    <x v="51"/>
  </r>
  <r>
    <x v="12"/>
  </r>
  <r>
    <x v="12"/>
  </r>
  <r>
    <x v="87"/>
  </r>
  <r>
    <x v="87"/>
  </r>
  <r>
    <x v="87"/>
  </r>
  <r>
    <x v="87"/>
  </r>
  <r>
    <x v="87"/>
  </r>
  <r>
    <x v="87"/>
  </r>
  <r>
    <x v="87"/>
  </r>
  <r>
    <x v="12"/>
  </r>
  <r>
    <x v="12"/>
  </r>
  <r>
    <x v="87"/>
  </r>
  <r>
    <x v="12"/>
  </r>
  <r>
    <x v="87"/>
  </r>
  <r>
    <x v="87"/>
  </r>
  <r>
    <x v="87"/>
  </r>
  <r>
    <x v="87"/>
  </r>
  <r>
    <x v="87"/>
  </r>
  <r>
    <x v="87"/>
  </r>
  <r>
    <x v="87"/>
  </r>
  <r>
    <x v="87"/>
  </r>
  <r>
    <x v="48"/>
  </r>
  <r>
    <x v="77"/>
  </r>
  <r>
    <x v="77"/>
  </r>
  <r>
    <x v="77"/>
  </r>
  <r>
    <x v="77"/>
  </r>
  <r>
    <x v="77"/>
  </r>
  <r>
    <x v="12"/>
  </r>
  <r>
    <x v="165"/>
  </r>
  <r>
    <x v="165"/>
  </r>
  <r>
    <x v="77"/>
  </r>
  <r>
    <x v="77"/>
  </r>
  <r>
    <x v="108"/>
  </r>
  <r>
    <x v="77"/>
  </r>
  <r>
    <x v="85"/>
  </r>
  <r>
    <x v="24"/>
  </r>
  <r>
    <x v="4"/>
  </r>
  <r>
    <x v="4"/>
  </r>
  <r>
    <x v="52"/>
  </r>
  <r>
    <x v="4"/>
  </r>
  <r>
    <x v="4"/>
  </r>
  <r>
    <x v="4"/>
  </r>
  <r>
    <x v="4"/>
  </r>
  <r>
    <x v="4"/>
  </r>
  <r>
    <x v="4"/>
  </r>
  <r>
    <x v="15"/>
  </r>
  <r>
    <x v="9"/>
  </r>
  <r>
    <x v="12"/>
  </r>
  <r>
    <x v="22"/>
  </r>
  <r>
    <x v="85"/>
  </r>
  <r>
    <x v="63"/>
  </r>
  <r>
    <x v="12"/>
  </r>
  <r>
    <x v="63"/>
  </r>
  <r>
    <x v="240"/>
  </r>
  <r>
    <x v="0"/>
  </r>
  <r>
    <x v="63"/>
  </r>
  <r>
    <x v="2"/>
  </r>
  <r>
    <x v="138"/>
  </r>
  <r>
    <x v="138"/>
  </r>
  <r>
    <x v="63"/>
  </r>
  <r>
    <x v="138"/>
  </r>
  <r>
    <x v="138"/>
  </r>
  <r>
    <x v="63"/>
  </r>
  <r>
    <x v="12"/>
  </r>
  <r>
    <x v="10"/>
  </r>
  <r>
    <x v="10"/>
  </r>
  <r>
    <x v="12"/>
  </r>
  <r>
    <x v="0"/>
  </r>
  <r>
    <x v="0"/>
  </r>
  <r>
    <x v="0"/>
  </r>
  <r>
    <x v="0"/>
  </r>
  <r>
    <x v="0"/>
  </r>
  <r>
    <x v="0"/>
  </r>
  <r>
    <x v="30"/>
  </r>
  <r>
    <x v="0"/>
  </r>
  <r>
    <x v="80"/>
  </r>
  <r>
    <x v="80"/>
  </r>
  <r>
    <x v="10"/>
  </r>
  <r>
    <x v="0"/>
  </r>
  <r>
    <x v="0"/>
  </r>
  <r>
    <x v="0"/>
  </r>
  <r>
    <x v="0"/>
  </r>
  <r>
    <x v="80"/>
  </r>
  <r>
    <x v="16"/>
  </r>
  <r>
    <x v="0"/>
  </r>
  <r>
    <x v="0"/>
  </r>
  <r>
    <x v="0"/>
  </r>
  <r>
    <x v="6"/>
  </r>
  <r>
    <x v="0"/>
  </r>
  <r>
    <x v="142"/>
  </r>
  <r>
    <x v="14"/>
  </r>
  <r>
    <x v="45"/>
  </r>
  <r>
    <x v="10"/>
  </r>
  <r>
    <x v="141"/>
  </r>
  <r>
    <x v="14"/>
  </r>
  <r>
    <x v="14"/>
  </r>
  <r>
    <x v="28"/>
  </r>
  <r>
    <x v="216"/>
  </r>
  <r>
    <x v="39"/>
  </r>
  <r>
    <x v="152"/>
  </r>
  <r>
    <x v="152"/>
  </r>
  <r>
    <x v="152"/>
  </r>
  <r>
    <x v="152"/>
  </r>
  <r>
    <x v="152"/>
  </r>
  <r>
    <x v="10"/>
  </r>
  <r>
    <x v="12"/>
  </r>
  <r>
    <x v="10"/>
  </r>
  <r>
    <x v="10"/>
  </r>
  <r>
    <x v="4"/>
  </r>
  <r>
    <x v="10"/>
  </r>
  <r>
    <x v="10"/>
  </r>
  <r>
    <x v="130"/>
  </r>
  <r>
    <x v="130"/>
  </r>
  <r>
    <x v="87"/>
  </r>
  <r>
    <x v="22"/>
  </r>
  <r>
    <x v="22"/>
  </r>
  <r>
    <x v="25"/>
  </r>
  <r>
    <x v="72"/>
  </r>
  <r>
    <x v="22"/>
  </r>
  <r>
    <x v="22"/>
  </r>
  <r>
    <x v="22"/>
  </r>
  <r>
    <x v="22"/>
  </r>
  <r>
    <x v="22"/>
  </r>
  <r>
    <x v="123"/>
  </r>
  <r>
    <x v="123"/>
  </r>
  <r>
    <x v="123"/>
  </r>
  <r>
    <x v="123"/>
  </r>
  <r>
    <x v="42"/>
  </r>
  <r>
    <x v="42"/>
  </r>
  <r>
    <x v="42"/>
  </r>
  <r>
    <x v="42"/>
  </r>
  <r>
    <x v="42"/>
  </r>
  <r>
    <x v="123"/>
  </r>
  <r>
    <x v="123"/>
  </r>
  <r>
    <x v="123"/>
  </r>
  <r>
    <x v="40"/>
  </r>
  <r>
    <x v="87"/>
  </r>
  <r>
    <x v="87"/>
  </r>
  <r>
    <x v="87"/>
  </r>
  <r>
    <x v="12"/>
  </r>
  <r>
    <x v="34"/>
  </r>
  <r>
    <x v="8"/>
  </r>
  <r>
    <x v="141"/>
  </r>
  <r>
    <x v="77"/>
  </r>
  <r>
    <x v="25"/>
  </r>
  <r>
    <x v="15"/>
  </r>
  <r>
    <x v="35"/>
  </r>
  <r>
    <x v="59"/>
  </r>
  <r>
    <x v="59"/>
  </r>
  <r>
    <x v="59"/>
  </r>
  <r>
    <x v="59"/>
  </r>
  <r>
    <x v="118"/>
  </r>
  <r>
    <x v="118"/>
  </r>
  <r>
    <x v="20"/>
  </r>
  <r>
    <x v="59"/>
  </r>
  <r>
    <x v="12"/>
  </r>
  <r>
    <x v="10"/>
  </r>
  <r>
    <x v="25"/>
  </r>
  <r>
    <x v="4"/>
  </r>
  <r>
    <x v="4"/>
  </r>
  <r>
    <x v="4"/>
  </r>
  <r>
    <x v="4"/>
  </r>
  <r>
    <x v="78"/>
  </r>
  <r>
    <x v="7"/>
  </r>
  <r>
    <x v="7"/>
  </r>
  <r>
    <x v="81"/>
  </r>
  <r>
    <x v="7"/>
  </r>
  <r>
    <x v="36"/>
  </r>
  <r>
    <x v="7"/>
  </r>
  <r>
    <x v="4"/>
  </r>
  <r>
    <x v="7"/>
  </r>
  <r>
    <x v="36"/>
  </r>
  <r>
    <x v="36"/>
  </r>
  <r>
    <x v="131"/>
  </r>
  <r>
    <x v="7"/>
  </r>
  <r>
    <x v="36"/>
  </r>
  <r>
    <x v="12"/>
  </r>
  <r>
    <x v="36"/>
  </r>
  <r>
    <x v="6"/>
  </r>
  <r>
    <x v="0"/>
  </r>
  <r>
    <x v="28"/>
  </r>
  <r>
    <x v="36"/>
  </r>
  <r>
    <x v="28"/>
  </r>
  <r>
    <x v="7"/>
  </r>
  <r>
    <x v="59"/>
  </r>
  <r>
    <x v="4"/>
  </r>
  <r>
    <x v="12"/>
  </r>
  <r>
    <x v="201"/>
  </r>
  <r>
    <x v="12"/>
  </r>
  <r>
    <x v="7"/>
  </r>
  <r>
    <x v="12"/>
  </r>
  <r>
    <x v="12"/>
  </r>
  <r>
    <x v="12"/>
  </r>
  <r>
    <x v="12"/>
  </r>
  <r>
    <x v="12"/>
  </r>
  <r>
    <x v="12"/>
  </r>
  <r>
    <x v="12"/>
  </r>
  <r>
    <x v="25"/>
  </r>
  <r>
    <x v="53"/>
  </r>
  <r>
    <x v="12"/>
  </r>
  <r>
    <x v="12"/>
  </r>
  <r>
    <x v="2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"/>
  </r>
  <r>
    <x v="12"/>
  </r>
  <r>
    <x v="12"/>
  </r>
  <r>
    <x v="12"/>
  </r>
  <r>
    <x v="12"/>
  </r>
  <r>
    <x v="12"/>
  </r>
  <r>
    <x v="12"/>
  </r>
  <r>
    <x v="141"/>
  </r>
  <r>
    <x v="55"/>
  </r>
  <r>
    <x v="22"/>
  </r>
  <r>
    <x v="39"/>
  </r>
  <r>
    <x v="12"/>
  </r>
  <r>
    <x v="12"/>
  </r>
  <r>
    <x v="12"/>
  </r>
  <r>
    <x v="12"/>
  </r>
  <r>
    <x v="63"/>
  </r>
  <r>
    <x v="152"/>
  </r>
  <r>
    <x v="152"/>
  </r>
  <r>
    <x v="21"/>
  </r>
  <r>
    <x v="12"/>
  </r>
  <r>
    <x v="12"/>
  </r>
  <r>
    <x v="12"/>
  </r>
  <r>
    <x v="12"/>
  </r>
  <r>
    <x v="12"/>
  </r>
  <r>
    <x v="56"/>
  </r>
  <r>
    <x v="56"/>
  </r>
  <r>
    <x v="12"/>
  </r>
  <r>
    <x v="12"/>
  </r>
  <r>
    <x v="4"/>
  </r>
  <r>
    <x v="12"/>
  </r>
  <r>
    <x v="12"/>
  </r>
  <r>
    <x v="12"/>
  </r>
  <r>
    <x v="12"/>
  </r>
  <r>
    <x v="7"/>
  </r>
  <r>
    <x v="12"/>
  </r>
  <r>
    <x v="12"/>
  </r>
  <r>
    <x v="12"/>
  </r>
  <r>
    <x v="63"/>
  </r>
  <r>
    <x v="12"/>
  </r>
  <r>
    <x v="63"/>
  </r>
  <r>
    <x v="7"/>
  </r>
  <r>
    <x v="7"/>
  </r>
  <r>
    <x v="4"/>
  </r>
  <r>
    <x v="12"/>
  </r>
  <r>
    <x v="7"/>
  </r>
  <r>
    <x v="12"/>
  </r>
  <r>
    <x v="7"/>
  </r>
  <r>
    <x v="12"/>
  </r>
  <r>
    <x v="12"/>
  </r>
  <r>
    <x v="12"/>
  </r>
  <r>
    <x v="12"/>
  </r>
  <r>
    <x v="12"/>
  </r>
  <r>
    <x v="12"/>
  </r>
  <r>
    <x v="12"/>
  </r>
  <r>
    <x v="14"/>
  </r>
  <r>
    <x v="70"/>
  </r>
  <r>
    <x v="70"/>
  </r>
  <r>
    <x v="12"/>
  </r>
  <r>
    <x v="70"/>
  </r>
  <r>
    <x v="70"/>
  </r>
  <r>
    <x v="70"/>
  </r>
  <r>
    <x v="70"/>
  </r>
  <r>
    <x v="12"/>
  </r>
  <r>
    <x v="12"/>
  </r>
  <r>
    <x v="3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6"/>
  </r>
  <r>
    <x v="126"/>
  </r>
  <r>
    <x v="126"/>
  </r>
  <r>
    <x v="126"/>
  </r>
  <r>
    <x v="37"/>
  </r>
  <r>
    <x v="126"/>
  </r>
  <r>
    <x v="126"/>
  </r>
  <r>
    <x v="126"/>
  </r>
  <r>
    <x v="24"/>
  </r>
  <r>
    <x v="24"/>
  </r>
  <r>
    <x v="24"/>
  </r>
  <r>
    <x v="24"/>
  </r>
  <r>
    <x v="10"/>
  </r>
  <r>
    <x v="24"/>
  </r>
  <r>
    <x v="24"/>
  </r>
  <r>
    <x v="24"/>
  </r>
  <r>
    <x v="24"/>
  </r>
  <r>
    <x v="51"/>
  </r>
  <r>
    <x v="72"/>
  </r>
  <r>
    <x v="51"/>
  </r>
  <r>
    <x v="51"/>
  </r>
  <r>
    <x v="34"/>
  </r>
  <r>
    <x v="12"/>
  </r>
  <r>
    <x v="12"/>
  </r>
  <r>
    <x v="12"/>
  </r>
  <r>
    <x v="138"/>
  </r>
  <r>
    <x v="155"/>
  </r>
  <r>
    <x v="19"/>
  </r>
  <r>
    <x v="48"/>
  </r>
  <r>
    <x v="138"/>
  </r>
  <r>
    <x v="138"/>
  </r>
  <r>
    <x v="138"/>
  </r>
  <r>
    <x v="138"/>
  </r>
  <r>
    <x v="138"/>
  </r>
  <r>
    <x v="37"/>
  </r>
  <r>
    <x v="10"/>
  </r>
  <r>
    <x v="2"/>
  </r>
  <r>
    <x v="87"/>
  </r>
  <r>
    <x v="34"/>
  </r>
  <r>
    <x v="87"/>
  </r>
  <r>
    <x v="186"/>
  </r>
  <r>
    <x v="50"/>
  </r>
  <r>
    <x v="50"/>
  </r>
  <r>
    <x v="50"/>
  </r>
  <r>
    <x v="7"/>
  </r>
  <r>
    <x v="33"/>
  </r>
  <r>
    <x v="7"/>
  </r>
  <r>
    <x v="12"/>
  </r>
  <r>
    <x v="76"/>
  </r>
  <r>
    <x v="12"/>
  </r>
  <r>
    <x v="4"/>
  </r>
  <r>
    <x v="12"/>
  </r>
  <r>
    <x v="12"/>
  </r>
  <r>
    <x v="12"/>
  </r>
  <r>
    <x v="87"/>
  </r>
  <r>
    <x v="87"/>
  </r>
  <r>
    <x v="12"/>
  </r>
  <r>
    <x v="12"/>
  </r>
  <r>
    <x v="12"/>
  </r>
  <r>
    <x v="2"/>
  </r>
  <r>
    <x v="87"/>
  </r>
  <r>
    <x v="87"/>
  </r>
  <r>
    <x v="276"/>
  </r>
  <r>
    <x v="28"/>
  </r>
  <r>
    <x v="4"/>
  </r>
  <r>
    <x v="32"/>
  </r>
  <r>
    <x v="4"/>
  </r>
  <r>
    <x v="183"/>
  </r>
  <r>
    <x v="102"/>
  </r>
  <r>
    <x v="77"/>
  </r>
  <r>
    <x v="14"/>
  </r>
  <r>
    <x v="14"/>
  </r>
  <r>
    <x v="14"/>
  </r>
  <r>
    <x v="14"/>
  </r>
  <r>
    <x v="42"/>
  </r>
  <r>
    <x v="42"/>
  </r>
  <r>
    <x v="42"/>
  </r>
  <r>
    <x v="10"/>
  </r>
  <r>
    <x v="42"/>
  </r>
  <r>
    <x v="42"/>
  </r>
  <r>
    <x v="42"/>
  </r>
  <r>
    <x v="42"/>
  </r>
  <r>
    <x v="6"/>
  </r>
  <r>
    <x v="10"/>
  </r>
  <r>
    <x v="72"/>
  </r>
  <r>
    <x v="4"/>
  </r>
  <r>
    <x v="42"/>
  </r>
  <r>
    <x v="42"/>
  </r>
  <r>
    <x v="10"/>
  </r>
  <r>
    <x v="10"/>
  </r>
  <r>
    <x v="36"/>
  </r>
  <r>
    <x v="107"/>
  </r>
  <r>
    <x v="107"/>
  </r>
  <r>
    <x v="107"/>
  </r>
  <r>
    <x v="10"/>
  </r>
  <r>
    <x v="10"/>
  </r>
  <r>
    <x v="10"/>
  </r>
  <r>
    <x v="10"/>
  </r>
  <r>
    <x v="10"/>
  </r>
  <r>
    <x v="10"/>
  </r>
  <r>
    <x v="10"/>
  </r>
  <r>
    <x v="79"/>
  </r>
  <r>
    <x v="87"/>
  </r>
  <r>
    <x v="87"/>
  </r>
  <r>
    <x v="36"/>
  </r>
  <r>
    <x v="78"/>
  </r>
  <r>
    <x v="3"/>
  </r>
  <r>
    <x v="42"/>
  </r>
  <r>
    <x v="37"/>
  </r>
  <r>
    <x v="34"/>
  </r>
  <r>
    <x v="37"/>
  </r>
  <r>
    <x v="152"/>
  </r>
  <r>
    <x v="0"/>
  </r>
  <r>
    <x v="0"/>
  </r>
  <r>
    <x v="12"/>
  </r>
  <r>
    <x v="0"/>
  </r>
  <r>
    <x v="0"/>
  </r>
  <r>
    <x v="0"/>
  </r>
  <r>
    <x v="7"/>
  </r>
  <r>
    <x v="12"/>
  </r>
  <r>
    <x v="129"/>
  </r>
  <r>
    <x v="12"/>
  </r>
  <r>
    <x v="63"/>
  </r>
  <r>
    <x v="12"/>
  </r>
  <r>
    <x v="129"/>
  </r>
  <r>
    <x v="129"/>
  </r>
  <r>
    <x v="129"/>
  </r>
  <r>
    <x v="12"/>
  </r>
  <r>
    <x v="129"/>
  </r>
  <r>
    <x v="12"/>
  </r>
  <r>
    <x v="42"/>
  </r>
  <r>
    <x v="4"/>
  </r>
  <r>
    <x v="4"/>
  </r>
  <r>
    <x v="68"/>
  </r>
  <r>
    <x v="4"/>
  </r>
  <r>
    <x v="70"/>
  </r>
  <r>
    <x v="37"/>
  </r>
  <r>
    <x v="115"/>
  </r>
  <r>
    <x v="115"/>
  </r>
  <r>
    <x v="115"/>
  </r>
  <r>
    <x v="9"/>
  </r>
  <r>
    <x v="108"/>
  </r>
  <r>
    <x v="24"/>
  </r>
  <r>
    <x v="24"/>
  </r>
  <r>
    <x v="24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56"/>
  </r>
  <r>
    <x v="9"/>
  </r>
  <r>
    <x v="75"/>
  </r>
  <r>
    <x v="75"/>
  </r>
  <r>
    <x v="14"/>
  </r>
  <r>
    <x v="89"/>
  </r>
  <r>
    <x v="89"/>
  </r>
  <r>
    <x v="89"/>
  </r>
  <r>
    <x v="89"/>
  </r>
  <r>
    <x v="89"/>
  </r>
  <r>
    <x v="89"/>
  </r>
  <r>
    <x v="28"/>
  </r>
  <r>
    <x v="89"/>
  </r>
  <r>
    <x v="89"/>
  </r>
  <r>
    <x v="89"/>
  </r>
  <r>
    <x v="89"/>
  </r>
  <r>
    <x v="87"/>
  </r>
  <r>
    <x v="87"/>
  </r>
  <r>
    <x v="87"/>
  </r>
  <r>
    <x v="63"/>
  </r>
  <r>
    <x v="63"/>
  </r>
  <r>
    <x v="87"/>
  </r>
  <r>
    <x v="87"/>
  </r>
  <r>
    <x v="9"/>
  </r>
  <r>
    <x v="55"/>
  </r>
  <r>
    <x v="87"/>
  </r>
  <r>
    <x v="87"/>
  </r>
  <r>
    <x v="87"/>
  </r>
  <r>
    <x v="87"/>
  </r>
  <r>
    <x v="56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16"/>
  </r>
  <r>
    <x v="87"/>
  </r>
  <r>
    <x v="25"/>
  </r>
  <r>
    <x v="22"/>
  </r>
  <r>
    <x v="22"/>
  </r>
  <r>
    <x v="10"/>
  </r>
  <r>
    <x v="10"/>
  </r>
  <r>
    <x v="10"/>
  </r>
  <r>
    <x v="10"/>
  </r>
  <r>
    <x v="10"/>
  </r>
  <r>
    <x v="10"/>
  </r>
  <r>
    <x v="10"/>
  </r>
  <r>
    <x v="87"/>
  </r>
  <r>
    <x v="87"/>
  </r>
  <r>
    <x v="87"/>
  </r>
  <r>
    <x v="87"/>
  </r>
  <r>
    <x v="87"/>
  </r>
  <r>
    <x v="16"/>
  </r>
  <r>
    <x v="16"/>
  </r>
  <r>
    <x v="2"/>
  </r>
  <r>
    <x v="108"/>
  </r>
  <r>
    <x v="22"/>
  </r>
  <r>
    <x v="22"/>
  </r>
  <r>
    <x v="21"/>
  </r>
  <r>
    <x v="22"/>
  </r>
  <r>
    <x v="60"/>
  </r>
  <r>
    <x v="12"/>
  </r>
  <r>
    <x v="49"/>
  </r>
  <r>
    <x v="60"/>
  </r>
  <r>
    <x v="60"/>
  </r>
  <r>
    <x v="61"/>
  </r>
  <r>
    <x v="31"/>
  </r>
  <r>
    <x v="28"/>
  </r>
  <r>
    <x v="14"/>
  </r>
  <r>
    <x v="12"/>
  </r>
  <r>
    <x v="28"/>
  </r>
  <r>
    <x v="8"/>
  </r>
  <r>
    <x v="10"/>
  </r>
  <r>
    <x v="0"/>
  </r>
  <r>
    <x v="28"/>
  </r>
  <r>
    <x v="0"/>
  </r>
  <r>
    <x v="61"/>
  </r>
  <r>
    <x v="55"/>
  </r>
  <r>
    <x v="12"/>
  </r>
  <r>
    <x v="4"/>
  </r>
  <r>
    <x v="4"/>
  </r>
  <r>
    <x v="4"/>
  </r>
  <r>
    <x v="4"/>
  </r>
  <r>
    <x v="4"/>
  </r>
  <r>
    <x v="4"/>
  </r>
  <r>
    <x v="138"/>
  </r>
  <r>
    <x v="4"/>
  </r>
  <r>
    <x v="12"/>
  </r>
  <r>
    <x v="4"/>
  </r>
  <r>
    <x v="4"/>
  </r>
  <r>
    <x v="4"/>
  </r>
  <r>
    <x v="14"/>
  </r>
  <r>
    <x v="12"/>
  </r>
  <r>
    <x v="12"/>
  </r>
  <r>
    <x v="42"/>
  </r>
  <r>
    <x v="31"/>
  </r>
  <r>
    <x v="53"/>
  </r>
  <r>
    <x v="80"/>
  </r>
  <r>
    <x v="87"/>
  </r>
  <r>
    <x v="87"/>
  </r>
  <r>
    <x v="10"/>
  </r>
  <r>
    <x v="87"/>
  </r>
  <r>
    <x v="87"/>
  </r>
  <r>
    <x v="10"/>
  </r>
  <r>
    <x v="10"/>
  </r>
  <r>
    <x v="10"/>
  </r>
  <r>
    <x v="10"/>
  </r>
  <r>
    <x v="10"/>
  </r>
  <r>
    <x v="21"/>
  </r>
  <r>
    <x v="12"/>
  </r>
  <r>
    <x v="12"/>
  </r>
  <r>
    <x v="4"/>
  </r>
  <r>
    <x v="14"/>
  </r>
  <r>
    <x v="36"/>
  </r>
  <r>
    <x v="42"/>
  </r>
  <r>
    <x v="87"/>
  </r>
  <r>
    <x v="52"/>
  </r>
  <r>
    <x v="4"/>
  </r>
  <r>
    <x v="80"/>
  </r>
  <r>
    <x v="80"/>
  </r>
  <r>
    <x v="4"/>
  </r>
  <r>
    <x v="12"/>
  </r>
  <r>
    <x v="4"/>
  </r>
  <r>
    <x v="14"/>
  </r>
  <r>
    <x v="4"/>
  </r>
  <r>
    <x v="4"/>
  </r>
  <r>
    <x v="4"/>
  </r>
  <r>
    <x v="4"/>
  </r>
  <r>
    <x v="4"/>
  </r>
  <r>
    <x v="4"/>
  </r>
  <r>
    <x v="14"/>
  </r>
  <r>
    <x v="9"/>
  </r>
  <r>
    <x v="4"/>
  </r>
  <r>
    <x v="10"/>
  </r>
  <r>
    <x v="4"/>
  </r>
  <r>
    <x v="25"/>
  </r>
  <r>
    <x v="41"/>
  </r>
  <r>
    <x v="53"/>
  </r>
  <r>
    <x v="0"/>
  </r>
  <r>
    <x v="1"/>
  </r>
  <r>
    <x v="77"/>
  </r>
  <r>
    <x v="53"/>
  </r>
  <r>
    <x v="87"/>
  </r>
  <r>
    <x v="43"/>
  </r>
  <r>
    <x v="87"/>
  </r>
  <r>
    <x v="87"/>
  </r>
  <r>
    <x v="42"/>
  </r>
  <r>
    <x v="12"/>
  </r>
  <r>
    <x v="12"/>
  </r>
  <r>
    <x v="10"/>
  </r>
  <r>
    <x v="14"/>
  </r>
  <r>
    <x v="42"/>
  </r>
  <r>
    <x v="42"/>
  </r>
  <r>
    <x v="42"/>
  </r>
  <r>
    <x v="4"/>
  </r>
  <r>
    <x v="10"/>
  </r>
  <r>
    <x v="14"/>
  </r>
  <r>
    <x v="63"/>
  </r>
  <r>
    <x v="4"/>
  </r>
  <r>
    <x v="10"/>
  </r>
  <r>
    <x v="10"/>
  </r>
  <r>
    <x v="4"/>
  </r>
  <r>
    <x v="36"/>
  </r>
  <r>
    <x v="36"/>
  </r>
  <r>
    <x v="10"/>
  </r>
  <r>
    <x v="10"/>
  </r>
  <r>
    <x v="10"/>
  </r>
  <r>
    <x v="33"/>
  </r>
  <r>
    <x v="33"/>
  </r>
  <r>
    <x v="10"/>
  </r>
  <r>
    <x v="10"/>
  </r>
  <r>
    <x v="0"/>
  </r>
  <r>
    <x v="37"/>
  </r>
  <r>
    <x v="14"/>
  </r>
  <r>
    <x v="14"/>
  </r>
  <r>
    <x v="14"/>
  </r>
  <r>
    <x v="14"/>
  </r>
  <r>
    <x v="14"/>
  </r>
  <r>
    <x v="14"/>
  </r>
  <r>
    <x v="14"/>
  </r>
  <r>
    <x v="14"/>
  </r>
  <r>
    <x v="5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54"/>
  </r>
  <r>
    <x v="76"/>
  </r>
  <r>
    <x v="63"/>
  </r>
  <r>
    <x v="77"/>
  </r>
  <r>
    <x v="81"/>
  </r>
  <r>
    <x v="87"/>
  </r>
  <r>
    <x v="87"/>
  </r>
  <r>
    <x v="87"/>
  </r>
  <r>
    <x v="126"/>
  </r>
  <r>
    <x v="12"/>
  </r>
  <r>
    <x v="14"/>
  </r>
  <r>
    <x v="12"/>
  </r>
  <r>
    <x v="12"/>
  </r>
  <r>
    <x v="14"/>
  </r>
  <r>
    <x v="12"/>
  </r>
  <r>
    <x v="12"/>
  </r>
  <r>
    <x v="14"/>
  </r>
  <r>
    <x v="50"/>
  </r>
  <r>
    <x v="14"/>
  </r>
  <r>
    <x v="12"/>
  </r>
  <r>
    <x v="12"/>
  </r>
  <r>
    <x v="14"/>
  </r>
  <r>
    <x v="272"/>
  </r>
  <r>
    <x v="86"/>
  </r>
  <r>
    <x v="138"/>
  </r>
  <r>
    <x v="14"/>
  </r>
  <r>
    <x v="78"/>
  </r>
  <r>
    <x v="152"/>
  </r>
  <r>
    <x v="63"/>
  </r>
  <r>
    <x v="152"/>
  </r>
  <r>
    <x v="14"/>
  </r>
  <r>
    <x v="59"/>
  </r>
  <r>
    <x v="100"/>
  </r>
  <r>
    <x v="204"/>
  </r>
  <r>
    <x v="204"/>
  </r>
  <r>
    <x v="14"/>
  </r>
  <r>
    <x v="204"/>
  </r>
  <r>
    <x v="42"/>
  </r>
  <r>
    <x v="42"/>
  </r>
  <r>
    <x v="42"/>
  </r>
  <r>
    <x v="42"/>
  </r>
  <r>
    <x v="42"/>
  </r>
  <r>
    <x v="42"/>
  </r>
  <r>
    <x v="12"/>
  </r>
  <r>
    <x v="123"/>
  </r>
  <r>
    <x v="123"/>
  </r>
  <r>
    <x v="12"/>
  </r>
  <r>
    <x v="12"/>
  </r>
  <r>
    <x v="12"/>
  </r>
  <r>
    <x v="12"/>
  </r>
  <r>
    <x v="48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91"/>
  </r>
  <r>
    <x v="42"/>
  </r>
  <r>
    <x v="42"/>
  </r>
  <r>
    <x v="42"/>
  </r>
  <r>
    <x v="77"/>
  </r>
  <r>
    <x v="42"/>
  </r>
  <r>
    <x v="42"/>
  </r>
  <r>
    <x v="42"/>
  </r>
  <r>
    <x v="36"/>
  </r>
  <r>
    <x v="36"/>
  </r>
  <r>
    <x v="36"/>
  </r>
  <r>
    <x v="42"/>
  </r>
  <r>
    <x v="42"/>
  </r>
  <r>
    <x v="42"/>
  </r>
  <r>
    <x v="25"/>
  </r>
  <r>
    <x v="12"/>
  </r>
  <r>
    <x v="12"/>
  </r>
  <r>
    <x v="12"/>
  </r>
  <r>
    <x v="12"/>
  </r>
  <r>
    <x v="12"/>
  </r>
  <r>
    <x v="2"/>
  </r>
  <r>
    <x v="2"/>
  </r>
  <r>
    <x v="72"/>
  </r>
  <r>
    <x v="12"/>
  </r>
  <r>
    <x v="12"/>
  </r>
  <r>
    <x v="12"/>
  </r>
  <r>
    <x v="12"/>
  </r>
  <r>
    <x v="12"/>
  </r>
  <r>
    <x v="12"/>
  </r>
  <r>
    <x v="12"/>
  </r>
  <r>
    <x v="12"/>
  </r>
  <r>
    <x v="63"/>
  </r>
  <r>
    <x v="63"/>
  </r>
  <r>
    <x v="63"/>
  </r>
  <r>
    <x v="10"/>
  </r>
  <r>
    <x v="63"/>
  </r>
  <r>
    <x v="37"/>
  </r>
  <r>
    <x v="63"/>
  </r>
  <r>
    <x v="63"/>
  </r>
  <r>
    <x v="63"/>
  </r>
  <r>
    <x v="63"/>
  </r>
  <r>
    <x v="108"/>
  </r>
  <r>
    <x v="63"/>
  </r>
  <r>
    <x v="63"/>
  </r>
  <r>
    <x v="37"/>
  </r>
  <r>
    <x v="63"/>
  </r>
  <r>
    <x v="22"/>
  </r>
  <r>
    <x v="63"/>
  </r>
  <r>
    <x v="39"/>
  </r>
  <r>
    <x v="12"/>
  </r>
  <r>
    <x v="12"/>
  </r>
  <r>
    <x v="12"/>
  </r>
  <r>
    <x v="39"/>
  </r>
  <r>
    <x v="42"/>
  </r>
  <r>
    <x v="12"/>
  </r>
  <r>
    <x v="12"/>
  </r>
  <r>
    <x v="12"/>
  </r>
  <r>
    <x v="12"/>
  </r>
  <r>
    <x v="16"/>
  </r>
  <r>
    <x v="12"/>
  </r>
  <r>
    <x v="12"/>
  </r>
  <r>
    <x v="63"/>
  </r>
  <r>
    <x v="63"/>
  </r>
  <r>
    <x v="14"/>
  </r>
  <r>
    <x v="14"/>
  </r>
  <r>
    <x v="14"/>
  </r>
  <r>
    <x v="14"/>
  </r>
  <r>
    <x v="14"/>
  </r>
  <r>
    <x v="14"/>
  </r>
  <r>
    <x v="14"/>
  </r>
  <r>
    <x v="12"/>
  </r>
  <r>
    <x v="14"/>
  </r>
  <r>
    <x v="12"/>
  </r>
  <r>
    <x v="12"/>
  </r>
  <r>
    <x v="12"/>
  </r>
  <r>
    <x v="56"/>
  </r>
  <r>
    <x v="56"/>
  </r>
  <r>
    <x v="56"/>
  </r>
  <r>
    <x v="56"/>
  </r>
  <r>
    <x v="12"/>
  </r>
  <r>
    <x v="56"/>
  </r>
  <r>
    <x v="56"/>
  </r>
  <r>
    <x v="12"/>
  </r>
  <r>
    <x v="12"/>
  </r>
  <r>
    <x v="12"/>
  </r>
  <r>
    <x v="0"/>
  </r>
  <r>
    <x v="12"/>
  </r>
  <r>
    <x v="12"/>
  </r>
  <r>
    <x v="0"/>
  </r>
  <r>
    <x v="12"/>
  </r>
  <r>
    <x v="63"/>
  </r>
  <r>
    <x v="63"/>
  </r>
  <r>
    <x v="63"/>
  </r>
  <r>
    <x v="63"/>
  </r>
  <r>
    <x v="63"/>
  </r>
  <r>
    <x v="3"/>
  </r>
  <r>
    <x v="3"/>
  </r>
  <r>
    <x v="3"/>
  </r>
  <r>
    <x v="133"/>
  </r>
  <r>
    <x v="3"/>
  </r>
  <r>
    <x v="3"/>
  </r>
  <r>
    <x v="63"/>
  </r>
  <r>
    <x v="63"/>
  </r>
  <r>
    <x v="50"/>
  </r>
  <r>
    <x v="63"/>
  </r>
  <r>
    <x v="63"/>
  </r>
  <r>
    <x v="8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8"/>
  </r>
  <r>
    <x v="1"/>
  </r>
  <r>
    <x v="57"/>
  </r>
  <r>
    <x v="57"/>
  </r>
  <r>
    <x v="10"/>
  </r>
  <r>
    <x v="9"/>
  </r>
  <r>
    <x v="14"/>
  </r>
  <r>
    <x v="14"/>
  </r>
  <r>
    <x v="77"/>
  </r>
  <r>
    <x v="14"/>
  </r>
  <r>
    <x v="14"/>
  </r>
  <r>
    <x v="4"/>
  </r>
  <r>
    <x v="86"/>
  </r>
  <r>
    <x v="86"/>
  </r>
  <r>
    <x v="86"/>
  </r>
  <r>
    <x v="4"/>
  </r>
  <r>
    <x v="12"/>
  </r>
  <r>
    <x v="36"/>
  </r>
  <r>
    <x v="12"/>
  </r>
  <r>
    <x v="12"/>
  </r>
  <r>
    <x v="12"/>
  </r>
  <r>
    <x v="12"/>
  </r>
  <r>
    <x v="12"/>
  </r>
  <r>
    <x v="12"/>
  </r>
  <r>
    <x v="36"/>
  </r>
  <r>
    <x v="12"/>
  </r>
  <r>
    <x v="12"/>
  </r>
  <r>
    <x v="12"/>
  </r>
  <r>
    <x v="42"/>
  </r>
  <r>
    <x v="108"/>
  </r>
  <r>
    <x v="42"/>
  </r>
  <r>
    <x v="42"/>
  </r>
  <r>
    <x v="12"/>
  </r>
  <r>
    <x v="12"/>
  </r>
  <r>
    <x v="12"/>
  </r>
  <r>
    <x v="12"/>
  </r>
  <r>
    <x v="123"/>
  </r>
  <r>
    <x v="123"/>
  </r>
  <r>
    <x v="12"/>
  </r>
  <r>
    <x v="12"/>
  </r>
  <r>
    <x v="12"/>
  </r>
  <r>
    <x v="12"/>
  </r>
  <r>
    <x v="63"/>
  </r>
  <r>
    <x v="63"/>
  </r>
  <r>
    <x v="12"/>
  </r>
  <r>
    <x v="86"/>
  </r>
  <r>
    <x v="12"/>
  </r>
  <r>
    <x v="12"/>
  </r>
  <r>
    <x v="12"/>
  </r>
  <r>
    <x v="28"/>
  </r>
  <r>
    <x v="4"/>
  </r>
  <r>
    <x v="4"/>
  </r>
  <r>
    <x v="4"/>
  </r>
  <r>
    <x v="12"/>
  </r>
  <r>
    <x v="4"/>
  </r>
  <r>
    <x v="4"/>
  </r>
  <r>
    <x v="66"/>
  </r>
  <r>
    <x v="10"/>
  </r>
  <r>
    <x v="10"/>
  </r>
  <r>
    <x v="10"/>
  </r>
  <r>
    <x v="10"/>
  </r>
  <r>
    <x v="10"/>
  </r>
  <r>
    <x v="10"/>
  </r>
  <r>
    <x v="10"/>
  </r>
  <r>
    <x v="10"/>
  </r>
  <r>
    <x v="16"/>
  </r>
  <r>
    <x v="87"/>
  </r>
  <r>
    <x v="87"/>
  </r>
  <r>
    <x v="87"/>
  </r>
  <r>
    <x v="16"/>
  </r>
  <r>
    <x v="87"/>
  </r>
  <r>
    <x v="53"/>
  </r>
  <r>
    <x v="87"/>
  </r>
  <r>
    <x v="87"/>
  </r>
  <r>
    <x v="87"/>
  </r>
  <r>
    <x v="4"/>
  </r>
  <r>
    <x v="87"/>
  </r>
  <r>
    <x v="87"/>
  </r>
  <r>
    <x v="77"/>
  </r>
  <r>
    <x v="87"/>
  </r>
  <r>
    <x v="87"/>
  </r>
  <r>
    <x v="87"/>
  </r>
  <r>
    <x v="87"/>
  </r>
  <r>
    <x v="87"/>
  </r>
  <r>
    <x v="87"/>
  </r>
  <r>
    <x v="165"/>
  </r>
  <r>
    <x v="12"/>
  </r>
  <r>
    <x v="12"/>
  </r>
  <r>
    <x v="0"/>
  </r>
  <r>
    <x v="12"/>
  </r>
  <r>
    <x v="12"/>
  </r>
  <r>
    <x v="12"/>
  </r>
  <r>
    <x v="12"/>
  </r>
  <r>
    <x v="12"/>
  </r>
  <r>
    <x v="25"/>
  </r>
  <r>
    <x v="76"/>
  </r>
  <r>
    <x v="76"/>
  </r>
  <r>
    <x v="76"/>
  </r>
  <r>
    <x v="76"/>
  </r>
  <r>
    <x v="242"/>
  </r>
  <r>
    <x v="12"/>
  </r>
  <r>
    <x v="12"/>
  </r>
  <r>
    <x v="12"/>
  </r>
  <r>
    <x v="10"/>
  </r>
  <r>
    <x v="12"/>
  </r>
  <r>
    <x v="12"/>
  </r>
  <r>
    <x v="14"/>
  </r>
  <r>
    <x v="12"/>
  </r>
  <r>
    <x v="12"/>
  </r>
  <r>
    <x v="12"/>
  </r>
  <r>
    <x v="4"/>
  </r>
  <r>
    <x v="3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10"/>
  </r>
  <r>
    <x v="12"/>
  </r>
  <r>
    <x v="12"/>
  </r>
  <r>
    <x v="4"/>
  </r>
  <r>
    <x v="30"/>
  </r>
  <r>
    <x v="14"/>
  </r>
  <r>
    <x v="45"/>
  </r>
  <r>
    <x v="16"/>
  </r>
  <r>
    <x v="9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0"/>
  </r>
  <r>
    <x v="36"/>
  </r>
  <r>
    <x v="36"/>
  </r>
  <r>
    <x v="36"/>
  </r>
  <r>
    <x v="188"/>
  </r>
  <r>
    <x v="10"/>
  </r>
  <r>
    <x v="28"/>
  </r>
  <r>
    <x v="28"/>
  </r>
  <r>
    <x v="7"/>
  </r>
  <r>
    <x v="12"/>
  </r>
  <r>
    <x v="10"/>
  </r>
  <r>
    <x v="37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36"/>
  </r>
  <r>
    <x v="10"/>
  </r>
  <r>
    <x v="10"/>
  </r>
  <r>
    <x v="14"/>
  </r>
  <r>
    <x v="10"/>
  </r>
  <r>
    <x v="10"/>
  </r>
  <r>
    <x v="10"/>
  </r>
  <r>
    <x v="4"/>
  </r>
  <r>
    <x v="165"/>
  </r>
  <r>
    <x v="4"/>
  </r>
  <r>
    <x v="4"/>
  </r>
  <r>
    <x v="165"/>
  </r>
  <r>
    <x v="19"/>
  </r>
  <r>
    <x v="12"/>
  </r>
  <r>
    <x v="28"/>
  </r>
  <r>
    <x v="7"/>
  </r>
  <r>
    <x v="165"/>
  </r>
  <r>
    <x v="87"/>
  </r>
  <r>
    <x v="7"/>
  </r>
  <r>
    <x v="165"/>
  </r>
  <r>
    <x v="7"/>
  </r>
  <r>
    <x v="56"/>
  </r>
  <r>
    <x v="56"/>
  </r>
  <r>
    <x v="10"/>
  </r>
  <r>
    <x v="10"/>
  </r>
  <r>
    <x v="10"/>
  </r>
  <r>
    <x v="53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6"/>
  </r>
  <r>
    <x v="16"/>
  </r>
  <r>
    <x v="4"/>
  </r>
  <r>
    <x v="7"/>
  </r>
  <r>
    <x v="4"/>
  </r>
  <r>
    <x v="42"/>
  </r>
  <r>
    <x v="4"/>
  </r>
  <r>
    <x v="4"/>
  </r>
  <r>
    <x v="4"/>
  </r>
  <r>
    <x v="4"/>
  </r>
  <r>
    <x v="112"/>
  </r>
  <r>
    <x v="10"/>
  </r>
  <r>
    <x v="4"/>
  </r>
  <r>
    <x v="4"/>
  </r>
  <r>
    <x v="11"/>
  </r>
  <r>
    <x v="11"/>
  </r>
  <r>
    <x v="11"/>
  </r>
  <r>
    <x v="11"/>
  </r>
  <r>
    <x v="10"/>
  </r>
  <r>
    <x v="4"/>
  </r>
  <r>
    <x v="10"/>
  </r>
  <r>
    <x v="10"/>
  </r>
  <r>
    <x v="10"/>
  </r>
  <r>
    <x v="4"/>
  </r>
  <r>
    <x v="10"/>
  </r>
  <r>
    <x v="10"/>
  </r>
  <r>
    <x v="10"/>
  </r>
  <r>
    <x v="10"/>
  </r>
  <r>
    <x v="77"/>
  </r>
  <r>
    <x v="12"/>
  </r>
  <r>
    <x v="10"/>
  </r>
  <r>
    <x v="10"/>
  </r>
  <r>
    <x v="10"/>
  </r>
  <r>
    <x v="10"/>
  </r>
  <r>
    <x v="12"/>
  </r>
  <r>
    <x v="12"/>
  </r>
  <r>
    <x v="12"/>
  </r>
  <r>
    <x v="12"/>
  </r>
  <r>
    <x v="12"/>
  </r>
  <r>
    <x v="12"/>
  </r>
  <r>
    <x v="10"/>
  </r>
  <r>
    <x v="56"/>
  </r>
  <r>
    <x v="56"/>
  </r>
  <r>
    <x v="10"/>
  </r>
  <r>
    <x v="10"/>
  </r>
  <r>
    <x v="56"/>
  </r>
  <r>
    <x v="0"/>
  </r>
  <r>
    <x v="10"/>
  </r>
  <r>
    <x v="10"/>
  </r>
  <r>
    <x v="42"/>
  </r>
  <r>
    <x v="42"/>
  </r>
  <r>
    <x v="4"/>
  </r>
  <r>
    <x v="10"/>
  </r>
  <r>
    <x v="126"/>
  </r>
  <r>
    <x v="142"/>
  </r>
  <r>
    <x v="10"/>
  </r>
  <r>
    <x v="173"/>
  </r>
  <r>
    <x v="12"/>
  </r>
  <r>
    <x v="12"/>
  </r>
  <r>
    <x v="12"/>
  </r>
  <r>
    <x v="21"/>
  </r>
  <r>
    <x v="63"/>
  </r>
  <r>
    <x v="63"/>
  </r>
  <r>
    <x v="12"/>
  </r>
  <r>
    <x v="42"/>
  </r>
  <r>
    <x v="12"/>
  </r>
  <r>
    <x v="12"/>
  </r>
  <r>
    <x v="12"/>
  </r>
  <r>
    <x v="12"/>
  </r>
  <r>
    <x v="12"/>
  </r>
  <r>
    <x v="12"/>
  </r>
  <r>
    <x v="12"/>
  </r>
  <r>
    <x v="12"/>
  </r>
  <r>
    <x v="14"/>
  </r>
  <r>
    <x v="108"/>
  </r>
  <r>
    <x v="108"/>
  </r>
  <r>
    <x v="14"/>
  </r>
  <r>
    <x v="12"/>
  </r>
  <r>
    <x v="12"/>
  </r>
  <r>
    <x v="39"/>
  </r>
  <r>
    <x v="12"/>
  </r>
  <r>
    <x v="12"/>
  </r>
  <r>
    <x v="12"/>
  </r>
  <r>
    <x v="0"/>
  </r>
  <r>
    <x v="12"/>
  </r>
  <r>
    <x v="12"/>
  </r>
  <r>
    <x v="0"/>
  </r>
  <r>
    <x v="12"/>
  </r>
  <r>
    <x v="12"/>
  </r>
  <r>
    <x v="12"/>
  </r>
  <r>
    <x v="12"/>
  </r>
  <r>
    <x v="12"/>
  </r>
  <r>
    <x v="12"/>
  </r>
  <r>
    <x v="12"/>
  </r>
  <r>
    <x v="12"/>
  </r>
  <r>
    <x v="227"/>
  </r>
  <r>
    <x v="227"/>
  </r>
  <r>
    <x v="227"/>
  </r>
  <r>
    <x v="12"/>
  </r>
  <r>
    <x v="12"/>
  </r>
  <r>
    <x v="12"/>
  </r>
  <r>
    <x v="12"/>
  </r>
  <r>
    <x v="0"/>
  </r>
  <r>
    <x v="7"/>
  </r>
  <r>
    <x v="12"/>
  </r>
  <r>
    <x v="2"/>
  </r>
  <r>
    <x v="12"/>
  </r>
  <r>
    <x v="12"/>
  </r>
  <r>
    <x v="12"/>
  </r>
  <r>
    <x v="12"/>
  </r>
  <r>
    <x v="68"/>
  </r>
  <r>
    <x v="4"/>
  </r>
  <r>
    <x v="85"/>
  </r>
  <r>
    <x v="77"/>
  </r>
  <r>
    <x v="28"/>
  </r>
  <r>
    <x v="28"/>
  </r>
  <r>
    <x v="28"/>
  </r>
  <r>
    <x v="77"/>
  </r>
  <r>
    <x v="8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28"/>
  </r>
  <r>
    <x v="123"/>
  </r>
  <r>
    <x v="123"/>
  </r>
  <r>
    <x v="123"/>
  </r>
  <r>
    <x v="15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86"/>
  </r>
  <r>
    <x v="123"/>
  </r>
  <r>
    <x v="86"/>
  </r>
  <r>
    <x v="123"/>
  </r>
  <r>
    <x v="22"/>
  </r>
  <r>
    <x v="42"/>
  </r>
  <r>
    <x v="42"/>
  </r>
  <r>
    <x v="42"/>
  </r>
  <r>
    <x v="42"/>
  </r>
  <r>
    <x v="42"/>
  </r>
  <r>
    <x v="42"/>
  </r>
  <r>
    <x v="36"/>
  </r>
  <r>
    <x v="36"/>
  </r>
  <r>
    <x v="42"/>
  </r>
  <r>
    <x v="42"/>
  </r>
  <r>
    <x v="36"/>
  </r>
  <r>
    <x v="10"/>
  </r>
  <r>
    <x v="87"/>
  </r>
  <r>
    <x v="87"/>
  </r>
  <r>
    <x v="87"/>
  </r>
  <r>
    <x v="87"/>
  </r>
  <r>
    <x v="87"/>
  </r>
  <r>
    <x v="87"/>
  </r>
  <r>
    <x v="87"/>
  </r>
  <r>
    <x v="87"/>
  </r>
  <r>
    <x v="14"/>
  </r>
  <r>
    <x v="14"/>
  </r>
  <r>
    <x v="87"/>
  </r>
  <r>
    <x v="87"/>
  </r>
  <r>
    <x v="87"/>
  </r>
  <r>
    <x v="0"/>
  </r>
  <r>
    <x v="87"/>
  </r>
  <r>
    <x v="87"/>
  </r>
  <r>
    <x v="87"/>
  </r>
  <r>
    <x v="14"/>
  </r>
  <r>
    <x v="87"/>
  </r>
  <r>
    <x v="87"/>
  </r>
  <r>
    <x v="87"/>
  </r>
  <r>
    <x v="87"/>
  </r>
  <r>
    <x v="87"/>
  </r>
  <r>
    <x v="10"/>
  </r>
  <r>
    <x v="87"/>
  </r>
  <r>
    <x v="115"/>
  </r>
  <r>
    <x v="33"/>
  </r>
  <r>
    <x v="87"/>
  </r>
  <r>
    <x v="87"/>
  </r>
  <r>
    <x v="115"/>
  </r>
  <r>
    <x v="115"/>
  </r>
  <r>
    <x v="115"/>
  </r>
  <r>
    <x v="42"/>
  </r>
  <r>
    <x v="115"/>
  </r>
  <r>
    <x v="115"/>
  </r>
  <r>
    <x v="12"/>
  </r>
  <r>
    <x v="12"/>
  </r>
  <r>
    <x v="12"/>
  </r>
  <r>
    <x v="12"/>
  </r>
  <r>
    <x v="12"/>
  </r>
  <r>
    <x v="12"/>
  </r>
  <r>
    <x v="12"/>
  </r>
  <r>
    <x v="77"/>
  </r>
  <r>
    <x v="87"/>
  </r>
  <r>
    <x v="87"/>
  </r>
  <r>
    <x v="87"/>
  </r>
  <r>
    <x v="87"/>
  </r>
  <r>
    <x v="87"/>
  </r>
  <r>
    <x v="87"/>
  </r>
  <r>
    <x v="87"/>
  </r>
  <r>
    <x v="12"/>
  </r>
  <r>
    <x v="87"/>
  </r>
  <r>
    <x v="87"/>
  </r>
  <r>
    <x v="87"/>
  </r>
  <r>
    <x v="87"/>
  </r>
  <r>
    <x v="22"/>
  </r>
  <r>
    <x v="48"/>
  </r>
  <r>
    <x v="87"/>
  </r>
  <r>
    <x v="22"/>
  </r>
  <r>
    <x v="87"/>
  </r>
  <r>
    <x v="87"/>
  </r>
  <r>
    <x v="87"/>
  </r>
  <r>
    <x v="87"/>
  </r>
  <r>
    <x v="78"/>
  </r>
  <r>
    <x v="78"/>
  </r>
  <r>
    <x v="78"/>
  </r>
  <r>
    <x v="128"/>
  </r>
  <r>
    <x v="128"/>
  </r>
  <r>
    <x v="128"/>
  </r>
  <r>
    <x v="128"/>
  </r>
  <r>
    <x v="42"/>
  </r>
  <r>
    <x v="42"/>
  </r>
  <r>
    <x v="128"/>
  </r>
  <r>
    <x v="42"/>
  </r>
  <r>
    <x v="42"/>
  </r>
  <r>
    <x v="128"/>
  </r>
  <r>
    <x v="42"/>
  </r>
  <r>
    <x v="42"/>
  </r>
  <r>
    <x v="42"/>
  </r>
  <r>
    <x v="42"/>
  </r>
  <r>
    <x v="36"/>
  </r>
  <r>
    <x v="36"/>
  </r>
  <r>
    <x v="28"/>
  </r>
  <r>
    <x v="42"/>
  </r>
  <r>
    <x v="36"/>
  </r>
  <r>
    <x v="36"/>
  </r>
  <r>
    <x v="36"/>
  </r>
  <r>
    <x v="77"/>
  </r>
  <r>
    <x v="77"/>
  </r>
  <r>
    <x v="16"/>
  </r>
  <r>
    <x v="44"/>
  </r>
  <r>
    <x v="123"/>
  </r>
  <r>
    <x v="12"/>
  </r>
  <r>
    <x v="12"/>
  </r>
  <r>
    <x v="12"/>
  </r>
  <r>
    <x v="42"/>
  </r>
  <r>
    <x v="12"/>
  </r>
  <r>
    <x v="12"/>
  </r>
  <r>
    <x v="12"/>
  </r>
  <r>
    <x v="115"/>
  </r>
  <r>
    <x v="22"/>
  </r>
  <r>
    <x v="16"/>
  </r>
  <r>
    <x v="22"/>
  </r>
  <r>
    <x v="115"/>
  </r>
  <r>
    <x v="42"/>
  </r>
  <r>
    <x v="42"/>
  </r>
  <r>
    <x v="42"/>
  </r>
  <r>
    <x v="128"/>
  </r>
  <r>
    <x v="128"/>
  </r>
  <r>
    <x v="128"/>
  </r>
  <r>
    <x v="128"/>
  </r>
  <r>
    <x v="24"/>
  </r>
  <r>
    <x v="42"/>
  </r>
  <r>
    <x v="42"/>
  </r>
  <r>
    <x v="42"/>
  </r>
  <r>
    <x v="42"/>
  </r>
  <r>
    <x v="42"/>
  </r>
  <r>
    <x v="42"/>
  </r>
  <r>
    <x v="89"/>
  </r>
  <r>
    <x v="89"/>
  </r>
  <r>
    <x v="89"/>
  </r>
  <r>
    <x v="89"/>
  </r>
  <r>
    <x v="10"/>
  </r>
  <r>
    <x v="10"/>
  </r>
  <r>
    <x v="10"/>
  </r>
  <r>
    <x v="10"/>
  </r>
  <r>
    <x v="10"/>
  </r>
  <r>
    <x v="89"/>
  </r>
  <r>
    <x v="89"/>
  </r>
  <r>
    <x v="89"/>
  </r>
  <r>
    <x v="89"/>
  </r>
  <r>
    <x v="89"/>
  </r>
  <r>
    <x v="2"/>
  </r>
  <r>
    <x v="2"/>
  </r>
  <r>
    <x v="63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63"/>
  </r>
  <r>
    <x v="63"/>
  </r>
  <r>
    <x v="63"/>
  </r>
  <r>
    <x v="63"/>
  </r>
  <r>
    <x v="89"/>
  </r>
  <r>
    <x v="89"/>
  </r>
  <r>
    <x v="8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0"/>
  </r>
  <r>
    <x v="79"/>
  </r>
  <r>
    <x v="79"/>
  </r>
  <r>
    <x v="79"/>
  </r>
  <r>
    <x v="79"/>
  </r>
  <r>
    <x v="79"/>
  </r>
  <r>
    <x v="79"/>
  </r>
  <r>
    <x v="79"/>
  </r>
  <r>
    <x v="12"/>
  </r>
  <r>
    <x v="79"/>
  </r>
  <r>
    <x v="79"/>
  </r>
  <r>
    <x v="79"/>
  </r>
  <r>
    <x v="10"/>
  </r>
  <r>
    <x v="4"/>
  </r>
  <r>
    <x v="152"/>
  </r>
  <r>
    <x v="12"/>
  </r>
  <r>
    <x v="81"/>
  </r>
  <r>
    <x v="25"/>
  </r>
  <r>
    <x v="24"/>
  </r>
  <r>
    <x v="45"/>
  </r>
  <r>
    <x v="45"/>
  </r>
  <r>
    <x v="12"/>
  </r>
  <r>
    <x v="10"/>
  </r>
  <r>
    <x v="12"/>
  </r>
  <r>
    <x v="10"/>
  </r>
  <r>
    <x v="39"/>
  </r>
  <r>
    <x v="39"/>
  </r>
  <r>
    <x v="3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62"/>
  </r>
  <r>
    <x v="62"/>
  </r>
  <r>
    <x v="55"/>
  </r>
  <r>
    <x v="10"/>
  </r>
  <r>
    <x v="12"/>
  </r>
  <r>
    <x v="12"/>
  </r>
  <r>
    <x v="12"/>
  </r>
  <r>
    <x v="16"/>
  </r>
  <r>
    <x v="16"/>
  </r>
  <r>
    <x v="16"/>
  </r>
  <r>
    <x v="16"/>
  </r>
  <r>
    <x v="16"/>
  </r>
  <r>
    <x v="25"/>
  </r>
  <r>
    <x v="4"/>
  </r>
  <r>
    <x v="55"/>
  </r>
  <r>
    <x v="11"/>
  </r>
  <r>
    <x v="0"/>
  </r>
  <r>
    <x v="10"/>
  </r>
  <r>
    <x v="10"/>
  </r>
  <r>
    <x v="10"/>
  </r>
  <r>
    <x v="10"/>
  </r>
  <r>
    <x v="10"/>
  </r>
  <r>
    <x v="12"/>
  </r>
  <r>
    <x v="10"/>
  </r>
  <r>
    <x v="10"/>
  </r>
  <r>
    <x v="10"/>
  </r>
  <r>
    <x v="10"/>
  </r>
  <r>
    <x v="10"/>
  </r>
  <r>
    <x v="10"/>
  </r>
  <r>
    <x v="10"/>
  </r>
  <r>
    <x v="42"/>
  </r>
  <r>
    <x v="42"/>
  </r>
  <r>
    <x v="10"/>
  </r>
  <r>
    <x v="3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3"/>
  </r>
  <r>
    <x v="123"/>
  </r>
  <r>
    <x v="123"/>
  </r>
  <r>
    <x v="10"/>
  </r>
  <r>
    <x v="10"/>
  </r>
  <r>
    <x v="10"/>
  </r>
  <r>
    <x v="36"/>
  </r>
  <r>
    <x v="10"/>
  </r>
  <r>
    <x v="10"/>
  </r>
  <r>
    <x v="10"/>
  </r>
  <r>
    <x v="10"/>
  </r>
  <r>
    <x v="10"/>
  </r>
  <r>
    <x v="10"/>
  </r>
  <r>
    <x v="10"/>
  </r>
  <r>
    <x v="229"/>
  </r>
  <r>
    <x v="7"/>
  </r>
  <r>
    <x v="7"/>
  </r>
  <r>
    <x v="7"/>
  </r>
  <r>
    <x v="7"/>
  </r>
  <r>
    <x v="7"/>
  </r>
  <r>
    <x v="229"/>
  </r>
  <r>
    <x v="116"/>
  </r>
  <r>
    <x v="4"/>
  </r>
  <r>
    <x v="4"/>
  </r>
  <r>
    <x v="4"/>
  </r>
  <r>
    <x v="4"/>
  </r>
  <r>
    <x v="37"/>
  </r>
  <r>
    <x v="12"/>
  </r>
  <r>
    <x v="4"/>
  </r>
  <r>
    <x v="4"/>
  </r>
  <r>
    <x v="4"/>
  </r>
  <r>
    <x v="63"/>
  </r>
  <r>
    <x v="10"/>
  </r>
  <r>
    <x v="10"/>
  </r>
  <r>
    <x v="80"/>
  </r>
  <r>
    <x v="22"/>
  </r>
  <r>
    <x v="22"/>
  </r>
  <r>
    <x v="22"/>
  </r>
  <r>
    <x v="22"/>
  </r>
  <r>
    <x v="22"/>
  </r>
  <r>
    <x v="22"/>
  </r>
  <r>
    <x v="10"/>
  </r>
  <r>
    <x v="22"/>
  </r>
  <r>
    <x v="28"/>
  </r>
  <r>
    <x v="36"/>
  </r>
  <r>
    <x v="4"/>
  </r>
  <r>
    <x v="4"/>
  </r>
  <r>
    <x v="4"/>
  </r>
  <r>
    <x v="4"/>
  </r>
  <r>
    <x v="42"/>
  </r>
  <r>
    <x v="4"/>
  </r>
  <r>
    <x v="4"/>
  </r>
  <r>
    <x v="4"/>
  </r>
  <r>
    <x v="138"/>
  </r>
  <r>
    <x v="138"/>
  </r>
  <r>
    <x v="12"/>
  </r>
  <r>
    <x v="10"/>
  </r>
  <r>
    <x v="10"/>
  </r>
  <r>
    <x v="10"/>
  </r>
  <r>
    <x v="10"/>
  </r>
  <r>
    <x v="10"/>
  </r>
  <r>
    <x v="10"/>
  </r>
  <r>
    <x v="63"/>
  </r>
  <r>
    <x v="10"/>
  </r>
  <r>
    <x v="10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22"/>
  </r>
  <r>
    <x v="78"/>
  </r>
  <r>
    <x v="78"/>
  </r>
  <r>
    <x v="78"/>
  </r>
  <r>
    <x v="78"/>
  </r>
  <r>
    <x v="78"/>
  </r>
  <r>
    <x v="78"/>
  </r>
  <r>
    <x v="78"/>
  </r>
  <r>
    <x v="22"/>
  </r>
  <r>
    <x v="22"/>
  </r>
  <r>
    <x v="7"/>
  </r>
  <r>
    <x v="22"/>
  </r>
  <r>
    <x v="78"/>
  </r>
  <r>
    <x v="78"/>
  </r>
  <r>
    <x v="78"/>
  </r>
  <r>
    <x v="78"/>
  </r>
  <r>
    <x v="78"/>
  </r>
  <r>
    <x v="52"/>
  </r>
  <r>
    <x v="63"/>
  </r>
  <r>
    <x v="63"/>
  </r>
  <r>
    <x v="63"/>
  </r>
  <r>
    <x v="78"/>
  </r>
  <r>
    <x v="63"/>
  </r>
  <r>
    <x v="63"/>
  </r>
  <r>
    <x v="78"/>
  </r>
  <r>
    <x v="10"/>
  </r>
  <r>
    <x v="78"/>
  </r>
  <r>
    <x v="78"/>
  </r>
  <r>
    <x v="63"/>
  </r>
  <r>
    <x v="78"/>
  </r>
  <r>
    <x v="78"/>
  </r>
  <r>
    <x v="78"/>
  </r>
  <r>
    <x v="63"/>
  </r>
  <r>
    <x v="42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99"/>
  </r>
  <r>
    <x v="63"/>
  </r>
  <r>
    <x v="63"/>
  </r>
  <r>
    <x v="63"/>
  </r>
  <r>
    <x v="63"/>
  </r>
  <r>
    <x v="63"/>
  </r>
  <r>
    <x v="63"/>
  </r>
  <r>
    <x v="24"/>
  </r>
  <r>
    <x v="63"/>
  </r>
  <r>
    <x v="63"/>
  </r>
  <r>
    <x v="10"/>
  </r>
  <r>
    <x v="10"/>
  </r>
  <r>
    <x v="10"/>
  </r>
  <r>
    <x v="10"/>
  </r>
  <r>
    <x v="10"/>
  </r>
  <r>
    <x v="12"/>
  </r>
  <r>
    <x v="12"/>
  </r>
  <r>
    <x v="10"/>
  </r>
  <r>
    <x v="10"/>
  </r>
  <r>
    <x v="12"/>
  </r>
  <r>
    <x v="12"/>
  </r>
  <r>
    <x v="12"/>
  </r>
  <r>
    <x v="42"/>
  </r>
  <r>
    <x v="42"/>
  </r>
  <r>
    <x v="12"/>
  </r>
  <r>
    <x v="12"/>
  </r>
  <r>
    <x v="12"/>
  </r>
  <r>
    <x v="42"/>
  </r>
  <r>
    <x v="12"/>
  </r>
  <r>
    <x v="12"/>
  </r>
  <r>
    <x v="12"/>
  </r>
  <r>
    <x v="12"/>
  </r>
  <r>
    <x v="36"/>
  </r>
  <r>
    <x v="0"/>
  </r>
  <r>
    <x v="4"/>
  </r>
  <r>
    <x v="4"/>
  </r>
  <r>
    <x v="14"/>
  </r>
  <r>
    <x v="4"/>
  </r>
  <r>
    <x v="4"/>
  </r>
  <r>
    <x v="4"/>
  </r>
  <r>
    <x v="3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56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9"/>
  </r>
  <r>
    <x v="4"/>
  </r>
  <r>
    <x v="24"/>
  </r>
  <r>
    <x v="4"/>
  </r>
  <r>
    <x v="249"/>
  </r>
  <r>
    <x v="56"/>
  </r>
  <r>
    <x v="56"/>
  </r>
  <r>
    <x v="42"/>
  </r>
  <r>
    <x v="22"/>
  </r>
  <r>
    <x v="42"/>
  </r>
  <r>
    <x v="10"/>
  </r>
  <r>
    <x v="22"/>
  </r>
  <r>
    <x v="42"/>
  </r>
  <r>
    <x v="12"/>
  </r>
  <r>
    <x v="12"/>
  </r>
  <r>
    <x v="14"/>
  </r>
  <r>
    <x v="12"/>
  </r>
  <r>
    <x v="63"/>
  </r>
  <r>
    <x v="63"/>
  </r>
  <r>
    <x v="12"/>
  </r>
  <r>
    <x v="12"/>
  </r>
  <r>
    <x v="12"/>
  </r>
  <r>
    <x v="12"/>
  </r>
  <r>
    <x v="87"/>
  </r>
  <r>
    <x v="87"/>
  </r>
  <r>
    <x v="87"/>
  </r>
  <r>
    <x v="87"/>
  </r>
  <r>
    <x v="87"/>
  </r>
  <r>
    <x v="87"/>
  </r>
  <r>
    <x v="87"/>
  </r>
  <r>
    <x v="4"/>
  </r>
  <r>
    <x v="87"/>
  </r>
  <r>
    <x v="87"/>
  </r>
  <r>
    <x v="87"/>
  </r>
  <r>
    <x v="14"/>
  </r>
  <r>
    <x v="87"/>
  </r>
  <r>
    <x v="0"/>
  </r>
  <r>
    <x v="77"/>
  </r>
  <r>
    <x v="10"/>
  </r>
  <r>
    <x v="87"/>
  </r>
  <r>
    <x v="87"/>
  </r>
  <r>
    <x v="87"/>
  </r>
  <r>
    <x v="87"/>
  </r>
  <r>
    <x v="87"/>
  </r>
  <r>
    <x v="87"/>
  </r>
  <r>
    <x v="87"/>
  </r>
  <r>
    <x v="207"/>
  </r>
  <r>
    <x v="87"/>
  </r>
  <r>
    <x v="87"/>
  </r>
  <r>
    <x v="69"/>
  </r>
  <r>
    <x v="76"/>
  </r>
  <r>
    <x v="10"/>
  </r>
  <r>
    <x v="10"/>
  </r>
  <r>
    <x v="10"/>
  </r>
  <r>
    <x v="10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49"/>
  </r>
  <r>
    <x v="149"/>
  </r>
  <r>
    <x v="10"/>
  </r>
  <r>
    <x v="51"/>
  </r>
  <r>
    <x v="51"/>
  </r>
  <r>
    <x v="51"/>
  </r>
  <r>
    <x v="51"/>
  </r>
  <r>
    <x v="51"/>
  </r>
  <r>
    <x v="51"/>
  </r>
  <r>
    <x v="130"/>
  </r>
  <r>
    <x v="26"/>
  </r>
  <r>
    <x v="10"/>
  </r>
  <r>
    <x v="276"/>
  </r>
  <r>
    <x v="10"/>
  </r>
  <r>
    <x v="10"/>
  </r>
  <r>
    <x v="10"/>
  </r>
  <r>
    <x v="51"/>
  </r>
  <r>
    <x v="26"/>
  </r>
  <r>
    <x v="51"/>
  </r>
  <r>
    <x v="51"/>
  </r>
  <r>
    <x v="14"/>
  </r>
  <r>
    <x v="14"/>
  </r>
  <r>
    <x v="51"/>
  </r>
  <r>
    <x v="37"/>
  </r>
  <r>
    <x v="16"/>
  </r>
  <r>
    <x v="87"/>
  </r>
  <r>
    <x v="78"/>
  </r>
  <r>
    <x v="63"/>
  </r>
  <r>
    <x v="78"/>
  </r>
  <r>
    <x v="63"/>
  </r>
  <r>
    <x v="15"/>
  </r>
  <r>
    <x v="26"/>
  </r>
  <r>
    <x v="77"/>
  </r>
  <r>
    <x v="77"/>
  </r>
  <r>
    <x v="10"/>
  </r>
  <r>
    <x v="10"/>
  </r>
  <r>
    <x v="10"/>
  </r>
  <r>
    <x v="138"/>
  </r>
  <r>
    <x v="138"/>
  </r>
  <r>
    <x v="10"/>
  </r>
  <r>
    <x v="10"/>
  </r>
  <r>
    <x v="10"/>
  </r>
  <r>
    <x v="10"/>
  </r>
  <r>
    <x v="28"/>
  </r>
  <r>
    <x v="4"/>
  </r>
  <r>
    <x v="53"/>
  </r>
  <r>
    <x v="53"/>
  </r>
  <r>
    <x v="53"/>
  </r>
  <r>
    <x v="76"/>
  </r>
  <r>
    <x v="0"/>
  </r>
  <r>
    <x v="4"/>
  </r>
  <r>
    <x v="9"/>
  </r>
  <r>
    <x v="34"/>
  </r>
  <r>
    <x v="9"/>
  </r>
  <r>
    <x v="19"/>
  </r>
  <r>
    <x v="165"/>
  </r>
  <r>
    <x v="96"/>
  </r>
  <r>
    <x v="96"/>
  </r>
  <r>
    <x v="4"/>
  </r>
  <r>
    <x v="48"/>
  </r>
  <r>
    <x v="96"/>
  </r>
  <r>
    <x v="240"/>
  </r>
  <r>
    <x v="16"/>
  </r>
  <r>
    <x v="12"/>
  </r>
  <r>
    <x v="12"/>
  </r>
  <r>
    <x v="68"/>
  </r>
  <r>
    <x v="4"/>
  </r>
  <r>
    <x v="0"/>
  </r>
  <r>
    <x v="87"/>
  </r>
  <r>
    <x v="10"/>
  </r>
  <r>
    <x v="10"/>
  </r>
  <r>
    <x v="10"/>
  </r>
  <r>
    <x v="12"/>
  </r>
  <r>
    <x v="42"/>
  </r>
  <r>
    <x v="12"/>
  </r>
  <r>
    <x v="12"/>
  </r>
  <r>
    <x v="12"/>
  </r>
  <r>
    <x v="32"/>
  </r>
  <r>
    <x v="12"/>
  </r>
  <r>
    <x v="190"/>
  </r>
  <r>
    <x v="190"/>
  </r>
  <r>
    <x v="190"/>
  </r>
  <r>
    <x v="190"/>
  </r>
  <r>
    <x v="190"/>
  </r>
  <r>
    <x v="190"/>
  </r>
  <r>
    <x v="190"/>
  </r>
  <r>
    <x v="190"/>
  </r>
  <r>
    <x v="190"/>
  </r>
  <r>
    <x v="128"/>
  </r>
  <r>
    <x v="4"/>
  </r>
  <r>
    <x v="42"/>
  </r>
  <r>
    <x v="9"/>
  </r>
  <r>
    <x v="4"/>
  </r>
  <r>
    <x v="37"/>
  </r>
  <r>
    <x v="4"/>
  </r>
  <r>
    <x v="4"/>
  </r>
  <r>
    <x v="4"/>
  </r>
  <r>
    <x v="52"/>
  </r>
  <r>
    <x v="86"/>
  </r>
  <r>
    <x v="19"/>
  </r>
  <r>
    <x v="4"/>
  </r>
  <r>
    <x v="51"/>
  </r>
  <r>
    <x v="4"/>
  </r>
  <r>
    <x v="4"/>
  </r>
  <r>
    <x v="10"/>
  </r>
  <r>
    <x v="10"/>
  </r>
  <r>
    <x v="4"/>
  </r>
  <r>
    <x v="4"/>
  </r>
  <r>
    <x v="4"/>
  </r>
  <r>
    <x v="4"/>
  </r>
  <r>
    <x v="4"/>
  </r>
  <r>
    <x v="0"/>
  </r>
  <r>
    <x v="16"/>
  </r>
  <r>
    <x v="10"/>
  </r>
  <r>
    <x v="4"/>
  </r>
  <r>
    <x v="10"/>
  </r>
  <r>
    <x v="4"/>
  </r>
  <r>
    <x v="10"/>
  </r>
  <r>
    <x v="19"/>
  </r>
  <r>
    <x v="56"/>
  </r>
  <r>
    <x v="138"/>
  </r>
  <r>
    <x v="138"/>
  </r>
  <r>
    <x v="272"/>
  </r>
  <r>
    <x v="272"/>
  </r>
  <r>
    <x v="36"/>
  </r>
  <r>
    <x v="36"/>
  </r>
  <r>
    <x v="36"/>
  </r>
  <r>
    <x v="14"/>
  </r>
  <r>
    <x v="36"/>
  </r>
  <r>
    <x v="28"/>
  </r>
  <r>
    <x v="36"/>
  </r>
  <r>
    <x v="36"/>
  </r>
  <r>
    <x v="78"/>
  </r>
  <r>
    <x v="9"/>
  </r>
  <r>
    <x v="9"/>
  </r>
  <r>
    <x v="63"/>
  </r>
  <r>
    <x v="63"/>
  </r>
  <r>
    <x v="9"/>
  </r>
  <r>
    <x v="36"/>
  </r>
  <r>
    <x v="36"/>
  </r>
  <r>
    <x v="36"/>
  </r>
  <r>
    <x v="9"/>
  </r>
  <r>
    <x v="9"/>
  </r>
  <r>
    <x v="37"/>
  </r>
  <r>
    <x v="36"/>
  </r>
  <r>
    <x v="12"/>
  </r>
  <r>
    <x v="36"/>
  </r>
  <r>
    <x v="36"/>
  </r>
  <r>
    <x v="4"/>
  </r>
  <r>
    <x v="4"/>
  </r>
  <r>
    <x v="144"/>
  </r>
  <r>
    <x v="126"/>
  </r>
  <r>
    <x v="10"/>
  </r>
  <r>
    <x v="42"/>
  </r>
  <r>
    <x v="42"/>
  </r>
  <r>
    <x v="42"/>
  </r>
  <r>
    <x v="42"/>
  </r>
  <r>
    <x v="42"/>
  </r>
  <r>
    <x v="42"/>
  </r>
  <r>
    <x v="42"/>
  </r>
  <r>
    <x v="33"/>
  </r>
  <r>
    <x v="16"/>
  </r>
  <r>
    <x v="50"/>
  </r>
  <r>
    <x v="50"/>
  </r>
  <r>
    <x v="50"/>
  </r>
  <r>
    <x v="50"/>
  </r>
  <r>
    <x v="50"/>
  </r>
  <r>
    <x v="126"/>
  </r>
  <r>
    <x v="126"/>
  </r>
  <r>
    <x v="126"/>
  </r>
  <r>
    <x v="4"/>
  </r>
  <r>
    <x v="4"/>
  </r>
  <r>
    <x v="71"/>
  </r>
  <r>
    <x v="115"/>
  </r>
  <r>
    <x v="115"/>
  </r>
  <r>
    <x v="115"/>
  </r>
  <r>
    <x v="71"/>
  </r>
  <r>
    <x v="108"/>
  </r>
  <r>
    <x v="108"/>
  </r>
  <r>
    <x v="63"/>
  </r>
  <r>
    <x v="4"/>
  </r>
  <r>
    <x v="4"/>
  </r>
  <r>
    <x v="2"/>
  </r>
  <r>
    <x v="4"/>
  </r>
  <r>
    <x v="10"/>
  </r>
  <r>
    <x v="4"/>
  </r>
  <r>
    <x v="10"/>
  </r>
  <r>
    <x v="4"/>
  </r>
  <r>
    <x v="4"/>
  </r>
  <r>
    <x v="28"/>
  </r>
  <r>
    <x v="61"/>
  </r>
  <r>
    <x v="28"/>
  </r>
  <r>
    <x v="21"/>
  </r>
  <r>
    <x v="63"/>
  </r>
  <r>
    <x v="12"/>
  </r>
  <r>
    <x v="12"/>
  </r>
  <r>
    <x v="12"/>
  </r>
  <r>
    <x v="12"/>
  </r>
  <r>
    <x v="12"/>
  </r>
  <r>
    <x v="12"/>
  </r>
  <r>
    <x v="36"/>
  </r>
  <r>
    <x v="36"/>
  </r>
  <r>
    <x v="36"/>
  </r>
  <r>
    <x v="36"/>
  </r>
  <r>
    <x v="36"/>
  </r>
  <r>
    <x v="126"/>
  </r>
  <r>
    <x v="26"/>
  </r>
  <r>
    <x v="12"/>
  </r>
  <r>
    <x v="108"/>
  </r>
  <r>
    <x v="42"/>
  </r>
  <r>
    <x v="51"/>
  </r>
  <r>
    <x v="51"/>
  </r>
  <r>
    <x v="51"/>
  </r>
  <r>
    <x v="51"/>
  </r>
  <r>
    <x v="56"/>
  </r>
  <r>
    <x v="56"/>
  </r>
  <r>
    <x v="4"/>
  </r>
  <r>
    <x v="4"/>
  </r>
  <r>
    <x v="24"/>
  </r>
  <r>
    <x v="42"/>
  </r>
  <r>
    <x v="136"/>
  </r>
  <r>
    <x v="42"/>
  </r>
  <r>
    <x v="128"/>
  </r>
  <r>
    <x v="42"/>
  </r>
  <r>
    <x v="4"/>
  </r>
  <r>
    <x v="42"/>
  </r>
  <r>
    <x v="52"/>
  </r>
  <r>
    <x v="115"/>
  </r>
  <r>
    <x v="115"/>
  </r>
  <r>
    <x v="115"/>
  </r>
  <r>
    <x v="115"/>
  </r>
  <r>
    <x v="115"/>
  </r>
  <r>
    <x v="142"/>
  </r>
  <r>
    <x v="108"/>
  </r>
  <r>
    <x v="76"/>
  </r>
  <r>
    <x v="76"/>
  </r>
  <r>
    <x v="25"/>
  </r>
  <r>
    <x v="4"/>
  </r>
  <r>
    <x v="4"/>
  </r>
  <r>
    <x v="81"/>
  </r>
  <r>
    <x v="25"/>
  </r>
  <r>
    <x v="123"/>
  </r>
  <r>
    <x v="123"/>
  </r>
  <r>
    <x v="12"/>
  </r>
  <r>
    <x v="29"/>
  </r>
  <r>
    <x v="29"/>
  </r>
  <r>
    <x v="14"/>
  </r>
  <r>
    <x v="0"/>
  </r>
  <r>
    <x v="108"/>
  </r>
  <r>
    <x v="0"/>
  </r>
  <r>
    <x v="0"/>
  </r>
  <r>
    <x v="0"/>
  </r>
  <r>
    <x v="0"/>
  </r>
  <r>
    <x v="0"/>
  </r>
  <r>
    <x v="3"/>
  </r>
  <r>
    <x v="4"/>
  </r>
  <r>
    <x v="42"/>
  </r>
  <r>
    <x v="31"/>
  </r>
  <r>
    <x v="42"/>
  </r>
  <r>
    <x v="36"/>
  </r>
  <r>
    <x v="10"/>
  </r>
  <r>
    <x v="28"/>
  </r>
  <r>
    <x v="10"/>
  </r>
  <r>
    <x v="10"/>
  </r>
  <r>
    <x v="10"/>
  </r>
  <r>
    <x v="10"/>
  </r>
  <r>
    <x v="10"/>
  </r>
  <r>
    <x v="10"/>
  </r>
  <r>
    <x v="10"/>
  </r>
  <r>
    <x v="10"/>
  </r>
  <r>
    <x v="123"/>
  </r>
  <r>
    <x v="10"/>
  </r>
  <r>
    <x v="10"/>
  </r>
  <r>
    <x v="10"/>
  </r>
  <r>
    <x v="10"/>
  </r>
  <r>
    <x v="10"/>
  </r>
  <r>
    <x v="42"/>
  </r>
  <r>
    <x v="42"/>
  </r>
  <r>
    <x v="42"/>
  </r>
  <r>
    <x v="42"/>
  </r>
  <r>
    <x v="42"/>
  </r>
  <r>
    <x v="123"/>
  </r>
  <r>
    <x v="42"/>
  </r>
  <r>
    <x v="152"/>
  </r>
  <r>
    <x v="15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4"/>
  </r>
  <r>
    <x v="28"/>
  </r>
  <r>
    <x v="14"/>
  </r>
  <r>
    <x v="3"/>
  </r>
  <r>
    <x v="123"/>
  </r>
  <r>
    <x v="123"/>
  </r>
  <r>
    <x v="123"/>
  </r>
  <r>
    <x v="123"/>
  </r>
  <r>
    <x v="10"/>
  </r>
  <r>
    <x v="71"/>
  </r>
  <r>
    <x v="115"/>
  </r>
  <r>
    <x v="86"/>
  </r>
  <r>
    <x v="17"/>
  </r>
  <r>
    <x v="14"/>
  </r>
  <r>
    <x v="24"/>
  </r>
  <r>
    <x v="21"/>
  </r>
  <r>
    <x v="37"/>
  </r>
  <r>
    <x v="2"/>
  </r>
  <r>
    <x v="10"/>
  </r>
  <r>
    <x v="2"/>
  </r>
  <r>
    <x v="9"/>
  </r>
  <r>
    <x v="9"/>
  </r>
  <r>
    <x v="10"/>
  </r>
  <r>
    <x v="28"/>
  </r>
  <r>
    <x v="28"/>
  </r>
  <r>
    <x v="42"/>
  </r>
  <r>
    <x v="12"/>
  </r>
  <r>
    <x v="36"/>
  </r>
  <r>
    <x v="42"/>
  </r>
  <r>
    <x v="42"/>
  </r>
  <r>
    <x v="36"/>
  </r>
  <r>
    <x v="36"/>
  </r>
  <r>
    <x v="42"/>
  </r>
  <r>
    <x v="36"/>
  </r>
  <r>
    <x v="63"/>
  </r>
  <r>
    <x v="36"/>
  </r>
  <r>
    <x v="14"/>
  </r>
  <r>
    <x v="42"/>
  </r>
  <r>
    <x v="42"/>
  </r>
  <r>
    <x v="36"/>
  </r>
  <r>
    <x v="42"/>
  </r>
  <r>
    <x v="42"/>
  </r>
  <r>
    <x v="12"/>
  </r>
  <r>
    <x v="11"/>
  </r>
  <r>
    <x v="76"/>
  </r>
  <r>
    <x v="10"/>
  </r>
  <r>
    <x v="10"/>
  </r>
  <r>
    <x v="12"/>
  </r>
  <r>
    <x v="12"/>
  </r>
  <r>
    <x v="183"/>
  </r>
  <r>
    <x v="2"/>
  </r>
  <r>
    <x v="87"/>
  </r>
  <r>
    <x v="87"/>
  </r>
  <r>
    <x v="62"/>
  </r>
  <r>
    <x v="36"/>
  </r>
  <r>
    <x v="36"/>
  </r>
  <r>
    <x v="123"/>
  </r>
  <r>
    <x v="123"/>
  </r>
  <r>
    <x v="123"/>
  </r>
  <r>
    <x v="123"/>
  </r>
  <r>
    <x v="56"/>
  </r>
  <r>
    <x v="123"/>
  </r>
  <r>
    <x v="123"/>
  </r>
  <r>
    <x v="123"/>
  </r>
  <r>
    <x v="42"/>
  </r>
  <r>
    <x v="42"/>
  </r>
  <r>
    <x v="42"/>
  </r>
  <r>
    <x v="72"/>
  </r>
  <r>
    <x v="42"/>
  </r>
  <r>
    <x v="16"/>
  </r>
  <r>
    <x v="16"/>
  </r>
  <r>
    <x v="30"/>
  </r>
  <r>
    <x v="4"/>
  </r>
  <r>
    <x v="28"/>
  </r>
  <r>
    <x v="45"/>
  </r>
  <r>
    <x v="55"/>
  </r>
  <r>
    <x v="77"/>
  </r>
  <r>
    <x v="42"/>
  </r>
  <r>
    <x v="126"/>
  </r>
  <r>
    <x v="123"/>
  </r>
  <r>
    <x v="4"/>
  </r>
  <r>
    <x v="10"/>
  </r>
  <r>
    <x v="4"/>
  </r>
  <r>
    <x v="4"/>
  </r>
  <r>
    <x v="4"/>
  </r>
  <r>
    <x v="4"/>
  </r>
  <r>
    <x v="22"/>
  </r>
  <r>
    <x v="22"/>
  </r>
  <r>
    <x v="22"/>
  </r>
  <r>
    <x v="138"/>
  </r>
  <r>
    <x v="12"/>
  </r>
  <r>
    <x v="63"/>
  </r>
  <r>
    <x v="128"/>
  </r>
  <r>
    <x v="128"/>
  </r>
  <r>
    <x v="10"/>
  </r>
  <r>
    <x v="10"/>
  </r>
  <r>
    <x v="10"/>
  </r>
  <r>
    <x v="10"/>
  </r>
  <r>
    <x v="10"/>
  </r>
  <r>
    <x v="42"/>
  </r>
  <r>
    <x v="4"/>
  </r>
  <r>
    <x v="4"/>
  </r>
  <r>
    <x v="77"/>
  </r>
  <r>
    <x v="77"/>
  </r>
  <r>
    <x v="77"/>
  </r>
  <r>
    <x v="111"/>
  </r>
  <r>
    <x v="72"/>
  </r>
  <r>
    <x v="77"/>
  </r>
  <r>
    <x v="77"/>
  </r>
  <r>
    <x v="12"/>
  </r>
  <r>
    <x v="12"/>
  </r>
  <r>
    <x v="12"/>
  </r>
  <r>
    <x v="12"/>
  </r>
  <r>
    <x v="42"/>
  </r>
  <r>
    <x v="42"/>
  </r>
  <r>
    <x v="42"/>
  </r>
  <r>
    <x v="12"/>
  </r>
  <r>
    <x v="12"/>
  </r>
  <r>
    <x v="12"/>
  </r>
  <r>
    <x v="12"/>
  </r>
  <r>
    <x v="10"/>
  </r>
  <r>
    <x v="10"/>
  </r>
  <r>
    <x v="48"/>
  </r>
  <r>
    <x v="7"/>
  </r>
  <r>
    <x v="78"/>
  </r>
  <r>
    <x v="21"/>
  </r>
  <r>
    <x v="0"/>
  </r>
  <r>
    <x v="0"/>
  </r>
  <r>
    <x v="0"/>
  </r>
  <r>
    <x v="0"/>
  </r>
  <r>
    <x v="0"/>
  </r>
  <r>
    <x v="0"/>
  </r>
  <r>
    <x v="28"/>
  </r>
  <r>
    <x v="28"/>
  </r>
  <r>
    <x v="28"/>
  </r>
  <r>
    <x v="28"/>
  </r>
  <r>
    <x v="28"/>
  </r>
  <r>
    <x v="28"/>
  </r>
  <r>
    <x v="7"/>
  </r>
  <r>
    <x v="63"/>
  </r>
  <r>
    <x v="7"/>
  </r>
  <r>
    <x v="7"/>
  </r>
  <r>
    <x v="7"/>
  </r>
  <r>
    <x v="7"/>
  </r>
  <r>
    <x v="51"/>
  </r>
  <r>
    <x v="51"/>
  </r>
  <r>
    <x v="87"/>
  </r>
  <r>
    <x v="10"/>
  </r>
  <r>
    <x v="10"/>
  </r>
  <r>
    <x v="10"/>
  </r>
  <r>
    <x v="10"/>
  </r>
  <r>
    <x v="7"/>
  </r>
  <r>
    <x v="7"/>
  </r>
  <r>
    <x v="7"/>
  </r>
  <r>
    <x v="123"/>
  </r>
  <r>
    <x v="12"/>
  </r>
  <r>
    <x v="12"/>
  </r>
  <r>
    <x v="11"/>
  </r>
  <r>
    <x v="12"/>
  </r>
  <r>
    <x v="10"/>
  </r>
  <r>
    <x v="10"/>
  </r>
  <r>
    <x v="10"/>
  </r>
  <r>
    <x v="51"/>
  </r>
  <r>
    <x v="51"/>
  </r>
  <r>
    <x v="51"/>
  </r>
  <r>
    <x v="10"/>
  </r>
  <r>
    <x v="10"/>
  </r>
  <r>
    <x v="10"/>
  </r>
  <r>
    <x v="51"/>
  </r>
  <r>
    <x v="85"/>
  </r>
  <r>
    <x v="42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8"/>
  </r>
  <r>
    <x v="12"/>
  </r>
  <r>
    <x v="12"/>
  </r>
  <r>
    <x v="12"/>
  </r>
  <r>
    <x v="89"/>
  </r>
  <r>
    <x v="48"/>
  </r>
  <r>
    <x v="165"/>
  </r>
  <r>
    <x v="48"/>
  </r>
  <r>
    <x v="4"/>
  </r>
  <r>
    <x v="10"/>
  </r>
  <r>
    <x v="48"/>
  </r>
  <r>
    <x v="10"/>
  </r>
  <r>
    <x v="242"/>
  </r>
  <r>
    <x v="242"/>
  </r>
  <r>
    <x v="126"/>
  </r>
  <r>
    <x v="28"/>
  </r>
  <r>
    <x v="21"/>
  </r>
  <r>
    <x v="21"/>
  </r>
  <r>
    <x v="25"/>
  </r>
  <r>
    <x v="25"/>
  </r>
  <r>
    <x v="86"/>
  </r>
  <r>
    <x v="86"/>
  </r>
  <r>
    <x v="86"/>
  </r>
  <r>
    <x v="81"/>
  </r>
  <r>
    <x v="9"/>
  </r>
  <r>
    <x v="10"/>
  </r>
  <r>
    <x v="234"/>
  </r>
  <r>
    <x v="56"/>
  </r>
  <r>
    <x v="56"/>
  </r>
  <r>
    <x v="56"/>
  </r>
  <r>
    <x v="56"/>
  </r>
  <r>
    <x v="80"/>
  </r>
  <r>
    <x v="56"/>
  </r>
  <r>
    <x v="123"/>
  </r>
  <r>
    <x v="36"/>
  </r>
  <r>
    <x v="63"/>
  </r>
  <r>
    <x v="63"/>
  </r>
  <r>
    <x v="63"/>
  </r>
  <r>
    <x v="10"/>
  </r>
  <r>
    <x v="63"/>
  </r>
  <r>
    <x v="63"/>
  </r>
  <r>
    <x v="63"/>
  </r>
  <r>
    <x v="77"/>
  </r>
  <r>
    <x v="77"/>
  </r>
  <r>
    <x v="14"/>
  </r>
  <r>
    <x v="1"/>
  </r>
  <r>
    <x v="1"/>
  </r>
  <r>
    <x v="1"/>
  </r>
  <r>
    <x v="14"/>
  </r>
  <r>
    <x v="28"/>
  </r>
  <r>
    <x v="75"/>
  </r>
  <r>
    <x v="14"/>
  </r>
  <r>
    <x v="29"/>
  </r>
  <r>
    <x v="72"/>
  </r>
  <r>
    <x v="77"/>
  </r>
  <r>
    <x v="81"/>
  </r>
  <r>
    <x v="14"/>
  </r>
  <r>
    <x v="23"/>
  </r>
  <r>
    <x v="61"/>
  </r>
  <r>
    <x v="77"/>
  </r>
  <r>
    <x v="130"/>
  </r>
  <r>
    <x v="2"/>
  </r>
  <r>
    <x v="77"/>
  </r>
  <r>
    <x v="115"/>
  </r>
  <r>
    <x v="114"/>
  </r>
  <r>
    <x v="12"/>
  </r>
  <r>
    <x v="115"/>
  </r>
  <r>
    <x v="114"/>
  </r>
  <r>
    <x v="114"/>
  </r>
  <r>
    <x v="114"/>
  </r>
  <r>
    <x v="10"/>
  </r>
  <r>
    <x v="10"/>
  </r>
  <r>
    <x v="162"/>
  </r>
  <r>
    <x v="12"/>
  </r>
  <r>
    <x v="123"/>
  </r>
  <r>
    <x v="10"/>
  </r>
  <r>
    <x v="15"/>
  </r>
  <r>
    <x v="224"/>
  </r>
  <r>
    <x v="16"/>
  </r>
  <r>
    <x v="81"/>
  </r>
  <r>
    <x v="48"/>
  </r>
  <r>
    <x v="48"/>
  </r>
  <r>
    <x v="48"/>
  </r>
  <r>
    <x v="48"/>
  </r>
  <r>
    <x v="48"/>
  </r>
  <r>
    <x v="48"/>
  </r>
  <r>
    <x v="4"/>
  </r>
  <r>
    <x v="4"/>
  </r>
  <r>
    <x v="48"/>
  </r>
  <r>
    <x v="77"/>
  </r>
  <r>
    <x v="16"/>
  </r>
  <r>
    <x v="14"/>
  </r>
  <r>
    <x v="87"/>
  </r>
  <r>
    <x v="87"/>
  </r>
  <r>
    <x v="87"/>
  </r>
  <r>
    <x v="42"/>
  </r>
  <r>
    <x v="87"/>
  </r>
  <r>
    <x v="87"/>
  </r>
  <r>
    <x v="87"/>
  </r>
  <r>
    <x v="87"/>
  </r>
  <r>
    <x v="10"/>
  </r>
  <r>
    <x v="87"/>
  </r>
  <r>
    <x v="87"/>
  </r>
  <r>
    <x v="87"/>
  </r>
  <r>
    <x v="10"/>
  </r>
  <r>
    <x v="72"/>
  </r>
  <r>
    <x v="87"/>
  </r>
  <r>
    <x v="87"/>
  </r>
  <r>
    <x v="35"/>
  </r>
  <r>
    <x v="87"/>
  </r>
  <r>
    <x v="10"/>
  </r>
  <r>
    <x v="10"/>
  </r>
  <r>
    <x v="10"/>
  </r>
  <r>
    <x v="10"/>
  </r>
  <r>
    <x v="87"/>
  </r>
  <r>
    <x v="87"/>
  </r>
  <r>
    <x v="87"/>
  </r>
  <r>
    <x v="87"/>
  </r>
  <r>
    <x v="123"/>
  </r>
  <r>
    <x v="123"/>
  </r>
  <r>
    <x v="123"/>
  </r>
  <r>
    <x v="10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1"/>
  </r>
  <r>
    <x v="10"/>
  </r>
  <r>
    <x v="10"/>
  </r>
  <r>
    <x v="10"/>
  </r>
  <r>
    <x v="10"/>
  </r>
  <r>
    <x v="10"/>
  </r>
  <r>
    <x v="10"/>
  </r>
  <r>
    <x v="174"/>
  </r>
  <r>
    <x v="50"/>
  </r>
  <r>
    <x v="50"/>
  </r>
  <r>
    <x v="50"/>
  </r>
  <r>
    <x v="174"/>
  </r>
  <r>
    <x v="63"/>
  </r>
  <r>
    <x v="63"/>
  </r>
  <r>
    <x v="217"/>
  </r>
  <r>
    <x v="279"/>
  </r>
  <r>
    <x v="279"/>
  </r>
  <r>
    <x v="279"/>
  </r>
  <r>
    <x v="279"/>
  </r>
  <r>
    <x v="279"/>
  </r>
  <r>
    <x v="279"/>
  </r>
  <r>
    <x v="207"/>
  </r>
  <r>
    <x v="207"/>
  </r>
  <r>
    <x v="48"/>
  </r>
  <r>
    <x v="126"/>
  </r>
  <r>
    <x v="28"/>
  </r>
  <r>
    <x v="28"/>
  </r>
  <r>
    <x v="28"/>
  </r>
  <r>
    <x v="42"/>
  </r>
  <r>
    <x v="77"/>
  </r>
  <r>
    <x v="77"/>
  </r>
  <r>
    <x v="77"/>
  </r>
  <r>
    <x v="77"/>
  </r>
  <r>
    <x v="77"/>
  </r>
  <r>
    <x v="77"/>
  </r>
  <r>
    <x v="138"/>
  </r>
  <r>
    <x v="86"/>
  </r>
  <r>
    <x v="61"/>
  </r>
  <r>
    <x v="130"/>
  </r>
  <r>
    <x v="138"/>
  </r>
  <r>
    <x v="138"/>
  </r>
  <r>
    <x v="86"/>
  </r>
  <r>
    <x v="86"/>
  </r>
  <r>
    <x v="86"/>
  </r>
  <r>
    <x v="86"/>
  </r>
  <r>
    <x v="100"/>
  </r>
  <r>
    <x v="86"/>
  </r>
  <r>
    <x v="175"/>
  </r>
  <r>
    <x v="175"/>
  </r>
  <r>
    <x v="175"/>
  </r>
  <r>
    <x v="41"/>
  </r>
  <r>
    <x v="138"/>
  </r>
  <r>
    <x v="72"/>
  </r>
  <r>
    <x v="4"/>
  </r>
  <r>
    <x v="79"/>
  </r>
  <r>
    <x v="4"/>
  </r>
  <r>
    <x v="16"/>
  </r>
  <r>
    <x v="6"/>
  </r>
  <r>
    <x v="14"/>
  </r>
  <r>
    <x v="12"/>
  </r>
  <r>
    <x v="76"/>
  </r>
  <r>
    <x v="31"/>
  </r>
  <r>
    <x v="22"/>
  </r>
  <r>
    <x v="16"/>
  </r>
  <r>
    <x v="12"/>
  </r>
  <r>
    <x v="0"/>
  </r>
  <r>
    <x v="10"/>
  </r>
  <r>
    <x v="72"/>
  </r>
  <r>
    <x v="72"/>
  </r>
  <r>
    <x v="10"/>
  </r>
  <r>
    <x v="10"/>
  </r>
  <r>
    <x v="10"/>
  </r>
  <r>
    <x v="10"/>
  </r>
  <r>
    <x v="10"/>
  </r>
  <r>
    <x v="10"/>
  </r>
  <r>
    <x v="10"/>
  </r>
  <r>
    <x v="72"/>
  </r>
  <r>
    <x v="10"/>
  </r>
  <r>
    <x v="10"/>
  </r>
  <r>
    <x v="10"/>
  </r>
  <r>
    <x v="10"/>
  </r>
  <r>
    <x v="10"/>
  </r>
  <r>
    <x v="72"/>
  </r>
  <r>
    <x v="139"/>
  </r>
  <r>
    <x v="12"/>
  </r>
  <r>
    <x v="12"/>
  </r>
  <r>
    <x v="12"/>
  </r>
  <r>
    <x v="12"/>
  </r>
  <r>
    <x v="16"/>
  </r>
  <r>
    <x v="50"/>
  </r>
  <r>
    <x v="42"/>
  </r>
  <r>
    <x v="50"/>
  </r>
  <r>
    <x v="24"/>
  </r>
  <r>
    <x v="50"/>
  </r>
  <r>
    <x v="50"/>
  </r>
  <r>
    <x v="50"/>
  </r>
  <r>
    <x v="50"/>
  </r>
  <r>
    <x v="50"/>
  </r>
  <r>
    <x v="12"/>
  </r>
  <r>
    <x v="50"/>
  </r>
  <r>
    <x v="42"/>
  </r>
  <r>
    <x v="50"/>
  </r>
  <r>
    <x v="50"/>
  </r>
  <r>
    <x v="42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42"/>
  </r>
  <r>
    <x v="50"/>
  </r>
  <r>
    <x v="42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24"/>
  </r>
  <r>
    <x v="16"/>
  </r>
  <r>
    <x v="10"/>
  </r>
  <r>
    <x v="50"/>
  </r>
  <r>
    <x v="50"/>
  </r>
  <r>
    <x v="9"/>
  </r>
  <r>
    <x v="9"/>
  </r>
  <r>
    <x v="9"/>
  </r>
  <r>
    <x v="9"/>
  </r>
  <r>
    <x v="25"/>
  </r>
  <r>
    <x v="165"/>
  </r>
  <r>
    <x v="133"/>
  </r>
  <r>
    <x v="28"/>
  </r>
  <r>
    <x v="217"/>
  </r>
  <r>
    <x v="10"/>
  </r>
  <r>
    <x v="10"/>
  </r>
  <r>
    <x v="10"/>
  </r>
  <r>
    <x v="10"/>
  </r>
  <r>
    <x v="217"/>
  </r>
  <r>
    <x v="4"/>
  </r>
  <r>
    <x v="37"/>
  </r>
  <r>
    <x v="217"/>
  </r>
  <r>
    <x v="25"/>
  </r>
  <r>
    <x v="25"/>
  </r>
  <r>
    <x v="280"/>
  </r>
  <r>
    <x v="280"/>
  </r>
  <r>
    <x v="4"/>
  </r>
  <r>
    <x v="280"/>
  </r>
  <r>
    <x v="4"/>
  </r>
  <r>
    <x v="16"/>
  </r>
  <r>
    <x v="0"/>
  </r>
  <r>
    <x v="280"/>
  </r>
  <r>
    <x v="280"/>
  </r>
  <r>
    <x v="280"/>
  </r>
  <r>
    <x v="142"/>
  </r>
  <r>
    <x v="72"/>
  </r>
  <r>
    <x v="142"/>
  </r>
  <r>
    <x v="48"/>
  </r>
  <r>
    <x v="142"/>
  </r>
  <r>
    <x v="142"/>
  </r>
  <r>
    <x v="7"/>
  </r>
  <r>
    <x v="7"/>
  </r>
  <r>
    <x v="7"/>
  </r>
  <r>
    <x v="7"/>
  </r>
  <r>
    <x v="7"/>
  </r>
  <r>
    <x v="7"/>
  </r>
  <r>
    <x v="28"/>
  </r>
  <r>
    <x v="28"/>
  </r>
  <r>
    <x v="28"/>
  </r>
  <r>
    <x v="142"/>
  </r>
  <r>
    <x v="28"/>
  </r>
  <r>
    <x v="28"/>
  </r>
  <r>
    <x v="28"/>
  </r>
  <r>
    <x v="28"/>
  </r>
  <r>
    <x v="28"/>
  </r>
  <r>
    <x v="28"/>
  </r>
  <r>
    <x v="113"/>
  </r>
  <r>
    <x v="113"/>
  </r>
  <r>
    <x v="72"/>
  </r>
  <r>
    <x v="113"/>
  </r>
  <r>
    <x v="113"/>
  </r>
  <r>
    <x v="81"/>
  </r>
  <r>
    <x v="81"/>
  </r>
  <r>
    <x v="81"/>
  </r>
  <r>
    <x v="81"/>
  </r>
  <r>
    <x v="113"/>
  </r>
  <r>
    <x v="144"/>
  </r>
  <r>
    <x v="144"/>
  </r>
  <r>
    <x v="14"/>
  </r>
  <r>
    <x v="144"/>
  </r>
  <r>
    <x v="144"/>
  </r>
  <r>
    <x v="144"/>
  </r>
  <r>
    <x v="144"/>
  </r>
  <r>
    <x v="144"/>
  </r>
  <r>
    <x v="72"/>
  </r>
  <r>
    <x v="72"/>
  </r>
  <r>
    <x v="72"/>
  </r>
  <r>
    <x v="7"/>
  </r>
  <r>
    <x v="42"/>
  </r>
  <r>
    <x v="99"/>
  </r>
  <r>
    <x v="99"/>
  </r>
  <r>
    <x v="99"/>
  </r>
  <r>
    <x v="99"/>
  </r>
  <r>
    <x v="138"/>
  </r>
  <r>
    <x v="77"/>
  </r>
  <r>
    <x v="123"/>
  </r>
  <r>
    <x v="10"/>
  </r>
  <r>
    <x v="10"/>
  </r>
  <r>
    <x v="10"/>
  </r>
  <r>
    <x v="24"/>
  </r>
  <r>
    <x v="4"/>
  </r>
  <r>
    <x v="39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8"/>
  </r>
  <r>
    <x v="28"/>
  </r>
  <r>
    <x v="36"/>
  </r>
  <r>
    <x v="36"/>
  </r>
  <r>
    <x v="12"/>
  </r>
  <r>
    <x v="36"/>
  </r>
  <r>
    <x v="0"/>
  </r>
  <r>
    <x v="36"/>
  </r>
  <r>
    <x v="36"/>
  </r>
  <r>
    <x v="12"/>
  </r>
  <r>
    <x v="36"/>
  </r>
  <r>
    <x v="80"/>
  </r>
  <r>
    <x v="36"/>
  </r>
  <r>
    <x v="36"/>
  </r>
  <r>
    <x v="12"/>
  </r>
  <r>
    <x v="36"/>
  </r>
  <r>
    <x v="36"/>
  </r>
  <r>
    <x v="36"/>
  </r>
  <r>
    <x v="78"/>
  </r>
  <r>
    <x v="36"/>
  </r>
  <r>
    <x v="12"/>
  </r>
  <r>
    <x v="36"/>
  </r>
  <r>
    <x v="36"/>
  </r>
  <r>
    <x v="36"/>
  </r>
  <r>
    <x v="36"/>
  </r>
  <r>
    <x v="36"/>
  </r>
  <r>
    <x v="36"/>
  </r>
  <r>
    <x v="12"/>
  </r>
  <r>
    <x v="36"/>
  </r>
  <r>
    <x v="36"/>
  </r>
  <r>
    <x v="36"/>
  </r>
  <r>
    <x v="36"/>
  </r>
  <r>
    <x v="12"/>
  </r>
  <r>
    <x v="36"/>
  </r>
  <r>
    <x v="36"/>
  </r>
  <r>
    <x v="12"/>
  </r>
  <r>
    <x v="100"/>
  </r>
  <r>
    <x v="10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3"/>
  </r>
  <r>
    <x v="22"/>
  </r>
  <r>
    <x v="9"/>
  </r>
  <r>
    <x v="42"/>
  </r>
  <r>
    <x v="77"/>
  </r>
  <r>
    <x v="36"/>
  </r>
  <r>
    <x v="72"/>
  </r>
  <r>
    <x v="32"/>
  </r>
  <r>
    <x v="36"/>
  </r>
  <r>
    <x v="36"/>
  </r>
  <r>
    <x v="36"/>
  </r>
  <r>
    <x v="36"/>
  </r>
  <r>
    <x v="77"/>
  </r>
  <r>
    <x v="77"/>
  </r>
  <r>
    <x v="48"/>
  </r>
  <r>
    <x v="12"/>
  </r>
  <r>
    <x v="12"/>
  </r>
  <r>
    <x v="37"/>
  </r>
  <r>
    <x v="77"/>
  </r>
  <r>
    <x v="31"/>
  </r>
  <r>
    <x v="10"/>
  </r>
  <r>
    <x v="10"/>
  </r>
  <r>
    <x v="10"/>
  </r>
  <r>
    <x v="10"/>
  </r>
  <r>
    <x v="10"/>
  </r>
  <r>
    <x v="102"/>
  </r>
  <r>
    <x v="12"/>
  </r>
  <r>
    <x v="10"/>
  </r>
  <r>
    <x v="10"/>
  </r>
  <r>
    <x v="12"/>
  </r>
  <r>
    <x v="4"/>
  </r>
  <r>
    <x v="10"/>
  </r>
  <r>
    <x v="10"/>
  </r>
  <r>
    <x v="72"/>
  </r>
  <r>
    <x v="10"/>
  </r>
  <r>
    <x v="10"/>
  </r>
  <r>
    <x v="113"/>
  </r>
  <r>
    <x v="113"/>
  </r>
  <r>
    <x v="4"/>
  </r>
  <r>
    <x v="4"/>
  </r>
  <r>
    <x v="4"/>
  </r>
  <r>
    <x v="4"/>
  </r>
  <r>
    <x v="113"/>
  </r>
  <r>
    <x v="113"/>
  </r>
  <r>
    <x v="80"/>
  </r>
  <r>
    <x v="4"/>
  </r>
  <r>
    <x v="4"/>
  </r>
  <r>
    <x v="4"/>
  </r>
  <r>
    <x v="12"/>
  </r>
  <r>
    <x v="12"/>
  </r>
  <r>
    <x v="12"/>
  </r>
  <r>
    <x v="139"/>
  </r>
  <r>
    <x v="78"/>
  </r>
  <r>
    <x v="78"/>
  </r>
  <r>
    <x v="78"/>
  </r>
  <r>
    <x v="33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139"/>
  </r>
  <r>
    <x v="139"/>
  </r>
  <r>
    <x v="78"/>
  </r>
  <r>
    <x v="78"/>
  </r>
  <r>
    <x v="72"/>
  </r>
  <r>
    <x v="78"/>
  </r>
  <r>
    <x v="78"/>
  </r>
  <r>
    <x v="72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142"/>
  </r>
  <r>
    <x v="4"/>
  </r>
  <r>
    <x v="142"/>
  </r>
  <r>
    <x v="113"/>
  </r>
  <r>
    <x v="4"/>
  </r>
  <r>
    <x v="4"/>
  </r>
  <r>
    <x v="4"/>
  </r>
  <r>
    <x v="4"/>
  </r>
  <r>
    <x v="113"/>
  </r>
  <r>
    <x v="50"/>
  </r>
  <r>
    <x v="113"/>
  </r>
  <r>
    <x v="10"/>
  </r>
  <r>
    <x v="10"/>
  </r>
  <r>
    <x v="11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44"/>
  </r>
  <r>
    <x v="24"/>
  </r>
  <r>
    <x v="24"/>
  </r>
  <r>
    <x v="24"/>
  </r>
  <r>
    <x v="24"/>
  </r>
  <r>
    <x v="24"/>
  </r>
  <r>
    <x v="10"/>
  </r>
  <r>
    <x v="10"/>
  </r>
  <r>
    <x v="10"/>
  </r>
  <r>
    <x v="10"/>
  </r>
  <r>
    <x v="10"/>
  </r>
  <r>
    <x v="10"/>
  </r>
  <r>
    <x v="17"/>
  </r>
  <r>
    <x v="10"/>
  </r>
  <r>
    <x v="10"/>
  </r>
  <r>
    <x v="10"/>
  </r>
  <r>
    <x v="10"/>
  </r>
  <r>
    <x v="10"/>
  </r>
  <r>
    <x v="10"/>
  </r>
  <r>
    <x v="10"/>
  </r>
  <r>
    <x v="10"/>
  </r>
  <r>
    <x v="217"/>
  </r>
  <r>
    <x v="10"/>
  </r>
  <r>
    <x v="10"/>
  </r>
  <r>
    <x v="10"/>
  </r>
  <r>
    <x v="10"/>
  </r>
  <r>
    <x v="126"/>
  </r>
  <r>
    <x v="76"/>
  </r>
  <r>
    <x v="76"/>
  </r>
  <r>
    <x v="126"/>
  </r>
  <r>
    <x v="253"/>
  </r>
  <r>
    <x v="77"/>
  </r>
  <r>
    <x v="126"/>
  </r>
  <r>
    <x v="21"/>
  </r>
  <r>
    <x v="126"/>
  </r>
  <r>
    <x v="31"/>
  </r>
  <r>
    <x v="0"/>
  </r>
  <r>
    <x v="126"/>
  </r>
  <r>
    <x v="31"/>
  </r>
  <r>
    <x v="0"/>
  </r>
  <r>
    <x v="21"/>
  </r>
  <r>
    <x v="21"/>
  </r>
  <r>
    <x v="126"/>
  </r>
  <r>
    <x v="126"/>
  </r>
  <r>
    <x v="12"/>
  </r>
  <r>
    <x v="126"/>
  </r>
  <r>
    <x v="126"/>
  </r>
  <r>
    <x v="126"/>
  </r>
  <r>
    <x v="126"/>
  </r>
  <r>
    <x v="126"/>
  </r>
  <r>
    <x v="0"/>
  </r>
  <r>
    <x v="0"/>
  </r>
  <r>
    <x v="22"/>
  </r>
  <r>
    <x v="22"/>
  </r>
  <r>
    <x v="126"/>
  </r>
  <r>
    <x v="113"/>
  </r>
  <r>
    <x v="104"/>
  </r>
  <r>
    <x v="11"/>
  </r>
  <r>
    <x v="31"/>
  </r>
  <r>
    <x v="31"/>
  </r>
  <r>
    <x v="31"/>
  </r>
  <r>
    <x v="104"/>
  </r>
  <r>
    <x v="25"/>
  </r>
  <r>
    <x v="0"/>
  </r>
  <r>
    <x v="204"/>
  </r>
  <r>
    <x v="10"/>
  </r>
  <r>
    <x v="76"/>
  </r>
  <r>
    <x v="10"/>
  </r>
  <r>
    <x v="10"/>
  </r>
  <r>
    <x v="10"/>
  </r>
  <r>
    <x v="10"/>
  </r>
  <r>
    <x v="251"/>
  </r>
  <r>
    <x v="35"/>
  </r>
  <r>
    <x v="130"/>
  </r>
  <r>
    <x v="10"/>
  </r>
  <r>
    <x v="0"/>
  </r>
  <r>
    <x v="0"/>
  </r>
  <r>
    <x v="0"/>
  </r>
  <r>
    <x v="0"/>
  </r>
  <r>
    <x v="0"/>
  </r>
  <r>
    <x v="78"/>
  </r>
  <r>
    <x v="10"/>
  </r>
  <r>
    <x v="10"/>
  </r>
  <r>
    <x v="35"/>
  </r>
  <r>
    <x v="12"/>
  </r>
  <r>
    <x v="30"/>
  </r>
  <r>
    <x v="12"/>
  </r>
  <r>
    <x v="12"/>
  </r>
  <r>
    <x v="12"/>
  </r>
  <r>
    <x v="10"/>
  </r>
  <r>
    <x v="31"/>
  </r>
  <r>
    <x v="10"/>
  </r>
  <r>
    <x v="21"/>
  </r>
  <r>
    <x v="126"/>
  </r>
  <r>
    <x v="37"/>
  </r>
  <r>
    <x v="37"/>
  </r>
  <r>
    <x v="21"/>
  </r>
  <r>
    <x v="78"/>
  </r>
  <r>
    <x v="21"/>
  </r>
  <r>
    <x v="37"/>
  </r>
  <r>
    <x v="0"/>
  </r>
  <r>
    <x v="0"/>
  </r>
  <r>
    <x v="77"/>
  </r>
  <r>
    <x v="0"/>
  </r>
  <r>
    <x v="113"/>
  </r>
  <r>
    <x v="10"/>
  </r>
  <r>
    <x v="10"/>
  </r>
  <r>
    <x v="81"/>
  </r>
  <r>
    <x v="81"/>
  </r>
  <r>
    <x v="81"/>
  </r>
  <r>
    <x v="78"/>
  </r>
  <r>
    <x v="199"/>
  </r>
  <r>
    <x v="10"/>
  </r>
  <r>
    <x v="10"/>
  </r>
  <r>
    <x v="10"/>
  </r>
  <r>
    <x v="10"/>
  </r>
  <r>
    <x v="10"/>
  </r>
  <r>
    <x v="10"/>
  </r>
  <r>
    <x v="10"/>
  </r>
  <r>
    <x v="34"/>
  </r>
  <r>
    <x v="10"/>
  </r>
  <r>
    <x v="10"/>
  </r>
  <r>
    <x v="0"/>
  </r>
  <r>
    <x v="123"/>
  </r>
  <r>
    <x v="0"/>
  </r>
  <r>
    <x v="42"/>
  </r>
  <r>
    <x v="7"/>
  </r>
  <r>
    <x v="146"/>
  </r>
  <r>
    <x v="146"/>
  </r>
  <r>
    <x v="138"/>
  </r>
  <r>
    <x v="131"/>
  </r>
  <r>
    <x v="40"/>
  </r>
  <r>
    <x v="57"/>
  </r>
  <r>
    <x v="131"/>
  </r>
  <r>
    <x v="131"/>
  </r>
  <r>
    <x v="45"/>
  </r>
  <r>
    <x v="45"/>
  </r>
  <r>
    <x v="45"/>
  </r>
  <r>
    <x v="45"/>
  </r>
  <r>
    <x v="10"/>
  </r>
  <r>
    <x v="10"/>
  </r>
  <r>
    <x v="42"/>
  </r>
  <r>
    <x v="10"/>
  </r>
  <r>
    <x v="10"/>
  </r>
  <r>
    <x v="10"/>
  </r>
  <r>
    <x v="3"/>
  </r>
  <r>
    <x v="112"/>
  </r>
  <r>
    <x v="4"/>
  </r>
  <r>
    <x v="28"/>
  </r>
  <r>
    <x v="36"/>
  </r>
  <r>
    <x v="78"/>
  </r>
  <r>
    <x v="36"/>
  </r>
  <r>
    <x v="49"/>
  </r>
  <r>
    <x v="36"/>
  </r>
  <r>
    <x v="10"/>
  </r>
  <r>
    <x v="48"/>
  </r>
  <r>
    <x v="10"/>
  </r>
  <r>
    <x v="22"/>
  </r>
  <r>
    <x v="12"/>
  </r>
  <r>
    <x v="22"/>
  </r>
  <r>
    <x v="22"/>
  </r>
  <r>
    <x v="78"/>
  </r>
  <r>
    <x v="12"/>
  </r>
  <r>
    <x v="12"/>
  </r>
  <r>
    <x v="4"/>
  </r>
  <r>
    <x v="22"/>
  </r>
  <r>
    <x v="22"/>
  </r>
  <r>
    <x v="22"/>
  </r>
  <r>
    <x v="63"/>
  </r>
  <r>
    <x v="22"/>
  </r>
  <r>
    <x v="113"/>
  </r>
  <r>
    <x v="0"/>
  </r>
  <r>
    <x v="0"/>
  </r>
  <r>
    <x v="29"/>
  </r>
  <r>
    <x v="24"/>
  </r>
  <r>
    <x v="24"/>
  </r>
  <r>
    <x v="24"/>
  </r>
  <r>
    <x v="24"/>
  </r>
  <r>
    <x v="24"/>
  </r>
  <r>
    <x v="24"/>
  </r>
  <r>
    <x v="24"/>
  </r>
  <r>
    <x v="28"/>
  </r>
  <r>
    <x v="24"/>
  </r>
  <r>
    <x v="24"/>
  </r>
  <r>
    <x v="24"/>
  </r>
  <r>
    <x v="12"/>
  </r>
  <r>
    <x v="12"/>
  </r>
  <r>
    <x v="12"/>
  </r>
  <r>
    <x v="12"/>
  </r>
  <r>
    <x v="37"/>
  </r>
  <r>
    <x v="37"/>
  </r>
  <r>
    <x v="165"/>
  </r>
  <r>
    <x v="133"/>
  </r>
  <r>
    <x v="217"/>
  </r>
  <r>
    <x v="217"/>
  </r>
  <r>
    <x v="48"/>
  </r>
  <r>
    <x v="48"/>
  </r>
  <r>
    <x v="48"/>
  </r>
  <r>
    <x v="48"/>
  </r>
  <r>
    <x v="104"/>
  </r>
  <r>
    <x v="23"/>
  </r>
  <r>
    <x v="25"/>
  </r>
  <r>
    <x v="25"/>
  </r>
  <r>
    <x v="85"/>
  </r>
  <r>
    <x v="76"/>
  </r>
  <r>
    <x v="0"/>
  </r>
  <r>
    <x v="46"/>
  </r>
  <r>
    <x v="12"/>
  </r>
  <r>
    <x v="12"/>
  </r>
  <r>
    <x v="154"/>
  </r>
  <r>
    <x v="62"/>
  </r>
  <r>
    <x v="48"/>
  </r>
  <r>
    <x v="76"/>
  </r>
  <r>
    <x v="30"/>
  </r>
  <r>
    <x v="75"/>
  </r>
  <r>
    <x v="14"/>
  </r>
  <r>
    <x v="12"/>
  </r>
  <r>
    <x v="26"/>
  </r>
  <r>
    <x v="139"/>
  </r>
  <r>
    <x v="48"/>
  </r>
  <r>
    <x v="139"/>
  </r>
  <r>
    <x v="12"/>
  </r>
  <r>
    <x v="139"/>
  </r>
  <r>
    <x v="139"/>
  </r>
  <r>
    <x v="139"/>
  </r>
  <r>
    <x v="139"/>
  </r>
  <r>
    <x v="139"/>
  </r>
  <r>
    <x v="139"/>
  </r>
  <r>
    <x v="139"/>
  </r>
  <r>
    <x v="139"/>
  </r>
  <r>
    <x v="217"/>
  </r>
  <r>
    <x v="217"/>
  </r>
  <r>
    <x v="217"/>
  </r>
  <r>
    <x v="217"/>
  </r>
  <r>
    <x v="59"/>
  </r>
  <r>
    <x v="217"/>
  </r>
  <r>
    <x v="217"/>
  </r>
  <r>
    <x v="23"/>
  </r>
  <r>
    <x v="192"/>
  </r>
  <r>
    <x v="217"/>
  </r>
  <r>
    <x v="217"/>
  </r>
  <r>
    <x v="217"/>
  </r>
  <r>
    <x v="217"/>
  </r>
  <r>
    <x v="144"/>
  </r>
  <r>
    <x v="144"/>
  </r>
  <r>
    <x v="104"/>
  </r>
  <r>
    <x v="162"/>
  </r>
  <r>
    <x v="10"/>
  </r>
  <r>
    <x v="123"/>
  </r>
  <r>
    <x v="10"/>
  </r>
  <r>
    <x v="48"/>
  </r>
  <r>
    <x v="36"/>
  </r>
  <r>
    <x v="251"/>
  </r>
  <r>
    <x v="10"/>
  </r>
  <r>
    <x v="10"/>
  </r>
  <r>
    <x v="8"/>
  </r>
  <r>
    <x v="4"/>
  </r>
  <r>
    <x v="89"/>
  </r>
  <r>
    <x v="89"/>
  </r>
  <r>
    <x v="89"/>
  </r>
  <r>
    <x v="89"/>
  </r>
  <r>
    <x v="52"/>
  </r>
  <r>
    <x v="89"/>
  </r>
  <r>
    <x v="36"/>
  </r>
  <r>
    <x v="36"/>
  </r>
  <r>
    <x v="36"/>
  </r>
  <r>
    <x v="89"/>
  </r>
  <r>
    <x v="36"/>
  </r>
  <r>
    <x v="36"/>
  </r>
  <r>
    <x v="36"/>
  </r>
  <r>
    <x v="126"/>
  </r>
  <r>
    <x v="72"/>
  </r>
  <r>
    <x v="72"/>
  </r>
  <r>
    <x v="10"/>
  </r>
  <r>
    <x v="123"/>
  </r>
  <r>
    <x v="87"/>
  </r>
  <r>
    <x v="45"/>
  </r>
  <r>
    <x v="29"/>
  </r>
  <r>
    <x v="45"/>
  </r>
  <r>
    <x v="123"/>
  </r>
  <r>
    <x v="87"/>
  </r>
  <r>
    <x v="123"/>
  </r>
  <r>
    <x v="123"/>
  </r>
  <r>
    <x v="24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45"/>
  </r>
  <r>
    <x v="42"/>
  </r>
  <r>
    <x v="12"/>
  </r>
  <r>
    <x v="10"/>
  </r>
  <r>
    <x v="16"/>
  </r>
  <r>
    <x v="10"/>
  </r>
  <r>
    <x v="36"/>
  </r>
  <r>
    <x v="33"/>
  </r>
  <r>
    <x v="0"/>
  </r>
  <r>
    <x v="33"/>
  </r>
  <r>
    <x v="33"/>
  </r>
  <r>
    <x v="36"/>
  </r>
  <r>
    <x v="4"/>
  </r>
  <r>
    <x v="123"/>
  </r>
  <r>
    <x v="123"/>
  </r>
  <r>
    <x v="36"/>
  </r>
  <r>
    <x v="10"/>
  </r>
  <r>
    <x v="36"/>
  </r>
  <r>
    <x v="36"/>
  </r>
  <r>
    <x v="36"/>
  </r>
  <r>
    <x v="12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0"/>
  </r>
  <r>
    <x v="12"/>
  </r>
  <r>
    <x v="281"/>
  </r>
  <r>
    <x v="4"/>
  </r>
  <r>
    <x v="77"/>
  </r>
  <r>
    <x v="125"/>
  </r>
  <r>
    <x v="152"/>
  </r>
  <r>
    <x v="152"/>
  </r>
  <r>
    <x v="123"/>
  </r>
  <r>
    <x v="123"/>
  </r>
  <r>
    <x v="152"/>
  </r>
  <r>
    <x v="152"/>
  </r>
  <r>
    <x v="24"/>
  </r>
  <r>
    <x v="24"/>
  </r>
  <r>
    <x v="24"/>
  </r>
  <r>
    <x v="24"/>
  </r>
  <r>
    <x v="4"/>
  </r>
  <r>
    <x v="24"/>
  </r>
  <r>
    <x v="24"/>
  </r>
  <r>
    <x v="24"/>
  </r>
  <r>
    <x v="0"/>
  </r>
  <r>
    <x v="0"/>
  </r>
  <r>
    <x v="28"/>
  </r>
  <r>
    <x v="28"/>
  </r>
  <r>
    <x v="28"/>
  </r>
  <r>
    <x v="28"/>
  </r>
  <r>
    <x v="28"/>
  </r>
  <r>
    <x v="42"/>
  </r>
  <r>
    <x v="42"/>
  </r>
  <r>
    <x v="42"/>
  </r>
  <r>
    <x v="42"/>
  </r>
  <r>
    <x v="0"/>
  </r>
  <r>
    <x v="42"/>
  </r>
  <r>
    <x v="42"/>
  </r>
  <r>
    <x v="42"/>
  </r>
  <r>
    <x v="42"/>
  </r>
  <r>
    <x v="42"/>
  </r>
  <r>
    <x v="42"/>
  </r>
  <r>
    <x v="42"/>
  </r>
  <r>
    <x v="136"/>
  </r>
  <r>
    <x v="0"/>
  </r>
  <r>
    <x v="0"/>
  </r>
  <r>
    <x v="0"/>
  </r>
  <r>
    <x v="227"/>
  </r>
  <r>
    <x v="10"/>
  </r>
  <r>
    <x v="56"/>
  </r>
  <r>
    <x v="56"/>
  </r>
  <r>
    <x v="16"/>
  </r>
  <r>
    <x v="16"/>
  </r>
  <r>
    <x v="14"/>
  </r>
  <r>
    <x v="10"/>
  </r>
  <r>
    <x v="59"/>
  </r>
  <r>
    <x v="10"/>
  </r>
  <r>
    <x v="122"/>
  </r>
  <r>
    <x v="10"/>
  </r>
  <r>
    <x v="0"/>
  </r>
  <r>
    <x v="157"/>
  </r>
  <r>
    <x v="10"/>
  </r>
  <r>
    <x v="0"/>
  </r>
  <r>
    <x v="14"/>
  </r>
  <r>
    <x v="14"/>
  </r>
  <r>
    <x v="0"/>
  </r>
  <r>
    <x v="59"/>
  </r>
  <r>
    <x v="31"/>
  </r>
  <r>
    <x v="2"/>
  </r>
  <r>
    <x v="0"/>
  </r>
  <r>
    <x v="46"/>
  </r>
  <r>
    <x v="52"/>
  </r>
  <r>
    <x v="12"/>
  </r>
  <r>
    <x v="138"/>
  </r>
  <r>
    <x v="21"/>
  </r>
  <r>
    <x v="21"/>
  </r>
  <r>
    <x v="21"/>
  </r>
  <r>
    <x v="77"/>
  </r>
  <r>
    <x v="10"/>
  </r>
  <r>
    <x v="199"/>
  </r>
  <r>
    <x v="100"/>
  </r>
  <r>
    <x v="76"/>
  </r>
  <r>
    <x v="25"/>
  </r>
  <r>
    <x v="44"/>
  </r>
  <r>
    <x v="44"/>
  </r>
  <r>
    <x v="4"/>
  </r>
  <r>
    <x v="26"/>
  </r>
  <r>
    <x v="2"/>
  </r>
  <r>
    <x v="4"/>
  </r>
  <r>
    <x v="31"/>
  </r>
  <r>
    <x v="31"/>
  </r>
  <r>
    <x v="3"/>
  </r>
  <r>
    <x v="0"/>
  </r>
  <r>
    <x v="72"/>
  </r>
  <r>
    <x v="10"/>
  </r>
  <r>
    <x v="10"/>
  </r>
  <r>
    <x v="76"/>
  </r>
  <r>
    <x v="10"/>
  </r>
  <r>
    <x v="12"/>
  </r>
  <r>
    <x v="12"/>
  </r>
  <r>
    <x v="165"/>
  </r>
  <r>
    <x v="128"/>
  </r>
  <r>
    <x v="128"/>
  </r>
  <r>
    <x v="12"/>
  </r>
  <r>
    <x v="12"/>
  </r>
  <r>
    <x v="12"/>
  </r>
  <r>
    <x v="10"/>
  </r>
  <r>
    <x v="28"/>
  </r>
  <r>
    <x v="28"/>
  </r>
  <r>
    <x v="48"/>
  </r>
  <r>
    <x v="45"/>
  </r>
  <r>
    <x v="45"/>
  </r>
  <r>
    <x v="10"/>
  </r>
  <r>
    <x v="10"/>
  </r>
  <r>
    <x v="10"/>
  </r>
  <r>
    <x v="10"/>
  </r>
  <r>
    <x v="10"/>
  </r>
  <r>
    <x v="123"/>
  </r>
  <r>
    <x v="123"/>
  </r>
  <r>
    <x v="2"/>
  </r>
  <r>
    <x v="4"/>
  </r>
  <r>
    <x v="4"/>
  </r>
  <r>
    <x v="4"/>
  </r>
  <r>
    <x v="4"/>
  </r>
  <r>
    <x v="10"/>
  </r>
  <r>
    <x v="4"/>
  </r>
  <r>
    <x v="4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10"/>
  </r>
  <r>
    <x v="10"/>
  </r>
  <r>
    <x v="10"/>
  </r>
  <r>
    <x v="10"/>
  </r>
  <r>
    <x v="10"/>
  </r>
  <r>
    <x v="10"/>
  </r>
  <r>
    <x v="4"/>
  </r>
  <r>
    <x v="165"/>
  </r>
  <r>
    <x v="4"/>
  </r>
  <r>
    <x v="4"/>
  </r>
  <r>
    <x v="4"/>
  </r>
  <r>
    <x v="123"/>
  </r>
  <r>
    <x v="12"/>
  </r>
  <r>
    <x v="12"/>
  </r>
  <r>
    <x v="77"/>
  </r>
  <r>
    <x v="1"/>
  </r>
  <r>
    <x v="4"/>
  </r>
  <r>
    <x v="77"/>
  </r>
  <r>
    <x v="80"/>
  </r>
  <r>
    <x v="77"/>
  </r>
  <r>
    <x v="77"/>
  </r>
  <r>
    <x v="52"/>
  </r>
  <r>
    <x v="4"/>
  </r>
  <r>
    <x v="152"/>
  </r>
  <r>
    <x v="152"/>
  </r>
  <r>
    <x v="77"/>
  </r>
  <r>
    <x v="87"/>
  </r>
  <r>
    <x v="87"/>
  </r>
  <r>
    <x v="0"/>
  </r>
  <r>
    <x v="0"/>
  </r>
  <r>
    <x v="0"/>
  </r>
  <r>
    <x v="0"/>
  </r>
  <r>
    <x v="4"/>
  </r>
  <r>
    <x v="0"/>
  </r>
  <r>
    <x v="0"/>
  </r>
  <r>
    <x v="11"/>
  </r>
  <r>
    <x v="21"/>
  </r>
  <r>
    <x v="10"/>
  </r>
  <r>
    <x v="10"/>
  </r>
  <r>
    <x v="10"/>
  </r>
  <r>
    <x v="138"/>
  </r>
  <r>
    <x v="138"/>
  </r>
  <r>
    <x v="76"/>
  </r>
  <r>
    <x v="6"/>
  </r>
  <r>
    <x v="31"/>
  </r>
  <r>
    <x v="12"/>
  </r>
  <r>
    <x v="12"/>
  </r>
  <r>
    <x v="2"/>
  </r>
  <r>
    <x v="12"/>
  </r>
  <r>
    <x v="0"/>
  </r>
  <r>
    <x v="4"/>
  </r>
  <r>
    <x v="48"/>
  </r>
  <r>
    <x v="52"/>
  </r>
  <r>
    <x v="48"/>
  </r>
  <r>
    <x v="262"/>
  </r>
  <r>
    <x v="37"/>
  </r>
  <r>
    <x v="81"/>
  </r>
  <r>
    <x v="14"/>
  </r>
  <r>
    <x v="165"/>
  </r>
  <r>
    <x v="165"/>
  </r>
  <r>
    <x v="49"/>
  </r>
  <r>
    <x v="50"/>
  </r>
  <r>
    <x v="50"/>
  </r>
  <r>
    <x v="50"/>
  </r>
  <r>
    <x v="57"/>
  </r>
  <r>
    <x v="0"/>
  </r>
  <r>
    <x v="100"/>
  </r>
  <r>
    <x v="100"/>
  </r>
  <r>
    <x v="165"/>
  </r>
  <r>
    <x v="165"/>
  </r>
  <r>
    <x v="71"/>
  </r>
  <r>
    <x v="17"/>
  </r>
  <r>
    <x v="2"/>
  </r>
  <r>
    <x v="17"/>
  </r>
  <r>
    <x v="10"/>
  </r>
  <r>
    <x v="26"/>
  </r>
  <r>
    <x v="2"/>
  </r>
  <r>
    <x v="12"/>
  </r>
  <r>
    <x v="7"/>
  </r>
  <r>
    <x v="24"/>
  </r>
  <r>
    <x v="12"/>
  </r>
  <r>
    <x v="10"/>
  </r>
  <r>
    <x v="28"/>
  </r>
  <r>
    <x v="12"/>
  </r>
  <r>
    <x v="2"/>
  </r>
  <r>
    <x v="12"/>
  </r>
  <r>
    <x v="12"/>
  </r>
  <r>
    <x v="126"/>
  </r>
  <r>
    <x v="33"/>
  </r>
  <r>
    <x v="32"/>
  </r>
  <r>
    <x v="78"/>
  </r>
  <r>
    <x v="4"/>
  </r>
  <r>
    <x v="16"/>
  </r>
  <r>
    <x v="12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2"/>
  </r>
  <r>
    <x v="78"/>
  </r>
  <r>
    <x v="78"/>
  </r>
  <r>
    <x v="78"/>
  </r>
  <r>
    <x v="78"/>
  </r>
  <r>
    <x v="78"/>
  </r>
  <r>
    <x v="0"/>
  </r>
  <r>
    <x v="48"/>
  </r>
  <r>
    <x v="78"/>
  </r>
  <r>
    <x v="78"/>
  </r>
  <r>
    <x v="29"/>
  </r>
  <r>
    <x v="45"/>
  </r>
  <r>
    <x v="78"/>
  </r>
  <r>
    <x v="10"/>
  </r>
  <r>
    <x v="10"/>
  </r>
  <r>
    <x v="4"/>
  </r>
  <r>
    <x v="4"/>
  </r>
  <r>
    <x v="78"/>
  </r>
  <r>
    <x v="78"/>
  </r>
  <r>
    <x v="10"/>
  </r>
  <r>
    <x v="78"/>
  </r>
  <r>
    <x v="2"/>
  </r>
  <r>
    <x v="78"/>
  </r>
  <r>
    <x v="78"/>
  </r>
  <r>
    <x v="12"/>
  </r>
  <r>
    <x v="12"/>
  </r>
  <r>
    <x v="36"/>
  </r>
  <r>
    <x v="42"/>
  </r>
  <r>
    <x v="42"/>
  </r>
  <r>
    <x v="78"/>
  </r>
  <r>
    <x v="10"/>
  </r>
  <r>
    <x v="78"/>
  </r>
  <r>
    <x v="78"/>
  </r>
  <r>
    <x v="78"/>
  </r>
  <r>
    <x v="78"/>
  </r>
  <r>
    <x v="78"/>
  </r>
  <r>
    <x v="4"/>
  </r>
  <r>
    <x v="4"/>
  </r>
  <r>
    <x v="4"/>
  </r>
  <r>
    <x v="56"/>
  </r>
  <r>
    <x v="56"/>
  </r>
  <r>
    <x v="78"/>
  </r>
  <r>
    <x v="78"/>
  </r>
  <r>
    <x v="78"/>
  </r>
  <r>
    <x v="72"/>
  </r>
  <r>
    <x v="72"/>
  </r>
  <r>
    <x v="269"/>
  </r>
  <r>
    <x v="10"/>
  </r>
  <r>
    <x v="34"/>
  </r>
  <r>
    <x v="138"/>
  </r>
  <r>
    <x v="7"/>
  </r>
  <r>
    <x v="10"/>
  </r>
  <r>
    <x v="4"/>
  </r>
  <r>
    <x v="4"/>
  </r>
  <r>
    <x v="4"/>
  </r>
  <r>
    <x v="12"/>
  </r>
  <r>
    <x v="175"/>
  </r>
  <r>
    <x v="17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07"/>
  </r>
  <r>
    <x v="29"/>
  </r>
  <r>
    <x v="87"/>
  </r>
  <r>
    <x v="12"/>
  </r>
  <r>
    <x v="87"/>
  </r>
  <r>
    <x v="4"/>
  </r>
  <r>
    <x v="4"/>
  </r>
  <r>
    <x v="4"/>
  </r>
  <r>
    <x v="4"/>
  </r>
  <r>
    <x v="4"/>
  </r>
  <r>
    <x v="108"/>
  </r>
  <r>
    <x v="108"/>
  </r>
  <r>
    <x v="12"/>
  </r>
  <r>
    <x v="12"/>
  </r>
  <r>
    <x v="4"/>
  </r>
  <r>
    <x v="4"/>
  </r>
  <r>
    <x v="4"/>
  </r>
  <r>
    <x v="4"/>
  </r>
  <r>
    <x v="4"/>
  </r>
  <r>
    <x v="4"/>
  </r>
  <r>
    <x v="4"/>
  </r>
  <r>
    <x v="138"/>
  </r>
  <r>
    <x v="102"/>
  </r>
  <r>
    <x v="108"/>
  </r>
  <r>
    <x v="10"/>
  </r>
  <r>
    <x v="10"/>
  </r>
  <r>
    <x v="85"/>
  </r>
  <r>
    <x v="22"/>
  </r>
  <r>
    <x v="17"/>
  </r>
  <r>
    <x v="17"/>
  </r>
  <r>
    <x v="115"/>
  </r>
  <r>
    <x v="25"/>
  </r>
  <r>
    <x v="25"/>
  </r>
  <r>
    <x v="76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"/>
  </r>
  <r>
    <x v="2"/>
  </r>
  <r>
    <x v="33"/>
  </r>
  <r>
    <x v="10"/>
  </r>
  <r>
    <x v="10"/>
  </r>
  <r>
    <x v="42"/>
  </r>
  <r>
    <x v="0"/>
  </r>
  <r>
    <x v="0"/>
  </r>
  <r>
    <x v="0"/>
  </r>
  <r>
    <x v="0"/>
  </r>
  <r>
    <x v="78"/>
  </r>
  <r>
    <x v="36"/>
  </r>
  <r>
    <x v="78"/>
  </r>
  <r>
    <x v="0"/>
  </r>
  <r>
    <x v="14"/>
  </r>
  <r>
    <x v="0"/>
  </r>
  <r>
    <x v="42"/>
  </r>
  <r>
    <x v="0"/>
  </r>
  <r>
    <x v="42"/>
  </r>
  <r>
    <x v="14"/>
  </r>
  <r>
    <x v="0"/>
  </r>
  <r>
    <x v="0"/>
  </r>
  <r>
    <x v="0"/>
  </r>
  <r>
    <x v="10"/>
  </r>
  <r>
    <x v="0"/>
  </r>
  <r>
    <x v="123"/>
  </r>
  <r>
    <x v="0"/>
  </r>
  <r>
    <x v="0"/>
  </r>
  <r>
    <x v="0"/>
  </r>
  <r>
    <x v="10"/>
  </r>
  <r>
    <x v="123"/>
  </r>
  <r>
    <x v="123"/>
  </r>
  <r>
    <x v="123"/>
  </r>
  <r>
    <x v="0"/>
  </r>
  <r>
    <x v="0"/>
  </r>
  <r>
    <x v="16"/>
  </r>
  <r>
    <x v="16"/>
  </r>
  <r>
    <x v="0"/>
  </r>
  <r>
    <x v="0"/>
  </r>
  <r>
    <x v="207"/>
  </r>
  <r>
    <x v="152"/>
  </r>
  <r>
    <x v="123"/>
  </r>
  <r>
    <x v="11"/>
  </r>
  <r>
    <x v="48"/>
  </r>
  <r>
    <x v="0"/>
  </r>
  <r>
    <x v="129"/>
  </r>
  <r>
    <x v="0"/>
  </r>
  <r>
    <x v="0"/>
  </r>
  <r>
    <x v="0"/>
  </r>
  <r>
    <x v="0"/>
  </r>
  <r>
    <x v="0"/>
  </r>
  <r>
    <x v="129"/>
  </r>
  <r>
    <x v="0"/>
  </r>
  <r>
    <x v="17"/>
  </r>
  <r>
    <x v="12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8"/>
  </r>
  <r>
    <x v="28"/>
  </r>
  <r>
    <x v="28"/>
  </r>
  <r>
    <x v="28"/>
  </r>
  <r>
    <x v="129"/>
  </r>
  <r>
    <x v="28"/>
  </r>
  <r>
    <x v="28"/>
  </r>
  <r>
    <x v="129"/>
  </r>
  <r>
    <x v="28"/>
  </r>
  <r>
    <x v="129"/>
  </r>
  <r>
    <x v="28"/>
  </r>
  <r>
    <x v="129"/>
  </r>
  <r>
    <x v="129"/>
  </r>
  <r>
    <x v="28"/>
  </r>
  <r>
    <x v="63"/>
  </r>
  <r>
    <x v="7"/>
  </r>
  <r>
    <x v="7"/>
  </r>
  <r>
    <x v="7"/>
  </r>
  <r>
    <x v="86"/>
  </r>
  <r>
    <x v="86"/>
  </r>
  <r>
    <x v="86"/>
  </r>
  <r>
    <x v="12"/>
  </r>
  <r>
    <x v="12"/>
  </r>
  <r>
    <x v="12"/>
  </r>
  <r>
    <x v="22"/>
  </r>
  <r>
    <x v="22"/>
  </r>
  <r>
    <x v="0"/>
  </r>
  <r>
    <x v="0"/>
  </r>
  <r>
    <x v="22"/>
  </r>
  <r>
    <x v="22"/>
  </r>
  <r>
    <x v="22"/>
  </r>
  <r>
    <x v="87"/>
  </r>
  <r>
    <x v="10"/>
  </r>
  <r>
    <x v="0"/>
  </r>
  <r>
    <x v="0"/>
  </r>
  <r>
    <x v="0"/>
  </r>
  <r>
    <x v="79"/>
  </r>
  <r>
    <x v="31"/>
  </r>
  <r>
    <x v="0"/>
  </r>
  <r>
    <x v="0"/>
  </r>
  <r>
    <x v="36"/>
  </r>
  <r>
    <x v="42"/>
  </r>
  <r>
    <x v="42"/>
  </r>
  <r>
    <x v="57"/>
  </r>
  <r>
    <x v="0"/>
  </r>
  <r>
    <x v="33"/>
  </r>
  <r>
    <x v="50"/>
  </r>
  <r>
    <x v="33"/>
  </r>
  <r>
    <x v="12"/>
  </r>
  <r>
    <x v="12"/>
  </r>
  <r>
    <x v="12"/>
  </r>
  <r>
    <x v="45"/>
  </r>
  <r>
    <x v="45"/>
  </r>
  <r>
    <x v="10"/>
  </r>
  <r>
    <x v="12"/>
  </r>
  <r>
    <x v="12"/>
  </r>
  <r>
    <x v="3"/>
  </r>
  <r>
    <x v="19"/>
  </r>
  <r>
    <x v="0"/>
  </r>
  <r>
    <x v="7"/>
  </r>
  <r>
    <x v="24"/>
  </r>
  <r>
    <x v="56"/>
  </r>
  <r>
    <x v="0"/>
  </r>
  <r>
    <x v="68"/>
  </r>
  <r>
    <x v="0"/>
  </r>
  <r>
    <x v="10"/>
  </r>
  <r>
    <x v="10"/>
  </r>
  <r>
    <x v="48"/>
  </r>
  <r>
    <x v="19"/>
  </r>
  <r>
    <x v="63"/>
  </r>
  <r>
    <x v="22"/>
  </r>
  <r>
    <x v="123"/>
  </r>
  <r>
    <x v="123"/>
  </r>
  <r>
    <x v="123"/>
  </r>
  <r>
    <x v="123"/>
  </r>
  <r>
    <x v="123"/>
  </r>
  <r>
    <x v="282"/>
  </r>
  <r>
    <x v="14"/>
  </r>
  <r>
    <x v="123"/>
  </r>
  <r>
    <x v="123"/>
  </r>
  <r>
    <x v="63"/>
  </r>
  <r>
    <x v="22"/>
  </r>
  <r>
    <x v="123"/>
  </r>
  <r>
    <x v="123"/>
  </r>
  <r>
    <x v="123"/>
  </r>
  <r>
    <x v="130"/>
  </r>
  <r>
    <x v="165"/>
  </r>
  <r>
    <x v="165"/>
  </r>
  <r>
    <x v="123"/>
  </r>
  <r>
    <x v="123"/>
  </r>
  <r>
    <x v="123"/>
  </r>
  <r>
    <x v="123"/>
  </r>
  <r>
    <x v="123"/>
  </r>
  <r>
    <x v="123"/>
  </r>
  <r>
    <x v="108"/>
  </r>
  <r>
    <x v="56"/>
  </r>
  <r>
    <x v="108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3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5"/>
  </r>
  <r>
    <x v="56"/>
  </r>
  <r>
    <x v="56"/>
  </r>
  <r>
    <x v="56"/>
  </r>
  <r>
    <x v="126"/>
  </r>
  <r>
    <x v="10"/>
  </r>
  <r>
    <x v="10"/>
  </r>
  <r>
    <x v="126"/>
  </r>
  <r>
    <x v="1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"/>
  </r>
  <r>
    <x v="14"/>
  </r>
  <r>
    <x v="89"/>
  </r>
  <r>
    <x v="10"/>
  </r>
  <r>
    <x v="10"/>
  </r>
  <r>
    <x v="10"/>
  </r>
  <r>
    <x v="10"/>
  </r>
  <r>
    <x v="36"/>
  </r>
  <r>
    <x v="80"/>
  </r>
  <r>
    <x v="126"/>
  </r>
  <r>
    <x v="10"/>
  </r>
  <r>
    <x v="10"/>
  </r>
  <r>
    <x v="0"/>
  </r>
  <r>
    <x v="0"/>
  </r>
  <r>
    <x v="4"/>
  </r>
  <r>
    <x v="76"/>
  </r>
  <r>
    <x v="35"/>
  </r>
  <r>
    <x v="2"/>
  </r>
  <r>
    <x v="4"/>
  </r>
  <r>
    <x v="4"/>
  </r>
  <r>
    <x v="0"/>
  </r>
  <r>
    <x v="0"/>
  </r>
  <r>
    <x v="4"/>
  </r>
  <r>
    <x v="0"/>
  </r>
  <r>
    <x v="4"/>
  </r>
  <r>
    <x v="0"/>
  </r>
  <r>
    <x v="4"/>
  </r>
  <r>
    <x v="25"/>
  </r>
  <r>
    <x v="4"/>
  </r>
  <r>
    <x v="4"/>
  </r>
  <r>
    <x v="4"/>
  </r>
  <r>
    <x v="4"/>
  </r>
  <r>
    <x v="4"/>
  </r>
  <r>
    <x v="10"/>
  </r>
  <r>
    <x v="10"/>
  </r>
  <r>
    <x v="42"/>
  </r>
  <r>
    <x v="4"/>
  </r>
  <r>
    <x v="4"/>
  </r>
  <r>
    <x v="4"/>
  </r>
  <r>
    <x v="50"/>
  </r>
  <r>
    <x v="77"/>
  </r>
  <r>
    <x v="77"/>
  </r>
  <r>
    <x v="77"/>
  </r>
  <r>
    <x v="52"/>
  </r>
  <r>
    <x v="28"/>
  </r>
  <r>
    <x v="28"/>
  </r>
  <r>
    <x v="87"/>
  </r>
  <r>
    <x v="87"/>
  </r>
  <r>
    <x v="87"/>
  </r>
  <r>
    <x v="77"/>
  </r>
  <r>
    <x v="77"/>
  </r>
  <r>
    <x v="4"/>
  </r>
  <r>
    <x v="81"/>
  </r>
  <r>
    <x v="81"/>
  </r>
  <r>
    <x v="10"/>
  </r>
  <r>
    <x v="1"/>
  </r>
  <r>
    <x v="10"/>
  </r>
  <r>
    <x v="10"/>
  </r>
  <r>
    <x v="17"/>
  </r>
  <r>
    <x v="17"/>
  </r>
  <r>
    <x v="10"/>
  </r>
  <r>
    <x v="10"/>
  </r>
  <r>
    <x v="10"/>
  </r>
  <r>
    <x v="123"/>
  </r>
  <r>
    <x v="4"/>
  </r>
  <r>
    <x v="9"/>
  </r>
  <r>
    <x v="42"/>
  </r>
  <r>
    <x v="24"/>
  </r>
  <r>
    <x v="24"/>
  </r>
  <r>
    <x v="24"/>
  </r>
  <r>
    <x v="4"/>
  </r>
  <r>
    <x v="4"/>
  </r>
  <r>
    <x v="4"/>
  </r>
  <r>
    <x v="42"/>
  </r>
  <r>
    <x v="10"/>
  </r>
  <r>
    <x v="1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2"/>
  </r>
  <r>
    <x v="165"/>
  </r>
  <r>
    <x v="165"/>
  </r>
  <r>
    <x v="165"/>
  </r>
  <r>
    <x v="53"/>
  </r>
  <r>
    <x v="10"/>
  </r>
  <r>
    <x v="53"/>
  </r>
  <r>
    <x v="53"/>
  </r>
  <r>
    <x v="16"/>
  </r>
  <r>
    <x v="114"/>
  </r>
  <r>
    <x v="42"/>
  </r>
  <r>
    <x v="77"/>
  </r>
  <r>
    <x v="77"/>
  </r>
  <r>
    <x v="77"/>
  </r>
  <r>
    <x v="57"/>
  </r>
  <r>
    <x v="4"/>
  </r>
  <r>
    <x v="77"/>
  </r>
  <r>
    <x v="4"/>
  </r>
  <r>
    <x v="138"/>
  </r>
  <r>
    <x v="138"/>
  </r>
  <r>
    <x v="138"/>
  </r>
  <r>
    <x v="138"/>
  </r>
  <r>
    <x v="138"/>
  </r>
  <r>
    <x v="138"/>
  </r>
  <r>
    <x v="4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4"/>
  </r>
  <r>
    <x v="22"/>
  </r>
  <r>
    <x v="0"/>
  </r>
  <r>
    <x v="14"/>
  </r>
  <r>
    <x v="45"/>
  </r>
  <r>
    <x v="14"/>
  </r>
  <r>
    <x v="14"/>
  </r>
  <r>
    <x v="45"/>
  </r>
  <r>
    <x v="45"/>
  </r>
  <r>
    <x v="45"/>
  </r>
  <r>
    <x v="16"/>
  </r>
  <r>
    <x v="17"/>
  </r>
  <r>
    <x v="12"/>
  </r>
  <r>
    <x v="16"/>
  </r>
  <r>
    <x v="115"/>
  </r>
  <r>
    <x v="0"/>
  </r>
  <r>
    <x v="0"/>
  </r>
  <r>
    <x v="48"/>
  </r>
  <r>
    <x v="0"/>
  </r>
  <r>
    <x v="0"/>
  </r>
  <r>
    <x v="17"/>
  </r>
  <r>
    <x v="79"/>
  </r>
  <r>
    <x v="123"/>
  </r>
  <r>
    <x v="123"/>
  </r>
  <r>
    <x v="123"/>
  </r>
  <r>
    <x v="79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36"/>
  </r>
  <r>
    <x v="12"/>
  </r>
  <r>
    <x v="4"/>
  </r>
  <r>
    <x v="4"/>
  </r>
  <r>
    <x v="22"/>
  </r>
  <r>
    <x v="130"/>
  </r>
  <r>
    <x v="12"/>
  </r>
  <r>
    <x v="56"/>
  </r>
  <r>
    <x v="14"/>
  </r>
  <r>
    <x v="79"/>
  </r>
  <r>
    <x v="4"/>
  </r>
  <r>
    <x v="51"/>
  </r>
  <r>
    <x v="42"/>
  </r>
  <r>
    <x v="79"/>
  </r>
  <r>
    <x v="0"/>
  </r>
  <r>
    <x v="79"/>
  </r>
  <r>
    <x v="79"/>
  </r>
  <r>
    <x v="4"/>
  </r>
  <r>
    <x v="4"/>
  </r>
  <r>
    <x v="42"/>
  </r>
  <r>
    <x v="10"/>
  </r>
  <r>
    <x v="10"/>
  </r>
  <r>
    <x v="4"/>
  </r>
  <r>
    <x v="10"/>
  </r>
  <r>
    <x v="28"/>
  </r>
  <r>
    <x v="33"/>
  </r>
  <r>
    <x v="43"/>
  </r>
  <r>
    <x v="190"/>
  </r>
  <r>
    <x v="10"/>
  </r>
  <r>
    <x v="87"/>
  </r>
  <r>
    <x v="10"/>
  </r>
  <r>
    <x v="162"/>
  </r>
  <r>
    <x v="48"/>
  </r>
  <r>
    <x v="10"/>
  </r>
  <r>
    <x v="10"/>
  </r>
  <r>
    <x v="10"/>
  </r>
  <r>
    <x v="10"/>
  </r>
  <r>
    <x v="77"/>
  </r>
  <r>
    <x v="138"/>
  </r>
  <r>
    <x v="10"/>
  </r>
  <r>
    <x v="3"/>
  </r>
  <r>
    <x v="16"/>
  </r>
  <r>
    <x v="12"/>
  </r>
  <r>
    <x v="15"/>
  </r>
  <r>
    <x v="36"/>
  </r>
  <r>
    <x v="168"/>
  </r>
  <r>
    <x v="168"/>
  </r>
  <r>
    <x v="168"/>
  </r>
  <r>
    <x v="168"/>
  </r>
  <r>
    <x v="168"/>
  </r>
  <r>
    <x v="168"/>
  </r>
  <r>
    <x v="126"/>
  </r>
  <r>
    <x v="126"/>
  </r>
  <r>
    <x v="14"/>
  </r>
  <r>
    <x v="42"/>
  </r>
  <r>
    <x v="42"/>
  </r>
  <r>
    <x v="42"/>
  </r>
  <r>
    <x v="42"/>
  </r>
  <r>
    <x v="42"/>
  </r>
  <r>
    <x v="77"/>
  </r>
  <r>
    <x v="4"/>
  </r>
  <r>
    <x v="138"/>
  </r>
  <r>
    <x v="4"/>
  </r>
  <r>
    <x v="4"/>
  </r>
  <r>
    <x v="12"/>
  </r>
  <r>
    <x v="4"/>
  </r>
  <r>
    <x v="4"/>
  </r>
  <r>
    <x v="14"/>
  </r>
  <r>
    <x v="14"/>
  </r>
  <r>
    <x v="15"/>
  </r>
  <r>
    <x v="12"/>
  </r>
  <r>
    <x v="46"/>
  </r>
  <r>
    <x v="48"/>
  </r>
  <r>
    <x v="123"/>
  </r>
  <r>
    <x v="123"/>
  </r>
  <r>
    <x v="123"/>
  </r>
  <r>
    <x v="123"/>
  </r>
  <r>
    <x v="123"/>
  </r>
  <r>
    <x v="79"/>
  </r>
  <r>
    <x v="123"/>
  </r>
  <r>
    <x v="123"/>
  </r>
  <r>
    <x v="123"/>
  </r>
  <r>
    <x v="123"/>
  </r>
  <r>
    <x v="123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12"/>
  </r>
  <r>
    <x v="14"/>
  </r>
  <r>
    <x v="10"/>
  </r>
  <r>
    <x v="36"/>
  </r>
  <r>
    <x v="36"/>
  </r>
  <r>
    <x v="12"/>
  </r>
  <r>
    <x v="12"/>
  </r>
  <r>
    <x v="28"/>
  </r>
  <r>
    <x v="63"/>
  </r>
  <r>
    <x v="63"/>
  </r>
  <r>
    <x v="86"/>
  </r>
  <r>
    <x v="96"/>
  </r>
  <r>
    <x v="126"/>
  </r>
  <r>
    <x v="7"/>
  </r>
  <r>
    <x v="7"/>
  </r>
  <r>
    <x v="14"/>
  </r>
  <r>
    <x v="28"/>
  </r>
  <r>
    <x v="14"/>
  </r>
  <r>
    <x v="0"/>
  </r>
  <r>
    <x v="28"/>
  </r>
  <r>
    <x v="28"/>
  </r>
  <r>
    <x v="9"/>
  </r>
  <r>
    <x v="0"/>
  </r>
  <r>
    <x v="8"/>
  </r>
  <r>
    <x v="9"/>
  </r>
  <r>
    <x v="108"/>
  </r>
  <r>
    <x v="108"/>
  </r>
  <r>
    <x v="25"/>
  </r>
  <r>
    <x v="150"/>
  </r>
  <r>
    <x v="25"/>
  </r>
  <r>
    <x v="3"/>
  </r>
  <r>
    <x v="108"/>
  </r>
  <r>
    <x v="3"/>
  </r>
  <r>
    <x v="3"/>
  </r>
  <r>
    <x v="0"/>
  </r>
  <r>
    <x v="25"/>
  </r>
  <r>
    <x v="25"/>
  </r>
  <r>
    <x v="25"/>
  </r>
  <r>
    <x v="283"/>
  </r>
  <r>
    <x v="25"/>
  </r>
  <r>
    <x v="108"/>
  </r>
  <r>
    <x v="25"/>
  </r>
  <r>
    <x v="25"/>
  </r>
  <r>
    <x v="126"/>
  </r>
  <r>
    <x v="25"/>
  </r>
  <r>
    <x v="14"/>
  </r>
  <r>
    <x v="10"/>
  </r>
  <r>
    <x v="4"/>
  </r>
  <r>
    <x v="83"/>
  </r>
  <r>
    <x v="0"/>
  </r>
  <r>
    <x v="6"/>
  </r>
  <r>
    <x v="21"/>
  </r>
  <r>
    <x v="6"/>
  </r>
  <r>
    <x v="12"/>
  </r>
  <r>
    <x v="50"/>
  </r>
  <r>
    <x v="10"/>
  </r>
  <r>
    <x v="108"/>
  </r>
  <r>
    <x v="108"/>
  </r>
  <r>
    <x v="108"/>
  </r>
  <r>
    <x v="108"/>
  </r>
  <r>
    <x v="108"/>
  </r>
  <r>
    <x v="1"/>
  </r>
  <r>
    <x v="4"/>
  </r>
  <r>
    <x v="12"/>
  </r>
  <r>
    <x v="4"/>
  </r>
  <r>
    <x v="10"/>
  </r>
  <r>
    <x v="10"/>
  </r>
  <r>
    <x v="28"/>
  </r>
  <r>
    <x v="108"/>
  </r>
  <r>
    <x v="108"/>
  </r>
  <r>
    <x v="6"/>
  </r>
  <r>
    <x v="108"/>
  </r>
  <r>
    <x v="10"/>
  </r>
  <r>
    <x v="10"/>
  </r>
  <r>
    <x v="6"/>
  </r>
  <r>
    <x v="6"/>
  </r>
  <r>
    <x v="6"/>
  </r>
  <r>
    <x v="108"/>
  </r>
  <r>
    <x v="108"/>
  </r>
  <r>
    <x v="10"/>
  </r>
  <r>
    <x v="10"/>
  </r>
  <r>
    <x v="154"/>
  </r>
  <r>
    <x v="27"/>
  </r>
  <r>
    <x v="14"/>
  </r>
  <r>
    <x v="14"/>
  </r>
  <r>
    <x v="14"/>
  </r>
  <r>
    <x v="14"/>
  </r>
  <r>
    <x v="37"/>
  </r>
  <r>
    <x v="1"/>
  </r>
  <r>
    <x v="123"/>
  </r>
  <r>
    <x v="1"/>
  </r>
  <r>
    <x v="1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9"/>
  </r>
  <r>
    <x v="36"/>
  </r>
  <r>
    <x v="36"/>
  </r>
  <r>
    <x v="40"/>
  </r>
  <r>
    <x v="0"/>
  </r>
  <r>
    <x v="0"/>
  </r>
  <r>
    <x v="11"/>
  </r>
  <r>
    <x v="11"/>
  </r>
  <r>
    <x v="12"/>
  </r>
  <r>
    <x v="4"/>
  </r>
  <r>
    <x v="264"/>
  </r>
  <r>
    <x v="12"/>
  </r>
  <r>
    <x v="0"/>
  </r>
  <r>
    <x v="14"/>
  </r>
  <r>
    <x v="4"/>
  </r>
  <r>
    <x v="50"/>
  </r>
  <r>
    <x v="0"/>
  </r>
  <r>
    <x v="4"/>
  </r>
  <r>
    <x v="71"/>
  </r>
  <r>
    <x v="14"/>
  </r>
  <r>
    <x v="128"/>
  </r>
  <r>
    <x v="128"/>
  </r>
  <r>
    <x v="128"/>
  </r>
  <r>
    <x v="42"/>
  </r>
  <r>
    <x v="128"/>
  </r>
  <r>
    <x v="128"/>
  </r>
  <r>
    <x v="14"/>
  </r>
  <r>
    <x v="89"/>
  </r>
  <r>
    <x v="42"/>
  </r>
  <r>
    <x v="10"/>
  </r>
  <r>
    <x v="14"/>
  </r>
  <r>
    <x v="4"/>
  </r>
  <r>
    <x v="89"/>
  </r>
  <r>
    <x v="89"/>
  </r>
  <r>
    <x v="4"/>
  </r>
  <r>
    <x v="4"/>
  </r>
  <r>
    <x v="10"/>
  </r>
  <r>
    <x v="10"/>
  </r>
  <r>
    <x v="89"/>
  </r>
  <r>
    <x v="4"/>
  </r>
  <r>
    <x v="4"/>
  </r>
  <r>
    <x v="12"/>
  </r>
  <r>
    <x v="4"/>
  </r>
  <r>
    <x v="87"/>
  </r>
  <r>
    <x v="77"/>
  </r>
  <r>
    <x v="21"/>
  </r>
  <r>
    <x v="28"/>
  </r>
  <r>
    <x v="77"/>
  </r>
  <r>
    <x v="77"/>
  </r>
  <r>
    <x v="77"/>
  </r>
  <r>
    <x v="11"/>
  </r>
  <r>
    <x v="77"/>
  </r>
  <r>
    <x v="77"/>
  </r>
  <r>
    <x v="4"/>
  </r>
  <r>
    <x v="77"/>
  </r>
  <r>
    <x v="77"/>
  </r>
  <r>
    <x v="63"/>
  </r>
  <r>
    <x v="68"/>
  </r>
  <r>
    <x v="77"/>
  </r>
  <r>
    <x v="77"/>
  </r>
  <r>
    <x v="52"/>
  </r>
  <r>
    <x v="0"/>
  </r>
  <r>
    <x v="56"/>
  </r>
  <r>
    <x v="56"/>
  </r>
  <r>
    <x v="56"/>
  </r>
  <r>
    <x v="26"/>
  </r>
  <r>
    <x v="184"/>
  </r>
  <r>
    <x v="4"/>
  </r>
  <r>
    <x v="10"/>
  </r>
  <r>
    <x v="10"/>
  </r>
  <r>
    <x v="7"/>
  </r>
  <r>
    <x v="7"/>
  </r>
  <r>
    <x v="7"/>
  </r>
  <r>
    <x v="7"/>
  </r>
  <r>
    <x v="7"/>
  </r>
  <r>
    <x v="7"/>
  </r>
  <r>
    <x v="7"/>
  </r>
  <r>
    <x v="4"/>
  </r>
  <r>
    <x v="78"/>
  </r>
  <r>
    <x v="14"/>
  </r>
  <r>
    <x v="42"/>
  </r>
  <r>
    <x v="19"/>
  </r>
  <r>
    <x v="19"/>
  </r>
  <r>
    <x v="157"/>
  </r>
  <r>
    <x v="10"/>
  </r>
  <r>
    <x v="0"/>
  </r>
  <r>
    <x v="10"/>
  </r>
  <r>
    <x v="87"/>
  </r>
  <r>
    <x v="4"/>
  </r>
  <r>
    <x v="251"/>
  </r>
  <r>
    <x v="4"/>
  </r>
  <r>
    <x v="4"/>
  </r>
  <r>
    <x v="4"/>
  </r>
  <r>
    <x v="10"/>
  </r>
  <r>
    <x v="86"/>
  </r>
  <r>
    <x v="86"/>
  </r>
  <r>
    <x v="4"/>
  </r>
  <r>
    <x v="4"/>
  </r>
  <r>
    <x v="52"/>
  </r>
  <r>
    <x v="4"/>
  </r>
  <r>
    <x v="4"/>
  </r>
  <r>
    <x v="4"/>
  </r>
  <r>
    <x v="4"/>
  </r>
  <r>
    <x v="4"/>
  </r>
  <r>
    <x v="165"/>
  </r>
  <r>
    <x v="4"/>
  </r>
  <r>
    <x v="165"/>
  </r>
  <r>
    <x v="4"/>
  </r>
  <r>
    <x v="4"/>
  </r>
  <r>
    <x v="78"/>
  </r>
  <r>
    <x v="10"/>
  </r>
  <r>
    <x v="130"/>
  </r>
  <r>
    <x v="78"/>
  </r>
  <r>
    <x v="78"/>
  </r>
  <r>
    <x v="16"/>
  </r>
  <r>
    <x v="68"/>
  </r>
  <r>
    <x v="123"/>
  </r>
  <r>
    <x v="123"/>
  </r>
  <r>
    <x v="123"/>
  </r>
  <r>
    <x v="16"/>
  </r>
  <r>
    <x v="12"/>
  </r>
  <r>
    <x v="0"/>
  </r>
  <r>
    <x v="0"/>
  </r>
  <r>
    <x v="28"/>
  </r>
  <r>
    <x v="0"/>
  </r>
  <r>
    <x v="7"/>
  </r>
  <r>
    <x v="7"/>
  </r>
  <r>
    <x v="126"/>
  </r>
  <r>
    <x v="126"/>
  </r>
  <r>
    <x v="77"/>
  </r>
  <r>
    <x v="0"/>
  </r>
  <r>
    <x v="77"/>
  </r>
  <r>
    <x v="77"/>
  </r>
  <r>
    <x v="77"/>
  </r>
  <r>
    <x v="77"/>
  </r>
  <r>
    <x v="138"/>
  </r>
  <r>
    <x v="138"/>
  </r>
  <r>
    <x v="42"/>
  </r>
  <r>
    <x v="138"/>
  </r>
  <r>
    <x v="138"/>
  </r>
  <r>
    <x v="12"/>
  </r>
  <r>
    <x v="12"/>
  </r>
  <r>
    <x v="24"/>
  </r>
  <r>
    <x v="24"/>
  </r>
  <r>
    <x v="87"/>
  </r>
  <r>
    <x v="71"/>
  </r>
  <r>
    <x v="0"/>
  </r>
  <r>
    <x v="12"/>
  </r>
  <r>
    <x v="12"/>
  </r>
  <r>
    <x v="12"/>
  </r>
  <r>
    <x v="12"/>
  </r>
  <r>
    <x v="42"/>
  </r>
  <r>
    <x v="42"/>
  </r>
  <r>
    <x v="12"/>
  </r>
  <r>
    <x v="42"/>
  </r>
  <r>
    <x v="42"/>
  </r>
  <r>
    <x v="25"/>
  </r>
  <r>
    <x v="12"/>
  </r>
  <r>
    <x v="56"/>
  </r>
  <r>
    <x v="42"/>
  </r>
  <r>
    <x v="42"/>
  </r>
  <r>
    <x v="42"/>
  </r>
  <r>
    <x v="31"/>
  </r>
  <r>
    <x v="138"/>
  </r>
  <r>
    <x v="10"/>
  </r>
  <r>
    <x v="16"/>
  </r>
  <r>
    <x v="16"/>
  </r>
  <r>
    <x v="21"/>
  </r>
  <r>
    <x v="12"/>
  </r>
  <r>
    <x v="42"/>
  </r>
  <r>
    <x v="36"/>
  </r>
  <r>
    <x v="12"/>
  </r>
  <r>
    <x v="108"/>
  </r>
  <r>
    <x v="39"/>
  </r>
  <r>
    <x v="10"/>
  </r>
  <r>
    <x v="28"/>
  </r>
  <r>
    <x v="115"/>
  </r>
  <r>
    <x v="126"/>
  </r>
  <r>
    <x v="126"/>
  </r>
  <r>
    <x v="126"/>
  </r>
  <r>
    <x v="126"/>
  </r>
  <r>
    <x v="126"/>
  </r>
  <r>
    <x v="44"/>
  </r>
  <r>
    <x v="126"/>
  </r>
  <r>
    <x v="126"/>
  </r>
  <r>
    <x v="126"/>
  </r>
  <r>
    <x v="123"/>
  </r>
  <r>
    <x v="4"/>
  </r>
  <r>
    <x v="123"/>
  </r>
  <r>
    <x v="123"/>
  </r>
  <r>
    <x v="4"/>
  </r>
  <r>
    <x v="4"/>
  </r>
  <r>
    <x v="123"/>
  </r>
  <r>
    <x v="42"/>
  </r>
  <r>
    <x v="66"/>
  </r>
  <r>
    <x v="41"/>
  </r>
  <r>
    <x v="103"/>
  </r>
  <r>
    <x v="111"/>
  </r>
  <r>
    <x v="126"/>
  </r>
  <r>
    <x v="126"/>
  </r>
  <r>
    <x v="12"/>
  </r>
  <r>
    <x v="20"/>
  </r>
  <r>
    <x v="59"/>
  </r>
  <r>
    <x v="53"/>
  </r>
  <r>
    <x v="31"/>
  </r>
  <r>
    <x v="100"/>
  </r>
  <r>
    <x v="45"/>
  </r>
  <r>
    <x v="113"/>
  </r>
  <r>
    <x v="16"/>
  </r>
  <r>
    <x v="16"/>
  </r>
  <r>
    <x v="14"/>
  </r>
  <r>
    <x v="14"/>
  </r>
  <r>
    <x v="14"/>
  </r>
  <r>
    <x v="16"/>
  </r>
  <r>
    <x v="4"/>
  </r>
  <r>
    <x v="4"/>
  </r>
  <r>
    <x v="4"/>
  </r>
  <r>
    <x v="2"/>
  </r>
  <r>
    <x v="10"/>
  </r>
  <r>
    <x v="4"/>
  </r>
  <r>
    <x v="2"/>
  </r>
  <r>
    <x v="16"/>
  </r>
  <r>
    <x v="72"/>
  </r>
  <r>
    <x v="53"/>
  </r>
  <r>
    <x v="56"/>
  </r>
  <r>
    <x v="25"/>
  </r>
  <r>
    <x v="12"/>
  </r>
  <r>
    <x v="12"/>
  </r>
  <r>
    <x v="16"/>
  </r>
  <r>
    <x v="63"/>
  </r>
  <r>
    <x v="57"/>
  </r>
  <r>
    <x v="10"/>
  </r>
  <r>
    <x v="4"/>
  </r>
  <r>
    <x v="32"/>
  </r>
  <r>
    <x v="14"/>
  </r>
  <r>
    <x v="10"/>
  </r>
  <r>
    <x v="138"/>
  </r>
  <r>
    <x v="28"/>
  </r>
  <r>
    <x v="28"/>
  </r>
  <r>
    <x v="28"/>
  </r>
  <r>
    <x v="28"/>
  </r>
  <r>
    <x v="28"/>
  </r>
  <r>
    <x v="146"/>
  </r>
  <r>
    <x v="146"/>
  </r>
  <r>
    <x v="4"/>
  </r>
  <r>
    <x v="39"/>
  </r>
  <r>
    <x v="4"/>
  </r>
  <r>
    <x v="4"/>
  </r>
  <r>
    <x v="4"/>
  </r>
  <r>
    <x v="4"/>
  </r>
  <r>
    <x v="4"/>
  </r>
  <r>
    <x v="4"/>
  </r>
  <r>
    <x v="76"/>
  </r>
  <r>
    <x v="76"/>
  </r>
  <r>
    <x v="4"/>
  </r>
  <r>
    <x v="138"/>
  </r>
  <r>
    <x v="4"/>
  </r>
  <r>
    <x v="4"/>
  </r>
  <r>
    <x v="4"/>
  </r>
  <r>
    <x v="56"/>
  </r>
  <r>
    <x v="3"/>
  </r>
  <r>
    <x v="43"/>
  </r>
  <r>
    <x v="10"/>
  </r>
  <r>
    <x v="87"/>
  </r>
  <r>
    <x v="43"/>
  </r>
  <r>
    <x v="10"/>
  </r>
  <r>
    <x v="10"/>
  </r>
  <r>
    <x v="12"/>
  </r>
  <r>
    <x v="12"/>
  </r>
  <r>
    <x v="12"/>
  </r>
  <r>
    <x v="175"/>
  </r>
  <r>
    <x v="36"/>
  </r>
  <r>
    <x v="100"/>
  </r>
  <r>
    <x v="12"/>
  </r>
  <r>
    <x v="48"/>
  </r>
  <r>
    <x v="29"/>
  </r>
  <r>
    <x v="10"/>
  </r>
  <r>
    <x v="10"/>
  </r>
  <r>
    <x v="10"/>
  </r>
  <r>
    <x v="10"/>
  </r>
  <r>
    <x v="13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5"/>
  </r>
  <r>
    <x v="10"/>
  </r>
  <r>
    <x v="12"/>
  </r>
  <r>
    <x v="4"/>
  </r>
  <r>
    <x v="3"/>
  </r>
  <r>
    <x v="76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63"/>
  </r>
  <r>
    <x v="28"/>
  </r>
  <r>
    <x v="28"/>
  </r>
  <r>
    <x v="28"/>
  </r>
  <r>
    <x v="28"/>
  </r>
  <r>
    <x v="28"/>
  </r>
  <r>
    <x v="4"/>
  </r>
  <r>
    <x v="4"/>
  </r>
  <r>
    <x v="10"/>
  </r>
  <r>
    <x v="4"/>
  </r>
  <r>
    <x v="4"/>
  </r>
  <r>
    <x v="4"/>
  </r>
  <r>
    <x v="10"/>
  </r>
  <r>
    <x v="115"/>
  </r>
  <r>
    <x v="10"/>
  </r>
  <r>
    <x v="15"/>
  </r>
  <r>
    <x v="52"/>
  </r>
  <r>
    <x v="52"/>
  </r>
  <r>
    <x v="115"/>
  </r>
  <r>
    <x v="10"/>
  </r>
  <r>
    <x v="115"/>
  </r>
  <r>
    <x v="115"/>
  </r>
  <r>
    <x v="115"/>
  </r>
  <r>
    <x v="10"/>
  </r>
  <r>
    <x v="22"/>
  </r>
  <r>
    <x v="22"/>
  </r>
  <r>
    <x v="22"/>
  </r>
  <r>
    <x v="12"/>
  </r>
  <r>
    <x v="0"/>
  </r>
  <r>
    <x v="22"/>
  </r>
  <r>
    <x v="32"/>
  </r>
  <r>
    <x v="126"/>
  </r>
  <r>
    <x v="76"/>
  </r>
  <r>
    <x v="76"/>
  </r>
  <r>
    <x v="126"/>
  </r>
  <r>
    <x v="126"/>
  </r>
  <r>
    <x v="126"/>
  </r>
  <r>
    <x v="12"/>
  </r>
  <r>
    <x v="12"/>
  </r>
  <r>
    <x v="12"/>
  </r>
  <r>
    <x v="126"/>
  </r>
  <r>
    <x v="126"/>
  </r>
  <r>
    <x v="126"/>
  </r>
  <r>
    <x v="25"/>
  </r>
  <r>
    <x v="42"/>
  </r>
  <r>
    <x v="25"/>
  </r>
  <r>
    <x v="42"/>
  </r>
  <r>
    <x v="48"/>
  </r>
  <r>
    <x v="12"/>
  </r>
  <r>
    <x v="12"/>
  </r>
  <r>
    <x v="12"/>
  </r>
  <r>
    <x v="12"/>
  </r>
  <r>
    <x v="12"/>
  </r>
  <r>
    <x v="10"/>
  </r>
  <r>
    <x v="10"/>
  </r>
  <r>
    <x v="128"/>
  </r>
  <r>
    <x v="10"/>
  </r>
  <r>
    <x v="10"/>
  </r>
  <r>
    <x v="87"/>
  </r>
  <r>
    <x v="165"/>
  </r>
  <r>
    <x v="10"/>
  </r>
  <r>
    <x v="10"/>
  </r>
  <r>
    <x v="10"/>
  </r>
  <r>
    <x v="10"/>
  </r>
  <r>
    <x v="10"/>
  </r>
  <r>
    <x v="126"/>
  </r>
  <r>
    <x v="10"/>
  </r>
  <r>
    <x v="87"/>
  </r>
  <r>
    <x v="126"/>
  </r>
  <r>
    <x v="126"/>
  </r>
  <r>
    <x v="126"/>
  </r>
  <r>
    <x v="126"/>
  </r>
  <r>
    <x v="36"/>
  </r>
  <r>
    <x v="10"/>
  </r>
  <r>
    <x v="53"/>
  </r>
  <r>
    <x v="126"/>
  </r>
  <r>
    <x v="10"/>
  </r>
  <r>
    <x v="12"/>
  </r>
  <r>
    <x v="42"/>
  </r>
  <r>
    <x v="126"/>
  </r>
  <r>
    <x v="126"/>
  </r>
  <r>
    <x v="126"/>
  </r>
  <r>
    <x v="12"/>
  </r>
  <r>
    <x v="12"/>
  </r>
  <r>
    <x v="123"/>
  </r>
  <r>
    <x v="10"/>
  </r>
  <r>
    <x v="0"/>
  </r>
  <r>
    <x v="42"/>
  </r>
  <r>
    <x v="128"/>
  </r>
  <r>
    <x v="123"/>
  </r>
  <r>
    <x v="123"/>
  </r>
  <r>
    <x v="123"/>
  </r>
  <r>
    <x v="16"/>
  </r>
  <r>
    <x v="0"/>
  </r>
  <r>
    <x v="123"/>
  </r>
  <r>
    <x v="77"/>
  </r>
  <r>
    <x v="36"/>
  </r>
  <r>
    <x v="36"/>
  </r>
  <r>
    <x v="36"/>
  </r>
  <r>
    <x v="87"/>
  </r>
  <r>
    <x v="87"/>
  </r>
  <r>
    <x v="12"/>
  </r>
  <r>
    <x v="12"/>
  </r>
  <r>
    <x v="128"/>
  </r>
  <r>
    <x v="128"/>
  </r>
  <r>
    <x v="10"/>
  </r>
  <r>
    <x v="10"/>
  </r>
  <r>
    <x v="42"/>
  </r>
  <r>
    <x v="10"/>
  </r>
  <r>
    <x v="10"/>
  </r>
  <r>
    <x v="10"/>
  </r>
  <r>
    <x v="48"/>
  </r>
  <r>
    <x v="87"/>
  </r>
  <r>
    <x v="87"/>
  </r>
  <r>
    <x v="10"/>
  </r>
  <r>
    <x v="78"/>
  </r>
  <r>
    <x v="10"/>
  </r>
  <r>
    <x v="12"/>
  </r>
  <r>
    <x v="0"/>
  </r>
  <r>
    <x v="16"/>
  </r>
  <r>
    <x v="16"/>
  </r>
  <r>
    <x v="28"/>
  </r>
  <r>
    <x v="28"/>
  </r>
  <r>
    <x v="0"/>
  </r>
  <r>
    <x v="14"/>
  </r>
  <r>
    <x v="4"/>
  </r>
  <r>
    <x v="4"/>
  </r>
  <r>
    <x v="4"/>
  </r>
  <r>
    <x v="4"/>
  </r>
  <r>
    <x v="4"/>
  </r>
  <r>
    <x v="2"/>
  </r>
  <r>
    <x v="10"/>
  </r>
  <r>
    <x v="10"/>
  </r>
  <r>
    <x v="10"/>
  </r>
  <r>
    <x v="10"/>
  </r>
  <r>
    <x v="10"/>
  </r>
  <r>
    <x v="10"/>
  </r>
  <r>
    <x v="10"/>
  </r>
  <r>
    <x v="91"/>
  </r>
  <r>
    <x v="76"/>
  </r>
  <r>
    <x v="126"/>
  </r>
  <r>
    <x v="19"/>
  </r>
  <r>
    <x v="10"/>
  </r>
  <r>
    <x v="10"/>
  </r>
  <r>
    <x v="126"/>
  </r>
  <r>
    <x v="48"/>
  </r>
  <r>
    <x v="48"/>
  </r>
  <r>
    <x v="42"/>
  </r>
  <r>
    <x v="12"/>
  </r>
  <r>
    <x v="108"/>
  </r>
  <r>
    <x v="3"/>
  </r>
  <r>
    <x v="31"/>
  </r>
  <r>
    <x v="113"/>
  </r>
  <r>
    <x v="45"/>
  </r>
  <r>
    <x v="45"/>
  </r>
  <r>
    <x v="45"/>
  </r>
  <r>
    <x v="45"/>
  </r>
  <r>
    <x v="138"/>
  </r>
  <r>
    <x v="138"/>
  </r>
  <r>
    <x v="45"/>
  </r>
  <r>
    <x v="45"/>
  </r>
  <r>
    <x v="17"/>
  </r>
  <r>
    <x v="138"/>
  </r>
  <r>
    <x v="138"/>
  </r>
  <r>
    <x v="7"/>
  </r>
  <r>
    <x v="4"/>
  </r>
  <r>
    <x v="4"/>
  </r>
  <r>
    <x v="4"/>
  </r>
  <r>
    <x v="4"/>
  </r>
  <r>
    <x v="4"/>
  </r>
  <r>
    <x v="4"/>
  </r>
  <r>
    <x v="4"/>
  </r>
  <r>
    <x v="12"/>
  </r>
  <r>
    <x v="4"/>
  </r>
  <r>
    <x v="4"/>
  </r>
  <r>
    <x v="4"/>
  </r>
  <r>
    <x v="4"/>
  </r>
  <r>
    <x v="4"/>
  </r>
  <r>
    <x v="9"/>
  </r>
  <r>
    <x v="4"/>
  </r>
  <r>
    <x v="1"/>
  </r>
  <r>
    <x v="4"/>
  </r>
  <r>
    <x v="48"/>
  </r>
  <r>
    <x v="81"/>
  </r>
  <r>
    <x v="93"/>
  </r>
  <r>
    <x v="174"/>
  </r>
  <r>
    <x v="93"/>
  </r>
  <r>
    <x v="10"/>
  </r>
  <r>
    <x v="10"/>
  </r>
  <r>
    <x v="10"/>
  </r>
  <r>
    <x v="10"/>
  </r>
  <r>
    <x v="10"/>
  </r>
  <r>
    <x v="10"/>
  </r>
  <r>
    <x v="115"/>
  </r>
  <r>
    <x v="87"/>
  </r>
  <r>
    <x v="29"/>
  </r>
  <r>
    <x v="29"/>
  </r>
  <r>
    <x v="87"/>
  </r>
  <r>
    <x v="86"/>
  </r>
  <r>
    <x v="86"/>
  </r>
  <r>
    <x v="10"/>
  </r>
  <r>
    <x v="10"/>
  </r>
  <r>
    <x v="10"/>
  </r>
  <r>
    <x v="10"/>
  </r>
  <r>
    <x v="10"/>
  </r>
  <r>
    <x v="46"/>
  </r>
  <r>
    <x v="130"/>
  </r>
  <r>
    <x v="141"/>
  </r>
  <r>
    <x v="26"/>
  </r>
  <r>
    <x v="76"/>
  </r>
  <r>
    <x v="32"/>
  </r>
  <r>
    <x v="12"/>
  </r>
  <r>
    <x v="12"/>
  </r>
  <r>
    <x v="12"/>
  </r>
  <r>
    <x v="12"/>
  </r>
  <r>
    <x v="48"/>
  </r>
  <r>
    <x v="12"/>
  </r>
  <r>
    <x v="12"/>
  </r>
  <r>
    <x v="87"/>
  </r>
  <r>
    <x v="48"/>
  </r>
  <r>
    <x v="12"/>
  </r>
  <r>
    <x v="12"/>
  </r>
  <r>
    <x v="87"/>
  </r>
  <r>
    <x v="10"/>
  </r>
  <r>
    <x v="12"/>
  </r>
  <r>
    <x v="42"/>
  </r>
  <r>
    <x v="87"/>
  </r>
  <r>
    <x v="42"/>
  </r>
  <r>
    <x v="42"/>
  </r>
  <r>
    <x v="4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13"/>
  </r>
  <r>
    <x v="77"/>
  </r>
  <r>
    <x v="77"/>
  </r>
  <r>
    <x v="152"/>
  </r>
  <r>
    <x v="56"/>
  </r>
  <r>
    <x v="42"/>
  </r>
  <r>
    <x v="77"/>
  </r>
  <r>
    <x v="42"/>
  </r>
  <r>
    <x v="78"/>
  </r>
  <r>
    <x v="115"/>
  </r>
  <r>
    <x v="10"/>
  </r>
  <r>
    <x v="42"/>
  </r>
  <r>
    <x v="42"/>
  </r>
  <r>
    <x v="152"/>
  </r>
  <r>
    <x v="42"/>
  </r>
  <r>
    <x v="42"/>
  </r>
  <r>
    <x v="2"/>
  </r>
  <r>
    <x v="30"/>
  </r>
  <r>
    <x v="4"/>
  </r>
  <r>
    <x v="12"/>
  </r>
  <r>
    <x v="12"/>
  </r>
  <r>
    <x v="12"/>
  </r>
  <r>
    <x v="12"/>
  </r>
  <r>
    <x v="12"/>
  </r>
  <r>
    <x v="12"/>
  </r>
  <r>
    <x v="36"/>
  </r>
  <r>
    <x v="12"/>
  </r>
  <r>
    <x v="36"/>
  </r>
  <r>
    <x v="12"/>
  </r>
  <r>
    <x v="128"/>
  </r>
  <r>
    <x v="10"/>
  </r>
  <r>
    <x v="10"/>
  </r>
  <r>
    <x v="10"/>
  </r>
  <r>
    <x v="10"/>
  </r>
  <r>
    <x v="19"/>
  </r>
  <r>
    <x v="10"/>
  </r>
  <r>
    <x v="87"/>
  </r>
  <r>
    <x v="10"/>
  </r>
  <r>
    <x v="10"/>
  </r>
  <r>
    <x v="10"/>
  </r>
  <r>
    <x v="10"/>
  </r>
  <r>
    <x v="10"/>
  </r>
  <r>
    <x v="10"/>
  </r>
  <r>
    <x v="10"/>
  </r>
  <r>
    <x v="12"/>
  </r>
  <r>
    <x v="165"/>
  </r>
  <r>
    <x v="87"/>
  </r>
  <r>
    <x v="36"/>
  </r>
  <r>
    <x v="12"/>
  </r>
  <r>
    <x v="0"/>
  </r>
  <r>
    <x v="0"/>
  </r>
  <r>
    <x v="0"/>
  </r>
  <r>
    <x v="63"/>
  </r>
  <r>
    <x v="63"/>
  </r>
  <r>
    <x v="0"/>
  </r>
  <r>
    <x v="63"/>
  </r>
  <r>
    <x v="63"/>
  </r>
  <r>
    <x v="130"/>
  </r>
  <r>
    <x v="130"/>
  </r>
  <r>
    <x v="130"/>
  </r>
  <r>
    <x v="115"/>
  </r>
  <r>
    <x v="115"/>
  </r>
  <r>
    <x v="115"/>
  </r>
  <r>
    <x v="12"/>
  </r>
  <r>
    <x v="28"/>
  </r>
  <r>
    <x v="28"/>
  </r>
  <r>
    <x v="28"/>
  </r>
  <r>
    <x v="29"/>
  </r>
  <r>
    <x v="29"/>
  </r>
  <r>
    <x v="17"/>
  </r>
  <r>
    <x v="28"/>
  </r>
  <r>
    <x v="0"/>
  </r>
  <r>
    <x v="79"/>
  </r>
  <r>
    <x v="0"/>
  </r>
  <r>
    <x v="79"/>
  </r>
  <r>
    <x v="24"/>
  </r>
  <r>
    <x v="24"/>
  </r>
  <r>
    <x v="24"/>
  </r>
  <r>
    <x v="12"/>
  </r>
  <r>
    <x v="87"/>
  </r>
  <r>
    <x v="89"/>
  </r>
  <r>
    <x v="24"/>
  </r>
  <r>
    <x v="24"/>
  </r>
  <r>
    <x v="136"/>
  </r>
  <r>
    <x v="136"/>
  </r>
  <r>
    <x v="123"/>
  </r>
  <r>
    <x v="123"/>
  </r>
  <r>
    <x v="0"/>
  </r>
  <r>
    <x v="79"/>
  </r>
  <r>
    <x v="79"/>
  </r>
  <r>
    <x v="79"/>
  </r>
  <r>
    <x v="63"/>
  </r>
  <r>
    <x v="87"/>
  </r>
  <r>
    <x v="24"/>
  </r>
  <r>
    <x v="123"/>
  </r>
  <r>
    <x v="123"/>
  </r>
  <r>
    <x v="4"/>
  </r>
  <r>
    <x v="4"/>
  </r>
  <r>
    <x v="4"/>
  </r>
  <r>
    <x v="0"/>
  </r>
  <r>
    <x v="123"/>
  </r>
  <r>
    <x v="63"/>
  </r>
  <r>
    <x v="12"/>
  </r>
  <r>
    <x v="12"/>
  </r>
  <r>
    <x v="12"/>
  </r>
  <r>
    <x v="12"/>
  </r>
  <r>
    <x v="4"/>
  </r>
  <r>
    <x v="4"/>
  </r>
  <r>
    <x v="4"/>
  </r>
  <r>
    <x v="81"/>
  </r>
  <r>
    <x v="81"/>
  </r>
  <r>
    <x v="10"/>
  </r>
  <r>
    <x v="146"/>
  </r>
  <r>
    <x v="146"/>
  </r>
  <r>
    <x v="115"/>
  </r>
  <r>
    <x v="10"/>
  </r>
  <r>
    <x v="10"/>
  </r>
  <r>
    <x v="10"/>
  </r>
  <r>
    <x v="42"/>
  </r>
  <r>
    <x v="42"/>
  </r>
  <r>
    <x v="42"/>
  </r>
  <r>
    <x v="12"/>
  </r>
  <r>
    <x v="12"/>
  </r>
  <r>
    <x v="123"/>
  </r>
  <r>
    <x v="0"/>
  </r>
  <r>
    <x v="155"/>
  </r>
  <r>
    <x v="14"/>
  </r>
  <r>
    <x v="14"/>
  </r>
  <r>
    <x v="14"/>
  </r>
  <r>
    <x v="14"/>
  </r>
  <r>
    <x v="57"/>
  </r>
  <r>
    <x v="0"/>
  </r>
  <r>
    <x v="0"/>
  </r>
  <r>
    <x v="0"/>
  </r>
  <r>
    <x v="30"/>
  </r>
  <r>
    <x v="107"/>
  </r>
  <r>
    <x v="30"/>
  </r>
  <r>
    <x v="83"/>
  </r>
  <r>
    <x v="33"/>
  </r>
  <r>
    <x v="14"/>
  </r>
  <r>
    <x v="26"/>
  </r>
  <r>
    <x v="26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10"/>
  </r>
  <r>
    <x v="0"/>
  </r>
  <r>
    <x v="0"/>
  </r>
  <r>
    <x v="0"/>
  </r>
  <r>
    <x v="0"/>
  </r>
  <r>
    <x v="175"/>
  </r>
  <r>
    <x v="0"/>
  </r>
  <r>
    <x v="0"/>
  </r>
  <r>
    <x v="11"/>
  </r>
  <r>
    <x v="11"/>
  </r>
  <r>
    <x v="4"/>
  </r>
  <r>
    <x v="10"/>
  </r>
  <r>
    <x v="10"/>
  </r>
  <r>
    <x v="24"/>
  </r>
  <r>
    <x v="24"/>
  </r>
  <r>
    <x v="9"/>
  </r>
  <r>
    <x v="123"/>
  </r>
  <r>
    <x v="87"/>
  </r>
  <r>
    <x v="2"/>
  </r>
  <r>
    <x v="155"/>
  </r>
  <r>
    <x v="14"/>
  </r>
  <r>
    <x v="12"/>
  </r>
  <r>
    <x v="12"/>
  </r>
  <r>
    <x v="10"/>
  </r>
  <r>
    <x v="12"/>
  </r>
  <r>
    <x v="12"/>
  </r>
  <r>
    <x v="12"/>
  </r>
  <r>
    <x v="110"/>
  </r>
  <r>
    <x v="12"/>
  </r>
  <r>
    <x v="4"/>
  </r>
  <r>
    <x v="37"/>
  </r>
  <r>
    <x v="73"/>
  </r>
  <r>
    <x v="87"/>
  </r>
  <r>
    <x v="87"/>
  </r>
  <r>
    <x v="26"/>
  </r>
  <r>
    <x v="87"/>
  </r>
  <r>
    <x v="87"/>
  </r>
  <r>
    <x v="16"/>
  </r>
  <r>
    <x v="12"/>
  </r>
  <r>
    <x v="12"/>
  </r>
  <r>
    <x v="12"/>
  </r>
  <r>
    <x v="12"/>
  </r>
  <r>
    <x v="12"/>
  </r>
  <r>
    <x v="12"/>
  </r>
  <r>
    <x v="16"/>
  </r>
  <r>
    <x v="52"/>
  </r>
  <r>
    <x v="39"/>
  </r>
  <r>
    <x v="12"/>
  </r>
  <r>
    <x v="16"/>
  </r>
  <r>
    <x v="12"/>
  </r>
  <r>
    <x v="12"/>
  </r>
  <r>
    <x v="12"/>
  </r>
  <r>
    <x v="56"/>
  </r>
  <r>
    <x v="12"/>
  </r>
  <r>
    <x v="12"/>
  </r>
  <r>
    <x v="24"/>
  </r>
  <r>
    <x v="10"/>
  </r>
  <r>
    <x v="165"/>
  </r>
  <r>
    <x v="39"/>
  </r>
  <r>
    <x v="79"/>
  </r>
  <r>
    <x v="79"/>
  </r>
  <r>
    <x v="25"/>
  </r>
  <r>
    <x v="79"/>
  </r>
  <r>
    <x v="79"/>
  </r>
  <r>
    <x v="4"/>
  </r>
  <r>
    <x v="24"/>
  </r>
  <r>
    <x v="29"/>
  </r>
  <r>
    <x v="37"/>
  </r>
  <r>
    <x v="0"/>
  </r>
  <r>
    <x v="28"/>
  </r>
  <r>
    <x v="0"/>
  </r>
  <r>
    <x v="28"/>
  </r>
  <r>
    <x v="63"/>
  </r>
  <r>
    <x v="28"/>
  </r>
  <r>
    <x v="28"/>
  </r>
  <r>
    <x v="86"/>
  </r>
  <r>
    <x v="86"/>
  </r>
  <r>
    <x v="71"/>
  </r>
  <r>
    <x v="0"/>
  </r>
  <r>
    <x v="39"/>
  </r>
  <r>
    <x v="115"/>
  </r>
  <r>
    <x v="10"/>
  </r>
  <r>
    <x v="10"/>
  </r>
  <r>
    <x v="10"/>
  </r>
  <r>
    <x v="10"/>
  </r>
  <r>
    <x v="10"/>
  </r>
  <r>
    <x v="10"/>
  </r>
  <r>
    <x v="10"/>
  </r>
  <r>
    <x v="138"/>
  </r>
  <r>
    <x v="138"/>
  </r>
  <r>
    <x v="138"/>
  </r>
  <r>
    <x v="4"/>
  </r>
  <r>
    <x v="28"/>
  </r>
  <r>
    <x v="2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5"/>
  </r>
  <r>
    <x v="175"/>
  </r>
  <r>
    <x v="10"/>
  </r>
  <r>
    <x v="10"/>
  </r>
  <r>
    <x v="4"/>
  </r>
  <r>
    <x v="10"/>
  </r>
  <r>
    <x v="76"/>
  </r>
  <r>
    <x v="9"/>
  </r>
  <r>
    <x v="96"/>
  </r>
  <r>
    <x v="165"/>
  </r>
  <r>
    <x v="37"/>
  </r>
  <r>
    <x v="123"/>
  </r>
  <r>
    <x v="123"/>
  </r>
  <r>
    <x v="123"/>
  </r>
  <r>
    <x v="12"/>
  </r>
  <r>
    <x v="10"/>
  </r>
  <r>
    <x v="10"/>
  </r>
  <r>
    <x v="126"/>
  </r>
  <r>
    <x v="138"/>
  </r>
  <r>
    <x v="77"/>
  </r>
  <r>
    <x v="4"/>
  </r>
  <r>
    <x v="4"/>
  </r>
  <r>
    <x v="4"/>
  </r>
  <r>
    <x v="4"/>
  </r>
  <r>
    <x v="76"/>
  </r>
  <r>
    <x v="76"/>
  </r>
  <r>
    <x v="76"/>
  </r>
  <r>
    <x v="4"/>
  </r>
  <r>
    <x v="4"/>
  </r>
  <r>
    <x v="4"/>
  </r>
  <r>
    <x v="4"/>
  </r>
  <r>
    <x v="4"/>
  </r>
  <r>
    <x v="4"/>
  </r>
  <r>
    <x v="4"/>
  </r>
  <r>
    <x v="138"/>
  </r>
  <r>
    <x v="138"/>
  </r>
  <r>
    <x v="56"/>
  </r>
  <r>
    <x v="56"/>
  </r>
  <r>
    <x v="5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12"/>
  </r>
  <r>
    <x v="12"/>
  </r>
  <r>
    <x v="12"/>
  </r>
  <r>
    <x v="12"/>
  </r>
  <r>
    <x v="42"/>
  </r>
  <r>
    <x v="63"/>
  </r>
  <r>
    <x v="14"/>
  </r>
  <r>
    <x v="42"/>
  </r>
  <r>
    <x v="42"/>
  </r>
  <r>
    <x v="42"/>
  </r>
  <r>
    <x v="42"/>
  </r>
  <r>
    <x v="42"/>
  </r>
  <r>
    <x v="17"/>
  </r>
  <r>
    <x v="37"/>
  </r>
  <r>
    <x v="10"/>
  </r>
  <r>
    <x v="12"/>
  </r>
  <r>
    <x v="10"/>
  </r>
  <r>
    <x v="10"/>
  </r>
  <r>
    <x v="10"/>
  </r>
  <r>
    <x v="12"/>
  </r>
  <r>
    <x v="12"/>
  </r>
  <r>
    <x v="62"/>
  </r>
  <r>
    <x v="10"/>
  </r>
  <r>
    <x v="240"/>
  </r>
  <r>
    <x v="12"/>
  </r>
  <r>
    <x v="10"/>
  </r>
  <r>
    <x v="42"/>
  </r>
  <r>
    <x v="42"/>
  </r>
  <r>
    <x v="10"/>
  </r>
  <r>
    <x v="81"/>
  </r>
  <r>
    <x v="81"/>
  </r>
  <r>
    <x v="106"/>
  </r>
  <r>
    <x v="10"/>
  </r>
  <r>
    <x v="4"/>
  </r>
  <r>
    <x v="4"/>
  </r>
  <r>
    <x v="8"/>
  </r>
  <r>
    <x v="4"/>
  </r>
  <r>
    <x v="4"/>
  </r>
  <r>
    <x v="4"/>
  </r>
  <r>
    <x v="4"/>
  </r>
  <r>
    <x v="11"/>
  </r>
  <r>
    <x v="24"/>
  </r>
  <r>
    <x v="10"/>
  </r>
  <r>
    <x v="10"/>
  </r>
  <r>
    <x v="10"/>
  </r>
  <r>
    <x v="10"/>
  </r>
  <r>
    <x v="41"/>
  </r>
  <r>
    <x v="48"/>
  </r>
  <r>
    <x v="1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38"/>
  </r>
  <r>
    <x v="138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45"/>
  </r>
  <r>
    <x v="10"/>
  </r>
  <r>
    <x v="4"/>
  </r>
  <r>
    <x v="165"/>
  </r>
  <r>
    <x v="10"/>
  </r>
  <r>
    <x v="9"/>
  </r>
  <r>
    <x v="42"/>
  </r>
  <r>
    <x v="9"/>
  </r>
  <r>
    <x v="12"/>
  </r>
  <r>
    <x v="42"/>
  </r>
  <r>
    <x v="42"/>
  </r>
  <r>
    <x v="42"/>
  </r>
  <r>
    <x v="162"/>
  </r>
  <r>
    <x v="72"/>
  </r>
  <r>
    <x v="37"/>
  </r>
  <r>
    <x v="37"/>
  </r>
  <r>
    <x v="162"/>
  </r>
  <r>
    <x v="10"/>
  </r>
  <r>
    <x v="10"/>
  </r>
  <r>
    <x v="1"/>
  </r>
  <r>
    <x v="162"/>
  </r>
  <r>
    <x v="0"/>
  </r>
  <r>
    <x v="4"/>
  </r>
  <r>
    <x v="4"/>
  </r>
  <r>
    <x v="69"/>
  </r>
  <r>
    <x v="4"/>
  </r>
  <r>
    <x v="4"/>
  </r>
  <r>
    <x v="4"/>
  </r>
  <r>
    <x v="9"/>
  </r>
  <r>
    <x v="180"/>
  </r>
  <r>
    <x v="10"/>
  </r>
  <r>
    <x v="10"/>
  </r>
  <r>
    <x v="10"/>
  </r>
  <r>
    <x v="45"/>
  </r>
  <r>
    <x v="28"/>
  </r>
  <r>
    <x v="28"/>
  </r>
  <r>
    <x v="28"/>
  </r>
  <r>
    <x v="28"/>
  </r>
  <r>
    <x v="131"/>
  </r>
  <r>
    <x v="69"/>
  </r>
  <r>
    <x v="69"/>
  </r>
  <r>
    <x v="69"/>
  </r>
  <r>
    <x v="4"/>
  </r>
  <r>
    <x v="28"/>
  </r>
  <r>
    <x v="69"/>
  </r>
  <r>
    <x v="69"/>
  </r>
  <r>
    <x v="69"/>
  </r>
  <r>
    <x v="69"/>
  </r>
  <r>
    <x v="69"/>
  </r>
  <r>
    <x v="76"/>
  </r>
  <r>
    <x v="69"/>
  </r>
  <r>
    <x v="69"/>
  </r>
  <r>
    <x v="20"/>
  </r>
  <r>
    <x v="48"/>
  </r>
  <r>
    <x v="37"/>
  </r>
  <r>
    <x v="42"/>
  </r>
  <r>
    <x v="123"/>
  </r>
  <r>
    <x v="123"/>
  </r>
  <r>
    <x v="123"/>
  </r>
  <r>
    <x v="123"/>
  </r>
  <r>
    <x v="123"/>
  </r>
  <r>
    <x v="123"/>
  </r>
  <r>
    <x v="29"/>
  </r>
  <r>
    <x v="4"/>
  </r>
  <r>
    <x v="10"/>
  </r>
  <r>
    <x v="100"/>
  </r>
  <r>
    <x v="63"/>
  </r>
  <r>
    <x v="4"/>
  </r>
  <r>
    <x v="4"/>
  </r>
  <r>
    <x v="165"/>
  </r>
  <r>
    <x v="4"/>
  </r>
  <r>
    <x v="4"/>
  </r>
  <r>
    <x v="165"/>
  </r>
  <r>
    <x v="4"/>
  </r>
  <r>
    <x v="4"/>
  </r>
  <r>
    <x v="4"/>
  </r>
  <r>
    <x v="4"/>
  </r>
  <r>
    <x v="4"/>
  </r>
  <r>
    <x v="4"/>
  </r>
  <r>
    <x v="4"/>
  </r>
  <r>
    <x v="26"/>
  </r>
  <r>
    <x v="14"/>
  </r>
  <r>
    <x v="4"/>
  </r>
  <r>
    <x v="4"/>
  </r>
  <r>
    <x v="17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3"/>
  </r>
  <r>
    <x v="42"/>
  </r>
  <r>
    <x v="138"/>
  </r>
  <r>
    <x v="37"/>
  </r>
  <r>
    <x v="4"/>
  </r>
  <r>
    <x v="112"/>
  </r>
  <r>
    <x v="4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42"/>
  </r>
  <r>
    <x v="42"/>
  </r>
  <r>
    <x v="42"/>
  </r>
  <r>
    <x v="12"/>
  </r>
  <r>
    <x v="12"/>
  </r>
  <r>
    <x v="12"/>
  </r>
  <r>
    <x v="12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42"/>
  </r>
  <r>
    <x v="42"/>
  </r>
  <r>
    <x v="123"/>
  </r>
  <r>
    <x v="11"/>
  </r>
  <r>
    <x v="22"/>
  </r>
  <r>
    <x v="12"/>
  </r>
  <r>
    <x v="42"/>
  </r>
  <r>
    <x v="77"/>
  </r>
  <r>
    <x v="77"/>
  </r>
  <r>
    <x v="2"/>
  </r>
  <r>
    <x v="4"/>
  </r>
  <r>
    <x v="0"/>
  </r>
  <r>
    <x v="31"/>
  </r>
  <r>
    <x v="0"/>
  </r>
  <r>
    <x v="12"/>
  </r>
  <r>
    <x v="108"/>
  </r>
  <r>
    <x v="0"/>
  </r>
  <r>
    <x v="12"/>
  </r>
  <r>
    <x v="63"/>
  </r>
  <r>
    <x v="63"/>
  </r>
  <r>
    <x v="22"/>
  </r>
  <r>
    <x v="12"/>
  </r>
  <r>
    <x v="36"/>
  </r>
  <r>
    <x v="138"/>
  </r>
  <r>
    <x v="12"/>
  </r>
  <r>
    <x v="12"/>
  </r>
  <r>
    <x v="138"/>
  </r>
  <r>
    <x v="138"/>
  </r>
  <r>
    <x v="56"/>
  </r>
  <r>
    <x v="56"/>
  </r>
  <r>
    <x v="56"/>
  </r>
  <r>
    <x v="56"/>
  </r>
  <r>
    <x v="56"/>
  </r>
  <r>
    <x v="11"/>
  </r>
  <r>
    <x v="56"/>
  </r>
  <r>
    <x v="56"/>
  </r>
  <r>
    <x v="12"/>
  </r>
  <r>
    <x v="12"/>
  </r>
  <r>
    <x v="12"/>
  </r>
  <r>
    <x v="12"/>
  </r>
  <r>
    <x v="12"/>
  </r>
  <r>
    <x v="12"/>
  </r>
  <r>
    <x v="12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86"/>
  </r>
  <r>
    <x v="7"/>
  </r>
  <r>
    <x v="7"/>
  </r>
  <r>
    <x v="7"/>
  </r>
  <r>
    <x v="7"/>
  </r>
  <r>
    <x v="7"/>
  </r>
  <r>
    <x v="12"/>
  </r>
  <r>
    <x v="42"/>
  </r>
  <r>
    <x v="12"/>
  </r>
  <r>
    <x v="11"/>
  </r>
  <r>
    <x v="42"/>
  </r>
  <r>
    <x v="12"/>
  </r>
  <r>
    <x v="22"/>
  </r>
  <r>
    <x v="10"/>
  </r>
  <r>
    <x v="10"/>
  </r>
  <r>
    <x v="10"/>
  </r>
  <r>
    <x v="42"/>
  </r>
  <r>
    <x v="42"/>
  </r>
  <r>
    <x v="42"/>
  </r>
  <r>
    <x v="42"/>
  </r>
  <r>
    <x v="42"/>
  </r>
  <r>
    <x v="42"/>
  </r>
  <r>
    <x v="70"/>
  </r>
  <r>
    <x v="42"/>
  </r>
  <r>
    <x v="42"/>
  </r>
  <r>
    <x v="42"/>
  </r>
  <r>
    <x v="42"/>
  </r>
  <r>
    <x v="42"/>
  </r>
  <r>
    <x v="42"/>
  </r>
  <r>
    <x v="115"/>
  </r>
  <r>
    <x v="69"/>
  </r>
  <r>
    <x v="24"/>
  </r>
  <r>
    <x v="24"/>
  </r>
  <r>
    <x v="24"/>
  </r>
  <r>
    <x v="12"/>
  </r>
  <r>
    <x v="130"/>
  </r>
  <r>
    <x v="130"/>
  </r>
  <r>
    <x v="130"/>
  </r>
  <r>
    <x v="130"/>
  </r>
  <r>
    <x v="130"/>
  </r>
  <r>
    <x v="130"/>
  </r>
  <r>
    <x v="2"/>
  </r>
  <r>
    <x v="25"/>
  </r>
  <r>
    <x v="10"/>
  </r>
  <r>
    <x v="10"/>
  </r>
  <r>
    <x v="9"/>
  </r>
  <r>
    <x v="9"/>
  </r>
  <r>
    <x v="4"/>
  </r>
  <r>
    <x v="77"/>
  </r>
  <r>
    <x v="77"/>
  </r>
  <r>
    <x v="7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4"/>
  </r>
  <r>
    <x v="14"/>
  </r>
  <r>
    <x v="14"/>
  </r>
  <r>
    <x v="14"/>
  </r>
  <r>
    <x v="14"/>
  </r>
  <r>
    <x v="14"/>
  </r>
  <r>
    <x v="152"/>
  </r>
  <r>
    <x v="152"/>
  </r>
  <r>
    <x v="152"/>
  </r>
  <r>
    <x v="152"/>
  </r>
  <r>
    <x v="152"/>
  </r>
  <r>
    <x v="152"/>
  </r>
  <r>
    <x v="152"/>
  </r>
  <r>
    <x v="123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21"/>
  </r>
  <r>
    <x v="45"/>
  </r>
  <r>
    <x v="4"/>
  </r>
  <r>
    <x v="4"/>
  </r>
  <r>
    <x v="4"/>
  </r>
  <r>
    <x v="3"/>
  </r>
  <r>
    <x v="90"/>
  </r>
  <r>
    <x v="4"/>
  </r>
  <r>
    <x v="10"/>
  </r>
  <r>
    <x v="4"/>
  </r>
  <r>
    <x v="10"/>
  </r>
  <r>
    <x v="42"/>
  </r>
  <r>
    <x v="42"/>
  </r>
  <r>
    <x v="42"/>
  </r>
  <r>
    <x v="42"/>
  </r>
  <r>
    <x v="34"/>
  </r>
  <r>
    <x v="42"/>
  </r>
  <r>
    <x v="42"/>
  </r>
  <r>
    <x v="46"/>
  </r>
  <r>
    <x v="42"/>
  </r>
  <r>
    <x v="42"/>
  </r>
  <r>
    <x v="42"/>
  </r>
  <r>
    <x v="129"/>
  </r>
  <r>
    <x v="129"/>
  </r>
  <r>
    <x v="42"/>
  </r>
  <r>
    <x v="77"/>
  </r>
  <r>
    <x v="115"/>
  </r>
  <r>
    <x v="69"/>
  </r>
  <r>
    <x v="12"/>
  </r>
  <r>
    <x v="12"/>
  </r>
  <r>
    <x v="69"/>
  </r>
  <r>
    <x v="53"/>
  </r>
  <r>
    <x v="12"/>
  </r>
  <r>
    <x v="12"/>
  </r>
  <r>
    <x v="12"/>
  </r>
  <r>
    <x v="53"/>
  </r>
  <r>
    <x v="1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69"/>
  </r>
  <r>
    <x v="77"/>
  </r>
  <r>
    <x v="77"/>
  </r>
  <r>
    <x v="77"/>
  </r>
  <r>
    <x v="77"/>
  </r>
  <r>
    <x v="77"/>
  </r>
  <r>
    <x v="77"/>
  </r>
  <r>
    <x v="78"/>
  </r>
  <r>
    <x v="78"/>
  </r>
  <r>
    <x v="77"/>
  </r>
  <r>
    <x v="77"/>
  </r>
  <r>
    <x v="22"/>
  </r>
  <r>
    <x v="10"/>
  </r>
  <r>
    <x v="87"/>
  </r>
  <r>
    <x v="87"/>
  </r>
  <r>
    <x v="87"/>
  </r>
  <r>
    <x v="141"/>
  </r>
  <r>
    <x v="141"/>
  </r>
  <r>
    <x v="141"/>
  </r>
  <r>
    <x v="141"/>
  </r>
  <r>
    <x v="10"/>
  </r>
  <r>
    <x v="10"/>
  </r>
  <r>
    <x v="10"/>
  </r>
  <r>
    <x v="12"/>
  </r>
  <r>
    <x v="4"/>
  </r>
  <r>
    <x v="4"/>
  </r>
  <r>
    <x v="10"/>
  </r>
  <r>
    <x v="12"/>
  </r>
  <r>
    <x v="28"/>
  </r>
  <r>
    <x v="86"/>
  </r>
  <r>
    <x v="16"/>
  </r>
  <r>
    <x v="16"/>
  </r>
  <r>
    <x v="10"/>
  </r>
  <r>
    <x v="123"/>
  </r>
  <r>
    <x v="123"/>
  </r>
  <r>
    <x v="100"/>
  </r>
  <r>
    <x v="57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25"/>
  </r>
  <r>
    <x v="126"/>
  </r>
  <r>
    <x v="87"/>
  </r>
  <r>
    <x v="87"/>
  </r>
  <r>
    <x v="87"/>
  </r>
  <r>
    <x v="162"/>
  </r>
  <r>
    <x v="24"/>
  </r>
  <r>
    <x v="4"/>
  </r>
  <r>
    <x v="162"/>
  </r>
  <r>
    <x v="21"/>
  </r>
  <r>
    <x v="21"/>
  </r>
  <r>
    <x v="14"/>
  </r>
  <r>
    <x v="53"/>
  </r>
  <r>
    <x v="28"/>
  </r>
  <r>
    <x v="28"/>
  </r>
  <r>
    <x v="28"/>
  </r>
  <r>
    <x v="28"/>
  </r>
  <r>
    <x v="28"/>
  </r>
  <r>
    <x v="28"/>
  </r>
  <r>
    <x v="4"/>
  </r>
  <r>
    <x v="28"/>
  </r>
  <r>
    <x v="165"/>
  </r>
  <r>
    <x v="28"/>
  </r>
  <r>
    <x v="114"/>
  </r>
  <r>
    <x v="28"/>
  </r>
  <r>
    <x v="71"/>
  </r>
  <r>
    <x v="63"/>
  </r>
  <r>
    <x v="34"/>
  </r>
  <r>
    <x v="71"/>
  </r>
  <r>
    <x v="42"/>
  </r>
  <r>
    <x v="42"/>
  </r>
  <r>
    <x v="284"/>
  </r>
  <r>
    <x v="86"/>
  </r>
  <r>
    <x v="71"/>
  </r>
  <r>
    <x v="86"/>
  </r>
  <r>
    <x v="71"/>
  </r>
  <r>
    <x v="86"/>
  </r>
  <r>
    <x v="10"/>
  </r>
  <r>
    <x v="10"/>
  </r>
  <r>
    <x v="10"/>
  </r>
  <r>
    <x v="10"/>
  </r>
  <r>
    <x v="227"/>
  </r>
  <r>
    <x v="10"/>
  </r>
  <r>
    <x v="10"/>
  </r>
  <r>
    <x v="10"/>
  </r>
  <r>
    <x v="10"/>
  </r>
  <r>
    <x v="10"/>
  </r>
  <r>
    <x v="10"/>
  </r>
  <r>
    <x v="10"/>
  </r>
  <r>
    <x v="115"/>
  </r>
  <r>
    <x v="115"/>
  </r>
  <r>
    <x v="115"/>
  </r>
  <r>
    <x v="115"/>
  </r>
  <r>
    <x v="152"/>
  </r>
  <r>
    <x v="123"/>
  </r>
  <r>
    <x v="123"/>
  </r>
  <r>
    <x v="0"/>
  </r>
  <r>
    <x v="152"/>
  </r>
  <r>
    <x v="152"/>
  </r>
  <r>
    <x v="152"/>
  </r>
  <r>
    <x v="152"/>
  </r>
  <r>
    <x v="123"/>
  </r>
  <r>
    <x v="152"/>
  </r>
  <r>
    <x v="123"/>
  </r>
  <r>
    <x v="152"/>
  </r>
  <r>
    <x v="152"/>
  </r>
  <r>
    <x v="152"/>
  </r>
  <r>
    <x v="168"/>
  </r>
  <r>
    <x v="10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0"/>
  </r>
  <r>
    <x v="7"/>
  </r>
  <r>
    <x v="181"/>
  </r>
  <r>
    <x v="24"/>
  </r>
  <r>
    <x v="24"/>
  </r>
  <r>
    <x v="10"/>
  </r>
  <r>
    <x v="10"/>
  </r>
  <r>
    <x v="55"/>
  </r>
  <r>
    <x v="12"/>
  </r>
  <r>
    <x v="10"/>
  </r>
  <r>
    <x v="10"/>
  </r>
  <r>
    <x v="59"/>
  </r>
  <r>
    <x v="10"/>
  </r>
  <r>
    <x v="145"/>
  </r>
  <r>
    <x v="55"/>
  </r>
  <r>
    <x v="165"/>
  </r>
  <r>
    <x v="10"/>
  </r>
  <r>
    <x v="57"/>
  </r>
  <r>
    <x v="56"/>
  </r>
  <r>
    <x v="56"/>
  </r>
  <r>
    <x v="4"/>
  </r>
  <r>
    <x v="4"/>
  </r>
  <r>
    <x v="4"/>
  </r>
  <r>
    <x v="55"/>
  </r>
  <r>
    <x v="26"/>
  </r>
  <r>
    <x v="9"/>
  </r>
  <r>
    <x v="9"/>
  </r>
  <r>
    <x v="42"/>
  </r>
  <r>
    <x v="42"/>
  </r>
  <r>
    <x v="42"/>
  </r>
  <r>
    <x v="56"/>
  </r>
  <r>
    <x v="12"/>
  </r>
  <r>
    <x v="87"/>
  </r>
  <r>
    <x v="87"/>
  </r>
  <r>
    <x v="56"/>
  </r>
  <r>
    <x v="87"/>
  </r>
  <r>
    <x v="56"/>
  </r>
  <r>
    <x v="56"/>
  </r>
  <r>
    <x v="56"/>
  </r>
  <r>
    <x v="56"/>
  </r>
  <r>
    <x v="56"/>
  </r>
  <r>
    <x v="56"/>
  </r>
  <r>
    <x v="21"/>
  </r>
  <r>
    <x v="24"/>
  </r>
  <r>
    <x v="123"/>
  </r>
  <r>
    <x v="8"/>
  </r>
  <r>
    <x v="138"/>
  </r>
  <r>
    <x v="4"/>
  </r>
  <r>
    <x v="4"/>
  </r>
  <r>
    <x v="138"/>
  </r>
  <r>
    <x v="4"/>
  </r>
  <r>
    <x v="10"/>
  </r>
  <r>
    <x v="36"/>
  </r>
  <r>
    <x v="36"/>
  </r>
  <r>
    <x v="12"/>
  </r>
  <r>
    <x v="12"/>
  </r>
  <r>
    <x v="12"/>
  </r>
  <r>
    <x v="204"/>
  </r>
  <r>
    <x v="4"/>
  </r>
  <r>
    <x v="4"/>
  </r>
  <r>
    <x v="4"/>
  </r>
  <r>
    <x v="10"/>
  </r>
  <r>
    <x v="10"/>
  </r>
  <r>
    <x v="10"/>
  </r>
  <r>
    <x v="56"/>
  </r>
  <r>
    <x v="56"/>
  </r>
  <r>
    <x v="56"/>
  </r>
  <r>
    <x v="4"/>
  </r>
  <r>
    <x v="4"/>
  </r>
  <r>
    <x v="165"/>
  </r>
  <r>
    <x v="42"/>
  </r>
  <r>
    <x v="87"/>
  </r>
  <r>
    <x v="87"/>
  </r>
  <r>
    <x v="42"/>
  </r>
  <r>
    <x v="42"/>
  </r>
  <r>
    <x v="42"/>
  </r>
  <r>
    <x v="87"/>
  </r>
  <r>
    <x v="52"/>
  </r>
  <r>
    <x v="52"/>
  </r>
  <r>
    <x v="42"/>
  </r>
  <r>
    <x v="42"/>
  </r>
  <r>
    <x v="42"/>
  </r>
  <r>
    <x v="42"/>
  </r>
  <r>
    <x v="87"/>
  </r>
  <r>
    <x v="42"/>
  </r>
  <r>
    <x v="42"/>
  </r>
  <r>
    <x v="4"/>
  </r>
  <r>
    <x v="53"/>
  </r>
  <r>
    <x v="4"/>
  </r>
  <r>
    <x v="53"/>
  </r>
  <r>
    <x v="53"/>
  </r>
  <r>
    <x v="53"/>
  </r>
  <r>
    <x v="42"/>
  </r>
  <r>
    <x v="42"/>
  </r>
  <r>
    <x v="42"/>
  </r>
  <r>
    <x v="128"/>
  </r>
  <r>
    <x v="42"/>
  </r>
  <r>
    <x v="42"/>
  </r>
  <r>
    <x v="42"/>
  </r>
  <r>
    <x v="42"/>
  </r>
  <r>
    <x v="42"/>
  </r>
  <r>
    <x v="10"/>
  </r>
  <r>
    <x v="10"/>
  </r>
  <r>
    <x v="10"/>
  </r>
  <r>
    <x v="10"/>
  </r>
  <r>
    <x v="4"/>
  </r>
  <r>
    <x v="22"/>
  </r>
  <r>
    <x v="126"/>
  </r>
  <r>
    <x v="10"/>
  </r>
  <r>
    <x v="10"/>
  </r>
  <r>
    <x v="126"/>
  </r>
  <r>
    <x v="126"/>
  </r>
  <r>
    <x v="10"/>
  </r>
  <r>
    <x v="10"/>
  </r>
  <r>
    <x v="126"/>
  </r>
  <r>
    <x v="10"/>
  </r>
  <r>
    <x v="126"/>
  </r>
  <r>
    <x v="10"/>
  </r>
  <r>
    <x v="87"/>
  </r>
  <r>
    <x v="4"/>
  </r>
  <r>
    <x v="4"/>
  </r>
  <r>
    <x v="4"/>
  </r>
  <r>
    <x v="4"/>
  </r>
  <r>
    <x v="4"/>
  </r>
  <r>
    <x v="87"/>
  </r>
  <r>
    <x v="10"/>
  </r>
  <r>
    <x v="10"/>
  </r>
  <r>
    <x v="4"/>
  </r>
  <r>
    <x v="10"/>
  </r>
  <r>
    <x v="4"/>
  </r>
  <r>
    <x v="10"/>
  </r>
  <r>
    <x v="4"/>
  </r>
  <r>
    <x v="10"/>
  </r>
  <r>
    <x v="4"/>
  </r>
  <r>
    <x v="4"/>
  </r>
  <r>
    <x v="56"/>
  </r>
  <r>
    <x v="87"/>
  </r>
  <r>
    <x v="43"/>
  </r>
  <r>
    <x v="87"/>
  </r>
  <r>
    <x v="100"/>
  </r>
  <r>
    <x v="87"/>
  </r>
  <r>
    <x v="87"/>
  </r>
  <r>
    <x v="4"/>
  </r>
  <r>
    <x v="4"/>
  </r>
  <r>
    <x v="10"/>
  </r>
  <r>
    <x v="87"/>
  </r>
  <r>
    <x v="87"/>
  </r>
  <r>
    <x v="87"/>
  </r>
  <r>
    <x v="42"/>
  </r>
  <r>
    <x v="87"/>
  </r>
  <r>
    <x v="87"/>
  </r>
  <r>
    <x v="112"/>
  </r>
  <r>
    <x v="100"/>
  </r>
  <r>
    <x v="87"/>
  </r>
  <r>
    <x v="87"/>
  </r>
  <r>
    <x v="87"/>
  </r>
  <r>
    <x v="4"/>
  </r>
  <r>
    <x v="10"/>
  </r>
  <r>
    <x v="4"/>
  </r>
  <r>
    <x v="4"/>
  </r>
  <r>
    <x v="4"/>
  </r>
  <r>
    <x v="4"/>
  </r>
  <r>
    <x v="4"/>
  </r>
  <r>
    <x v="10"/>
  </r>
  <r>
    <x v="11"/>
  </r>
  <r>
    <x v="11"/>
  </r>
  <r>
    <x v="4"/>
  </r>
  <r>
    <x v="1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8"/>
  </r>
  <r>
    <x v="28"/>
  </r>
  <r>
    <x v="4"/>
  </r>
  <r>
    <x v="0"/>
  </r>
  <r>
    <x v="37"/>
  </r>
  <r>
    <x v="4"/>
  </r>
  <r>
    <x v="24"/>
  </r>
  <r>
    <x v="24"/>
  </r>
  <r>
    <x v="24"/>
  </r>
  <r>
    <x v="24"/>
  </r>
  <r>
    <x v="24"/>
  </r>
  <r>
    <x v="24"/>
  </r>
  <r>
    <x v="4"/>
  </r>
  <r>
    <x v="28"/>
  </r>
  <r>
    <x v="4"/>
  </r>
  <r>
    <x v="12"/>
  </r>
  <r>
    <x v="25"/>
  </r>
  <r>
    <x v="25"/>
  </r>
  <r>
    <x v="107"/>
  </r>
  <r>
    <x v="4"/>
  </r>
  <r>
    <x v="138"/>
  </r>
  <r>
    <x v="24"/>
  </r>
  <r>
    <x v="4"/>
  </r>
  <r>
    <x v="4"/>
  </r>
  <r>
    <x v="4"/>
  </r>
  <r>
    <x v="4"/>
  </r>
  <r>
    <x v="4"/>
  </r>
  <r>
    <x v="10"/>
  </r>
  <r>
    <x v="4"/>
  </r>
  <r>
    <x v="10"/>
  </r>
  <r>
    <x v="4"/>
  </r>
  <r>
    <x v="4"/>
  </r>
  <r>
    <x v="4"/>
  </r>
  <r>
    <x v="4"/>
  </r>
  <r>
    <x v="4"/>
  </r>
  <r>
    <x v="4"/>
  </r>
  <r>
    <x v="28"/>
  </r>
  <r>
    <x v="22"/>
  </r>
  <r>
    <x v="10"/>
  </r>
  <r>
    <x v="10"/>
  </r>
  <r>
    <x v="10"/>
  </r>
  <r>
    <x v="108"/>
  </r>
  <r>
    <x v="10"/>
  </r>
  <r>
    <x v="36"/>
  </r>
  <r>
    <x v="36"/>
  </r>
  <r>
    <x v="36"/>
  </r>
  <r>
    <x v="12"/>
  </r>
  <r>
    <x v="77"/>
  </r>
  <r>
    <x v="86"/>
  </r>
  <r>
    <x v="100"/>
  </r>
  <r>
    <x v="36"/>
  </r>
  <r>
    <x v="42"/>
  </r>
  <r>
    <x v="86"/>
  </r>
  <r>
    <x v="36"/>
  </r>
  <r>
    <x v="12"/>
  </r>
  <r>
    <x v="86"/>
  </r>
  <r>
    <x v="86"/>
  </r>
  <r>
    <x v="86"/>
  </r>
  <r>
    <x v="86"/>
  </r>
  <r>
    <x v="36"/>
  </r>
  <r>
    <x v="12"/>
  </r>
  <r>
    <x v="36"/>
  </r>
  <r>
    <x v="12"/>
  </r>
  <r>
    <x v="12"/>
  </r>
  <r>
    <x v="12"/>
  </r>
  <r>
    <x v="36"/>
  </r>
  <r>
    <x v="12"/>
  </r>
  <r>
    <x v="12"/>
  </r>
  <r>
    <x v="12"/>
  </r>
  <r>
    <x v="42"/>
  </r>
  <r>
    <x v="89"/>
  </r>
  <r>
    <x v="36"/>
  </r>
  <r>
    <x v="87"/>
  </r>
  <r>
    <x v="36"/>
  </r>
  <r>
    <x v="9"/>
  </r>
  <r>
    <x v="10"/>
  </r>
  <r>
    <x v="4"/>
  </r>
  <r>
    <x v="10"/>
  </r>
  <r>
    <x v="42"/>
  </r>
  <r>
    <x v="10"/>
  </r>
  <r>
    <x v="10"/>
  </r>
  <r>
    <x v="10"/>
  </r>
  <r>
    <x v="4"/>
  </r>
  <r>
    <x v="19"/>
  </r>
  <r>
    <x v="10"/>
  </r>
  <r>
    <x v="8"/>
  </r>
  <r>
    <x v="138"/>
  </r>
  <r>
    <x v="21"/>
  </r>
  <r>
    <x v="138"/>
  </r>
  <r>
    <x v="12"/>
  </r>
  <r>
    <x v="138"/>
  </r>
  <r>
    <x v="77"/>
  </r>
  <r>
    <x v="138"/>
  </r>
  <r>
    <x v="138"/>
  </r>
  <r>
    <x v="10"/>
  </r>
  <r>
    <x v="10"/>
  </r>
  <r>
    <x v="10"/>
  </r>
  <r>
    <x v="10"/>
  </r>
  <r>
    <x v="14"/>
  </r>
  <r>
    <x v="14"/>
  </r>
  <r>
    <x v="14"/>
  </r>
  <r>
    <x v="14"/>
  </r>
  <r>
    <x v="14"/>
  </r>
  <r>
    <x v="12"/>
  </r>
  <r>
    <x v="14"/>
  </r>
  <r>
    <x v="14"/>
  </r>
  <r>
    <x v="14"/>
  </r>
  <r>
    <x v="10"/>
  </r>
  <r>
    <x v="14"/>
  </r>
  <r>
    <x v="24"/>
  </r>
  <r>
    <x v="24"/>
  </r>
  <r>
    <x v="24"/>
  </r>
  <r>
    <x v="10"/>
  </r>
  <r>
    <x v="108"/>
  </r>
  <r>
    <x v="39"/>
  </r>
  <r>
    <x v="45"/>
  </r>
  <r>
    <x v="14"/>
  </r>
  <r>
    <x v="7"/>
  </r>
  <r>
    <x v="7"/>
  </r>
  <r>
    <x v="7"/>
  </r>
  <r>
    <x v="7"/>
  </r>
  <r>
    <x v="7"/>
  </r>
  <r>
    <x v="7"/>
  </r>
  <r>
    <x v="7"/>
  </r>
  <r>
    <x v="100"/>
  </r>
  <r>
    <x v="4"/>
  </r>
  <r>
    <x v="4"/>
  </r>
  <r>
    <x v="4"/>
  </r>
  <r>
    <x v="4"/>
  </r>
  <r>
    <x v="12"/>
  </r>
  <r>
    <x v="22"/>
  </r>
  <r>
    <x v="22"/>
  </r>
  <r>
    <x v="14"/>
  </r>
  <r>
    <x v="10"/>
  </r>
  <r>
    <x v="10"/>
  </r>
  <r>
    <x v="76"/>
  </r>
  <r>
    <x v="10"/>
  </r>
  <r>
    <x v="42"/>
  </r>
  <r>
    <x v="108"/>
  </r>
  <r>
    <x v="4"/>
  </r>
  <r>
    <x v="10"/>
  </r>
  <r>
    <x v="4"/>
  </r>
  <r>
    <x v="9"/>
  </r>
  <r>
    <x v="4"/>
  </r>
  <r>
    <x v="10"/>
  </r>
  <r>
    <x v="10"/>
  </r>
  <r>
    <x v="4"/>
  </r>
  <r>
    <x v="10"/>
  </r>
  <r>
    <x v="4"/>
  </r>
  <r>
    <x v="138"/>
  </r>
  <r>
    <x v="36"/>
  </r>
  <r>
    <x v="4"/>
  </r>
  <r>
    <x v="4"/>
  </r>
  <r>
    <x v="4"/>
  </r>
  <r>
    <x v="4"/>
  </r>
  <r>
    <x v="4"/>
  </r>
  <r>
    <x v="4"/>
  </r>
  <r>
    <x v="4"/>
  </r>
  <r>
    <x v="12"/>
  </r>
  <r>
    <x v="77"/>
  </r>
  <r>
    <x v="30"/>
  </r>
  <r>
    <x v="10"/>
  </r>
  <r>
    <x v="10"/>
  </r>
  <r>
    <x v="10"/>
  </r>
  <r>
    <x v="10"/>
  </r>
  <r>
    <x v="10"/>
  </r>
  <r>
    <x v="10"/>
  </r>
  <r>
    <x v="4"/>
  </r>
  <r>
    <x v="4"/>
  </r>
  <r>
    <x v="0"/>
  </r>
  <r>
    <x v="0"/>
  </r>
  <r>
    <x v="0"/>
  </r>
  <r>
    <x v="126"/>
  </r>
  <r>
    <x v="4"/>
  </r>
  <r>
    <x v="4"/>
  </r>
  <r>
    <x v="126"/>
  </r>
  <r>
    <x v="2"/>
  </r>
  <r>
    <x v="4"/>
  </r>
  <r>
    <x v="4"/>
  </r>
  <r>
    <x v="4"/>
  </r>
  <r>
    <x v="4"/>
  </r>
  <r>
    <x v="4"/>
  </r>
  <r>
    <x v="4"/>
  </r>
  <r>
    <x v="28"/>
  </r>
  <r>
    <x v="24"/>
  </r>
  <r>
    <x v="24"/>
  </r>
  <r>
    <x v="77"/>
  </r>
  <r>
    <x v="14"/>
  </r>
  <r>
    <x v="36"/>
  </r>
  <r>
    <x v="16"/>
  </r>
  <r>
    <x v="4"/>
  </r>
  <r>
    <x v="4"/>
  </r>
  <r>
    <x v="48"/>
  </r>
  <r>
    <x v="36"/>
  </r>
  <r>
    <x v="4"/>
  </r>
  <r>
    <x v="36"/>
  </r>
  <r>
    <x v="36"/>
  </r>
  <r>
    <x v="10"/>
  </r>
  <r>
    <x v="36"/>
  </r>
  <r>
    <x v="4"/>
  </r>
  <r>
    <x v="36"/>
  </r>
  <r>
    <x v="12"/>
  </r>
  <r>
    <x v="12"/>
  </r>
  <r>
    <x v="12"/>
  </r>
  <r>
    <x v="12"/>
  </r>
  <r>
    <x v="12"/>
  </r>
  <r>
    <x v="12"/>
  </r>
  <r>
    <x v="12"/>
  </r>
  <r>
    <x v="4"/>
  </r>
  <r>
    <x v="12"/>
  </r>
  <r>
    <x v="0"/>
  </r>
  <r>
    <x v="31"/>
  </r>
  <r>
    <x v="0"/>
  </r>
  <r>
    <x v="0"/>
  </r>
  <r>
    <x v="3"/>
  </r>
  <r>
    <x v="15"/>
  </r>
  <r>
    <x v="7"/>
  </r>
  <r>
    <x v="7"/>
  </r>
  <r>
    <x v="114"/>
  </r>
  <r>
    <x v="114"/>
  </r>
  <r>
    <x v="10"/>
  </r>
  <r>
    <x v="86"/>
  </r>
  <r>
    <x v="123"/>
  </r>
  <r>
    <x v="123"/>
  </r>
  <r>
    <x v="146"/>
  </r>
  <r>
    <x v="51"/>
  </r>
  <r>
    <x v="4"/>
  </r>
  <r>
    <x v="4"/>
  </r>
  <r>
    <x v="0"/>
  </r>
  <r>
    <x v="17"/>
  </r>
  <r>
    <x v="4"/>
  </r>
  <r>
    <x v="28"/>
  </r>
  <r>
    <x v="10"/>
  </r>
  <r>
    <x v="51"/>
  </r>
  <r>
    <x v="51"/>
  </r>
  <r>
    <x v="10"/>
  </r>
  <r>
    <x v="26"/>
  </r>
  <r>
    <x v="0"/>
  </r>
  <r>
    <x v="39"/>
  </r>
  <r>
    <x v="55"/>
  </r>
  <r>
    <x v="21"/>
  </r>
  <r>
    <x v="12"/>
  </r>
  <r>
    <x v="4"/>
  </r>
  <r>
    <x v="4"/>
  </r>
  <r>
    <x v="4"/>
  </r>
  <r>
    <x v="4"/>
  </r>
  <r>
    <x v="4"/>
  </r>
  <r>
    <x v="48"/>
  </r>
  <r>
    <x v="175"/>
  </r>
  <r>
    <x v="175"/>
  </r>
  <r>
    <x v="12"/>
  </r>
  <r>
    <x v="0"/>
  </r>
  <r>
    <x v="0"/>
  </r>
  <r>
    <x v="0"/>
  </r>
  <r>
    <x v="12"/>
  </r>
  <r>
    <x v="29"/>
  </r>
  <r>
    <x v="29"/>
  </r>
  <r>
    <x v="29"/>
  </r>
  <r>
    <x v="2"/>
  </r>
  <r>
    <x v="2"/>
  </r>
  <r>
    <x v="16"/>
  </r>
  <r>
    <x v="64"/>
  </r>
  <r>
    <x v="28"/>
  </r>
  <r>
    <x v="51"/>
  </r>
  <r>
    <x v="51"/>
  </r>
  <r>
    <x v="51"/>
  </r>
  <r>
    <x v="51"/>
  </r>
  <r>
    <x v="51"/>
  </r>
  <r>
    <x v="51"/>
  </r>
  <r>
    <x v="51"/>
  </r>
  <r>
    <x v="51"/>
  </r>
  <r>
    <x v="14"/>
  </r>
  <r>
    <x v="28"/>
  </r>
  <r>
    <x v="86"/>
  </r>
  <r>
    <x v="9"/>
  </r>
  <r>
    <x v="86"/>
  </r>
  <r>
    <x v="146"/>
  </r>
  <r>
    <x v="86"/>
  </r>
  <r>
    <x v="86"/>
  </r>
  <r>
    <x v="3"/>
  </r>
  <r>
    <x v="115"/>
  </r>
  <r>
    <x v="115"/>
  </r>
  <r>
    <x v="86"/>
  </r>
  <r>
    <x v="115"/>
  </r>
  <r>
    <x v="115"/>
  </r>
  <r>
    <x v="115"/>
  </r>
  <r>
    <x v="10"/>
  </r>
  <r>
    <x v="17"/>
  </r>
  <r>
    <x v="21"/>
  </r>
  <r>
    <x v="42"/>
  </r>
  <r>
    <x v="72"/>
  </r>
  <r>
    <x v="2"/>
  </r>
  <r>
    <x v="4"/>
  </r>
  <r>
    <x v="28"/>
  </r>
  <r>
    <x v="4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7"/>
  </r>
  <r>
    <x v="52"/>
  </r>
  <r>
    <x v="52"/>
  </r>
  <r>
    <x v="68"/>
  </r>
  <r>
    <x v="5"/>
  </r>
  <r>
    <x v="31"/>
  </r>
  <r>
    <x v="22"/>
  </r>
  <r>
    <x v="22"/>
  </r>
  <r>
    <x v="22"/>
  </r>
  <r>
    <x v="76"/>
  </r>
  <r>
    <x v="14"/>
  </r>
  <r>
    <x v="4"/>
  </r>
  <r>
    <x v="10"/>
  </r>
  <r>
    <x v="9"/>
  </r>
  <r>
    <x v="31"/>
  </r>
  <r>
    <x v="56"/>
  </r>
  <r>
    <x v="53"/>
  </r>
  <r>
    <x v="56"/>
  </r>
  <r>
    <x v="56"/>
  </r>
  <r>
    <x v="56"/>
  </r>
  <r>
    <x v="56"/>
  </r>
  <r>
    <x v="56"/>
  </r>
  <r>
    <x v="31"/>
  </r>
  <r>
    <x v="9"/>
  </r>
  <r>
    <x v="28"/>
  </r>
  <r>
    <x v="3"/>
  </r>
  <r>
    <x v="79"/>
  </r>
  <r>
    <x v="10"/>
  </r>
  <r>
    <x v="10"/>
  </r>
  <r>
    <x v="10"/>
  </r>
  <r>
    <x v="10"/>
  </r>
  <r>
    <x v="10"/>
  </r>
  <r>
    <x v="165"/>
  </r>
  <r>
    <x v="14"/>
  </r>
  <r>
    <x v="4"/>
  </r>
  <r>
    <x v="4"/>
  </r>
  <r>
    <x v="4"/>
  </r>
  <r>
    <x v="4"/>
  </r>
  <r>
    <x v="14"/>
  </r>
  <r>
    <x v="4"/>
  </r>
  <r>
    <x v="10"/>
  </r>
  <r>
    <x v="10"/>
  </r>
  <r>
    <x v="10"/>
  </r>
  <r>
    <x v="10"/>
  </r>
  <r>
    <x v="4"/>
  </r>
  <r>
    <x v="4"/>
  </r>
  <r>
    <x v="10"/>
  </r>
  <r>
    <x v="10"/>
  </r>
  <r>
    <x v="4"/>
  </r>
  <r>
    <x v="10"/>
  </r>
  <r>
    <x v="4"/>
  </r>
  <r>
    <x v="4"/>
  </r>
  <r>
    <x v="12"/>
  </r>
  <r>
    <x v="12"/>
  </r>
  <r>
    <x v="10"/>
  </r>
  <r>
    <x v="10"/>
  </r>
  <r>
    <x v="10"/>
  </r>
  <r>
    <x v="4"/>
  </r>
  <r>
    <x v="4"/>
  </r>
  <r>
    <x v="4"/>
  </r>
  <r>
    <x v="4"/>
  </r>
  <r>
    <x v="10"/>
  </r>
  <r>
    <x v="10"/>
  </r>
  <r>
    <x v="10"/>
  </r>
  <r>
    <x v="31"/>
  </r>
  <r>
    <x v="10"/>
  </r>
  <r>
    <x v="10"/>
  </r>
  <r>
    <x v="28"/>
  </r>
  <r>
    <x v="77"/>
  </r>
  <r>
    <x v="87"/>
  </r>
  <r>
    <x v="87"/>
  </r>
  <r>
    <x v="36"/>
  </r>
  <r>
    <x v="77"/>
  </r>
  <r>
    <x v="87"/>
  </r>
  <r>
    <x v="4"/>
  </r>
  <r>
    <x v="4"/>
  </r>
  <r>
    <x v="4"/>
  </r>
  <r>
    <x v="10"/>
  </r>
  <r>
    <x v="10"/>
  </r>
  <r>
    <x v="10"/>
  </r>
  <r>
    <x v="175"/>
  </r>
  <r>
    <x v="2"/>
  </r>
  <r>
    <x v="175"/>
  </r>
  <r>
    <x v="12"/>
  </r>
  <r>
    <x v="12"/>
  </r>
  <r>
    <x v="175"/>
  </r>
  <r>
    <x v="48"/>
  </r>
  <r>
    <x v="234"/>
  </r>
  <r>
    <x v="234"/>
  </r>
  <r>
    <x v="77"/>
  </r>
  <r>
    <x v="28"/>
  </r>
  <r>
    <x v="12"/>
  </r>
  <r>
    <x v="14"/>
  </r>
  <r>
    <x v="33"/>
  </r>
  <r>
    <x v="12"/>
  </r>
  <r>
    <x v="22"/>
  </r>
  <r>
    <x v="12"/>
  </r>
  <r>
    <x v="12"/>
  </r>
  <r>
    <x v="12"/>
  </r>
  <r>
    <x v="22"/>
  </r>
  <r>
    <x v="87"/>
  </r>
  <r>
    <x v="87"/>
  </r>
  <r>
    <x v="87"/>
  </r>
  <r>
    <x v="87"/>
  </r>
  <r>
    <x v="87"/>
  </r>
  <r>
    <x v="87"/>
  </r>
  <r>
    <x v="87"/>
  </r>
  <r>
    <x v="152"/>
  </r>
  <r>
    <x v="123"/>
  </r>
  <r>
    <x v="123"/>
  </r>
  <r>
    <x v="123"/>
  </r>
  <r>
    <x v="123"/>
  </r>
  <r>
    <x v="123"/>
  </r>
  <r>
    <x v="123"/>
  </r>
  <r>
    <x v="123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81"/>
  </r>
  <r>
    <x v="78"/>
  </r>
  <r>
    <x v="78"/>
  </r>
  <r>
    <x v="29"/>
  </r>
  <r>
    <x v="78"/>
  </r>
  <r>
    <x v="33"/>
  </r>
  <r>
    <x v="33"/>
  </r>
  <r>
    <x v="22"/>
  </r>
  <r>
    <x v="12"/>
  </r>
  <r>
    <x v="12"/>
  </r>
  <r>
    <x v="12"/>
  </r>
  <r>
    <x v="12"/>
  </r>
  <r>
    <x v="142"/>
  </r>
  <r>
    <x v="142"/>
  </r>
  <r>
    <x v="142"/>
  </r>
  <r>
    <x v="142"/>
  </r>
  <r>
    <x v="10"/>
  </r>
  <r>
    <x v="51"/>
  </r>
  <r>
    <x v="51"/>
  </r>
  <r>
    <x v="51"/>
  </r>
  <r>
    <x v="10"/>
  </r>
  <r>
    <x v="19"/>
  </r>
  <r>
    <x v="12"/>
  </r>
  <r>
    <x v="10"/>
  </r>
  <r>
    <x v="10"/>
  </r>
  <r>
    <x v="4"/>
  </r>
  <r>
    <x v="10"/>
  </r>
  <r>
    <x v="50"/>
  </r>
  <r>
    <x v="11"/>
  </r>
  <r>
    <x v="71"/>
  </r>
  <r>
    <x v="10"/>
  </r>
  <r>
    <x v="10"/>
  </r>
  <r>
    <x v="4"/>
  </r>
  <r>
    <x v="57"/>
  </r>
  <r>
    <x v="10"/>
  </r>
  <r>
    <x v="10"/>
  </r>
  <r>
    <x v="48"/>
  </r>
  <r>
    <x v="17"/>
  </r>
  <r>
    <x v="10"/>
  </r>
  <r>
    <x v="142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6"/>
  </r>
  <r>
    <x v="9"/>
  </r>
  <r>
    <x v="4"/>
  </r>
  <r>
    <x v="57"/>
  </r>
  <r>
    <x v="57"/>
  </r>
  <r>
    <x v="57"/>
  </r>
  <r>
    <x v="42"/>
  </r>
  <r>
    <x v="42"/>
  </r>
  <r>
    <x v="42"/>
  </r>
  <r>
    <x v="12"/>
  </r>
  <r>
    <x v="12"/>
  </r>
  <r>
    <x v="276"/>
  </r>
  <r>
    <x v="12"/>
  </r>
  <r>
    <x v="12"/>
  </r>
  <r>
    <x v="12"/>
  </r>
  <r>
    <x v="12"/>
  </r>
  <r>
    <x v="12"/>
  </r>
  <r>
    <x v="77"/>
  </r>
  <r>
    <x v="4"/>
  </r>
  <r>
    <x v="19"/>
  </r>
  <r>
    <x v="28"/>
  </r>
  <r>
    <x v="87"/>
  </r>
  <r>
    <x v="87"/>
  </r>
  <r>
    <x v="87"/>
  </r>
  <r>
    <x v="87"/>
  </r>
  <r>
    <x v="87"/>
  </r>
  <r>
    <x v="87"/>
  </r>
  <r>
    <x v="10"/>
  </r>
  <r>
    <x v="10"/>
  </r>
  <r>
    <x v="10"/>
  </r>
  <r>
    <x v="10"/>
  </r>
  <r>
    <x v="4"/>
  </r>
  <r>
    <x v="50"/>
  </r>
  <r>
    <x v="4"/>
  </r>
  <r>
    <x v="165"/>
  </r>
  <r>
    <x v="10"/>
  </r>
  <r>
    <x v="72"/>
  </r>
  <r>
    <x v="77"/>
  </r>
  <r>
    <x v="77"/>
  </r>
  <r>
    <x v="77"/>
  </r>
  <r>
    <x v="36"/>
  </r>
  <r>
    <x v="12"/>
  </r>
  <r>
    <x v="126"/>
  </r>
  <r>
    <x v="10"/>
  </r>
  <r>
    <x v="36"/>
  </r>
  <r>
    <x v="42"/>
  </r>
  <r>
    <x v="0"/>
  </r>
  <r>
    <x v="165"/>
  </r>
  <r>
    <x v="7"/>
  </r>
  <r>
    <x v="0"/>
  </r>
  <r>
    <x v="0"/>
  </r>
  <r>
    <x v="4"/>
  </r>
  <r>
    <x v="4"/>
  </r>
  <r>
    <x v="86"/>
  </r>
  <r>
    <x v="86"/>
  </r>
  <r>
    <x v="86"/>
  </r>
  <r>
    <x v="86"/>
  </r>
  <r>
    <x v="72"/>
  </r>
  <r>
    <x v="40"/>
  </r>
  <r>
    <x v="0"/>
  </r>
  <r>
    <x v="63"/>
  </r>
  <r>
    <x v="71"/>
  </r>
  <r>
    <x v="24"/>
  </r>
  <r>
    <x v="183"/>
  </r>
  <r>
    <x v="177"/>
  </r>
  <r>
    <x v="69"/>
  </r>
  <r>
    <x v="152"/>
  </r>
  <r>
    <x v="14"/>
  </r>
  <r>
    <x v="62"/>
  </r>
  <r>
    <x v="141"/>
  </r>
  <r>
    <x v="4"/>
  </r>
  <r>
    <x v="21"/>
  </r>
  <r>
    <x v="21"/>
  </r>
  <r>
    <x v="53"/>
  </r>
  <r>
    <x v="31"/>
  </r>
  <r>
    <x v="154"/>
  </r>
  <r>
    <x v="138"/>
  </r>
  <r>
    <x v="4"/>
  </r>
  <r>
    <x v="138"/>
  </r>
  <r>
    <x v="4"/>
  </r>
  <r>
    <x v="10"/>
  </r>
  <r>
    <x v="108"/>
  </r>
  <r>
    <x v="1"/>
  </r>
  <r>
    <x v="4"/>
  </r>
  <r>
    <x v="4"/>
  </r>
  <r>
    <x v="8"/>
  </r>
  <r>
    <x v="78"/>
  </r>
  <r>
    <x v="78"/>
  </r>
  <r>
    <x v="39"/>
  </r>
  <r>
    <x v="6"/>
  </r>
  <r>
    <x v="14"/>
  </r>
  <r>
    <x v="7"/>
  </r>
  <r>
    <x v="7"/>
  </r>
  <r>
    <x v="45"/>
  </r>
  <r>
    <x v="7"/>
  </r>
  <r>
    <x v="45"/>
  </r>
  <r>
    <x v="7"/>
  </r>
  <r>
    <x v="45"/>
  </r>
  <r>
    <x v="10"/>
  </r>
  <r>
    <x v="10"/>
  </r>
  <r>
    <x v="10"/>
  </r>
  <r>
    <x v="10"/>
  </r>
  <r>
    <x v="10"/>
  </r>
  <r>
    <x v="10"/>
  </r>
  <r>
    <x v="63"/>
  </r>
  <r>
    <x v="77"/>
  </r>
  <r>
    <x v="21"/>
  </r>
  <r>
    <x v="11"/>
  </r>
  <r>
    <x v="77"/>
  </r>
  <r>
    <x v="77"/>
  </r>
  <r>
    <x v="77"/>
  </r>
  <r>
    <x v="77"/>
  </r>
  <r>
    <x v="32"/>
  </r>
  <r>
    <x v="7"/>
  </r>
  <r>
    <x v="77"/>
  </r>
  <r>
    <x v="77"/>
  </r>
  <r>
    <x v="19"/>
  </r>
  <r>
    <x v="26"/>
  </r>
  <r>
    <x v="64"/>
  </r>
  <r>
    <x v="28"/>
  </r>
  <r>
    <x v="28"/>
  </r>
  <r>
    <x v="28"/>
  </r>
  <r>
    <x v="28"/>
  </r>
  <r>
    <x v="28"/>
  </r>
  <r>
    <x v="28"/>
  </r>
  <r>
    <x v="285"/>
  </r>
  <r>
    <x v="9"/>
  </r>
  <r>
    <x v="2"/>
  </r>
  <r>
    <x v="138"/>
  </r>
  <r>
    <x v="138"/>
  </r>
  <r>
    <x v="138"/>
  </r>
  <r>
    <x v="29"/>
  </r>
  <r>
    <x v="63"/>
  </r>
  <r>
    <x v="12"/>
  </r>
  <r>
    <x v="69"/>
  </r>
  <r>
    <x v="69"/>
  </r>
  <r>
    <x v="69"/>
  </r>
  <r>
    <x v="69"/>
  </r>
  <r>
    <x v="10"/>
  </r>
  <r>
    <x v="4"/>
  </r>
  <r>
    <x v="21"/>
  </r>
  <r>
    <x v="7"/>
  </r>
  <r>
    <x v="12"/>
  </r>
  <r>
    <x v="138"/>
  </r>
  <r>
    <x v="23"/>
  </r>
  <r>
    <x v="4"/>
  </r>
  <r>
    <x v="4"/>
  </r>
  <r>
    <x v="4"/>
  </r>
  <r>
    <x v="4"/>
  </r>
  <r>
    <x v="4"/>
  </r>
  <r>
    <x v="2"/>
  </r>
  <r>
    <x v="4"/>
  </r>
  <r>
    <x v="4"/>
  </r>
  <r>
    <x v="4"/>
  </r>
  <r>
    <x v="12"/>
  </r>
  <r>
    <x v="4"/>
  </r>
  <r>
    <x v="4"/>
  </r>
  <r>
    <x v="10"/>
  </r>
  <r>
    <x v="115"/>
  </r>
  <r>
    <x v="4"/>
  </r>
  <r>
    <x v="10"/>
  </r>
  <r>
    <x v="4"/>
  </r>
  <r>
    <x v="10"/>
  </r>
  <r>
    <x v="10"/>
  </r>
  <r>
    <x v="4"/>
  </r>
  <r>
    <x v="10"/>
  </r>
  <r>
    <x v="56"/>
  </r>
  <r>
    <x v="7"/>
  </r>
  <r>
    <x v="7"/>
  </r>
  <r>
    <x v="4"/>
  </r>
  <r>
    <x v="4"/>
  </r>
  <r>
    <x v="165"/>
  </r>
  <r>
    <x v="4"/>
  </r>
  <r>
    <x v="4"/>
  </r>
  <r>
    <x v="4"/>
  </r>
  <r>
    <x v="286"/>
  </r>
  <r>
    <x v="4"/>
  </r>
  <r>
    <x v="138"/>
  </r>
  <r>
    <x v="4"/>
  </r>
  <r>
    <x v="4"/>
  </r>
  <r>
    <x v="4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"/>
  </r>
  <r>
    <x v="4"/>
  </r>
  <r>
    <x v="78"/>
  </r>
  <r>
    <x v="78"/>
  </r>
  <r>
    <x v="78"/>
  </r>
  <r>
    <x v="78"/>
  </r>
  <r>
    <x v="78"/>
  </r>
  <r>
    <x v="78"/>
  </r>
  <r>
    <x v="4"/>
  </r>
  <r>
    <x v="111"/>
  </r>
  <r>
    <x v="122"/>
  </r>
  <r>
    <x v="33"/>
  </r>
  <r>
    <x v="4"/>
  </r>
  <r>
    <x v="190"/>
  </r>
  <r>
    <x v="4"/>
  </r>
  <r>
    <x v="77"/>
  </r>
  <r>
    <x v="4"/>
  </r>
  <r>
    <x v="4"/>
  </r>
  <r>
    <x v="4"/>
  </r>
  <r>
    <x v="138"/>
  </r>
  <r>
    <x v="138"/>
  </r>
  <r>
    <x v="138"/>
  </r>
  <r>
    <x v="138"/>
  </r>
  <r>
    <x v="138"/>
  </r>
  <r>
    <x v="138"/>
  </r>
  <r>
    <x v="138"/>
  </r>
  <r>
    <x v="13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19"/>
  </r>
  <r>
    <x v="78"/>
  </r>
  <r>
    <x v="78"/>
  </r>
  <r>
    <x v="78"/>
  </r>
  <r>
    <x v="78"/>
  </r>
  <r>
    <x v="4"/>
  </r>
  <r>
    <x v="78"/>
  </r>
  <r>
    <x v="78"/>
  </r>
  <r>
    <x v="78"/>
  </r>
  <r>
    <x v="78"/>
  </r>
  <r>
    <x v="78"/>
  </r>
  <r>
    <x v="78"/>
  </r>
  <r>
    <x v="78"/>
  </r>
  <r>
    <x v="78"/>
  </r>
  <r>
    <x v="63"/>
  </r>
  <r>
    <x v="42"/>
  </r>
  <r>
    <x v="12"/>
  </r>
  <r>
    <x v="45"/>
  </r>
  <r>
    <x v="24"/>
  </r>
  <r>
    <x v="28"/>
  </r>
  <r>
    <x v="42"/>
  </r>
  <r>
    <x v="37"/>
  </r>
  <r>
    <x v="37"/>
  </r>
  <r>
    <x v="42"/>
  </r>
  <r>
    <x v="86"/>
  </r>
  <r>
    <x v="86"/>
  </r>
  <r>
    <x v="28"/>
  </r>
  <r>
    <x v="28"/>
  </r>
  <r>
    <x v="28"/>
  </r>
  <r>
    <x v="28"/>
  </r>
  <r>
    <x v="28"/>
  </r>
  <r>
    <x v="28"/>
  </r>
  <r>
    <x v="28"/>
  </r>
  <r>
    <x v="28"/>
  </r>
  <r>
    <x v="57"/>
  </r>
  <r>
    <x v="28"/>
  </r>
  <r>
    <x v="28"/>
  </r>
  <r>
    <x v="28"/>
  </r>
  <r>
    <x v="10"/>
  </r>
  <r>
    <x v="10"/>
  </r>
  <r>
    <x v="3"/>
  </r>
  <r>
    <x v="39"/>
  </r>
  <r>
    <x v="37"/>
  </r>
  <r>
    <x v="79"/>
  </r>
  <r>
    <x v="34"/>
  </r>
  <r>
    <x v="4"/>
  </r>
  <r>
    <x v="78"/>
  </r>
  <r>
    <x v="8"/>
  </r>
  <r>
    <x v="57"/>
  </r>
  <r>
    <x v="28"/>
  </r>
  <r>
    <x v="4"/>
  </r>
  <r>
    <x v="4"/>
  </r>
  <r>
    <x v="48"/>
  </r>
  <r>
    <x v="10"/>
  </r>
  <r>
    <x v="4"/>
  </r>
  <r>
    <x v="28"/>
  </r>
  <r>
    <x v="4"/>
  </r>
  <r>
    <x v="14"/>
  </r>
  <r>
    <x v="4"/>
  </r>
  <r>
    <x v="4"/>
  </r>
  <r>
    <x v="77"/>
  </r>
  <r>
    <x v="77"/>
  </r>
  <r>
    <x v="4"/>
  </r>
  <r>
    <x v="57"/>
  </r>
  <r>
    <x v="4"/>
  </r>
  <r>
    <x v="57"/>
  </r>
  <r>
    <x v="28"/>
  </r>
  <r>
    <x v="25"/>
  </r>
  <r>
    <x v="48"/>
  </r>
  <r>
    <x v="4"/>
  </r>
  <r>
    <x v="4"/>
  </r>
  <r>
    <x v="12"/>
  </r>
  <r>
    <x v="12"/>
  </r>
  <r>
    <x v="22"/>
  </r>
  <r>
    <x v="12"/>
  </r>
  <r>
    <x v="12"/>
  </r>
  <r>
    <x v="11"/>
  </r>
  <r>
    <x v="36"/>
  </r>
  <r>
    <x v="36"/>
  </r>
  <r>
    <x v="24"/>
  </r>
  <r>
    <x v="24"/>
  </r>
  <r>
    <x v="24"/>
  </r>
  <r>
    <x v="24"/>
  </r>
  <r>
    <x v="24"/>
  </r>
  <r>
    <x v="24"/>
  </r>
  <r>
    <x v="36"/>
  </r>
  <r>
    <x v="36"/>
  </r>
  <r>
    <x v="36"/>
  </r>
  <r>
    <x v="36"/>
  </r>
  <r>
    <x v="36"/>
  </r>
  <r>
    <x v="10"/>
  </r>
  <r>
    <x v="4"/>
  </r>
  <r>
    <x v="0"/>
  </r>
  <r>
    <x v="10"/>
  </r>
  <r>
    <x v="126"/>
  </r>
  <r>
    <x v="126"/>
  </r>
  <r>
    <x v="126"/>
  </r>
  <r>
    <x v="7"/>
  </r>
  <r>
    <x v="10"/>
  </r>
  <r>
    <x v="7"/>
  </r>
  <r>
    <x v="10"/>
  </r>
  <r>
    <x v="2"/>
  </r>
  <r>
    <x v="36"/>
  </r>
  <r>
    <x v="36"/>
  </r>
  <r>
    <x v="36"/>
  </r>
  <r>
    <x v="45"/>
  </r>
  <r>
    <x v="36"/>
  </r>
  <r>
    <x v="36"/>
  </r>
  <r>
    <x v="0"/>
  </r>
  <r>
    <x v="36"/>
  </r>
  <r>
    <x v="36"/>
  </r>
  <r>
    <x v="59"/>
  </r>
  <r>
    <x v="171"/>
  </r>
  <r>
    <x v="12"/>
  </r>
  <r>
    <x v="36"/>
  </r>
  <r>
    <x v="36"/>
  </r>
  <r>
    <x v="36"/>
  </r>
  <r>
    <x v="36"/>
  </r>
  <r>
    <x v="10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36"/>
  </r>
  <r>
    <x v="36"/>
  </r>
  <r>
    <x v="36"/>
  </r>
  <r>
    <x v="12"/>
  </r>
  <r>
    <x v="36"/>
  </r>
  <r>
    <x v="36"/>
  </r>
  <r>
    <x v="36"/>
  </r>
  <r>
    <x v="36"/>
  </r>
  <r>
    <x v="36"/>
  </r>
  <r>
    <x v="36"/>
  </r>
  <r>
    <x v="12"/>
  </r>
  <r>
    <x v="12"/>
  </r>
  <r>
    <x v="12"/>
  </r>
  <r>
    <x v="12"/>
  </r>
  <r>
    <x v="68"/>
  </r>
  <r>
    <x v="77"/>
  </r>
  <r>
    <x v="12"/>
  </r>
  <r>
    <x v="12"/>
  </r>
  <r>
    <x v="12"/>
  </r>
  <r>
    <x v="4"/>
  </r>
  <r>
    <x v="14"/>
  </r>
  <r>
    <x v="0"/>
  </r>
  <r>
    <x v="12"/>
  </r>
  <r>
    <x v="171"/>
  </r>
  <r>
    <x v="32"/>
  </r>
  <r>
    <x v="17"/>
  </r>
  <r>
    <x v="78"/>
  </r>
  <r>
    <x v="12"/>
  </r>
  <r>
    <x v="56"/>
  </r>
  <r>
    <x v="36"/>
  </r>
  <r>
    <x v="3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87"/>
  </r>
  <r>
    <x v="56"/>
  </r>
  <r>
    <x v="56"/>
  </r>
  <r>
    <x v="87"/>
  </r>
  <r>
    <x v="87"/>
  </r>
  <r>
    <x v="12"/>
  </r>
  <r>
    <x v="87"/>
  </r>
  <r>
    <x v="36"/>
  </r>
  <r>
    <x v="12"/>
  </r>
  <r>
    <x v="36"/>
  </r>
  <r>
    <x v="12"/>
  </r>
  <r>
    <x v="12"/>
  </r>
  <r>
    <x v="36"/>
  </r>
  <r>
    <x v="12"/>
  </r>
  <r>
    <x v="63"/>
  </r>
  <r>
    <x v="36"/>
  </r>
  <r>
    <x v="63"/>
  </r>
  <r>
    <x v="9"/>
  </r>
  <r>
    <x v="240"/>
  </r>
  <r>
    <x v="10"/>
  </r>
  <r>
    <x v="9"/>
  </r>
  <r>
    <x v="10"/>
  </r>
  <r>
    <x v="10"/>
  </r>
  <r>
    <x v="72"/>
  </r>
  <r>
    <x v="10"/>
  </r>
  <r>
    <x v="87"/>
  </r>
  <r>
    <x v="87"/>
  </r>
  <r>
    <x v="87"/>
  </r>
  <r>
    <x v="12"/>
  </r>
  <r>
    <x v="87"/>
  </r>
  <r>
    <x v="87"/>
  </r>
  <r>
    <x v="87"/>
  </r>
  <r>
    <x v="87"/>
  </r>
  <r>
    <x v="87"/>
  </r>
  <r>
    <x v="87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77"/>
  </r>
  <r>
    <x v="77"/>
  </r>
  <r>
    <x v="123"/>
  </r>
  <r>
    <x v="4"/>
  </r>
  <r>
    <x v="78"/>
  </r>
  <r>
    <x v="78"/>
  </r>
  <r>
    <x v="2"/>
  </r>
  <r>
    <x v="12"/>
  </r>
  <r>
    <x v="12"/>
  </r>
  <r>
    <x v="12"/>
  </r>
  <r>
    <x v="89"/>
  </r>
  <r>
    <x v="89"/>
  </r>
  <r>
    <x v="89"/>
  </r>
  <r>
    <x v="12"/>
  </r>
  <r>
    <x v="10"/>
  </r>
  <r>
    <x v="12"/>
  </r>
  <r>
    <x v="22"/>
  </r>
  <r>
    <x v="12"/>
  </r>
  <r>
    <x v="12"/>
  </r>
  <r>
    <x v="12"/>
  </r>
  <r>
    <x v="12"/>
  </r>
  <r>
    <x v="12"/>
  </r>
  <r>
    <x v="12"/>
  </r>
  <r>
    <x v="11"/>
  </r>
  <r>
    <x v="4"/>
  </r>
  <r>
    <x v="50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2"/>
  </r>
  <r>
    <x v="4"/>
  </r>
  <r>
    <x v="25"/>
  </r>
  <r>
    <x v="108"/>
  </r>
  <r>
    <x v="7"/>
  </r>
  <r>
    <x v="3"/>
  </r>
  <r>
    <x v="3"/>
  </r>
  <r>
    <x v="7"/>
  </r>
  <r>
    <x v="7"/>
  </r>
  <r>
    <x v="7"/>
  </r>
  <r>
    <x v="7"/>
  </r>
  <r>
    <x v="7"/>
  </r>
  <r>
    <x v="7"/>
  </r>
  <r>
    <x v="7"/>
  </r>
  <r>
    <x v="25"/>
  </r>
  <r>
    <x v="4"/>
  </r>
  <r>
    <x v="4"/>
  </r>
  <r>
    <x v="4"/>
  </r>
  <r>
    <x v="123"/>
  </r>
  <r>
    <x v="123"/>
  </r>
  <r>
    <x v="123"/>
  </r>
  <r>
    <x v="10"/>
  </r>
  <r>
    <x v="123"/>
  </r>
  <r>
    <x v="29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78"/>
  </r>
  <r>
    <x v="78"/>
  </r>
  <r>
    <x v="78"/>
  </r>
  <r>
    <x v="78"/>
  </r>
  <r>
    <x v="78"/>
  </r>
  <r>
    <x v="78"/>
  </r>
  <r>
    <x v="131"/>
  </r>
  <r>
    <x v="43"/>
  </r>
  <r>
    <x v="131"/>
  </r>
  <r>
    <x v="24"/>
  </r>
  <r>
    <x v="4"/>
  </r>
  <r>
    <x v="11"/>
  </r>
  <r>
    <x v="11"/>
  </r>
  <r>
    <x v="11"/>
  </r>
  <r>
    <x v="16"/>
  </r>
  <r>
    <x v="12"/>
  </r>
  <r>
    <x v="36"/>
  </r>
  <r>
    <x v="36"/>
  </r>
  <r>
    <x v="36"/>
  </r>
  <r>
    <x v="7"/>
  </r>
  <r>
    <x v="17"/>
  </r>
  <r>
    <x v="77"/>
  </r>
  <r>
    <x v="103"/>
  </r>
  <r>
    <x v="37"/>
  </r>
  <r>
    <x v="10"/>
  </r>
  <r>
    <x v="10"/>
  </r>
  <r>
    <x v="72"/>
  </r>
  <r>
    <x v="7"/>
  </r>
  <r>
    <x v="7"/>
  </r>
  <r>
    <x v="7"/>
  </r>
  <r>
    <x v="7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0"/>
  </r>
  <r>
    <x v="141"/>
  </r>
  <r>
    <x v="4"/>
  </r>
  <r>
    <x v="123"/>
  </r>
  <r>
    <x v="1"/>
  </r>
  <r>
    <x v="138"/>
  </r>
  <r>
    <x v="4"/>
  </r>
  <r>
    <x v="138"/>
  </r>
  <r>
    <x v="12"/>
  </r>
  <r>
    <x v="12"/>
  </r>
  <r>
    <x v="48"/>
  </r>
  <r>
    <x v="138"/>
  </r>
  <r>
    <x v="5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1"/>
  </r>
  <r>
    <x v="0"/>
  </r>
  <r>
    <x v="146"/>
  </r>
  <r>
    <x v="48"/>
  </r>
  <r>
    <x v="42"/>
  </r>
  <r>
    <x v="72"/>
  </r>
  <r>
    <x v="12"/>
  </r>
  <r>
    <x v="42"/>
  </r>
  <r>
    <x v="42"/>
  </r>
  <r>
    <x v="42"/>
  </r>
  <r>
    <x v="87"/>
  </r>
  <r>
    <x v="4"/>
  </r>
  <r>
    <x v="10"/>
  </r>
  <r>
    <x v="4"/>
  </r>
  <r>
    <x v="37"/>
  </r>
  <r>
    <x v="165"/>
  </r>
  <r>
    <x v="28"/>
  </r>
  <r>
    <x v="4"/>
  </r>
  <r>
    <x v="87"/>
  </r>
  <r>
    <x v="79"/>
  </r>
  <r>
    <x v="0"/>
  </r>
  <r>
    <x v="126"/>
  </r>
  <r>
    <x v="126"/>
  </r>
  <r>
    <x v="14"/>
  </r>
  <r>
    <x v="10"/>
  </r>
  <r>
    <x v="4"/>
  </r>
  <r>
    <x v="4"/>
  </r>
  <r>
    <x v="33"/>
  </r>
  <r>
    <x v="63"/>
  </r>
  <r>
    <x v="10"/>
  </r>
  <r>
    <x v="10"/>
  </r>
  <r>
    <x v="10"/>
  </r>
  <r>
    <x v="10"/>
  </r>
  <r>
    <x v="81"/>
  </r>
  <r>
    <x v="10"/>
  </r>
  <r>
    <x v="10"/>
  </r>
  <r>
    <x v="10"/>
  </r>
  <r>
    <x v="42"/>
  </r>
  <r>
    <x v="81"/>
  </r>
  <r>
    <x v="128"/>
  </r>
  <r>
    <x v="128"/>
  </r>
  <r>
    <x v="111"/>
  </r>
  <r>
    <x v="8"/>
  </r>
  <r>
    <x v="8"/>
  </r>
  <r>
    <x v="52"/>
  </r>
  <r>
    <x v="4"/>
  </r>
  <r>
    <x v="4"/>
  </r>
  <r>
    <x v="12"/>
  </r>
  <r>
    <x v="4"/>
  </r>
  <r>
    <x v="4"/>
  </r>
  <r>
    <x v="4"/>
  </r>
  <r>
    <x v="4"/>
  </r>
  <r>
    <x v="4"/>
  </r>
  <r>
    <x v="4"/>
  </r>
  <r>
    <x v="4"/>
  </r>
  <r>
    <x v="4"/>
  </r>
  <r>
    <x v="17"/>
  </r>
  <r>
    <x v="10"/>
  </r>
  <r>
    <x v="4"/>
  </r>
  <r>
    <x v="55"/>
  </r>
  <r>
    <x v="10"/>
  </r>
  <r>
    <x v="55"/>
  </r>
  <r>
    <x v="4"/>
  </r>
  <r>
    <x v="10"/>
  </r>
  <r>
    <x v="55"/>
  </r>
  <r>
    <x v="12"/>
  </r>
  <r>
    <x v="12"/>
  </r>
  <r>
    <x v="43"/>
  </r>
  <r>
    <x v="12"/>
  </r>
  <r>
    <x v="4"/>
  </r>
  <r>
    <x v="12"/>
  </r>
  <r>
    <x v="31"/>
  </r>
  <r>
    <x v="87"/>
  </r>
  <r>
    <x v="87"/>
  </r>
  <r>
    <x v="4"/>
  </r>
  <r>
    <x v="14"/>
  </r>
  <r>
    <x v="14"/>
  </r>
  <r>
    <x v="12"/>
  </r>
  <r>
    <x v="12"/>
  </r>
  <r>
    <x v="80"/>
  </r>
  <r>
    <x v="80"/>
  </r>
  <r>
    <x v="80"/>
  </r>
  <r>
    <x v="80"/>
  </r>
  <r>
    <x v="80"/>
  </r>
  <r>
    <x v="80"/>
  </r>
  <r>
    <x v="80"/>
  </r>
  <r>
    <x v="10"/>
  </r>
  <r>
    <x v="27"/>
  </r>
  <r>
    <x v="27"/>
  </r>
  <r>
    <x v="53"/>
  </r>
  <r>
    <x v="0"/>
  </r>
  <r>
    <x v="0"/>
  </r>
  <r>
    <x v="42"/>
  </r>
  <r>
    <x v="115"/>
  </r>
  <r>
    <x v="115"/>
  </r>
  <r>
    <x v="42"/>
  </r>
  <r>
    <x v="115"/>
  </r>
  <r>
    <x v="115"/>
  </r>
  <r>
    <x v="115"/>
  </r>
  <r>
    <x v="115"/>
  </r>
  <r>
    <x v="115"/>
  </r>
  <r>
    <x v="10"/>
  </r>
  <r>
    <x v="10"/>
  </r>
  <r>
    <x v="10"/>
  </r>
  <r>
    <x v="10"/>
  </r>
  <r>
    <x v="10"/>
  </r>
  <r>
    <x v="10"/>
  </r>
  <r>
    <x v="10"/>
  </r>
  <r>
    <x v="10"/>
  </r>
  <r>
    <x v="251"/>
  </r>
  <r>
    <x v="251"/>
  </r>
  <r>
    <x v="12"/>
  </r>
  <r>
    <x v="10"/>
  </r>
  <r>
    <x v="10"/>
  </r>
  <r>
    <x v="10"/>
  </r>
  <r>
    <x v="87"/>
  </r>
  <r>
    <x v="87"/>
  </r>
  <r>
    <x v="87"/>
  </r>
  <r>
    <x v="87"/>
  </r>
  <r>
    <x v="114"/>
  </r>
  <r>
    <x v="7"/>
  </r>
  <r>
    <x v="7"/>
  </r>
  <r>
    <x v="14"/>
  </r>
  <r>
    <x v="114"/>
  </r>
  <r>
    <x v="8"/>
  </r>
  <r>
    <x v="12"/>
  </r>
  <r>
    <x v="287"/>
  </r>
  <r>
    <x v="7"/>
  </r>
  <r>
    <x v="55"/>
  </r>
  <r>
    <x v="68"/>
  </r>
  <r>
    <x v="7"/>
  </r>
  <r>
    <x v="7"/>
  </r>
  <r>
    <x v="7"/>
  </r>
  <r>
    <x v="114"/>
  </r>
  <r>
    <x v="63"/>
  </r>
  <r>
    <x v="63"/>
  </r>
  <r>
    <x v="11"/>
  </r>
  <r>
    <x v="11"/>
  </r>
  <r>
    <x v="63"/>
  </r>
  <r>
    <x v="63"/>
  </r>
  <r>
    <x v="0"/>
  </r>
  <r>
    <x v="28"/>
  </r>
  <r>
    <x v="28"/>
  </r>
  <r>
    <x v="0"/>
  </r>
  <r>
    <x v="28"/>
  </r>
  <r>
    <x v="28"/>
  </r>
  <r>
    <x v="21"/>
  </r>
  <r>
    <x v="6"/>
  </r>
  <r>
    <x v="6"/>
  </r>
  <r>
    <x v="48"/>
  </r>
  <r>
    <x v="123"/>
  </r>
  <r>
    <x v="10"/>
  </r>
  <r>
    <x v="4"/>
  </r>
  <r>
    <x v="10"/>
  </r>
  <r>
    <x v="10"/>
  </r>
  <r>
    <x v="10"/>
  </r>
  <r>
    <x v="10"/>
  </r>
  <r>
    <x v="85"/>
  </r>
  <r>
    <x v="10"/>
  </r>
  <r>
    <x v="77"/>
  </r>
  <r>
    <x v="108"/>
  </r>
  <r>
    <x v="10"/>
  </r>
  <r>
    <x v="4"/>
  </r>
  <r>
    <x v="12"/>
  </r>
  <r>
    <x v="12"/>
  </r>
  <r>
    <x v="12"/>
  </r>
  <r>
    <x v="12"/>
  </r>
  <r>
    <x v="79"/>
  </r>
  <r>
    <x v="79"/>
  </r>
  <r>
    <x v="12"/>
  </r>
  <r>
    <x v="12"/>
  </r>
  <r>
    <x v="16"/>
  </r>
  <r>
    <x v="12"/>
  </r>
  <r>
    <x v="12"/>
  </r>
  <r>
    <x v="12"/>
  </r>
  <r>
    <x v="12"/>
  </r>
  <r>
    <x v="12"/>
  </r>
  <r>
    <x v="79"/>
  </r>
  <r>
    <x v="79"/>
  </r>
  <r>
    <x v="79"/>
  </r>
  <r>
    <x v="12"/>
  </r>
  <r>
    <x v="123"/>
  </r>
  <r>
    <x v="123"/>
  </r>
  <r>
    <x v="45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23"/>
  </r>
  <r>
    <x v="123"/>
  </r>
  <r>
    <x v="123"/>
  </r>
  <r>
    <x v="115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23"/>
  </r>
  <r>
    <x v="123"/>
  </r>
  <r>
    <x v="123"/>
  </r>
  <r>
    <x v="123"/>
  </r>
  <r>
    <x v="123"/>
  </r>
  <r>
    <x v="123"/>
  </r>
  <r>
    <x v="42"/>
  </r>
  <r>
    <x v="87"/>
  </r>
  <r>
    <x v="123"/>
  </r>
  <r>
    <x v="28"/>
  </r>
  <r>
    <x v="123"/>
  </r>
  <r>
    <x v="123"/>
  </r>
  <r>
    <x v="123"/>
  </r>
  <r>
    <x v="123"/>
  </r>
  <r>
    <x v="123"/>
  </r>
  <r>
    <x v="123"/>
  </r>
  <r>
    <x v="123"/>
  </r>
  <r>
    <x v="12"/>
  </r>
  <r>
    <x v="123"/>
  </r>
  <r>
    <x v="123"/>
  </r>
  <r>
    <x v="123"/>
  </r>
  <r>
    <x v="123"/>
  </r>
  <r>
    <x v="123"/>
  </r>
  <r>
    <x v="48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52"/>
  </r>
  <r>
    <x v="152"/>
  </r>
  <r>
    <x v="152"/>
  </r>
  <r>
    <x v="152"/>
  </r>
  <r>
    <x v="152"/>
  </r>
  <r>
    <x v="115"/>
  </r>
  <r>
    <x v="11"/>
  </r>
  <r>
    <x v="115"/>
  </r>
  <r>
    <x v="22"/>
  </r>
  <r>
    <x v="50"/>
  </r>
  <r>
    <x v="10"/>
  </r>
  <r>
    <x v="81"/>
  </r>
  <r>
    <x v="183"/>
  </r>
  <r>
    <x v="4"/>
  </r>
  <r>
    <x v="4"/>
  </r>
  <r>
    <x v="123"/>
  </r>
  <r>
    <x v="123"/>
  </r>
  <r>
    <x v="4"/>
  </r>
  <r>
    <x v="123"/>
  </r>
  <r>
    <x v="123"/>
  </r>
  <r>
    <x v="4"/>
  </r>
  <r>
    <x v="4"/>
  </r>
  <r>
    <x v="4"/>
  </r>
  <r>
    <x v="4"/>
  </r>
  <r>
    <x v="4"/>
  </r>
  <r>
    <x v="4"/>
  </r>
  <r>
    <x v="63"/>
  </r>
  <r>
    <x v="4"/>
  </r>
  <r>
    <x v="42"/>
  </r>
  <r>
    <x v="4"/>
  </r>
  <r>
    <x v="4"/>
  </r>
  <r>
    <x v="4"/>
  </r>
  <r>
    <x v="10"/>
  </r>
  <r>
    <x v="39"/>
  </r>
  <r>
    <x v="10"/>
  </r>
  <r>
    <x v="10"/>
  </r>
  <r>
    <x v="10"/>
  </r>
  <r>
    <x v="42"/>
  </r>
  <r>
    <x v="42"/>
  </r>
  <r>
    <x v="42"/>
  </r>
  <r>
    <x v="42"/>
  </r>
  <r>
    <x v="42"/>
  </r>
  <r>
    <x v="42"/>
  </r>
  <r>
    <x v="42"/>
  </r>
  <r>
    <x v="12"/>
  </r>
  <r>
    <x v="42"/>
  </r>
  <r>
    <x v="42"/>
  </r>
  <r>
    <x v="42"/>
  </r>
  <r>
    <x v="12"/>
  </r>
  <r>
    <x v="12"/>
  </r>
  <r>
    <x v="12"/>
  </r>
  <r>
    <x v="12"/>
  </r>
  <r>
    <x v="12"/>
  </r>
  <r>
    <x v="276"/>
  </r>
  <r>
    <x v="12"/>
  </r>
  <r>
    <x v="12"/>
  </r>
  <r>
    <x v="42"/>
  </r>
  <r>
    <x v="12"/>
  </r>
  <r>
    <x v="12"/>
  </r>
  <r>
    <x v="12"/>
  </r>
  <r>
    <x v="12"/>
  </r>
  <r>
    <x v="12"/>
  </r>
  <r>
    <x v="10"/>
  </r>
  <r>
    <x v="10"/>
  </r>
  <r>
    <x v="10"/>
  </r>
  <r>
    <x v="10"/>
  </r>
  <r>
    <x v="4"/>
  </r>
  <r>
    <x v="36"/>
  </r>
  <r>
    <x v="36"/>
  </r>
  <r>
    <x v="36"/>
  </r>
  <r>
    <x v="36"/>
  </r>
  <r>
    <x v="36"/>
  </r>
  <r>
    <x v="4"/>
  </r>
  <r>
    <x v="10"/>
  </r>
  <r>
    <x v="4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6"/>
  </r>
  <r>
    <x v="4"/>
  </r>
  <r>
    <x v="77"/>
  </r>
  <r>
    <x v="6"/>
  </r>
  <r>
    <x v="10"/>
  </r>
  <r>
    <x v="10"/>
  </r>
  <r>
    <x v="86"/>
  </r>
  <r>
    <x v="86"/>
  </r>
  <r>
    <x v="4"/>
  </r>
  <r>
    <x v="77"/>
  </r>
  <r>
    <x v="77"/>
  </r>
  <r>
    <x v="77"/>
  </r>
  <r>
    <x v="77"/>
  </r>
  <r>
    <x v="87"/>
  </r>
  <r>
    <x v="77"/>
  </r>
  <r>
    <x v="77"/>
  </r>
  <r>
    <x v="86"/>
  </r>
  <r>
    <x v="86"/>
  </r>
  <r>
    <x v="86"/>
  </r>
  <r>
    <x v="86"/>
  </r>
  <r>
    <x v="71"/>
  </r>
  <r>
    <x v="165"/>
  </r>
  <r>
    <x v="77"/>
  </r>
  <r>
    <x v="77"/>
  </r>
  <r>
    <x v="288"/>
  </r>
  <r>
    <x v="77"/>
  </r>
  <r>
    <x v="12"/>
  </r>
  <r>
    <x v="77"/>
  </r>
  <r>
    <x v="77"/>
  </r>
  <r>
    <x v="77"/>
  </r>
  <r>
    <x v="77"/>
  </r>
  <r>
    <x v="46"/>
  </r>
  <r>
    <x v="12"/>
  </r>
  <r>
    <x v="12"/>
  </r>
  <r>
    <x v="12"/>
  </r>
  <r>
    <x v="55"/>
  </r>
  <r>
    <x v="4"/>
  </r>
  <r>
    <x v="14"/>
  </r>
  <r>
    <x v="71"/>
  </r>
  <r>
    <x v="42"/>
  </r>
  <r>
    <x v="42"/>
  </r>
  <r>
    <x v="42"/>
  </r>
  <r>
    <x v="42"/>
  </r>
  <r>
    <x v="128"/>
  </r>
  <r>
    <x v="28"/>
  </r>
  <r>
    <x v="42"/>
  </r>
  <r>
    <x v="128"/>
  </r>
  <r>
    <x v="128"/>
  </r>
  <r>
    <x v="128"/>
  </r>
  <r>
    <x v="128"/>
  </r>
  <r>
    <x v="128"/>
  </r>
  <r>
    <x v="42"/>
  </r>
  <r>
    <x v="42"/>
  </r>
  <r>
    <x v="53"/>
  </r>
  <r>
    <x v="53"/>
  </r>
  <r>
    <x v="22"/>
  </r>
  <r>
    <x v="22"/>
  </r>
  <r>
    <x v="42"/>
  </r>
  <r>
    <x v="42"/>
  </r>
  <r>
    <x v="42"/>
  </r>
  <r>
    <x v="4"/>
  </r>
  <r>
    <x v="52"/>
  </r>
  <r>
    <x v="4"/>
  </r>
  <r>
    <x v="59"/>
  </r>
  <r>
    <x v="42"/>
  </r>
  <r>
    <x v="49"/>
  </r>
  <r>
    <x v="63"/>
  </r>
  <r>
    <x v="14"/>
  </r>
  <r>
    <x v="48"/>
  </r>
  <r>
    <x v="10"/>
  </r>
  <r>
    <x v="10"/>
  </r>
  <r>
    <x v="10"/>
  </r>
  <r>
    <x v="10"/>
  </r>
  <r>
    <x v="102"/>
  </r>
  <r>
    <x v="24"/>
  </r>
  <r>
    <x v="12"/>
  </r>
  <r>
    <x v="4"/>
  </r>
  <r>
    <x v="10"/>
  </r>
  <r>
    <x v="10"/>
  </r>
  <r>
    <x v="12"/>
  </r>
  <r>
    <x v="100"/>
  </r>
  <r>
    <x v="83"/>
  </r>
  <r>
    <x v="56"/>
  </r>
  <r>
    <x v="64"/>
  </r>
  <r>
    <x v="64"/>
  </r>
  <r>
    <x v="64"/>
  </r>
  <r>
    <x v="64"/>
  </r>
  <r>
    <x v="138"/>
  </r>
  <r>
    <x v="138"/>
  </r>
  <r>
    <x v="138"/>
  </r>
  <r>
    <x v="108"/>
  </r>
  <r>
    <x v="138"/>
  </r>
  <r>
    <x v="138"/>
  </r>
  <r>
    <x v="138"/>
  </r>
  <r>
    <x v="21"/>
  </r>
  <r>
    <x v="165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50"/>
  </r>
  <r>
    <x v="138"/>
  </r>
  <r>
    <x v="138"/>
  </r>
  <r>
    <x v="138"/>
  </r>
  <r>
    <x v="138"/>
  </r>
  <r>
    <x v="138"/>
  </r>
  <r>
    <x v="79"/>
  </r>
  <r>
    <x v="79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6"/>
  </r>
  <r>
    <x v="21"/>
  </r>
  <r>
    <x v="7"/>
  </r>
  <r>
    <x v="138"/>
  </r>
  <r>
    <x v="50"/>
  </r>
  <r>
    <x v="42"/>
  </r>
  <r>
    <x v="45"/>
  </r>
  <r>
    <x v="129"/>
  </r>
  <r>
    <x v="129"/>
  </r>
  <r>
    <x v="4"/>
  </r>
  <r>
    <x v="87"/>
  </r>
  <r>
    <x v="138"/>
  </r>
  <r>
    <x v="2"/>
  </r>
  <r>
    <x v="10"/>
  </r>
  <r>
    <x v="42"/>
  </r>
  <r>
    <x v="42"/>
  </r>
  <r>
    <x v="42"/>
  </r>
  <r>
    <x v="42"/>
  </r>
  <r>
    <x v="42"/>
  </r>
  <r>
    <x v="42"/>
  </r>
  <r>
    <x v="36"/>
  </r>
  <r>
    <x v="36"/>
  </r>
  <r>
    <x v="42"/>
  </r>
  <r>
    <x v="42"/>
  </r>
  <r>
    <x v="42"/>
  </r>
  <r>
    <x v="42"/>
  </r>
  <r>
    <x v="42"/>
  </r>
  <r>
    <x v="42"/>
  </r>
  <r>
    <x v="48"/>
  </r>
  <r>
    <x v="123"/>
  </r>
  <r>
    <x v="14"/>
  </r>
  <r>
    <x v="36"/>
  </r>
  <r>
    <x v="36"/>
  </r>
  <r>
    <x v="87"/>
  </r>
  <r>
    <x v="36"/>
  </r>
  <r>
    <x v="36"/>
  </r>
  <r>
    <x v="36"/>
  </r>
  <r>
    <x v="7"/>
  </r>
  <r>
    <x v="7"/>
  </r>
  <r>
    <x v="36"/>
  </r>
  <r>
    <x v="36"/>
  </r>
  <r>
    <x v="36"/>
  </r>
  <r>
    <x v="36"/>
  </r>
  <r>
    <x v="85"/>
  </r>
  <r>
    <x v="11"/>
  </r>
  <r>
    <x v="36"/>
  </r>
  <r>
    <x v="26"/>
  </r>
  <r>
    <x v="36"/>
  </r>
  <r>
    <x v="36"/>
  </r>
  <r>
    <x v="36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12"/>
  </r>
  <r>
    <x v="12"/>
  </r>
  <r>
    <x v="12"/>
  </r>
  <r>
    <x v="78"/>
  </r>
  <r>
    <x v="78"/>
  </r>
  <r>
    <x v="12"/>
  </r>
  <r>
    <x v="12"/>
  </r>
  <r>
    <x v="12"/>
  </r>
  <r>
    <x v="12"/>
  </r>
  <r>
    <x v="12"/>
  </r>
  <r>
    <x v="12"/>
  </r>
  <r>
    <x v="85"/>
  </r>
  <r>
    <x v="71"/>
  </r>
  <r>
    <x v="12"/>
  </r>
  <r>
    <x v="12"/>
  </r>
  <r>
    <x v="71"/>
  </r>
  <r>
    <x v="128"/>
  </r>
  <r>
    <x v="128"/>
  </r>
  <r>
    <x v="128"/>
  </r>
  <r>
    <x v="128"/>
  </r>
  <r>
    <x v="128"/>
  </r>
  <r>
    <x v="128"/>
  </r>
  <r>
    <x v="48"/>
  </r>
  <r>
    <x v="2"/>
  </r>
  <r>
    <x v="34"/>
  </r>
  <r>
    <x v="25"/>
  </r>
  <r>
    <x v="42"/>
  </r>
  <r>
    <x v="42"/>
  </r>
  <r>
    <x v="42"/>
  </r>
  <r>
    <x v="42"/>
  </r>
  <r>
    <x v="42"/>
  </r>
  <r>
    <x v="81"/>
  </r>
  <r>
    <x v="21"/>
  </r>
  <r>
    <x v="70"/>
  </r>
  <r>
    <x v="21"/>
  </r>
  <r>
    <x v="21"/>
  </r>
  <r>
    <x v="50"/>
  </r>
  <r>
    <x v="50"/>
  </r>
  <r>
    <x v="50"/>
  </r>
  <r>
    <x v="4"/>
  </r>
  <r>
    <x v="4"/>
  </r>
  <r>
    <x v="4"/>
  </r>
  <r>
    <x v="4"/>
  </r>
  <r>
    <x v="75"/>
  </r>
  <r>
    <x v="9"/>
  </r>
  <r>
    <x v="86"/>
  </r>
  <r>
    <x v="86"/>
  </r>
  <r>
    <x v="86"/>
  </r>
  <r>
    <x v="86"/>
  </r>
  <r>
    <x v="86"/>
  </r>
  <r>
    <x v="42"/>
  </r>
  <r>
    <x v="45"/>
  </r>
  <r>
    <x v="10"/>
  </r>
  <r>
    <x v="10"/>
  </r>
  <r>
    <x v="70"/>
  </r>
  <r>
    <x v="123"/>
  </r>
  <r>
    <x v="12"/>
  </r>
  <r>
    <x v="4"/>
  </r>
  <r>
    <x v="123"/>
  </r>
  <r>
    <x v="142"/>
  </r>
  <r>
    <x v="165"/>
  </r>
  <r>
    <x v="4"/>
  </r>
  <r>
    <x v="123"/>
  </r>
  <r>
    <x v="152"/>
  </r>
  <r>
    <x v="152"/>
  </r>
  <r>
    <x v="152"/>
  </r>
  <r>
    <x v="152"/>
  </r>
  <r>
    <x v="55"/>
  </r>
  <r>
    <x v="55"/>
  </r>
  <r>
    <x v="76"/>
  </r>
  <r>
    <x v="4"/>
  </r>
  <r>
    <x v="4"/>
  </r>
  <r>
    <x v="4"/>
  </r>
  <r>
    <x v="21"/>
  </r>
  <r>
    <x v="21"/>
  </r>
  <r>
    <x v="4"/>
  </r>
  <r>
    <x v="16"/>
  </r>
  <r>
    <x v="28"/>
  </r>
  <r>
    <x v="10"/>
  </r>
  <r>
    <x v="284"/>
  </r>
  <r>
    <x v="9"/>
  </r>
  <r>
    <x v="9"/>
  </r>
  <r>
    <x v="10"/>
  </r>
  <r>
    <x v="46"/>
  </r>
  <r>
    <x v="7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123"/>
  </r>
  <r>
    <x v="152"/>
  </r>
  <r>
    <x v="152"/>
  </r>
  <r>
    <x v="123"/>
  </r>
  <r>
    <x v="123"/>
  </r>
  <r>
    <x v="4"/>
  </r>
  <r>
    <x v="63"/>
  </r>
  <r>
    <x v="63"/>
  </r>
  <r>
    <x v="63"/>
  </r>
  <r>
    <x v="63"/>
  </r>
  <r>
    <x v="17"/>
  </r>
  <r>
    <x v="45"/>
  </r>
  <r>
    <x v="45"/>
  </r>
  <r>
    <x v="26"/>
  </r>
  <r>
    <x v="45"/>
  </r>
  <r>
    <x v="10"/>
  </r>
  <r>
    <x v="10"/>
  </r>
  <r>
    <x v="10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39"/>
  </r>
  <r>
    <x v="39"/>
  </r>
  <r>
    <x v="39"/>
  </r>
  <r>
    <x v="86"/>
  </r>
  <r>
    <x v="86"/>
  </r>
  <r>
    <x v="152"/>
  </r>
  <r>
    <x v="152"/>
  </r>
  <r>
    <x v="152"/>
  </r>
  <r>
    <x v="152"/>
  </r>
  <r>
    <x v="123"/>
  </r>
  <r>
    <x v="123"/>
  </r>
  <r>
    <x v="123"/>
  </r>
  <r>
    <x v="93"/>
  </r>
  <r>
    <x v="123"/>
  </r>
  <r>
    <x v="123"/>
  </r>
  <r>
    <x v="123"/>
  </r>
  <r>
    <x v="123"/>
  </r>
  <r>
    <x v="123"/>
  </r>
  <r>
    <x v="4"/>
  </r>
  <r>
    <x v="12"/>
  </r>
  <r>
    <x v="12"/>
  </r>
  <r>
    <x v="4"/>
  </r>
  <r>
    <x v="24"/>
  </r>
  <r>
    <x v="24"/>
  </r>
  <r>
    <x v="24"/>
  </r>
  <r>
    <x v="24"/>
  </r>
  <r>
    <x v="77"/>
  </r>
  <r>
    <x v="138"/>
  </r>
  <r>
    <x v="138"/>
  </r>
  <r>
    <x v="138"/>
  </r>
  <r>
    <x v="85"/>
  </r>
  <r>
    <x v="87"/>
  </r>
  <r>
    <x v="87"/>
  </r>
  <r>
    <x v="87"/>
  </r>
  <r>
    <x v="4"/>
  </r>
  <r>
    <x v="4"/>
  </r>
  <r>
    <x v="4"/>
  </r>
  <r>
    <x v="42"/>
  </r>
  <r>
    <x v="36"/>
  </r>
  <r>
    <x v="87"/>
  </r>
  <r>
    <x v="4"/>
  </r>
  <r>
    <x v="57"/>
  </r>
  <r>
    <x v="4"/>
  </r>
  <r>
    <x v="12"/>
  </r>
  <r>
    <x v="52"/>
  </r>
  <r>
    <x v="12"/>
  </r>
  <r>
    <x v="12"/>
  </r>
  <r>
    <x v="12"/>
  </r>
  <r>
    <x v="12"/>
  </r>
  <r>
    <x v="12"/>
  </r>
  <r>
    <x v="0"/>
  </r>
  <r>
    <x v="42"/>
  </r>
  <r>
    <x v="251"/>
  </r>
  <r>
    <x v="251"/>
  </r>
  <r>
    <x v="251"/>
  </r>
  <r>
    <x v="7"/>
  </r>
  <r>
    <x v="4"/>
  </r>
  <r>
    <x v="4"/>
  </r>
  <r>
    <x v="4"/>
  </r>
  <r>
    <x v="2"/>
  </r>
  <r>
    <x v="42"/>
  </r>
  <r>
    <x v="42"/>
  </r>
  <r>
    <x v="2"/>
  </r>
  <r>
    <x v="42"/>
  </r>
  <r>
    <x v="42"/>
  </r>
  <r>
    <x v="42"/>
  </r>
  <r>
    <x v="42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87"/>
  </r>
  <r>
    <x v="87"/>
  </r>
  <r>
    <x v="87"/>
  </r>
  <r>
    <x v="87"/>
  </r>
  <r>
    <x v="12"/>
  </r>
  <r>
    <x v="85"/>
  </r>
  <r>
    <x v="50"/>
  </r>
  <r>
    <x v="50"/>
  </r>
  <r>
    <x v="50"/>
  </r>
  <r>
    <x v="50"/>
  </r>
  <r>
    <x v="4"/>
  </r>
  <r>
    <x v="63"/>
  </r>
  <r>
    <x v="0"/>
  </r>
  <r>
    <x v="31"/>
  </r>
  <r>
    <x v="63"/>
  </r>
  <r>
    <x v="63"/>
  </r>
  <r>
    <x v="34"/>
  </r>
  <r>
    <x v="63"/>
  </r>
  <r>
    <x v="63"/>
  </r>
  <r>
    <x v="48"/>
  </r>
  <r>
    <x v="16"/>
  </r>
  <r>
    <x v="63"/>
  </r>
  <r>
    <x v="63"/>
  </r>
  <r>
    <x v="160"/>
  </r>
  <r>
    <x v="63"/>
  </r>
  <r>
    <x v="63"/>
  </r>
  <r>
    <x v="63"/>
  </r>
  <r>
    <x v="10"/>
  </r>
  <r>
    <x v="4"/>
  </r>
  <r>
    <x v="4"/>
  </r>
  <r>
    <x v="10"/>
  </r>
  <r>
    <x v="10"/>
  </r>
  <r>
    <x v="0"/>
  </r>
  <r>
    <x v="4"/>
  </r>
  <r>
    <x v="4"/>
  </r>
  <r>
    <x v="10"/>
  </r>
  <r>
    <x v="76"/>
  </r>
  <r>
    <x v="0"/>
  </r>
  <r>
    <x v="12"/>
  </r>
  <r>
    <x v="10"/>
  </r>
  <r>
    <x v="10"/>
  </r>
  <r>
    <x v="34"/>
  </r>
  <r>
    <x v="0"/>
  </r>
  <r>
    <x v="4"/>
  </r>
  <r>
    <x v="32"/>
  </r>
  <r>
    <x v="14"/>
  </r>
  <r>
    <x v="14"/>
  </r>
  <r>
    <x v="10"/>
  </r>
  <r>
    <x v="10"/>
  </r>
  <r>
    <x v="10"/>
  </r>
  <r>
    <x v="10"/>
  </r>
  <r>
    <x v="10"/>
  </r>
  <r>
    <x v="10"/>
  </r>
  <r>
    <x v="10"/>
  </r>
  <r>
    <x v="10"/>
  </r>
  <r>
    <x v="8"/>
  </r>
  <r>
    <x v="10"/>
  </r>
  <r>
    <x v="10"/>
  </r>
  <r>
    <x v="10"/>
  </r>
  <r>
    <x v="10"/>
  </r>
  <r>
    <x v="10"/>
  </r>
  <r>
    <x v="10"/>
  </r>
  <r>
    <x v="10"/>
  </r>
  <r>
    <x v="1"/>
  </r>
  <r>
    <x v="14"/>
  </r>
  <r>
    <x v="10"/>
  </r>
  <r>
    <x v="85"/>
  </r>
  <r>
    <x v="4"/>
  </r>
  <r>
    <x v="4"/>
  </r>
  <r>
    <x v="10"/>
  </r>
  <r>
    <x v="42"/>
  </r>
  <r>
    <x v="10"/>
  </r>
  <r>
    <x v="10"/>
  </r>
  <r>
    <x v="10"/>
  </r>
  <r>
    <x v="10"/>
  </r>
  <r>
    <x v="0"/>
  </r>
  <r>
    <x v="10"/>
  </r>
  <r>
    <x v="106"/>
  </r>
  <r>
    <x v="10"/>
  </r>
  <r>
    <x v="10"/>
  </r>
  <r>
    <x v="10"/>
  </r>
  <r>
    <x v="10"/>
  </r>
  <r>
    <x v="10"/>
  </r>
  <r>
    <x v="77"/>
  </r>
  <r>
    <x v="85"/>
  </r>
  <r>
    <x v="87"/>
  </r>
  <r>
    <x v="42"/>
  </r>
  <r>
    <x v="42"/>
  </r>
  <r>
    <x v="42"/>
  </r>
  <r>
    <x v="123"/>
  </r>
  <r>
    <x v="36"/>
  </r>
  <r>
    <x v="36"/>
  </r>
  <r>
    <x v="36"/>
  </r>
  <r>
    <x v="210"/>
  </r>
  <r>
    <x v="87"/>
  </r>
  <r>
    <x v="42"/>
  </r>
  <r>
    <x v="87"/>
  </r>
  <r>
    <x v="8"/>
  </r>
  <r>
    <x v="87"/>
  </r>
  <r>
    <x v="4"/>
  </r>
  <r>
    <x v="4"/>
  </r>
  <r>
    <x v="45"/>
  </r>
  <r>
    <x v="28"/>
  </r>
  <r>
    <x v="87"/>
  </r>
  <r>
    <x v="108"/>
  </r>
  <r>
    <x v="87"/>
  </r>
  <r>
    <x v="87"/>
  </r>
  <r>
    <x v="87"/>
  </r>
  <r>
    <x v="87"/>
  </r>
  <r>
    <x v="10"/>
  </r>
  <r>
    <x v="10"/>
  </r>
  <r>
    <x v="10"/>
  </r>
  <r>
    <x v="4"/>
  </r>
  <r>
    <x v="4"/>
  </r>
  <r>
    <x v="4"/>
  </r>
  <r>
    <x v="4"/>
  </r>
  <r>
    <x v="77"/>
  </r>
  <r>
    <x v="77"/>
  </r>
  <r>
    <x v="7"/>
  </r>
  <r>
    <x v="75"/>
  </r>
  <r>
    <x v="63"/>
  </r>
  <r>
    <x v="7"/>
  </r>
  <r>
    <x v="85"/>
  </r>
  <r>
    <x v="12"/>
  </r>
  <r>
    <x v="138"/>
  </r>
  <r>
    <x v="77"/>
  </r>
  <r>
    <x v="11"/>
  </r>
  <r>
    <x v="77"/>
  </r>
  <r>
    <x v="77"/>
  </r>
  <r>
    <x v="77"/>
  </r>
  <r>
    <x v="123"/>
  </r>
  <r>
    <x v="77"/>
  </r>
  <r>
    <x v="4"/>
  </r>
  <r>
    <x v="4"/>
  </r>
  <r>
    <x v="4"/>
  </r>
  <r>
    <x v="4"/>
  </r>
  <r>
    <x v="4"/>
  </r>
  <r>
    <x v="25"/>
  </r>
  <r>
    <x v="31"/>
  </r>
  <r>
    <x v="100"/>
  </r>
  <r>
    <x v="130"/>
  </r>
  <r>
    <x v="12"/>
  </r>
  <r>
    <x v="0"/>
  </r>
  <r>
    <x v="69"/>
  </r>
  <r>
    <x v="69"/>
  </r>
  <r>
    <x v="69"/>
  </r>
  <r>
    <x v="69"/>
  </r>
  <r>
    <x v="69"/>
  </r>
  <r>
    <x v="69"/>
  </r>
  <r>
    <x v="55"/>
  </r>
  <r>
    <x v="2"/>
  </r>
  <r>
    <x v="85"/>
  </r>
  <r>
    <x v="85"/>
  </r>
  <r>
    <x v="123"/>
  </r>
  <r>
    <x v="123"/>
  </r>
  <r>
    <x v="123"/>
  </r>
  <r>
    <x v="123"/>
  </r>
  <r>
    <x v="123"/>
  </r>
  <r>
    <x v="123"/>
  </r>
  <r>
    <x v="123"/>
  </r>
  <r>
    <x v="123"/>
  </r>
  <r>
    <x v="108"/>
  </r>
  <r>
    <x v="14"/>
  </r>
  <r>
    <x v="48"/>
  </r>
  <r>
    <x v="7"/>
  </r>
  <r>
    <x v="17"/>
  </r>
  <r>
    <x v="77"/>
  </r>
  <r>
    <x v="85"/>
  </r>
  <r>
    <x v="12"/>
  </r>
  <r>
    <x v="12"/>
  </r>
  <r>
    <x v="251"/>
  </r>
  <r>
    <x v="21"/>
  </r>
  <r>
    <x v="12"/>
  </r>
  <r>
    <x v="4"/>
  </r>
  <r>
    <x v="10"/>
  </r>
  <r>
    <x v="50"/>
  </r>
  <r>
    <x v="4"/>
  </r>
  <r>
    <x v="138"/>
  </r>
  <r>
    <x v="10"/>
  </r>
  <r>
    <x v="114"/>
  </r>
  <r>
    <x v="4"/>
  </r>
  <r>
    <x v="114"/>
  </r>
  <r>
    <x v="114"/>
  </r>
  <r>
    <x v="4"/>
  </r>
  <r>
    <x v="4"/>
  </r>
  <r>
    <x v="50"/>
  </r>
  <r>
    <x v="11"/>
  </r>
  <r>
    <x v="114"/>
  </r>
  <r>
    <x v="11"/>
  </r>
  <r>
    <x v="4"/>
  </r>
  <r>
    <x v="56"/>
  </r>
  <r>
    <x v="56"/>
  </r>
  <r>
    <x v="56"/>
  </r>
  <r>
    <x v="56"/>
  </r>
  <r>
    <x v="56"/>
  </r>
  <r>
    <x v="52"/>
  </r>
  <r>
    <x v="56"/>
  </r>
  <r>
    <x v="56"/>
  </r>
  <r>
    <x v="36"/>
  </r>
  <r>
    <x v="36"/>
  </r>
  <r>
    <x v="56"/>
  </r>
  <r>
    <x v="56"/>
  </r>
  <r>
    <x v="36"/>
  </r>
  <r>
    <x v="14"/>
  </r>
  <r>
    <x v="12"/>
  </r>
  <r>
    <x v="12"/>
  </r>
  <r>
    <x v="12"/>
  </r>
  <r>
    <x v="12"/>
  </r>
  <r>
    <x v="12"/>
  </r>
  <r>
    <x v="12"/>
  </r>
  <r>
    <x v="12"/>
  </r>
  <r>
    <x v="12"/>
  </r>
  <r>
    <x v="42"/>
  </r>
  <r>
    <x v="42"/>
  </r>
  <r>
    <x v="42"/>
  </r>
  <r>
    <x v="42"/>
  </r>
  <r>
    <x v="128"/>
  </r>
  <r>
    <x v="128"/>
  </r>
  <r>
    <x v="63"/>
  </r>
  <r>
    <x v="128"/>
  </r>
  <r>
    <x v="128"/>
  </r>
  <r>
    <x v="128"/>
  </r>
  <r>
    <x v="42"/>
  </r>
  <r>
    <x v="42"/>
  </r>
  <r>
    <x v="48"/>
  </r>
  <r>
    <x v="28"/>
  </r>
  <r>
    <x v="10"/>
  </r>
  <r>
    <x v="9"/>
  </r>
  <r>
    <x v="10"/>
  </r>
  <r>
    <x v="10"/>
  </r>
  <r>
    <x v="21"/>
  </r>
  <r>
    <x v="7"/>
  </r>
  <r>
    <x v="7"/>
  </r>
  <r>
    <x v="7"/>
  </r>
  <r>
    <x v="7"/>
  </r>
  <r>
    <x v="7"/>
  </r>
  <r>
    <x v="138"/>
  </r>
  <r>
    <x v="26"/>
  </r>
  <r>
    <x v="1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10"/>
  </r>
  <r>
    <x v="10"/>
  </r>
  <r>
    <x v="4"/>
  </r>
  <r>
    <x v="12"/>
  </r>
  <r>
    <x v="87"/>
  </r>
  <r>
    <x v="87"/>
  </r>
  <r>
    <x v="123"/>
  </r>
  <r>
    <x v="123"/>
  </r>
  <r>
    <x v="123"/>
  </r>
  <r>
    <x v="25"/>
  </r>
  <r>
    <x v="123"/>
  </r>
  <r>
    <x v="25"/>
  </r>
  <r>
    <x v="76"/>
  </r>
  <r>
    <x v="7"/>
  </r>
  <r>
    <x v="36"/>
  </r>
  <r>
    <x v="115"/>
  </r>
  <r>
    <x v="77"/>
  </r>
  <r>
    <x v="251"/>
  </r>
  <r>
    <x v="108"/>
  </r>
  <r>
    <x v="12"/>
  </r>
  <r>
    <x v="10"/>
  </r>
  <r>
    <x v="10"/>
  </r>
  <r>
    <x v="10"/>
  </r>
  <r>
    <x v="10"/>
  </r>
  <r>
    <x v="87"/>
  </r>
  <r>
    <x v="87"/>
  </r>
  <r>
    <x v="87"/>
  </r>
  <r>
    <x v="87"/>
  </r>
  <r>
    <x v="7"/>
  </r>
  <r>
    <x v="7"/>
  </r>
  <r>
    <x v="7"/>
  </r>
  <r>
    <x v="7"/>
  </r>
  <r>
    <x v="53"/>
  </r>
  <r>
    <x v="287"/>
  </r>
  <r>
    <x v="114"/>
  </r>
  <r>
    <x v="7"/>
  </r>
  <r>
    <x v="7"/>
  </r>
  <r>
    <x v="114"/>
  </r>
  <r>
    <x v="68"/>
  </r>
  <r>
    <x v="7"/>
  </r>
  <r>
    <x v="7"/>
  </r>
  <r>
    <x v="7"/>
  </r>
  <r>
    <x v="63"/>
  </r>
  <r>
    <x v="63"/>
  </r>
  <r>
    <x v="63"/>
  </r>
  <r>
    <x v="63"/>
  </r>
  <r>
    <x v="63"/>
  </r>
  <r>
    <x v="63"/>
  </r>
  <r>
    <x v="0"/>
  </r>
  <r>
    <x v="63"/>
  </r>
  <r>
    <x v="10"/>
  </r>
  <r>
    <x v="28"/>
  </r>
  <r>
    <x v="28"/>
  </r>
  <r>
    <x v="28"/>
  </r>
  <r>
    <x v="28"/>
  </r>
  <r>
    <x v="28"/>
  </r>
  <r>
    <x v="28"/>
  </r>
  <r>
    <x v="1"/>
  </r>
  <r>
    <x v="28"/>
  </r>
  <r>
    <x v="289"/>
  </r>
  <r>
    <x v="10"/>
  </r>
  <r>
    <x v="6"/>
  </r>
  <r>
    <x v="6"/>
  </r>
  <r>
    <x v="48"/>
  </r>
  <r>
    <x v="10"/>
  </r>
  <r>
    <x v="4"/>
  </r>
  <r>
    <x v="4"/>
  </r>
  <r>
    <x v="12"/>
  </r>
  <r>
    <x v="10"/>
  </r>
  <r>
    <x v="10"/>
  </r>
  <r>
    <x v="10"/>
  </r>
  <r>
    <x v="7"/>
  </r>
  <r>
    <x v="4"/>
  </r>
  <r>
    <x v="4"/>
  </r>
  <r>
    <x v="12"/>
  </r>
  <r>
    <x v="12"/>
  </r>
  <r>
    <x v="0"/>
  </r>
  <r>
    <x v="77"/>
  </r>
  <r>
    <x v="7"/>
  </r>
  <r>
    <x v="77"/>
  </r>
  <r>
    <x v="77"/>
  </r>
  <r>
    <x v="77"/>
  </r>
  <r>
    <x v="4"/>
  </r>
  <r>
    <x v="10"/>
  </r>
  <r>
    <x v="204"/>
  </r>
  <r>
    <x v="10"/>
  </r>
  <r>
    <x v="12"/>
  </r>
  <r>
    <x v="12"/>
  </r>
  <r>
    <x v="79"/>
  </r>
  <r>
    <x v="79"/>
  </r>
  <r>
    <x v="3"/>
  </r>
  <r>
    <x v="27"/>
  </r>
  <r>
    <x v="27"/>
  </r>
  <r>
    <x v="56"/>
  </r>
  <r>
    <x v="56"/>
  </r>
  <r>
    <x v="56"/>
  </r>
  <r>
    <x v="56"/>
  </r>
  <r>
    <x v="10"/>
  </r>
  <r>
    <x v="36"/>
  </r>
  <r>
    <x v="87"/>
  </r>
  <r>
    <x v="10"/>
  </r>
  <r>
    <x v="76"/>
  </r>
  <r>
    <x v="10"/>
  </r>
  <r>
    <x v="10"/>
  </r>
  <r>
    <x v="10"/>
  </r>
  <r>
    <x v="10"/>
  </r>
  <r>
    <x v="10"/>
  </r>
  <r>
    <x v="10"/>
  </r>
  <r>
    <x v="77"/>
  </r>
  <r>
    <x v="77"/>
  </r>
  <r>
    <x v="77"/>
  </r>
  <r>
    <x v="77"/>
  </r>
  <r>
    <x v="77"/>
  </r>
  <r>
    <x v="4"/>
  </r>
  <r>
    <x v="22"/>
  </r>
  <r>
    <x v="22"/>
  </r>
  <r>
    <x v="4"/>
  </r>
  <r>
    <x v="4"/>
  </r>
  <r>
    <x v="4"/>
  </r>
  <r>
    <x v="4"/>
  </r>
  <r>
    <x v="4"/>
  </r>
  <r>
    <x v="4"/>
  </r>
  <r>
    <x v="4"/>
  </r>
  <r>
    <x v="4"/>
  </r>
  <r>
    <x v="17"/>
  </r>
  <r>
    <x v="77"/>
  </r>
  <r>
    <x v="77"/>
  </r>
  <r>
    <x v="77"/>
  </r>
  <r>
    <x v="129"/>
  </r>
  <r>
    <x v="87"/>
  </r>
  <r>
    <x v="87"/>
  </r>
  <r>
    <x v="12"/>
  </r>
  <r>
    <x v="0"/>
  </r>
  <r>
    <x v="0"/>
  </r>
  <r>
    <x v="77"/>
  </r>
  <r>
    <x v="7"/>
  </r>
  <r>
    <x v="12"/>
  </r>
  <r>
    <x v="12"/>
  </r>
  <r>
    <x v="12"/>
  </r>
  <r>
    <x v="42"/>
  </r>
  <r>
    <x v="56"/>
  </r>
  <r>
    <x v="42"/>
  </r>
  <r>
    <x v="42"/>
  </r>
  <r>
    <x v="42"/>
  </r>
  <r>
    <x v="42"/>
  </r>
  <r>
    <x v="42"/>
  </r>
  <r>
    <x v="42"/>
  </r>
  <r>
    <x v="5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12"/>
  </r>
  <r>
    <x v="42"/>
  </r>
  <r>
    <x v="78"/>
  </r>
  <r>
    <x v="42"/>
  </r>
  <r>
    <x v="80"/>
  </r>
  <r>
    <x v="80"/>
  </r>
  <r>
    <x v="80"/>
  </r>
  <r>
    <x v="80"/>
  </r>
  <r>
    <x v="80"/>
  </r>
  <r>
    <x v="45"/>
  </r>
  <r>
    <x v="12"/>
  </r>
  <r>
    <x v="12"/>
  </r>
  <r>
    <x v="0"/>
  </r>
  <r>
    <x v="0"/>
  </r>
  <r>
    <x v="87"/>
  </r>
  <r>
    <x v="12"/>
  </r>
  <r>
    <x v="10"/>
  </r>
  <r>
    <x v="10"/>
  </r>
  <r>
    <x v="12"/>
  </r>
  <r>
    <x v="28"/>
  </r>
  <r>
    <x v="28"/>
  </r>
  <r>
    <x v="28"/>
  </r>
  <r>
    <x v="138"/>
  </r>
  <r>
    <x v="28"/>
  </r>
  <r>
    <x v="0"/>
  </r>
  <r>
    <x v="0"/>
  </r>
  <r>
    <x v="81"/>
  </r>
  <r>
    <x v="0"/>
  </r>
  <r>
    <x v="33"/>
  </r>
  <r>
    <x v="17"/>
  </r>
  <r>
    <x v="87"/>
  </r>
  <r>
    <x v="0"/>
  </r>
  <r>
    <x v="17"/>
  </r>
  <r>
    <x v="43"/>
  </r>
  <r>
    <x v="87"/>
  </r>
  <r>
    <x v="87"/>
  </r>
  <r>
    <x v="87"/>
  </r>
  <r>
    <x v="10"/>
  </r>
  <r>
    <x v="15"/>
  </r>
  <r>
    <x v="15"/>
  </r>
  <r>
    <x v="77"/>
  </r>
  <r>
    <x v="33"/>
  </r>
  <r>
    <x v="175"/>
  </r>
  <r>
    <x v="56"/>
  </r>
  <r>
    <x v="2"/>
  </r>
  <r>
    <x v="85"/>
  </r>
  <r>
    <x v="85"/>
  </r>
  <r>
    <x v="10"/>
  </r>
  <r>
    <x v="16"/>
  </r>
  <r>
    <x v="10"/>
  </r>
  <r>
    <x v="4"/>
  </r>
  <r>
    <x v="4"/>
  </r>
  <r>
    <x v="138"/>
  </r>
  <r>
    <x v="4"/>
  </r>
  <r>
    <x v="138"/>
  </r>
  <r>
    <x v="138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15"/>
  </r>
  <r>
    <x v="115"/>
  </r>
  <r>
    <x v="115"/>
  </r>
  <r>
    <x v="115"/>
  </r>
  <r>
    <x v="115"/>
  </r>
  <r>
    <x v="115"/>
  </r>
  <r>
    <x v="115"/>
  </r>
  <r>
    <x v="12"/>
  </r>
  <r>
    <x v="75"/>
  </r>
  <r>
    <x v="4"/>
  </r>
  <r>
    <x v="7"/>
  </r>
  <r>
    <x v="10"/>
  </r>
  <r>
    <x v="7"/>
  </r>
  <r>
    <x v="7"/>
  </r>
  <r>
    <x v="29"/>
  </r>
  <r>
    <x v="10"/>
  </r>
  <r>
    <x v="7"/>
  </r>
  <r>
    <x v="10"/>
  </r>
  <r>
    <x v="17"/>
  </r>
  <r>
    <x v="12"/>
  </r>
  <r>
    <x v="55"/>
  </r>
  <r>
    <x v="7"/>
  </r>
  <r>
    <x v="55"/>
  </r>
  <r>
    <x v="12"/>
  </r>
  <r>
    <x v="17"/>
  </r>
  <r>
    <x v="17"/>
  </r>
  <r>
    <x v="24"/>
  </r>
  <r>
    <x v="14"/>
  </r>
  <r>
    <x v="78"/>
  </r>
  <r>
    <x v="0"/>
  </r>
  <r>
    <x v="0"/>
  </r>
  <r>
    <x v="0"/>
  </r>
  <r>
    <x v="0"/>
  </r>
  <r>
    <x v="0"/>
  </r>
  <r>
    <x v="87"/>
  </r>
  <r>
    <x v="87"/>
  </r>
  <r>
    <x v="87"/>
  </r>
  <r>
    <x v="87"/>
  </r>
  <r>
    <x v="87"/>
  </r>
  <r>
    <x v="0"/>
  </r>
  <r>
    <x v="0"/>
  </r>
  <r>
    <x v="0"/>
  </r>
  <r>
    <x v="0"/>
  </r>
  <r>
    <x v="161"/>
  </r>
  <r>
    <x v="72"/>
  </r>
  <r>
    <x v="10"/>
  </r>
  <r>
    <x v="52"/>
  </r>
  <r>
    <x v="87"/>
  </r>
  <r>
    <x v="4"/>
  </r>
  <r>
    <x v="52"/>
  </r>
  <r>
    <x v="4"/>
  </r>
  <r>
    <x v="79"/>
  </r>
  <r>
    <x v="138"/>
  </r>
  <r>
    <x v="100"/>
  </r>
  <r>
    <x v="123"/>
  </r>
  <r>
    <x v="36"/>
  </r>
  <r>
    <x v="4"/>
  </r>
  <r>
    <x v="56"/>
  </r>
  <r>
    <x v="4"/>
  </r>
  <r>
    <x v="4"/>
  </r>
  <r>
    <x v="56"/>
  </r>
  <r>
    <x v="56"/>
  </r>
  <r>
    <x v="72"/>
  </r>
  <r>
    <x v="80"/>
  </r>
  <r>
    <x v="129"/>
  </r>
  <r>
    <x v="89"/>
  </r>
  <r>
    <x v="4"/>
  </r>
  <r>
    <x v="10"/>
  </r>
  <r>
    <x v="12"/>
  </r>
  <r>
    <x v="10"/>
  </r>
  <r>
    <x v="89"/>
  </r>
  <r>
    <x v="89"/>
  </r>
  <r>
    <x v="89"/>
  </r>
  <r>
    <x v="50"/>
  </r>
  <r>
    <x v="12"/>
  </r>
  <r>
    <x v="50"/>
  </r>
  <r>
    <x v="50"/>
  </r>
  <r>
    <x v="50"/>
  </r>
  <r>
    <x v="4"/>
  </r>
  <r>
    <x v="14"/>
  </r>
  <r>
    <x v="138"/>
  </r>
  <r>
    <x v="138"/>
  </r>
  <r>
    <x v="138"/>
  </r>
  <r>
    <x v="138"/>
  </r>
  <r>
    <x v="80"/>
  </r>
  <r>
    <x v="138"/>
  </r>
  <r>
    <x v="138"/>
  </r>
  <r>
    <x v="138"/>
  </r>
  <r>
    <x v="8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65"/>
  </r>
  <r>
    <x v="2"/>
  </r>
  <r>
    <x v="165"/>
  </r>
  <r>
    <x v="165"/>
  </r>
  <r>
    <x v="165"/>
  </r>
  <r>
    <x v="36"/>
  </r>
  <r>
    <x v="4"/>
  </r>
  <r>
    <x v="14"/>
  </r>
  <r>
    <x v="89"/>
  </r>
  <r>
    <x v="87"/>
  </r>
  <r>
    <x v="251"/>
  </r>
  <r>
    <x v="31"/>
  </r>
  <r>
    <x v="87"/>
  </r>
  <r>
    <x v="163"/>
  </r>
  <r>
    <x v="163"/>
  </r>
  <r>
    <x v="87"/>
  </r>
  <r>
    <x v="4"/>
  </r>
  <r>
    <x v="53"/>
  </r>
  <r>
    <x v="4"/>
  </r>
  <r>
    <x v="4"/>
  </r>
  <r>
    <x v="16"/>
  </r>
  <r>
    <x v="16"/>
  </r>
  <r>
    <x v="12"/>
  </r>
  <r>
    <x v="4"/>
  </r>
  <r>
    <x v="141"/>
  </r>
  <r>
    <x v="4"/>
  </r>
  <r>
    <x v="10"/>
  </r>
  <r>
    <x v="16"/>
  </r>
  <r>
    <x v="10"/>
  </r>
  <r>
    <x v="10"/>
  </r>
  <r>
    <x v="10"/>
  </r>
  <r>
    <x v="25"/>
  </r>
  <r>
    <x v="204"/>
  </r>
  <r>
    <x v="25"/>
  </r>
  <r>
    <x v="55"/>
  </r>
  <r>
    <x v="10"/>
  </r>
  <r>
    <x v="10"/>
  </r>
  <r>
    <x v="4"/>
  </r>
  <r>
    <x v="0"/>
  </r>
  <r>
    <x v="45"/>
  </r>
  <r>
    <x v="0"/>
  </r>
  <r>
    <x v="79"/>
  </r>
  <r>
    <x v="123"/>
  </r>
  <r>
    <x v="10"/>
  </r>
  <r>
    <x v="28"/>
  </r>
  <r>
    <x v="28"/>
  </r>
  <r>
    <x v="4"/>
  </r>
  <r>
    <x v="87"/>
  </r>
  <r>
    <x v="7"/>
  </r>
  <r>
    <x v="7"/>
  </r>
  <r>
    <x v="7"/>
  </r>
  <r>
    <x v="7"/>
  </r>
  <r>
    <x v="7"/>
  </r>
  <r>
    <x v="0"/>
  </r>
  <r>
    <x v="10"/>
  </r>
  <r>
    <x v="4"/>
  </r>
  <r>
    <x v="4"/>
  </r>
  <r>
    <x v="7"/>
  </r>
  <r>
    <x v="4"/>
  </r>
  <r>
    <x v="70"/>
  </r>
  <r>
    <x v="30"/>
  </r>
  <r>
    <x v="12"/>
  </r>
  <r>
    <x v="36"/>
  </r>
  <r>
    <x v="36"/>
  </r>
  <r>
    <x v="81"/>
  </r>
  <r>
    <x v="17"/>
  </r>
  <r>
    <x v="0"/>
  </r>
  <r>
    <x v="66"/>
  </r>
  <r>
    <x v="17"/>
  </r>
  <r>
    <x v="0"/>
  </r>
  <r>
    <x v="0"/>
  </r>
  <r>
    <x v="14"/>
  </r>
  <r>
    <x v="21"/>
  </r>
  <r>
    <x v="24"/>
  </r>
  <r>
    <x v="42"/>
  </r>
  <r>
    <x v="40"/>
  </r>
  <r>
    <x v="48"/>
  </r>
  <r>
    <x v="87"/>
  </r>
  <r>
    <x v="28"/>
  </r>
  <r>
    <x v="48"/>
  </r>
  <r>
    <x v="12"/>
  </r>
  <r>
    <x v="12"/>
  </r>
  <r>
    <x v="12"/>
  </r>
  <r>
    <x v="190"/>
  </r>
  <r>
    <x v="128"/>
  </r>
  <r>
    <x v="190"/>
  </r>
  <r>
    <x v="42"/>
  </r>
  <r>
    <x v="42"/>
  </r>
  <r>
    <x v="48"/>
  </r>
  <r>
    <x v="26"/>
  </r>
  <r>
    <x v="7"/>
  </r>
  <r>
    <x v="3"/>
  </r>
  <r>
    <x v="10"/>
  </r>
  <r>
    <x v="111"/>
  </r>
  <r>
    <x v="77"/>
  </r>
  <r>
    <x v="4"/>
  </r>
  <r>
    <x v="4"/>
  </r>
  <r>
    <x v="4"/>
  </r>
  <r>
    <x v="76"/>
  </r>
  <r>
    <x v="9"/>
  </r>
  <r>
    <x v="86"/>
  </r>
  <r>
    <x v="70"/>
  </r>
  <r>
    <x v="56"/>
  </r>
  <r>
    <x v="70"/>
  </r>
  <r>
    <x v="24"/>
  </r>
  <r>
    <x v="24"/>
  </r>
  <r>
    <x v="24"/>
  </r>
  <r>
    <x v="24"/>
  </r>
  <r>
    <x v="0"/>
  </r>
  <r>
    <x v="10"/>
  </r>
  <r>
    <x v="33"/>
  </r>
  <r>
    <x v="33"/>
  </r>
  <r>
    <x v="33"/>
  </r>
  <r>
    <x v="33"/>
  </r>
  <r>
    <x v="76"/>
  </r>
  <r>
    <x v="16"/>
  </r>
  <r>
    <x v="63"/>
  </r>
  <r>
    <x v="63"/>
  </r>
  <r>
    <x v="63"/>
  </r>
  <r>
    <x v="63"/>
  </r>
  <r>
    <x v="63"/>
  </r>
  <r>
    <x v="12"/>
  </r>
  <r>
    <x v="26"/>
  </r>
  <r>
    <x v="26"/>
  </r>
  <r>
    <x v="26"/>
  </r>
  <r>
    <x v="26"/>
  </r>
  <r>
    <x v="10"/>
  </r>
  <r>
    <x v="10"/>
  </r>
  <r>
    <x v="10"/>
  </r>
  <r>
    <x v="10"/>
  </r>
  <r>
    <x v="25"/>
  </r>
  <r>
    <x v="165"/>
  </r>
  <r>
    <x v="12"/>
  </r>
  <r>
    <x v="14"/>
  </r>
  <r>
    <x v="28"/>
  </r>
  <r>
    <x v="12"/>
  </r>
  <r>
    <x v="28"/>
  </r>
  <r>
    <x v="28"/>
  </r>
  <r>
    <x v="36"/>
  </r>
  <r>
    <x v="138"/>
  </r>
  <r>
    <x v="138"/>
  </r>
  <r>
    <x v="138"/>
  </r>
  <r>
    <x v="42"/>
  </r>
  <r>
    <x v="138"/>
  </r>
  <r>
    <x v="138"/>
  </r>
  <r>
    <x v="138"/>
  </r>
  <r>
    <x v="162"/>
  </r>
  <r>
    <x v="162"/>
  </r>
  <r>
    <x v="15"/>
  </r>
  <r>
    <x v="4"/>
  </r>
  <r>
    <x v="14"/>
  </r>
  <r>
    <x v="7"/>
  </r>
  <r>
    <x v="28"/>
  </r>
  <r>
    <x v="24"/>
  </r>
  <r>
    <x v="24"/>
  </r>
  <r>
    <x v="24"/>
  </r>
  <r>
    <x v="0"/>
  </r>
  <r>
    <x v="57"/>
  </r>
  <r>
    <x v="57"/>
  </r>
  <r>
    <x v="150"/>
  </r>
  <r>
    <x v="0"/>
  </r>
  <r>
    <x v="24"/>
  </r>
  <r>
    <x v="24"/>
  </r>
  <r>
    <x v="24"/>
  </r>
  <r>
    <x v="24"/>
  </r>
  <r>
    <x v="57"/>
  </r>
  <r>
    <x v="2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11"/>
  </r>
  <r>
    <x v="10"/>
  </r>
  <r>
    <x v="56"/>
  </r>
  <r>
    <x v="9"/>
  </r>
  <r>
    <x v="37"/>
  </r>
  <r>
    <x v="25"/>
  </r>
  <r>
    <x v="25"/>
  </r>
  <r>
    <x v="42"/>
  </r>
  <r>
    <x v="251"/>
  </r>
  <r>
    <x v="31"/>
  </r>
  <r>
    <x v="86"/>
  </r>
  <r>
    <x v="37"/>
  </r>
  <r>
    <x v="10"/>
  </r>
  <r>
    <x v="10"/>
  </r>
  <r>
    <x v="10"/>
  </r>
  <r>
    <x v="10"/>
  </r>
  <r>
    <x v="4"/>
  </r>
  <r>
    <x v="10"/>
  </r>
  <r>
    <x v="86"/>
  </r>
  <r>
    <x v="86"/>
  </r>
  <r>
    <x v="21"/>
  </r>
  <r>
    <x v="10"/>
  </r>
  <r>
    <x v="10"/>
  </r>
  <r>
    <x v="165"/>
  </r>
  <r>
    <x v="28"/>
  </r>
  <r>
    <x v="28"/>
  </r>
  <r>
    <x v="28"/>
  </r>
  <r>
    <x v="28"/>
  </r>
  <r>
    <x v="28"/>
  </r>
  <r>
    <x v="28"/>
  </r>
  <r>
    <x v="10"/>
  </r>
  <r>
    <x v="10"/>
  </r>
  <r>
    <x v="123"/>
  </r>
  <r>
    <x v="123"/>
  </r>
  <r>
    <x v="123"/>
  </r>
  <r>
    <x v="123"/>
  </r>
  <r>
    <x v="10"/>
  </r>
  <r>
    <x v="56"/>
  </r>
  <r>
    <x v="10"/>
  </r>
  <r>
    <x v="10"/>
  </r>
  <r>
    <x v="116"/>
  </r>
  <r>
    <x v="10"/>
  </r>
  <r>
    <x v="116"/>
  </r>
  <r>
    <x v="10"/>
  </r>
  <r>
    <x v="28"/>
  </r>
  <r>
    <x v="4"/>
  </r>
  <r>
    <x v="68"/>
  </r>
  <r>
    <x v="68"/>
  </r>
  <r>
    <x v="33"/>
  </r>
  <r>
    <x v="9"/>
  </r>
  <r>
    <x v="17"/>
  </r>
  <r>
    <x v="87"/>
  </r>
  <r>
    <x v="3"/>
  </r>
  <r>
    <x v="87"/>
  </r>
  <r>
    <x v="100"/>
  </r>
  <r>
    <x v="87"/>
  </r>
  <r>
    <x v="87"/>
  </r>
  <r>
    <x v="42"/>
  </r>
  <r>
    <x v="42"/>
  </r>
  <r>
    <x v="42"/>
  </r>
  <r>
    <x v="4"/>
  </r>
  <r>
    <x v="40"/>
  </r>
  <r>
    <x v="123"/>
  </r>
  <r>
    <x v="12"/>
  </r>
  <r>
    <x v="87"/>
  </r>
  <r>
    <x v="12"/>
  </r>
  <r>
    <x v="87"/>
  </r>
  <r>
    <x v="48"/>
  </r>
  <r>
    <x v="42"/>
  </r>
  <r>
    <x v="87"/>
  </r>
  <r>
    <x v="87"/>
  </r>
  <r>
    <x v="43"/>
  </r>
  <r>
    <x v="87"/>
  </r>
  <r>
    <x v="42"/>
  </r>
  <r>
    <x v="43"/>
  </r>
  <r>
    <x v="87"/>
  </r>
  <r>
    <x v="107"/>
  </r>
  <r>
    <x v="42"/>
  </r>
  <r>
    <x v="42"/>
  </r>
  <r>
    <x v="42"/>
  </r>
  <r>
    <x v="42"/>
  </r>
  <r>
    <x v="25"/>
  </r>
  <r>
    <x v="42"/>
  </r>
  <r>
    <x v="42"/>
  </r>
  <r>
    <x v="42"/>
  </r>
  <r>
    <x v="42"/>
  </r>
  <r>
    <x v="42"/>
  </r>
  <r>
    <x v="42"/>
  </r>
  <r>
    <x v="42"/>
  </r>
  <r>
    <x v="129"/>
  </r>
  <r>
    <x v="42"/>
  </r>
  <r>
    <x v="42"/>
  </r>
  <r>
    <x v="42"/>
  </r>
  <r>
    <x v="42"/>
  </r>
  <r>
    <x v="42"/>
  </r>
  <r>
    <x v="42"/>
  </r>
  <r>
    <x v="42"/>
  </r>
  <r>
    <x v="12"/>
  </r>
  <r>
    <x v="86"/>
  </r>
  <r>
    <x v="10"/>
  </r>
  <r>
    <x v="42"/>
  </r>
  <r>
    <x v="42"/>
  </r>
  <r>
    <x v="7"/>
  </r>
  <r>
    <x v="42"/>
  </r>
  <r>
    <x v="57"/>
  </r>
  <r>
    <x v="4"/>
  </r>
  <r>
    <x v="4"/>
  </r>
  <r>
    <x v="4"/>
  </r>
  <r>
    <x v="48"/>
  </r>
  <r>
    <x v="6"/>
  </r>
  <r>
    <x v="112"/>
  </r>
  <r>
    <x v="25"/>
  </r>
  <r>
    <x v="10"/>
  </r>
  <r>
    <x v="177"/>
  </r>
  <r>
    <x v="78"/>
  </r>
  <r>
    <x v="78"/>
  </r>
  <r>
    <x v="138"/>
  </r>
  <r>
    <x v="138"/>
  </r>
  <r>
    <x v="4"/>
  </r>
  <r>
    <x v="138"/>
  </r>
  <r>
    <x v="138"/>
  </r>
  <r>
    <x v="4"/>
  </r>
  <r>
    <x v="138"/>
  </r>
  <r>
    <x v="138"/>
  </r>
  <r>
    <x v="4"/>
  </r>
  <r>
    <x v="10"/>
  </r>
  <r>
    <x v="9"/>
  </r>
  <r>
    <x v="9"/>
  </r>
  <r>
    <x v="9"/>
  </r>
  <r>
    <x v="9"/>
  </r>
  <r>
    <x v="10"/>
  </r>
  <r>
    <x v="10"/>
  </r>
  <r>
    <x v="12"/>
  </r>
  <r>
    <x v="10"/>
  </r>
  <r>
    <x v="10"/>
  </r>
  <r>
    <x v="10"/>
  </r>
  <r>
    <x v="10"/>
  </r>
  <r>
    <x v="86"/>
  </r>
  <r>
    <x v="86"/>
  </r>
  <r>
    <x v="10"/>
  </r>
  <r>
    <x v="10"/>
  </r>
  <r>
    <x v="10"/>
  </r>
  <r>
    <x v="10"/>
  </r>
  <r>
    <x v="51"/>
  </r>
  <r>
    <x v="72"/>
  </r>
  <r>
    <x v="12"/>
  </r>
  <r>
    <x v="131"/>
  </r>
  <r>
    <x v="80"/>
  </r>
  <r>
    <x v="131"/>
  </r>
  <r>
    <x v="12"/>
  </r>
  <r>
    <x v="10"/>
  </r>
  <r>
    <x v="0"/>
  </r>
  <r>
    <x v="0"/>
  </r>
  <r>
    <x v="12"/>
  </r>
  <r>
    <x v="10"/>
  </r>
  <r>
    <x v="10"/>
  </r>
  <r>
    <x v="10"/>
  </r>
  <r>
    <x v="10"/>
  </r>
  <r>
    <x v="10"/>
  </r>
  <r>
    <x v="10"/>
  </r>
  <r>
    <x v="12"/>
  </r>
  <r>
    <x v="87"/>
  </r>
  <r>
    <x v="80"/>
  </r>
  <r>
    <x v="80"/>
  </r>
  <r>
    <x v="165"/>
  </r>
  <r>
    <x v="165"/>
  </r>
  <r>
    <x v="48"/>
  </r>
  <r>
    <x v="0"/>
  </r>
  <r>
    <x v="55"/>
  </r>
  <r>
    <x v="0"/>
  </r>
  <r>
    <x v="89"/>
  </r>
  <r>
    <x v="0"/>
  </r>
  <r>
    <x v="17"/>
  </r>
  <r>
    <x v="56"/>
  </r>
  <r>
    <x v="0"/>
  </r>
  <r>
    <x v="2"/>
  </r>
  <r>
    <x v="25"/>
  </r>
  <r>
    <x v="28"/>
  </r>
  <r>
    <x v="7"/>
  </r>
  <r>
    <x v="7"/>
  </r>
  <r>
    <x v="16"/>
  </r>
  <r>
    <x v="1"/>
  </r>
  <r>
    <x v="16"/>
  </r>
  <r>
    <x v="16"/>
  </r>
  <r>
    <x v="14"/>
  </r>
  <r>
    <x v="0"/>
  </r>
  <r>
    <x v="56"/>
  </r>
  <r>
    <x v="56"/>
  </r>
  <r>
    <x v="56"/>
  </r>
  <r>
    <x v="56"/>
  </r>
  <r>
    <x v="123"/>
  </r>
  <r>
    <x v="12"/>
  </r>
  <r>
    <x v="31"/>
  </r>
  <r>
    <x v="0"/>
  </r>
  <r>
    <x v="12"/>
  </r>
  <r>
    <x v="12"/>
  </r>
  <r>
    <x v="0"/>
  </r>
  <r>
    <x v="87"/>
  </r>
  <r>
    <x v="138"/>
  </r>
  <r>
    <x v="36"/>
  </r>
  <r>
    <x v="67"/>
  </r>
  <r>
    <x v="39"/>
  </r>
  <r>
    <x v="96"/>
  </r>
  <r>
    <x v="87"/>
  </r>
  <r>
    <x v="113"/>
  </r>
  <r>
    <x v="0"/>
  </r>
  <r>
    <x v="0"/>
  </r>
  <r>
    <x v="36"/>
  </r>
  <r>
    <x v="36"/>
  </r>
  <r>
    <x v="10"/>
  </r>
  <r>
    <x v="119"/>
  </r>
  <r>
    <x v="100"/>
  </r>
  <r>
    <x v="4"/>
  </r>
  <r>
    <x v="12"/>
  </r>
  <r>
    <x v="10"/>
  </r>
  <r>
    <x v="10"/>
  </r>
  <r>
    <x v="61"/>
  </r>
  <r>
    <x v="0"/>
  </r>
  <r>
    <x v="33"/>
  </r>
  <r>
    <x v="10"/>
  </r>
  <r>
    <x v="10"/>
  </r>
  <r>
    <x v="10"/>
  </r>
  <r>
    <x v="31"/>
  </r>
  <r>
    <x v="154"/>
  </r>
  <r>
    <x v="31"/>
  </r>
  <r>
    <x v="10"/>
  </r>
  <r>
    <x v="10"/>
  </r>
  <r>
    <x v="0"/>
  </r>
  <r>
    <x v="177"/>
  </r>
  <r>
    <x v="80"/>
  </r>
  <r>
    <x v="0"/>
  </r>
  <r>
    <x v="11"/>
  </r>
  <r>
    <x v="7"/>
  </r>
  <r>
    <x v="7"/>
  </r>
  <r>
    <x v="114"/>
  </r>
  <r>
    <x v="114"/>
  </r>
  <r>
    <x v="114"/>
  </r>
  <r>
    <x v="114"/>
  </r>
  <r>
    <x v="0"/>
  </r>
  <r>
    <x v="1"/>
  </r>
  <r>
    <x v="1"/>
  </r>
  <r>
    <x v="1"/>
  </r>
  <r>
    <x v="114"/>
  </r>
  <r>
    <x v="10"/>
  </r>
  <r>
    <x v="1"/>
  </r>
  <r>
    <x v="114"/>
  </r>
  <r>
    <x v="114"/>
  </r>
  <r>
    <x v="14"/>
  </r>
  <r>
    <x v="10"/>
  </r>
  <r>
    <x v="175"/>
  </r>
  <r>
    <x v="4"/>
  </r>
  <r>
    <x v="14"/>
  </r>
  <r>
    <x v="14"/>
  </r>
  <r>
    <x v="14"/>
  </r>
  <r>
    <x v="4"/>
  </r>
  <r>
    <x v="165"/>
  </r>
  <r>
    <x v="4"/>
  </r>
  <r>
    <x v="165"/>
  </r>
  <r>
    <x v="130"/>
  </r>
  <r>
    <x v="52"/>
  </r>
  <r>
    <x v="14"/>
  </r>
  <r>
    <x v="14"/>
  </r>
  <r>
    <x v="14"/>
  </r>
  <r>
    <x v="7"/>
  </r>
  <r>
    <x v="7"/>
  </r>
  <r>
    <x v="7"/>
  </r>
  <r>
    <x v="12"/>
  </r>
  <r>
    <x v="7"/>
  </r>
  <r>
    <x v="7"/>
  </r>
  <r>
    <x v="7"/>
  </r>
  <r>
    <x v="12"/>
  </r>
  <r>
    <x v="12"/>
  </r>
  <r>
    <x v="12"/>
  </r>
  <r>
    <x v="12"/>
  </r>
  <r>
    <x v="46"/>
  </r>
  <r>
    <x v="46"/>
  </r>
  <r>
    <x v="123"/>
  </r>
  <r>
    <x v="46"/>
  </r>
  <r>
    <x v="46"/>
  </r>
  <r>
    <x v="0"/>
  </r>
  <r>
    <x v="0"/>
  </r>
  <r>
    <x v="46"/>
  </r>
  <r>
    <x v="45"/>
  </r>
  <r>
    <x v="0"/>
  </r>
  <r>
    <x v="0"/>
  </r>
  <r>
    <x v="112"/>
  </r>
  <r>
    <x v="112"/>
  </r>
  <r>
    <x v="175"/>
  </r>
  <r>
    <x v="175"/>
  </r>
  <r>
    <x v="12"/>
  </r>
  <r>
    <x v="14"/>
  </r>
  <r>
    <x v="175"/>
  </r>
  <r>
    <x v="0"/>
  </r>
  <r>
    <x v="0"/>
  </r>
  <r>
    <x v="76"/>
  </r>
  <r>
    <x v="10"/>
  </r>
  <r>
    <x v="10"/>
  </r>
  <r>
    <x v="1"/>
  </r>
  <r>
    <x v="1"/>
  </r>
  <r>
    <x v="10"/>
  </r>
  <r>
    <x v="10"/>
  </r>
  <r>
    <x v="10"/>
  </r>
  <r>
    <x v="10"/>
  </r>
  <r>
    <x v="10"/>
  </r>
  <r>
    <x v="16"/>
  </r>
  <r>
    <x v="9"/>
  </r>
  <r>
    <x v="9"/>
  </r>
  <r>
    <x v="111"/>
  </r>
  <r>
    <x v="111"/>
  </r>
  <r>
    <x v="9"/>
  </r>
  <r>
    <x v="0"/>
  </r>
  <r>
    <x v="0"/>
  </r>
  <r>
    <x v="0"/>
  </r>
  <r>
    <x v="115"/>
  </r>
  <r>
    <x v="36"/>
  </r>
  <r>
    <x v="36"/>
  </r>
  <r>
    <x v="36"/>
  </r>
  <r>
    <x v="36"/>
  </r>
  <r>
    <x v="10"/>
  </r>
  <r>
    <x v="28"/>
  </r>
  <r>
    <x v="36"/>
  </r>
  <r>
    <x v="36"/>
  </r>
  <r>
    <x v="36"/>
  </r>
  <r>
    <x v="36"/>
  </r>
  <r>
    <x v="168"/>
  </r>
  <r>
    <x v="45"/>
  </r>
  <r>
    <x v="36"/>
  </r>
  <r>
    <x v="12"/>
  </r>
  <r>
    <x v="36"/>
  </r>
  <r>
    <x v="36"/>
  </r>
  <r>
    <x v="36"/>
  </r>
  <r>
    <x v="14"/>
  </r>
  <r>
    <x v="10"/>
  </r>
  <r>
    <x v="10"/>
  </r>
  <r>
    <x v="10"/>
  </r>
  <r>
    <x v="10"/>
  </r>
  <r>
    <x v="10"/>
  </r>
  <r>
    <x v="10"/>
  </r>
  <r>
    <x v="10"/>
  </r>
  <r>
    <x v="138"/>
  </r>
  <r>
    <x v="138"/>
  </r>
  <r>
    <x v="138"/>
  </r>
  <r>
    <x v="36"/>
  </r>
  <r>
    <x v="36"/>
  </r>
  <r>
    <x v="36"/>
  </r>
  <r>
    <x v="123"/>
  </r>
  <r>
    <x v="36"/>
  </r>
  <r>
    <x v="36"/>
  </r>
  <r>
    <x v="36"/>
  </r>
  <r>
    <x v="36"/>
  </r>
  <r>
    <x v="36"/>
  </r>
  <r>
    <x v="12"/>
  </r>
  <r>
    <x v="12"/>
  </r>
  <r>
    <x v="36"/>
  </r>
  <r>
    <x v="12"/>
  </r>
  <r>
    <x v="55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15"/>
  </r>
  <r>
    <x v="36"/>
  </r>
  <r>
    <x v="36"/>
  </r>
  <r>
    <x v="36"/>
  </r>
  <r>
    <x v="115"/>
  </r>
  <r>
    <x v="36"/>
  </r>
  <r>
    <x v="123"/>
  </r>
  <r>
    <x v="86"/>
  </r>
  <r>
    <x v="78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52"/>
  </r>
  <r>
    <x v="10"/>
  </r>
  <r>
    <x v="76"/>
  </r>
  <r>
    <x v="87"/>
  </r>
  <r>
    <x v="16"/>
  </r>
  <r>
    <x v="28"/>
  </r>
  <r>
    <x v="10"/>
  </r>
  <r>
    <x v="10"/>
  </r>
  <r>
    <x v="76"/>
  </r>
  <r>
    <x v="0"/>
  </r>
  <r>
    <x v="0"/>
  </r>
  <r>
    <x v="0"/>
  </r>
  <r>
    <x v="0"/>
  </r>
  <r>
    <x v="126"/>
  </r>
  <r>
    <x v="28"/>
  </r>
  <r>
    <x v="28"/>
  </r>
  <r>
    <x v="28"/>
  </r>
  <r>
    <x v="28"/>
  </r>
  <r>
    <x v="28"/>
  </r>
  <r>
    <x v="40"/>
  </r>
  <r>
    <x v="76"/>
  </r>
  <r>
    <x v="28"/>
  </r>
  <r>
    <x v="111"/>
  </r>
  <r>
    <x v="28"/>
  </r>
  <r>
    <x v="112"/>
  </r>
  <r>
    <x v="28"/>
  </r>
  <r>
    <x v="28"/>
  </r>
  <r>
    <x v="28"/>
  </r>
  <r>
    <x v="28"/>
  </r>
  <r>
    <x v="28"/>
  </r>
  <r>
    <x v="48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2"/>
  </r>
  <r>
    <x v="42"/>
  </r>
  <r>
    <x v="28"/>
  </r>
  <r>
    <x v="28"/>
  </r>
  <r>
    <x v="115"/>
  </r>
  <r>
    <x v="115"/>
  </r>
  <r>
    <x v="128"/>
  </r>
  <r>
    <x v="128"/>
  </r>
  <r>
    <x v="128"/>
  </r>
  <r>
    <x v="29"/>
  </r>
  <r>
    <x v="128"/>
  </r>
  <r>
    <x v="128"/>
  </r>
  <r>
    <x v="128"/>
  </r>
  <r>
    <x v="42"/>
  </r>
  <r>
    <x v="10"/>
  </r>
  <r>
    <x v="25"/>
  </r>
  <r>
    <x v="25"/>
  </r>
  <r>
    <x v="9"/>
  </r>
  <r>
    <x v="112"/>
  </r>
  <r>
    <x v="76"/>
  </r>
  <r>
    <x v="114"/>
  </r>
  <r>
    <x v="192"/>
  </r>
  <r>
    <x v="102"/>
  </r>
  <r>
    <x v="25"/>
  </r>
  <r>
    <x v="35"/>
  </r>
  <r>
    <x v="35"/>
  </r>
  <r>
    <x v="4"/>
  </r>
  <r>
    <x v="4"/>
  </r>
  <r>
    <x v="4"/>
  </r>
  <r>
    <x v="4"/>
  </r>
  <r>
    <x v="4"/>
  </r>
  <r>
    <x v="4"/>
  </r>
  <r>
    <x v="3"/>
  </r>
  <r>
    <x v="10"/>
  </r>
  <r>
    <x v="14"/>
  </r>
  <r>
    <x v="138"/>
  </r>
  <r>
    <x v="17"/>
  </r>
  <r>
    <x v="138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0"/>
  </r>
  <r>
    <x v="0"/>
  </r>
  <r>
    <x v="0"/>
  </r>
  <r>
    <x v="79"/>
  </r>
  <r>
    <x v="79"/>
  </r>
  <r>
    <x v="79"/>
  </r>
  <r>
    <x v="79"/>
  </r>
  <r>
    <x v="0"/>
  </r>
  <r>
    <x v="0"/>
  </r>
  <r>
    <x v="17"/>
  </r>
  <r>
    <x v="17"/>
  </r>
  <r>
    <x v="17"/>
  </r>
  <r>
    <x v="118"/>
  </r>
  <r>
    <x v="77"/>
  </r>
  <r>
    <x v="14"/>
  </r>
  <r>
    <x v="79"/>
  </r>
  <r>
    <x v="0"/>
  </r>
  <r>
    <x v="0"/>
  </r>
  <r>
    <x v="0"/>
  </r>
  <r>
    <x v="0"/>
  </r>
  <r>
    <x v="0"/>
  </r>
  <r>
    <x v="0"/>
  </r>
  <r>
    <x v="0"/>
  </r>
  <r>
    <x v="12"/>
  </r>
  <r>
    <x v="12"/>
  </r>
  <r>
    <x v="12"/>
  </r>
  <r>
    <x v="12"/>
  </r>
  <r>
    <x v="77"/>
  </r>
  <r>
    <x v="12"/>
  </r>
  <r>
    <x v="12"/>
  </r>
  <r>
    <x v="12"/>
  </r>
  <r>
    <x v="12"/>
  </r>
  <r>
    <x v="12"/>
  </r>
  <r>
    <x v="56"/>
  </r>
  <r>
    <x v="12"/>
  </r>
  <r>
    <x v="12"/>
  </r>
  <r>
    <x v="12"/>
  </r>
  <r>
    <x v="12"/>
  </r>
  <r>
    <x v="12"/>
  </r>
  <r>
    <x v="10"/>
  </r>
  <r>
    <x v="10"/>
  </r>
  <r>
    <x v="12"/>
  </r>
  <r>
    <x v="12"/>
  </r>
  <r>
    <x v="14"/>
  </r>
  <r>
    <x v="14"/>
  </r>
  <r>
    <x v="10"/>
  </r>
  <r>
    <x v="10"/>
  </r>
  <r>
    <x v="10"/>
  </r>
  <r>
    <x v="10"/>
  </r>
  <r>
    <x v="12"/>
  </r>
  <r>
    <x v="12"/>
  </r>
  <r>
    <x v="10"/>
  </r>
  <r>
    <x v="10"/>
  </r>
  <r>
    <x v="10"/>
  </r>
  <r>
    <x v="10"/>
  </r>
  <r>
    <x v="138"/>
  </r>
  <r>
    <x v="138"/>
  </r>
  <r>
    <x v="138"/>
  </r>
  <r>
    <x v="138"/>
  </r>
  <r>
    <x v="138"/>
  </r>
  <r>
    <x v="12"/>
  </r>
  <r>
    <x v="138"/>
  </r>
  <r>
    <x v="12"/>
  </r>
  <r>
    <x v="12"/>
  </r>
  <r>
    <x v="12"/>
  </r>
  <r>
    <x v="12"/>
  </r>
  <r>
    <x v="12"/>
  </r>
  <r>
    <x v="12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0"/>
  </r>
  <r>
    <x v="4"/>
  </r>
  <r>
    <x v="12"/>
  </r>
  <r>
    <x v="31"/>
  </r>
  <r>
    <x v="87"/>
  </r>
  <r>
    <x v="87"/>
  </r>
  <r>
    <x v="111"/>
  </r>
  <r>
    <x v="45"/>
  </r>
  <r>
    <x v="86"/>
  </r>
  <r>
    <x v="10"/>
  </r>
  <r>
    <x v="54"/>
  </r>
  <r>
    <x v="9"/>
  </r>
  <r>
    <x v="30"/>
  </r>
  <r>
    <x v="30"/>
  </r>
  <r>
    <x v="123"/>
  </r>
  <r>
    <x v="123"/>
  </r>
  <r>
    <x v="123"/>
  </r>
  <r>
    <x v="123"/>
  </r>
  <r>
    <x v="7"/>
  </r>
  <r>
    <x v="4"/>
  </r>
  <r>
    <x v="240"/>
  </r>
  <r>
    <x v="7"/>
  </r>
  <r>
    <x v="12"/>
  </r>
  <r>
    <x v="28"/>
  </r>
  <r>
    <x v="7"/>
  </r>
  <r>
    <x v="14"/>
  </r>
  <r>
    <x v="14"/>
  </r>
  <r>
    <x v="7"/>
  </r>
  <r>
    <x v="12"/>
  </r>
  <r>
    <x v="12"/>
  </r>
  <r>
    <x v="12"/>
  </r>
  <r>
    <x v="12"/>
  </r>
  <r>
    <x v="12"/>
  </r>
  <r>
    <x v="138"/>
  </r>
  <r>
    <x v="48"/>
  </r>
  <r>
    <x v="4"/>
  </r>
  <r>
    <x v="4"/>
  </r>
  <r>
    <x v="4"/>
  </r>
  <r>
    <x v="4"/>
  </r>
  <r>
    <x v="8"/>
  </r>
  <r>
    <x v="4"/>
  </r>
  <r>
    <x v="4"/>
  </r>
  <r>
    <x v="4"/>
  </r>
  <r>
    <x v="4"/>
  </r>
  <r>
    <x v="4"/>
  </r>
  <r>
    <x v="4"/>
  </r>
  <r>
    <x v="4"/>
  </r>
  <r>
    <x v="4"/>
  </r>
  <r>
    <x v="14"/>
  </r>
  <r>
    <x v="10"/>
  </r>
  <r>
    <x v="10"/>
  </r>
  <r>
    <x v="4"/>
  </r>
  <r>
    <x v="4"/>
  </r>
  <r>
    <x v="4"/>
  </r>
  <r>
    <x v="4"/>
  </r>
  <r>
    <x v="16"/>
  </r>
  <r>
    <x v="28"/>
  </r>
  <r>
    <x v="6"/>
  </r>
  <r>
    <x v="28"/>
  </r>
  <r>
    <x v="28"/>
  </r>
  <r>
    <x v="108"/>
  </r>
  <r>
    <x v="48"/>
  </r>
  <r>
    <x v="10"/>
  </r>
  <r>
    <x v="48"/>
  </r>
  <r>
    <x v="10"/>
  </r>
  <r>
    <x v="45"/>
  </r>
  <r>
    <x v="78"/>
  </r>
  <r>
    <x v="141"/>
  </r>
  <r>
    <x v="9"/>
  </r>
  <r>
    <x v="24"/>
  </r>
  <r>
    <x v="24"/>
  </r>
  <r>
    <x v="24"/>
  </r>
  <r>
    <x v="24"/>
  </r>
  <r>
    <x v="12"/>
  </r>
  <r>
    <x v="80"/>
  </r>
  <r>
    <x v="28"/>
  </r>
  <r>
    <x v="28"/>
  </r>
  <r>
    <x v="10"/>
  </r>
  <r>
    <x v="11"/>
  </r>
  <r>
    <x v="10"/>
  </r>
  <r>
    <x v="114"/>
  </r>
  <r>
    <x v="76"/>
  </r>
  <r>
    <x v="4"/>
  </r>
  <r>
    <x v="4"/>
  </r>
  <r>
    <x v="133"/>
  </r>
  <r>
    <x v="4"/>
  </r>
  <r>
    <x v="4"/>
  </r>
  <r>
    <x v="4"/>
  </r>
  <r>
    <x v="46"/>
  </r>
  <r>
    <x v="165"/>
  </r>
  <r>
    <x v="4"/>
  </r>
  <r>
    <x v="165"/>
  </r>
  <r>
    <x v="4"/>
  </r>
  <r>
    <x v="10"/>
  </r>
  <r>
    <x v="12"/>
  </r>
  <r>
    <x v="4"/>
  </r>
  <r>
    <x v="17"/>
  </r>
  <r>
    <x v="36"/>
  </r>
  <r>
    <x v="36"/>
  </r>
  <r>
    <x v="36"/>
  </r>
  <r>
    <x v="36"/>
  </r>
  <r>
    <x v="36"/>
  </r>
  <r>
    <x v="0"/>
  </r>
  <r>
    <x v="28"/>
  </r>
  <r>
    <x v="83"/>
  </r>
  <r>
    <x v="10"/>
  </r>
  <r>
    <x v="12"/>
  </r>
  <r>
    <x v="14"/>
  </r>
  <r>
    <x v="0"/>
  </r>
  <r>
    <x v="7"/>
  </r>
  <r>
    <x v="45"/>
  </r>
  <r>
    <x v="71"/>
  </r>
  <r>
    <x v="10"/>
  </r>
  <r>
    <x v="30"/>
  </r>
  <r>
    <x v="12"/>
  </r>
  <r>
    <x v="100"/>
  </r>
  <r>
    <x v="28"/>
  </r>
  <r>
    <x v="28"/>
  </r>
  <r>
    <x v="28"/>
  </r>
  <r>
    <x v="28"/>
  </r>
  <r>
    <x v="28"/>
  </r>
  <r>
    <x v="28"/>
  </r>
  <r>
    <x v="48"/>
  </r>
  <r>
    <x v="290"/>
  </r>
  <r>
    <x v="10"/>
  </r>
  <r>
    <x v="10"/>
  </r>
  <r>
    <x v="146"/>
  </r>
  <r>
    <x v="146"/>
  </r>
  <r>
    <x v="146"/>
  </r>
  <r>
    <x v="48"/>
  </r>
  <r>
    <x v="0"/>
  </r>
  <r>
    <x v="28"/>
  </r>
  <r>
    <x v="71"/>
  </r>
  <r>
    <x v="71"/>
  </r>
  <r>
    <x v="28"/>
  </r>
  <r>
    <x v="253"/>
  </r>
  <r>
    <x v="87"/>
  </r>
  <r>
    <x v="28"/>
  </r>
  <r>
    <x v="48"/>
  </r>
  <r>
    <x v="10"/>
  </r>
  <r>
    <x v="24"/>
  </r>
  <r>
    <x v="24"/>
  </r>
  <r>
    <x v="123"/>
  </r>
  <r>
    <x v="10"/>
  </r>
  <r>
    <x v="10"/>
  </r>
  <r>
    <x v="10"/>
  </r>
  <r>
    <x v="24"/>
  </r>
  <r>
    <x v="24"/>
  </r>
  <r>
    <x v="10"/>
  </r>
  <r>
    <x v="4"/>
  </r>
  <r>
    <x v="24"/>
  </r>
  <r>
    <x v="72"/>
  </r>
  <r>
    <x v="10"/>
  </r>
  <r>
    <x v="10"/>
  </r>
  <r>
    <x v="12"/>
  </r>
  <r>
    <x v="12"/>
  </r>
  <r>
    <x v="12"/>
  </r>
  <r>
    <x v="17"/>
  </r>
  <r>
    <x v="12"/>
  </r>
  <r>
    <x v="24"/>
  </r>
  <r>
    <x v="12"/>
  </r>
  <r>
    <x v="12"/>
  </r>
  <r>
    <x v="71"/>
  </r>
  <r>
    <x v="12"/>
  </r>
  <r>
    <x v="24"/>
  </r>
  <r>
    <x v="24"/>
  </r>
  <r>
    <x v="21"/>
  </r>
  <r>
    <x v="24"/>
  </r>
  <r>
    <x v="10"/>
  </r>
  <r>
    <x v="28"/>
  </r>
  <r>
    <x v="24"/>
  </r>
  <r>
    <x v="24"/>
  </r>
  <r>
    <x v="10"/>
  </r>
  <r>
    <x v="10"/>
  </r>
  <r>
    <x v="10"/>
  </r>
  <r>
    <x v="275"/>
  </r>
  <r>
    <x v="10"/>
  </r>
  <r>
    <x v="7"/>
  </r>
  <r>
    <x v="28"/>
  </r>
  <r>
    <x v="76"/>
  </r>
  <r>
    <x v="12"/>
  </r>
  <r>
    <x v="12"/>
  </r>
  <r>
    <x v="12"/>
  </r>
  <r>
    <x v="43"/>
  </r>
  <r>
    <x v="43"/>
  </r>
  <r>
    <x v="43"/>
  </r>
  <r>
    <x v="12"/>
  </r>
  <r>
    <x v="43"/>
  </r>
  <r>
    <x v="12"/>
  </r>
  <r>
    <x v="12"/>
  </r>
  <r>
    <x v="8"/>
  </r>
  <r>
    <x v="126"/>
  </r>
  <r>
    <x v="126"/>
  </r>
  <r>
    <x v="9"/>
  </r>
  <r>
    <x v="12"/>
  </r>
  <r>
    <x v="175"/>
  </r>
  <r>
    <x v="12"/>
  </r>
  <r>
    <x v="12"/>
  </r>
  <r>
    <x v="12"/>
  </r>
  <r>
    <x v="12"/>
  </r>
  <r>
    <x v="12"/>
  </r>
  <r>
    <x v="12"/>
  </r>
  <r>
    <x v="12"/>
  </r>
  <r>
    <x v="33"/>
  </r>
  <r>
    <x v="12"/>
  </r>
  <r>
    <x v="12"/>
  </r>
  <r>
    <x v="42"/>
  </r>
  <r>
    <x v="12"/>
  </r>
  <r>
    <x v="89"/>
  </r>
  <r>
    <x v="77"/>
  </r>
  <r>
    <x v="70"/>
  </r>
  <r>
    <x v="70"/>
  </r>
  <r>
    <x v="78"/>
  </r>
  <r>
    <x v="78"/>
  </r>
  <r>
    <x v="78"/>
  </r>
  <r>
    <x v="130"/>
  </r>
  <r>
    <x v="0"/>
  </r>
  <r>
    <x v="7"/>
  </r>
  <r>
    <x v="12"/>
  </r>
  <r>
    <x v="12"/>
  </r>
  <r>
    <x v="12"/>
  </r>
  <r>
    <x v="42"/>
  </r>
  <r>
    <x v="7"/>
  </r>
  <r>
    <x v="7"/>
  </r>
  <r>
    <x v="79"/>
  </r>
  <r>
    <x v="14"/>
  </r>
  <r>
    <x v="42"/>
  </r>
  <r>
    <x v="42"/>
  </r>
  <r>
    <x v="10"/>
  </r>
  <r>
    <x v="10"/>
  </r>
  <r>
    <x v="7"/>
  </r>
  <r>
    <x v="4"/>
  </r>
  <r>
    <x v="53"/>
  </r>
  <r>
    <x v="12"/>
  </r>
  <r>
    <x v="12"/>
  </r>
  <r>
    <x v="89"/>
  </r>
  <r>
    <x v="87"/>
  </r>
  <r>
    <x v="57"/>
  </r>
  <r>
    <x v="28"/>
  </r>
  <r>
    <x v="10"/>
  </r>
  <r>
    <x v="10"/>
  </r>
  <r>
    <x v="123"/>
  </r>
  <r>
    <x v="16"/>
  </r>
  <r>
    <x v="115"/>
  </r>
  <r>
    <x v="115"/>
  </r>
  <r>
    <x v="115"/>
  </r>
  <r>
    <x v="42"/>
  </r>
  <r>
    <x v="10"/>
  </r>
  <r>
    <x v="10"/>
  </r>
  <r>
    <x v="10"/>
  </r>
  <r>
    <x v="86"/>
  </r>
  <r>
    <x v="14"/>
  </r>
  <r>
    <x v="0"/>
  </r>
  <r>
    <x v="12"/>
  </r>
  <r>
    <x v="25"/>
  </r>
  <r>
    <x v="4"/>
  </r>
  <r>
    <x v="25"/>
  </r>
  <r>
    <x v="12"/>
  </r>
  <r>
    <x v="12"/>
  </r>
  <r>
    <x v="0"/>
  </r>
  <r>
    <x v="14"/>
  </r>
  <r>
    <x v="112"/>
  </r>
  <r>
    <x v="14"/>
  </r>
  <r>
    <x v="12"/>
  </r>
  <r>
    <x v="146"/>
  </r>
  <r>
    <x v="146"/>
  </r>
  <r>
    <x v="146"/>
  </r>
  <r>
    <x v="146"/>
  </r>
  <r>
    <x v="146"/>
  </r>
  <r>
    <x v="12"/>
  </r>
  <r>
    <x v="10"/>
  </r>
  <r>
    <x v="21"/>
  </r>
  <r>
    <x v="25"/>
  </r>
  <r>
    <x v="29"/>
  </r>
  <r>
    <x v="10"/>
  </r>
  <r>
    <x v="0"/>
  </r>
  <r>
    <x v="12"/>
  </r>
  <r>
    <x v="86"/>
  </r>
  <r>
    <x v="55"/>
  </r>
  <r>
    <x v="55"/>
  </r>
  <r>
    <x v="12"/>
  </r>
  <r>
    <x v="12"/>
  </r>
  <r>
    <x v="138"/>
  </r>
  <r>
    <x v="24"/>
  </r>
  <r>
    <x v="11"/>
  </r>
  <r>
    <x v="28"/>
  </r>
  <r>
    <x v="4"/>
  </r>
  <r>
    <x v="0"/>
  </r>
  <r>
    <x v="53"/>
  </r>
  <r>
    <x v="0"/>
  </r>
  <r>
    <x v="0"/>
  </r>
  <r>
    <x v="24"/>
  </r>
  <r>
    <x v="10"/>
  </r>
  <r>
    <x v="0"/>
  </r>
  <r>
    <x v="28"/>
  </r>
  <r>
    <x v="42"/>
  </r>
  <r>
    <x v="42"/>
  </r>
  <r>
    <x v="56"/>
  </r>
  <r>
    <x v="6"/>
  </r>
  <r>
    <x v="10"/>
  </r>
  <r>
    <x v="4"/>
  </r>
  <r>
    <x v="10"/>
  </r>
  <r>
    <x v="10"/>
  </r>
  <r>
    <x v="10"/>
  </r>
  <r>
    <x v="10"/>
  </r>
  <r>
    <x v="6"/>
  </r>
  <r>
    <x v="4"/>
  </r>
  <r>
    <x v="10"/>
  </r>
  <r>
    <x v="10"/>
  </r>
  <r>
    <x v="10"/>
  </r>
  <r>
    <x v="10"/>
  </r>
  <r>
    <x v="100"/>
  </r>
  <r>
    <x v="100"/>
  </r>
  <r>
    <x v="10"/>
  </r>
  <r>
    <x v="10"/>
  </r>
  <r>
    <x v="10"/>
  </r>
  <r>
    <x v="10"/>
  </r>
  <r>
    <x v="17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68"/>
  </r>
  <r>
    <x v="56"/>
  </r>
  <r>
    <x v="6"/>
  </r>
  <r>
    <x v="6"/>
  </r>
  <r>
    <x v="17"/>
  </r>
  <r>
    <x v="17"/>
  </r>
  <r>
    <x v="57"/>
  </r>
  <r>
    <x v="44"/>
  </r>
  <r>
    <x v="15"/>
  </r>
  <r>
    <x v="15"/>
  </r>
  <r>
    <x v="10"/>
  </r>
  <r>
    <x v="10"/>
  </r>
  <r>
    <x v="10"/>
  </r>
  <r>
    <x v="10"/>
  </r>
  <r>
    <x v="10"/>
  </r>
  <r>
    <x v="10"/>
  </r>
  <r>
    <x v="10"/>
  </r>
  <r>
    <x v="10"/>
  </r>
  <r>
    <x v="19"/>
  </r>
  <r>
    <x v="10"/>
  </r>
  <r>
    <x v="10"/>
  </r>
  <r>
    <x v="10"/>
  </r>
  <r>
    <x v="28"/>
  </r>
  <r>
    <x v="22"/>
  </r>
  <r>
    <x v="22"/>
  </r>
  <r>
    <x v="22"/>
  </r>
  <r>
    <x v="22"/>
  </r>
  <r>
    <x v="22"/>
  </r>
  <r>
    <x v="22"/>
  </r>
  <r>
    <x v="22"/>
  </r>
  <r>
    <x v="22"/>
  </r>
  <r>
    <x v="25"/>
  </r>
  <r>
    <x v="130"/>
  </r>
  <r>
    <x v="56"/>
  </r>
  <r>
    <x v="42"/>
  </r>
  <r>
    <x v="50"/>
  </r>
  <r>
    <x v="138"/>
  </r>
  <r>
    <x v="272"/>
  </r>
  <r>
    <x v="112"/>
  </r>
  <r>
    <x v="138"/>
  </r>
  <r>
    <x v="42"/>
  </r>
  <r>
    <x v="12"/>
  </r>
  <r>
    <x v="112"/>
  </r>
  <r>
    <x v="138"/>
  </r>
  <r>
    <x v="112"/>
  </r>
  <r>
    <x v="4"/>
  </r>
  <r>
    <x v="57"/>
  </r>
  <r>
    <x v="39"/>
  </r>
  <r>
    <x v="57"/>
  </r>
  <r>
    <x v="14"/>
  </r>
  <r>
    <x v="28"/>
  </r>
  <r>
    <x v="16"/>
  </r>
  <r>
    <x v="16"/>
  </r>
  <r>
    <x v="21"/>
  </r>
  <r>
    <x v="12"/>
  </r>
  <r>
    <x v="16"/>
  </r>
  <r>
    <x v="128"/>
  </r>
  <r>
    <x v="25"/>
  </r>
  <r>
    <x v="10"/>
  </r>
  <r>
    <x v="10"/>
  </r>
  <r>
    <x v="86"/>
  </r>
  <r>
    <x v="4"/>
  </r>
  <r>
    <x v="0"/>
  </r>
  <r>
    <x v="0"/>
  </r>
  <r>
    <x v="57"/>
  </r>
  <r>
    <x v="37"/>
  </r>
  <r>
    <x v="86"/>
  </r>
  <r>
    <x v="12"/>
  </r>
  <r>
    <x v="12"/>
  </r>
  <r>
    <x v="12"/>
  </r>
  <r>
    <x v="4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12"/>
  </r>
  <r>
    <x v="12"/>
  </r>
  <r>
    <x v="11"/>
  </r>
  <r>
    <x v="72"/>
  </r>
  <r>
    <x v="4"/>
  </r>
  <r>
    <x v="28"/>
  </r>
  <r>
    <x v="34"/>
  </r>
  <r>
    <x v="28"/>
  </r>
  <r>
    <x v="115"/>
  </r>
  <r>
    <x v="11"/>
  </r>
  <r>
    <x v="0"/>
  </r>
  <r>
    <x v="48"/>
  </r>
  <r>
    <x v="42"/>
  </r>
  <r>
    <x v="4"/>
  </r>
  <r>
    <x v="48"/>
  </r>
  <r>
    <x v="12"/>
  </r>
  <r>
    <x v="42"/>
  </r>
  <r>
    <x v="71"/>
  </r>
  <r>
    <x v="42"/>
  </r>
  <r>
    <x v="44"/>
  </r>
  <r>
    <x v="42"/>
  </r>
  <r>
    <x v="71"/>
  </r>
  <r>
    <x v="77"/>
  </r>
  <r>
    <x v="85"/>
  </r>
  <r>
    <x v="77"/>
  </r>
  <r>
    <x v="152"/>
  </r>
  <r>
    <x v="152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0"/>
  </r>
  <r>
    <x v="4"/>
  </r>
  <r>
    <x v="16"/>
  </r>
  <r>
    <x v="10"/>
  </r>
  <r>
    <x v="10"/>
  </r>
  <r>
    <x v="36"/>
  </r>
  <r>
    <x v="100"/>
  </r>
  <r>
    <x v="115"/>
  </r>
  <r>
    <x v="115"/>
  </r>
  <r>
    <x v="12"/>
  </r>
  <r>
    <x v="138"/>
  </r>
  <r>
    <x v="138"/>
  </r>
  <r>
    <x v="138"/>
  </r>
  <r>
    <x v="138"/>
  </r>
  <r>
    <x v="138"/>
  </r>
  <r>
    <x v="138"/>
  </r>
  <r>
    <x v="138"/>
  </r>
  <r>
    <x v="50"/>
  </r>
  <r>
    <x v="50"/>
  </r>
  <r>
    <x v="115"/>
  </r>
  <r>
    <x v="14"/>
  </r>
  <r>
    <x v="12"/>
  </r>
  <r>
    <x v="37"/>
  </r>
  <r>
    <x v="12"/>
  </r>
  <r>
    <x v="0"/>
  </r>
  <r>
    <x v="14"/>
  </r>
  <r>
    <x v="56"/>
  </r>
  <r>
    <x v="0"/>
  </r>
  <r>
    <x v="0"/>
  </r>
  <r>
    <x v="0"/>
  </r>
  <r>
    <x v="168"/>
  </r>
  <r>
    <x v="168"/>
  </r>
  <r>
    <x v="168"/>
  </r>
  <r>
    <x v="36"/>
  </r>
  <r>
    <x v="21"/>
  </r>
  <r>
    <x v="114"/>
  </r>
  <r>
    <x v="10"/>
  </r>
  <r>
    <x v="9"/>
  </r>
  <r>
    <x v="10"/>
  </r>
  <r>
    <x v="138"/>
  </r>
  <r>
    <x v="138"/>
  </r>
  <r>
    <x v="123"/>
  </r>
  <r>
    <x v="0"/>
  </r>
  <r>
    <x v="123"/>
  </r>
  <r>
    <x v="12"/>
  </r>
  <r>
    <x v="56"/>
  </r>
  <r>
    <x v="0"/>
  </r>
  <r>
    <x v="118"/>
  </r>
  <r>
    <x v="6"/>
  </r>
  <r>
    <x v="15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52"/>
  </r>
  <r>
    <x v="152"/>
  </r>
  <r>
    <x v="37"/>
  </r>
  <r>
    <x v="12"/>
  </r>
  <r>
    <x v="10"/>
  </r>
  <r>
    <x v="4"/>
  </r>
  <r>
    <x v="10"/>
  </r>
  <r>
    <x v="71"/>
  </r>
  <r>
    <x v="10"/>
  </r>
  <r>
    <x v="4"/>
  </r>
  <r>
    <x v="10"/>
  </r>
  <r>
    <x v="138"/>
  </r>
  <r>
    <x v="138"/>
  </r>
  <r>
    <x v="138"/>
  </r>
  <r>
    <x v="138"/>
  </r>
  <r>
    <x v="138"/>
  </r>
  <r>
    <x v="138"/>
  </r>
  <r>
    <x v="138"/>
  </r>
  <r>
    <x v="57"/>
  </r>
  <r>
    <x v="57"/>
  </r>
  <r>
    <x v="37"/>
  </r>
  <r>
    <x v="6"/>
  </r>
  <r>
    <x v="6"/>
  </r>
  <r>
    <x v="6"/>
  </r>
  <r>
    <x v="28"/>
  </r>
  <r>
    <x v="28"/>
  </r>
  <r>
    <x v="10"/>
  </r>
  <r>
    <x v="50"/>
  </r>
  <r>
    <x v="50"/>
  </r>
  <r>
    <x v="28"/>
  </r>
  <r>
    <x v="17"/>
  </r>
  <r>
    <x v="0"/>
  </r>
  <r>
    <x v="60"/>
  </r>
  <r>
    <x v="50"/>
  </r>
  <r>
    <x v="28"/>
  </r>
  <r>
    <x v="28"/>
  </r>
  <r>
    <x v="28"/>
  </r>
  <r>
    <x v="79"/>
  </r>
  <r>
    <x v="86"/>
  </r>
  <r>
    <x v="86"/>
  </r>
  <r>
    <x v="0"/>
  </r>
  <r>
    <x v="86"/>
  </r>
  <r>
    <x v="86"/>
  </r>
  <r>
    <x v="86"/>
  </r>
  <r>
    <x v="86"/>
  </r>
  <r>
    <x v="86"/>
  </r>
  <r>
    <x v="86"/>
  </r>
  <r>
    <x v="86"/>
  </r>
  <r>
    <x v="86"/>
  </r>
  <r>
    <x v="86"/>
  </r>
  <r>
    <x v="123"/>
  </r>
  <r>
    <x v="8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7"/>
  </r>
  <r>
    <x v="7"/>
  </r>
  <r>
    <x v="7"/>
  </r>
  <r>
    <x v="75"/>
  </r>
  <r>
    <x v="51"/>
  </r>
  <r>
    <x v="3"/>
  </r>
  <r>
    <x v="51"/>
  </r>
  <r>
    <x v="33"/>
  </r>
  <r>
    <x v="4"/>
  </r>
  <r>
    <x v="4"/>
  </r>
  <r>
    <x v="57"/>
  </r>
  <r>
    <x v="57"/>
  </r>
  <r>
    <x v="100"/>
  </r>
  <r>
    <x v="87"/>
  </r>
  <r>
    <x v="9"/>
  </r>
  <r>
    <x v="48"/>
  </r>
  <r>
    <x v="174"/>
  </r>
  <r>
    <x v="207"/>
  </r>
  <r>
    <x v="29"/>
  </r>
  <r>
    <x v="12"/>
  </r>
  <r>
    <x v="7"/>
  </r>
  <r>
    <x v="77"/>
  </r>
  <r>
    <x v="3"/>
  </r>
  <r>
    <x v="15"/>
  </r>
  <r>
    <x v="12"/>
  </r>
  <r>
    <x v="12"/>
  </r>
  <r>
    <x v="12"/>
  </r>
  <r>
    <x v="4"/>
  </r>
  <r>
    <x v="0"/>
  </r>
  <r>
    <x v="0"/>
  </r>
  <r>
    <x v="0"/>
  </r>
  <r>
    <x v="0"/>
  </r>
  <r>
    <x v="42"/>
  </r>
  <r>
    <x v="42"/>
  </r>
  <r>
    <x v="42"/>
  </r>
  <r>
    <x v="42"/>
  </r>
  <r>
    <x v="42"/>
  </r>
  <r>
    <x v="42"/>
  </r>
  <r>
    <x v="0"/>
  </r>
  <r>
    <x v="12"/>
  </r>
  <r>
    <x v="42"/>
  </r>
  <r>
    <x v="42"/>
  </r>
  <r>
    <x v="12"/>
  </r>
  <r>
    <x v="12"/>
  </r>
  <r>
    <x v="12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42"/>
  </r>
  <r>
    <x v="12"/>
  </r>
  <r>
    <x v="12"/>
  </r>
  <r>
    <x v="42"/>
  </r>
  <r>
    <x v="42"/>
  </r>
  <r>
    <x v="12"/>
  </r>
  <r>
    <x v="12"/>
  </r>
  <r>
    <x v="42"/>
  </r>
  <r>
    <x v="42"/>
  </r>
  <r>
    <x v="190"/>
  </r>
  <r>
    <x v="42"/>
  </r>
  <r>
    <x v="190"/>
  </r>
  <r>
    <x v="42"/>
  </r>
  <r>
    <x v="12"/>
  </r>
  <r>
    <x v="12"/>
  </r>
  <r>
    <x v="12"/>
  </r>
  <r>
    <x v="190"/>
  </r>
  <r>
    <x v="87"/>
  </r>
  <r>
    <x v="87"/>
  </r>
  <r>
    <x v="190"/>
  </r>
  <r>
    <x v="87"/>
  </r>
  <r>
    <x v="165"/>
  </r>
  <r>
    <x v="190"/>
  </r>
  <r>
    <x v="190"/>
  </r>
  <r>
    <x v="42"/>
  </r>
  <r>
    <x v="10"/>
  </r>
  <r>
    <x v="50"/>
  </r>
  <r>
    <x v="10"/>
  </r>
  <r>
    <x v="21"/>
  </r>
  <r>
    <x v="10"/>
  </r>
  <r>
    <x v="152"/>
  </r>
  <r>
    <x v="10"/>
  </r>
  <r>
    <x v="10"/>
  </r>
  <r>
    <x v="10"/>
  </r>
  <r>
    <x v="154"/>
  </r>
  <r>
    <x v="24"/>
  </r>
  <r>
    <x v="138"/>
  </r>
  <r>
    <x v="10"/>
  </r>
  <r>
    <x v="10"/>
  </r>
  <r>
    <x v="138"/>
  </r>
  <r>
    <x v="87"/>
  </r>
  <r>
    <x v="10"/>
  </r>
  <r>
    <x v="10"/>
  </r>
  <r>
    <x v="12"/>
  </r>
  <r>
    <x v="4"/>
  </r>
  <r>
    <x v="10"/>
  </r>
  <r>
    <x v="4"/>
  </r>
  <r>
    <x v="4"/>
  </r>
  <r>
    <x v="4"/>
  </r>
  <r>
    <x v="37"/>
  </r>
  <r>
    <x v="37"/>
  </r>
  <r>
    <x v="182"/>
  </r>
  <r>
    <x v="28"/>
  </r>
  <r>
    <x v="22"/>
  </r>
  <r>
    <x v="22"/>
  </r>
  <r>
    <x v="63"/>
  </r>
  <r>
    <x v="22"/>
  </r>
  <r>
    <x v="78"/>
  </r>
  <r>
    <x v="78"/>
  </r>
  <r>
    <x v="0"/>
  </r>
  <r>
    <x v="0"/>
  </r>
  <r>
    <x v="0"/>
  </r>
  <r>
    <x v="0"/>
  </r>
  <r>
    <x v="0"/>
  </r>
  <r>
    <x v="87"/>
  </r>
  <r>
    <x v="15"/>
  </r>
  <r>
    <x v="78"/>
  </r>
  <r>
    <x v="78"/>
  </r>
  <r>
    <x v="78"/>
  </r>
  <r>
    <x v="78"/>
  </r>
  <r>
    <x v="78"/>
  </r>
  <r>
    <x v="10"/>
  </r>
  <r>
    <x v="10"/>
  </r>
  <r>
    <x v="10"/>
  </r>
  <r>
    <x v="10"/>
  </r>
  <r>
    <x v="10"/>
  </r>
  <r>
    <x v="52"/>
  </r>
  <r>
    <x v="10"/>
  </r>
  <r>
    <x v="10"/>
  </r>
  <r>
    <x v="27"/>
  </r>
  <r>
    <x v="14"/>
  </r>
  <r>
    <x v="21"/>
  </r>
  <r>
    <x v="50"/>
  </r>
  <r>
    <x v="22"/>
  </r>
  <r>
    <x v="14"/>
  </r>
  <r>
    <x v="2"/>
  </r>
  <r>
    <x v="2"/>
  </r>
  <r>
    <x v="131"/>
  </r>
  <r>
    <x v="131"/>
  </r>
  <r>
    <x v="14"/>
  </r>
  <r>
    <x v="14"/>
  </r>
  <r>
    <x v="14"/>
  </r>
  <r>
    <x v="62"/>
  </r>
  <r>
    <x v="14"/>
  </r>
  <r>
    <x v="49"/>
  </r>
  <r>
    <x v="14"/>
  </r>
  <r>
    <x v="10"/>
  </r>
  <r>
    <x v="77"/>
  </r>
  <r>
    <x v="14"/>
  </r>
  <r>
    <x v="0"/>
  </r>
  <r>
    <x v="0"/>
  </r>
  <r>
    <x v="0"/>
  </r>
  <r>
    <x v="49"/>
  </r>
  <r>
    <x v="12"/>
  </r>
  <r>
    <x v="8"/>
  </r>
  <r>
    <x v="14"/>
  </r>
  <r>
    <x v="17"/>
  </r>
  <r>
    <x v="72"/>
  </r>
  <r>
    <x v="4"/>
  </r>
  <r>
    <x v="4"/>
  </r>
  <r>
    <x v="4"/>
  </r>
  <r>
    <x v="28"/>
  </r>
  <r>
    <x v="28"/>
  </r>
  <r>
    <x v="4"/>
  </r>
  <r>
    <x v="4"/>
  </r>
  <r>
    <x v="4"/>
  </r>
  <r>
    <x v="42"/>
  </r>
  <r>
    <x v="1"/>
  </r>
  <r>
    <x v="1"/>
  </r>
  <r>
    <x v="1"/>
  </r>
  <r>
    <x v="21"/>
  </r>
  <r>
    <x v="100"/>
  </r>
  <r>
    <x v="114"/>
  </r>
  <r>
    <x v="50"/>
  </r>
  <r>
    <x v="50"/>
  </r>
  <r>
    <x v="123"/>
  </r>
  <r>
    <x v="0"/>
  </r>
  <r>
    <x v="4"/>
  </r>
  <r>
    <x v="4"/>
  </r>
  <r>
    <x v="4"/>
  </r>
  <r>
    <x v="4"/>
  </r>
  <r>
    <x v="4"/>
  </r>
  <r>
    <x v="291"/>
  </r>
  <r>
    <x v="123"/>
  </r>
  <r>
    <x v="10"/>
  </r>
  <r>
    <x v="10"/>
  </r>
  <r>
    <x v="10"/>
  </r>
  <r>
    <x v="12"/>
  </r>
  <r>
    <x v="12"/>
  </r>
  <r>
    <x v="72"/>
  </r>
  <r>
    <x v="17"/>
  </r>
  <r>
    <x v="57"/>
  </r>
  <r>
    <x v="4"/>
  </r>
  <r>
    <x v="4"/>
  </r>
  <r>
    <x v="4"/>
  </r>
  <r>
    <x v="17"/>
  </r>
  <r>
    <x v="4"/>
  </r>
  <r>
    <x v="4"/>
  </r>
  <r>
    <x v="10"/>
  </r>
  <r>
    <x v="10"/>
  </r>
  <r>
    <x v="10"/>
  </r>
  <r>
    <x v="10"/>
  </r>
  <r>
    <x v="216"/>
  </r>
  <r>
    <x v="17"/>
  </r>
  <r>
    <x v="4"/>
  </r>
  <r>
    <x v="3"/>
  </r>
  <r>
    <x v="42"/>
  </r>
  <r>
    <x v="42"/>
  </r>
  <r>
    <x v="42"/>
  </r>
  <r>
    <x v="4"/>
  </r>
  <r>
    <x v="9"/>
  </r>
  <r>
    <x v="51"/>
  </r>
  <r>
    <x v="4"/>
  </r>
  <r>
    <x v="4"/>
  </r>
  <r>
    <x v="10"/>
  </r>
  <r>
    <x v="4"/>
  </r>
  <r>
    <x v="4"/>
  </r>
  <r>
    <x v="4"/>
  </r>
  <r>
    <x v="102"/>
  </r>
  <r>
    <x v="9"/>
  </r>
  <r>
    <x v="165"/>
  </r>
  <r>
    <x v="4"/>
  </r>
  <r>
    <x v="4"/>
  </r>
  <r>
    <x v="10"/>
  </r>
  <r>
    <x v="10"/>
  </r>
  <r>
    <x v="51"/>
  </r>
  <r>
    <x v="36"/>
  </r>
  <r>
    <x v="36"/>
  </r>
  <r>
    <x v="4"/>
  </r>
  <r>
    <x v="4"/>
  </r>
  <r>
    <x v="4"/>
  </r>
  <r>
    <x v="4"/>
  </r>
  <r>
    <x v="42"/>
  </r>
  <r>
    <x v="42"/>
  </r>
  <r>
    <x v="42"/>
  </r>
  <r>
    <x v="42"/>
  </r>
  <r>
    <x v="42"/>
  </r>
  <r>
    <x v="42"/>
  </r>
  <r>
    <x v="42"/>
  </r>
  <r>
    <x v="78"/>
  </r>
  <r>
    <x v="123"/>
  </r>
  <r>
    <x v="108"/>
  </r>
  <r>
    <x v="40"/>
  </r>
  <r>
    <x v="40"/>
  </r>
  <r>
    <x v="112"/>
  </r>
  <r>
    <x v="42"/>
  </r>
  <r>
    <x v="42"/>
  </r>
  <r>
    <x v="128"/>
  </r>
  <r>
    <x v="42"/>
  </r>
  <r>
    <x v="42"/>
  </r>
  <r>
    <x v="42"/>
  </r>
  <r>
    <x v="87"/>
  </r>
  <r>
    <x v="87"/>
  </r>
  <r>
    <x v="78"/>
  </r>
  <r>
    <x v="10"/>
  </r>
  <r>
    <x v="10"/>
  </r>
  <r>
    <x v="10"/>
  </r>
  <r>
    <x v="138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78"/>
  </r>
  <r>
    <x v="78"/>
  </r>
  <r>
    <x v="78"/>
  </r>
  <r>
    <x v="78"/>
  </r>
  <r>
    <x v="78"/>
  </r>
  <r>
    <x v="123"/>
  </r>
  <r>
    <x v="22"/>
  </r>
  <r>
    <x v="123"/>
  </r>
  <r>
    <x v="123"/>
  </r>
  <r>
    <x v="78"/>
  </r>
  <r>
    <x v="78"/>
  </r>
  <r>
    <x v="78"/>
  </r>
  <r>
    <x v="78"/>
  </r>
  <r>
    <x v="78"/>
  </r>
  <r>
    <x v="78"/>
  </r>
  <r>
    <x v="78"/>
  </r>
  <r>
    <x v="25"/>
  </r>
  <r>
    <x v="42"/>
  </r>
  <r>
    <x v="42"/>
  </r>
  <r>
    <x v="29"/>
  </r>
  <r>
    <x v="42"/>
  </r>
  <r>
    <x v="87"/>
  </r>
  <r>
    <x v="21"/>
  </r>
  <r>
    <x v="42"/>
  </r>
  <r>
    <x v="42"/>
  </r>
  <r>
    <x v="56"/>
  </r>
  <r>
    <x v="42"/>
  </r>
  <r>
    <x v="12"/>
  </r>
  <r>
    <x v="56"/>
  </r>
  <r>
    <x v="12"/>
  </r>
  <r>
    <x v="42"/>
  </r>
  <r>
    <x v="12"/>
  </r>
  <r>
    <x v="56"/>
  </r>
  <r>
    <x v="64"/>
  </r>
  <r>
    <x v="12"/>
  </r>
  <r>
    <x v="42"/>
  </r>
  <r>
    <x v="42"/>
  </r>
  <r>
    <x v="9"/>
  </r>
  <r>
    <x v="10"/>
  </r>
  <r>
    <x v="10"/>
  </r>
  <r>
    <x v="12"/>
  </r>
  <r>
    <x v="14"/>
  </r>
  <r>
    <x v="87"/>
  </r>
  <r>
    <x v="56"/>
  </r>
  <r>
    <x v="12"/>
  </r>
  <r>
    <x v="42"/>
  </r>
  <r>
    <x v="56"/>
  </r>
  <r>
    <x v="56"/>
  </r>
  <r>
    <x v="42"/>
  </r>
  <r>
    <x v="56"/>
  </r>
  <r>
    <x v="42"/>
  </r>
  <r>
    <x v="42"/>
  </r>
  <r>
    <x v="11"/>
  </r>
  <r>
    <x v="4"/>
  </r>
  <r>
    <x v="4"/>
  </r>
  <r>
    <x v="42"/>
  </r>
  <r>
    <x v="33"/>
  </r>
  <r>
    <x v="42"/>
  </r>
  <r>
    <x v="87"/>
  </r>
  <r>
    <x v="29"/>
  </r>
  <r>
    <x v="108"/>
  </r>
  <r>
    <x v="42"/>
  </r>
  <r>
    <x v="42"/>
  </r>
  <r>
    <x v="42"/>
  </r>
  <r>
    <x v="42"/>
  </r>
  <r>
    <x v="42"/>
  </r>
  <r>
    <x v="42"/>
  </r>
  <r>
    <x v="42"/>
  </r>
  <r>
    <x v="42"/>
  </r>
  <r>
    <x v="9"/>
  </r>
  <r>
    <x v="78"/>
  </r>
  <r>
    <x v="78"/>
  </r>
  <r>
    <x v="78"/>
  </r>
  <r>
    <x v="78"/>
  </r>
  <r>
    <x v="9"/>
  </r>
  <r>
    <x v="11"/>
  </r>
  <r>
    <x v="10"/>
  </r>
  <r>
    <x v="0"/>
  </r>
  <r>
    <x v="152"/>
  </r>
  <r>
    <x v="10"/>
  </r>
  <r>
    <x v="123"/>
  </r>
  <r>
    <x v="123"/>
  </r>
  <r>
    <x v="10"/>
  </r>
  <r>
    <x v="123"/>
  </r>
  <r>
    <x v="123"/>
  </r>
  <r>
    <x v="123"/>
  </r>
  <r>
    <x v="123"/>
  </r>
  <r>
    <x v="123"/>
  </r>
  <r>
    <x v="152"/>
  </r>
  <r>
    <x v="152"/>
  </r>
  <r>
    <x v="123"/>
  </r>
  <r>
    <x v="57"/>
  </r>
  <r>
    <x v="57"/>
  </r>
  <r>
    <x v="123"/>
  </r>
  <r>
    <x v="123"/>
  </r>
  <r>
    <x v="152"/>
  </r>
  <r>
    <x v="152"/>
  </r>
  <r>
    <x v="123"/>
  </r>
  <r>
    <x v="154"/>
  </r>
  <r>
    <x v="17"/>
  </r>
  <r>
    <x v="86"/>
  </r>
  <r>
    <x v="9"/>
  </r>
  <r>
    <x v="42"/>
  </r>
  <r>
    <x v="10"/>
  </r>
  <r>
    <x v="0"/>
  </r>
  <r>
    <x v="152"/>
  </r>
  <r>
    <x v="123"/>
  </r>
  <r>
    <x v="10"/>
  </r>
  <r>
    <x v="123"/>
  </r>
  <r>
    <x v="12"/>
  </r>
  <r>
    <x v="123"/>
  </r>
  <r>
    <x v="123"/>
  </r>
  <r>
    <x v="123"/>
  </r>
  <r>
    <x v="123"/>
  </r>
  <r>
    <x v="87"/>
  </r>
  <r>
    <x v="21"/>
  </r>
  <r>
    <x v="14"/>
  </r>
  <r>
    <x v="14"/>
  </r>
  <r>
    <x v="87"/>
  </r>
  <r>
    <x v="87"/>
  </r>
  <r>
    <x v="114"/>
  </r>
  <r>
    <x v="12"/>
  </r>
  <r>
    <x v="63"/>
  </r>
  <r>
    <x v="48"/>
  </r>
  <r>
    <x v="14"/>
  </r>
  <r>
    <x v="4"/>
  </r>
  <r>
    <x v="165"/>
  </r>
  <r>
    <x v="14"/>
  </r>
  <r>
    <x v="10"/>
  </r>
  <r>
    <x v="86"/>
  </r>
  <r>
    <x v="4"/>
  </r>
  <r>
    <x v="12"/>
  </r>
  <r>
    <x v="2"/>
  </r>
  <r>
    <x v="0"/>
  </r>
  <r>
    <x v="0"/>
  </r>
  <r>
    <x v="16"/>
  </r>
  <r>
    <x v="16"/>
  </r>
  <r>
    <x v="16"/>
  </r>
  <r>
    <x v="16"/>
  </r>
  <r>
    <x v="12"/>
  </r>
  <r>
    <x v="42"/>
  </r>
  <r>
    <x v="12"/>
  </r>
  <r>
    <x v="28"/>
  </r>
  <r>
    <x v="12"/>
  </r>
  <r>
    <x v="57"/>
  </r>
  <r>
    <x v="42"/>
  </r>
  <r>
    <x v="42"/>
  </r>
  <r>
    <x v="56"/>
  </r>
  <r>
    <x v="10"/>
  </r>
  <r>
    <x v="115"/>
  </r>
  <r>
    <x v="4"/>
  </r>
  <r>
    <x v="4"/>
  </r>
  <r>
    <x v="4"/>
  </r>
  <r>
    <x v="53"/>
  </r>
  <r>
    <x v="53"/>
  </r>
  <r>
    <x v="133"/>
  </r>
  <r>
    <x v="12"/>
  </r>
  <r>
    <x v="25"/>
  </r>
  <r>
    <x v="25"/>
  </r>
  <r>
    <x v="4"/>
  </r>
  <r>
    <x v="165"/>
  </r>
  <r>
    <x v="48"/>
  </r>
  <r>
    <x v="12"/>
  </r>
  <r>
    <x v="28"/>
  </r>
  <r>
    <x v="80"/>
  </r>
  <r>
    <x v="10"/>
  </r>
  <r>
    <x v="10"/>
  </r>
  <r>
    <x v="81"/>
  </r>
  <r>
    <x v="81"/>
  </r>
  <r>
    <x v="81"/>
  </r>
  <r>
    <x v="81"/>
  </r>
  <r>
    <x v="81"/>
  </r>
  <r>
    <x v="56"/>
  </r>
  <r>
    <x v="138"/>
  </r>
  <r>
    <x v="138"/>
  </r>
  <r>
    <x v="138"/>
  </r>
  <r>
    <x v="87"/>
  </r>
  <r>
    <x v="108"/>
  </r>
  <r>
    <x v="87"/>
  </r>
  <r>
    <x v="138"/>
  </r>
  <r>
    <x v="138"/>
  </r>
  <r>
    <x v="86"/>
  </r>
  <r>
    <x v="86"/>
  </r>
  <r>
    <x v="10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9"/>
  </r>
  <r>
    <x v="8"/>
  </r>
  <r>
    <x v="25"/>
  </r>
  <r>
    <x v="12"/>
  </r>
  <r>
    <x v="12"/>
  </r>
  <r>
    <x v="12"/>
  </r>
  <r>
    <x v="12"/>
  </r>
  <r>
    <x v="12"/>
  </r>
  <r>
    <x v="12"/>
  </r>
  <r>
    <x v="12"/>
  </r>
  <r>
    <x v="10"/>
  </r>
  <r>
    <x v="10"/>
  </r>
  <r>
    <x v="10"/>
  </r>
  <r>
    <x v="0"/>
  </r>
  <r>
    <x v="33"/>
  </r>
  <r>
    <x v="4"/>
  </r>
  <r>
    <x v="24"/>
  </r>
  <r>
    <x v="79"/>
  </r>
  <r>
    <x v="10"/>
  </r>
  <r>
    <x v="64"/>
  </r>
  <r>
    <x v="59"/>
  </r>
  <r>
    <x v="59"/>
  </r>
  <r>
    <x v="10"/>
  </r>
  <r>
    <x v="33"/>
  </r>
  <r>
    <x v="12"/>
  </r>
  <r>
    <x v="102"/>
  </r>
  <r>
    <x v="4"/>
  </r>
  <r>
    <x v="24"/>
  </r>
  <r>
    <x v="24"/>
  </r>
  <r>
    <x v="86"/>
  </r>
  <r>
    <x v="4"/>
  </r>
  <r>
    <x v="36"/>
  </r>
  <r>
    <x v="45"/>
  </r>
  <r>
    <x v="24"/>
  </r>
  <r>
    <x v="37"/>
  </r>
  <r>
    <x v="37"/>
  </r>
  <r>
    <x v="21"/>
  </r>
  <r>
    <x v="10"/>
  </r>
  <r>
    <x v="22"/>
  </r>
  <r>
    <x v="10"/>
  </r>
  <r>
    <x v="10"/>
  </r>
  <r>
    <x v="0"/>
  </r>
  <r>
    <x v="64"/>
  </r>
  <r>
    <x v="0"/>
  </r>
  <r>
    <x v="64"/>
  </r>
  <r>
    <x v="24"/>
  </r>
  <r>
    <x v="12"/>
  </r>
  <r>
    <x v="12"/>
  </r>
  <r>
    <x v="12"/>
  </r>
  <r>
    <x v="105"/>
  </r>
  <r>
    <x v="26"/>
  </r>
  <r>
    <x v="10"/>
  </r>
  <r>
    <x v="36"/>
  </r>
  <r>
    <x v="36"/>
  </r>
  <r>
    <x v="36"/>
  </r>
  <r>
    <x v="36"/>
  </r>
  <r>
    <x v="36"/>
  </r>
  <r>
    <x v="4"/>
  </r>
  <r>
    <x v="4"/>
  </r>
  <r>
    <x v="4"/>
  </r>
  <r>
    <x v="4"/>
  </r>
  <r>
    <x v="36"/>
  </r>
  <r>
    <x v="36"/>
  </r>
  <r>
    <x v="4"/>
  </r>
  <r>
    <x v="10"/>
  </r>
  <r>
    <x v="138"/>
  </r>
  <r>
    <x v="4"/>
  </r>
  <r>
    <x v="4"/>
  </r>
  <r>
    <x v="10"/>
  </r>
  <r>
    <x v="10"/>
  </r>
  <r>
    <x v="4"/>
  </r>
  <r>
    <x v="10"/>
  </r>
  <r>
    <x v="72"/>
  </r>
  <r>
    <x v="10"/>
  </r>
  <r>
    <x v="8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7"/>
  </r>
  <r>
    <x v="77"/>
  </r>
  <r>
    <x v="12"/>
  </r>
  <r>
    <x v="12"/>
  </r>
  <r>
    <x v="77"/>
  </r>
  <r>
    <x v="10"/>
  </r>
  <r>
    <x v="12"/>
  </r>
  <r>
    <x v="12"/>
  </r>
  <r>
    <x v="12"/>
  </r>
  <r>
    <x v="4"/>
  </r>
  <r>
    <x v="24"/>
  </r>
  <r>
    <x v="24"/>
  </r>
  <r>
    <x v="24"/>
  </r>
  <r>
    <x v="24"/>
  </r>
  <r>
    <x v="24"/>
  </r>
  <r>
    <x v="50"/>
  </r>
  <r>
    <x v="80"/>
  </r>
  <r>
    <x v="42"/>
  </r>
  <r>
    <x v="154"/>
  </r>
  <r>
    <x v="14"/>
  </r>
  <r>
    <x v="22"/>
  </r>
  <r>
    <x v="22"/>
  </r>
  <r>
    <x v="14"/>
  </r>
  <r>
    <x v="14"/>
  </r>
  <r>
    <x v="14"/>
  </r>
  <r>
    <x v="22"/>
  </r>
  <r>
    <x v="22"/>
  </r>
  <r>
    <x v="22"/>
  </r>
  <r>
    <x v="22"/>
  </r>
  <r>
    <x v="12"/>
  </r>
  <r>
    <x v="4"/>
  </r>
  <r>
    <x v="10"/>
  </r>
  <r>
    <x v="56"/>
  </r>
  <r>
    <x v="80"/>
  </r>
  <r>
    <x v="240"/>
  </r>
  <r>
    <x v="56"/>
  </r>
  <r>
    <x v="169"/>
  </r>
  <r>
    <x v="87"/>
  </r>
  <r>
    <x v="42"/>
  </r>
  <r>
    <x v="87"/>
  </r>
  <r>
    <x v="4"/>
  </r>
  <r>
    <x v="56"/>
  </r>
  <r>
    <x v="56"/>
  </r>
  <r>
    <x v="56"/>
  </r>
  <r>
    <x v="56"/>
  </r>
  <r>
    <x v="56"/>
  </r>
  <r>
    <x v="87"/>
  </r>
  <r>
    <x v="56"/>
  </r>
  <r>
    <x v="42"/>
  </r>
  <r>
    <x v="42"/>
  </r>
  <r>
    <x v="42"/>
  </r>
  <r>
    <x v="42"/>
  </r>
  <r>
    <x v="56"/>
  </r>
  <r>
    <x v="72"/>
  </r>
  <r>
    <x v="56"/>
  </r>
  <r>
    <x v="10"/>
  </r>
  <r>
    <x v="42"/>
  </r>
  <r>
    <x v="10"/>
  </r>
  <r>
    <x v="56"/>
  </r>
  <r>
    <x v="4"/>
  </r>
  <r>
    <x v="4"/>
  </r>
  <r>
    <x v="4"/>
  </r>
  <r>
    <x v="7"/>
  </r>
  <r>
    <x v="10"/>
  </r>
  <r>
    <x v="7"/>
  </r>
  <r>
    <x v="48"/>
  </r>
  <r>
    <x v="14"/>
  </r>
  <r>
    <x v="42"/>
  </r>
  <r>
    <x v="10"/>
  </r>
  <r>
    <x v="10"/>
  </r>
  <r>
    <x v="4"/>
  </r>
  <r>
    <x v="4"/>
  </r>
  <r>
    <x v="10"/>
  </r>
  <r>
    <x v="4"/>
  </r>
  <r>
    <x v="4"/>
  </r>
  <r>
    <x v="4"/>
  </r>
  <r>
    <x v="4"/>
  </r>
  <r>
    <x v="7"/>
  </r>
  <r>
    <x v="6"/>
  </r>
  <r>
    <x v="25"/>
  </r>
  <r>
    <x v="184"/>
  </r>
  <r>
    <x v="24"/>
  </r>
  <r>
    <x v="14"/>
  </r>
  <r>
    <x v="276"/>
  </r>
  <r>
    <x v="14"/>
  </r>
  <r>
    <x v="276"/>
  </r>
  <r>
    <x v="4"/>
  </r>
  <r>
    <x v="48"/>
  </r>
  <r>
    <x v="45"/>
  </r>
  <r>
    <x v="12"/>
  </r>
  <r>
    <x v="77"/>
  </r>
  <r>
    <x v="86"/>
  </r>
  <r>
    <x v="86"/>
  </r>
  <r>
    <x v="86"/>
  </r>
  <r>
    <x v="86"/>
  </r>
  <r>
    <x v="86"/>
  </r>
  <r>
    <x v="165"/>
  </r>
  <r>
    <x v="86"/>
  </r>
  <r>
    <x v="165"/>
  </r>
  <r>
    <x v="123"/>
  </r>
  <r>
    <x v="4"/>
  </r>
  <r>
    <x v="4"/>
  </r>
  <r>
    <x v="4"/>
  </r>
  <r>
    <x v="4"/>
  </r>
  <r>
    <x v="4"/>
  </r>
  <r>
    <x v="123"/>
  </r>
  <r>
    <x v="64"/>
  </r>
  <r>
    <x v="10"/>
  </r>
  <r>
    <x v="10"/>
  </r>
  <r>
    <x v="10"/>
  </r>
  <r>
    <x v="10"/>
  </r>
  <r>
    <x v="10"/>
  </r>
  <r>
    <x v="41"/>
  </r>
  <r>
    <x v="76"/>
  </r>
  <r>
    <x v="4"/>
  </r>
  <r>
    <x v="87"/>
  </r>
  <r>
    <x v="42"/>
  </r>
  <r>
    <x v="91"/>
  </r>
  <r>
    <x v="91"/>
  </r>
  <r>
    <x v="128"/>
  </r>
  <r>
    <x v="128"/>
  </r>
  <r>
    <x v="128"/>
  </r>
  <r>
    <x v="81"/>
  </r>
  <r>
    <x v="81"/>
  </r>
  <r>
    <x v="16"/>
  </r>
  <r>
    <x v="25"/>
  </r>
  <r>
    <x v="102"/>
  </r>
  <r>
    <x v="33"/>
  </r>
  <r>
    <x v="28"/>
  </r>
  <r>
    <x v="28"/>
  </r>
  <r>
    <x v="22"/>
  </r>
  <r>
    <x v="4"/>
  </r>
  <r>
    <x v="33"/>
  </r>
  <r>
    <x v="10"/>
  </r>
  <r>
    <x v="10"/>
  </r>
  <r>
    <x v="59"/>
  </r>
  <r>
    <x v="63"/>
  </r>
  <r>
    <x v="63"/>
  </r>
  <r>
    <x v="16"/>
  </r>
  <r>
    <x v="84"/>
  </r>
  <r>
    <x v="10"/>
  </r>
  <r>
    <x v="4"/>
  </r>
  <r>
    <x v="57"/>
  </r>
  <r>
    <x v="23"/>
  </r>
  <r>
    <x v="14"/>
  </r>
  <r>
    <x v="14"/>
  </r>
  <r>
    <x v="14"/>
  </r>
  <r>
    <x v="10"/>
  </r>
  <r>
    <x v="10"/>
  </r>
  <r>
    <x v="26"/>
  </r>
  <r>
    <x v="4"/>
  </r>
  <r>
    <x v="4"/>
  </r>
  <r>
    <x v="4"/>
  </r>
  <r>
    <x v="4"/>
  </r>
  <r>
    <x v="56"/>
  </r>
  <r>
    <x v="56"/>
  </r>
  <r>
    <x v="56"/>
  </r>
  <r>
    <x v="56"/>
  </r>
  <r>
    <x v="87"/>
  </r>
  <r>
    <x v="12"/>
  </r>
  <r>
    <x v="123"/>
  </r>
  <r>
    <x v="123"/>
  </r>
  <r>
    <x v="10"/>
  </r>
  <r>
    <x v="10"/>
  </r>
  <r>
    <x v="10"/>
  </r>
  <r>
    <x v="123"/>
  </r>
  <r>
    <x v="123"/>
  </r>
  <r>
    <x v="123"/>
  </r>
  <r>
    <x v="14"/>
  </r>
  <r>
    <x v="1"/>
  </r>
  <r>
    <x v="11"/>
  </r>
  <r>
    <x v="26"/>
  </r>
  <r>
    <x v="40"/>
  </r>
  <r>
    <x v="89"/>
  </r>
  <r>
    <x v="89"/>
  </r>
  <r>
    <x v="89"/>
  </r>
  <r>
    <x v="42"/>
  </r>
  <r>
    <x v="78"/>
  </r>
  <r>
    <x v="42"/>
  </r>
  <r>
    <x v="78"/>
  </r>
  <r>
    <x v="78"/>
  </r>
  <r>
    <x v="78"/>
  </r>
  <r>
    <x v="78"/>
  </r>
  <r>
    <x v="78"/>
  </r>
  <r>
    <x v="78"/>
  </r>
  <r>
    <x v="78"/>
  </r>
  <r>
    <x v="78"/>
  </r>
  <r>
    <x v="22"/>
  </r>
  <r>
    <x v="22"/>
  </r>
  <r>
    <x v="22"/>
  </r>
  <r>
    <x v="22"/>
  </r>
  <r>
    <x v="10"/>
  </r>
  <r>
    <x v="10"/>
  </r>
  <r>
    <x v="10"/>
  </r>
  <r>
    <x v="4"/>
  </r>
  <r>
    <x v="22"/>
  </r>
  <r>
    <x v="22"/>
  </r>
  <r>
    <x v="14"/>
  </r>
  <r>
    <x v="165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15"/>
  </r>
  <r>
    <x v="15"/>
  </r>
  <r>
    <x v="12"/>
  </r>
  <r>
    <x v="4"/>
  </r>
  <r>
    <x v="4"/>
  </r>
  <r>
    <x v="10"/>
  </r>
  <r>
    <x v="76"/>
  </r>
  <r>
    <x v="48"/>
  </r>
  <r>
    <x v="4"/>
  </r>
  <r>
    <x v="165"/>
  </r>
  <r>
    <x v="42"/>
  </r>
  <r>
    <x v="42"/>
  </r>
  <r>
    <x v="36"/>
  </r>
  <r>
    <x v="36"/>
  </r>
  <r>
    <x v="36"/>
  </r>
  <r>
    <x v="165"/>
  </r>
  <r>
    <x v="165"/>
  </r>
  <r>
    <x v="165"/>
  </r>
  <r>
    <x v="4"/>
  </r>
  <r>
    <x v="76"/>
  </r>
  <r>
    <x v="4"/>
  </r>
  <r>
    <x v="165"/>
  </r>
  <r>
    <x v="10"/>
  </r>
  <r>
    <x v="10"/>
  </r>
  <r>
    <x v="10"/>
  </r>
  <r>
    <x v="10"/>
  </r>
  <r>
    <x v="12"/>
  </r>
  <r>
    <x v="12"/>
  </r>
  <r>
    <x v="10"/>
  </r>
  <r>
    <x v="10"/>
  </r>
  <r>
    <x v="10"/>
  </r>
  <r>
    <x v="10"/>
  </r>
  <r>
    <x v="12"/>
  </r>
  <r>
    <x v="10"/>
  </r>
  <r>
    <x v="4"/>
  </r>
  <r>
    <x v="12"/>
  </r>
  <r>
    <x v="12"/>
  </r>
  <r>
    <x v="12"/>
  </r>
  <r>
    <x v="12"/>
  </r>
  <r>
    <x v="12"/>
  </r>
  <r>
    <x v="15"/>
  </r>
  <r>
    <x v="15"/>
  </r>
  <r>
    <x v="15"/>
  </r>
  <r>
    <x v="28"/>
  </r>
  <r>
    <x v="1"/>
  </r>
  <r>
    <x v="10"/>
  </r>
  <r>
    <x v="28"/>
  </r>
  <r>
    <x v="42"/>
  </r>
  <r>
    <x v="4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0"/>
  </r>
  <r>
    <x v="24"/>
  </r>
  <r>
    <x v="2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22"/>
  </r>
  <r>
    <x v="10"/>
  </r>
  <r>
    <x v="10"/>
  </r>
  <r>
    <x v="10"/>
  </r>
  <r>
    <x v="10"/>
  </r>
  <r>
    <x v="10"/>
  </r>
  <r>
    <x v="10"/>
  </r>
  <r>
    <x v="33"/>
  </r>
  <r>
    <x v="28"/>
  </r>
  <r>
    <x v="28"/>
  </r>
  <r>
    <x v="123"/>
  </r>
  <r>
    <x v="123"/>
  </r>
  <r>
    <x v="123"/>
  </r>
  <r>
    <x v="123"/>
  </r>
  <r>
    <x v="0"/>
  </r>
  <r>
    <x v="108"/>
  </r>
  <r>
    <x v="108"/>
  </r>
  <r>
    <x v="108"/>
  </r>
  <r>
    <x v="108"/>
  </r>
  <r>
    <x v="108"/>
  </r>
  <r>
    <x v="108"/>
  </r>
  <r>
    <x v="108"/>
  </r>
  <r>
    <x v="108"/>
  </r>
  <r>
    <x v="108"/>
  </r>
  <r>
    <x v="23"/>
  </r>
  <r>
    <x v="0"/>
  </r>
  <r>
    <x v="130"/>
  </r>
  <r>
    <x v="10"/>
  </r>
  <r>
    <x v="91"/>
  </r>
  <r>
    <x v="14"/>
  </r>
  <r>
    <x v="23"/>
  </r>
  <r>
    <x v="292"/>
  </r>
  <r>
    <x v="64"/>
  </r>
  <r>
    <x v="271"/>
  </r>
  <r>
    <x v="271"/>
  </r>
  <r>
    <x v="62"/>
  </r>
  <r>
    <x v="14"/>
  </r>
  <r>
    <x v="57"/>
  </r>
  <r>
    <x v="122"/>
  </r>
  <r>
    <x v="57"/>
  </r>
  <r>
    <x v="62"/>
  </r>
  <r>
    <x v="130"/>
  </r>
  <r>
    <x v="0"/>
  </r>
  <r>
    <x v="103"/>
  </r>
  <r>
    <x v="17"/>
  </r>
  <r>
    <x v="131"/>
  </r>
  <r>
    <x v="17"/>
  </r>
  <r>
    <x v="10"/>
  </r>
  <r>
    <x v="17"/>
  </r>
  <r>
    <x v="28"/>
  </r>
  <r>
    <x v="28"/>
  </r>
  <r>
    <x v="28"/>
  </r>
  <r>
    <x v="10"/>
  </r>
  <r>
    <x v="4"/>
  </r>
  <r>
    <x v="4"/>
  </r>
  <r>
    <x v="40"/>
  </r>
  <r>
    <x v="40"/>
  </r>
  <r>
    <x v="10"/>
  </r>
  <r>
    <x v="10"/>
  </r>
  <r>
    <x v="10"/>
  </r>
  <r>
    <x v="36"/>
  </r>
  <r>
    <x v="10"/>
  </r>
  <r>
    <x v="10"/>
  </r>
  <r>
    <x v="178"/>
  </r>
  <r>
    <x v="10"/>
  </r>
  <r>
    <x v="175"/>
  </r>
  <r>
    <x v="10"/>
  </r>
  <r>
    <x v="175"/>
  </r>
  <r>
    <x v="80"/>
  </r>
  <r>
    <x v="175"/>
  </r>
  <r>
    <x v="33"/>
  </r>
  <r>
    <x v="10"/>
  </r>
  <r>
    <x v="14"/>
  </r>
  <r>
    <x v="48"/>
  </r>
  <r>
    <x v="4"/>
  </r>
  <r>
    <x v="59"/>
  </r>
  <r>
    <x v="28"/>
  </r>
  <r>
    <x v="10"/>
  </r>
  <r>
    <x v="10"/>
  </r>
  <r>
    <x v="42"/>
  </r>
  <r>
    <x v="152"/>
  </r>
  <r>
    <x v="0"/>
  </r>
  <r>
    <x v="115"/>
  </r>
  <r>
    <x v="175"/>
  </r>
  <r>
    <x v="28"/>
  </r>
  <r>
    <x v="11"/>
  </r>
  <r>
    <x v="71"/>
  </r>
  <r>
    <x v="14"/>
  </r>
  <r>
    <x v="14"/>
  </r>
  <r>
    <x v="14"/>
  </r>
  <r>
    <x v="14"/>
  </r>
  <r>
    <x v="14"/>
  </r>
  <r>
    <x v="10"/>
  </r>
  <r>
    <x v="10"/>
  </r>
  <r>
    <x v="14"/>
  </r>
  <r>
    <x v="10"/>
  </r>
  <r>
    <x v="14"/>
  </r>
  <r>
    <x v="14"/>
  </r>
  <r>
    <x v="14"/>
  </r>
  <r>
    <x v="10"/>
  </r>
  <r>
    <x v="10"/>
  </r>
  <r>
    <x v="14"/>
  </r>
  <r>
    <x v="14"/>
  </r>
  <r>
    <x v="14"/>
  </r>
  <r>
    <x v="108"/>
  </r>
  <r>
    <x v="14"/>
  </r>
  <r>
    <x v="0"/>
  </r>
  <r>
    <x v="10"/>
  </r>
  <r>
    <x v="28"/>
  </r>
  <r>
    <x v="16"/>
  </r>
  <r>
    <x v="10"/>
  </r>
  <r>
    <x v="10"/>
  </r>
  <r>
    <x v="10"/>
  </r>
  <r>
    <x v="48"/>
  </r>
  <r>
    <x v="115"/>
  </r>
  <r>
    <x v="42"/>
  </r>
  <r>
    <x v="36"/>
  </r>
  <r>
    <x v="36"/>
  </r>
  <r>
    <x v="25"/>
  </r>
  <r>
    <x v="36"/>
  </r>
  <r>
    <x v="56"/>
  </r>
  <r>
    <x v="56"/>
  </r>
  <r>
    <x v="56"/>
  </r>
  <r>
    <x v="3"/>
  </r>
  <r>
    <x v="12"/>
  </r>
  <r>
    <x v="12"/>
  </r>
  <r>
    <x v="12"/>
  </r>
  <r>
    <x v="12"/>
  </r>
  <r>
    <x v="12"/>
  </r>
  <r>
    <x v="12"/>
  </r>
  <r>
    <x v="45"/>
  </r>
  <r>
    <x v="12"/>
  </r>
  <r>
    <x v="12"/>
  </r>
  <r>
    <x v="22"/>
  </r>
  <r>
    <x v="4"/>
  </r>
  <r>
    <x v="28"/>
  </r>
  <r>
    <x v="40"/>
  </r>
  <r>
    <x v="24"/>
  </r>
  <r>
    <x v="24"/>
  </r>
  <r>
    <x v="4"/>
  </r>
  <r>
    <x v="24"/>
  </r>
  <r>
    <x v="34"/>
  </r>
  <r>
    <x v="79"/>
  </r>
  <r>
    <x v="24"/>
  </r>
  <r>
    <x v="24"/>
  </r>
  <r>
    <x v="152"/>
  </r>
  <r>
    <x v="152"/>
  </r>
  <r>
    <x v="42"/>
  </r>
  <r>
    <x v="42"/>
  </r>
  <r>
    <x v="71"/>
  </r>
  <r>
    <x v="12"/>
  </r>
  <r>
    <x v="24"/>
  </r>
  <r>
    <x v="24"/>
  </r>
  <r>
    <x v="12"/>
  </r>
  <r>
    <x v="24"/>
  </r>
  <r>
    <x v="14"/>
  </r>
  <r>
    <x v="14"/>
  </r>
  <r>
    <x v="28"/>
  </r>
  <r>
    <x v="28"/>
  </r>
  <r>
    <x v="28"/>
  </r>
  <r>
    <x v="0"/>
  </r>
  <r>
    <x v="72"/>
  </r>
  <r>
    <x v="6"/>
  </r>
  <r>
    <x v="87"/>
  </r>
  <r>
    <x v="87"/>
  </r>
  <r>
    <x v="87"/>
  </r>
  <r>
    <x v="4"/>
  </r>
  <r>
    <x v="77"/>
  </r>
  <r>
    <x v="77"/>
  </r>
  <r>
    <x v="0"/>
  </r>
  <r>
    <x v="4"/>
  </r>
  <r>
    <x v="4"/>
  </r>
  <r>
    <x v="10"/>
  </r>
  <r>
    <x v="11"/>
  </r>
  <r>
    <x v="87"/>
  </r>
  <r>
    <x v="1"/>
  </r>
  <r>
    <x v="72"/>
  </r>
  <r>
    <x v="32"/>
  </r>
  <r>
    <x v="10"/>
  </r>
  <r>
    <x v="1"/>
  </r>
  <r>
    <x v="10"/>
  </r>
  <r>
    <x v="10"/>
  </r>
  <r>
    <x v="10"/>
  </r>
  <r>
    <x v="10"/>
  </r>
  <r>
    <x v="138"/>
  </r>
  <r>
    <x v="138"/>
  </r>
  <r>
    <x v="138"/>
  </r>
  <r>
    <x v="138"/>
  </r>
  <r>
    <x v="14"/>
  </r>
  <r>
    <x v="138"/>
  </r>
  <r>
    <x v="138"/>
  </r>
  <r>
    <x v="34"/>
  </r>
  <r>
    <x v="0"/>
  </r>
  <r>
    <x v="0"/>
  </r>
  <r>
    <x v="0"/>
  </r>
  <r>
    <x v="34"/>
  </r>
  <r>
    <x v="2"/>
  </r>
  <r>
    <x v="45"/>
  </r>
  <r>
    <x v="0"/>
  </r>
  <r>
    <x v="0"/>
  </r>
  <r>
    <x v="0"/>
  </r>
  <r>
    <x v="115"/>
  </r>
  <r>
    <x v="4"/>
  </r>
  <r>
    <x v="1"/>
  </r>
  <r>
    <x v="14"/>
  </r>
  <r>
    <x v="14"/>
  </r>
  <r>
    <x v="14"/>
  </r>
  <r>
    <x v="4"/>
  </r>
  <r>
    <x v="10"/>
  </r>
  <r>
    <x v="4"/>
  </r>
  <r>
    <x v="56"/>
  </r>
  <r>
    <x v="7"/>
  </r>
  <r>
    <x v="138"/>
  </r>
  <r>
    <x v="138"/>
  </r>
  <r>
    <x v="138"/>
  </r>
  <r>
    <x v="138"/>
  </r>
  <r>
    <x v="138"/>
  </r>
  <r>
    <x v="10"/>
  </r>
  <r>
    <x v="138"/>
  </r>
  <r>
    <x v="138"/>
  </r>
  <r>
    <x v="138"/>
  </r>
  <r>
    <x v="123"/>
  </r>
  <r>
    <x v="10"/>
  </r>
  <r>
    <x v="87"/>
  </r>
  <r>
    <x v="0"/>
  </r>
  <r>
    <x v="87"/>
  </r>
  <r>
    <x v="87"/>
  </r>
  <r>
    <x v="4"/>
  </r>
  <r>
    <x v="87"/>
  </r>
  <r>
    <x v="87"/>
  </r>
  <r>
    <x v="141"/>
  </r>
  <r>
    <x v="9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24"/>
  </r>
  <r>
    <x v="7"/>
  </r>
  <r>
    <x v="4"/>
  </r>
  <r>
    <x v="14"/>
  </r>
  <r>
    <x v="28"/>
  </r>
  <r>
    <x v="45"/>
  </r>
  <r>
    <x v="45"/>
  </r>
  <r>
    <x v="138"/>
  </r>
  <r>
    <x v="123"/>
  </r>
  <r>
    <x v="123"/>
  </r>
  <r>
    <x v="77"/>
  </r>
  <r>
    <x v="123"/>
  </r>
  <r>
    <x v="25"/>
  </r>
  <r>
    <x v="123"/>
  </r>
  <r>
    <x v="12"/>
  </r>
  <r>
    <x v="25"/>
  </r>
  <r>
    <x v="48"/>
  </r>
  <r>
    <x v="12"/>
  </r>
  <r>
    <x v="77"/>
  </r>
  <r>
    <x v="123"/>
  </r>
  <r>
    <x v="36"/>
  </r>
  <r>
    <x v="4"/>
  </r>
  <r>
    <x v="42"/>
  </r>
  <r>
    <x v="77"/>
  </r>
  <r>
    <x v="123"/>
  </r>
  <r>
    <x v="29"/>
  </r>
  <r>
    <x v="123"/>
  </r>
  <r>
    <x v="10"/>
  </r>
  <r>
    <x v="4"/>
  </r>
  <r>
    <x v="12"/>
  </r>
  <r>
    <x v="10"/>
  </r>
  <r>
    <x v="10"/>
  </r>
  <r>
    <x v="10"/>
  </r>
  <r>
    <x v="126"/>
  </r>
  <r>
    <x v="42"/>
  </r>
  <r>
    <x v="42"/>
  </r>
  <r>
    <x v="4"/>
  </r>
  <r>
    <x v="42"/>
  </r>
  <r>
    <x v="42"/>
  </r>
  <r>
    <x v="123"/>
  </r>
  <r>
    <x v="123"/>
  </r>
  <r>
    <x v="77"/>
  </r>
  <r>
    <x v="71"/>
  </r>
  <r>
    <x v="71"/>
  </r>
  <r>
    <x v="56"/>
  </r>
  <r>
    <x v="56"/>
  </r>
  <r>
    <x v="0"/>
  </r>
  <r>
    <x v="0"/>
  </r>
  <r>
    <x v="146"/>
  </r>
  <r>
    <x v="123"/>
  </r>
  <r>
    <x v="123"/>
  </r>
  <r>
    <x v="4"/>
  </r>
  <r>
    <x v="42"/>
  </r>
  <r>
    <x v="123"/>
  </r>
  <r>
    <x v="123"/>
  </r>
  <r>
    <x v="123"/>
  </r>
  <r>
    <x v="123"/>
  </r>
  <r>
    <x v="14"/>
  </r>
  <r>
    <x v="56"/>
  </r>
  <r>
    <x v="56"/>
  </r>
  <r>
    <x v="56"/>
  </r>
  <r>
    <x v="56"/>
  </r>
  <r>
    <x v="4"/>
  </r>
  <r>
    <x v="4"/>
  </r>
  <r>
    <x v="123"/>
  </r>
  <r>
    <x v="123"/>
  </r>
  <r>
    <x v="12"/>
  </r>
  <r>
    <x v="123"/>
  </r>
  <r>
    <x v="12"/>
  </r>
  <r>
    <x v="12"/>
  </r>
  <r>
    <x v="0"/>
  </r>
  <r>
    <x v="0"/>
  </r>
  <r>
    <x v="48"/>
  </r>
  <r>
    <x v="12"/>
  </r>
  <r>
    <x v="56"/>
  </r>
  <r>
    <x v="14"/>
  </r>
  <r>
    <x v="28"/>
  </r>
  <r>
    <x v="87"/>
  </r>
  <r>
    <x v="28"/>
  </r>
  <r>
    <x v="12"/>
  </r>
  <r>
    <x v="123"/>
  </r>
  <r>
    <x v="123"/>
  </r>
  <r>
    <x v="123"/>
  </r>
  <r>
    <x v="123"/>
  </r>
  <r>
    <x v="123"/>
  </r>
  <r>
    <x v="123"/>
  </r>
  <r>
    <x v="2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77"/>
  </r>
  <r>
    <x v="12"/>
  </r>
  <r>
    <x v="12"/>
  </r>
  <r>
    <x v="12"/>
  </r>
  <r>
    <x v="12"/>
  </r>
  <r>
    <x v="12"/>
  </r>
  <r>
    <x v="42"/>
  </r>
  <r>
    <x v="10"/>
  </r>
  <r>
    <x v="10"/>
  </r>
  <r>
    <x v="4"/>
  </r>
  <r>
    <x v="10"/>
  </r>
  <r>
    <x v="10"/>
  </r>
  <r>
    <x v="10"/>
  </r>
  <r>
    <x v="4"/>
  </r>
  <r>
    <x v="4"/>
  </r>
  <r>
    <x v="4"/>
  </r>
  <r>
    <x v="57"/>
  </r>
  <r>
    <x v="42"/>
  </r>
  <r>
    <x v="4"/>
  </r>
  <r>
    <x v="4"/>
  </r>
  <r>
    <x v="4"/>
  </r>
  <r>
    <x v="14"/>
  </r>
  <r>
    <x v="10"/>
  </r>
  <r>
    <x v="10"/>
  </r>
  <r>
    <x v="10"/>
  </r>
  <r>
    <x v="10"/>
  </r>
  <r>
    <x v="10"/>
  </r>
  <r>
    <x v="12"/>
  </r>
  <r>
    <x v="45"/>
  </r>
  <r>
    <x v="10"/>
  </r>
  <r>
    <x v="10"/>
  </r>
  <r>
    <x v="71"/>
  </r>
  <r>
    <x v="22"/>
  </r>
  <r>
    <x v="48"/>
  </r>
  <r>
    <x v="0"/>
  </r>
  <r>
    <x v="17"/>
  </r>
  <r>
    <x v="7"/>
  </r>
  <r>
    <x v="10"/>
  </r>
  <r>
    <x v="81"/>
  </r>
  <r>
    <x v="14"/>
  </r>
  <r>
    <x v="48"/>
  </r>
  <r>
    <x v="14"/>
  </r>
  <r>
    <x v="80"/>
  </r>
  <r>
    <x v="80"/>
  </r>
  <r>
    <x v="80"/>
  </r>
  <r>
    <x v="80"/>
  </r>
  <r>
    <x v="80"/>
  </r>
  <r>
    <x v="80"/>
  </r>
  <r>
    <x v="10"/>
  </r>
  <r>
    <x v="0"/>
  </r>
  <r>
    <x v="29"/>
  </r>
  <r>
    <x v="63"/>
  </r>
  <r>
    <x v="12"/>
  </r>
  <r>
    <x v="287"/>
  </r>
  <r>
    <x v="30"/>
  </r>
  <r>
    <x v="0"/>
  </r>
  <r>
    <x v="78"/>
  </r>
  <r>
    <x v="57"/>
  </r>
  <r>
    <x v="57"/>
  </r>
  <r>
    <x v="240"/>
  </r>
  <r>
    <x v="34"/>
  </r>
  <r>
    <x v="86"/>
  </r>
  <r>
    <x v="86"/>
  </r>
  <r>
    <x v="36"/>
  </r>
  <r>
    <x v="0"/>
  </r>
  <r>
    <x v="0"/>
  </r>
  <r>
    <x v="77"/>
  </r>
  <r>
    <x v="63"/>
  </r>
  <r>
    <x v="36"/>
  </r>
  <r>
    <x v="154"/>
  </r>
  <r>
    <x v="10"/>
  </r>
  <r>
    <x v="10"/>
  </r>
  <r>
    <x v="10"/>
  </r>
  <r>
    <x v="4"/>
  </r>
  <r>
    <x v="24"/>
  </r>
  <r>
    <x v="10"/>
  </r>
  <r>
    <x v="10"/>
  </r>
  <r>
    <x v="10"/>
  </r>
  <r>
    <x v="78"/>
  </r>
  <r>
    <x v="78"/>
  </r>
  <r>
    <x v="146"/>
  </r>
  <r>
    <x v="146"/>
  </r>
  <r>
    <x v="146"/>
  </r>
  <r>
    <x v="78"/>
  </r>
  <r>
    <x v="78"/>
  </r>
  <r>
    <x v="51"/>
  </r>
  <r>
    <x v="78"/>
  </r>
  <r>
    <x v="78"/>
  </r>
  <r>
    <x v="46"/>
  </r>
  <r>
    <x v="78"/>
  </r>
  <r>
    <x v="78"/>
  </r>
  <r>
    <x v="12"/>
  </r>
  <r>
    <x v="29"/>
  </r>
  <r>
    <x v="57"/>
  </r>
  <r>
    <x v="29"/>
  </r>
  <r>
    <x v="123"/>
  </r>
  <r>
    <x v="10"/>
  </r>
  <r>
    <x v="10"/>
  </r>
  <r>
    <x v="10"/>
  </r>
  <r>
    <x v="10"/>
  </r>
  <r>
    <x v="10"/>
  </r>
  <r>
    <x v="14"/>
  </r>
  <r>
    <x v="14"/>
  </r>
  <r>
    <x v="14"/>
  </r>
  <r>
    <x v="14"/>
  </r>
  <r>
    <x v="14"/>
  </r>
  <r>
    <x v="14"/>
  </r>
  <r>
    <x v="14"/>
  </r>
  <r>
    <x v="10"/>
  </r>
  <r>
    <x v="10"/>
  </r>
  <r>
    <x v="37"/>
  </r>
  <r>
    <x v="9"/>
  </r>
  <r>
    <x v="152"/>
  </r>
  <r>
    <x v="152"/>
  </r>
  <r>
    <x v="152"/>
  </r>
  <r>
    <x v="152"/>
  </r>
  <r>
    <x v="152"/>
  </r>
  <r>
    <x v="152"/>
  </r>
  <r>
    <x v="7"/>
  </r>
  <r>
    <x v="53"/>
  </r>
  <r>
    <x v="89"/>
  </r>
  <r>
    <x v="0"/>
  </r>
  <r>
    <x v="0"/>
  </r>
  <r>
    <x v="68"/>
  </r>
  <r>
    <x v="80"/>
  </r>
  <r>
    <x v="12"/>
  </r>
  <r>
    <x v="10"/>
  </r>
  <r>
    <x v="10"/>
  </r>
  <r>
    <x v="87"/>
  </r>
  <r>
    <x v="72"/>
  </r>
  <r>
    <x v="28"/>
  </r>
  <r>
    <x v="10"/>
  </r>
  <r>
    <x v="10"/>
  </r>
  <r>
    <x v="9"/>
  </r>
  <r>
    <x v="10"/>
  </r>
  <r>
    <x v="10"/>
  </r>
  <r>
    <x v="123"/>
  </r>
  <r>
    <x v="48"/>
  </r>
  <r>
    <x v="115"/>
  </r>
  <r>
    <x v="115"/>
  </r>
  <r>
    <x v="115"/>
  </r>
  <r>
    <x v="10"/>
  </r>
  <r>
    <x v="10"/>
  </r>
  <r>
    <x v="10"/>
  </r>
  <r>
    <x v="10"/>
  </r>
  <r>
    <x v="86"/>
  </r>
  <r>
    <x v="86"/>
  </r>
  <r>
    <x v="4"/>
  </r>
  <r>
    <x v="4"/>
  </r>
  <r>
    <x v="25"/>
  </r>
  <r>
    <x v="25"/>
  </r>
  <r>
    <x v="4"/>
  </r>
  <r>
    <x v="4"/>
  </r>
  <r>
    <x v="10"/>
  </r>
  <r>
    <x v="12"/>
  </r>
  <r>
    <x v="12"/>
  </r>
  <r>
    <x v="24"/>
  </r>
  <r>
    <x v="112"/>
  </r>
  <r>
    <x v="112"/>
  </r>
  <r>
    <x v="51"/>
  </r>
  <r>
    <x v="1"/>
  </r>
  <r>
    <x v="79"/>
  </r>
  <r>
    <x v="28"/>
  </r>
  <r>
    <x v="99"/>
  </r>
  <r>
    <x v="0"/>
  </r>
  <r>
    <x v="0"/>
  </r>
  <r>
    <x v="12"/>
  </r>
  <r>
    <x v="86"/>
  </r>
  <r>
    <x v="86"/>
  </r>
  <r>
    <x v="115"/>
  </r>
  <r>
    <x v="16"/>
  </r>
  <r>
    <x v="16"/>
  </r>
  <r>
    <x v="16"/>
  </r>
  <r>
    <x v="4"/>
  </r>
  <r>
    <x v="14"/>
  </r>
  <r>
    <x v="12"/>
  </r>
  <r>
    <x v="12"/>
  </r>
  <r>
    <x v="12"/>
  </r>
  <r>
    <x v="0"/>
  </r>
  <r>
    <x v="16"/>
  </r>
  <r>
    <x v="10"/>
  </r>
  <r>
    <x v="123"/>
  </r>
  <r>
    <x v="10"/>
  </r>
  <r>
    <x v="10"/>
  </r>
  <r>
    <x v="51"/>
  </r>
  <r>
    <x v="10"/>
  </r>
  <r>
    <x v="42"/>
  </r>
  <r>
    <x v="4"/>
  </r>
  <r>
    <x v="4"/>
  </r>
  <r>
    <x v="4"/>
  </r>
  <r>
    <x v="77"/>
  </r>
  <r>
    <x v="10"/>
  </r>
  <r>
    <x v="10"/>
  </r>
  <r>
    <x v="10"/>
  </r>
  <r>
    <x v="10"/>
  </r>
  <r>
    <x v="10"/>
  </r>
  <r>
    <x v="10"/>
  </r>
  <r>
    <x v="0"/>
  </r>
  <r>
    <x v="12"/>
  </r>
  <r>
    <x v="123"/>
  </r>
  <r>
    <x v="126"/>
  </r>
  <r>
    <x v="26"/>
  </r>
  <r>
    <x v="57"/>
  </r>
  <r>
    <x v="93"/>
  </r>
  <r>
    <x v="42"/>
  </r>
  <r>
    <x v="126"/>
  </r>
  <r>
    <x v="12"/>
  </r>
  <r>
    <x v="0"/>
  </r>
  <r>
    <x v="25"/>
  </r>
  <r>
    <x v="10"/>
  </r>
  <r>
    <x v="175"/>
  </r>
  <r>
    <x v="28"/>
  </r>
  <r>
    <x v="10"/>
  </r>
  <r>
    <x v="81"/>
  </r>
  <r>
    <x v="81"/>
  </r>
  <r>
    <x v="81"/>
  </r>
  <r>
    <x v="14"/>
  </r>
  <r>
    <x v="48"/>
  </r>
  <r>
    <x v="14"/>
  </r>
  <r>
    <x v="28"/>
  </r>
  <r>
    <x v="80"/>
  </r>
  <r>
    <x v="80"/>
  </r>
  <r>
    <x v="45"/>
  </r>
  <r>
    <x v="45"/>
  </r>
  <r>
    <x v="10"/>
  </r>
  <r>
    <x v="10"/>
  </r>
  <r>
    <x v="152"/>
  </r>
  <r>
    <x v="21"/>
  </r>
  <r>
    <x v="4"/>
  </r>
  <r>
    <x v="36"/>
  </r>
  <r>
    <x v="7"/>
  </r>
  <r>
    <x v="287"/>
  </r>
  <r>
    <x v="53"/>
  </r>
  <r>
    <x v="293"/>
  </r>
  <r>
    <x v="30"/>
  </r>
  <r>
    <x v="30"/>
  </r>
  <r>
    <x v="30"/>
  </r>
  <r>
    <x v="30"/>
  </r>
  <r>
    <x v="28"/>
  </r>
  <r>
    <x v="59"/>
  </r>
  <r>
    <x v="48"/>
  </r>
  <r>
    <x v="123"/>
  </r>
  <r>
    <x v="123"/>
  </r>
  <r>
    <x v="123"/>
  </r>
  <r>
    <x v="123"/>
  </r>
  <r>
    <x v="28"/>
  </r>
  <r>
    <x v="48"/>
  </r>
  <r>
    <x v="48"/>
  </r>
  <r>
    <x v="102"/>
  </r>
  <r>
    <x v="46"/>
  </r>
  <r>
    <x v="3"/>
  </r>
  <r>
    <x v="27"/>
  </r>
  <r>
    <x v="48"/>
  </r>
  <r>
    <x v="10"/>
  </r>
  <r>
    <x v="12"/>
  </r>
  <r>
    <x v="28"/>
  </r>
  <r>
    <x v="75"/>
  </r>
  <r>
    <x v="75"/>
  </r>
  <r>
    <x v="72"/>
  </r>
  <r>
    <x v="217"/>
  </r>
  <r>
    <x v="217"/>
  </r>
  <r>
    <x v="157"/>
  </r>
  <r>
    <x v="131"/>
  </r>
  <r>
    <x v="30"/>
  </r>
  <r>
    <x v="45"/>
  </r>
  <r>
    <x v="0"/>
  </r>
  <r>
    <x v="251"/>
  </r>
  <r>
    <x v="251"/>
  </r>
  <r>
    <x v="251"/>
  </r>
  <r>
    <x v="14"/>
  </r>
  <r>
    <x v="16"/>
  </r>
  <r>
    <x v="16"/>
  </r>
  <r>
    <x v="14"/>
  </r>
  <r>
    <x v="14"/>
  </r>
  <r>
    <x v="207"/>
  </r>
  <r>
    <x v="207"/>
  </r>
  <r>
    <x v="207"/>
  </r>
  <r>
    <x v="0"/>
  </r>
  <r>
    <x v="0"/>
  </r>
  <r>
    <x v="10"/>
  </r>
  <r>
    <x v="14"/>
  </r>
  <r>
    <x v="84"/>
  </r>
  <r>
    <x v="45"/>
  </r>
  <r>
    <x v="16"/>
  </r>
  <r>
    <x v="171"/>
  </r>
  <r>
    <x v="61"/>
  </r>
  <r>
    <x v="224"/>
  </r>
  <r>
    <x v="224"/>
  </r>
  <r>
    <x v="16"/>
  </r>
  <r>
    <x v="14"/>
  </r>
  <r>
    <x v="171"/>
  </r>
  <r>
    <x v="171"/>
  </r>
  <r>
    <x v="10"/>
  </r>
  <r>
    <x v="39"/>
  </r>
  <r>
    <x v="224"/>
  </r>
  <r>
    <x v="30"/>
  </r>
  <r>
    <x v="14"/>
  </r>
  <r>
    <x v="22"/>
  </r>
  <r>
    <x v="84"/>
  </r>
  <r>
    <x v="199"/>
  </r>
  <r>
    <x v="199"/>
  </r>
  <r>
    <x v="199"/>
  </r>
  <r>
    <x v="199"/>
  </r>
  <r>
    <x v="76"/>
  </r>
  <r>
    <x v="76"/>
  </r>
  <r>
    <x v="76"/>
  </r>
  <r>
    <x v="76"/>
  </r>
  <r>
    <x v="48"/>
  </r>
  <r>
    <x v="249"/>
  </r>
  <r>
    <x v="45"/>
  </r>
  <r>
    <x v="45"/>
  </r>
  <r>
    <x v="104"/>
  </r>
  <r>
    <x v="45"/>
  </r>
  <r>
    <x v="45"/>
  </r>
  <r>
    <x v="0"/>
  </r>
  <r>
    <x v="0"/>
  </r>
  <r>
    <x v="10"/>
  </r>
  <r>
    <x v="217"/>
  </r>
  <r>
    <x v="126"/>
  </r>
  <r>
    <x v="126"/>
  </r>
  <r>
    <x v="126"/>
  </r>
  <r>
    <x v="126"/>
  </r>
  <r>
    <x v="126"/>
  </r>
  <r>
    <x v="217"/>
  </r>
  <r>
    <x v="123"/>
  </r>
  <r>
    <x v="123"/>
  </r>
  <r>
    <x v="123"/>
  </r>
  <r>
    <x v="123"/>
  </r>
  <r>
    <x v="123"/>
  </r>
  <r>
    <x v="10"/>
  </r>
  <r>
    <x v="10"/>
  </r>
  <r>
    <x v="152"/>
  </r>
  <r>
    <x v="152"/>
  </r>
  <r>
    <x v="152"/>
  </r>
  <r>
    <x v="171"/>
  </r>
  <r>
    <x v="152"/>
  </r>
  <r>
    <x v="42"/>
  </r>
  <r>
    <x v="123"/>
  </r>
  <r>
    <x v="123"/>
  </r>
  <r>
    <x v="42"/>
  </r>
  <r>
    <x v="123"/>
  </r>
  <r>
    <x v="171"/>
  </r>
  <r>
    <x v="42"/>
  </r>
  <r>
    <x v="35"/>
  </r>
  <r>
    <x v="60"/>
  </r>
  <r>
    <x v="10"/>
  </r>
  <r>
    <x v="123"/>
  </r>
  <r>
    <x v="207"/>
  </r>
  <r>
    <x v="146"/>
  </r>
  <r>
    <x v="146"/>
  </r>
  <r>
    <x v="146"/>
  </r>
  <r>
    <x v="146"/>
  </r>
  <r>
    <x v="146"/>
  </r>
  <r>
    <x v="146"/>
  </r>
  <r>
    <x v="165"/>
  </r>
  <r>
    <x v="53"/>
  </r>
  <r>
    <x v="0"/>
  </r>
  <r>
    <x v="217"/>
  </r>
  <r>
    <x v="217"/>
  </r>
  <r>
    <x v="207"/>
  </r>
  <r>
    <x v="4"/>
  </r>
  <r>
    <x v="10"/>
  </r>
  <r>
    <x v="10"/>
  </r>
  <r>
    <x v="14"/>
  </r>
  <r>
    <x v="51"/>
  </r>
  <r>
    <x v="30"/>
  </r>
  <r>
    <x v="30"/>
  </r>
  <r>
    <x v="30"/>
  </r>
  <r>
    <x v="42"/>
  </r>
  <r>
    <x v="79"/>
  </r>
  <r>
    <x v="79"/>
  </r>
  <r>
    <x v="40"/>
  </r>
  <r>
    <x v="76"/>
  </r>
  <r>
    <x v="204"/>
  </r>
  <r>
    <x v="2"/>
  </r>
  <r>
    <x v="42"/>
  </r>
  <r>
    <x v="204"/>
  </r>
  <r>
    <x v="10"/>
  </r>
  <r>
    <x v="10"/>
  </r>
  <r>
    <x v="76"/>
  </r>
  <r>
    <x v="10"/>
  </r>
  <r>
    <x v="10"/>
  </r>
  <r>
    <x v="10"/>
  </r>
  <r>
    <x v="4"/>
  </r>
  <r>
    <x v="12"/>
  </r>
  <r>
    <x v="78"/>
  </r>
  <r>
    <x v="24"/>
  </r>
  <r>
    <x v="123"/>
  </r>
  <r>
    <x v="123"/>
  </r>
  <r>
    <x v="42"/>
  </r>
  <r>
    <x v="24"/>
  </r>
  <r>
    <x v="24"/>
  </r>
  <r>
    <x v="24"/>
  </r>
  <r>
    <x v="24"/>
  </r>
  <r>
    <x v="24"/>
  </r>
  <r>
    <x v="24"/>
  </r>
  <r>
    <x v="24"/>
  </r>
  <r>
    <x v="24"/>
  </r>
  <r>
    <x v="7"/>
  </r>
  <r>
    <x v="24"/>
  </r>
  <r>
    <x v="35"/>
  </r>
  <r>
    <x v="102"/>
  </r>
  <r>
    <x v="35"/>
  </r>
  <r>
    <x v="12"/>
  </r>
  <r>
    <x v="10"/>
  </r>
  <r>
    <x v="37"/>
  </r>
  <r>
    <x v="4"/>
  </r>
  <r>
    <x v="29"/>
  </r>
  <r>
    <x v="294"/>
  </r>
  <r>
    <x v="150"/>
  </r>
  <r>
    <x v="59"/>
  </r>
  <r>
    <x v="59"/>
  </r>
  <r>
    <x v="201"/>
  </r>
  <r>
    <x v="76"/>
  </r>
  <r>
    <x v="76"/>
  </r>
  <r>
    <x v="76"/>
  </r>
  <r>
    <x v="295"/>
  </r>
  <r>
    <x v="76"/>
  </r>
  <r>
    <x v="290"/>
  </r>
  <r>
    <x v="208"/>
  </r>
  <r>
    <x v="208"/>
  </r>
  <r>
    <x v="296"/>
  </r>
  <r>
    <x v="92"/>
  </r>
  <r>
    <x v="25"/>
  </r>
  <r>
    <x v="133"/>
  </r>
  <r>
    <x v="20"/>
  </r>
  <r>
    <x v="20"/>
  </r>
  <r>
    <x v="20"/>
  </r>
  <r>
    <x v="113"/>
  </r>
  <r>
    <x v="113"/>
  </r>
  <r>
    <x v="113"/>
  </r>
  <r>
    <x v="113"/>
  </r>
  <r>
    <x v="113"/>
  </r>
  <r>
    <x v="113"/>
  </r>
  <r>
    <x v="157"/>
  </r>
  <r>
    <x v="75"/>
  </r>
  <r>
    <x v="129"/>
  </r>
  <r>
    <x v="30"/>
  </r>
  <r>
    <x v="30"/>
  </r>
  <r>
    <x v="140"/>
  </r>
  <r>
    <x v="83"/>
  </r>
  <r>
    <x v="25"/>
  </r>
  <r>
    <x v="113"/>
  </r>
  <r>
    <x v="129"/>
  </r>
  <r>
    <x v="34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13"/>
  </r>
  <r>
    <x v="113"/>
  </r>
  <r>
    <x v="129"/>
  </r>
  <r>
    <x v="129"/>
  </r>
  <r>
    <x v="167"/>
  </r>
  <r>
    <x v="82"/>
  </r>
  <r>
    <x v="129"/>
  </r>
  <r>
    <x v="297"/>
  </r>
  <r>
    <x v="129"/>
  </r>
  <r>
    <x v="298"/>
  </r>
  <r>
    <x v="14"/>
  </r>
  <r>
    <x v="204"/>
  </r>
  <r>
    <x v="24"/>
  </r>
  <r>
    <x v="299"/>
  </r>
  <r>
    <x v="272"/>
  </r>
  <r>
    <x v="167"/>
  </r>
  <r>
    <x v="167"/>
  </r>
  <r>
    <x v="7"/>
  </r>
  <r>
    <x v="7"/>
  </r>
  <r>
    <x v="7"/>
  </r>
  <r>
    <x v="56"/>
  </r>
  <r>
    <x v="56"/>
  </r>
  <r>
    <x v="21"/>
  </r>
  <r>
    <x v="12"/>
  </r>
  <r>
    <x v="36"/>
  </r>
  <r>
    <x v="158"/>
  </r>
  <r>
    <x v="102"/>
  </r>
  <r>
    <x v="102"/>
  </r>
  <r>
    <x v="76"/>
  </r>
  <r>
    <x v="102"/>
  </r>
  <r>
    <x v="199"/>
  </r>
  <r>
    <x v="158"/>
  </r>
  <r>
    <x v="199"/>
  </r>
  <r>
    <x v="158"/>
  </r>
  <r>
    <x v="102"/>
  </r>
  <r>
    <x v="102"/>
  </r>
  <r>
    <x v="158"/>
  </r>
  <r>
    <x v="300"/>
  </r>
  <r>
    <x v="300"/>
  </r>
  <r>
    <x v="158"/>
  </r>
  <r>
    <x v="102"/>
  </r>
  <r>
    <x v="167"/>
  </r>
  <r>
    <x v="167"/>
  </r>
  <r>
    <x v="167"/>
  </r>
  <r>
    <x v="167"/>
  </r>
  <r>
    <x v="167"/>
  </r>
  <r>
    <x v="167"/>
  </r>
  <r>
    <x v="31"/>
  </r>
  <r>
    <x v="81"/>
  </r>
  <r>
    <x v="111"/>
  </r>
  <r>
    <x v="111"/>
  </r>
  <r>
    <x v="111"/>
  </r>
  <r>
    <x v="112"/>
  </r>
  <r>
    <x v="93"/>
  </r>
  <r>
    <x v="81"/>
  </r>
  <r>
    <x v="219"/>
  </r>
  <r>
    <x v="25"/>
  </r>
  <r>
    <x v="25"/>
  </r>
  <r>
    <x v="155"/>
  </r>
  <r>
    <x v="6"/>
  </r>
  <r>
    <x v="81"/>
  </r>
  <r>
    <x v="81"/>
  </r>
  <r>
    <x v="24"/>
  </r>
  <r>
    <x v="102"/>
  </r>
  <r>
    <x v="25"/>
  </r>
  <r>
    <x v="25"/>
  </r>
  <r>
    <x v="0"/>
  </r>
  <r>
    <x v="31"/>
  </r>
  <r>
    <x v="31"/>
  </r>
  <r>
    <x v="31"/>
  </r>
  <r>
    <x v="25"/>
  </r>
  <r>
    <x v="80"/>
  </r>
  <r>
    <x v="76"/>
  </r>
  <r>
    <x v="76"/>
  </r>
  <r>
    <x v="42"/>
  </r>
  <r>
    <x v="119"/>
  </r>
  <r>
    <x v="31"/>
  </r>
  <r>
    <x v="216"/>
  </r>
  <r>
    <x v="70"/>
  </r>
  <r>
    <x v="70"/>
  </r>
  <r>
    <x v="119"/>
  </r>
  <r>
    <x v="83"/>
  </r>
  <r>
    <x v="83"/>
  </r>
  <r>
    <x v="83"/>
  </r>
  <r>
    <x v="30"/>
  </r>
  <r>
    <x v="24"/>
  </r>
  <r>
    <x v="23"/>
  </r>
  <r>
    <x v="2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1"/>
  </r>
  <r>
    <x v="105"/>
  </r>
  <r>
    <x v="21"/>
  </r>
  <r>
    <x v="76"/>
  </r>
  <r>
    <x v="25"/>
  </r>
  <r>
    <x v="25"/>
  </r>
  <r>
    <x v="59"/>
  </r>
  <r>
    <x v="23"/>
  </r>
  <r>
    <x v="118"/>
  </r>
  <r>
    <x v="134"/>
  </r>
  <r>
    <x v="23"/>
  </r>
  <r>
    <x v="25"/>
  </r>
  <r>
    <x v="24"/>
  </r>
  <r>
    <x v="110"/>
  </r>
  <r>
    <x v="25"/>
  </r>
  <r>
    <x v="25"/>
  </r>
  <r>
    <x v="31"/>
  </r>
  <r>
    <x v="31"/>
  </r>
  <r>
    <x v="63"/>
  </r>
  <r>
    <x v="63"/>
  </r>
  <r>
    <x v="31"/>
  </r>
  <r>
    <x v="4"/>
  </r>
  <r>
    <x v="28"/>
  </r>
  <r>
    <x v="45"/>
  </r>
  <r>
    <x v="12"/>
  </r>
  <r>
    <x v="1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94"/>
  </r>
  <r>
    <x v="85"/>
  </r>
  <r>
    <x v="40"/>
  </r>
  <r>
    <x v="17"/>
  </r>
  <r>
    <x v="17"/>
  </r>
  <r>
    <x v="16"/>
  </r>
  <r>
    <x v="39"/>
  </r>
  <r>
    <x v="21"/>
  </r>
  <r>
    <x v="40"/>
  </r>
  <r>
    <x v="40"/>
  </r>
  <r>
    <x v="17"/>
  </r>
  <r>
    <x v="14"/>
  </r>
  <r>
    <x v="14"/>
  </r>
  <r>
    <x v="14"/>
  </r>
  <r>
    <x v="14"/>
  </r>
  <r>
    <x v="64"/>
  </r>
  <r>
    <x v="41"/>
  </r>
  <r>
    <x v="14"/>
  </r>
  <r>
    <x v="41"/>
  </r>
  <r>
    <x v="16"/>
  </r>
  <r>
    <x v="14"/>
  </r>
  <r>
    <x v="26"/>
  </r>
  <r>
    <x v="17"/>
  </r>
  <r>
    <x v="17"/>
  </r>
  <r>
    <x v="10"/>
  </r>
  <r>
    <x v="46"/>
  </r>
  <r>
    <x v="46"/>
  </r>
  <r>
    <x v="46"/>
  </r>
  <r>
    <x v="131"/>
  </r>
  <r>
    <x v="131"/>
  </r>
  <r>
    <x v="37"/>
  </r>
  <r>
    <x v="14"/>
  </r>
  <r>
    <x v="9"/>
  </r>
  <r>
    <x v="10"/>
  </r>
  <r>
    <x v="23"/>
  </r>
  <r>
    <x v="48"/>
  </r>
  <r>
    <x v="15"/>
  </r>
  <r>
    <x v="14"/>
  </r>
  <r>
    <x v="12"/>
  </r>
  <r>
    <x v="131"/>
  </r>
  <r>
    <x v="11"/>
  </r>
  <r>
    <x v="62"/>
  </r>
  <r>
    <x v="14"/>
  </r>
  <r>
    <x v="166"/>
  </r>
  <r>
    <x v="28"/>
  </r>
  <r>
    <x v="34"/>
  </r>
  <r>
    <x v="62"/>
  </r>
  <r>
    <x v="17"/>
  </r>
  <r>
    <x v="17"/>
  </r>
  <r>
    <x v="14"/>
  </r>
  <r>
    <x v="17"/>
  </r>
  <r>
    <x v="14"/>
  </r>
  <r>
    <x v="131"/>
  </r>
  <r>
    <x v="40"/>
  </r>
  <r>
    <x v="17"/>
  </r>
  <r>
    <x v="17"/>
  </r>
  <r>
    <x v="0"/>
  </r>
  <r>
    <x v="0"/>
  </r>
  <r>
    <x v="0"/>
  </r>
  <r>
    <x v="85"/>
  </r>
  <r>
    <x v="62"/>
  </r>
  <r>
    <x v="62"/>
  </r>
  <r>
    <x v="14"/>
  </r>
  <r>
    <x v="249"/>
  </r>
  <r>
    <x v="249"/>
  </r>
  <r>
    <x v="48"/>
  </r>
  <r>
    <x v="16"/>
  </r>
  <r>
    <x v="0"/>
  </r>
  <r>
    <x v="10"/>
  </r>
  <r>
    <x v="28"/>
  </r>
  <r>
    <x v="28"/>
  </r>
  <r>
    <x v="14"/>
  </r>
  <r>
    <x v="14"/>
  </r>
  <r>
    <x v="14"/>
  </r>
  <r>
    <x v="14"/>
  </r>
  <r>
    <x v="14"/>
  </r>
  <r>
    <x v="56"/>
  </r>
  <r>
    <x v="56"/>
  </r>
  <r>
    <x v="57"/>
  </r>
  <r>
    <x v="57"/>
  </r>
  <r>
    <x v="74"/>
  </r>
  <r>
    <x v="74"/>
  </r>
  <r>
    <x v="74"/>
  </r>
  <r>
    <x v="174"/>
  </r>
  <r>
    <x v="174"/>
  </r>
  <r>
    <x v="131"/>
  </r>
  <r>
    <x v="130"/>
  </r>
  <r>
    <x v="130"/>
  </r>
  <r>
    <x v="17"/>
  </r>
  <r>
    <x v="14"/>
  </r>
  <r>
    <x v="48"/>
  </r>
  <r>
    <x v="22"/>
  </r>
  <r>
    <x v="22"/>
  </r>
  <r>
    <x v="22"/>
  </r>
  <r>
    <x v="60"/>
  </r>
  <r>
    <x v="48"/>
  </r>
  <r>
    <x v="36"/>
  </r>
  <r>
    <x v="36"/>
  </r>
  <r>
    <x v="0"/>
  </r>
  <r>
    <x v="0"/>
  </r>
  <r>
    <x v="141"/>
  </r>
  <r>
    <x v="0"/>
  </r>
  <r>
    <x v="19"/>
  </r>
  <r>
    <x v="19"/>
  </r>
  <r>
    <x v="0"/>
  </r>
  <r>
    <x v="0"/>
  </r>
  <r>
    <x v="25"/>
  </r>
  <r>
    <x v="14"/>
  </r>
  <r>
    <x v="188"/>
  </r>
  <r>
    <x v="28"/>
  </r>
  <r>
    <x v="45"/>
  </r>
  <r>
    <x v="0"/>
  </r>
  <r>
    <x v="6"/>
  </r>
  <r>
    <x v="6"/>
  </r>
  <r>
    <x v="76"/>
  </r>
  <r>
    <x v="76"/>
  </r>
  <r>
    <x v="48"/>
  </r>
  <r>
    <x v="48"/>
  </r>
  <r>
    <x v="48"/>
  </r>
  <r>
    <x v="14"/>
  </r>
  <r>
    <x v="131"/>
  </r>
  <r>
    <x v="10"/>
  </r>
  <r>
    <x v="14"/>
  </r>
  <r>
    <x v="30"/>
  </r>
  <r>
    <x v="30"/>
  </r>
  <r>
    <x v="86"/>
  </r>
  <r>
    <x v="48"/>
  </r>
  <r>
    <x v="23"/>
  </r>
  <r>
    <x v="14"/>
  </r>
  <r>
    <x v="48"/>
  </r>
  <r>
    <x v="59"/>
  </r>
  <r>
    <x v="48"/>
  </r>
  <r>
    <x v="157"/>
  </r>
  <r>
    <x v="40"/>
  </r>
  <r>
    <x v="62"/>
  </r>
  <r>
    <x v="76"/>
  </r>
  <r>
    <x v="12"/>
  </r>
  <r>
    <x v="6"/>
  </r>
  <r>
    <x v="77"/>
  </r>
  <r>
    <x v="28"/>
  </r>
  <r>
    <x v="14"/>
  </r>
  <r>
    <x v="12"/>
  </r>
  <r>
    <x v="12"/>
  </r>
  <r>
    <x v="14"/>
  </r>
  <r>
    <x v="14"/>
  </r>
  <r>
    <x v="12"/>
  </r>
  <r>
    <x v="2"/>
  </r>
  <r>
    <x v="0"/>
  </r>
  <r>
    <x v="48"/>
  </r>
  <r>
    <x v="48"/>
  </r>
  <r>
    <x v="48"/>
  </r>
  <r>
    <x v="48"/>
  </r>
  <r>
    <x v="48"/>
  </r>
  <r>
    <x v="63"/>
  </r>
  <r>
    <x v="12"/>
  </r>
  <r>
    <x v="9"/>
  </r>
  <r>
    <x v="48"/>
  </r>
  <r>
    <x v="48"/>
  </r>
  <r>
    <x v="48"/>
  </r>
  <r>
    <x v="10"/>
  </r>
  <r>
    <x v="64"/>
  </r>
  <r>
    <x v="30"/>
  </r>
  <r>
    <x v="10"/>
  </r>
  <r>
    <x v="46"/>
  </r>
  <r>
    <x v="12"/>
  </r>
  <r>
    <x v="12"/>
  </r>
  <r>
    <x v="12"/>
  </r>
  <r>
    <x v="48"/>
  </r>
  <r>
    <x v="29"/>
  </r>
  <r>
    <x v="10"/>
  </r>
  <r>
    <x v="14"/>
  </r>
  <r>
    <x v="14"/>
  </r>
  <r>
    <x v="10"/>
  </r>
  <r>
    <x v="48"/>
  </r>
  <r>
    <x v="48"/>
  </r>
  <r>
    <x v="157"/>
  </r>
  <r>
    <x v="48"/>
  </r>
  <r>
    <x v="16"/>
  </r>
  <r>
    <x v="40"/>
  </r>
  <r>
    <x v="249"/>
  </r>
  <r>
    <x v="249"/>
  </r>
  <r>
    <x v="46"/>
  </r>
  <r>
    <x v="14"/>
  </r>
  <r>
    <x v="48"/>
  </r>
  <r>
    <x v="12"/>
  </r>
  <r>
    <x v="64"/>
  </r>
  <r>
    <x v="88"/>
  </r>
  <r>
    <x v="46"/>
  </r>
  <r>
    <x v="46"/>
  </r>
  <r>
    <x v="46"/>
  </r>
  <r>
    <x v="46"/>
  </r>
  <r>
    <x v="12"/>
  </r>
  <r>
    <x v="48"/>
  </r>
  <r>
    <x v="28"/>
  </r>
  <r>
    <x v="28"/>
  </r>
  <r>
    <x v="41"/>
  </r>
  <r>
    <x v="48"/>
  </r>
  <r>
    <x v="37"/>
  </r>
  <r>
    <x v="12"/>
  </r>
  <r>
    <x v="26"/>
  </r>
  <r>
    <x v="12"/>
  </r>
  <r>
    <x v="76"/>
  </r>
  <r>
    <x v="3"/>
  </r>
  <r>
    <x v="48"/>
  </r>
  <r>
    <x v="48"/>
  </r>
  <r>
    <x v="48"/>
  </r>
  <r>
    <x v="33"/>
  </r>
  <r>
    <x v="48"/>
  </r>
  <r>
    <x v="4"/>
  </r>
  <r>
    <x v="4"/>
  </r>
  <r>
    <x v="10"/>
  </r>
  <r>
    <x v="48"/>
  </r>
  <r>
    <x v="48"/>
  </r>
  <r>
    <x v="48"/>
  </r>
  <r>
    <x v="286"/>
  </r>
  <r>
    <x v="48"/>
  </r>
  <r>
    <x v="48"/>
  </r>
  <r>
    <x v="131"/>
  </r>
  <r>
    <x v="131"/>
  </r>
  <r>
    <x v="136"/>
  </r>
  <r>
    <x v="76"/>
  </r>
  <r>
    <x v="79"/>
  </r>
  <r>
    <x v="3"/>
  </r>
  <r>
    <x v="48"/>
  </r>
  <r>
    <x v="14"/>
  </r>
  <r>
    <x v="94"/>
  </r>
  <r>
    <x v="25"/>
  </r>
  <r>
    <x v="25"/>
  </r>
  <r>
    <x v="25"/>
  </r>
  <r>
    <x v="25"/>
  </r>
  <r>
    <x v="25"/>
  </r>
  <r>
    <x v="93"/>
  </r>
  <r>
    <x v="25"/>
  </r>
  <r>
    <x v="81"/>
  </r>
  <r>
    <x v="10"/>
  </r>
  <r>
    <x v="72"/>
  </r>
  <r>
    <x v="133"/>
  </r>
  <r>
    <x v="115"/>
  </r>
  <r>
    <x v="301"/>
  </r>
  <r>
    <x v="302"/>
  </r>
  <r>
    <x v="302"/>
  </r>
  <r>
    <x v="0"/>
  </r>
  <r>
    <x v="103"/>
  </r>
  <r>
    <x v="303"/>
  </r>
  <r>
    <x v="304"/>
  </r>
  <r>
    <x v="44"/>
  </r>
  <r>
    <x v="81"/>
  </r>
  <r>
    <x v="37"/>
  </r>
  <r>
    <x v="104"/>
  </r>
  <r>
    <x v="181"/>
  </r>
  <r>
    <x v="118"/>
  </r>
  <r>
    <x v="80"/>
  </r>
  <r>
    <x v="21"/>
  </r>
  <r>
    <x v="305"/>
  </r>
  <r>
    <x v="232"/>
  </r>
  <r>
    <x v="306"/>
  </r>
  <r>
    <x v="198"/>
  </r>
  <r>
    <x v="233"/>
  </r>
  <r>
    <x v="29"/>
  </r>
  <r>
    <x v="75"/>
  </r>
  <r>
    <x v="30"/>
  </r>
  <r>
    <x v="82"/>
  </r>
  <r>
    <x v="75"/>
  </r>
  <r>
    <x v="29"/>
  </r>
  <r>
    <x v="103"/>
  </r>
  <r>
    <x v="26"/>
  </r>
  <r>
    <x v="307"/>
  </r>
  <r>
    <x v="103"/>
  </r>
  <r>
    <x v="177"/>
  </r>
  <r>
    <x v="177"/>
  </r>
  <r>
    <x v="177"/>
  </r>
  <r>
    <x v="177"/>
  </r>
  <r>
    <x v="308"/>
  </r>
  <r>
    <x v="128"/>
  </r>
  <r>
    <x v="186"/>
  </r>
  <r>
    <x v="14"/>
  </r>
  <r>
    <x v="75"/>
  </r>
  <r>
    <x v="200"/>
  </r>
  <r>
    <x v="75"/>
  </r>
  <r>
    <x v="78"/>
  </r>
  <r>
    <x v="290"/>
  </r>
  <r>
    <x v="46"/>
  </r>
  <r>
    <x v="157"/>
  </r>
  <r>
    <x v="75"/>
  </r>
  <r>
    <x v="104"/>
  </r>
  <r>
    <x v="85"/>
  </r>
  <r>
    <x v="150"/>
  </r>
  <r>
    <x v="309"/>
  </r>
  <r>
    <x v="24"/>
  </r>
  <r>
    <x v="199"/>
  </r>
  <r>
    <x v="106"/>
  </r>
  <r>
    <x v="310"/>
  </r>
  <r>
    <x v="24"/>
  </r>
  <r>
    <x v="84"/>
  </r>
  <r>
    <x v="66"/>
  </r>
  <r>
    <x v="75"/>
  </r>
  <r>
    <x v="75"/>
  </r>
  <r>
    <x v="6"/>
  </r>
  <r>
    <x v="46"/>
  </r>
  <r>
    <x v="311"/>
  </r>
  <r>
    <x v="59"/>
  </r>
  <r>
    <x v="118"/>
  </r>
  <r>
    <x v="25"/>
  </r>
  <r>
    <x v="9"/>
  </r>
  <r>
    <x v="238"/>
  </r>
  <r>
    <x v="14"/>
  </r>
  <r>
    <x v="312"/>
  </r>
  <r>
    <x v="89"/>
  </r>
  <r>
    <x v="85"/>
  </r>
  <r>
    <x v="157"/>
  </r>
  <r>
    <x v="85"/>
  </r>
  <r>
    <x v="81"/>
  </r>
  <r>
    <x v="91"/>
  </r>
  <r>
    <x v="75"/>
  </r>
  <r>
    <x v="75"/>
  </r>
  <r>
    <x v="23"/>
  </r>
  <r>
    <x v="29"/>
  </r>
  <r>
    <x v="157"/>
  </r>
  <r>
    <x v="238"/>
  </r>
  <r>
    <x v="127"/>
  </r>
  <r>
    <x v="122"/>
  </r>
  <r>
    <x v="313"/>
  </r>
  <r>
    <x v="314"/>
  </r>
  <r>
    <x v="314"/>
  </r>
  <r>
    <x v="314"/>
  </r>
  <r>
    <x v="314"/>
  </r>
  <r>
    <x v="314"/>
  </r>
  <r>
    <x v="33"/>
  </r>
  <r>
    <x v="314"/>
  </r>
  <r>
    <x v="176"/>
  </r>
  <r>
    <x v="25"/>
  </r>
  <r>
    <x v="315"/>
  </r>
  <r>
    <x v="78"/>
  </r>
  <r>
    <x v="63"/>
  </r>
  <r>
    <x v="311"/>
  </r>
  <r>
    <x v="237"/>
  </r>
  <r>
    <x v="218"/>
  </r>
  <r>
    <x v="75"/>
  </r>
  <r>
    <x v="14"/>
  </r>
  <r>
    <x v="112"/>
  </r>
  <r>
    <x v="111"/>
  </r>
  <r>
    <x v="70"/>
  </r>
  <r>
    <x v="23"/>
  </r>
  <r>
    <x v="127"/>
  </r>
  <r>
    <x v="31"/>
  </r>
  <r>
    <x v="31"/>
  </r>
  <r>
    <x v="31"/>
  </r>
  <r>
    <x v="31"/>
  </r>
  <r>
    <x v="31"/>
  </r>
  <r>
    <x v="76"/>
  </r>
  <r>
    <x v="76"/>
  </r>
  <r>
    <x v="76"/>
  </r>
  <r>
    <x v="91"/>
  </r>
  <r>
    <x v="91"/>
  </r>
  <r>
    <x v="91"/>
  </r>
  <r>
    <x v="91"/>
  </r>
  <r>
    <x v="316"/>
  </r>
  <r>
    <x v="13"/>
  </r>
  <r>
    <x v="13"/>
  </r>
  <r>
    <x v="59"/>
  </r>
  <r>
    <x v="81"/>
  </r>
  <r>
    <x v="15"/>
  </r>
  <r>
    <x v="82"/>
  </r>
  <r>
    <x v="63"/>
  </r>
  <r>
    <x v="78"/>
  </r>
  <r>
    <x v="22"/>
  </r>
  <r>
    <x v="22"/>
  </r>
  <r>
    <x v="90"/>
  </r>
  <r>
    <x v="314"/>
  </r>
  <r>
    <x v="314"/>
  </r>
  <r>
    <x v="314"/>
  </r>
  <r>
    <x v="314"/>
  </r>
  <r>
    <x v="314"/>
  </r>
  <r>
    <x v="314"/>
  </r>
  <r>
    <x v="314"/>
  </r>
  <r>
    <x v="314"/>
  </r>
  <r>
    <x v="60"/>
  </r>
  <r>
    <x v="14"/>
  </r>
  <r>
    <x v="14"/>
  </r>
  <r>
    <x v="14"/>
  </r>
  <r>
    <x v="14"/>
  </r>
  <r>
    <x v="14"/>
  </r>
  <r>
    <x v="14"/>
  </r>
  <r>
    <x v="14"/>
  </r>
  <r>
    <x v="14"/>
  </r>
  <r>
    <x v="48"/>
  </r>
  <r>
    <x v="227"/>
  </r>
  <r>
    <x v="14"/>
  </r>
  <r>
    <x v="217"/>
  </r>
  <r>
    <x v="217"/>
  </r>
  <r>
    <x v="93"/>
  </r>
  <r>
    <x v="93"/>
  </r>
  <r>
    <x v="12"/>
  </r>
  <r>
    <x v="12"/>
  </r>
  <r>
    <x v="12"/>
  </r>
  <r>
    <x v="10"/>
  </r>
  <r>
    <x v="76"/>
  </r>
  <r>
    <x v="76"/>
  </r>
  <r>
    <x v="72"/>
  </r>
  <r>
    <x v="78"/>
  </r>
  <r>
    <x v="75"/>
  </r>
  <r>
    <x v="96"/>
  </r>
  <r>
    <x v="76"/>
  </r>
  <r>
    <x v="76"/>
  </r>
  <r>
    <x v="76"/>
  </r>
  <r>
    <x v="75"/>
  </r>
  <r>
    <x v="48"/>
  </r>
  <r>
    <x v="93"/>
  </r>
  <r>
    <x v="93"/>
  </r>
  <r>
    <x v="29"/>
  </r>
  <r>
    <x v="82"/>
  </r>
  <r>
    <x v="29"/>
  </r>
  <r>
    <x v="29"/>
  </r>
  <r>
    <x v="12"/>
  </r>
  <r>
    <x v="29"/>
  </r>
  <r>
    <x v="25"/>
  </r>
  <r>
    <x v="48"/>
  </r>
  <r>
    <x v="76"/>
  </r>
  <r>
    <x v="76"/>
  </r>
  <r>
    <x v="93"/>
  </r>
  <r>
    <x v="231"/>
  </r>
  <r>
    <x v="25"/>
  </r>
  <r>
    <x v="76"/>
  </r>
  <r>
    <x v="76"/>
  </r>
  <r>
    <x v="76"/>
  </r>
  <r>
    <x v="76"/>
  </r>
  <r>
    <x v="113"/>
  </r>
  <r>
    <x v="23"/>
  </r>
  <r>
    <x v="198"/>
  </r>
  <r>
    <x v="87"/>
  </r>
  <r>
    <x v="76"/>
  </r>
  <r>
    <x v="76"/>
  </r>
  <r>
    <x v="76"/>
  </r>
  <r>
    <x v="12"/>
  </r>
  <r>
    <x v="76"/>
  </r>
  <r>
    <x v="45"/>
  </r>
  <r>
    <x v="45"/>
  </r>
  <r>
    <x v="45"/>
  </r>
  <r>
    <x v="30"/>
  </r>
  <r>
    <x v="76"/>
  </r>
  <r>
    <x v="25"/>
  </r>
  <r>
    <x v="76"/>
  </r>
  <r>
    <x v="76"/>
  </r>
  <r>
    <x v="25"/>
  </r>
  <r>
    <x v="232"/>
  </r>
  <r>
    <x v="10"/>
  </r>
  <r>
    <x v="48"/>
  </r>
  <r>
    <x v="76"/>
  </r>
  <r>
    <x v="48"/>
  </r>
  <r>
    <x v="76"/>
  </r>
  <r>
    <x v="25"/>
  </r>
  <r>
    <x v="76"/>
  </r>
  <r>
    <x v="75"/>
  </r>
  <r>
    <x v="76"/>
  </r>
  <r>
    <x v="76"/>
  </r>
  <r>
    <x v="76"/>
  </r>
  <r>
    <x v="76"/>
  </r>
  <r>
    <x v="76"/>
  </r>
  <r>
    <x v="76"/>
  </r>
  <r>
    <x v="217"/>
  </r>
  <r>
    <x v="217"/>
  </r>
  <r>
    <x v="217"/>
  </r>
  <r>
    <x v="217"/>
  </r>
  <r>
    <x v="217"/>
  </r>
  <r>
    <x v="93"/>
  </r>
  <r>
    <x v="93"/>
  </r>
  <r>
    <x v="78"/>
  </r>
  <r>
    <x v="76"/>
  </r>
  <r>
    <x v="82"/>
  </r>
  <r>
    <x v="76"/>
  </r>
  <r>
    <x v="76"/>
  </r>
  <r>
    <x v="76"/>
  </r>
  <r>
    <x v="76"/>
  </r>
  <r>
    <x v="78"/>
  </r>
  <r>
    <x v="29"/>
  </r>
  <r>
    <x v="29"/>
  </r>
  <r>
    <x v="28"/>
  </r>
  <r>
    <x v="28"/>
  </r>
  <r>
    <x v="28"/>
  </r>
  <r>
    <x v="48"/>
  </r>
  <r>
    <x v="48"/>
  </r>
  <r>
    <x v="48"/>
  </r>
  <r>
    <x v="48"/>
  </r>
  <r>
    <x v="36"/>
  </r>
  <r>
    <x v="75"/>
  </r>
  <r>
    <x v="115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81"/>
  </r>
  <r>
    <x v="81"/>
  </r>
  <r>
    <x v="0"/>
  </r>
  <r>
    <x v="0"/>
  </r>
  <r>
    <x v="0"/>
  </r>
  <r>
    <x v="0"/>
  </r>
  <r>
    <x v="22"/>
  </r>
  <r>
    <x v="14"/>
  </r>
  <r>
    <x v="14"/>
  </r>
  <r>
    <x v="31"/>
  </r>
  <r>
    <x v="31"/>
  </r>
  <r>
    <x v="4"/>
  </r>
  <r>
    <x v="44"/>
  </r>
  <r>
    <x v="44"/>
  </r>
  <r>
    <x v="48"/>
  </r>
  <r>
    <x v="29"/>
  </r>
  <r>
    <x v="42"/>
  </r>
  <r>
    <x v="154"/>
  </r>
  <r>
    <x v="42"/>
  </r>
  <r>
    <x v="48"/>
  </r>
  <r>
    <x v="71"/>
  </r>
  <r>
    <x v="29"/>
  </r>
  <r>
    <x v="28"/>
  </r>
  <r>
    <x v="63"/>
  </r>
  <r>
    <x v="63"/>
  </r>
  <r>
    <x v="63"/>
  </r>
  <r>
    <x v="0"/>
  </r>
  <r>
    <x v="12"/>
  </r>
  <r>
    <x v="0"/>
  </r>
  <r>
    <x v="0"/>
  </r>
  <r>
    <x v="48"/>
  </r>
  <r>
    <x v="48"/>
  </r>
  <r>
    <x v="117"/>
  </r>
  <r>
    <x v="188"/>
  </r>
  <r>
    <x v="87"/>
  </r>
  <r>
    <x v="0"/>
  </r>
  <r>
    <x v="0"/>
  </r>
  <r>
    <x v="0"/>
  </r>
  <r>
    <x v="0"/>
  </r>
  <r>
    <x v="0"/>
  </r>
  <r>
    <x v="25"/>
  </r>
  <r>
    <x v="25"/>
  </r>
  <r>
    <x v="25"/>
  </r>
  <r>
    <x v="111"/>
  </r>
  <r>
    <x v="42"/>
  </r>
  <r>
    <x v="25"/>
  </r>
  <r>
    <x v="25"/>
  </r>
  <r>
    <x v="25"/>
  </r>
  <r>
    <x v="25"/>
  </r>
  <r>
    <x v="25"/>
  </r>
  <r>
    <x v="25"/>
  </r>
  <r>
    <x v="25"/>
  </r>
  <r>
    <x v="25"/>
  </r>
  <r>
    <x v="52"/>
  </r>
  <r>
    <x v="81"/>
  </r>
  <r>
    <x v="81"/>
  </r>
  <r>
    <x v="25"/>
  </r>
  <r>
    <x v="106"/>
  </r>
  <r>
    <x v="196"/>
  </r>
  <r>
    <x v="3"/>
  </r>
  <r>
    <x v="3"/>
  </r>
  <r>
    <x v="28"/>
  </r>
  <r>
    <x v="12"/>
  </r>
  <r>
    <x v="15"/>
  </r>
  <r>
    <x v="12"/>
  </r>
  <r>
    <x v="12"/>
  </r>
  <r>
    <x v="72"/>
  </r>
  <r>
    <x v="36"/>
  </r>
  <r>
    <x v="42"/>
  </r>
  <r>
    <x v="42"/>
  </r>
  <r>
    <x v="87"/>
  </r>
  <r>
    <x v="25"/>
  </r>
  <r>
    <x v="196"/>
  </r>
  <r>
    <x v="30"/>
  </r>
  <r>
    <x v="30"/>
  </r>
  <r>
    <x v="72"/>
  </r>
  <r>
    <x v="64"/>
  </r>
  <r>
    <x v="22"/>
  </r>
  <r>
    <x v="81"/>
  </r>
  <r>
    <x v="106"/>
  </r>
  <r>
    <x v="48"/>
  </r>
  <r>
    <x v="12"/>
  </r>
  <r>
    <x v="44"/>
  </r>
  <r>
    <x v="106"/>
  </r>
  <r>
    <x v="17"/>
  </r>
  <r>
    <x v="10"/>
  </r>
  <r>
    <x v="10"/>
  </r>
  <r>
    <x v="42"/>
  </r>
  <r>
    <x v="12"/>
  </r>
  <r>
    <x v="12"/>
  </r>
  <r>
    <x v="12"/>
  </r>
  <r>
    <x v="77"/>
  </r>
  <r>
    <x v="10"/>
  </r>
  <r>
    <x v="143"/>
  </r>
  <r>
    <x v="227"/>
  </r>
  <r>
    <x v="0"/>
  </r>
  <r>
    <x v="143"/>
  </r>
  <r>
    <x v="0"/>
  </r>
  <r>
    <x v="0"/>
  </r>
  <r>
    <x v="45"/>
  </r>
  <r>
    <x v="36"/>
  </r>
  <r>
    <x v="48"/>
  </r>
  <r>
    <x v="48"/>
  </r>
  <r>
    <x v="48"/>
  </r>
  <r>
    <x v="28"/>
  </r>
  <r>
    <x v="87"/>
  </r>
  <r>
    <x v="71"/>
  </r>
  <r>
    <x v="48"/>
  </r>
  <r>
    <x v="56"/>
  </r>
  <r>
    <x v="20"/>
  </r>
  <r>
    <x v="0"/>
  </r>
  <r>
    <x v="76"/>
  </r>
  <r>
    <x v="0"/>
  </r>
  <r>
    <x v="86"/>
  </r>
  <r>
    <x v="45"/>
  </r>
  <r>
    <x v="81"/>
  </r>
  <r>
    <x v="219"/>
  </r>
  <r>
    <x v="1"/>
  </r>
  <r>
    <x v="10"/>
  </r>
  <r>
    <x v="227"/>
  </r>
  <r>
    <x v="14"/>
  </r>
  <r>
    <x v="25"/>
  </r>
  <r>
    <x v="17"/>
  </r>
  <r>
    <x v="48"/>
  </r>
  <r>
    <x v="10"/>
  </r>
  <r>
    <x v="2"/>
  </r>
  <r>
    <x v="48"/>
  </r>
  <r>
    <x v="48"/>
  </r>
  <r>
    <x v="17"/>
  </r>
  <r>
    <x v="22"/>
  </r>
  <r>
    <x v="22"/>
  </r>
  <r>
    <x v="28"/>
  </r>
  <r>
    <x v="22"/>
  </r>
  <r>
    <x v="103"/>
  </r>
  <r>
    <x v="76"/>
  </r>
  <r>
    <x v="76"/>
  </r>
  <r>
    <x v="0"/>
  </r>
  <r>
    <x v="25"/>
  </r>
  <r>
    <x v="76"/>
  </r>
  <r>
    <x v="217"/>
  </r>
  <r>
    <x v="76"/>
  </r>
  <r>
    <x v="25"/>
  </r>
  <r>
    <x v="76"/>
  </r>
  <r>
    <x v="217"/>
  </r>
  <r>
    <x v="57"/>
  </r>
  <r>
    <x v="57"/>
  </r>
  <r>
    <x v="23"/>
  </r>
  <r>
    <x v="0"/>
  </r>
  <r>
    <x v="23"/>
  </r>
  <r>
    <x v="23"/>
  </r>
  <r>
    <x v="56"/>
  </r>
  <r>
    <x v="48"/>
  </r>
  <r>
    <x v="48"/>
  </r>
  <r>
    <x v="81"/>
  </r>
  <r>
    <x v="86"/>
  </r>
  <r>
    <x v="78"/>
  </r>
  <r>
    <x v="9"/>
  </r>
  <r>
    <x v="9"/>
  </r>
  <r>
    <x v="0"/>
  </r>
  <r>
    <x v="99"/>
  </r>
  <r>
    <x v="45"/>
  </r>
  <r>
    <x v="115"/>
  </r>
  <r>
    <x v="48"/>
  </r>
  <r>
    <x v="115"/>
  </r>
  <r>
    <x v="115"/>
  </r>
  <r>
    <x v="48"/>
  </r>
  <r>
    <x v="0"/>
  </r>
  <r>
    <x v="0"/>
  </r>
  <r>
    <x v="4"/>
  </r>
  <r>
    <x v="229"/>
  </r>
  <r>
    <x v="10"/>
  </r>
  <r>
    <x v="10"/>
  </r>
  <r>
    <x v="10"/>
  </r>
  <r>
    <x v="48"/>
  </r>
  <r>
    <x v="63"/>
  </r>
  <r>
    <x v="0"/>
  </r>
  <r>
    <x v="48"/>
  </r>
  <r>
    <x v="48"/>
  </r>
  <r>
    <x v="48"/>
  </r>
  <r>
    <x v="48"/>
  </r>
  <r>
    <x v="78"/>
  </r>
  <r>
    <x v="48"/>
  </r>
  <r>
    <x v="12"/>
  </r>
  <r>
    <x v="7"/>
  </r>
  <r>
    <x v="7"/>
  </r>
  <r>
    <x v="0"/>
  </r>
  <r>
    <x v="31"/>
  </r>
  <r>
    <x v="46"/>
  </r>
  <r>
    <x v="25"/>
  </r>
  <r>
    <x v="25"/>
  </r>
  <r>
    <x v="25"/>
  </r>
  <r>
    <x v="112"/>
  </r>
  <r>
    <x v="25"/>
  </r>
  <r>
    <x v="25"/>
  </r>
  <r>
    <x v="118"/>
  </r>
  <r>
    <x v="77"/>
  </r>
  <r>
    <x v="63"/>
  </r>
  <r>
    <x v="30"/>
  </r>
  <r>
    <x v="45"/>
  </r>
  <r>
    <x v="10"/>
  </r>
  <r>
    <x v="25"/>
  </r>
  <r>
    <x v="25"/>
  </r>
  <r>
    <x v="25"/>
  </r>
  <r>
    <x v="25"/>
  </r>
  <r>
    <x v="25"/>
  </r>
  <r>
    <x v="317"/>
  </r>
  <r>
    <x v="25"/>
  </r>
  <r>
    <x v="25"/>
  </r>
  <r>
    <x v="25"/>
  </r>
  <r>
    <x v="81"/>
  </r>
  <r>
    <x v="25"/>
  </r>
  <r>
    <x v="126"/>
  </r>
  <r>
    <x v="126"/>
  </r>
  <r>
    <x v="25"/>
  </r>
  <r>
    <x v="0"/>
  </r>
  <r>
    <x v="0"/>
  </r>
  <r>
    <x v="25"/>
  </r>
  <r>
    <x v="25"/>
  </r>
  <r>
    <x v="91"/>
  </r>
  <r>
    <x v="91"/>
  </r>
  <r>
    <x v="25"/>
  </r>
  <r>
    <x v="25"/>
  </r>
  <r>
    <x v="25"/>
  </r>
  <r>
    <x v="25"/>
  </r>
  <r>
    <x v="25"/>
  </r>
  <r>
    <x v="25"/>
  </r>
  <r>
    <x v="111"/>
  </r>
  <r>
    <x v="25"/>
  </r>
  <r>
    <x v="0"/>
  </r>
  <r>
    <x v="25"/>
  </r>
  <r>
    <x v="111"/>
  </r>
  <r>
    <x v="111"/>
  </r>
  <r>
    <x v="12"/>
  </r>
  <r>
    <x v="25"/>
  </r>
  <r>
    <x v="79"/>
  </r>
  <r>
    <x v="0"/>
  </r>
  <r>
    <x v="182"/>
  </r>
  <r>
    <x v="79"/>
  </r>
  <r>
    <x v="25"/>
  </r>
  <r>
    <x v="12"/>
  </r>
  <r>
    <x v="34"/>
  </r>
  <r>
    <x v="78"/>
  </r>
  <r>
    <x v="23"/>
  </r>
  <r>
    <x v="78"/>
  </r>
  <r>
    <x v="25"/>
  </r>
  <r>
    <x v="25"/>
  </r>
  <r>
    <x v="25"/>
  </r>
  <r>
    <x v="25"/>
  </r>
  <r>
    <x v="91"/>
  </r>
  <r>
    <x v="25"/>
  </r>
  <r>
    <x v="25"/>
  </r>
  <r>
    <x v="25"/>
  </r>
  <r>
    <x v="25"/>
  </r>
  <r>
    <x v="25"/>
  </r>
  <r>
    <x v="25"/>
  </r>
  <r>
    <x v="25"/>
  </r>
  <r>
    <x v="0"/>
  </r>
  <r>
    <x v="103"/>
  </r>
  <r>
    <x v="23"/>
  </r>
  <r>
    <x v="25"/>
  </r>
  <r>
    <x v="25"/>
  </r>
  <r>
    <x v="25"/>
  </r>
  <r>
    <x v="25"/>
  </r>
  <r>
    <x v="25"/>
  </r>
  <r>
    <x v="318"/>
  </r>
  <r>
    <x v="99"/>
  </r>
  <r>
    <x v="111"/>
  </r>
  <r>
    <x v="25"/>
  </r>
  <r>
    <x v="111"/>
  </r>
  <r>
    <x v="111"/>
  </r>
  <r>
    <x v="111"/>
  </r>
  <r>
    <x v="85"/>
  </r>
  <r>
    <x v="25"/>
  </r>
  <r>
    <x v="25"/>
  </r>
  <r>
    <x v="78"/>
  </r>
  <r>
    <x v="103"/>
  </r>
  <r>
    <x v="103"/>
  </r>
  <r>
    <x v="103"/>
  </r>
  <r>
    <x v="79"/>
  </r>
  <r>
    <x v="25"/>
  </r>
  <r>
    <x v="25"/>
  </r>
  <r>
    <x v="76"/>
  </r>
  <r>
    <x v="76"/>
  </r>
  <r>
    <x v="76"/>
  </r>
  <r>
    <x v="76"/>
  </r>
  <r>
    <x v="31"/>
  </r>
  <r>
    <x v="93"/>
  </r>
  <r>
    <x v="93"/>
  </r>
  <r>
    <x v="93"/>
  </r>
  <r>
    <x v="93"/>
  </r>
  <r>
    <x v="25"/>
  </r>
  <r>
    <x v="25"/>
  </r>
  <r>
    <x v="30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0"/>
  </r>
  <r>
    <x v="25"/>
  </r>
  <r>
    <x v="91"/>
  </r>
  <r>
    <x v="48"/>
  </r>
  <r>
    <x v="83"/>
  </r>
  <r>
    <x v="48"/>
  </r>
  <r>
    <x v="48"/>
  </r>
  <r>
    <x v="48"/>
  </r>
  <r>
    <x v="48"/>
  </r>
  <r>
    <x v="48"/>
  </r>
  <r>
    <x v="48"/>
  </r>
  <r>
    <x v="79"/>
  </r>
  <r>
    <x v="76"/>
  </r>
  <r>
    <x v="78"/>
  </r>
  <r>
    <x v="48"/>
  </r>
  <r>
    <x v="78"/>
  </r>
  <r>
    <x v="78"/>
  </r>
  <r>
    <x v="78"/>
  </r>
  <r>
    <x v="93"/>
  </r>
  <r>
    <x v="48"/>
  </r>
  <r>
    <x v="76"/>
  </r>
  <r>
    <x v="161"/>
  </r>
  <r>
    <x v="78"/>
  </r>
  <r>
    <x v="48"/>
  </r>
  <r>
    <x v="121"/>
  </r>
  <r>
    <x v="78"/>
  </r>
  <r>
    <x v="0"/>
  </r>
  <r>
    <x v="42"/>
  </r>
  <r>
    <x v="82"/>
  </r>
  <r>
    <x v="48"/>
  </r>
  <r>
    <x v="48"/>
  </r>
  <r>
    <x v="99"/>
  </r>
  <r>
    <x v="99"/>
  </r>
  <r>
    <x v="216"/>
  </r>
  <r>
    <x v="48"/>
  </r>
  <r>
    <x v="60"/>
  </r>
  <r>
    <x v="44"/>
  </r>
  <r>
    <x v="14"/>
  </r>
  <r>
    <x v="108"/>
  </r>
  <r>
    <x v="72"/>
  </r>
  <r>
    <x v="48"/>
  </r>
  <r>
    <x v="25"/>
  </r>
  <r>
    <x v="88"/>
  </r>
  <r>
    <x v="14"/>
  </r>
  <r>
    <x v="72"/>
  </r>
  <r>
    <x v="48"/>
  </r>
  <r>
    <x v="25"/>
  </r>
  <r>
    <x v="25"/>
  </r>
  <r>
    <x v="25"/>
  </r>
  <r>
    <x v="25"/>
  </r>
  <r>
    <x v="25"/>
  </r>
  <r>
    <x v="25"/>
  </r>
  <r>
    <x v="25"/>
  </r>
  <r>
    <x v="102"/>
  </r>
  <r>
    <x v="25"/>
  </r>
  <r>
    <x v="48"/>
  </r>
  <r>
    <x v="25"/>
  </r>
  <r>
    <x v="25"/>
  </r>
  <r>
    <x v="25"/>
  </r>
  <r>
    <x v="27"/>
  </r>
  <r>
    <x v="25"/>
  </r>
  <r>
    <x v="25"/>
  </r>
  <r>
    <x v="25"/>
  </r>
  <r>
    <x v="25"/>
  </r>
  <r>
    <x v="25"/>
  </r>
  <r>
    <x v="81"/>
  </r>
  <r>
    <x v="25"/>
  </r>
  <r>
    <x v="76"/>
  </r>
  <r>
    <x v="25"/>
  </r>
  <r>
    <x v="31"/>
  </r>
  <r>
    <x v="94"/>
  </r>
  <r>
    <x v="31"/>
  </r>
  <r>
    <x v="31"/>
  </r>
  <r>
    <x v="10"/>
  </r>
  <r>
    <x v="48"/>
  </r>
  <r>
    <x v="25"/>
  </r>
  <r>
    <x v="25"/>
  </r>
  <r>
    <x v="25"/>
  </r>
  <r>
    <x v="117"/>
  </r>
  <r>
    <x v="76"/>
  </r>
  <r>
    <x v="25"/>
  </r>
  <r>
    <x v="48"/>
  </r>
  <r>
    <x v="81"/>
  </r>
  <r>
    <x v="76"/>
  </r>
  <r>
    <x v="72"/>
  </r>
  <r>
    <x v="143"/>
  </r>
  <r>
    <x v="52"/>
  </r>
  <r>
    <x v="91"/>
  </r>
  <r>
    <x v="31"/>
  </r>
  <r>
    <x v="48"/>
  </r>
  <r>
    <x v="102"/>
  </r>
  <r>
    <x v="52"/>
  </r>
  <r>
    <x v="79"/>
  </r>
  <r>
    <x v="25"/>
  </r>
  <r>
    <x v="25"/>
  </r>
  <r>
    <x v="25"/>
  </r>
  <r>
    <x v="25"/>
  </r>
  <r>
    <x v="154"/>
  </r>
  <r>
    <x v="82"/>
  </r>
  <r>
    <x v="48"/>
  </r>
  <r>
    <x v="48"/>
  </r>
  <r>
    <x v="48"/>
  </r>
  <r>
    <x v="48"/>
  </r>
  <r>
    <x v="48"/>
  </r>
  <r>
    <x v="48"/>
  </r>
  <r>
    <x v="81"/>
  </r>
  <r>
    <x v="81"/>
  </r>
  <r>
    <x v="81"/>
  </r>
  <r>
    <x v="81"/>
  </r>
  <r>
    <x v="81"/>
  </r>
  <r>
    <x v="81"/>
  </r>
  <r>
    <x v="81"/>
  </r>
  <r>
    <x v="81"/>
  </r>
  <r>
    <x v="48"/>
  </r>
  <r>
    <x v="100"/>
  </r>
  <r>
    <x v="100"/>
  </r>
  <r>
    <x v="25"/>
  </r>
  <r>
    <x v="111"/>
  </r>
  <r>
    <x v="25"/>
  </r>
  <r>
    <x v="76"/>
  </r>
  <r>
    <x v="76"/>
  </r>
  <r>
    <x v="25"/>
  </r>
  <r>
    <x v="154"/>
  </r>
  <r>
    <x v="76"/>
  </r>
  <r>
    <x v="25"/>
  </r>
  <r>
    <x v="25"/>
  </r>
  <r>
    <x v="25"/>
  </r>
  <r>
    <x v="25"/>
  </r>
  <r>
    <x v="25"/>
  </r>
  <r>
    <x v="12"/>
  </r>
  <r>
    <x v="25"/>
  </r>
  <r>
    <x v="25"/>
  </r>
  <r>
    <x v="76"/>
  </r>
  <r>
    <x v="25"/>
  </r>
  <r>
    <x v="72"/>
  </r>
  <r>
    <x v="72"/>
  </r>
  <r>
    <x v="94"/>
  </r>
  <r>
    <x v="72"/>
  </r>
  <r>
    <x v="25"/>
  </r>
  <r>
    <x v="72"/>
  </r>
  <r>
    <x v="25"/>
  </r>
  <r>
    <x v="72"/>
  </r>
  <r>
    <x v="25"/>
  </r>
  <r>
    <x v="72"/>
  </r>
  <r>
    <x v="10"/>
  </r>
  <r>
    <x v="121"/>
  </r>
  <r>
    <x v="154"/>
  </r>
  <r>
    <x v="154"/>
  </r>
  <r>
    <x v="154"/>
  </r>
  <r>
    <x v="154"/>
  </r>
  <r>
    <x v="154"/>
  </r>
  <r>
    <x v="45"/>
  </r>
  <r>
    <x v="290"/>
  </r>
  <r>
    <x v="10"/>
  </r>
  <r>
    <x v="100"/>
  </r>
  <r>
    <x v="0"/>
  </r>
  <r>
    <x v="0"/>
  </r>
  <r>
    <x v="289"/>
  </r>
  <r>
    <x v="122"/>
  </r>
  <r>
    <x v="113"/>
  </r>
  <r>
    <x v="106"/>
  </r>
  <r>
    <x v="57"/>
  </r>
  <r>
    <x v="23"/>
  </r>
  <r>
    <x v="106"/>
  </r>
  <r>
    <x v="93"/>
  </r>
  <r>
    <x v="25"/>
  </r>
  <r>
    <x v="25"/>
  </r>
  <r>
    <x v="25"/>
  </r>
  <r>
    <x v="93"/>
  </r>
  <r>
    <x v="25"/>
  </r>
  <r>
    <x v="93"/>
  </r>
  <r>
    <x v="114"/>
  </r>
  <r>
    <x v="14"/>
  </r>
  <r>
    <x v="93"/>
  </r>
  <r>
    <x v="93"/>
  </r>
  <r>
    <x v="48"/>
  </r>
  <r>
    <x v="216"/>
  </r>
  <r>
    <x v="93"/>
  </r>
  <r>
    <x v="93"/>
  </r>
  <r>
    <x v="30"/>
  </r>
  <r>
    <x v="93"/>
  </r>
  <r>
    <x v="30"/>
  </r>
  <r>
    <x v="82"/>
  </r>
  <r>
    <x v="82"/>
  </r>
  <r>
    <x v="63"/>
  </r>
  <r>
    <x v="217"/>
  </r>
  <r>
    <x v="25"/>
  </r>
  <r>
    <x v="25"/>
  </r>
  <r>
    <x v="25"/>
  </r>
  <r>
    <x v="25"/>
  </r>
  <r>
    <x v="25"/>
  </r>
  <r>
    <x v="2"/>
  </r>
  <r>
    <x v="25"/>
  </r>
  <r>
    <x v="25"/>
  </r>
  <r>
    <x v="199"/>
  </r>
  <r>
    <x v="25"/>
  </r>
  <r>
    <x v="23"/>
  </r>
  <r>
    <x v="93"/>
  </r>
  <r>
    <x v="85"/>
  </r>
  <r>
    <x v="2"/>
  </r>
  <r>
    <x v="0"/>
  </r>
  <r>
    <x v="79"/>
  </r>
  <r>
    <x v="26"/>
  </r>
  <r>
    <x v="25"/>
  </r>
  <r>
    <x v="25"/>
  </r>
  <r>
    <x v="56"/>
  </r>
  <r>
    <x v="25"/>
  </r>
  <r>
    <x v="87"/>
  </r>
  <r>
    <x v="78"/>
  </r>
  <r>
    <x v="0"/>
  </r>
  <r>
    <x v="78"/>
  </r>
  <r>
    <x v="78"/>
  </r>
  <r>
    <x v="30"/>
  </r>
  <r>
    <x v="108"/>
  </r>
  <r>
    <x v="99"/>
  </r>
  <r>
    <x v="82"/>
  </r>
  <r>
    <x v="82"/>
  </r>
  <r>
    <x v="82"/>
  </r>
  <r>
    <x v="87"/>
  </r>
  <r>
    <x v="208"/>
  </r>
  <r>
    <x v="105"/>
  </r>
  <r>
    <x v="87"/>
  </r>
  <r>
    <x v="56"/>
  </r>
  <r>
    <x v="25"/>
  </r>
  <r>
    <x v="21"/>
  </r>
  <r>
    <x v="215"/>
  </r>
  <r>
    <x v="30"/>
  </r>
  <r>
    <x v="30"/>
  </r>
  <r>
    <x v="72"/>
  </r>
  <r>
    <x v="14"/>
  </r>
  <r>
    <x v="72"/>
  </r>
  <r>
    <x v="14"/>
  </r>
  <r>
    <x v="14"/>
  </r>
  <r>
    <x v="25"/>
  </r>
  <r>
    <x v="78"/>
  </r>
  <r>
    <x v="12"/>
  </r>
  <r>
    <x v="48"/>
  </r>
  <r>
    <x v="25"/>
  </r>
  <r>
    <x v="25"/>
  </r>
  <r>
    <x v="25"/>
  </r>
  <r>
    <x v="82"/>
  </r>
  <r>
    <x v="82"/>
  </r>
  <r>
    <x v="56"/>
  </r>
  <r>
    <x v="143"/>
  </r>
  <r>
    <x v="2"/>
  </r>
  <r>
    <x v="56"/>
  </r>
  <r>
    <x v="96"/>
  </r>
  <r>
    <x v="115"/>
  </r>
  <r>
    <x v="82"/>
  </r>
  <r>
    <x v="56"/>
  </r>
  <r>
    <x v="2"/>
  </r>
  <r>
    <x v="72"/>
  </r>
  <r>
    <x v="36"/>
  </r>
  <r>
    <x v="48"/>
  </r>
  <r>
    <x v="72"/>
  </r>
  <r>
    <x v="113"/>
  </r>
  <r>
    <x v="72"/>
  </r>
  <r>
    <x v="102"/>
  </r>
  <r>
    <x v="113"/>
  </r>
  <r>
    <x v="76"/>
  </r>
  <r>
    <x v="25"/>
  </r>
  <r>
    <x v="25"/>
  </r>
  <r>
    <x v="25"/>
  </r>
  <r>
    <x v="76"/>
  </r>
  <r>
    <x v="82"/>
  </r>
  <r>
    <x v="25"/>
  </r>
  <r>
    <x v="72"/>
  </r>
  <r>
    <x v="25"/>
  </r>
  <r>
    <x v="104"/>
  </r>
  <r>
    <x v="25"/>
  </r>
  <r>
    <x v="82"/>
  </r>
  <r>
    <x v="76"/>
  </r>
  <r>
    <x v="76"/>
  </r>
  <r>
    <x v="76"/>
  </r>
  <r>
    <x v="72"/>
  </r>
  <r>
    <x v="72"/>
  </r>
  <r>
    <x v="25"/>
  </r>
  <r>
    <x v="25"/>
  </r>
  <r>
    <x v="72"/>
  </r>
  <r>
    <x v="72"/>
  </r>
  <r>
    <x v="72"/>
  </r>
  <r>
    <x v="72"/>
  </r>
  <r>
    <x v="82"/>
  </r>
  <r>
    <x v="72"/>
  </r>
  <r>
    <x v="25"/>
  </r>
  <r>
    <x v="76"/>
  </r>
  <r>
    <x v="25"/>
  </r>
  <r>
    <x v="78"/>
  </r>
  <r>
    <x v="181"/>
  </r>
  <r>
    <x v="25"/>
  </r>
  <r>
    <x v="76"/>
  </r>
  <r>
    <x v="48"/>
  </r>
  <r>
    <x v="12"/>
  </r>
  <r>
    <x v="48"/>
  </r>
  <r>
    <x v="25"/>
  </r>
  <r>
    <x v="25"/>
  </r>
  <r>
    <x v="82"/>
  </r>
  <r>
    <x v="82"/>
  </r>
  <r>
    <x v="25"/>
  </r>
  <r>
    <x v="72"/>
  </r>
  <r>
    <x v="105"/>
  </r>
  <r>
    <x v="104"/>
  </r>
  <r>
    <x v="102"/>
  </r>
  <r>
    <x v="72"/>
  </r>
  <r>
    <x v="12"/>
  </r>
  <r>
    <x v="48"/>
  </r>
  <r>
    <x v="14"/>
  </r>
  <r>
    <x v="188"/>
  </r>
  <r>
    <x v="31"/>
  </r>
  <r>
    <x v="31"/>
  </r>
  <r>
    <x v="127"/>
  </r>
  <r>
    <x v="31"/>
  </r>
  <r>
    <x v="31"/>
  </r>
  <r>
    <x v="319"/>
  </r>
  <r>
    <x v="72"/>
  </r>
  <r>
    <x v="31"/>
  </r>
  <r>
    <x v="10"/>
  </r>
  <r>
    <x v="296"/>
  </r>
  <r>
    <x v="110"/>
  </r>
  <r>
    <x v="110"/>
  </r>
  <r>
    <x v="78"/>
  </r>
  <r>
    <x v="10"/>
  </r>
  <r>
    <x v="10"/>
  </r>
  <r>
    <x v="10"/>
  </r>
  <r>
    <x v="25"/>
  </r>
  <r>
    <x v="25"/>
  </r>
  <r>
    <x v="113"/>
  </r>
  <r>
    <x v="31"/>
  </r>
  <r>
    <x v="25"/>
  </r>
  <r>
    <x v="25"/>
  </r>
  <r>
    <x v="27"/>
  </r>
  <r>
    <x v="25"/>
  </r>
  <r>
    <x v="320"/>
  </r>
  <r>
    <x v="31"/>
  </r>
  <r>
    <x v="27"/>
  </r>
  <r>
    <x v="25"/>
  </r>
  <r>
    <x v="27"/>
  </r>
  <r>
    <x v="82"/>
  </r>
  <r>
    <x v="25"/>
  </r>
  <r>
    <x v="72"/>
  </r>
  <r>
    <x v="24"/>
  </r>
  <r>
    <x v="313"/>
  </r>
  <r>
    <x v="24"/>
  </r>
  <r>
    <x v="31"/>
  </r>
  <r>
    <x v="31"/>
  </r>
  <r>
    <x v="31"/>
  </r>
  <r>
    <x v="102"/>
  </r>
  <r>
    <x v="82"/>
  </r>
  <r>
    <x v="82"/>
  </r>
  <r>
    <x v="93"/>
  </r>
  <r>
    <x v="25"/>
  </r>
  <r>
    <x v="52"/>
  </r>
  <r>
    <x v="86"/>
  </r>
  <r>
    <x v="59"/>
  </r>
  <r>
    <x v="2"/>
  </r>
  <r>
    <x v="42"/>
  </r>
  <r>
    <x v="86"/>
  </r>
  <r>
    <x v="86"/>
  </r>
  <r>
    <x v="48"/>
  </r>
  <r>
    <x v="48"/>
  </r>
  <r>
    <x v="113"/>
  </r>
  <r>
    <x v="113"/>
  </r>
  <r>
    <x v="76"/>
  </r>
  <r>
    <x v="23"/>
  </r>
  <r>
    <x v="232"/>
  </r>
  <r>
    <x v="100"/>
  </r>
  <r>
    <x v="25"/>
  </r>
  <r>
    <x v="198"/>
  </r>
  <r>
    <x v="82"/>
  </r>
  <r>
    <x v="25"/>
  </r>
  <r>
    <x v="100"/>
  </r>
  <r>
    <x v="155"/>
  </r>
  <r>
    <x v="85"/>
  </r>
  <r>
    <x v="76"/>
  </r>
  <r>
    <x v="82"/>
  </r>
  <r>
    <x v="52"/>
  </r>
  <r>
    <x v="55"/>
  </r>
  <r>
    <x v="52"/>
  </r>
  <r>
    <x v="113"/>
  </r>
  <r>
    <x v="55"/>
  </r>
  <r>
    <x v="148"/>
  </r>
  <r>
    <x v="113"/>
  </r>
  <r>
    <x v="17"/>
  </r>
  <r>
    <x v="24"/>
  </r>
  <r>
    <x v="25"/>
  </r>
  <r>
    <x v="113"/>
  </r>
  <r>
    <x v="113"/>
  </r>
  <r>
    <x v="113"/>
  </r>
  <r>
    <x v="155"/>
  </r>
  <r>
    <x v="113"/>
  </r>
  <r>
    <x v="113"/>
  </r>
  <r>
    <x v="113"/>
  </r>
  <r>
    <x v="28"/>
  </r>
  <r>
    <x v="24"/>
  </r>
  <r>
    <x v="72"/>
  </r>
  <r>
    <x v="2"/>
  </r>
  <r>
    <x v="155"/>
  </r>
  <r>
    <x v="3"/>
  </r>
  <r>
    <x v="90"/>
  </r>
  <r>
    <x v="3"/>
  </r>
  <r>
    <x v="158"/>
  </r>
  <r>
    <x v="100"/>
  </r>
  <r>
    <x v="63"/>
  </r>
  <r>
    <x v="32"/>
  </r>
  <r>
    <x v="25"/>
  </r>
  <r>
    <x v="7"/>
  </r>
  <r>
    <x v="76"/>
  </r>
  <r>
    <x v="84"/>
  </r>
  <r>
    <x v="182"/>
  </r>
  <r>
    <x v="295"/>
  </r>
  <r>
    <x v="242"/>
  </r>
  <r>
    <x v="295"/>
  </r>
  <r>
    <x v="6"/>
  </r>
  <r>
    <x v="108"/>
  </r>
  <r>
    <x v="31"/>
  </r>
  <r>
    <x v="31"/>
  </r>
  <r>
    <x v="31"/>
  </r>
  <r>
    <x v="102"/>
  </r>
  <r>
    <x v="4"/>
  </r>
  <r>
    <x v="48"/>
  </r>
  <r>
    <x v="319"/>
  </r>
  <r>
    <x v="48"/>
  </r>
  <r>
    <x v="82"/>
  </r>
  <r>
    <x v="82"/>
  </r>
  <r>
    <x v="48"/>
  </r>
  <r>
    <x v="97"/>
  </r>
  <r>
    <x v="7"/>
  </r>
  <r>
    <x v="77"/>
  </r>
  <r>
    <x v="48"/>
  </r>
  <r>
    <x v="31"/>
  </r>
  <r>
    <x v="42"/>
  </r>
  <r>
    <x v="212"/>
  </r>
  <r>
    <x v="86"/>
  </r>
  <r>
    <x v="86"/>
  </r>
  <r>
    <x v="25"/>
  </r>
  <r>
    <x v="25"/>
  </r>
  <r>
    <x v="72"/>
  </r>
  <r>
    <x v="76"/>
  </r>
  <r>
    <x v="76"/>
  </r>
  <r>
    <x v="72"/>
  </r>
  <r>
    <x v="76"/>
  </r>
  <r>
    <x v="119"/>
  </r>
  <r>
    <x v="102"/>
  </r>
  <r>
    <x v="72"/>
  </r>
  <r>
    <x v="14"/>
  </r>
  <r>
    <x v="102"/>
  </r>
  <r>
    <x v="63"/>
  </r>
  <r>
    <x v="94"/>
  </r>
  <r>
    <x v="14"/>
  </r>
  <r>
    <x v="25"/>
  </r>
  <r>
    <x v="155"/>
  </r>
  <r>
    <x v="76"/>
  </r>
  <r>
    <x v="52"/>
  </r>
  <r>
    <x v="100"/>
  </r>
  <r>
    <x v="17"/>
  </r>
  <r>
    <x v="17"/>
  </r>
  <r>
    <x v="10"/>
  </r>
  <r>
    <x v="10"/>
  </r>
  <r>
    <x v="72"/>
  </r>
  <r>
    <x v="79"/>
  </r>
  <r>
    <x v="79"/>
  </r>
  <r>
    <x v="10"/>
  </r>
  <r>
    <x v="75"/>
  </r>
  <r>
    <x v="133"/>
  </r>
  <r>
    <x v="133"/>
  </r>
  <r>
    <x v="75"/>
  </r>
  <r>
    <x v="72"/>
  </r>
  <r>
    <x v="76"/>
  </r>
  <r>
    <x v="14"/>
  </r>
  <r>
    <x v="86"/>
  </r>
  <r>
    <x v="48"/>
  </r>
  <r>
    <x v="48"/>
  </r>
  <r>
    <x v="14"/>
  </r>
  <r>
    <x v="78"/>
  </r>
  <r>
    <x v="78"/>
  </r>
  <r>
    <x v="102"/>
  </r>
  <r>
    <x v="25"/>
  </r>
  <r>
    <x v="25"/>
  </r>
  <r>
    <x v="25"/>
  </r>
  <r>
    <x v="14"/>
  </r>
  <r>
    <x v="14"/>
  </r>
  <r>
    <x v="14"/>
  </r>
  <r>
    <x v="14"/>
  </r>
  <r>
    <x v="14"/>
  </r>
  <r>
    <x v="48"/>
  </r>
  <r>
    <x v="81"/>
  </r>
  <r>
    <x v="72"/>
  </r>
  <r>
    <x v="0"/>
  </r>
  <r>
    <x v="25"/>
  </r>
  <r>
    <x v="82"/>
  </r>
  <r>
    <x v="20"/>
  </r>
  <r>
    <x v="12"/>
  </r>
  <r>
    <x v="20"/>
  </r>
  <r>
    <x v="20"/>
  </r>
  <r>
    <x v="20"/>
  </r>
  <r>
    <x v="34"/>
  </r>
  <r>
    <x v="99"/>
  </r>
  <r>
    <x v="34"/>
  </r>
  <r>
    <x v="48"/>
  </r>
  <r>
    <x v="48"/>
  </r>
  <r>
    <x v="26"/>
  </r>
  <r>
    <x v="29"/>
  </r>
  <r>
    <x v="12"/>
  </r>
  <r>
    <x v="72"/>
  </r>
  <r>
    <x v="72"/>
  </r>
  <r>
    <x v="72"/>
  </r>
  <r>
    <x v="12"/>
  </r>
  <r>
    <x v="6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5"/>
  </r>
  <r>
    <x v="78"/>
  </r>
  <r>
    <x v="227"/>
  </r>
  <r>
    <x v="227"/>
  </r>
  <r>
    <x v="63"/>
  </r>
  <r>
    <x v="25"/>
  </r>
  <r>
    <x v="128"/>
  </r>
  <r>
    <x v="77"/>
  </r>
  <r>
    <x v="36"/>
  </r>
  <r>
    <x v="77"/>
  </r>
  <r>
    <x v="10"/>
  </r>
  <r>
    <x v="118"/>
  </r>
  <r>
    <x v="25"/>
  </r>
  <r>
    <x v="25"/>
  </r>
  <r>
    <x v="30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05"/>
  </r>
  <r>
    <x v="25"/>
  </r>
  <r>
    <x v="199"/>
  </r>
  <r>
    <x v="25"/>
  </r>
  <r>
    <x v="93"/>
  </r>
  <r>
    <x v="72"/>
  </r>
  <r>
    <x v="25"/>
  </r>
  <r>
    <x v="72"/>
  </r>
  <r>
    <x v="112"/>
  </r>
  <r>
    <x v="25"/>
  </r>
  <r>
    <x v="10"/>
  </r>
  <r>
    <x v="10"/>
  </r>
  <r>
    <x v="76"/>
  </r>
  <r>
    <x v="10"/>
  </r>
  <r>
    <x v="10"/>
  </r>
  <r>
    <x v="76"/>
  </r>
  <r>
    <x v="57"/>
  </r>
  <r>
    <x v="76"/>
  </r>
  <r>
    <x v="22"/>
  </r>
  <r>
    <x v="10"/>
  </r>
  <r>
    <x v="10"/>
  </r>
  <r>
    <x v="76"/>
  </r>
  <r>
    <x v="22"/>
  </r>
  <r>
    <x v="22"/>
  </r>
  <r>
    <x v="78"/>
  </r>
  <r>
    <x v="321"/>
  </r>
  <r>
    <x v="25"/>
  </r>
  <r>
    <x v="25"/>
  </r>
  <r>
    <x v="10"/>
  </r>
  <r>
    <x v="12"/>
  </r>
  <r>
    <x v="25"/>
  </r>
  <r>
    <x v="78"/>
  </r>
  <r>
    <x v="78"/>
  </r>
  <r>
    <x v="78"/>
  </r>
  <r>
    <x v="12"/>
  </r>
  <r>
    <x v="25"/>
  </r>
  <r>
    <x v="12"/>
  </r>
  <r>
    <x v="25"/>
  </r>
  <r>
    <x v="14"/>
  </r>
  <r>
    <x v="26"/>
  </r>
  <r>
    <x v="26"/>
  </r>
  <r>
    <x v="25"/>
  </r>
  <r>
    <x v="78"/>
  </r>
  <r>
    <x v="78"/>
  </r>
  <r>
    <x v="25"/>
  </r>
  <r>
    <x v="25"/>
  </r>
  <r>
    <x v="71"/>
  </r>
  <r>
    <x v="25"/>
  </r>
  <r>
    <x v="25"/>
  </r>
  <r>
    <x v="96"/>
  </r>
  <r>
    <x v="25"/>
  </r>
  <r>
    <x v="25"/>
  </r>
  <r>
    <x v="112"/>
  </r>
  <r>
    <x v="81"/>
  </r>
  <r>
    <x v="81"/>
  </r>
  <r>
    <x v="71"/>
  </r>
  <r>
    <x v="63"/>
  </r>
  <r>
    <x v="76"/>
  </r>
  <r>
    <x v="76"/>
  </r>
  <r>
    <x v="76"/>
  </r>
  <r>
    <x v="4"/>
  </r>
  <r>
    <x v="94"/>
  </r>
  <r>
    <x v="94"/>
  </r>
  <r>
    <x v="94"/>
  </r>
  <r>
    <x v="128"/>
  </r>
  <r>
    <x v="25"/>
  </r>
  <r>
    <x v="57"/>
  </r>
  <r>
    <x v="57"/>
  </r>
  <r>
    <x v="10"/>
  </r>
  <r>
    <x v="22"/>
  </r>
  <r>
    <x v="57"/>
  </r>
  <r>
    <x v="57"/>
  </r>
  <r>
    <x v="10"/>
  </r>
  <r>
    <x v="10"/>
  </r>
  <r>
    <x v="57"/>
  </r>
  <r>
    <x v="76"/>
  </r>
  <r>
    <x v="25"/>
  </r>
  <r>
    <x v="22"/>
  </r>
  <r>
    <x v="25"/>
  </r>
  <r>
    <x v="25"/>
  </r>
  <r>
    <x v="57"/>
  </r>
  <r>
    <x v="22"/>
  </r>
  <r>
    <x v="57"/>
  </r>
  <r>
    <x v="81"/>
  </r>
  <r>
    <x v="81"/>
  </r>
  <r>
    <x v="81"/>
  </r>
  <r>
    <x v="81"/>
  </r>
  <r>
    <x v="113"/>
  </r>
  <r>
    <x v="55"/>
  </r>
  <r>
    <x v="29"/>
  </r>
  <r>
    <x v="205"/>
  </r>
  <r>
    <x v="29"/>
  </r>
  <r>
    <x v="213"/>
  </r>
  <r>
    <x v="87"/>
  </r>
  <r>
    <x v="87"/>
  </r>
  <r>
    <x v="25"/>
  </r>
  <r>
    <x v="87"/>
  </r>
  <r>
    <x v="87"/>
  </r>
  <r>
    <x v="56"/>
  </r>
  <r>
    <x v="71"/>
  </r>
  <r>
    <x v="71"/>
  </r>
  <r>
    <x v="45"/>
  </r>
  <r>
    <x v="71"/>
  </r>
  <r>
    <x v="0"/>
  </r>
  <r>
    <x v="0"/>
  </r>
  <r>
    <x v="0"/>
  </r>
  <r>
    <x v="0"/>
  </r>
  <r>
    <x v="0"/>
  </r>
  <r>
    <x v="25"/>
  </r>
  <r>
    <x v="25"/>
  </r>
  <r>
    <x v="322"/>
  </r>
  <r>
    <x v="78"/>
  </r>
  <r>
    <x v="48"/>
  </r>
  <r>
    <x v="78"/>
  </r>
  <r>
    <x v="78"/>
  </r>
  <r>
    <x v="14"/>
  </r>
  <r>
    <x v="76"/>
  </r>
  <r>
    <x v="25"/>
  </r>
  <r>
    <x v="177"/>
  </r>
  <r>
    <x v="177"/>
  </r>
  <r>
    <x v="25"/>
  </r>
  <r>
    <x v="25"/>
  </r>
  <r>
    <x v="25"/>
  </r>
  <r>
    <x v="25"/>
  </r>
  <r>
    <x v="25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2"/>
  </r>
  <r>
    <x v="48"/>
  </r>
  <r>
    <x v="52"/>
  </r>
  <r>
    <x v="52"/>
  </r>
  <r>
    <x v="52"/>
  </r>
  <r>
    <x v="50"/>
  </r>
  <r>
    <x v="111"/>
  </r>
  <r>
    <x v="0"/>
  </r>
  <r>
    <x v="20"/>
  </r>
  <r>
    <x v="12"/>
  </r>
  <r>
    <x v="25"/>
  </r>
  <r>
    <x v="104"/>
  </r>
  <r>
    <x v="25"/>
  </r>
  <r>
    <x v="36"/>
  </r>
  <r>
    <x v="63"/>
  </r>
  <r>
    <x v="63"/>
  </r>
  <r>
    <x v="63"/>
  </r>
  <r>
    <x v="46"/>
  </r>
  <r>
    <x v="110"/>
  </r>
  <r>
    <x v="76"/>
  </r>
  <r>
    <x v="113"/>
  </r>
  <r>
    <x v="76"/>
  </r>
  <r>
    <x v="76"/>
  </r>
  <r>
    <x v="48"/>
  </r>
  <r>
    <x v="76"/>
  </r>
  <r>
    <x v="76"/>
  </r>
  <r>
    <x v="82"/>
  </r>
  <r>
    <x v="4"/>
  </r>
  <r>
    <x v="3"/>
  </r>
  <r>
    <x v="0"/>
  </r>
  <r>
    <x v="78"/>
  </r>
  <r>
    <x v="78"/>
  </r>
  <r>
    <x v="78"/>
  </r>
  <r>
    <x v="124"/>
  </r>
  <r>
    <x v="124"/>
  </r>
  <r>
    <x v="83"/>
  </r>
  <r>
    <x v="83"/>
  </r>
  <r>
    <x v="83"/>
  </r>
  <r>
    <x v="83"/>
  </r>
  <r>
    <x v="17"/>
  </r>
  <r>
    <x v="83"/>
  </r>
  <r>
    <x v="23"/>
  </r>
  <r>
    <x v="83"/>
  </r>
  <r>
    <x v="23"/>
  </r>
  <r>
    <x v="80"/>
  </r>
  <r>
    <x v="80"/>
  </r>
  <r>
    <x v="80"/>
  </r>
  <r>
    <x v="44"/>
  </r>
  <r>
    <x v="63"/>
  </r>
  <r>
    <x v="63"/>
  </r>
  <r>
    <x v="3"/>
  </r>
  <r>
    <x v="63"/>
  </r>
  <r>
    <x v="63"/>
  </r>
  <r>
    <x v="63"/>
  </r>
  <r>
    <x v="63"/>
  </r>
  <r>
    <x v="63"/>
  </r>
  <r>
    <x v="63"/>
  </r>
  <r>
    <x v="323"/>
  </r>
  <r>
    <x v="6"/>
  </r>
  <r>
    <x v="6"/>
  </r>
  <r>
    <x v="55"/>
  </r>
  <r>
    <x v="37"/>
  </r>
  <r>
    <x v="6"/>
  </r>
  <r>
    <x v="89"/>
  </r>
  <r>
    <x v="111"/>
  </r>
  <r>
    <x v="37"/>
  </r>
  <r>
    <x v="80"/>
  </r>
  <r>
    <x v="80"/>
  </r>
  <r>
    <x v="80"/>
  </r>
  <r>
    <x v="80"/>
  </r>
  <r>
    <x v="80"/>
  </r>
  <r>
    <x v="80"/>
  </r>
  <r>
    <x v="80"/>
  </r>
  <r>
    <x v="188"/>
  </r>
  <r>
    <x v="90"/>
  </r>
  <r>
    <x v="188"/>
  </r>
  <r>
    <x v="81"/>
  </r>
  <r>
    <x v="48"/>
  </r>
  <r>
    <x v="48"/>
  </r>
  <r>
    <x v="63"/>
  </r>
  <r>
    <x v="63"/>
  </r>
  <r>
    <x v="48"/>
  </r>
  <r>
    <x v="63"/>
  </r>
  <r>
    <x v="63"/>
  </r>
  <r>
    <x v="63"/>
  </r>
  <r>
    <x v="31"/>
  </r>
  <r>
    <x v="100"/>
  </r>
  <r>
    <x v="100"/>
  </r>
  <r>
    <x v="122"/>
  </r>
  <r>
    <x v="81"/>
  </r>
  <r>
    <x v="23"/>
  </r>
  <r>
    <x v="23"/>
  </r>
  <r>
    <x v="23"/>
  </r>
  <r>
    <x v="25"/>
  </r>
  <r>
    <x v="25"/>
  </r>
  <r>
    <x v="25"/>
  </r>
  <r>
    <x v="63"/>
  </r>
  <r>
    <x v="0"/>
  </r>
  <r>
    <x v="93"/>
  </r>
  <r>
    <x v="27"/>
  </r>
  <r>
    <x v="93"/>
  </r>
  <r>
    <x v="93"/>
  </r>
  <r>
    <x v="117"/>
  </r>
  <r>
    <x v="25"/>
  </r>
  <r>
    <x v="25"/>
  </r>
  <r>
    <x v="25"/>
  </r>
  <r>
    <x v="25"/>
  </r>
  <r>
    <x v="25"/>
  </r>
  <r>
    <x v="0"/>
  </r>
  <r>
    <x v="78"/>
  </r>
  <r>
    <x v="27"/>
  </r>
  <r>
    <x v="8"/>
  </r>
  <r>
    <x v="112"/>
  </r>
  <r>
    <x v="0"/>
  </r>
  <r>
    <x v="12"/>
  </r>
  <r>
    <x v="12"/>
  </r>
  <r>
    <x v="78"/>
  </r>
  <r>
    <x v="78"/>
  </r>
  <r>
    <x v="8"/>
  </r>
  <r>
    <x v="8"/>
  </r>
  <r>
    <x v="106"/>
  </r>
  <r>
    <x v="10"/>
  </r>
  <r>
    <x v="10"/>
  </r>
  <r>
    <x v="12"/>
  </r>
  <r>
    <x v="10"/>
  </r>
  <r>
    <x v="76"/>
  </r>
  <r>
    <x v="17"/>
  </r>
  <r>
    <x v="17"/>
  </r>
  <r>
    <x v="17"/>
  </r>
  <r>
    <x v="8"/>
  </r>
  <r>
    <x v="8"/>
  </r>
  <r>
    <x v="48"/>
  </r>
  <r>
    <x v="112"/>
  </r>
  <r>
    <x v="37"/>
  </r>
  <r>
    <x v="32"/>
  </r>
  <r>
    <x v="87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22"/>
  </r>
  <r>
    <x v="23"/>
  </r>
  <r>
    <x v="23"/>
  </r>
  <r>
    <x v="323"/>
  </r>
  <r>
    <x v="72"/>
  </r>
  <r>
    <x v="112"/>
  </r>
  <r>
    <x v="14"/>
  </r>
  <r>
    <x v="72"/>
  </r>
  <r>
    <x v="11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76"/>
  </r>
  <r>
    <x v="72"/>
  </r>
  <r>
    <x v="111"/>
  </r>
  <r>
    <x v="72"/>
  </r>
  <r>
    <x v="23"/>
  </r>
  <r>
    <x v="23"/>
  </r>
  <r>
    <x v="111"/>
  </r>
  <r>
    <x v="0"/>
  </r>
  <r>
    <x v="78"/>
  </r>
  <r>
    <x v="111"/>
  </r>
  <r>
    <x v="56"/>
  </r>
  <r>
    <x v="25"/>
  </r>
  <r>
    <x v="25"/>
  </r>
  <r>
    <x v="25"/>
  </r>
  <r>
    <x v="25"/>
  </r>
  <r>
    <x v="25"/>
  </r>
  <r>
    <x v="111"/>
  </r>
  <r>
    <x v="12"/>
  </r>
  <r>
    <x v="12"/>
  </r>
  <r>
    <x v="12"/>
  </r>
  <r>
    <x v="149"/>
  </r>
  <r>
    <x v="25"/>
  </r>
  <r>
    <x v="25"/>
  </r>
  <r>
    <x v="111"/>
  </r>
  <r>
    <x v="82"/>
  </r>
  <r>
    <x v="25"/>
  </r>
  <r>
    <x v="25"/>
  </r>
  <r>
    <x v="36"/>
  </r>
  <r>
    <x v="25"/>
  </r>
  <r>
    <x v="88"/>
  </r>
  <r>
    <x v="25"/>
  </r>
  <r>
    <x v="25"/>
  </r>
  <r>
    <x v="99"/>
  </r>
  <r>
    <x v="78"/>
  </r>
  <r>
    <x v="78"/>
  </r>
  <r>
    <x v="78"/>
  </r>
  <r>
    <x v="23"/>
  </r>
  <r>
    <x v="4"/>
  </r>
  <r>
    <x v="2"/>
  </r>
  <r>
    <x v="28"/>
  </r>
  <r>
    <x v="130"/>
  </r>
  <r>
    <x v="12"/>
  </r>
  <r>
    <x v="24"/>
  </r>
  <r>
    <x v="14"/>
  </r>
  <r>
    <x v="14"/>
  </r>
  <r>
    <x v="0"/>
  </r>
  <r>
    <x v="25"/>
  </r>
  <r>
    <x v="25"/>
  </r>
  <r>
    <x v="25"/>
  </r>
  <r>
    <x v="25"/>
  </r>
  <r>
    <x v="0"/>
  </r>
  <r>
    <x v="0"/>
  </r>
  <r>
    <x v="129"/>
  </r>
  <r>
    <x v="55"/>
  </r>
  <r>
    <x v="82"/>
  </r>
  <r>
    <x v="25"/>
  </r>
  <r>
    <x v="82"/>
  </r>
  <r>
    <x v="72"/>
  </r>
  <r>
    <x v="25"/>
  </r>
  <r>
    <x v="25"/>
  </r>
  <r>
    <x v="25"/>
  </r>
  <r>
    <x v="25"/>
  </r>
  <r>
    <x v="25"/>
  </r>
  <r>
    <x v="25"/>
  </r>
  <r>
    <x v="25"/>
  </r>
  <r>
    <x v="72"/>
  </r>
  <r>
    <x v="82"/>
  </r>
  <r>
    <x v="72"/>
  </r>
  <r>
    <x v="12"/>
  </r>
  <r>
    <x v="78"/>
  </r>
  <r>
    <x v="57"/>
  </r>
  <r>
    <x v="57"/>
  </r>
  <r>
    <x v="25"/>
  </r>
  <r>
    <x v="25"/>
  </r>
  <r>
    <x v="25"/>
  </r>
  <r>
    <x v="72"/>
  </r>
  <r>
    <x v="25"/>
  </r>
  <r>
    <x v="25"/>
  </r>
  <r>
    <x v="25"/>
  </r>
  <r>
    <x v="25"/>
  </r>
  <r>
    <x v="72"/>
  </r>
  <r>
    <x v="72"/>
  </r>
  <r>
    <x v="76"/>
  </r>
  <r>
    <x v="25"/>
  </r>
  <r>
    <x v="72"/>
  </r>
  <r>
    <x v="0"/>
  </r>
  <r>
    <x v="0"/>
  </r>
  <r>
    <x v="25"/>
  </r>
  <r>
    <x v="14"/>
  </r>
  <r>
    <x v="25"/>
  </r>
  <r>
    <x v="81"/>
  </r>
  <r>
    <x v="25"/>
  </r>
  <r>
    <x v="25"/>
  </r>
  <r>
    <x v="76"/>
  </r>
  <r>
    <x v="72"/>
  </r>
  <r>
    <x v="25"/>
  </r>
  <r>
    <x v="76"/>
  </r>
  <r>
    <x v="76"/>
  </r>
  <r>
    <x v="0"/>
  </r>
  <r>
    <x v="113"/>
  </r>
  <r>
    <x v="113"/>
  </r>
  <r>
    <x v="0"/>
  </r>
  <r>
    <x v="57"/>
  </r>
  <r>
    <x v="57"/>
  </r>
  <r>
    <x v="108"/>
  </r>
  <r>
    <x v="14"/>
  </r>
  <r>
    <x v="14"/>
  </r>
  <r>
    <x v="82"/>
  </r>
  <r>
    <x v="72"/>
  </r>
  <r>
    <x v="78"/>
  </r>
  <r>
    <x v="0"/>
  </r>
  <r>
    <x v="25"/>
  </r>
  <r>
    <x v="25"/>
  </r>
  <r>
    <x v="78"/>
  </r>
  <r>
    <x v="78"/>
  </r>
  <r>
    <x v="25"/>
  </r>
  <r>
    <x v="25"/>
  </r>
  <r>
    <x v="25"/>
  </r>
  <r>
    <x v="128"/>
  </r>
  <r>
    <x v="0"/>
  </r>
  <r>
    <x v="0"/>
  </r>
  <r>
    <x v="57"/>
  </r>
  <r>
    <x v="25"/>
  </r>
  <r>
    <x v="79"/>
  </r>
  <r>
    <x v="57"/>
  </r>
  <r>
    <x v="10"/>
  </r>
  <r>
    <x v="57"/>
  </r>
  <r>
    <x v="3"/>
  </r>
  <r>
    <x v="3"/>
  </r>
  <r>
    <x v="3"/>
  </r>
  <r>
    <x v="3"/>
  </r>
  <r>
    <x v="82"/>
  </r>
  <r>
    <x v="57"/>
  </r>
  <r>
    <x v="25"/>
  </r>
  <r>
    <x v="14"/>
  </r>
  <r>
    <x v="10"/>
  </r>
  <r>
    <x v="23"/>
  </r>
  <r>
    <x v="23"/>
  </r>
  <r>
    <x v="46"/>
  </r>
  <r>
    <x v="110"/>
  </r>
  <r>
    <x v="82"/>
  </r>
  <r>
    <x v="72"/>
  </r>
  <r>
    <x v="72"/>
  </r>
  <r>
    <x v="25"/>
  </r>
  <r>
    <x v="25"/>
  </r>
  <r>
    <x v="82"/>
  </r>
  <r>
    <x v="25"/>
  </r>
  <r>
    <x v="76"/>
  </r>
  <r>
    <x v="104"/>
  </r>
  <r>
    <x v="25"/>
  </r>
  <r>
    <x v="25"/>
  </r>
  <r>
    <x v="25"/>
  </r>
  <r>
    <x v="25"/>
  </r>
  <r>
    <x v="12"/>
  </r>
  <r>
    <x v="72"/>
  </r>
  <r>
    <x v="29"/>
  </r>
  <r>
    <x v="83"/>
  </r>
  <r>
    <x v="32"/>
  </r>
  <r>
    <x v="32"/>
  </r>
  <r>
    <x v="27"/>
  </r>
  <r>
    <x v="56"/>
  </r>
  <r>
    <x v="37"/>
  </r>
  <r>
    <x v="16"/>
  </r>
  <r>
    <x v="16"/>
  </r>
  <r>
    <x v="56"/>
  </r>
  <r>
    <x v="56"/>
  </r>
  <r>
    <x v="56"/>
  </r>
  <r>
    <x v="56"/>
  </r>
  <r>
    <x v="56"/>
  </r>
  <r>
    <x v="56"/>
  </r>
  <r>
    <x v="56"/>
  </r>
  <r>
    <x v="32"/>
  </r>
  <r>
    <x v="27"/>
  </r>
  <r>
    <x v="27"/>
  </r>
  <r>
    <x v="100"/>
  </r>
  <r>
    <x v="100"/>
  </r>
  <r>
    <x v="87"/>
  </r>
  <r>
    <x v="31"/>
  </r>
  <r>
    <x v="31"/>
  </r>
  <r>
    <x v="31"/>
  </r>
  <r>
    <x v="31"/>
  </r>
  <r>
    <x v="134"/>
  </r>
  <r>
    <x v="134"/>
  </r>
  <r>
    <x v="155"/>
  </r>
  <r>
    <x v="31"/>
  </r>
  <r>
    <x v="31"/>
  </r>
  <r>
    <x v="31"/>
  </r>
  <r>
    <x v="10"/>
  </r>
  <r>
    <x v="102"/>
  </r>
  <r>
    <x v="56"/>
  </r>
  <r>
    <x v="56"/>
  </r>
  <r>
    <x v="56"/>
  </r>
  <r>
    <x v="56"/>
  </r>
  <r>
    <x v="56"/>
  </r>
  <r>
    <x v="56"/>
  </r>
  <r>
    <x v="56"/>
  </r>
  <r>
    <x v="46"/>
  </r>
  <r>
    <x v="25"/>
  </r>
  <r>
    <x v="25"/>
  </r>
  <r>
    <x v="25"/>
  </r>
  <r>
    <x v="25"/>
  </r>
  <r>
    <x v="25"/>
  </r>
  <r>
    <x v="25"/>
  </r>
  <r>
    <x v="25"/>
  </r>
  <r>
    <x v="25"/>
  </r>
  <r>
    <x v="78"/>
  </r>
  <r>
    <x v="105"/>
  </r>
  <r>
    <x v="76"/>
  </r>
  <r>
    <x v="76"/>
  </r>
  <r>
    <x v="26"/>
  </r>
  <r>
    <x v="76"/>
  </r>
  <r>
    <x v="76"/>
  </r>
  <r>
    <x v="48"/>
  </r>
  <r>
    <x v="45"/>
  </r>
  <r>
    <x v="117"/>
  </r>
  <r>
    <x v="26"/>
  </r>
  <r>
    <x v="324"/>
  </r>
  <r>
    <x v="82"/>
  </r>
  <r>
    <x v="248"/>
  </r>
  <r>
    <x v="46"/>
  </r>
  <r>
    <x v="204"/>
  </r>
  <r>
    <x v="95"/>
  </r>
  <r>
    <x v="27"/>
  </r>
  <r>
    <x v="27"/>
  </r>
  <r>
    <x v="27"/>
  </r>
  <r>
    <x v="215"/>
  </r>
  <r>
    <x v="87"/>
  </r>
  <r>
    <x v="216"/>
  </r>
  <r>
    <x v="85"/>
  </r>
  <r>
    <x v="87"/>
  </r>
  <r>
    <x v="32"/>
  </r>
  <r>
    <x v="76"/>
  </r>
  <r>
    <x v="76"/>
  </r>
  <r>
    <x v="25"/>
  </r>
  <r>
    <x v="72"/>
  </r>
  <r>
    <x v="31"/>
  </r>
  <r>
    <x v="182"/>
  </r>
  <r>
    <x v="83"/>
  </r>
  <r>
    <x v="83"/>
  </r>
  <r>
    <x v="14"/>
  </r>
  <r>
    <x v="112"/>
  </r>
  <r>
    <x v="20"/>
  </r>
  <r>
    <x v="20"/>
  </r>
  <r>
    <x v="119"/>
  </r>
  <r>
    <x v="154"/>
  </r>
  <r>
    <x v="82"/>
  </r>
  <r>
    <x v="83"/>
  </r>
  <r>
    <x v="325"/>
  </r>
  <r>
    <x v="57"/>
  </r>
  <r>
    <x v="82"/>
  </r>
  <r>
    <x v="326"/>
  </r>
  <r>
    <x v="10"/>
  </r>
  <r>
    <x v="10"/>
  </r>
  <r>
    <x v="10"/>
  </r>
  <r>
    <x v="0"/>
  </r>
  <r>
    <x v="0"/>
  </r>
  <r>
    <x v="25"/>
  </r>
  <r>
    <x v="25"/>
  </r>
  <r>
    <x v="31"/>
  </r>
  <r>
    <x v="31"/>
  </r>
  <r>
    <x v="31"/>
  </r>
  <r>
    <x v="32"/>
  </r>
  <r>
    <x v="76"/>
  </r>
  <r>
    <x v="76"/>
  </r>
  <r>
    <x v="76"/>
  </r>
  <r>
    <x v="76"/>
  </r>
  <r>
    <x v="76"/>
  </r>
  <r>
    <x v="16"/>
  </r>
  <r>
    <x v="21"/>
  </r>
  <r>
    <x v="21"/>
  </r>
  <r>
    <x v="124"/>
  </r>
  <r>
    <x v="124"/>
  </r>
  <r>
    <x v="124"/>
  </r>
  <r>
    <x v="124"/>
  </r>
  <r>
    <x v="205"/>
  </r>
  <r>
    <x v="25"/>
  </r>
  <r>
    <x v="25"/>
  </r>
  <r>
    <x v="25"/>
  </r>
  <r>
    <x v="25"/>
  </r>
  <r>
    <x v="56"/>
  </r>
  <r>
    <x v="56"/>
  </r>
  <r>
    <x v="25"/>
  </r>
  <r>
    <x v="25"/>
  </r>
  <r>
    <x v="28"/>
  </r>
  <r>
    <x v="72"/>
  </r>
  <r>
    <x v="7"/>
  </r>
  <r>
    <x v="72"/>
  </r>
  <r>
    <x v="42"/>
  </r>
  <r>
    <x v="327"/>
  </r>
  <r>
    <x v="327"/>
  </r>
  <r>
    <x v="7"/>
  </r>
  <r>
    <x v="100"/>
  </r>
  <r>
    <x v="48"/>
  </r>
  <r>
    <x v="59"/>
  </r>
  <r>
    <x v="0"/>
  </r>
  <r>
    <x v="31"/>
  </r>
  <r>
    <x v="31"/>
  </r>
  <r>
    <x v="100"/>
  </r>
  <r>
    <x v="121"/>
  </r>
  <r>
    <x v="20"/>
  </r>
  <r>
    <x v="68"/>
  </r>
  <r>
    <x v="59"/>
  </r>
  <r>
    <x v="48"/>
  </r>
  <r>
    <x v="89"/>
  </r>
  <r>
    <x v="115"/>
  </r>
  <r>
    <x v="83"/>
  </r>
  <r>
    <x v="182"/>
  </r>
  <r>
    <x v="10"/>
  </r>
  <r>
    <x v="48"/>
  </r>
  <r>
    <x v="10"/>
  </r>
  <r>
    <x v="10"/>
  </r>
  <r>
    <x v="48"/>
  </r>
  <r>
    <x v="10"/>
  </r>
  <r>
    <x v="328"/>
  </r>
  <r>
    <x v="10"/>
  </r>
  <r>
    <x v="10"/>
  </r>
  <r>
    <x v="10"/>
  </r>
  <r>
    <x v="328"/>
  </r>
  <r>
    <x v="328"/>
  </r>
  <r>
    <x v="48"/>
  </r>
  <r>
    <x v="204"/>
  </r>
  <r>
    <x v="79"/>
  </r>
  <r>
    <x v="79"/>
  </r>
  <r>
    <x v="79"/>
  </r>
  <r>
    <x v="34"/>
  </r>
  <r>
    <x v="24"/>
  </r>
  <r>
    <x v="46"/>
  </r>
  <r>
    <x v="31"/>
  </r>
  <r>
    <x v="99"/>
  </r>
  <r>
    <x v="112"/>
  </r>
  <r>
    <x v="182"/>
  </r>
  <r>
    <x v="44"/>
  </r>
  <r>
    <x v="2"/>
  </r>
  <r>
    <x v="112"/>
  </r>
  <r>
    <x v="182"/>
  </r>
  <r>
    <x v="128"/>
  </r>
  <r>
    <x v="128"/>
  </r>
  <r>
    <x v="27"/>
  </r>
  <r>
    <x v="27"/>
  </r>
  <r>
    <x v="27"/>
  </r>
  <r>
    <x v="22"/>
  </r>
  <r>
    <x v="79"/>
  </r>
  <r>
    <x v="31"/>
  </r>
  <r>
    <x v="110"/>
  </r>
  <r>
    <x v="45"/>
  </r>
  <r>
    <x v="63"/>
  </r>
  <r>
    <x v="63"/>
  </r>
  <r>
    <x v="45"/>
  </r>
  <r>
    <x v="128"/>
  </r>
  <r>
    <x v="52"/>
  </r>
  <r>
    <x v="93"/>
  </r>
  <r>
    <x v="93"/>
  </r>
  <r>
    <x v="78"/>
  </r>
  <r>
    <x v="93"/>
  </r>
  <r>
    <x v="93"/>
  </r>
  <r>
    <x v="219"/>
  </r>
  <r>
    <x v="25"/>
  </r>
  <r>
    <x v="79"/>
  </r>
  <r>
    <x v="112"/>
  </r>
  <r>
    <x v="31"/>
  </r>
  <r>
    <x v="44"/>
  </r>
  <r>
    <x v="329"/>
  </r>
  <r>
    <x v="10"/>
  </r>
  <r>
    <x v="34"/>
  </r>
  <r>
    <x v="34"/>
  </r>
  <r>
    <x v="81"/>
  </r>
  <r>
    <x v="81"/>
  </r>
  <r>
    <x v="6"/>
  </r>
  <r>
    <x v="31"/>
  </r>
  <r>
    <x v="82"/>
  </r>
  <r>
    <x v="46"/>
  </r>
  <r>
    <x v="111"/>
  </r>
  <r>
    <x v="126"/>
  </r>
  <r>
    <x v="330"/>
  </r>
  <r>
    <x v="331"/>
  </r>
  <r>
    <x v="201"/>
  </r>
  <r>
    <x v="201"/>
  </r>
  <r>
    <x v="10"/>
  </r>
  <r>
    <x v="25"/>
  </r>
  <r>
    <x v="328"/>
  </r>
  <r>
    <x v="82"/>
  </r>
  <r>
    <x v="7"/>
  </r>
  <r>
    <x v="25"/>
  </r>
  <r>
    <x v="25"/>
  </r>
  <r>
    <x v="25"/>
  </r>
  <r>
    <x v="23"/>
  </r>
  <r>
    <x v="25"/>
  </r>
  <r>
    <x v="182"/>
  </r>
  <r>
    <x v="332"/>
  </r>
  <r>
    <x v="99"/>
  </r>
  <r>
    <x v="108"/>
  </r>
  <r>
    <x v="82"/>
  </r>
  <r>
    <x v="31"/>
  </r>
  <r>
    <x v="6"/>
  </r>
  <r>
    <x v="25"/>
  </r>
  <r>
    <x v="25"/>
  </r>
  <r>
    <x v="82"/>
  </r>
  <r>
    <x v="10"/>
  </r>
  <r>
    <x v="82"/>
  </r>
  <r>
    <x v="14"/>
  </r>
  <r>
    <x v="14"/>
  </r>
  <r>
    <x v="76"/>
  </r>
  <r>
    <x v="76"/>
  </r>
  <r>
    <x v="25"/>
  </r>
  <r>
    <x v="25"/>
  </r>
  <r>
    <x v="29"/>
  </r>
  <r>
    <x v="25"/>
  </r>
  <r>
    <x v="25"/>
  </r>
  <r>
    <x v="25"/>
  </r>
  <r>
    <x v="32"/>
  </r>
  <r>
    <x v="25"/>
  </r>
  <r>
    <x v="76"/>
  </r>
  <r>
    <x v="14"/>
  </r>
  <r>
    <x v="25"/>
  </r>
  <r>
    <x v="14"/>
  </r>
  <r>
    <x v="218"/>
  </r>
  <r>
    <x v="76"/>
  </r>
  <r>
    <x v="76"/>
  </r>
  <r>
    <x v="22"/>
  </r>
  <r>
    <x v="10"/>
  </r>
  <r>
    <x v="22"/>
  </r>
  <r>
    <x v="31"/>
  </r>
  <r>
    <x v="56"/>
  </r>
  <r>
    <x v="77"/>
  </r>
  <r>
    <x v="204"/>
  </r>
  <r>
    <x v="56"/>
  </r>
  <r>
    <x v="56"/>
  </r>
  <r>
    <x v="113"/>
  </r>
  <r>
    <x v="78"/>
  </r>
  <r>
    <x v="78"/>
  </r>
  <r>
    <x v="10"/>
  </r>
  <r>
    <x v="10"/>
  </r>
  <r>
    <x v="10"/>
  </r>
  <r>
    <x v="10"/>
  </r>
  <r>
    <x v="85"/>
  </r>
  <r>
    <x v="2"/>
  </r>
  <r>
    <x v="2"/>
  </r>
  <r>
    <x v="2"/>
  </r>
  <r>
    <x v="2"/>
  </r>
  <r>
    <x v="17"/>
  </r>
  <r>
    <x v="25"/>
  </r>
  <r>
    <x v="85"/>
  </r>
  <r>
    <x v="25"/>
  </r>
  <r>
    <x v="10"/>
  </r>
  <r>
    <x v="85"/>
  </r>
  <r>
    <x v="32"/>
  </r>
  <r>
    <x v="31"/>
  </r>
  <r>
    <x v="25"/>
  </r>
  <r>
    <x v="82"/>
  </r>
  <r>
    <x v="76"/>
  </r>
  <r>
    <x v="76"/>
  </r>
  <r>
    <x v="23"/>
  </r>
  <r>
    <x v="83"/>
  </r>
  <r>
    <x v="83"/>
  </r>
  <r>
    <x v="31"/>
  </r>
  <r>
    <x v="134"/>
  </r>
  <r>
    <x v="134"/>
  </r>
  <r>
    <x v="134"/>
  </r>
  <r>
    <x v="134"/>
  </r>
  <r>
    <x v="134"/>
  </r>
  <r>
    <x v="134"/>
  </r>
  <r>
    <x v="93"/>
  </r>
  <r>
    <x v="93"/>
  </r>
  <r>
    <x v="82"/>
  </r>
  <r>
    <x v="177"/>
  </r>
  <r>
    <x v="76"/>
  </r>
  <r>
    <x v="25"/>
  </r>
  <r>
    <x v="93"/>
  </r>
  <r>
    <x v="93"/>
  </r>
  <r>
    <x v="93"/>
  </r>
  <r>
    <x v="93"/>
  </r>
  <r>
    <x v="76"/>
  </r>
  <r>
    <x v="93"/>
  </r>
  <r>
    <x v="93"/>
  </r>
  <r>
    <x v="93"/>
  </r>
  <r>
    <x v="81"/>
  </r>
  <r>
    <x v="64"/>
  </r>
  <r>
    <x v="93"/>
  </r>
  <r>
    <x v="93"/>
  </r>
  <r>
    <x v="227"/>
  </r>
  <r>
    <x v="56"/>
  </r>
  <r>
    <x v="78"/>
  </r>
  <r>
    <x v="86"/>
  </r>
  <r>
    <x v="81"/>
  </r>
  <r>
    <x v="82"/>
  </r>
  <r>
    <x v="10"/>
  </r>
  <r>
    <x v="10"/>
  </r>
  <r>
    <x v="10"/>
  </r>
  <r>
    <x v="264"/>
  </r>
  <r>
    <x v="10"/>
  </r>
  <r>
    <x v="32"/>
  </r>
  <r>
    <x v="55"/>
  </r>
  <r>
    <x v="3"/>
  </r>
  <r>
    <x v="155"/>
  </r>
  <r>
    <x v="122"/>
  </r>
  <r>
    <x v="91"/>
  </r>
  <r>
    <x v="122"/>
  </r>
  <r>
    <x v="2"/>
  </r>
  <r>
    <x v="133"/>
  </r>
  <r>
    <x v="133"/>
  </r>
  <r>
    <x v="14"/>
  </r>
  <r>
    <x v="14"/>
  </r>
  <r>
    <x v="25"/>
  </r>
  <r>
    <x v="86"/>
  </r>
  <r>
    <x v="7"/>
  </r>
  <r>
    <x v="333"/>
  </r>
  <r>
    <x v="333"/>
  </r>
  <r>
    <x v="83"/>
  </r>
  <r>
    <x v="127"/>
  </r>
  <r>
    <x v="133"/>
  </r>
  <r>
    <x v="91"/>
  </r>
  <r>
    <x v="31"/>
  </r>
  <r>
    <x v="91"/>
  </r>
  <r>
    <x v="83"/>
  </r>
  <r>
    <x v="127"/>
  </r>
  <r>
    <x v="14"/>
  </r>
  <r>
    <x v="46"/>
  </r>
  <r>
    <x v="10"/>
  </r>
  <r>
    <x v="10"/>
  </r>
  <r>
    <x v="113"/>
  </r>
  <r>
    <x v="155"/>
  </r>
  <r>
    <x v="10"/>
  </r>
  <r>
    <x v="24"/>
  </r>
  <r>
    <x v="24"/>
  </r>
  <r>
    <x v="72"/>
  </r>
  <r>
    <x v="86"/>
  </r>
  <r>
    <x v="154"/>
  </r>
  <r>
    <x v="85"/>
  </r>
  <r>
    <x v="29"/>
  </r>
  <r>
    <x v="82"/>
  </r>
  <r>
    <x v="52"/>
  </r>
  <r>
    <x v="30"/>
  </r>
  <r>
    <x v="83"/>
  </r>
  <r>
    <x v="83"/>
  </r>
  <r>
    <x v="83"/>
  </r>
  <r>
    <x v="25"/>
  </r>
  <r>
    <x v="105"/>
  </r>
  <r>
    <x v="52"/>
  </r>
  <r>
    <x v="119"/>
  </r>
  <r>
    <x v="216"/>
  </r>
  <r>
    <x v="82"/>
  </r>
  <r>
    <x v="25"/>
  </r>
  <r>
    <x v="82"/>
  </r>
  <r>
    <x v="52"/>
  </r>
  <r>
    <x v="126"/>
  </r>
  <r>
    <x v="208"/>
  </r>
  <r>
    <x v="24"/>
  </r>
  <r>
    <x v="72"/>
  </r>
  <r>
    <x v="7"/>
  </r>
  <r>
    <x v="7"/>
  </r>
  <r>
    <x v="216"/>
  </r>
  <r>
    <x v="111"/>
  </r>
  <r>
    <x v="10"/>
  </r>
  <r>
    <x v="10"/>
  </r>
  <r>
    <x v="10"/>
  </r>
  <r>
    <x v="10"/>
  </r>
  <r>
    <x v="10"/>
  </r>
  <r>
    <x v="10"/>
  </r>
  <r>
    <x v="0"/>
  </r>
  <r>
    <x v="182"/>
  </r>
  <r>
    <x v="76"/>
  </r>
  <r>
    <x v="82"/>
  </r>
  <r>
    <x v="76"/>
  </r>
  <r>
    <x v="25"/>
  </r>
  <r>
    <x v="25"/>
  </r>
  <r>
    <x v="76"/>
  </r>
  <r>
    <x v="76"/>
  </r>
  <r>
    <x v="76"/>
  </r>
  <r>
    <x v="24"/>
  </r>
  <r>
    <x v="82"/>
  </r>
  <r>
    <x v="10"/>
  </r>
  <r>
    <x v="212"/>
  </r>
  <r>
    <x v="10"/>
  </r>
  <r>
    <x v="31"/>
  </r>
  <r>
    <x v="86"/>
  </r>
  <r>
    <x v="119"/>
  </r>
  <r>
    <x v="10"/>
  </r>
  <r>
    <x v="81"/>
  </r>
  <r>
    <x v="82"/>
  </r>
  <r>
    <x v="63"/>
  </r>
  <r>
    <x v="14"/>
  </r>
  <r>
    <x v="94"/>
  </r>
  <r>
    <x v="78"/>
  </r>
  <r>
    <x v="82"/>
  </r>
  <r>
    <x v="119"/>
  </r>
  <r>
    <x v="12"/>
  </r>
  <r>
    <x v="216"/>
  </r>
  <r>
    <x v="10"/>
  </r>
  <r>
    <x v="127"/>
  </r>
  <r>
    <x v="76"/>
  </r>
  <r>
    <x v="45"/>
  </r>
  <r>
    <x v="14"/>
  </r>
  <r>
    <x v="14"/>
  </r>
  <r>
    <x v="218"/>
  </r>
  <r>
    <x v="10"/>
  </r>
  <r>
    <x v="10"/>
  </r>
  <r>
    <x v="143"/>
  </r>
  <r>
    <x v="82"/>
  </r>
  <r>
    <x v="34"/>
  </r>
  <r>
    <x v="334"/>
  </r>
  <r>
    <x v="227"/>
  </r>
  <r>
    <x v="24"/>
  </r>
  <r>
    <x v="72"/>
  </r>
  <r>
    <x v="24"/>
  </r>
  <r>
    <x v="77"/>
  </r>
  <r>
    <x v="24"/>
  </r>
  <r>
    <x v="98"/>
  </r>
  <r>
    <x v="45"/>
  </r>
  <r>
    <x v="102"/>
  </r>
  <r>
    <x v="86"/>
  </r>
  <r>
    <x v="81"/>
  </r>
  <r>
    <x v="12"/>
  </r>
  <r>
    <x v="131"/>
  </r>
  <r>
    <x v="25"/>
  </r>
  <r>
    <x v="125"/>
  </r>
  <r>
    <x v="63"/>
  </r>
  <r>
    <x v="10"/>
  </r>
  <r>
    <x v="103"/>
  </r>
  <r>
    <x v="86"/>
  </r>
  <r>
    <x v="78"/>
  </r>
  <r>
    <x v="78"/>
  </r>
  <r>
    <x v="78"/>
  </r>
  <r>
    <x v="78"/>
  </r>
  <r>
    <x v="103"/>
  </r>
  <r>
    <x v="125"/>
  </r>
  <r>
    <x v="102"/>
  </r>
  <r>
    <x v="24"/>
  </r>
  <r>
    <x v="320"/>
  </r>
  <r>
    <x v="41"/>
  </r>
  <r>
    <x v="6"/>
  </r>
  <r>
    <x v="24"/>
  </r>
  <r>
    <x v="36"/>
  </r>
  <r>
    <x v="90"/>
  </r>
  <r>
    <x v="187"/>
  </r>
  <r>
    <x v="103"/>
  </r>
  <r>
    <x v="103"/>
  </r>
  <r>
    <x v="48"/>
  </r>
  <r>
    <x v="63"/>
  </r>
  <r>
    <x v="7"/>
  </r>
  <r>
    <x v="82"/>
  </r>
  <r>
    <x v="82"/>
  </r>
  <r>
    <x v="320"/>
  </r>
  <r>
    <x v="48"/>
  </r>
  <r>
    <x v="25"/>
  </r>
  <r>
    <x v="79"/>
  </r>
  <r>
    <x v="93"/>
  </r>
  <r>
    <x v="12"/>
  </r>
  <r>
    <x v="12"/>
  </r>
  <r>
    <x v="12"/>
  </r>
  <r>
    <x v="12"/>
  </r>
  <r>
    <x v="12"/>
  </r>
  <r>
    <x v="24"/>
  </r>
  <r>
    <x v="24"/>
  </r>
  <r>
    <x v="3"/>
  </r>
  <r>
    <x v="46"/>
  </r>
  <r>
    <x v="87"/>
  </r>
  <r>
    <x v="72"/>
  </r>
  <r>
    <x v="86"/>
  </r>
  <r>
    <x v="86"/>
  </r>
  <r>
    <x v="0"/>
  </r>
  <r>
    <x v="111"/>
  </r>
  <r>
    <x v="25"/>
  </r>
  <r>
    <x v="31"/>
  </r>
  <r>
    <x v="31"/>
  </r>
  <r>
    <x v="100"/>
  </r>
  <r>
    <x v="25"/>
  </r>
  <r>
    <x v="0"/>
  </r>
  <r>
    <x v="10"/>
  </r>
  <r>
    <x v="17"/>
  </r>
  <r>
    <x v="143"/>
  </r>
  <r>
    <x v="154"/>
  </r>
  <r>
    <x v="82"/>
  </r>
  <r>
    <x v="76"/>
  </r>
  <r>
    <x v="94"/>
  </r>
  <r>
    <x v="20"/>
  </r>
  <r>
    <x v="25"/>
  </r>
  <r>
    <x v="93"/>
  </r>
  <r>
    <x v="48"/>
  </r>
  <r>
    <x v="10"/>
  </r>
  <r>
    <x v="10"/>
  </r>
  <r>
    <x v="10"/>
  </r>
  <r>
    <x v="10"/>
  </r>
  <r>
    <x v="10"/>
  </r>
  <r>
    <x v="10"/>
  </r>
  <r>
    <x v="48"/>
  </r>
  <r>
    <x v="10"/>
  </r>
  <r>
    <x v="10"/>
  </r>
  <r>
    <x v="10"/>
  </r>
  <r>
    <x v="10"/>
  </r>
  <r>
    <x v="48"/>
  </r>
  <r>
    <x v="22"/>
  </r>
  <r>
    <x v="22"/>
  </r>
  <r>
    <x v="174"/>
  </r>
  <r>
    <x v="52"/>
  </r>
  <r>
    <x v="76"/>
  </r>
  <r>
    <x v="29"/>
  </r>
  <r>
    <x v="29"/>
  </r>
  <r>
    <x v="102"/>
  </r>
  <r>
    <x v="29"/>
  </r>
  <r>
    <x v="29"/>
  </r>
  <r>
    <x v="29"/>
  </r>
  <r>
    <x v="25"/>
  </r>
  <r>
    <x v="25"/>
  </r>
  <r>
    <x v="25"/>
  </r>
  <r>
    <x v="25"/>
  </r>
  <r>
    <x v="25"/>
  </r>
  <r>
    <x v="25"/>
  </r>
  <r>
    <x v="12"/>
  </r>
  <r>
    <x v="12"/>
  </r>
  <r>
    <x v="29"/>
  </r>
  <r>
    <x v="82"/>
  </r>
  <r>
    <x v="12"/>
  </r>
  <r>
    <x v="72"/>
  </r>
  <r>
    <x v="72"/>
  </r>
  <r>
    <x v="72"/>
  </r>
  <r>
    <x v="72"/>
  </r>
  <r>
    <x v="25"/>
  </r>
  <r>
    <x v="25"/>
  </r>
  <r>
    <x v="12"/>
  </r>
  <r>
    <x v="82"/>
  </r>
  <r>
    <x v="82"/>
  </r>
  <r>
    <x v="12"/>
  </r>
  <r>
    <x v="108"/>
  </r>
  <r>
    <x v="25"/>
  </r>
  <r>
    <x v="25"/>
  </r>
  <r>
    <x v="25"/>
  </r>
  <r>
    <x v="0"/>
  </r>
  <r>
    <x v="0"/>
  </r>
  <r>
    <x v="31"/>
  </r>
  <r>
    <x v="25"/>
  </r>
  <r>
    <x v="25"/>
  </r>
  <r>
    <x v="76"/>
  </r>
  <r>
    <x v="232"/>
  </r>
  <r>
    <x v="0"/>
  </r>
  <r>
    <x v="0"/>
  </r>
  <r>
    <x v="14"/>
  </r>
  <r>
    <x v="25"/>
  </r>
  <r>
    <x v="106"/>
  </r>
  <r>
    <x v="250"/>
  </r>
  <r>
    <x v="76"/>
  </r>
  <r>
    <x v="115"/>
  </r>
  <r>
    <x v="86"/>
  </r>
  <r>
    <x v="86"/>
  </r>
  <r>
    <x v="115"/>
  </r>
  <r>
    <x v="42"/>
  </r>
  <r>
    <x v="335"/>
  </r>
  <r>
    <x v="21"/>
  </r>
  <r>
    <x v="336"/>
  </r>
  <r>
    <x v="10"/>
  </r>
  <r>
    <x v="31"/>
  </r>
  <r>
    <x v="82"/>
  </r>
  <r>
    <x v="76"/>
  </r>
  <r>
    <x v="76"/>
  </r>
  <r>
    <x v="76"/>
  </r>
  <r>
    <x v="76"/>
  </r>
  <r>
    <x v="76"/>
  </r>
  <r>
    <x v="25"/>
  </r>
  <r>
    <x v="76"/>
  </r>
  <r>
    <x v="76"/>
  </r>
  <r>
    <x v="337"/>
  </r>
  <r>
    <x v="57"/>
  </r>
  <r>
    <x v="0"/>
  </r>
  <r>
    <x v="71"/>
  </r>
  <r>
    <x v="71"/>
  </r>
  <r>
    <x v="42"/>
  </r>
  <r>
    <x v="302"/>
  </r>
  <r>
    <x v="50"/>
  </r>
  <r>
    <x v="21"/>
  </r>
  <r>
    <x v="49"/>
  </r>
  <r>
    <x v="184"/>
  </r>
  <r>
    <x v="162"/>
  </r>
  <r>
    <x v="338"/>
  </r>
  <r>
    <x v="227"/>
  </r>
  <r>
    <x v="0"/>
  </r>
  <r>
    <x v="48"/>
  </r>
  <r>
    <x v="130"/>
  </r>
  <r>
    <x v="9"/>
  </r>
  <r>
    <x v="22"/>
  </r>
  <r>
    <x v="130"/>
  </r>
  <r>
    <x v="101"/>
  </r>
  <r>
    <x v="339"/>
  </r>
  <r>
    <x v="14"/>
  </r>
  <r>
    <x v="167"/>
  </r>
  <r>
    <x v="126"/>
  </r>
  <r>
    <x v="23"/>
  </r>
  <r>
    <x v="23"/>
  </r>
  <r>
    <x v="23"/>
  </r>
  <r>
    <x v="23"/>
  </r>
  <r>
    <x v="340"/>
  </r>
  <r>
    <x v="31"/>
  </r>
  <r>
    <x v="31"/>
  </r>
  <r>
    <x v="31"/>
  </r>
  <r>
    <x v="10"/>
  </r>
  <r>
    <x v="10"/>
  </r>
  <r>
    <x v="10"/>
  </r>
  <r>
    <x v="341"/>
  </r>
  <r>
    <x v="88"/>
  </r>
  <r>
    <x v="88"/>
  </r>
  <r>
    <x v="88"/>
  </r>
  <r>
    <x v="95"/>
  </r>
  <r>
    <x v="95"/>
  </r>
  <r>
    <x v="168"/>
  </r>
  <r>
    <x v="7"/>
  </r>
  <r>
    <x v="68"/>
  </r>
  <r>
    <x v="16"/>
  </r>
  <r>
    <x v="342"/>
  </r>
  <r>
    <x v="129"/>
  </r>
  <r>
    <x v="31"/>
  </r>
  <r>
    <x v="31"/>
  </r>
  <r>
    <x v="211"/>
  </r>
  <r>
    <x v="31"/>
  </r>
  <r>
    <x v="31"/>
  </r>
  <r>
    <x v="31"/>
  </r>
  <r>
    <x v="31"/>
  </r>
  <r>
    <x v="278"/>
  </r>
  <r>
    <x v="34"/>
  </r>
  <r>
    <x v="155"/>
  </r>
  <r>
    <x v="52"/>
  </r>
  <r>
    <x v="238"/>
  </r>
  <r>
    <x v="238"/>
  </r>
  <r>
    <x v="158"/>
  </r>
  <r>
    <x v="155"/>
  </r>
  <r>
    <x v="75"/>
  </r>
  <r>
    <x v="83"/>
  </r>
  <r>
    <x v="112"/>
  </r>
  <r>
    <x v="112"/>
  </r>
  <r>
    <x v="133"/>
  </r>
  <r>
    <x v="175"/>
  </r>
  <r>
    <x v="175"/>
  </r>
  <r>
    <x v="76"/>
  </r>
  <r>
    <x v="221"/>
  </r>
  <r>
    <x v="33"/>
  </r>
  <r>
    <x v="9"/>
  </r>
  <r>
    <x v="33"/>
  </r>
  <r>
    <x v="10"/>
  </r>
  <r>
    <x v="10"/>
  </r>
  <r>
    <x v="175"/>
  </r>
  <r>
    <x v="175"/>
  </r>
  <r>
    <x v="10"/>
  </r>
  <r>
    <x v="10"/>
  </r>
  <r>
    <x v="9"/>
  </r>
  <r>
    <x v="76"/>
  </r>
  <r>
    <x v="190"/>
  </r>
  <r>
    <x v="175"/>
  </r>
  <r>
    <x v="82"/>
  </r>
  <r>
    <x v="9"/>
  </r>
  <r>
    <x v="343"/>
  </r>
  <r>
    <x v="343"/>
  </r>
  <r>
    <x v="201"/>
  </r>
  <r>
    <x v="344"/>
  </r>
  <r>
    <x v="116"/>
  </r>
  <r>
    <x v="81"/>
  </r>
  <r>
    <x v="112"/>
  </r>
  <r>
    <x v="215"/>
  </r>
  <r>
    <x v="15"/>
  </r>
  <r>
    <x v="70"/>
  </r>
  <r>
    <x v="112"/>
  </r>
  <r>
    <x v="15"/>
  </r>
  <r>
    <x v="148"/>
  </r>
  <r>
    <x v="192"/>
  </r>
  <r>
    <x v="192"/>
  </r>
  <r>
    <x v="345"/>
  </r>
  <r>
    <x v="192"/>
  </r>
  <r>
    <x v="48"/>
  </r>
  <r>
    <x v="48"/>
  </r>
  <r>
    <x v="346"/>
  </r>
  <r>
    <x v="82"/>
  </r>
  <r>
    <x v="347"/>
  </r>
  <r>
    <x v="346"/>
  </r>
  <r>
    <x v="205"/>
  </r>
  <r>
    <x v="43"/>
  </r>
  <r>
    <x v="192"/>
  </r>
  <r>
    <x v="112"/>
  </r>
  <r>
    <x v="112"/>
  </r>
  <r>
    <x v="25"/>
  </r>
  <r>
    <x v="112"/>
  </r>
  <r>
    <x v="112"/>
  </r>
  <r>
    <x v="25"/>
  </r>
  <r>
    <x v="76"/>
  </r>
  <r>
    <x v="75"/>
  </r>
  <r>
    <x v="76"/>
  </r>
  <r>
    <x v="232"/>
  </r>
  <r>
    <x v="25"/>
  </r>
  <r>
    <x v="75"/>
  </r>
  <r>
    <x v="25"/>
  </r>
  <r>
    <x v="75"/>
  </r>
  <r>
    <x v="75"/>
  </r>
  <r>
    <x v="81"/>
  </r>
  <r>
    <x v="192"/>
  </r>
  <r>
    <x v="29"/>
  </r>
  <r>
    <x v="29"/>
  </r>
  <r>
    <x v="142"/>
  </r>
  <r>
    <x v="229"/>
  </r>
  <r>
    <x v="112"/>
  </r>
  <r>
    <x v="25"/>
  </r>
  <r>
    <x v="25"/>
  </r>
  <r>
    <x v="13"/>
  </r>
  <r>
    <x v="108"/>
  </r>
  <r>
    <x v="17"/>
  </r>
  <r>
    <x v="12"/>
  </r>
  <r>
    <x v="17"/>
  </r>
  <r>
    <x v="348"/>
  </r>
  <r>
    <x v="78"/>
  </r>
  <r>
    <x v="78"/>
  </r>
  <r>
    <x v="78"/>
  </r>
  <r>
    <x v="78"/>
  </r>
  <r>
    <x v="78"/>
  </r>
  <r>
    <x v="78"/>
  </r>
  <r>
    <x v="82"/>
  </r>
  <r>
    <x v="57"/>
  </r>
  <r>
    <x v="57"/>
  </r>
  <r>
    <x v="334"/>
  </r>
  <r>
    <x v="287"/>
  </r>
  <r>
    <x v="3"/>
  </r>
  <r>
    <x v="6"/>
  </r>
  <r>
    <x v="76"/>
  </r>
  <r>
    <x v="349"/>
  </r>
  <r>
    <x v="76"/>
  </r>
  <r>
    <x v="76"/>
  </r>
  <r>
    <x v="106"/>
  </r>
  <r>
    <x v="32"/>
  </r>
  <r>
    <x v="76"/>
  </r>
  <r>
    <x v="21"/>
  </r>
  <r>
    <x v="98"/>
  </r>
  <r>
    <x v="60"/>
  </r>
  <r>
    <x v="116"/>
  </r>
  <r>
    <x v="56"/>
  </r>
  <r>
    <x v="350"/>
  </r>
  <r>
    <x v="17"/>
  </r>
  <r>
    <x v="14"/>
  </r>
  <r>
    <x v="193"/>
  </r>
  <r>
    <x v="245"/>
  </r>
  <r>
    <x v="109"/>
  </r>
  <r>
    <x v="109"/>
  </r>
  <r>
    <x v="109"/>
  </r>
  <r>
    <x v="109"/>
  </r>
  <r>
    <x v="27"/>
  </r>
  <r>
    <x v="296"/>
  </r>
  <r>
    <x v="198"/>
  </r>
  <r>
    <x v="27"/>
  </r>
  <r>
    <x v="27"/>
  </r>
  <r>
    <x v="57"/>
  </r>
  <r>
    <x v="103"/>
  </r>
  <r>
    <x v="103"/>
  </r>
  <r>
    <x v="82"/>
  </r>
  <r>
    <x v="288"/>
  </r>
  <r>
    <x v="103"/>
  </r>
  <r>
    <x v="2"/>
  </r>
  <r>
    <x v="48"/>
  </r>
  <r>
    <x v="127"/>
  </r>
  <r>
    <x v="306"/>
  </r>
  <r>
    <x v="77"/>
  </r>
  <r>
    <x v="21"/>
  </r>
  <r>
    <x v="3"/>
  </r>
  <r>
    <x v="76"/>
  </r>
  <r>
    <x v="351"/>
  </r>
  <r>
    <x v="352"/>
  </r>
  <r>
    <x v="265"/>
  </r>
  <r>
    <x v="106"/>
  </r>
  <r>
    <x v="76"/>
  </r>
  <r>
    <x v="242"/>
  </r>
  <r>
    <x v="353"/>
  </r>
  <r>
    <x v="10"/>
  </r>
  <r>
    <x v="9"/>
  </r>
  <r>
    <x v="9"/>
  </r>
  <r>
    <x v="338"/>
  </r>
  <r>
    <x v="354"/>
  </r>
  <r>
    <x v="208"/>
  </r>
  <r>
    <x v="31"/>
  </r>
  <r>
    <x v="2"/>
  </r>
  <r>
    <x v="355"/>
  </r>
  <r>
    <x v="222"/>
  </r>
  <r>
    <x v="356"/>
  </r>
  <r>
    <x v="357"/>
  </r>
  <r>
    <x v="224"/>
  </r>
  <r>
    <x v="5"/>
  </r>
  <r>
    <x v="6"/>
  </r>
  <r>
    <x v="233"/>
  </r>
  <r>
    <x v="82"/>
  </r>
  <r>
    <x v="358"/>
  </r>
  <r>
    <x v="124"/>
  </r>
  <r>
    <x v="124"/>
  </r>
  <r>
    <x v="124"/>
  </r>
  <r>
    <x v="124"/>
  </r>
  <r>
    <x v="140"/>
  </r>
  <r>
    <x v="124"/>
  </r>
  <r>
    <x v="124"/>
  </r>
  <r>
    <x v="124"/>
  </r>
  <r>
    <x v="124"/>
  </r>
  <r>
    <x v="311"/>
  </r>
  <r>
    <x v="359"/>
  </r>
  <r>
    <x v="21"/>
  </r>
  <r>
    <x v="112"/>
  </r>
  <r>
    <x v="167"/>
  </r>
  <r>
    <x v="112"/>
  </r>
  <r>
    <x v="167"/>
  </r>
  <r>
    <x v="129"/>
  </r>
  <r>
    <x v="167"/>
  </r>
  <r>
    <x v="103"/>
  </r>
  <r>
    <x v="103"/>
  </r>
  <r>
    <x v="103"/>
  </r>
  <r>
    <x v="103"/>
  </r>
  <r>
    <x v="155"/>
  </r>
  <r>
    <x v="27"/>
  </r>
  <r>
    <x v="360"/>
  </r>
  <r>
    <x v="361"/>
  </r>
  <r>
    <x v="21"/>
  </r>
  <r>
    <x v="359"/>
  </r>
  <r>
    <x v="88"/>
  </r>
  <r>
    <x v="155"/>
  </r>
  <r>
    <x v="362"/>
  </r>
  <r>
    <x v="59"/>
  </r>
  <r>
    <x v="76"/>
  </r>
  <r>
    <x v="208"/>
  </r>
  <r>
    <x v="82"/>
  </r>
  <r>
    <x v="76"/>
  </r>
  <r>
    <x v="224"/>
  </r>
  <r>
    <x v="76"/>
  </r>
  <r>
    <x v="72"/>
  </r>
  <r>
    <x v="168"/>
  </r>
  <r>
    <x v="17"/>
  </r>
  <r>
    <x v="152"/>
  </r>
  <r>
    <x v="25"/>
  </r>
  <r>
    <x v="76"/>
  </r>
  <r>
    <x v="76"/>
  </r>
  <r>
    <x v="25"/>
  </r>
  <r>
    <x v="25"/>
  </r>
  <r>
    <x v="25"/>
  </r>
  <r>
    <x v="25"/>
  </r>
  <r>
    <x v="25"/>
  </r>
  <r>
    <x v="76"/>
  </r>
  <r>
    <x v="6"/>
  </r>
  <r>
    <x v="76"/>
  </r>
  <r>
    <x v="76"/>
  </r>
  <r>
    <x v="76"/>
  </r>
  <r>
    <x v="76"/>
  </r>
  <r>
    <x v="155"/>
  </r>
  <r>
    <x v="76"/>
  </r>
  <r>
    <x v="155"/>
  </r>
  <r>
    <x v="24"/>
  </r>
  <r>
    <x v="155"/>
  </r>
  <r>
    <x v="155"/>
  </r>
  <r>
    <x v="155"/>
  </r>
  <r>
    <x v="14"/>
  </r>
  <r>
    <x v="124"/>
  </r>
  <r>
    <x v="83"/>
  </r>
  <r>
    <x v="155"/>
  </r>
  <r>
    <x v="155"/>
  </r>
  <r>
    <x v="348"/>
  </r>
  <r>
    <x v="29"/>
  </r>
  <r>
    <x v="76"/>
  </r>
  <r>
    <x v="14"/>
  </r>
  <r>
    <x v="14"/>
  </r>
  <r>
    <x v="108"/>
  </r>
  <r>
    <x v="102"/>
  </r>
  <r>
    <x v="76"/>
  </r>
  <r>
    <x v="21"/>
  </r>
  <r>
    <x v="108"/>
  </r>
  <r>
    <x v="76"/>
  </r>
  <r>
    <x v="12"/>
  </r>
  <r>
    <x v="113"/>
  </r>
  <r>
    <x v="113"/>
  </r>
  <r>
    <x v="113"/>
  </r>
  <r>
    <x v="20"/>
  </r>
  <r>
    <x v="113"/>
  </r>
  <r>
    <x v="20"/>
  </r>
  <r>
    <x v="82"/>
  </r>
  <r>
    <x v="326"/>
  </r>
  <r>
    <x v="113"/>
  </r>
  <r>
    <x v="113"/>
  </r>
  <r>
    <x v="133"/>
  </r>
  <r>
    <x v="133"/>
  </r>
  <r>
    <x v="303"/>
  </r>
  <r>
    <x v="21"/>
  </r>
  <r>
    <x v="363"/>
  </r>
  <r>
    <x v="266"/>
  </r>
  <r>
    <x v="201"/>
  </r>
  <r>
    <x v="76"/>
  </r>
  <r>
    <x v="364"/>
  </r>
  <r>
    <x v="365"/>
  </r>
  <r>
    <x v="31"/>
  </r>
  <r>
    <x v="76"/>
  </r>
  <r>
    <x v="343"/>
  </r>
  <r>
    <x v="296"/>
  </r>
  <r>
    <x v="59"/>
  </r>
  <r>
    <x v="366"/>
  </r>
  <r>
    <x v="54"/>
  </r>
  <r>
    <x v="82"/>
  </r>
  <r>
    <x v="362"/>
  </r>
  <r>
    <x v="265"/>
  </r>
  <r>
    <x v="296"/>
  </r>
  <r>
    <x v="277"/>
  </r>
  <r>
    <x v="367"/>
  </r>
  <r>
    <x v="122"/>
  </r>
  <r>
    <x v="127"/>
  </r>
  <r>
    <x v="111"/>
  </r>
  <r>
    <x v="122"/>
  </r>
  <r>
    <x v="116"/>
  </r>
  <r>
    <x v="116"/>
  </r>
  <r>
    <x v="116"/>
  </r>
  <r>
    <x v="116"/>
  </r>
  <r>
    <x v="368"/>
  </r>
  <r>
    <x v="23"/>
  </r>
  <r>
    <x v="140"/>
  </r>
  <r>
    <x v="35"/>
  </r>
  <r>
    <x v="70"/>
  </r>
  <r>
    <x v="81"/>
  </r>
  <r>
    <x v="44"/>
  </r>
  <r>
    <x v="44"/>
  </r>
  <r>
    <x v="79"/>
  </r>
  <r>
    <x v="320"/>
  </r>
  <r>
    <x v="57"/>
  </r>
  <r>
    <x v="100"/>
  </r>
  <r>
    <x v="100"/>
  </r>
  <r>
    <x v="36"/>
  </r>
  <r>
    <x v="369"/>
  </r>
  <r>
    <x v="206"/>
  </r>
  <r>
    <x v="370"/>
  </r>
  <r>
    <x v="82"/>
  </r>
  <r>
    <x v="100"/>
  </r>
  <r>
    <x v="82"/>
  </r>
  <r>
    <x v="370"/>
  </r>
  <r>
    <x v="105"/>
  </r>
  <r>
    <x v="68"/>
  </r>
  <r>
    <x v="56"/>
  </r>
  <r>
    <x v="167"/>
  </r>
  <r>
    <x v="223"/>
  </r>
  <r>
    <x v="371"/>
  </r>
  <r>
    <x v="372"/>
  </r>
  <r>
    <x v="2"/>
  </r>
  <r>
    <x v="373"/>
  </r>
  <r>
    <x v="59"/>
  </r>
  <r>
    <x v="93"/>
  </r>
  <r>
    <x v="93"/>
  </r>
  <r>
    <x v="25"/>
  </r>
  <r>
    <x v="93"/>
  </r>
  <r>
    <x v="94"/>
  </r>
  <r>
    <x v="29"/>
  </r>
  <r>
    <x v="93"/>
  </r>
  <r>
    <x v="93"/>
  </r>
  <r>
    <x v="93"/>
  </r>
  <r>
    <x v="93"/>
  </r>
  <r>
    <x v="93"/>
  </r>
  <r>
    <x v="29"/>
  </r>
  <r>
    <x v="110"/>
  </r>
  <r>
    <x v="112"/>
  </r>
  <r>
    <x v="23"/>
  </r>
  <r>
    <x v="115"/>
  </r>
  <r>
    <x v="12"/>
  </r>
  <r>
    <x v="12"/>
  </r>
  <r>
    <x v="93"/>
  </r>
  <r>
    <x v="25"/>
  </r>
  <r>
    <x v="93"/>
  </r>
  <r>
    <x v="25"/>
  </r>
  <r>
    <x v="93"/>
  </r>
  <r>
    <x v="81"/>
  </r>
  <r>
    <x v="81"/>
  </r>
  <r>
    <x v="36"/>
  </r>
  <r>
    <x v="96"/>
  </r>
  <r>
    <x v="136"/>
  </r>
  <r>
    <x v="136"/>
  </r>
  <r>
    <x v="81"/>
  </r>
  <r>
    <x v="136"/>
  </r>
  <r>
    <x v="29"/>
  </r>
  <r>
    <x v="29"/>
  </r>
  <r>
    <x v="10"/>
  </r>
  <r>
    <x v="177"/>
  </r>
  <r>
    <x v="86"/>
  </r>
  <r>
    <x v="25"/>
  </r>
  <r>
    <x v="25"/>
  </r>
  <r>
    <x v="25"/>
  </r>
  <r>
    <x v="76"/>
  </r>
  <r>
    <x v="25"/>
  </r>
  <r>
    <x v="25"/>
  </r>
  <r>
    <x v="25"/>
  </r>
  <r>
    <x v="25"/>
  </r>
  <r>
    <x v="28"/>
  </r>
  <r>
    <x v="25"/>
  </r>
  <r>
    <x v="82"/>
  </r>
  <r>
    <x v="82"/>
  </r>
  <r>
    <x v="25"/>
  </r>
  <r>
    <x v="25"/>
  </r>
  <r>
    <x v="25"/>
  </r>
  <r>
    <x v="219"/>
  </r>
  <r>
    <x v="25"/>
  </r>
  <r>
    <x v="28"/>
  </r>
  <r>
    <x v="82"/>
  </r>
  <r>
    <x v="123"/>
  </r>
  <r>
    <x v="82"/>
  </r>
  <r>
    <x v="56"/>
  </r>
  <r>
    <x v="24"/>
  </r>
  <r>
    <x v="82"/>
  </r>
  <r>
    <x v="82"/>
  </r>
  <r>
    <x v="12"/>
  </r>
  <r>
    <x v="75"/>
  </r>
  <r>
    <x v="75"/>
  </r>
  <r>
    <x v="76"/>
  </r>
  <r>
    <x v="76"/>
  </r>
  <r>
    <x v="82"/>
  </r>
  <r>
    <x v="76"/>
  </r>
  <r>
    <x v="76"/>
  </r>
  <r>
    <x v="12"/>
  </r>
  <r>
    <x v="25"/>
  </r>
  <r>
    <x v="112"/>
  </r>
  <r>
    <x v="126"/>
  </r>
  <r>
    <x v="25"/>
  </r>
  <r>
    <x v="25"/>
  </r>
  <r>
    <x v="25"/>
  </r>
  <r>
    <x v="25"/>
  </r>
  <r>
    <x v="25"/>
  </r>
  <r>
    <x v="25"/>
  </r>
  <r>
    <x v="75"/>
  </r>
  <r>
    <x v="75"/>
  </r>
  <r>
    <x v="133"/>
  </r>
  <r>
    <x v="117"/>
  </r>
  <r>
    <x v="133"/>
  </r>
  <r>
    <x v="133"/>
  </r>
  <r>
    <x v="133"/>
  </r>
  <r>
    <x v="133"/>
  </r>
  <r>
    <x v="110"/>
  </r>
  <r>
    <x v="110"/>
  </r>
  <r>
    <x v="2"/>
  </r>
  <r>
    <x v="25"/>
  </r>
  <r>
    <x v="28"/>
  </r>
  <r>
    <x v="28"/>
  </r>
  <r>
    <x v="28"/>
  </r>
  <r>
    <x v="28"/>
  </r>
  <r>
    <x v="28"/>
  </r>
  <r>
    <x v="82"/>
  </r>
  <r>
    <x v="81"/>
  </r>
  <r>
    <x v="81"/>
  </r>
  <r>
    <x v="82"/>
  </r>
  <r>
    <x v="82"/>
  </r>
  <r>
    <x v="81"/>
  </r>
  <r>
    <x v="81"/>
  </r>
  <r>
    <x v="81"/>
  </r>
  <r>
    <x v="81"/>
  </r>
  <r>
    <x v="81"/>
  </r>
  <r>
    <x v="81"/>
  </r>
  <r>
    <x v="81"/>
  </r>
  <r>
    <x v="25"/>
  </r>
  <r>
    <x v="76"/>
  </r>
  <r>
    <x v="76"/>
  </r>
  <r>
    <x v="25"/>
  </r>
  <r>
    <x v="82"/>
  </r>
  <r>
    <x v="25"/>
  </r>
  <r>
    <x v="25"/>
  </r>
  <r>
    <x v="76"/>
  </r>
  <r>
    <x v="23"/>
  </r>
  <r>
    <x v="76"/>
  </r>
  <r>
    <x v="25"/>
  </r>
  <r>
    <x v="25"/>
  </r>
  <r>
    <x v="25"/>
  </r>
  <r>
    <x v="25"/>
  </r>
  <r>
    <x v="0"/>
  </r>
  <r>
    <x v="25"/>
  </r>
  <r>
    <x v="93"/>
  </r>
  <r>
    <x v="93"/>
  </r>
  <r>
    <x v="29"/>
  </r>
  <r>
    <x v="17"/>
  </r>
  <r>
    <x v="29"/>
  </r>
  <r>
    <x v="29"/>
  </r>
  <r>
    <x v="78"/>
  </r>
  <r>
    <x v="25"/>
  </r>
  <r>
    <x v="10"/>
  </r>
  <r>
    <x v="10"/>
  </r>
  <r>
    <x v="275"/>
  </r>
  <r>
    <x v="77"/>
  </r>
  <r>
    <x v="123"/>
  </r>
  <r>
    <x v="25"/>
  </r>
  <r>
    <x v="102"/>
  </r>
  <r>
    <x v="31"/>
  </r>
  <r>
    <x v="76"/>
  </r>
  <r>
    <x v="82"/>
  </r>
  <r>
    <x v="10"/>
  </r>
  <r>
    <x v="10"/>
  </r>
  <r>
    <x v="155"/>
  </r>
  <r>
    <x v="155"/>
  </r>
  <r>
    <x v="167"/>
  </r>
  <r>
    <x v="106"/>
  </r>
  <r>
    <x v="106"/>
  </r>
  <r>
    <x v="106"/>
  </r>
  <r>
    <x v="106"/>
  </r>
  <r>
    <x v="25"/>
  </r>
  <r>
    <x v="374"/>
  </r>
  <r>
    <x v="111"/>
  </r>
  <r>
    <x v="375"/>
  </r>
  <r>
    <x v="29"/>
  </r>
  <r>
    <x v="29"/>
  </r>
  <r>
    <x v="25"/>
  </r>
  <r>
    <x v="29"/>
  </r>
  <r>
    <x v="25"/>
  </r>
  <r>
    <x v="76"/>
  </r>
  <r>
    <x v="72"/>
  </r>
  <r>
    <x v="25"/>
  </r>
  <r>
    <x v="27"/>
  </r>
  <r>
    <x v="27"/>
  </r>
  <r>
    <x v="46"/>
  </r>
  <r>
    <x v="27"/>
  </r>
  <r>
    <x v="27"/>
  </r>
  <r>
    <x v="27"/>
  </r>
  <r>
    <x v="27"/>
  </r>
  <r>
    <x v="363"/>
  </r>
  <r>
    <x v="376"/>
  </r>
  <r>
    <x v="70"/>
  </r>
  <r>
    <x v="377"/>
  </r>
  <r>
    <x v="205"/>
  </r>
  <r>
    <x v="378"/>
  </r>
  <r>
    <x v="59"/>
  </r>
  <r>
    <x v="59"/>
  </r>
  <r>
    <x v="237"/>
  </r>
  <r>
    <x v="76"/>
  </r>
  <r>
    <x v="379"/>
  </r>
  <r>
    <x v="295"/>
  </r>
  <r>
    <x v="76"/>
  </r>
  <r>
    <x v="29"/>
  </r>
  <r>
    <x v="380"/>
  </r>
  <r>
    <x v="59"/>
  </r>
  <r>
    <x v="6"/>
  </r>
  <r>
    <x v="46"/>
  </r>
  <r>
    <x v="59"/>
  </r>
  <r>
    <x v="179"/>
  </r>
  <r>
    <x v="55"/>
  </r>
  <r>
    <x v="55"/>
  </r>
  <r>
    <x v="380"/>
  </r>
  <r>
    <x v="296"/>
  </r>
  <r>
    <x v="381"/>
  </r>
  <r>
    <x v="55"/>
  </r>
  <r>
    <x v="55"/>
  </r>
  <r>
    <x v="76"/>
  </r>
  <r>
    <x v="46"/>
  </r>
  <r>
    <x v="46"/>
  </r>
  <r>
    <x v="223"/>
  </r>
  <r>
    <x v="31"/>
  </r>
  <r>
    <x v="143"/>
  </r>
  <r>
    <x v="143"/>
  </r>
  <r>
    <x v="296"/>
  </r>
  <r>
    <x v="37"/>
  </r>
  <r>
    <x v="265"/>
  </r>
  <r>
    <x v="135"/>
  </r>
  <r>
    <x v="382"/>
  </r>
  <r>
    <x v="380"/>
  </r>
  <r>
    <x v="380"/>
  </r>
  <r>
    <x v="380"/>
  </r>
  <r>
    <x v="383"/>
  </r>
  <r>
    <x v="384"/>
  </r>
  <r>
    <x v="60"/>
  </r>
  <r>
    <x v="296"/>
  </r>
  <r>
    <x v="380"/>
  </r>
  <r>
    <x v="380"/>
  </r>
  <r>
    <x v="54"/>
  </r>
  <r>
    <x v="385"/>
  </r>
  <r>
    <x v="364"/>
  </r>
  <r>
    <x v="6"/>
  </r>
  <r>
    <x v="76"/>
  </r>
  <r>
    <x v="76"/>
  </r>
  <r>
    <x v="132"/>
  </r>
  <r>
    <x v="368"/>
  </r>
  <r>
    <x v="82"/>
  </r>
  <r>
    <x v="82"/>
  </r>
  <r>
    <x v="386"/>
  </r>
  <r>
    <x v="265"/>
  </r>
  <r>
    <x v="294"/>
  </r>
  <r>
    <x v="100"/>
  </r>
  <r>
    <x v="48"/>
  </r>
  <r>
    <x v="189"/>
  </r>
  <r>
    <x v="41"/>
  </r>
  <r>
    <x v="62"/>
  </r>
  <r>
    <x v="2"/>
  </r>
  <r>
    <x v="2"/>
  </r>
  <r>
    <x v="82"/>
  </r>
  <r>
    <x v="76"/>
  </r>
  <r>
    <x v="106"/>
  </r>
  <r>
    <x v="42"/>
  </r>
  <r>
    <x v="386"/>
  </r>
  <r>
    <x v="28"/>
  </r>
  <r>
    <x v="28"/>
  </r>
  <r>
    <x v="37"/>
  </r>
  <r>
    <x v="30"/>
  </r>
  <r>
    <x v="8"/>
  </r>
  <r>
    <x v="8"/>
  </r>
  <r>
    <x v="8"/>
  </r>
  <r>
    <x v="49"/>
  </r>
  <r>
    <x v="23"/>
  </r>
  <r>
    <x v="11"/>
  </r>
  <r>
    <x v="45"/>
  </r>
  <r>
    <x v="45"/>
  </r>
  <r>
    <x v="30"/>
  </r>
  <r>
    <x v="30"/>
  </r>
  <r>
    <x v="12"/>
  </r>
  <r>
    <x v="12"/>
  </r>
  <r>
    <x v="108"/>
  </r>
  <r>
    <x v="9"/>
  </r>
  <r>
    <x v="17"/>
  </r>
  <r>
    <x v="87"/>
  </r>
  <r>
    <x v="112"/>
  </r>
  <r>
    <x v="51"/>
  </r>
  <r>
    <x v="14"/>
  </r>
  <r>
    <x v="22"/>
  </r>
  <r>
    <x v="34"/>
  </r>
  <r>
    <x v="55"/>
  </r>
  <r>
    <x v="62"/>
  </r>
  <r>
    <x v="45"/>
  </r>
  <r>
    <x v="17"/>
  </r>
  <r>
    <x v="9"/>
  </r>
  <r>
    <x v="28"/>
  </r>
  <r>
    <x v="28"/>
  </r>
  <r>
    <x v="28"/>
  </r>
  <r>
    <x v="25"/>
  </r>
  <r>
    <x v="21"/>
  </r>
  <r>
    <x v="45"/>
  </r>
  <r>
    <x v="102"/>
  </r>
  <r>
    <x v="17"/>
  </r>
  <r>
    <x v="28"/>
  </r>
  <r>
    <x v="42"/>
  </r>
  <r>
    <x v="42"/>
  </r>
  <r>
    <x v="69"/>
  </r>
  <r>
    <x v="7"/>
  </r>
  <r>
    <x v="49"/>
  </r>
  <r>
    <x v="16"/>
  </r>
  <r>
    <x v="14"/>
  </r>
  <r>
    <x v="14"/>
  </r>
  <r>
    <x v="12"/>
  </r>
  <r>
    <x v="22"/>
  </r>
  <r>
    <x v="22"/>
  </r>
  <r>
    <x v="22"/>
  </r>
  <r>
    <x v="22"/>
  </r>
  <r>
    <x v="0"/>
  </r>
  <r>
    <x v="115"/>
  </r>
  <r>
    <x v="115"/>
  </r>
  <r>
    <x v="1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31"/>
  </r>
  <r>
    <x v="14"/>
  </r>
  <r>
    <x v="14"/>
  </r>
  <r>
    <x v="16"/>
  </r>
  <r>
    <x v="64"/>
  </r>
  <r>
    <x v="14"/>
  </r>
  <r>
    <x v="16"/>
  </r>
  <r>
    <x v="48"/>
  </r>
  <r>
    <x v="16"/>
  </r>
  <r>
    <x v="16"/>
  </r>
  <r>
    <x v="16"/>
  </r>
  <r>
    <x v="16"/>
  </r>
  <r>
    <x v="142"/>
  </r>
  <r>
    <x v="53"/>
  </r>
  <r>
    <x v="22"/>
  </r>
  <r>
    <x v="53"/>
  </r>
  <r>
    <x v="22"/>
  </r>
  <r>
    <x v="22"/>
  </r>
  <r>
    <x v="22"/>
  </r>
  <r>
    <x v="22"/>
  </r>
  <r>
    <x v="22"/>
  </r>
  <r>
    <x v="22"/>
  </r>
  <r>
    <x v="22"/>
  </r>
  <r>
    <x v="22"/>
  </r>
  <r>
    <x v="16"/>
  </r>
  <r>
    <x v="14"/>
  </r>
  <r>
    <x v="14"/>
  </r>
  <r>
    <x v="31"/>
  </r>
  <r>
    <x v="48"/>
  </r>
  <r>
    <x v="71"/>
  </r>
  <r>
    <x v="71"/>
  </r>
  <r>
    <x v="7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142"/>
  </r>
  <r>
    <x v="142"/>
  </r>
  <r>
    <x v="22"/>
  </r>
  <r>
    <x v="22"/>
  </r>
  <r>
    <x v="22"/>
  </r>
  <r>
    <x v="22"/>
  </r>
  <r>
    <x v="22"/>
  </r>
  <r>
    <x v="49"/>
  </r>
  <r>
    <x v="142"/>
  </r>
  <r>
    <x v="142"/>
  </r>
  <r>
    <x v="142"/>
  </r>
  <r>
    <x v="22"/>
  </r>
  <r>
    <x v="22"/>
  </r>
  <r>
    <x v="22"/>
  </r>
  <r>
    <x v="53"/>
  </r>
  <r>
    <x v="48"/>
  </r>
  <r>
    <x v="30"/>
  </r>
  <r>
    <x v="29"/>
  </r>
  <r>
    <x v="77"/>
  </r>
  <r>
    <x v="22"/>
  </r>
  <r>
    <x v="7"/>
  </r>
  <r>
    <x v="39"/>
  </r>
  <r>
    <x v="16"/>
  </r>
  <r>
    <x v="16"/>
  </r>
  <r>
    <x v="12"/>
  </r>
  <r>
    <x v="12"/>
  </r>
  <r>
    <x v="12"/>
  </r>
  <r>
    <x v="16"/>
  </r>
  <r>
    <x v="16"/>
  </r>
  <r>
    <x v="16"/>
  </r>
  <r>
    <x v="16"/>
  </r>
  <r>
    <x v="56"/>
  </r>
  <r>
    <x v="12"/>
  </r>
  <r>
    <x v="12"/>
  </r>
  <r>
    <x v="12"/>
  </r>
  <r>
    <x v="17"/>
  </r>
  <r>
    <x v="17"/>
  </r>
  <r>
    <x v="17"/>
  </r>
  <r>
    <x v="17"/>
  </r>
  <r>
    <x v="14"/>
  </r>
  <r>
    <x v="14"/>
  </r>
  <r>
    <x v="17"/>
  </r>
  <r>
    <x v="14"/>
  </r>
  <r>
    <x v="14"/>
  </r>
  <r>
    <x v="28"/>
  </r>
  <r>
    <x v="14"/>
  </r>
  <r>
    <x v="10"/>
  </r>
  <r>
    <x v="2"/>
  </r>
  <r>
    <x v="2"/>
  </r>
  <r>
    <x v="0"/>
  </r>
  <r>
    <x v="0"/>
  </r>
  <r>
    <x v="32"/>
  </r>
  <r>
    <x v="32"/>
  </r>
  <r>
    <x v="17"/>
  </r>
  <r>
    <x v="17"/>
  </r>
  <r>
    <x v="14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17"/>
  </r>
  <r>
    <x v="17"/>
  </r>
  <r>
    <x v="17"/>
  </r>
  <r>
    <x v="2"/>
  </r>
  <r>
    <x v="222"/>
  </r>
  <r>
    <x v="14"/>
  </r>
  <r>
    <x v="14"/>
  </r>
  <r>
    <x v="14"/>
  </r>
  <r>
    <x v="14"/>
  </r>
  <r>
    <x v="22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1"/>
  </r>
  <r>
    <x v="0"/>
  </r>
  <r>
    <x v="0"/>
  </r>
  <r>
    <x v="61"/>
  </r>
  <r>
    <x v="0"/>
  </r>
  <r>
    <x v="0"/>
  </r>
  <r>
    <x v="0"/>
  </r>
  <r>
    <x v="7"/>
  </r>
  <r>
    <x v="71"/>
  </r>
  <r>
    <x v="0"/>
  </r>
  <r>
    <x v="0"/>
  </r>
  <r>
    <x v="0"/>
  </r>
  <r>
    <x v="0"/>
  </r>
  <r>
    <x v="0"/>
  </r>
  <r>
    <x v="0"/>
  </r>
  <r>
    <x v="0"/>
  </r>
  <r>
    <x v="10"/>
  </r>
  <r>
    <x v="138"/>
  </r>
  <r>
    <x v="10"/>
  </r>
  <r>
    <x v="10"/>
  </r>
  <r>
    <x v="57"/>
  </r>
  <r>
    <x v="31"/>
  </r>
  <r>
    <x v="31"/>
  </r>
  <r>
    <x v="2"/>
  </r>
  <r>
    <x v="31"/>
  </r>
  <r>
    <x v="2"/>
  </r>
  <r>
    <x v="12"/>
  </r>
  <r>
    <x v="28"/>
  </r>
  <r>
    <x v="81"/>
  </r>
  <r>
    <x v="98"/>
  </r>
  <r>
    <x v="98"/>
  </r>
  <r>
    <x v="12"/>
  </r>
  <r>
    <x v="12"/>
  </r>
  <r>
    <x v="12"/>
  </r>
  <r>
    <x v="81"/>
  </r>
  <r>
    <x v="77"/>
  </r>
  <r>
    <x v="81"/>
  </r>
  <r>
    <x v="112"/>
  </r>
  <r>
    <x v="81"/>
  </r>
  <r>
    <x v="31"/>
  </r>
  <r>
    <x v="12"/>
  </r>
  <r>
    <x v="12"/>
  </r>
  <r>
    <x v="12"/>
  </r>
  <r>
    <x v="12"/>
  </r>
  <r>
    <x v="12"/>
  </r>
  <r>
    <x v="102"/>
  </r>
  <r>
    <x v="0"/>
  </r>
  <r>
    <x v="0"/>
  </r>
  <r>
    <x v="0"/>
  </r>
  <r>
    <x v="71"/>
  </r>
  <r>
    <x v="79"/>
  </r>
  <r>
    <x v="59"/>
  </r>
  <r>
    <x v="23"/>
  </r>
  <r>
    <x v="23"/>
  </r>
  <r>
    <x v="0"/>
  </r>
  <r>
    <x v="6"/>
  </r>
  <r>
    <x v="22"/>
  </r>
  <r>
    <x v="3"/>
  </r>
  <r>
    <x v="192"/>
  </r>
  <r>
    <x v="31"/>
  </r>
  <r>
    <x v="71"/>
  </r>
  <r>
    <x v="71"/>
  </r>
  <r>
    <x v="71"/>
  </r>
  <r>
    <x v="48"/>
  </r>
  <r>
    <x v="251"/>
  </r>
  <r>
    <x v="27"/>
  </r>
  <r>
    <x v="91"/>
  </r>
  <r>
    <x v="158"/>
  </r>
  <r>
    <x v="0"/>
  </r>
  <r>
    <x v="118"/>
  </r>
  <r>
    <x v="138"/>
  </r>
  <r>
    <x v="138"/>
  </r>
  <r>
    <x v="25"/>
  </r>
  <r>
    <x v="55"/>
  </r>
  <r>
    <x v="25"/>
  </r>
  <r>
    <x v="25"/>
  </r>
  <r>
    <x v="25"/>
  </r>
  <r>
    <x v="64"/>
  </r>
  <r>
    <x v="48"/>
  </r>
  <r>
    <x v="31"/>
  </r>
  <r>
    <x v="177"/>
  </r>
  <r>
    <x v="57"/>
  </r>
  <r>
    <x v="81"/>
  </r>
  <r>
    <x v="14"/>
  </r>
  <r>
    <x v="14"/>
  </r>
  <r>
    <x v="81"/>
  </r>
  <r>
    <x v="0"/>
  </r>
  <r>
    <x v="0"/>
  </r>
  <r>
    <x v="17"/>
  </r>
  <r>
    <x v="0"/>
  </r>
  <r>
    <x v="71"/>
  </r>
  <r>
    <x v="12"/>
  </r>
  <r>
    <x v="71"/>
  </r>
  <r>
    <x v="16"/>
  </r>
  <r>
    <x v="22"/>
  </r>
  <r>
    <x v="0"/>
  </r>
  <r>
    <x v="14"/>
  </r>
  <r>
    <x v="138"/>
  </r>
  <r>
    <x v="138"/>
  </r>
  <r>
    <x v="138"/>
  </r>
  <r>
    <x v="22"/>
  </r>
  <r>
    <x v="22"/>
  </r>
  <r>
    <x v="76"/>
  </r>
  <r>
    <x v="59"/>
  </r>
  <r>
    <x v="37"/>
  </r>
  <r>
    <x v="81"/>
  </r>
  <r>
    <x v="14"/>
  </r>
  <r>
    <x v="53"/>
  </r>
  <r>
    <x v="76"/>
  </r>
  <r>
    <x v="25"/>
  </r>
  <r>
    <x v="48"/>
  </r>
  <r>
    <x v="71"/>
  </r>
  <r>
    <x v="3"/>
  </r>
  <r>
    <x v="48"/>
  </r>
  <r>
    <x v="72"/>
  </r>
  <r>
    <x v="0"/>
  </r>
  <r>
    <x v="15"/>
  </r>
  <r>
    <x v="15"/>
  </r>
  <r>
    <x v="26"/>
  </r>
  <r>
    <x v="49"/>
  </r>
  <r>
    <x v="14"/>
  </r>
  <r>
    <x v="12"/>
  </r>
  <r>
    <x v="12"/>
  </r>
  <r>
    <x v="12"/>
  </r>
  <r>
    <x v="103"/>
  </r>
  <r>
    <x v="72"/>
  </r>
  <r>
    <x v="296"/>
  </r>
  <r>
    <x v="41"/>
  </r>
  <r>
    <x v="31"/>
  </r>
  <r>
    <x v="158"/>
  </r>
  <r>
    <x v="72"/>
  </r>
  <r>
    <x v="100"/>
  </r>
  <r>
    <x v="100"/>
  </r>
  <r>
    <x v="10"/>
  </r>
  <r>
    <x v="10"/>
  </r>
  <r>
    <x v="53"/>
  </r>
  <r>
    <x v="6"/>
  </r>
  <r>
    <x v="71"/>
  </r>
  <r>
    <x v="10"/>
  </r>
  <r>
    <x v="10"/>
  </r>
  <r>
    <x v="25"/>
  </r>
  <r>
    <x v="48"/>
  </r>
  <r>
    <x v="17"/>
  </r>
  <r>
    <x v="6"/>
  </r>
  <r>
    <x v="48"/>
  </r>
  <r>
    <x v="143"/>
  </r>
  <r>
    <x v="48"/>
  </r>
  <r>
    <x v="48"/>
  </r>
  <r>
    <x v="10"/>
  </r>
  <r>
    <x v="10"/>
  </r>
  <r>
    <x v="10"/>
  </r>
  <r>
    <x v="10"/>
  </r>
  <r>
    <x v="10"/>
  </r>
  <r>
    <x v="71"/>
  </r>
  <r>
    <x v="10"/>
  </r>
  <r>
    <x v="56"/>
  </r>
  <r>
    <x v="56"/>
  </r>
  <r>
    <x v="56"/>
  </r>
  <r>
    <x v="56"/>
  </r>
  <r>
    <x v="48"/>
  </r>
  <r>
    <x v="25"/>
  </r>
  <r>
    <x v="25"/>
  </r>
  <r>
    <x v="25"/>
  </r>
  <r>
    <x v="25"/>
  </r>
  <r>
    <x v="72"/>
  </r>
  <r>
    <x v="25"/>
  </r>
  <r>
    <x v="102"/>
  </r>
  <r>
    <x v="25"/>
  </r>
  <r>
    <x v="76"/>
  </r>
  <r>
    <x v="25"/>
  </r>
  <r>
    <x v="72"/>
  </r>
  <r>
    <x v="108"/>
  </r>
  <r>
    <x v="108"/>
  </r>
  <r>
    <x v="34"/>
  </r>
  <r>
    <x v="72"/>
  </r>
  <r>
    <x v="72"/>
  </r>
  <r>
    <x v="72"/>
  </r>
  <r>
    <x v="25"/>
  </r>
  <r>
    <x v="76"/>
  </r>
  <r>
    <x v="25"/>
  </r>
  <r>
    <x v="25"/>
  </r>
  <r>
    <x v="25"/>
  </r>
  <r>
    <x v="25"/>
  </r>
  <r>
    <x v="6"/>
  </r>
  <r>
    <x v="138"/>
  </r>
  <r>
    <x v="12"/>
  </r>
  <r>
    <x v="72"/>
  </r>
  <r>
    <x v="72"/>
  </r>
  <r>
    <x v="25"/>
  </r>
  <r>
    <x v="185"/>
  </r>
  <r>
    <x v="2"/>
  </r>
  <r>
    <x v="78"/>
  </r>
  <r>
    <x v="93"/>
  </r>
  <r>
    <x v="25"/>
  </r>
  <r>
    <x v="25"/>
  </r>
  <r>
    <x v="36"/>
  </r>
  <r>
    <x v="25"/>
  </r>
  <r>
    <x v="93"/>
  </r>
  <r>
    <x v="112"/>
  </r>
  <r>
    <x v="48"/>
  </r>
  <r>
    <x v="25"/>
  </r>
  <r>
    <x v="59"/>
  </r>
  <r>
    <x v="25"/>
  </r>
  <r>
    <x v="102"/>
  </r>
  <r>
    <x v="25"/>
  </r>
  <r>
    <x v="48"/>
  </r>
  <r>
    <x v="48"/>
  </r>
  <r>
    <x v="25"/>
  </r>
  <r>
    <x v="14"/>
  </r>
  <r>
    <x v="48"/>
  </r>
  <r>
    <x v="48"/>
  </r>
  <r>
    <x v="78"/>
  </r>
  <r>
    <x v="78"/>
  </r>
  <r>
    <x v="15"/>
  </r>
  <r>
    <x v="25"/>
  </r>
  <r>
    <x v="42"/>
  </r>
  <r>
    <x v="0"/>
  </r>
  <r>
    <x v="12"/>
  </r>
  <r>
    <x v="63"/>
  </r>
  <r>
    <x v="105"/>
  </r>
  <r>
    <x v="27"/>
  </r>
  <r>
    <x v="27"/>
  </r>
  <r>
    <x v="6"/>
  </r>
  <r>
    <x v="12"/>
  </r>
  <r>
    <x v="108"/>
  </r>
  <r>
    <x v="27"/>
  </r>
  <r>
    <x v="42"/>
  </r>
  <r>
    <x v="43"/>
  </r>
  <r>
    <x v="14"/>
  </r>
  <r>
    <x v="14"/>
  </r>
  <r>
    <x v="14"/>
  </r>
  <r>
    <x v="14"/>
  </r>
  <r>
    <x v="387"/>
  </r>
  <r>
    <x v="22"/>
  </r>
  <r>
    <x v="31"/>
  </r>
  <r>
    <x v="0"/>
  </r>
  <r>
    <x v="14"/>
  </r>
  <r>
    <x v="14"/>
  </r>
  <r>
    <x v="0"/>
  </r>
  <r>
    <x v="3"/>
  </r>
  <r>
    <x v="6"/>
  </r>
  <r>
    <x v="0"/>
  </r>
  <r>
    <x v="6"/>
  </r>
  <r>
    <x v="100"/>
  </r>
  <r>
    <x v="181"/>
  </r>
  <r>
    <x v="143"/>
  </r>
  <r>
    <x v="28"/>
  </r>
  <r>
    <x v="0"/>
  </r>
  <r>
    <x v="63"/>
  </r>
  <r>
    <x v="14"/>
  </r>
  <r>
    <x v="0"/>
  </r>
  <r>
    <x v="10"/>
  </r>
  <r>
    <x v="40"/>
  </r>
  <r>
    <x v="40"/>
  </r>
  <r>
    <x v="10"/>
  </r>
  <r>
    <x v="42"/>
  </r>
  <r>
    <x v="0"/>
  </r>
  <r>
    <x v="0"/>
  </r>
  <r>
    <x v="14"/>
  </r>
  <r>
    <x v="12"/>
  </r>
  <r>
    <x v="76"/>
  </r>
  <r>
    <x v="55"/>
  </r>
  <r>
    <x v="131"/>
  </r>
  <r>
    <x v="24"/>
  </r>
  <r>
    <x v="12"/>
  </r>
  <r>
    <x v="32"/>
  </r>
  <r>
    <x v="32"/>
  </r>
  <r>
    <x v="32"/>
  </r>
  <r>
    <x v="32"/>
  </r>
  <r>
    <x v="0"/>
  </r>
  <r>
    <x v="0"/>
  </r>
  <r>
    <x v="0"/>
  </r>
  <r>
    <x v="2"/>
  </r>
  <r>
    <x v="28"/>
  </r>
  <r>
    <x v="56"/>
  </r>
  <r>
    <x v="22"/>
  </r>
  <r>
    <x v="79"/>
  </r>
  <r>
    <x v="48"/>
  </r>
  <r>
    <x v="86"/>
  </r>
  <r>
    <x v="86"/>
  </r>
  <r>
    <x v="143"/>
  </r>
  <r>
    <x v="14"/>
  </r>
  <r>
    <x v="17"/>
  </r>
  <r>
    <x v="2"/>
  </r>
  <r>
    <x v="71"/>
  </r>
  <r>
    <x v="143"/>
  </r>
  <r>
    <x v="14"/>
  </r>
  <r>
    <x v="17"/>
  </r>
  <r>
    <x v="37"/>
  </r>
  <r>
    <x v="63"/>
  </r>
  <r>
    <x v="2"/>
  </r>
  <r>
    <x v="48"/>
  </r>
  <r>
    <x v="56"/>
  </r>
  <r>
    <x v="59"/>
  </r>
  <r>
    <x v="48"/>
  </r>
  <r>
    <x v="48"/>
  </r>
  <r>
    <x v="12"/>
  </r>
  <r>
    <x v="31"/>
  </r>
  <r>
    <x v="154"/>
  </r>
  <r>
    <x v="154"/>
  </r>
  <r>
    <x v="154"/>
  </r>
  <r>
    <x v="77"/>
  </r>
  <r>
    <x v="0"/>
  </r>
  <r>
    <x v="0"/>
  </r>
  <r>
    <x v="42"/>
  </r>
  <r>
    <x v="11"/>
  </r>
  <r>
    <x v="0"/>
  </r>
  <r>
    <x v="23"/>
  </r>
  <r>
    <x v="17"/>
  </r>
  <r>
    <x v="30"/>
  </r>
  <r>
    <x v="30"/>
  </r>
  <r>
    <x v="0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105"/>
  </r>
  <r>
    <x v="42"/>
  </r>
  <r>
    <x v="182"/>
  </r>
  <r>
    <x v="42"/>
  </r>
  <r>
    <x v="31"/>
  </r>
  <r>
    <x v="10"/>
  </r>
  <r>
    <x v="14"/>
  </r>
  <r>
    <x v="81"/>
  </r>
  <r>
    <x v="25"/>
  </r>
  <r>
    <x v="40"/>
  </r>
  <r>
    <x v="56"/>
  </r>
  <r>
    <x v="152"/>
  </r>
  <r>
    <x v="10"/>
  </r>
  <r>
    <x v="152"/>
  </r>
  <r>
    <x v="40"/>
  </r>
  <r>
    <x v="1"/>
  </r>
  <r>
    <x v="1"/>
  </r>
  <r>
    <x v="40"/>
  </r>
  <r>
    <x v="40"/>
  </r>
  <r>
    <x v="48"/>
  </r>
  <r>
    <x v="0"/>
  </r>
  <r>
    <x v="79"/>
  </r>
  <r>
    <x v="12"/>
  </r>
  <r>
    <x v="72"/>
  </r>
  <r>
    <x v="48"/>
  </r>
  <r>
    <x v="72"/>
  </r>
  <r>
    <x v="12"/>
  </r>
  <r>
    <x v="12"/>
  </r>
  <r>
    <x v="0"/>
  </r>
  <r>
    <x v="48"/>
  </r>
  <r>
    <x v="81"/>
  </r>
  <r>
    <x v="48"/>
  </r>
  <r>
    <x v="34"/>
  </r>
  <r>
    <x v="37"/>
  </r>
  <r>
    <x v="115"/>
  </r>
  <r>
    <x v="46"/>
  </r>
  <r>
    <x v="116"/>
  </r>
  <r>
    <x v="0"/>
  </r>
  <r>
    <x v="90"/>
  </r>
  <r>
    <x v="0"/>
  </r>
  <r>
    <x v="0"/>
  </r>
  <r>
    <x v="0"/>
  </r>
  <r>
    <x v="0"/>
  </r>
  <r>
    <x v="14"/>
  </r>
  <r>
    <x v="14"/>
  </r>
  <r>
    <x v="9"/>
  </r>
  <r>
    <x v="85"/>
  </r>
  <r>
    <x v="45"/>
  </r>
  <r>
    <x v="12"/>
  </r>
  <r>
    <x v="71"/>
  </r>
  <r>
    <x v="71"/>
  </r>
  <r>
    <x v="71"/>
  </r>
  <r>
    <x v="71"/>
  </r>
  <r>
    <x v="71"/>
  </r>
  <r>
    <x v="71"/>
  </r>
  <r>
    <x v="71"/>
  </r>
  <r>
    <x v="0"/>
  </r>
  <r>
    <x v="55"/>
  </r>
  <r>
    <x v="102"/>
  </r>
  <r>
    <x v="48"/>
  </r>
  <r>
    <x v="152"/>
  </r>
  <r>
    <x v="152"/>
  </r>
  <r>
    <x v="152"/>
  </r>
  <r>
    <x v="48"/>
  </r>
  <r>
    <x v="81"/>
  </r>
  <r>
    <x v="35"/>
  </r>
  <r>
    <x v="0"/>
  </r>
  <r>
    <x v="0"/>
  </r>
  <r>
    <x v="25"/>
  </r>
  <r>
    <x v="35"/>
  </r>
  <r>
    <x v="0"/>
  </r>
  <r>
    <x v="48"/>
  </r>
  <r>
    <x v="25"/>
  </r>
  <r>
    <x v="53"/>
  </r>
  <r>
    <x v="0"/>
  </r>
  <r>
    <x v="0"/>
  </r>
  <r>
    <x v="0"/>
  </r>
  <r>
    <x v="25"/>
  </r>
  <r>
    <x v="0"/>
  </r>
  <r>
    <x v="136"/>
  </r>
  <r>
    <x v="136"/>
  </r>
  <r>
    <x v="22"/>
  </r>
  <r>
    <x v="31"/>
  </r>
  <r>
    <x v="25"/>
  </r>
  <r>
    <x v="78"/>
  </r>
  <r>
    <x v="79"/>
  </r>
  <r>
    <x v="79"/>
  </r>
  <r>
    <x v="63"/>
  </r>
  <r>
    <x v="63"/>
  </r>
  <r>
    <x v="79"/>
  </r>
  <r>
    <x v="25"/>
  </r>
  <r>
    <x v="79"/>
  </r>
  <r>
    <x v="77"/>
  </r>
  <r>
    <x v="3"/>
  </r>
  <r>
    <x v="25"/>
  </r>
  <r>
    <x v="91"/>
  </r>
  <r>
    <x v="91"/>
  </r>
  <r>
    <x v="25"/>
  </r>
  <r>
    <x v="3"/>
  </r>
  <r>
    <x v="3"/>
  </r>
  <r>
    <x v="3"/>
  </r>
  <r>
    <x v="31"/>
  </r>
  <r>
    <x v="25"/>
  </r>
  <r>
    <x v="29"/>
  </r>
  <r>
    <x v="25"/>
  </r>
  <r>
    <x v="25"/>
  </r>
  <r>
    <x v="388"/>
  </r>
  <r>
    <x v="72"/>
  </r>
  <r>
    <x v="14"/>
  </r>
  <r>
    <x v="14"/>
  </r>
  <r>
    <x v="40"/>
  </r>
  <r>
    <x v="14"/>
  </r>
  <r>
    <x v="14"/>
  </r>
  <r>
    <x v="14"/>
  </r>
  <r>
    <x v="37"/>
  </r>
  <r>
    <x v="55"/>
  </r>
  <r>
    <x v="48"/>
  </r>
  <r>
    <x v="48"/>
  </r>
  <r>
    <x v="48"/>
  </r>
  <r>
    <x v="48"/>
  </r>
  <r>
    <x v="48"/>
  </r>
  <r>
    <x v="55"/>
  </r>
  <r>
    <x v="55"/>
  </r>
  <r>
    <x v="152"/>
  </r>
  <r>
    <x v="63"/>
  </r>
  <r>
    <x v="63"/>
  </r>
  <r>
    <x v="152"/>
  </r>
  <r>
    <x v="26"/>
  </r>
  <r>
    <x v="9"/>
  </r>
  <r>
    <x v="25"/>
  </r>
  <r>
    <x v="25"/>
  </r>
  <r>
    <x v="25"/>
  </r>
  <r>
    <x v="8"/>
  </r>
  <r>
    <x v="8"/>
  </r>
  <r>
    <x v="42"/>
  </r>
  <r>
    <x v="59"/>
  </r>
  <r>
    <x v="42"/>
  </r>
  <r>
    <x v="42"/>
  </r>
  <r>
    <x v="45"/>
  </r>
  <r>
    <x v="45"/>
  </r>
  <r>
    <x v="24"/>
  </r>
  <r>
    <x v="45"/>
  </r>
  <r>
    <x v="59"/>
  </r>
  <r>
    <x v="37"/>
  </r>
  <r>
    <x v="37"/>
  </r>
  <r>
    <x v="27"/>
  </r>
  <r>
    <x v="31"/>
  </r>
  <r>
    <x v="31"/>
  </r>
  <r>
    <x v="31"/>
  </r>
  <r>
    <x v="31"/>
  </r>
  <r>
    <x v="29"/>
  </r>
  <r>
    <x v="81"/>
  </r>
  <r>
    <x v="31"/>
  </r>
  <r>
    <x v="122"/>
  </r>
  <r>
    <x v="92"/>
  </r>
  <r>
    <x v="31"/>
  </r>
  <r>
    <x v="79"/>
  </r>
  <r>
    <x v="31"/>
  </r>
  <r>
    <x v="6"/>
  </r>
  <r>
    <x v="81"/>
  </r>
  <r>
    <x v="28"/>
  </r>
  <r>
    <x v="31"/>
  </r>
  <r>
    <x v="31"/>
  </r>
  <r>
    <x v="28"/>
  </r>
  <r>
    <x v="17"/>
  </r>
  <r>
    <x v="10"/>
  </r>
  <r>
    <x v="12"/>
  </r>
  <r>
    <x v="12"/>
  </r>
  <r>
    <x v="26"/>
  </r>
  <r>
    <x v="81"/>
  </r>
  <r>
    <x v="28"/>
  </r>
  <r>
    <x v="55"/>
  </r>
  <r>
    <x v="55"/>
  </r>
  <r>
    <x v="106"/>
  </r>
  <r>
    <x v="30"/>
  </r>
  <r>
    <x v="30"/>
  </r>
  <r>
    <x v="50"/>
  </r>
  <r>
    <x v="14"/>
  </r>
  <r>
    <x v="29"/>
  </r>
  <r>
    <x v="85"/>
  </r>
  <r>
    <x v="56"/>
  </r>
  <r>
    <x v="37"/>
  </r>
  <r>
    <x v="56"/>
  </r>
  <r>
    <x v="48"/>
  </r>
  <r>
    <x v="48"/>
  </r>
  <r>
    <x v="48"/>
  </r>
  <r>
    <x v="48"/>
  </r>
  <r>
    <x v="35"/>
  </r>
  <r>
    <x v="56"/>
  </r>
  <r>
    <x v="190"/>
  </r>
  <r>
    <x v="56"/>
  </r>
  <r>
    <x v="190"/>
  </r>
  <r>
    <x v="14"/>
  </r>
  <r>
    <x v="331"/>
  </r>
  <r>
    <x v="190"/>
  </r>
  <r>
    <x v="48"/>
  </r>
  <r>
    <x v="76"/>
  </r>
  <r>
    <x v="182"/>
  </r>
  <r>
    <x v="28"/>
  </r>
  <r>
    <x v="9"/>
  </r>
  <r>
    <x v="9"/>
  </r>
  <r>
    <x v="29"/>
  </r>
  <r>
    <x v="29"/>
  </r>
  <r>
    <x v="42"/>
  </r>
  <r>
    <x v="50"/>
  </r>
  <r>
    <x v="50"/>
  </r>
  <r>
    <x v="42"/>
  </r>
  <r>
    <x v="57"/>
  </r>
  <r>
    <x v="152"/>
  </r>
  <r>
    <x v="190"/>
  </r>
  <r>
    <x v="57"/>
  </r>
  <r>
    <x v="48"/>
  </r>
  <r>
    <x v="72"/>
  </r>
  <r>
    <x v="87"/>
  </r>
  <r>
    <x v="42"/>
  </r>
  <r>
    <x v="42"/>
  </r>
  <r>
    <x v="42"/>
  </r>
  <r>
    <x v="115"/>
  </r>
  <r>
    <x v="102"/>
  </r>
  <r>
    <x v="154"/>
  </r>
  <r>
    <x v="154"/>
  </r>
  <r>
    <x v="53"/>
  </r>
  <r>
    <x v="55"/>
  </r>
  <r>
    <x v="190"/>
  </r>
  <r>
    <x v="154"/>
  </r>
  <r>
    <x v="78"/>
  </r>
  <r>
    <x v="31"/>
  </r>
  <r>
    <x v="9"/>
  </r>
  <r>
    <x v="10"/>
  </r>
  <r>
    <x v="10"/>
  </r>
  <r>
    <x v="10"/>
  </r>
  <r>
    <x v="10"/>
  </r>
  <r>
    <x v="14"/>
  </r>
  <r>
    <x v="46"/>
  </r>
  <r>
    <x v="100"/>
  </r>
  <r>
    <x v="48"/>
  </r>
  <r>
    <x v="10"/>
  </r>
  <r>
    <x v="80"/>
  </r>
  <r>
    <x v="48"/>
  </r>
  <r>
    <x v="42"/>
  </r>
  <r>
    <x v="48"/>
  </r>
  <r>
    <x v="42"/>
  </r>
  <r>
    <x v="56"/>
  </r>
  <r>
    <x v="22"/>
  </r>
  <r>
    <x v="87"/>
  </r>
  <r>
    <x v="28"/>
  </r>
  <r>
    <x v="36"/>
  </r>
  <r>
    <x v="36"/>
  </r>
  <r>
    <x v="0"/>
  </r>
  <r>
    <x v="0"/>
  </r>
  <r>
    <x v="102"/>
  </r>
  <r>
    <x v="36"/>
  </r>
  <r>
    <x v="36"/>
  </r>
  <r>
    <x v="48"/>
  </r>
  <r>
    <x v="100"/>
  </r>
  <r>
    <x v="25"/>
  </r>
  <r>
    <x v="108"/>
  </r>
  <r>
    <x v="36"/>
  </r>
  <r>
    <x v="77"/>
  </r>
  <r>
    <x v="14"/>
  </r>
  <r>
    <x v="3"/>
  </r>
  <r>
    <x v="3"/>
  </r>
  <r>
    <x v="0"/>
  </r>
  <r>
    <x v="118"/>
  </r>
  <r>
    <x v="53"/>
  </r>
  <r>
    <x v="3"/>
  </r>
  <r>
    <x v="3"/>
  </r>
  <r>
    <x v="3"/>
  </r>
  <r>
    <x v="3"/>
  </r>
  <r>
    <x v="29"/>
  </r>
  <r>
    <x v="3"/>
  </r>
  <r>
    <x v="29"/>
  </r>
  <r>
    <x v="3"/>
  </r>
  <r>
    <x v="48"/>
  </r>
  <r>
    <x v="6"/>
  </r>
  <r>
    <x v="36"/>
  </r>
  <r>
    <x v="36"/>
  </r>
  <r>
    <x v="3"/>
  </r>
  <r>
    <x v="99"/>
  </r>
  <r>
    <x v="0"/>
  </r>
  <r>
    <x v="253"/>
  </r>
  <r>
    <x v="34"/>
  </r>
  <r>
    <x v="3"/>
  </r>
  <r>
    <x v="3"/>
  </r>
  <r>
    <x v="64"/>
  </r>
  <r>
    <x v="15"/>
  </r>
  <r>
    <x v="2"/>
  </r>
  <r>
    <x v="265"/>
  </r>
  <r>
    <x v="0"/>
  </r>
  <r>
    <x v="0"/>
  </r>
  <r>
    <x v="187"/>
  </r>
  <r>
    <x v="55"/>
  </r>
  <r>
    <x v="63"/>
  </r>
  <r>
    <x v="56"/>
  </r>
  <r>
    <x v="56"/>
  </r>
  <r>
    <x v="56"/>
  </r>
  <r>
    <x v="3"/>
  </r>
  <r>
    <x v="25"/>
  </r>
  <r>
    <x v="42"/>
  </r>
  <r>
    <x v="4"/>
  </r>
  <r>
    <x v="4"/>
  </r>
  <r>
    <x v="25"/>
  </r>
  <r>
    <x v="25"/>
  </r>
  <r>
    <x v="81"/>
  </r>
  <r>
    <x v="81"/>
  </r>
  <r>
    <x v="3"/>
  </r>
  <r>
    <x v="12"/>
  </r>
  <r>
    <x v="12"/>
  </r>
  <r>
    <x v="12"/>
  </r>
  <r>
    <x v="25"/>
  </r>
  <r>
    <x v="20"/>
  </r>
  <r>
    <x v="46"/>
  </r>
  <r>
    <x v="152"/>
  </r>
  <r>
    <x v="0"/>
  </r>
  <r>
    <x v="15"/>
  </r>
  <r>
    <x v="152"/>
  </r>
  <r>
    <x v="0"/>
  </r>
  <r>
    <x v="118"/>
  </r>
  <r>
    <x v="152"/>
  </r>
  <r>
    <x v="25"/>
  </r>
  <r>
    <x v="36"/>
  </r>
  <r>
    <x v="22"/>
  </r>
  <r>
    <x v="25"/>
  </r>
  <r>
    <x v="36"/>
  </r>
  <r>
    <x v="48"/>
  </r>
  <r>
    <x v="0"/>
  </r>
  <r>
    <x v="48"/>
  </r>
  <r>
    <x v="79"/>
  </r>
  <r>
    <x v="79"/>
  </r>
  <r>
    <x v="63"/>
  </r>
  <r>
    <x v="4"/>
  </r>
  <r>
    <x v="48"/>
  </r>
  <r>
    <x v="79"/>
  </r>
  <r>
    <x v="122"/>
  </r>
  <r>
    <x v="7"/>
  </r>
  <r>
    <x v="48"/>
  </r>
  <r>
    <x v="48"/>
  </r>
  <r>
    <x v="63"/>
  </r>
  <r>
    <x v="42"/>
  </r>
  <r>
    <x v="14"/>
  </r>
  <r>
    <x v="14"/>
  </r>
  <r>
    <x v="14"/>
  </r>
  <r>
    <x v="14"/>
  </r>
  <r>
    <x v="48"/>
  </r>
  <r>
    <x v="253"/>
  </r>
  <r>
    <x v="42"/>
  </r>
  <r>
    <x v="63"/>
  </r>
  <r>
    <x v="48"/>
  </r>
  <r>
    <x v="48"/>
  </r>
  <r>
    <x v="190"/>
  </r>
  <r>
    <x v="190"/>
  </r>
  <r>
    <x v="10"/>
  </r>
  <r>
    <x v="63"/>
  </r>
  <r>
    <x v="63"/>
  </r>
  <r>
    <x v="0"/>
  </r>
  <r>
    <x v="48"/>
  </r>
  <r>
    <x v="48"/>
  </r>
  <r>
    <x v="45"/>
  </r>
  <r>
    <x v="29"/>
  </r>
  <r>
    <x v="31"/>
  </r>
  <r>
    <x v="6"/>
  </r>
  <r>
    <x v="14"/>
  </r>
  <r>
    <x v="6"/>
  </r>
  <r>
    <x v="28"/>
  </r>
  <r>
    <x v="48"/>
  </r>
  <r>
    <x v="42"/>
  </r>
  <r>
    <x v="108"/>
  </r>
  <r>
    <x v="71"/>
  </r>
  <r>
    <x v="12"/>
  </r>
  <r>
    <x v="48"/>
  </r>
  <r>
    <x v="0"/>
  </r>
  <r>
    <x v="0"/>
  </r>
  <r>
    <x v="0"/>
  </r>
  <r>
    <x v="0"/>
  </r>
  <r>
    <x v="0"/>
  </r>
  <r>
    <x v="79"/>
  </r>
  <r>
    <x v="48"/>
  </r>
  <r>
    <x v="10"/>
  </r>
  <r>
    <x v="106"/>
  </r>
  <r>
    <x v="48"/>
  </r>
  <r>
    <x v="118"/>
  </r>
  <r>
    <x v="79"/>
  </r>
  <r>
    <x v="99"/>
  </r>
  <r>
    <x v="48"/>
  </r>
  <r>
    <x v="48"/>
  </r>
  <r>
    <x v="31"/>
  </r>
  <r>
    <x v="31"/>
  </r>
  <r>
    <x v="0"/>
  </r>
  <r>
    <x v="0"/>
  </r>
  <r>
    <x v="0"/>
  </r>
  <r>
    <x v="46"/>
  </r>
  <r>
    <x v="46"/>
  </r>
  <r>
    <x v="20"/>
  </r>
  <r>
    <x v="20"/>
  </r>
  <r>
    <x v="199"/>
  </r>
  <r>
    <x v="21"/>
  </r>
  <r>
    <x v="2"/>
  </r>
  <r>
    <x v="2"/>
  </r>
  <r>
    <x v="21"/>
  </r>
  <r>
    <x v="14"/>
  </r>
  <r>
    <x v="14"/>
  </r>
  <r>
    <x v="14"/>
  </r>
  <r>
    <x v="14"/>
  </r>
  <r>
    <x v="14"/>
  </r>
  <r>
    <x v="81"/>
  </r>
  <r>
    <x v="14"/>
  </r>
  <r>
    <x v="14"/>
  </r>
  <r>
    <x v="14"/>
  </r>
  <r>
    <x v="81"/>
  </r>
  <r>
    <x v="0"/>
  </r>
  <r>
    <x v="0"/>
  </r>
  <r>
    <x v="0"/>
  </r>
  <r>
    <x v="12"/>
  </r>
  <r>
    <x v="48"/>
  </r>
  <r>
    <x v="12"/>
  </r>
  <r>
    <x v="23"/>
  </r>
  <r>
    <x v="108"/>
  </r>
  <r>
    <x v="30"/>
  </r>
  <r>
    <x v="45"/>
  </r>
  <r>
    <x v="2"/>
  </r>
  <r>
    <x v="61"/>
  </r>
  <r>
    <x v="84"/>
  </r>
  <r>
    <x v="2"/>
  </r>
  <r>
    <x v="2"/>
  </r>
  <r>
    <x v="28"/>
  </r>
  <r>
    <x v="28"/>
  </r>
  <r>
    <x v="100"/>
  </r>
  <r>
    <x v="48"/>
  </r>
  <r>
    <x v="30"/>
  </r>
  <r>
    <x v="21"/>
  </r>
  <r>
    <x v="30"/>
  </r>
  <r>
    <x v="28"/>
  </r>
  <r>
    <x v="28"/>
  </r>
  <r>
    <x v="72"/>
  </r>
  <r>
    <x v="72"/>
  </r>
  <r>
    <x v="72"/>
  </r>
  <r>
    <x v="10"/>
  </r>
  <r>
    <x v="10"/>
  </r>
  <r>
    <x v="30"/>
  </r>
  <r>
    <x v="93"/>
  </r>
  <r>
    <x v="7"/>
  </r>
  <r>
    <x v="48"/>
  </r>
  <r>
    <x v="78"/>
  </r>
  <r>
    <x v="12"/>
  </r>
  <r>
    <x v="0"/>
  </r>
  <r>
    <x v="57"/>
  </r>
  <r>
    <x v="48"/>
  </r>
  <r>
    <x v="14"/>
  </r>
  <r>
    <x v="28"/>
  </r>
  <r>
    <x v="28"/>
  </r>
  <r>
    <x v="41"/>
  </r>
  <r>
    <x v="0"/>
  </r>
  <r>
    <x v="0"/>
  </r>
  <r>
    <x v="49"/>
  </r>
  <r>
    <x v="21"/>
  </r>
  <r>
    <x v="37"/>
  </r>
  <r>
    <x v="14"/>
  </r>
  <r>
    <x v="88"/>
  </r>
  <r>
    <x v="25"/>
  </r>
  <r>
    <x v="9"/>
  </r>
  <r>
    <x v="23"/>
  </r>
  <r>
    <x v="42"/>
  </r>
  <r>
    <x v="0"/>
  </r>
  <r>
    <x v="7"/>
  </r>
  <r>
    <x v="7"/>
  </r>
  <r>
    <x v="8"/>
  </r>
  <r>
    <x v="42"/>
  </r>
  <r>
    <x v="10"/>
  </r>
  <r>
    <x v="10"/>
  </r>
  <r>
    <x v="10"/>
  </r>
  <r>
    <x v="4"/>
  </r>
  <r>
    <x v="2"/>
  </r>
  <r>
    <x v="2"/>
  </r>
  <r>
    <x v="56"/>
  </r>
  <r>
    <x v="56"/>
  </r>
  <r>
    <x v="56"/>
  </r>
  <r>
    <x v="56"/>
  </r>
  <r>
    <x v="75"/>
  </r>
  <r>
    <x v="32"/>
  </r>
  <r>
    <x v="75"/>
  </r>
  <r>
    <x v="32"/>
  </r>
  <r>
    <x v="81"/>
  </r>
  <r>
    <x v="72"/>
  </r>
  <r>
    <x v="14"/>
  </r>
  <r>
    <x v="78"/>
  </r>
  <r>
    <x v="78"/>
  </r>
  <r>
    <x v="14"/>
  </r>
  <r>
    <x v="72"/>
  </r>
  <r>
    <x v="78"/>
  </r>
  <r>
    <x v="78"/>
  </r>
  <r>
    <x v="78"/>
  </r>
  <r>
    <x v="81"/>
  </r>
  <r>
    <x v="78"/>
  </r>
  <r>
    <x v="81"/>
  </r>
  <r>
    <x v="81"/>
  </r>
  <r>
    <x v="0"/>
  </r>
  <r>
    <x v="0"/>
  </r>
  <r>
    <x v="0"/>
  </r>
  <r>
    <x v="0"/>
  </r>
  <r>
    <x v="57"/>
  </r>
  <r>
    <x v="57"/>
  </r>
  <r>
    <x v="81"/>
  </r>
  <r>
    <x v="14"/>
  </r>
  <r>
    <x v="14"/>
  </r>
  <r>
    <x v="81"/>
  </r>
  <r>
    <x v="91"/>
  </r>
  <r>
    <x v="0"/>
  </r>
  <r>
    <x v="0"/>
  </r>
  <r>
    <x v="52"/>
  </r>
  <r>
    <x v="49"/>
  </r>
  <r>
    <x v="48"/>
  </r>
  <r>
    <x v="48"/>
  </r>
  <r>
    <x v="22"/>
  </r>
  <r>
    <x v="22"/>
  </r>
  <r>
    <x v="152"/>
  </r>
  <r>
    <x v="152"/>
  </r>
  <r>
    <x v="152"/>
  </r>
  <r>
    <x v="238"/>
  </r>
  <r>
    <x v="21"/>
  </r>
  <r>
    <x v="22"/>
  </r>
  <r>
    <x v="21"/>
  </r>
  <r>
    <x v="14"/>
  </r>
  <r>
    <x v="14"/>
  </r>
  <r>
    <x v="0"/>
  </r>
  <r>
    <x v="22"/>
  </r>
  <r>
    <x v="242"/>
  </r>
  <r>
    <x v="21"/>
  </r>
  <r>
    <x v="48"/>
  </r>
  <r>
    <x v="48"/>
  </r>
  <r>
    <x v="11"/>
  </r>
  <r>
    <x v="11"/>
  </r>
  <r>
    <x v="25"/>
  </r>
  <r>
    <x v="25"/>
  </r>
  <r>
    <x v="10"/>
  </r>
  <r>
    <x v="42"/>
  </r>
  <r>
    <x v="24"/>
  </r>
  <r>
    <x v="0"/>
  </r>
  <r>
    <x v="37"/>
  </r>
  <r>
    <x v="0"/>
  </r>
  <r>
    <x v="2"/>
  </r>
  <r>
    <x v="91"/>
  </r>
  <r>
    <x v="49"/>
  </r>
  <r>
    <x v="89"/>
  </r>
  <r>
    <x v="48"/>
  </r>
  <r>
    <x v="91"/>
  </r>
  <r>
    <x v="91"/>
  </r>
  <r>
    <x v="14"/>
  </r>
  <r>
    <x v="0"/>
  </r>
  <r>
    <x v="0"/>
  </r>
  <r>
    <x v="0"/>
  </r>
  <r>
    <x v="92"/>
  </r>
  <r>
    <x v="100"/>
  </r>
  <r>
    <x v="111"/>
  </r>
  <r>
    <x v="141"/>
  </r>
  <r>
    <x v="57"/>
  </r>
  <r>
    <x v="91"/>
  </r>
  <r>
    <x v="2"/>
  </r>
  <r>
    <x v="2"/>
  </r>
  <r>
    <x v="2"/>
  </r>
  <r>
    <x v="12"/>
  </r>
  <r>
    <x v="12"/>
  </r>
  <r>
    <x v="0"/>
  </r>
  <r>
    <x v="0"/>
  </r>
  <r>
    <x v="0"/>
  </r>
  <r>
    <x v="0"/>
  </r>
  <r>
    <x v="0"/>
  </r>
  <r>
    <x v="0"/>
  </r>
  <r>
    <x v="91"/>
  </r>
  <r>
    <x v="91"/>
  </r>
  <r>
    <x v="76"/>
  </r>
  <r>
    <x v="0"/>
  </r>
  <r>
    <x v="0"/>
  </r>
  <r>
    <x v="11"/>
  </r>
  <r>
    <x v="11"/>
  </r>
  <r>
    <x v="247"/>
  </r>
  <r>
    <x v="14"/>
  </r>
  <r>
    <x v="14"/>
  </r>
  <r>
    <x v="14"/>
  </r>
  <r>
    <x v="158"/>
  </r>
  <r>
    <x v="59"/>
  </r>
  <r>
    <x v="59"/>
  </r>
  <r>
    <x v="49"/>
  </r>
  <r>
    <x v="76"/>
  </r>
  <r>
    <x v="56"/>
  </r>
  <r>
    <x v="56"/>
  </r>
  <r>
    <x v="46"/>
  </r>
  <r>
    <x v="14"/>
  </r>
  <r>
    <x v="31"/>
  </r>
  <r>
    <x v="14"/>
  </r>
  <r>
    <x v="91"/>
  </r>
  <r>
    <x v="31"/>
  </r>
  <r>
    <x v="31"/>
  </r>
  <r>
    <x v="31"/>
  </r>
  <r>
    <x v="115"/>
  </r>
  <r>
    <x v="91"/>
  </r>
  <r>
    <x v="111"/>
  </r>
  <r>
    <x v="31"/>
  </r>
  <r>
    <x v="31"/>
  </r>
  <r>
    <x v="71"/>
  </r>
  <r>
    <x v="28"/>
  </r>
  <r>
    <x v="21"/>
  </r>
  <r>
    <x v="112"/>
  </r>
  <r>
    <x v="0"/>
  </r>
  <r>
    <x v="0"/>
  </r>
  <r>
    <x v="0"/>
  </r>
  <r>
    <x v="11"/>
  </r>
  <r>
    <x v="12"/>
  </r>
  <r>
    <x v="111"/>
  </r>
  <r>
    <x v="14"/>
  </r>
  <r>
    <x v="93"/>
  </r>
  <r>
    <x v="2"/>
  </r>
  <r>
    <x v="4"/>
  </r>
  <r>
    <x v="2"/>
  </r>
  <r>
    <x v="28"/>
  </r>
  <r>
    <x v="28"/>
  </r>
  <r>
    <x v="28"/>
  </r>
  <r>
    <x v="42"/>
  </r>
  <r>
    <x v="14"/>
  </r>
  <r>
    <x v="42"/>
  </r>
  <r>
    <x v="42"/>
  </r>
  <r>
    <x v="42"/>
  </r>
  <r>
    <x v="48"/>
  </r>
  <r>
    <x v="42"/>
  </r>
  <r>
    <x v="0"/>
  </r>
  <r>
    <x v="14"/>
  </r>
  <r>
    <x v="0"/>
  </r>
  <r>
    <x v="0"/>
  </r>
  <r>
    <x v="0"/>
  </r>
  <r>
    <x v="0"/>
  </r>
  <r>
    <x v="14"/>
  </r>
  <r>
    <x v="75"/>
  </r>
  <r>
    <x v="42"/>
  </r>
  <r>
    <x v="53"/>
  </r>
  <r>
    <x v="12"/>
  </r>
  <r>
    <x v="12"/>
  </r>
  <r>
    <x v="28"/>
  </r>
  <r>
    <x v="10"/>
  </r>
  <r>
    <x v="10"/>
  </r>
  <r>
    <x v="2"/>
  </r>
  <r>
    <x v="0"/>
  </r>
  <r>
    <x v="48"/>
  </r>
  <r>
    <x v="55"/>
  </r>
  <r>
    <x v="111"/>
  </r>
  <r>
    <x v="37"/>
  </r>
  <r>
    <x v="10"/>
  </r>
  <r>
    <x v="3"/>
  </r>
  <r>
    <x v="10"/>
  </r>
  <r>
    <x v="10"/>
  </r>
  <r>
    <x v="10"/>
  </r>
  <r>
    <x v="16"/>
  </r>
  <r>
    <x v="3"/>
  </r>
  <r>
    <x v="10"/>
  </r>
  <r>
    <x v="10"/>
  </r>
  <r>
    <x v="3"/>
  </r>
  <r>
    <x v="204"/>
  </r>
  <r>
    <x v="204"/>
  </r>
  <r>
    <x v="135"/>
  </r>
  <r>
    <x v="99"/>
  </r>
  <r>
    <x v="2"/>
  </r>
  <r>
    <x v="99"/>
  </r>
  <r>
    <x v="99"/>
  </r>
  <r>
    <x v="7"/>
  </r>
  <r>
    <x v="7"/>
  </r>
  <r>
    <x v="7"/>
  </r>
  <r>
    <x v="45"/>
  </r>
  <r>
    <x v="49"/>
  </r>
  <r>
    <x v="48"/>
  </r>
  <r>
    <x v="48"/>
  </r>
  <r>
    <x v="48"/>
  </r>
  <r>
    <x v="48"/>
  </r>
  <r>
    <x v="48"/>
  </r>
  <r>
    <x v="48"/>
  </r>
  <r>
    <x v="80"/>
  </r>
  <r>
    <x v="56"/>
  </r>
  <r>
    <x v="56"/>
  </r>
  <r>
    <x v="56"/>
  </r>
  <r>
    <x v="7"/>
  </r>
  <r>
    <x v="7"/>
  </r>
  <r>
    <x v="57"/>
  </r>
  <r>
    <x v="56"/>
  </r>
  <r>
    <x v="42"/>
  </r>
  <r>
    <x v="55"/>
  </r>
  <r>
    <x v="7"/>
  </r>
  <r>
    <x v="12"/>
  </r>
  <r>
    <x v="24"/>
  </r>
  <r>
    <x v="7"/>
  </r>
  <r>
    <x v="48"/>
  </r>
  <r>
    <x v="55"/>
  </r>
  <r>
    <x v="26"/>
  </r>
  <r>
    <x v="122"/>
  </r>
  <r>
    <x v="12"/>
  </r>
  <r>
    <x v="12"/>
  </r>
  <r>
    <x v="2"/>
  </r>
  <r>
    <x v="22"/>
  </r>
  <r>
    <x v="76"/>
  </r>
  <r>
    <x v="123"/>
  </r>
  <r>
    <x v="152"/>
  </r>
  <r>
    <x v="11"/>
  </r>
  <r>
    <x v="16"/>
  </r>
  <r>
    <x v="12"/>
  </r>
  <r>
    <x v="79"/>
  </r>
  <r>
    <x v="15"/>
  </r>
  <r>
    <x v="114"/>
  </r>
  <r>
    <x v="48"/>
  </r>
  <r>
    <x v="48"/>
  </r>
  <r>
    <x v="12"/>
  </r>
  <r>
    <x v="86"/>
  </r>
  <r>
    <x v="86"/>
  </r>
  <r>
    <x v="86"/>
  </r>
  <r>
    <x v="12"/>
  </r>
  <r>
    <x v="170"/>
  </r>
  <r>
    <x v="170"/>
  </r>
  <r>
    <x v="170"/>
  </r>
  <r>
    <x v="2"/>
  </r>
  <r>
    <x v="80"/>
  </r>
  <r>
    <x v="56"/>
  </r>
  <r>
    <x v="56"/>
  </r>
  <r>
    <x v="48"/>
  </r>
  <r>
    <x v="48"/>
  </r>
  <r>
    <x v="14"/>
  </r>
  <r>
    <x v="78"/>
  </r>
  <r>
    <x v="21"/>
  </r>
  <r>
    <x v="10"/>
  </r>
  <r>
    <x v="37"/>
  </r>
  <r>
    <x v="7"/>
  </r>
  <r>
    <x v="60"/>
  </r>
  <r>
    <x v="0"/>
  </r>
  <r>
    <x v="28"/>
  </r>
  <r>
    <x v="49"/>
  </r>
  <r>
    <x v="62"/>
  </r>
  <r>
    <x v="11"/>
  </r>
  <r>
    <x v="0"/>
  </r>
  <r>
    <x v="12"/>
  </r>
  <r>
    <x v="14"/>
  </r>
  <r>
    <x v="0"/>
  </r>
  <r>
    <x v="10"/>
  </r>
  <r>
    <x v="14"/>
  </r>
  <r>
    <x v="26"/>
  </r>
  <r>
    <x v="0"/>
  </r>
  <r>
    <x v="0"/>
  </r>
  <r>
    <x v="11"/>
  </r>
  <r>
    <x v="11"/>
  </r>
  <r>
    <x v="62"/>
  </r>
  <r>
    <x v="45"/>
  </r>
  <r>
    <x v="10"/>
  </r>
  <r>
    <x v="10"/>
  </r>
  <r>
    <x v="76"/>
  </r>
  <r>
    <x v="10"/>
  </r>
  <r>
    <x v="17"/>
  </r>
  <r>
    <x v="16"/>
  </r>
  <r>
    <x v="12"/>
  </r>
  <r>
    <x v="21"/>
  </r>
  <r>
    <x v="17"/>
  </r>
  <r>
    <x v="62"/>
  </r>
  <r>
    <x v="17"/>
  </r>
  <r>
    <x v="14"/>
  </r>
  <r>
    <x v="19"/>
  </r>
  <r>
    <x v="26"/>
  </r>
  <r>
    <x v="45"/>
  </r>
  <r>
    <x v="7"/>
  </r>
  <r>
    <x v="25"/>
  </r>
  <r>
    <x v="14"/>
  </r>
  <r>
    <x v="17"/>
  </r>
  <r>
    <x v="0"/>
  </r>
  <r>
    <x v="17"/>
  </r>
  <r>
    <x v="17"/>
  </r>
  <r>
    <x v="14"/>
  </r>
  <r>
    <x v="9"/>
  </r>
  <r>
    <x v="9"/>
  </r>
  <r>
    <x v="48"/>
  </r>
  <r>
    <x v="14"/>
  </r>
  <r>
    <x v="37"/>
  </r>
  <r>
    <x v="14"/>
  </r>
  <r>
    <x v="48"/>
  </r>
  <r>
    <x v="48"/>
  </r>
  <r>
    <x v="48"/>
  </r>
  <r>
    <x v="30"/>
  </r>
  <r>
    <x v="48"/>
  </r>
  <r>
    <x v="123"/>
  </r>
  <r>
    <x v="14"/>
  </r>
  <r>
    <x v="14"/>
  </r>
  <r>
    <x v="9"/>
  </r>
  <r>
    <x v="9"/>
  </r>
  <r>
    <x v="0"/>
  </r>
  <r>
    <x v="48"/>
  </r>
  <r>
    <x v="10"/>
  </r>
  <r>
    <x v="10"/>
  </r>
  <r>
    <x v="12"/>
  </r>
  <r>
    <x v="0"/>
  </r>
  <r>
    <x v="48"/>
  </r>
  <r>
    <x v="59"/>
  </r>
  <r>
    <x v="7"/>
  </r>
  <r>
    <x v="105"/>
  </r>
  <r>
    <x v="105"/>
  </r>
  <r>
    <x v="174"/>
  </r>
  <r>
    <x v="165"/>
  </r>
  <r>
    <x v="0"/>
  </r>
  <r>
    <x v="9"/>
  </r>
  <r>
    <x v="26"/>
  </r>
  <r>
    <x v="12"/>
  </r>
  <r>
    <x v="14"/>
  </r>
  <r>
    <x v="9"/>
  </r>
  <r>
    <x v="130"/>
  </r>
  <r>
    <x v="14"/>
  </r>
  <r>
    <x v="14"/>
  </r>
  <r>
    <x v="28"/>
  </r>
  <r>
    <x v="14"/>
  </r>
  <r>
    <x v="25"/>
  </r>
  <r>
    <x v="17"/>
  </r>
  <r>
    <x v="17"/>
  </r>
  <r>
    <x v="51"/>
  </r>
  <r>
    <x v="17"/>
  </r>
  <r>
    <x v="14"/>
  </r>
  <r>
    <x v="14"/>
  </r>
  <r>
    <x v="28"/>
  </r>
  <r>
    <x v="7"/>
  </r>
  <r>
    <x v="34"/>
  </r>
  <r>
    <x v="34"/>
  </r>
  <r>
    <x v="29"/>
  </r>
  <r>
    <x v="17"/>
  </r>
  <r>
    <x v="24"/>
  </r>
  <r>
    <x v="22"/>
  </r>
  <r>
    <x v="152"/>
  </r>
  <r>
    <x v="152"/>
  </r>
  <r>
    <x v="93"/>
  </r>
  <r>
    <x v="63"/>
  </r>
  <r>
    <x v="45"/>
  </r>
  <r>
    <x v="14"/>
  </r>
  <r>
    <x v="14"/>
  </r>
  <r>
    <x v="37"/>
  </r>
  <r>
    <x v="37"/>
  </r>
  <r>
    <x v="37"/>
  </r>
  <r>
    <x v="37"/>
  </r>
  <r>
    <x v="37"/>
  </r>
  <r>
    <x v="37"/>
  </r>
  <r>
    <x v="37"/>
  </r>
  <r>
    <x v="37"/>
  </r>
  <r>
    <x v="42"/>
  </r>
  <r>
    <x v="40"/>
  </r>
  <r>
    <x v="123"/>
  </r>
  <r>
    <x v="12"/>
  </r>
  <r>
    <x v="48"/>
  </r>
  <r>
    <x v="56"/>
  </r>
  <r>
    <x v="56"/>
  </r>
  <r>
    <x v="28"/>
  </r>
  <r>
    <x v="48"/>
  </r>
  <r>
    <x v="56"/>
  </r>
  <r>
    <x v="56"/>
  </r>
  <r>
    <x v="56"/>
  </r>
  <r>
    <x v="56"/>
  </r>
  <r>
    <x v="56"/>
  </r>
  <r>
    <x v="56"/>
  </r>
  <r>
    <x v="56"/>
  </r>
  <r>
    <x v="16"/>
  </r>
  <r>
    <x v="78"/>
  </r>
  <r>
    <x v="17"/>
  </r>
  <r>
    <x v="12"/>
  </r>
  <r>
    <x v="11"/>
  </r>
  <r>
    <x v="28"/>
  </r>
  <r>
    <x v="28"/>
  </r>
  <r>
    <x v="8"/>
  </r>
  <r>
    <x v="17"/>
  </r>
  <r>
    <x v="131"/>
  </r>
  <r>
    <x v="37"/>
  </r>
  <r>
    <x v="9"/>
  </r>
  <r>
    <x v="12"/>
  </r>
  <r>
    <x v="48"/>
  </r>
  <r>
    <x v="45"/>
  </r>
  <r>
    <x v="56"/>
  </r>
  <r>
    <x v="56"/>
  </r>
  <r>
    <x v="48"/>
  </r>
  <r>
    <x v="53"/>
  </r>
  <r>
    <x v="12"/>
  </r>
  <r>
    <x v="17"/>
  </r>
  <r>
    <x v="17"/>
  </r>
  <r>
    <x v="16"/>
  </r>
  <r>
    <x v="28"/>
  </r>
  <r>
    <x v="24"/>
  </r>
  <r>
    <x v="17"/>
  </r>
  <r>
    <x v="55"/>
  </r>
  <r>
    <x v="133"/>
  </r>
  <r>
    <x v="46"/>
  </r>
  <r>
    <x v="46"/>
  </r>
  <r>
    <x v="14"/>
  </r>
  <r>
    <x v="48"/>
  </r>
  <r>
    <x v="72"/>
  </r>
  <r>
    <x v="29"/>
  </r>
  <r>
    <x v="29"/>
  </r>
  <r>
    <x v="84"/>
  </r>
  <r>
    <x v="48"/>
  </r>
  <r>
    <x v="90"/>
  </r>
  <r>
    <x v="24"/>
  </r>
  <r>
    <x v="77"/>
  </r>
  <r>
    <x v="87"/>
  </r>
  <r>
    <x v="10"/>
  </r>
  <r>
    <x v="10"/>
  </r>
  <r>
    <x v="12"/>
  </r>
  <r>
    <x v="48"/>
  </r>
  <r>
    <x v="48"/>
  </r>
  <r>
    <x v="48"/>
  </r>
  <r>
    <x v="48"/>
  </r>
  <r>
    <x v="48"/>
  </r>
  <r>
    <x v="33"/>
  </r>
  <r>
    <x v="48"/>
  </r>
  <r>
    <x v="2"/>
  </r>
  <r>
    <x v="26"/>
  </r>
  <r>
    <x v="114"/>
  </r>
  <r>
    <x v="26"/>
  </r>
  <r>
    <x v="48"/>
  </r>
  <r>
    <x v="48"/>
  </r>
  <r>
    <x v="4"/>
  </r>
  <r>
    <x v="14"/>
  </r>
  <r>
    <x v="48"/>
  </r>
  <r>
    <x v="48"/>
  </r>
  <r>
    <x v="36"/>
  </r>
  <r>
    <x v="25"/>
  </r>
  <r>
    <x v="36"/>
  </r>
  <r>
    <x v="7"/>
  </r>
  <r>
    <x v="64"/>
  </r>
  <r>
    <x v="28"/>
  </r>
  <r>
    <x v="28"/>
  </r>
  <r>
    <x v="24"/>
  </r>
  <r>
    <x v="25"/>
  </r>
  <r>
    <x v="0"/>
  </r>
  <r>
    <x v="12"/>
  </r>
  <r>
    <x v="12"/>
  </r>
  <r>
    <x v="48"/>
  </r>
  <r>
    <x v="14"/>
  </r>
  <r>
    <x v="2"/>
  </r>
  <r>
    <x v="26"/>
  </r>
  <r>
    <x v="26"/>
  </r>
  <r>
    <x v="46"/>
  </r>
  <r>
    <x v="87"/>
  </r>
  <r>
    <x v="48"/>
  </r>
  <r>
    <x v="14"/>
  </r>
  <r>
    <x v="14"/>
  </r>
  <r>
    <x v="14"/>
  </r>
  <r>
    <x v="14"/>
  </r>
  <r>
    <x v="14"/>
  </r>
  <r>
    <x v="45"/>
  </r>
  <r>
    <x v="17"/>
  </r>
  <r>
    <x v="12"/>
  </r>
  <r>
    <x v="12"/>
  </r>
  <r>
    <x v="11"/>
  </r>
  <r>
    <x v="28"/>
  </r>
  <r>
    <x v="55"/>
  </r>
  <r>
    <x v="12"/>
  </r>
  <r>
    <x v="10"/>
  </r>
  <r>
    <x v="79"/>
  </r>
  <r>
    <x v="10"/>
  </r>
  <r>
    <x v="0"/>
  </r>
  <r>
    <x v="10"/>
  </r>
  <r>
    <x v="28"/>
  </r>
  <r>
    <x v="17"/>
  </r>
  <r>
    <x v="17"/>
  </r>
  <r>
    <x v="0"/>
  </r>
  <r>
    <x v="24"/>
  </r>
  <r>
    <x v="14"/>
  </r>
  <r>
    <x v="45"/>
  </r>
  <r>
    <x v="143"/>
  </r>
  <r>
    <x v="46"/>
  </r>
  <r>
    <x v="14"/>
  </r>
  <r>
    <x v="14"/>
  </r>
  <r>
    <x v="12"/>
  </r>
  <r>
    <x v="93"/>
  </r>
  <r>
    <x v="64"/>
  </r>
  <r>
    <x v="6"/>
  </r>
  <r>
    <x v="55"/>
  </r>
  <r>
    <x v="34"/>
  </r>
  <r>
    <x v="4"/>
  </r>
  <r>
    <x v="0"/>
  </r>
  <r>
    <x v="130"/>
  </r>
  <r>
    <x v="14"/>
  </r>
  <r>
    <x v="14"/>
  </r>
  <r>
    <x v="45"/>
  </r>
  <r>
    <x v="8"/>
  </r>
  <r>
    <x v="7"/>
  </r>
  <r>
    <x v="62"/>
  </r>
  <r>
    <x v="12"/>
  </r>
  <r>
    <x v="0"/>
  </r>
  <r>
    <x v="0"/>
  </r>
  <r>
    <x v="10"/>
  </r>
  <r>
    <x v="0"/>
  </r>
  <r>
    <x v="10"/>
  </r>
  <r>
    <x v="14"/>
  </r>
  <r>
    <x v="14"/>
  </r>
  <r>
    <x v="28"/>
  </r>
  <r>
    <x v="130"/>
  </r>
  <r>
    <x v="130"/>
  </r>
  <r>
    <x v="16"/>
  </r>
  <r>
    <x v="28"/>
  </r>
  <r>
    <x v="17"/>
  </r>
  <r>
    <x v="30"/>
  </r>
  <r>
    <x v="21"/>
  </r>
  <r>
    <x v="0"/>
  </r>
  <r>
    <x v="0"/>
  </r>
  <r>
    <x v="0"/>
  </r>
  <r>
    <x v="0"/>
  </r>
  <r>
    <x v="21"/>
  </r>
  <r>
    <x v="4"/>
  </r>
  <r>
    <x v="14"/>
  </r>
  <r>
    <x v="108"/>
  </r>
  <r>
    <x v="46"/>
  </r>
  <r>
    <x v="46"/>
  </r>
  <r>
    <x v="138"/>
  </r>
  <r>
    <x v="12"/>
  </r>
  <r>
    <x v="81"/>
  </r>
  <r>
    <x v="171"/>
  </r>
  <r>
    <x v="1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17"/>
  </r>
  <r>
    <x v="17"/>
  </r>
  <r>
    <x v="16"/>
  </r>
  <r>
    <x v="16"/>
  </r>
  <r>
    <x v="16"/>
  </r>
  <r>
    <x v="16"/>
  </r>
  <r>
    <x v="16"/>
  </r>
  <r>
    <x v="16"/>
  </r>
  <r>
    <x v="14"/>
  </r>
  <r>
    <x v="14"/>
  </r>
  <r>
    <x v="14"/>
  </r>
  <r>
    <x v="14"/>
  </r>
  <r>
    <x v="14"/>
  </r>
  <r>
    <x v="14"/>
  </r>
  <r>
    <x v="14"/>
  </r>
  <r>
    <x v="17"/>
  </r>
  <r>
    <x v="17"/>
  </r>
  <r>
    <x v="17"/>
  </r>
  <r>
    <x v="14"/>
  </r>
  <r>
    <x v="130"/>
  </r>
  <r>
    <x v="64"/>
  </r>
  <r>
    <x v="64"/>
  </r>
  <r>
    <x v="10"/>
  </r>
  <r>
    <x v="28"/>
  </r>
  <r>
    <x v="14"/>
  </r>
  <r>
    <x v="0"/>
  </r>
  <r>
    <x v="48"/>
  </r>
  <r>
    <x v="48"/>
  </r>
  <r>
    <x v="12"/>
  </r>
  <r>
    <x v="14"/>
  </r>
  <r>
    <x v="24"/>
  </r>
  <r>
    <x v="98"/>
  </r>
  <r>
    <x v="31"/>
  </r>
  <r>
    <x v="253"/>
  </r>
  <r>
    <x v="14"/>
  </r>
  <r>
    <x v="12"/>
  </r>
  <r>
    <x v="10"/>
  </r>
  <r>
    <x v="37"/>
  </r>
  <r>
    <x v="16"/>
  </r>
  <r>
    <x v="16"/>
  </r>
  <r>
    <x v="2"/>
  </r>
  <r>
    <x v="24"/>
  </r>
  <r>
    <x v="24"/>
  </r>
  <r>
    <x v="2"/>
  </r>
  <r>
    <x v="28"/>
  </r>
  <r>
    <x v="2"/>
  </r>
  <r>
    <x v="17"/>
  </r>
  <r>
    <x v="141"/>
  </r>
  <r>
    <x v="141"/>
  </r>
  <r>
    <x v="24"/>
  </r>
  <r>
    <x v="22"/>
  </r>
  <r>
    <x v="171"/>
  </r>
  <r>
    <x v="31"/>
  </r>
  <r>
    <x v="21"/>
  </r>
  <r>
    <x v="64"/>
  </r>
  <r>
    <x v="188"/>
  </r>
  <r>
    <x v="14"/>
  </r>
  <r>
    <x v="14"/>
  </r>
  <r>
    <x v="12"/>
  </r>
  <r>
    <x v="12"/>
  </r>
  <r>
    <x v="0"/>
  </r>
  <r>
    <x v="171"/>
  </r>
  <r>
    <x v="14"/>
  </r>
  <r>
    <x v="14"/>
  </r>
  <r>
    <x v="12"/>
  </r>
  <r>
    <x v="14"/>
  </r>
  <r>
    <x v="62"/>
  </r>
  <r>
    <x v="10"/>
  </r>
  <r>
    <x v="131"/>
  </r>
  <r>
    <x v="28"/>
  </r>
  <r>
    <x v="17"/>
  </r>
  <r>
    <x v="0"/>
  </r>
  <r>
    <x v="17"/>
  </r>
  <r>
    <x v="17"/>
  </r>
  <r>
    <x v="0"/>
  </r>
  <r>
    <x v="0"/>
  </r>
  <r>
    <x v="28"/>
  </r>
  <r>
    <x v="0"/>
  </r>
  <r>
    <x v="0"/>
  </r>
  <r>
    <x v="16"/>
  </r>
  <r>
    <x v="0"/>
  </r>
  <r>
    <x v="0"/>
  </r>
  <r>
    <x v="17"/>
  </r>
  <r>
    <x v="0"/>
  </r>
  <r>
    <x v="14"/>
  </r>
  <r>
    <x v="63"/>
  </r>
  <r>
    <x v="10"/>
  </r>
  <r>
    <x v="16"/>
  </r>
  <r>
    <x v="12"/>
  </r>
  <r>
    <x v="10"/>
  </r>
  <r>
    <x v="14"/>
  </r>
  <r>
    <x v="9"/>
  </r>
  <r>
    <x v="14"/>
  </r>
  <r>
    <x v="64"/>
  </r>
  <r>
    <x v="171"/>
  </r>
  <r>
    <x v="16"/>
  </r>
  <r>
    <x v="11"/>
  </r>
  <r>
    <x v="11"/>
  </r>
  <r>
    <x v="11"/>
  </r>
  <r>
    <x v="78"/>
  </r>
  <r>
    <x v="62"/>
  </r>
  <r>
    <x v="48"/>
  </r>
  <r>
    <x v="63"/>
  </r>
  <r>
    <x v="192"/>
  </r>
  <r>
    <x v="48"/>
  </r>
  <r>
    <x v="12"/>
  </r>
  <r>
    <x v="131"/>
  </r>
  <r>
    <x v="17"/>
  </r>
  <r>
    <x v="28"/>
  </r>
  <r>
    <x v="14"/>
  </r>
  <r>
    <x v="16"/>
  </r>
  <r>
    <x v="12"/>
  </r>
  <r>
    <x v="14"/>
  </r>
  <r>
    <x v="62"/>
  </r>
  <r>
    <x v="22"/>
  </r>
  <r>
    <x v="22"/>
  </r>
  <r>
    <x v="130"/>
  </r>
  <r>
    <x v="62"/>
  </r>
  <r>
    <x v="14"/>
  </r>
  <r>
    <x v="0"/>
  </r>
  <r>
    <x v="0"/>
  </r>
  <r>
    <x v="9"/>
  </r>
  <r>
    <x v="9"/>
  </r>
  <r>
    <x v="9"/>
  </r>
  <r>
    <x v="171"/>
  </r>
  <r>
    <x v="0"/>
  </r>
  <r>
    <x v="0"/>
  </r>
  <r>
    <x v="0"/>
  </r>
  <r>
    <x v="171"/>
  </r>
  <r>
    <x v="10"/>
  </r>
  <r>
    <x v="12"/>
  </r>
  <r>
    <x v="53"/>
  </r>
  <r>
    <x v="130"/>
  </r>
  <r>
    <x v="55"/>
  </r>
  <r>
    <x v="10"/>
  </r>
  <r>
    <x v="131"/>
  </r>
  <r>
    <x v="48"/>
  </r>
  <r>
    <x v="48"/>
  </r>
  <r>
    <x v="48"/>
  </r>
  <r>
    <x v="10"/>
  </r>
  <r>
    <x v="10"/>
  </r>
  <r>
    <x v="33"/>
  </r>
  <r>
    <x v="14"/>
  </r>
  <r>
    <x v="14"/>
  </r>
  <r>
    <x v="14"/>
  </r>
  <r>
    <x v="39"/>
  </r>
  <r>
    <x v="11"/>
  </r>
  <r>
    <x v="66"/>
  </r>
  <r>
    <x v="48"/>
  </r>
  <r>
    <x v="24"/>
  </r>
  <r>
    <x v="78"/>
  </r>
  <r>
    <x v="62"/>
  </r>
  <r>
    <x v="16"/>
  </r>
  <r>
    <x v="10"/>
  </r>
  <r>
    <x v="10"/>
  </r>
  <r>
    <x v="9"/>
  </r>
  <r>
    <x v="45"/>
  </r>
  <r>
    <x v="28"/>
  </r>
  <r>
    <x v="28"/>
  </r>
  <r>
    <x v="45"/>
  </r>
  <r>
    <x v="45"/>
  </r>
  <r>
    <x v="62"/>
  </r>
  <r>
    <x v="0"/>
  </r>
  <r>
    <x v="24"/>
  </r>
  <r>
    <x v="12"/>
  </r>
  <r>
    <x v="11"/>
  </r>
  <r>
    <x v="12"/>
  </r>
  <r>
    <x v="14"/>
  </r>
  <r>
    <x v="14"/>
  </r>
  <r>
    <x v="10"/>
  </r>
  <r>
    <x v="10"/>
  </r>
  <r>
    <x v="17"/>
  </r>
  <r>
    <x v="10"/>
  </r>
  <r>
    <x v="48"/>
  </r>
  <r>
    <x v="17"/>
  </r>
  <r>
    <x v="187"/>
  </r>
  <r>
    <x v="17"/>
  </r>
  <r>
    <x v="58"/>
  </r>
  <r>
    <x v="64"/>
  </r>
  <r>
    <x v="115"/>
  </r>
  <r>
    <x v="14"/>
  </r>
  <r>
    <x v="28"/>
  </r>
  <r>
    <x v="17"/>
  </r>
  <r>
    <x v="24"/>
  </r>
  <r>
    <x v="11"/>
  </r>
  <r>
    <x v="12"/>
  </r>
  <r>
    <x v="31"/>
  </r>
  <r>
    <x v="17"/>
  </r>
  <r>
    <x v="31"/>
  </r>
  <r>
    <x v="31"/>
  </r>
  <r>
    <x v="31"/>
  </r>
  <r>
    <x v="16"/>
  </r>
  <r>
    <x v="0"/>
  </r>
  <r>
    <x v="46"/>
  </r>
  <r>
    <x v="16"/>
  </r>
  <r>
    <x v="138"/>
  </r>
  <r>
    <x v="25"/>
  </r>
  <r>
    <x v="22"/>
  </r>
  <r>
    <x v="0"/>
  </r>
  <r>
    <x v="24"/>
  </r>
  <r>
    <x v="78"/>
  </r>
  <r>
    <x v="14"/>
  </r>
  <r>
    <x v="12"/>
  </r>
  <r>
    <x v="17"/>
  </r>
  <r>
    <x v="0"/>
  </r>
  <r>
    <x v="17"/>
  </r>
  <r>
    <x v="17"/>
  </r>
  <r>
    <x v="48"/>
  </r>
  <r>
    <x v="42"/>
  </r>
  <r>
    <x v="17"/>
  </r>
  <r>
    <x v="14"/>
  </r>
  <r>
    <x v="14"/>
  </r>
  <r>
    <x v="14"/>
  </r>
  <r>
    <x v="28"/>
  </r>
  <r>
    <x v="12"/>
  </r>
  <r>
    <x v="10"/>
  </r>
  <r>
    <x v="45"/>
  </r>
  <r>
    <x v="45"/>
  </r>
  <r>
    <x v="2"/>
  </r>
  <r>
    <x v="52"/>
  </r>
  <r>
    <x v="52"/>
  </r>
  <r>
    <x v="52"/>
  </r>
  <r>
    <x v="14"/>
  </r>
  <r>
    <x v="58"/>
  </r>
  <r>
    <x v="17"/>
  </r>
  <r>
    <x v="17"/>
  </r>
  <r>
    <x v="0"/>
  </r>
  <r>
    <x v="6"/>
  </r>
  <r>
    <x v="48"/>
  </r>
  <r>
    <x v="48"/>
  </r>
  <r>
    <x v="40"/>
  </r>
  <r>
    <x v="40"/>
  </r>
  <r>
    <x v="12"/>
  </r>
  <r>
    <x v="2"/>
  </r>
  <r>
    <x v="14"/>
  </r>
  <r>
    <x v="187"/>
  </r>
  <r>
    <x v="16"/>
  </r>
  <r>
    <x v="0"/>
  </r>
  <r>
    <x v="0"/>
  </r>
  <r>
    <x v="0"/>
  </r>
  <r>
    <x v="10"/>
  </r>
  <r>
    <x v="26"/>
  </r>
  <r>
    <x v="14"/>
  </r>
  <r>
    <x v="14"/>
  </r>
  <r>
    <x v="16"/>
  </r>
  <r>
    <x v="12"/>
  </r>
  <r>
    <x v="22"/>
  </r>
  <r>
    <x v="17"/>
  </r>
  <r>
    <x v="37"/>
  </r>
  <r>
    <x v="0"/>
  </r>
  <r>
    <x v="9"/>
  </r>
  <r>
    <x v="2"/>
  </r>
  <r>
    <x v="12"/>
  </r>
  <r>
    <x v="14"/>
  </r>
  <r>
    <x v="14"/>
  </r>
  <r>
    <x v="171"/>
  </r>
  <r>
    <x v="14"/>
  </r>
  <r>
    <x v="14"/>
  </r>
  <r>
    <x v="14"/>
  </r>
  <r>
    <x v="131"/>
  </r>
  <r>
    <x v="12"/>
  </r>
  <r>
    <x v="25"/>
  </r>
  <r>
    <x v="25"/>
  </r>
  <r>
    <x v="25"/>
  </r>
  <r>
    <x v="102"/>
  </r>
  <r>
    <x v="62"/>
  </r>
  <r>
    <x v="62"/>
  </r>
  <r>
    <x v="8"/>
  </r>
  <r>
    <x v="48"/>
  </r>
  <r>
    <x v="27"/>
  </r>
  <r>
    <x v="34"/>
  </r>
  <r>
    <x v="0"/>
  </r>
  <r>
    <x v="9"/>
  </r>
  <r>
    <x v="16"/>
  </r>
  <r>
    <x v="16"/>
  </r>
  <r>
    <x v="12"/>
  </r>
  <r>
    <x v="60"/>
  </r>
  <r>
    <x v="51"/>
  </r>
  <r>
    <x v="14"/>
  </r>
  <r>
    <x v="10"/>
  </r>
  <r>
    <x v="14"/>
  </r>
  <r>
    <x v="2"/>
  </r>
  <r>
    <x v="2"/>
  </r>
  <r>
    <x v="84"/>
  </r>
  <r>
    <x v="171"/>
  </r>
  <r>
    <x v="14"/>
  </r>
  <r>
    <x v="45"/>
  </r>
  <r>
    <x v="14"/>
  </r>
  <r>
    <x v="9"/>
  </r>
  <r>
    <x v="9"/>
  </r>
  <r>
    <x v="9"/>
  </r>
  <r>
    <x v="227"/>
  </r>
  <r>
    <x v="4"/>
  </r>
  <r>
    <x v="8"/>
  </r>
  <r>
    <x v="14"/>
  </r>
  <r>
    <x v="0"/>
  </r>
  <r>
    <x v="30"/>
  </r>
  <r>
    <x v="45"/>
  </r>
  <r>
    <x v="14"/>
  </r>
  <r>
    <x v="34"/>
  </r>
  <r>
    <x v="42"/>
  </r>
  <r>
    <x v="41"/>
  </r>
  <r>
    <x v="187"/>
  </r>
  <r>
    <x v="0"/>
  </r>
  <r>
    <x v="76"/>
  </r>
  <r>
    <x v="9"/>
  </r>
  <r>
    <x v="25"/>
  </r>
  <r>
    <x v="16"/>
  </r>
  <r>
    <x v="21"/>
  </r>
  <r>
    <x v="16"/>
  </r>
  <r>
    <x v="16"/>
  </r>
  <r>
    <x v="16"/>
  </r>
  <r>
    <x v="16"/>
  </r>
  <r>
    <x v="16"/>
  </r>
  <r>
    <x v="1"/>
  </r>
  <r>
    <x v="12"/>
  </r>
  <r>
    <x v="14"/>
  </r>
  <r>
    <x v="14"/>
  </r>
  <r>
    <x v="14"/>
  </r>
  <r>
    <x v="14"/>
  </r>
  <r>
    <x v="14"/>
  </r>
  <r>
    <x v="41"/>
  </r>
  <r>
    <x v="41"/>
  </r>
  <r>
    <x v="14"/>
  </r>
  <r>
    <x v="25"/>
  </r>
  <r>
    <x v="15"/>
  </r>
  <r>
    <x v="15"/>
  </r>
  <r>
    <x v="10"/>
  </r>
  <r>
    <x v="84"/>
  </r>
  <r>
    <x v="10"/>
  </r>
  <r>
    <x v="10"/>
  </r>
  <r>
    <x v="46"/>
  </r>
  <r>
    <x v="24"/>
  </r>
  <r>
    <x v="28"/>
  </r>
  <r>
    <x v="64"/>
  </r>
  <r>
    <x v="171"/>
  </r>
  <r>
    <x v="48"/>
  </r>
  <r>
    <x v="14"/>
  </r>
  <r>
    <x v="11"/>
  </r>
  <r>
    <x v="12"/>
  </r>
  <r>
    <x v="28"/>
  </r>
  <r>
    <x v="14"/>
  </r>
  <r>
    <x v="171"/>
  </r>
  <r>
    <x v="46"/>
  </r>
  <r>
    <x v="9"/>
  </r>
  <r>
    <x v="37"/>
  </r>
  <r>
    <x v="7"/>
  </r>
  <r>
    <x v="2"/>
  </r>
  <r>
    <x v="48"/>
  </r>
  <r>
    <x v="16"/>
  </r>
  <r>
    <x v="14"/>
  </r>
  <r>
    <x v="0"/>
  </r>
  <r>
    <x v="0"/>
  </r>
  <r>
    <x v="0"/>
  </r>
  <r>
    <x v="24"/>
  </r>
  <r>
    <x v="14"/>
  </r>
  <r>
    <x v="12"/>
  </r>
  <r>
    <x v="14"/>
  </r>
  <r>
    <x v="0"/>
  </r>
  <r>
    <x v="14"/>
  </r>
  <r>
    <x v="14"/>
  </r>
  <r>
    <x v="0"/>
  </r>
  <r>
    <x v="17"/>
  </r>
  <r>
    <x v="17"/>
  </r>
  <r>
    <x v="130"/>
  </r>
  <r>
    <x v="12"/>
  </r>
  <r>
    <x v="11"/>
  </r>
  <r>
    <x v="24"/>
  </r>
  <r>
    <x v="24"/>
  </r>
  <r>
    <x v="14"/>
  </r>
  <r>
    <x v="17"/>
  </r>
  <r>
    <x v="45"/>
  </r>
  <r>
    <x v="21"/>
  </r>
  <r>
    <x v="21"/>
  </r>
  <r>
    <x v="17"/>
  </r>
  <r>
    <x v="45"/>
  </r>
  <r>
    <x v="64"/>
  </r>
  <r>
    <x v="16"/>
  </r>
  <r>
    <x v="74"/>
  </r>
  <r>
    <x v="74"/>
  </r>
  <r>
    <x v="21"/>
  </r>
  <r>
    <x v="21"/>
  </r>
  <r>
    <x v="21"/>
  </r>
  <r>
    <x v="21"/>
  </r>
  <r>
    <x v="8"/>
  </r>
  <r>
    <x v="8"/>
  </r>
  <r>
    <x v="8"/>
  </r>
  <r>
    <x v="17"/>
  </r>
  <r>
    <x v="14"/>
  </r>
  <r>
    <x v="74"/>
  </r>
  <r>
    <x v="46"/>
  </r>
  <r>
    <x v="7"/>
  </r>
  <r>
    <x v="31"/>
  </r>
  <r>
    <x v="114"/>
  </r>
  <r>
    <x v="0"/>
  </r>
  <r>
    <x v="49"/>
  </r>
  <r>
    <x v="49"/>
  </r>
  <r>
    <x v="28"/>
  </r>
  <r>
    <x v="28"/>
  </r>
  <r>
    <x v="40"/>
  </r>
  <r>
    <x v="40"/>
  </r>
  <r>
    <x v="3"/>
  </r>
  <r>
    <x v="3"/>
  </r>
  <r>
    <x v="3"/>
  </r>
  <r>
    <x v="3"/>
  </r>
  <r>
    <x v="14"/>
  </r>
  <r>
    <x v="14"/>
  </r>
  <r>
    <x v="14"/>
  </r>
  <r>
    <x v="14"/>
  </r>
  <r>
    <x v="57"/>
  </r>
  <r>
    <x v="44"/>
  </r>
  <r>
    <x v="17"/>
  </r>
  <r>
    <x v="81"/>
  </r>
  <r>
    <x v="112"/>
  </r>
  <r>
    <x v="48"/>
  </r>
  <r>
    <x v="48"/>
  </r>
  <r>
    <x v="48"/>
  </r>
  <r>
    <x v="4"/>
  </r>
  <r>
    <x v="48"/>
  </r>
  <r>
    <x v="48"/>
  </r>
  <r>
    <x v="63"/>
  </r>
  <r>
    <x v="131"/>
  </r>
  <r>
    <x v="8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42"/>
  </r>
  <r>
    <x v="42"/>
  </r>
  <r>
    <x v="64"/>
  </r>
  <r>
    <x v="131"/>
  </r>
  <r>
    <x v="131"/>
  </r>
  <r>
    <x v="64"/>
  </r>
  <r>
    <x v="45"/>
  </r>
  <r>
    <x v="45"/>
  </r>
  <r>
    <x v="48"/>
  </r>
  <r>
    <x v="64"/>
  </r>
  <r>
    <x v="87"/>
  </r>
  <r>
    <x v="62"/>
  </r>
  <r>
    <x v="37"/>
  </r>
  <r>
    <x v="48"/>
  </r>
  <r>
    <x v="48"/>
  </r>
  <r>
    <x v="16"/>
  </r>
  <r>
    <x v="16"/>
  </r>
  <r>
    <x v="16"/>
  </r>
  <r>
    <x v="17"/>
  </r>
  <r>
    <x v="42"/>
  </r>
  <r>
    <x v="11"/>
  </r>
  <r>
    <x v="11"/>
  </r>
  <r>
    <x v="28"/>
  </r>
  <r>
    <x v="2"/>
  </r>
  <r>
    <x v="28"/>
  </r>
  <r>
    <x v="141"/>
  </r>
  <r>
    <x v="141"/>
  </r>
  <r>
    <x v="16"/>
  </r>
  <r>
    <x v="61"/>
  </r>
  <r>
    <x v="45"/>
  </r>
  <r>
    <x v="14"/>
  </r>
  <r>
    <x v="130"/>
  </r>
  <r>
    <x v="0"/>
  </r>
  <r>
    <x v="16"/>
  </r>
  <r>
    <x v="28"/>
  </r>
  <r>
    <x v="16"/>
  </r>
  <r>
    <x v="16"/>
  </r>
  <r>
    <x v="16"/>
  </r>
  <r>
    <x v="16"/>
  </r>
  <r>
    <x v="45"/>
  </r>
  <r>
    <x v="45"/>
  </r>
  <r>
    <x v="16"/>
  </r>
  <r>
    <x v="108"/>
  </r>
  <r>
    <x v="108"/>
  </r>
  <r>
    <x v="115"/>
  </r>
  <r>
    <x v="64"/>
  </r>
  <r>
    <x v="48"/>
  </r>
  <r>
    <x v="2"/>
  </r>
  <r>
    <x v="48"/>
  </r>
  <r>
    <x v="10"/>
  </r>
  <r>
    <x v="86"/>
  </r>
  <r>
    <x v="166"/>
  </r>
  <r>
    <x v="32"/>
  </r>
  <r>
    <x v="12"/>
  </r>
  <r>
    <x v="10"/>
  </r>
  <r>
    <x v="14"/>
  </r>
  <r>
    <x v="14"/>
  </r>
  <r>
    <x v="14"/>
  </r>
  <r>
    <x v="76"/>
  </r>
  <r>
    <x v="24"/>
  </r>
  <r>
    <x v="0"/>
  </r>
  <r>
    <x v="48"/>
  </r>
  <r>
    <x v="48"/>
  </r>
  <r>
    <x v="40"/>
  </r>
  <r>
    <x v="48"/>
  </r>
  <r>
    <x v="17"/>
  </r>
  <r>
    <x v="62"/>
  </r>
  <r>
    <x v="28"/>
  </r>
  <r>
    <x v="28"/>
  </r>
  <r>
    <x v="14"/>
  </r>
  <r>
    <x v="14"/>
  </r>
  <r>
    <x v="12"/>
  </r>
  <r>
    <x v="14"/>
  </r>
  <r>
    <x v="14"/>
  </r>
  <r>
    <x v="14"/>
  </r>
  <r>
    <x v="14"/>
  </r>
  <r>
    <x v="14"/>
  </r>
  <r>
    <x v="30"/>
  </r>
  <r>
    <x v="64"/>
  </r>
  <r>
    <x v="16"/>
  </r>
  <r>
    <x v="14"/>
  </r>
  <r>
    <x v="14"/>
  </r>
  <r>
    <x v="30"/>
  </r>
  <r>
    <x v="157"/>
  </r>
  <r>
    <x v="14"/>
  </r>
  <r>
    <x v="28"/>
  </r>
  <r>
    <x v="41"/>
  </r>
  <r>
    <x v="17"/>
  </r>
  <r>
    <x v="64"/>
  </r>
  <r>
    <x v="62"/>
  </r>
  <r>
    <x v="62"/>
  </r>
  <r>
    <x v="12"/>
  </r>
  <r>
    <x v="14"/>
  </r>
  <r>
    <x v="14"/>
  </r>
  <r>
    <x v="14"/>
  </r>
  <r>
    <x v="12"/>
  </r>
  <r>
    <x v="14"/>
  </r>
  <r>
    <x v="30"/>
  </r>
  <r>
    <x v="17"/>
  </r>
  <r>
    <x v="16"/>
  </r>
  <r>
    <x v="14"/>
  </r>
  <r>
    <x v="14"/>
  </r>
  <r>
    <x v="21"/>
  </r>
  <r>
    <x v="224"/>
  </r>
  <r>
    <x v="46"/>
  </r>
  <r>
    <x v="14"/>
  </r>
  <r>
    <x v="14"/>
  </r>
  <r>
    <x v="141"/>
  </r>
  <r>
    <x v="2"/>
  </r>
  <r>
    <x v="62"/>
  </r>
  <r>
    <x v="16"/>
  </r>
  <r>
    <x v="14"/>
  </r>
  <r>
    <x v="14"/>
  </r>
  <r>
    <x v="14"/>
  </r>
  <r>
    <x v="12"/>
  </r>
  <r>
    <x v="14"/>
  </r>
  <r>
    <x v="64"/>
  </r>
  <r>
    <x v="48"/>
  </r>
  <r>
    <x v="37"/>
  </r>
  <r>
    <x v="37"/>
  </r>
  <r>
    <x v="24"/>
  </r>
  <r>
    <x v="21"/>
  </r>
  <r>
    <x v="0"/>
  </r>
  <r>
    <x v="0"/>
  </r>
  <r>
    <x v="28"/>
  </r>
  <r>
    <x v="14"/>
  </r>
  <r>
    <x v="14"/>
  </r>
  <r>
    <x v="2"/>
  </r>
  <r>
    <x v="14"/>
  </r>
  <r>
    <x v="62"/>
  </r>
  <r>
    <x v="55"/>
  </r>
  <r>
    <x v="24"/>
  </r>
  <r>
    <x v="57"/>
  </r>
  <r>
    <x v="30"/>
  </r>
  <r>
    <x v="46"/>
  </r>
  <r>
    <x v="30"/>
  </r>
  <r>
    <x v="14"/>
  </r>
  <r>
    <x v="45"/>
  </r>
  <r>
    <x v="12"/>
  </r>
  <r>
    <x v="45"/>
  </r>
  <r>
    <x v="45"/>
  </r>
  <r>
    <x v="129"/>
  </r>
  <r>
    <x v="130"/>
  </r>
  <r>
    <x v="12"/>
  </r>
  <r>
    <x v="34"/>
  </r>
  <r>
    <x v="14"/>
  </r>
  <r>
    <x v="14"/>
  </r>
  <r>
    <x v="28"/>
  </r>
  <r>
    <x v="16"/>
  </r>
  <r>
    <x v="14"/>
  </r>
  <r>
    <x v="14"/>
  </r>
  <r>
    <x v="16"/>
  </r>
  <r>
    <x v="16"/>
  </r>
  <r>
    <x v="17"/>
  </r>
  <r>
    <x v="14"/>
  </r>
  <r>
    <x v="17"/>
  </r>
  <r>
    <x v="2"/>
  </r>
  <r>
    <x v="2"/>
  </r>
  <r>
    <x v="48"/>
  </r>
  <r>
    <x v="48"/>
  </r>
  <r>
    <x v="48"/>
  </r>
  <r>
    <x v="48"/>
  </r>
  <r>
    <x v="48"/>
  </r>
  <r>
    <x v="4"/>
  </r>
  <r>
    <x v="16"/>
  </r>
  <r>
    <x v="17"/>
  </r>
  <r>
    <x v="16"/>
  </r>
  <r>
    <x v="16"/>
  </r>
  <r>
    <x v="16"/>
  </r>
  <r>
    <x v="16"/>
  </r>
  <r>
    <x v="16"/>
  </r>
  <r>
    <x v="16"/>
  </r>
  <r>
    <x v="14"/>
  </r>
  <r>
    <x v="166"/>
  </r>
  <r>
    <x v="16"/>
  </r>
  <r>
    <x v="0"/>
  </r>
  <r>
    <x v="16"/>
  </r>
  <r>
    <x v="66"/>
  </r>
  <r>
    <x v="16"/>
  </r>
  <r>
    <x v="16"/>
  </r>
  <r>
    <x v="131"/>
  </r>
  <r>
    <x v="41"/>
  </r>
  <r>
    <x v="41"/>
  </r>
  <r>
    <x v="10"/>
  </r>
  <r>
    <x v="41"/>
  </r>
  <r>
    <x v="21"/>
  </r>
  <r>
    <x v="17"/>
  </r>
  <r>
    <x v="17"/>
  </r>
  <r>
    <x v="224"/>
  </r>
  <r>
    <x v="16"/>
  </r>
  <r>
    <x v="17"/>
  </r>
  <r>
    <x v="27"/>
  </r>
  <r>
    <x v="17"/>
  </r>
  <r>
    <x v="17"/>
  </r>
  <r>
    <x v="14"/>
  </r>
  <r>
    <x v="48"/>
  </r>
  <r>
    <x v="28"/>
  </r>
  <r>
    <x v="28"/>
  </r>
  <r>
    <x v="28"/>
  </r>
  <r>
    <x v="28"/>
  </r>
  <r>
    <x v="10"/>
  </r>
  <r>
    <x v="37"/>
  </r>
  <r>
    <x v="12"/>
  </r>
  <r>
    <x v="17"/>
  </r>
  <r>
    <x v="16"/>
  </r>
  <r>
    <x v="17"/>
  </r>
  <r>
    <x v="14"/>
  </r>
  <r>
    <x v="28"/>
  </r>
  <r>
    <x v="79"/>
  </r>
  <r>
    <x v="1"/>
  </r>
  <r>
    <x v="19"/>
  </r>
  <r>
    <x v="48"/>
  </r>
  <r>
    <x v="48"/>
  </r>
  <r>
    <x v="77"/>
  </r>
  <r>
    <x v="48"/>
  </r>
  <r>
    <x v="4"/>
  </r>
  <r>
    <x v="34"/>
  </r>
  <r>
    <x v="4"/>
  </r>
  <r>
    <x v="10"/>
  </r>
  <r>
    <x v="10"/>
  </r>
  <r>
    <x v="14"/>
  </r>
  <r>
    <x v="33"/>
  </r>
  <r>
    <x v="33"/>
  </r>
  <r>
    <x v="57"/>
  </r>
  <r>
    <x v="57"/>
  </r>
  <r>
    <x v="22"/>
  </r>
  <r>
    <x v="22"/>
  </r>
  <r>
    <x v="22"/>
  </r>
  <r>
    <x v="51"/>
  </r>
  <r>
    <x v="51"/>
  </r>
  <r>
    <x v="51"/>
  </r>
  <r>
    <x v="51"/>
  </r>
  <r>
    <x v="57"/>
  </r>
  <r>
    <x v="57"/>
  </r>
  <r>
    <x v="57"/>
  </r>
  <r>
    <x v="57"/>
  </r>
  <r>
    <x v="78"/>
  </r>
  <r>
    <x v="0"/>
  </r>
  <r>
    <x v="0"/>
  </r>
  <r>
    <x v="17"/>
  </r>
  <r>
    <x v="17"/>
  </r>
  <r>
    <x v="17"/>
  </r>
  <r>
    <x v="17"/>
  </r>
  <r>
    <x v="17"/>
  </r>
  <r>
    <x v="14"/>
  </r>
  <r>
    <x v="14"/>
  </r>
  <r>
    <x v="28"/>
  </r>
  <r>
    <x v="0"/>
  </r>
  <r>
    <x v="17"/>
  </r>
  <r>
    <x v="28"/>
  </r>
  <r>
    <x v="28"/>
  </r>
  <r>
    <x v="17"/>
  </r>
  <r>
    <x v="57"/>
  </r>
  <r>
    <x v="14"/>
  </r>
  <r>
    <x v="22"/>
  </r>
  <r>
    <x v="62"/>
  </r>
  <r>
    <x v="17"/>
  </r>
  <r>
    <x v="17"/>
  </r>
  <r>
    <x v="22"/>
  </r>
  <r>
    <x v="12"/>
  </r>
  <r>
    <x v="12"/>
  </r>
  <r>
    <x v="12"/>
  </r>
  <r>
    <x v="12"/>
  </r>
  <r>
    <x v="14"/>
  </r>
  <r>
    <x v="14"/>
  </r>
  <r>
    <x v="17"/>
  </r>
  <r>
    <x v="17"/>
  </r>
  <r>
    <x v="22"/>
  </r>
  <r>
    <x v="22"/>
  </r>
  <r>
    <x v="17"/>
  </r>
  <r>
    <x v="17"/>
  </r>
  <r>
    <x v="17"/>
  </r>
  <r>
    <x v="0"/>
  </r>
  <r>
    <x v="17"/>
  </r>
  <r>
    <x v="22"/>
  </r>
  <r>
    <x v="17"/>
  </r>
  <r>
    <x v="14"/>
  </r>
  <r>
    <x v="14"/>
  </r>
  <r>
    <x v="14"/>
  </r>
  <r>
    <x v="47"/>
  </r>
  <r>
    <x v="78"/>
  </r>
  <r>
    <x v="78"/>
  </r>
  <r>
    <x v="14"/>
  </r>
  <r>
    <x v="14"/>
  </r>
  <r>
    <x v="16"/>
  </r>
  <r>
    <x v="91"/>
  </r>
  <r>
    <x v="17"/>
  </r>
  <r>
    <x v="14"/>
  </r>
  <r>
    <x v="14"/>
  </r>
  <r>
    <x v="12"/>
  </r>
  <r>
    <x v="29"/>
  </r>
  <r>
    <x v="29"/>
  </r>
  <r>
    <x v="0"/>
  </r>
  <r>
    <x v="14"/>
  </r>
  <r>
    <x v="14"/>
  </r>
  <r>
    <x v="14"/>
  </r>
  <r>
    <x v="14"/>
  </r>
  <r>
    <x v="14"/>
  </r>
  <r>
    <x v="28"/>
  </r>
  <r>
    <x v="42"/>
  </r>
  <r>
    <x v="31"/>
  </r>
  <r>
    <x v="31"/>
  </r>
  <r>
    <x v="31"/>
  </r>
  <r>
    <x v="14"/>
  </r>
  <r>
    <x v="42"/>
  </r>
  <r>
    <x v="42"/>
  </r>
  <r>
    <x v="42"/>
  </r>
  <r>
    <x v="171"/>
  </r>
  <r>
    <x v="42"/>
  </r>
  <r>
    <x v="42"/>
  </r>
  <r>
    <x v="42"/>
  </r>
  <r>
    <x v="42"/>
  </r>
  <r>
    <x v="42"/>
  </r>
  <r>
    <x v="42"/>
  </r>
  <r>
    <x v="42"/>
  </r>
  <r>
    <x v="46"/>
  </r>
  <r>
    <x v="46"/>
  </r>
  <r>
    <x v="46"/>
  </r>
  <r>
    <x v="14"/>
  </r>
  <r>
    <x v="14"/>
  </r>
  <r>
    <x v="79"/>
  </r>
  <r>
    <x v="79"/>
  </r>
  <r>
    <x v="17"/>
  </r>
  <r>
    <x v="14"/>
  </r>
  <r>
    <x v="115"/>
  </r>
  <r>
    <x v="46"/>
  </r>
  <r>
    <x v="46"/>
  </r>
  <r>
    <x v="0"/>
  </r>
  <r>
    <x v="16"/>
  </r>
  <r>
    <x v="48"/>
  </r>
  <r>
    <x v="48"/>
  </r>
  <r>
    <x v="42"/>
  </r>
  <r>
    <x v="62"/>
  </r>
  <r>
    <x v="21"/>
  </r>
  <r>
    <x v="21"/>
  </r>
  <r>
    <x v="21"/>
  </r>
  <r>
    <x v="21"/>
  </r>
  <r>
    <x v="34"/>
  </r>
  <r>
    <x v="34"/>
  </r>
  <r>
    <x v="21"/>
  </r>
  <r>
    <x v="21"/>
  </r>
  <r>
    <x v="21"/>
  </r>
  <r>
    <x v="21"/>
  </r>
  <r>
    <x v="11"/>
  </r>
  <r>
    <x v="17"/>
  </r>
  <r>
    <x v="17"/>
  </r>
  <r>
    <x v="17"/>
  </r>
  <r>
    <x v="0"/>
  </r>
  <r>
    <x v="17"/>
  </r>
  <r>
    <x v="64"/>
  </r>
  <r>
    <x v="64"/>
  </r>
  <r>
    <x v="14"/>
  </r>
  <r>
    <x v="48"/>
  </r>
  <r>
    <x v="9"/>
  </r>
  <r>
    <x v="9"/>
  </r>
  <r>
    <x v="16"/>
  </r>
  <r>
    <x v="16"/>
  </r>
  <r>
    <x v="0"/>
  </r>
  <r>
    <x v="0"/>
  </r>
  <r>
    <x v="0"/>
  </r>
  <r>
    <x v="0"/>
  </r>
  <r>
    <x v="0"/>
  </r>
  <r>
    <x v="17"/>
  </r>
  <r>
    <x v="17"/>
  </r>
  <r>
    <x v="0"/>
  </r>
  <r>
    <x v="0"/>
  </r>
  <r>
    <x v="0"/>
  </r>
  <r>
    <x v="0"/>
  </r>
  <r>
    <x v="17"/>
  </r>
  <r>
    <x v="14"/>
  </r>
  <r>
    <x v="14"/>
  </r>
  <r>
    <x v="14"/>
  </r>
  <r>
    <x v="14"/>
  </r>
  <r>
    <x v="14"/>
  </r>
  <r>
    <x v="17"/>
  </r>
  <r>
    <x v="16"/>
  </r>
  <r>
    <x v="14"/>
  </r>
  <r>
    <x v="21"/>
  </r>
  <r>
    <x v="21"/>
  </r>
  <r>
    <x v="21"/>
  </r>
  <r>
    <x v="14"/>
  </r>
  <r>
    <x v="14"/>
  </r>
  <r>
    <x v="14"/>
  </r>
  <r>
    <x v="28"/>
  </r>
  <r>
    <x v="7"/>
  </r>
  <r>
    <x v="28"/>
  </r>
  <r>
    <x v="28"/>
  </r>
  <r>
    <x v="28"/>
  </r>
  <r>
    <x v="28"/>
  </r>
  <r>
    <x v="17"/>
  </r>
  <r>
    <x v="6"/>
  </r>
  <r>
    <x v="62"/>
  </r>
  <r>
    <x v="22"/>
  </r>
  <r>
    <x v="14"/>
  </r>
  <r>
    <x v="14"/>
  </r>
  <r>
    <x v="53"/>
  </r>
  <r>
    <x v="84"/>
  </r>
  <r>
    <x v="84"/>
  </r>
  <r>
    <x v="84"/>
  </r>
  <r>
    <x v="84"/>
  </r>
  <r>
    <x v="84"/>
  </r>
  <r>
    <x v="16"/>
  </r>
  <r>
    <x v="74"/>
  </r>
  <r>
    <x v="74"/>
  </r>
  <r>
    <x v="224"/>
  </r>
  <r>
    <x v="81"/>
  </r>
  <r>
    <x v="48"/>
  </r>
  <r>
    <x v="48"/>
  </r>
  <r>
    <x v="48"/>
  </r>
  <r>
    <x v="48"/>
  </r>
  <r>
    <x v="226"/>
  </r>
  <r>
    <x v="74"/>
  </r>
  <r>
    <x v="74"/>
  </r>
  <r>
    <x v="74"/>
  </r>
  <r>
    <x v="74"/>
  </r>
  <r>
    <x v="74"/>
  </r>
  <r>
    <x v="17"/>
  </r>
  <r>
    <x v="17"/>
  </r>
  <r>
    <x v="17"/>
  </r>
  <r>
    <x v="17"/>
  </r>
  <r>
    <x v="64"/>
  </r>
  <r>
    <x v="64"/>
  </r>
  <r>
    <x v="64"/>
  </r>
  <r>
    <x v="14"/>
  </r>
  <r>
    <x v="16"/>
  </r>
  <r>
    <x v="81"/>
  </r>
  <r>
    <x v="81"/>
  </r>
  <r>
    <x v="81"/>
  </r>
  <r>
    <x v="81"/>
  </r>
  <r>
    <x v="81"/>
  </r>
  <r>
    <x v="81"/>
  </r>
  <r>
    <x v="81"/>
  </r>
  <r>
    <x v="40"/>
  </r>
  <r>
    <x v="81"/>
  </r>
  <r>
    <x v="81"/>
  </r>
  <r>
    <x v="81"/>
  </r>
  <r>
    <x v="14"/>
  </r>
  <r>
    <x v="40"/>
  </r>
  <r>
    <x v="40"/>
  </r>
  <r>
    <x v="40"/>
  </r>
  <r>
    <x v="40"/>
  </r>
  <r>
    <x v="14"/>
  </r>
  <r>
    <x v="81"/>
  </r>
  <r>
    <x v="81"/>
  </r>
  <r>
    <x v="64"/>
  </r>
  <r>
    <x v="62"/>
  </r>
  <r>
    <x v="62"/>
  </r>
  <r>
    <x v="56"/>
  </r>
  <r>
    <x v="56"/>
  </r>
  <r>
    <x v="56"/>
  </r>
  <r>
    <x v="56"/>
  </r>
  <r>
    <x v="56"/>
  </r>
  <r>
    <x v="55"/>
  </r>
  <r>
    <x v="55"/>
  </r>
  <r>
    <x v="55"/>
  </r>
  <r>
    <x v="55"/>
  </r>
  <r>
    <x v="14"/>
  </r>
  <r>
    <x v="14"/>
  </r>
  <r>
    <x v="14"/>
  </r>
  <r>
    <x v="14"/>
  </r>
  <r>
    <x v="14"/>
  </r>
  <r>
    <x v="14"/>
  </r>
  <r>
    <x v="14"/>
  </r>
  <r>
    <x v="28"/>
  </r>
  <r>
    <x v="166"/>
  </r>
  <r>
    <x v="7"/>
  </r>
  <r>
    <x v="14"/>
  </r>
  <r>
    <x v="28"/>
  </r>
  <r>
    <x v="11"/>
  </r>
  <r>
    <x v="11"/>
  </r>
  <r>
    <x v="16"/>
  </r>
  <r>
    <x v="16"/>
  </r>
  <r>
    <x v="16"/>
  </r>
  <r>
    <x v="16"/>
  </r>
  <r>
    <x v="28"/>
  </r>
  <r>
    <x v="11"/>
  </r>
  <r>
    <x v="14"/>
  </r>
  <r>
    <x v="103"/>
  </r>
  <r>
    <x v="14"/>
  </r>
  <r>
    <x v="10"/>
  </r>
  <r>
    <x v="12"/>
  </r>
  <r>
    <x v="6"/>
  </r>
  <r>
    <x v="48"/>
  </r>
  <r>
    <x v="0"/>
  </r>
  <r>
    <x v="45"/>
  </r>
  <r>
    <x v="14"/>
  </r>
  <r>
    <x v="26"/>
  </r>
  <r>
    <x v="16"/>
  </r>
  <r>
    <x v="45"/>
  </r>
  <r>
    <x v="64"/>
  </r>
  <r>
    <x v="64"/>
  </r>
  <r>
    <x v="64"/>
  </r>
  <r>
    <x v="64"/>
  </r>
  <r>
    <x v="64"/>
  </r>
  <r>
    <x v="64"/>
  </r>
  <r>
    <x v="64"/>
  </r>
  <r>
    <x v="41"/>
  </r>
  <r>
    <x v="7"/>
  </r>
  <r>
    <x v="16"/>
  </r>
  <r>
    <x v="45"/>
  </r>
  <r>
    <x v="45"/>
  </r>
  <r>
    <x v="17"/>
  </r>
  <r>
    <x v="17"/>
  </r>
  <r>
    <x v="28"/>
  </r>
  <r>
    <x v="28"/>
  </r>
  <r>
    <x v="76"/>
  </r>
  <r>
    <x v="46"/>
  </r>
  <r>
    <x v="46"/>
  </r>
  <r>
    <x v="30"/>
  </r>
  <r>
    <x v="30"/>
  </r>
  <r>
    <x v="30"/>
  </r>
  <r>
    <x v="16"/>
  </r>
  <r>
    <x v="41"/>
  </r>
  <r>
    <x v="28"/>
  </r>
  <r>
    <x v="28"/>
  </r>
  <r>
    <x v="45"/>
  </r>
  <r>
    <x v="46"/>
  </r>
  <r>
    <x v="46"/>
  </r>
  <r>
    <x v="30"/>
  </r>
  <r>
    <x v="0"/>
  </r>
  <r>
    <x v="0"/>
  </r>
  <r>
    <x v="111"/>
  </r>
  <r>
    <x v="48"/>
  </r>
  <r>
    <x v="48"/>
  </r>
  <r>
    <x v="49"/>
  </r>
  <r>
    <x v="64"/>
  </r>
  <r>
    <x v="34"/>
  </r>
  <r>
    <x v="34"/>
  </r>
  <r>
    <x v="41"/>
  </r>
  <r>
    <x v="14"/>
  </r>
  <r>
    <x v="16"/>
  </r>
  <r>
    <x v="16"/>
  </r>
  <r>
    <x v="32"/>
  </r>
  <r>
    <x v="24"/>
  </r>
  <r>
    <x v="78"/>
  </r>
  <r>
    <x v="39"/>
  </r>
  <r>
    <x v="14"/>
  </r>
  <r>
    <x v="9"/>
  </r>
  <r>
    <x v="78"/>
  </r>
  <r>
    <x v="45"/>
  </r>
  <r>
    <x v="0"/>
  </r>
  <r>
    <x v="78"/>
  </r>
  <r>
    <x v="17"/>
  </r>
  <r>
    <x v="45"/>
  </r>
  <r>
    <x v="10"/>
  </r>
  <r>
    <x v="22"/>
  </r>
  <r>
    <x v="131"/>
  </r>
  <r>
    <x v="9"/>
  </r>
  <r>
    <x v="14"/>
  </r>
  <r>
    <x v="29"/>
  </r>
  <r>
    <x v="17"/>
  </r>
  <r>
    <x v="30"/>
  </r>
  <r>
    <x v="30"/>
  </r>
  <r>
    <x v="30"/>
  </r>
  <r>
    <x v="28"/>
  </r>
  <r>
    <x v="28"/>
  </r>
  <r>
    <x v="30"/>
  </r>
  <r>
    <x v="14"/>
  </r>
  <r>
    <x v="14"/>
  </r>
  <r>
    <x v="14"/>
  </r>
  <r>
    <x v="14"/>
  </r>
  <r>
    <x v="14"/>
  </r>
  <r>
    <x v="28"/>
  </r>
  <r>
    <x v="48"/>
  </r>
  <r>
    <x v="48"/>
  </r>
  <r>
    <x v="28"/>
  </r>
  <r>
    <x v="16"/>
  </r>
  <r>
    <x v="40"/>
  </r>
  <r>
    <x v="32"/>
  </r>
  <r>
    <x v="14"/>
  </r>
  <r>
    <x v="14"/>
  </r>
  <r>
    <x v="14"/>
  </r>
  <r>
    <x v="14"/>
  </r>
  <r>
    <x v="130"/>
  </r>
  <r>
    <x v="64"/>
  </r>
  <r>
    <x v="130"/>
  </r>
  <r>
    <x v="64"/>
  </r>
  <r>
    <x v="17"/>
  </r>
  <r>
    <x v="52"/>
  </r>
  <r>
    <x v="130"/>
  </r>
  <r>
    <x v="14"/>
  </r>
  <r>
    <x v="40"/>
  </r>
  <r>
    <x v="26"/>
  </r>
  <r>
    <x v="24"/>
  </r>
  <r>
    <x v="24"/>
  </r>
  <r>
    <x v="21"/>
  </r>
  <r>
    <x v="31"/>
  </r>
  <r>
    <x v="0"/>
  </r>
  <r>
    <x v="62"/>
  </r>
  <r>
    <x v="62"/>
  </r>
  <r>
    <x v="389"/>
  </r>
  <r>
    <x v="132"/>
  </r>
  <r>
    <x v="132"/>
  </r>
  <r>
    <x v="132"/>
  </r>
  <r>
    <x v="10"/>
  </r>
  <r>
    <x v="64"/>
  </r>
  <r>
    <x v="64"/>
  </r>
  <r>
    <x v="22"/>
  </r>
  <r>
    <x v="22"/>
  </r>
  <r>
    <x v="22"/>
  </r>
  <r>
    <x v="22"/>
  </r>
  <r>
    <x v="22"/>
  </r>
  <r>
    <x v="130"/>
  </r>
  <r>
    <x v="130"/>
  </r>
  <r>
    <x v="130"/>
  </r>
  <r>
    <x v="53"/>
  </r>
  <r>
    <x v="0"/>
  </r>
  <r>
    <x v="0"/>
  </r>
  <r>
    <x v="42"/>
  </r>
  <r>
    <x v="42"/>
  </r>
  <r>
    <x v="22"/>
  </r>
  <r>
    <x v="22"/>
  </r>
  <r>
    <x v="64"/>
  </r>
  <r>
    <x v="64"/>
  </r>
  <r>
    <x v="64"/>
  </r>
  <r>
    <x v="64"/>
  </r>
  <r>
    <x v="22"/>
  </r>
  <r>
    <x v="44"/>
  </r>
  <r>
    <x v="115"/>
  </r>
  <r>
    <x v="115"/>
  </r>
  <r>
    <x v="115"/>
  </r>
  <r>
    <x v="115"/>
  </r>
  <r>
    <x v="115"/>
  </r>
  <r>
    <x v="42"/>
  </r>
  <r>
    <x v="42"/>
  </r>
  <r>
    <x v="28"/>
  </r>
  <r>
    <x v="28"/>
  </r>
  <r>
    <x v="78"/>
  </r>
  <r>
    <x v="14"/>
  </r>
  <r>
    <x v="14"/>
  </r>
  <r>
    <x v="14"/>
  </r>
  <r>
    <x v="17"/>
  </r>
  <r>
    <x v="17"/>
  </r>
  <r>
    <x v="17"/>
  </r>
  <r>
    <x v="141"/>
  </r>
  <r>
    <x v="0"/>
  </r>
  <r>
    <x v="0"/>
  </r>
  <r>
    <x v="0"/>
  </r>
  <r>
    <x v="0"/>
  </r>
  <r>
    <x v="0"/>
  </r>
  <r>
    <x v="28"/>
  </r>
  <r>
    <x v="20"/>
  </r>
  <r>
    <x v="113"/>
  </r>
  <r>
    <x v="189"/>
  </r>
  <r>
    <x v="317"/>
  </r>
  <r>
    <x v="81"/>
  </r>
  <r>
    <x v="76"/>
  </r>
  <r>
    <x v="174"/>
  </r>
  <r>
    <x v="76"/>
  </r>
  <r>
    <x v="6"/>
  </r>
  <r>
    <x v="71"/>
  </r>
  <r>
    <x v="113"/>
  </r>
  <r>
    <x v="78"/>
  </r>
  <r>
    <x v="141"/>
  </r>
  <r>
    <x v="112"/>
  </r>
  <r>
    <x v="113"/>
  </r>
  <r>
    <x v="174"/>
  </r>
  <r>
    <x v="25"/>
  </r>
  <r>
    <x v="25"/>
  </r>
  <r>
    <x v="25"/>
  </r>
  <r>
    <x v="76"/>
  </r>
  <r>
    <x v="125"/>
  </r>
  <r>
    <x v="132"/>
  </r>
  <r>
    <x v="76"/>
  </r>
  <r>
    <x v="134"/>
  </r>
  <r>
    <x v="81"/>
  </r>
  <r>
    <x v="81"/>
  </r>
  <r>
    <x v="81"/>
  </r>
  <r>
    <x v="83"/>
  </r>
  <r>
    <x v="63"/>
  </r>
  <r>
    <x v="63"/>
  </r>
  <r>
    <x v="27"/>
  </r>
  <r>
    <x v="27"/>
  </r>
  <r>
    <x v="27"/>
  </r>
  <r>
    <x v="91"/>
  </r>
  <r>
    <x v="91"/>
  </r>
  <r>
    <x v="76"/>
  </r>
  <r>
    <x v="113"/>
  </r>
  <r>
    <x v="110"/>
  </r>
  <r>
    <x v="110"/>
  </r>
  <r>
    <x v="110"/>
  </r>
  <r>
    <x v="76"/>
  </r>
  <r>
    <x v="76"/>
  </r>
  <r>
    <x v="76"/>
  </r>
  <r>
    <x v="10"/>
  </r>
  <r>
    <x v="79"/>
  </r>
  <r>
    <x v="87"/>
  </r>
  <r>
    <x v="16"/>
  </r>
  <r>
    <x v="143"/>
  </r>
  <r>
    <x v="16"/>
  </r>
  <r>
    <x v="237"/>
  </r>
  <r>
    <x v="25"/>
  </r>
  <r>
    <x v="25"/>
  </r>
  <r>
    <x v="25"/>
  </r>
  <r>
    <x v="77"/>
  </r>
  <r>
    <x v="118"/>
  </r>
  <r>
    <x v="118"/>
  </r>
  <r>
    <x v="112"/>
  </r>
  <r>
    <x v="76"/>
  </r>
  <r>
    <x v="76"/>
  </r>
  <r>
    <x v="88"/>
  </r>
  <r>
    <x v="64"/>
  </r>
  <r>
    <x v="16"/>
  </r>
  <r>
    <x v="7"/>
  </r>
  <r>
    <x v="227"/>
  </r>
  <r>
    <x v="52"/>
  </r>
  <r>
    <x v="216"/>
  </r>
  <r>
    <x v="216"/>
  </r>
  <r>
    <x v="7"/>
  </r>
  <r>
    <x v="76"/>
  </r>
  <r>
    <x v="76"/>
  </r>
  <r>
    <x v="25"/>
  </r>
  <r>
    <x v="138"/>
  </r>
  <r>
    <x v="76"/>
  </r>
  <r>
    <x v="203"/>
  </r>
  <r>
    <x v="203"/>
  </r>
  <r>
    <x v="203"/>
  </r>
  <r>
    <x v="203"/>
  </r>
  <r>
    <x v="91"/>
  </r>
  <r>
    <x v="81"/>
  </r>
  <r>
    <x v="81"/>
  </r>
  <r>
    <x v="57"/>
  </r>
  <r>
    <x v="83"/>
  </r>
  <r>
    <x v="83"/>
  </r>
  <r>
    <x v="154"/>
  </r>
  <r>
    <x v="25"/>
  </r>
  <r>
    <x v="76"/>
  </r>
  <r>
    <x v="108"/>
  </r>
  <r>
    <x v="6"/>
  </r>
  <r>
    <x v="112"/>
  </r>
  <r>
    <x v="112"/>
  </r>
  <r>
    <x v="23"/>
  </r>
  <r>
    <x v="23"/>
  </r>
  <r>
    <x v="25"/>
  </r>
  <r>
    <x v="25"/>
  </r>
  <r>
    <x v="76"/>
  </r>
  <r>
    <x v="76"/>
  </r>
  <r>
    <x v="76"/>
  </r>
  <r>
    <x v="14"/>
  </r>
  <r>
    <x v="76"/>
  </r>
  <r>
    <x v="76"/>
  </r>
  <r>
    <x v="76"/>
  </r>
  <r>
    <x v="76"/>
  </r>
  <r>
    <x v="113"/>
  </r>
  <r>
    <x v="76"/>
  </r>
  <r>
    <x v="76"/>
  </r>
  <r>
    <x v="76"/>
  </r>
  <r>
    <x v="76"/>
  </r>
  <r>
    <x v="30"/>
  </r>
  <r>
    <x v="280"/>
  </r>
  <r>
    <x v="83"/>
  </r>
  <r>
    <x v="83"/>
  </r>
  <r>
    <x v="0"/>
  </r>
  <r>
    <x v="229"/>
  </r>
  <r>
    <x v="0"/>
  </r>
  <r>
    <x v="57"/>
  </r>
  <r>
    <x v="86"/>
  </r>
  <r>
    <x v="86"/>
  </r>
  <r>
    <x v="25"/>
  </r>
  <r>
    <x v="30"/>
  </r>
  <r>
    <x v="0"/>
  </r>
  <r>
    <x v="93"/>
  </r>
  <r>
    <x v="27"/>
  </r>
  <r>
    <x v="390"/>
  </r>
  <r>
    <x v="93"/>
  </r>
  <r>
    <x v="93"/>
  </r>
  <r>
    <x v="93"/>
  </r>
  <r>
    <x v="93"/>
  </r>
  <r>
    <x v="93"/>
  </r>
  <r>
    <x v="31"/>
  </r>
  <r>
    <x v="31"/>
  </r>
  <r>
    <x v="31"/>
  </r>
  <r>
    <x v="25"/>
  </r>
  <r>
    <x v="25"/>
  </r>
  <r>
    <x v="25"/>
  </r>
  <r>
    <x v="30"/>
  </r>
  <r>
    <x v="103"/>
  </r>
  <r>
    <x v="20"/>
  </r>
  <r>
    <x v="9"/>
  </r>
  <r>
    <x v="25"/>
  </r>
  <r>
    <x v="113"/>
  </r>
  <r>
    <x v="9"/>
  </r>
  <r>
    <x v="76"/>
  </r>
  <r>
    <x v="199"/>
  </r>
  <r>
    <x v="25"/>
  </r>
  <r>
    <x v="76"/>
  </r>
  <r>
    <x v="113"/>
  </r>
  <r>
    <x v="25"/>
  </r>
  <r>
    <x v="116"/>
  </r>
  <r>
    <x v="113"/>
  </r>
  <r>
    <x v="151"/>
  </r>
  <r>
    <x v="76"/>
  </r>
  <r>
    <x v="36"/>
  </r>
  <r>
    <x v="76"/>
  </r>
  <r>
    <x v="113"/>
  </r>
  <r>
    <x v="4"/>
  </r>
  <r>
    <x v="81"/>
  </r>
  <r>
    <x v="81"/>
  </r>
  <r>
    <x v="22"/>
  </r>
  <r>
    <x v="81"/>
  </r>
  <r>
    <x v="14"/>
  </r>
  <r>
    <x v="14"/>
  </r>
  <r>
    <x v="86"/>
  </r>
  <r>
    <x v="76"/>
  </r>
  <r>
    <x v="86"/>
  </r>
  <r>
    <x v="76"/>
  </r>
  <r>
    <x v="25"/>
  </r>
  <r>
    <x v="25"/>
  </r>
  <r>
    <x v="72"/>
  </r>
  <r>
    <x v="72"/>
  </r>
  <r>
    <x v="72"/>
  </r>
  <r>
    <x v="113"/>
  </r>
  <r>
    <x v="72"/>
  </r>
  <r>
    <x v="76"/>
  </r>
  <r>
    <x v="112"/>
  </r>
  <r>
    <x v="47"/>
  </r>
  <r>
    <x v="76"/>
  </r>
  <r>
    <x v="10"/>
  </r>
  <r>
    <x v="82"/>
  </r>
  <r>
    <x v="15"/>
  </r>
  <r>
    <x v="12"/>
  </r>
  <r>
    <x v="199"/>
  </r>
  <r>
    <x v="29"/>
  </r>
  <r>
    <x v="23"/>
  </r>
  <r>
    <x v="76"/>
  </r>
  <r>
    <x v="76"/>
  </r>
  <r>
    <x v="76"/>
  </r>
  <r>
    <x v="25"/>
  </r>
  <r>
    <x v="51"/>
  </r>
  <r>
    <x v="112"/>
  </r>
  <r>
    <x v="3"/>
  </r>
  <r>
    <x v="86"/>
  </r>
  <r>
    <x v="31"/>
  </r>
  <r>
    <x v="359"/>
  </r>
  <r>
    <x v="12"/>
  </r>
  <r>
    <x v="304"/>
  </r>
  <r>
    <x v="76"/>
  </r>
  <r>
    <x v="91"/>
  </r>
  <r>
    <x v="36"/>
  </r>
  <r>
    <x v="12"/>
  </r>
  <r>
    <x v="138"/>
  </r>
  <r>
    <x v="138"/>
  </r>
  <r>
    <x v="138"/>
  </r>
  <r>
    <x v="110"/>
  </r>
  <r>
    <x v="110"/>
  </r>
  <r>
    <x v="10"/>
  </r>
  <r>
    <x v="10"/>
  </r>
  <r>
    <x v="10"/>
  </r>
  <r>
    <x v="10"/>
  </r>
  <r>
    <x v="10"/>
  </r>
  <r>
    <x v="82"/>
  </r>
  <r>
    <x v="22"/>
  </r>
  <r>
    <x v="10"/>
  </r>
  <r>
    <x v="10"/>
  </r>
  <r>
    <x v="9"/>
  </r>
  <r>
    <x v="10"/>
  </r>
  <r>
    <x v="20"/>
  </r>
  <r>
    <x v="8"/>
  </r>
  <r>
    <x v="48"/>
  </r>
  <r>
    <x v="9"/>
  </r>
  <r>
    <x v="82"/>
  </r>
  <r>
    <x v="31"/>
  </r>
  <r>
    <x v="76"/>
  </r>
  <r>
    <x v="157"/>
  </r>
  <r>
    <x v="122"/>
  </r>
  <r>
    <x v="81"/>
  </r>
  <r>
    <x v="112"/>
  </r>
  <r>
    <x v="75"/>
  </r>
  <r>
    <x v="108"/>
  </r>
  <r>
    <x v="10"/>
  </r>
  <r>
    <x v="10"/>
  </r>
  <r>
    <x v="100"/>
  </r>
  <r>
    <x v="83"/>
  </r>
  <r>
    <x v="9"/>
  </r>
  <r>
    <x v="9"/>
  </r>
  <r>
    <x v="9"/>
  </r>
  <r>
    <x v="32"/>
  </r>
  <r>
    <x v="82"/>
  </r>
  <r>
    <x v="32"/>
  </r>
  <r>
    <x v="9"/>
  </r>
  <r>
    <x v="82"/>
  </r>
  <r>
    <x v="64"/>
  </r>
  <r>
    <x v="279"/>
  </r>
  <r>
    <x v="64"/>
  </r>
  <r>
    <x v="64"/>
  </r>
  <r>
    <x v="64"/>
  </r>
  <r>
    <x v="64"/>
  </r>
  <r>
    <x v="64"/>
  </r>
  <r>
    <x v="64"/>
  </r>
  <r>
    <x v="9"/>
  </r>
  <r>
    <x v="391"/>
  </r>
  <r>
    <x v="60"/>
  </r>
  <r>
    <x v="113"/>
  </r>
  <r>
    <x v="336"/>
  </r>
  <r>
    <x v="48"/>
  </r>
  <r>
    <x v="63"/>
  </r>
  <r>
    <x v="31"/>
  </r>
  <r>
    <x v="31"/>
  </r>
  <r>
    <x v="52"/>
  </r>
  <r>
    <x v="112"/>
  </r>
  <r>
    <x v="76"/>
  </r>
  <r>
    <x v="229"/>
  </r>
  <r>
    <x v="53"/>
  </r>
  <r>
    <x v="53"/>
  </r>
  <r>
    <x v="12"/>
  </r>
  <r>
    <x v="122"/>
  </r>
  <r>
    <x v="63"/>
  </r>
  <r>
    <x v="63"/>
  </r>
  <r>
    <x v="63"/>
  </r>
  <r>
    <x v="108"/>
  </r>
  <r>
    <x v="154"/>
  </r>
  <r>
    <x v="3"/>
  </r>
  <r>
    <x v="14"/>
  </r>
  <r>
    <x v="154"/>
  </r>
  <r>
    <x v="245"/>
  </r>
  <r>
    <x v="392"/>
  </r>
  <r>
    <x v="155"/>
  </r>
  <r>
    <x v="392"/>
  </r>
  <r>
    <x v="154"/>
  </r>
  <r>
    <x v="127"/>
  </r>
  <r>
    <x v="15"/>
  </r>
  <r>
    <x v="76"/>
  </r>
  <r>
    <x v="31"/>
  </r>
  <r>
    <x v="42"/>
  </r>
  <r>
    <x v="96"/>
  </r>
  <r>
    <x v="12"/>
  </r>
  <r>
    <x v="36"/>
  </r>
  <r>
    <x v="48"/>
  </r>
  <r>
    <x v="42"/>
  </r>
  <r>
    <x v="3"/>
  </r>
  <r>
    <x v="25"/>
  </r>
  <r>
    <x v="25"/>
  </r>
  <r>
    <x v="110"/>
  </r>
  <r>
    <x v="31"/>
  </r>
  <r>
    <x v="37"/>
  </r>
  <r>
    <x v="3"/>
  </r>
  <r>
    <x v="3"/>
  </r>
  <r>
    <x v="31"/>
  </r>
  <r>
    <x v="31"/>
  </r>
  <r>
    <x v="31"/>
  </r>
  <r>
    <x v="122"/>
  </r>
  <r>
    <x v="86"/>
  </r>
  <r>
    <x v="86"/>
  </r>
  <r>
    <x v="17"/>
  </r>
  <r>
    <x v="393"/>
  </r>
  <r>
    <x v="25"/>
  </r>
  <r>
    <x v="72"/>
  </r>
  <r>
    <x v="82"/>
  </r>
  <r>
    <x v="102"/>
  </r>
  <r>
    <x v="31"/>
  </r>
  <r>
    <x v="25"/>
  </r>
  <r>
    <x v="173"/>
  </r>
  <r>
    <x v="31"/>
  </r>
  <r>
    <x v="6"/>
  </r>
  <r>
    <x v="25"/>
  </r>
  <r>
    <x v="17"/>
  </r>
  <r>
    <x v="116"/>
  </r>
  <r>
    <x v="25"/>
  </r>
  <r>
    <x v="127"/>
  </r>
  <r>
    <x v="63"/>
  </r>
  <r>
    <x v="63"/>
  </r>
  <r>
    <x v="14"/>
  </r>
  <r>
    <x v="17"/>
  </r>
  <r>
    <x v="24"/>
  </r>
  <r>
    <x v="105"/>
  </r>
  <r>
    <x v="31"/>
  </r>
  <r>
    <x v="103"/>
  </r>
  <r>
    <x v="21"/>
  </r>
  <r>
    <x v="28"/>
  </r>
  <r>
    <x v="28"/>
  </r>
  <r>
    <x v="79"/>
  </r>
  <r>
    <x v="28"/>
  </r>
  <r>
    <x v="110"/>
  </r>
  <r>
    <x v="76"/>
  </r>
  <r>
    <x v="76"/>
  </r>
  <r>
    <x v="3"/>
  </r>
  <r>
    <x v="110"/>
  </r>
  <r>
    <x v="81"/>
  </r>
  <r>
    <x v="110"/>
  </r>
  <r>
    <x v="3"/>
  </r>
  <r>
    <x v="110"/>
  </r>
  <r>
    <x v="116"/>
  </r>
  <r>
    <x v="81"/>
  </r>
  <r>
    <x v="201"/>
  </r>
  <r>
    <x v="30"/>
  </r>
  <r>
    <x v="79"/>
  </r>
  <r>
    <x v="10"/>
  </r>
  <r>
    <x v="10"/>
  </r>
  <r>
    <x v="28"/>
  </r>
  <r>
    <x v="57"/>
  </r>
  <r>
    <x v="76"/>
  </r>
  <r>
    <x v="21"/>
  </r>
  <r>
    <x v="3"/>
  </r>
  <r>
    <x v="3"/>
  </r>
  <r>
    <x v="56"/>
  </r>
  <r>
    <x v="82"/>
  </r>
  <r>
    <x v="30"/>
  </r>
  <r>
    <x v="30"/>
  </r>
  <r>
    <x v="14"/>
  </r>
  <r>
    <x v="25"/>
  </r>
  <r>
    <x v="227"/>
  </r>
  <r>
    <x v="29"/>
  </r>
  <r>
    <x v="29"/>
  </r>
  <r>
    <x v="129"/>
  </r>
  <r>
    <x v="113"/>
  </r>
  <r>
    <x v="113"/>
  </r>
  <r>
    <x v="72"/>
  </r>
  <r>
    <x v="25"/>
  </r>
  <r>
    <x v="48"/>
  </r>
  <r>
    <x v="25"/>
  </r>
  <r>
    <x v="76"/>
  </r>
  <r>
    <x v="14"/>
  </r>
  <r>
    <x v="25"/>
  </r>
  <r>
    <x v="25"/>
  </r>
  <r>
    <x v="25"/>
  </r>
  <r>
    <x v="102"/>
  </r>
  <r>
    <x v="108"/>
  </r>
  <r>
    <x v="25"/>
  </r>
  <r>
    <x v="25"/>
  </r>
  <r>
    <x v="394"/>
  </r>
  <r>
    <x v="25"/>
  </r>
  <r>
    <x v="25"/>
  </r>
  <r>
    <x v="108"/>
  </r>
  <r>
    <x v="25"/>
  </r>
  <r>
    <x v="25"/>
  </r>
  <r>
    <x v="106"/>
  </r>
  <r>
    <x v="43"/>
  </r>
  <r>
    <x v="10"/>
  </r>
  <r>
    <x v="24"/>
  </r>
  <r>
    <x v="24"/>
  </r>
  <r>
    <x v="283"/>
  </r>
  <r>
    <x v="283"/>
  </r>
  <r>
    <x v="280"/>
  </r>
  <r>
    <x v="14"/>
  </r>
  <r>
    <x v="70"/>
  </r>
  <r>
    <x v="122"/>
  </r>
  <r>
    <x v="122"/>
  </r>
  <r>
    <x v="122"/>
  </r>
  <r>
    <x v="122"/>
  </r>
  <r>
    <x v="122"/>
  </r>
  <r>
    <x v="48"/>
  </r>
  <r>
    <x v="48"/>
  </r>
  <r>
    <x v="108"/>
  </r>
  <r>
    <x v="24"/>
  </r>
  <r>
    <x v="24"/>
  </r>
  <r>
    <x v="24"/>
  </r>
  <r>
    <x v="106"/>
  </r>
  <r>
    <x v="25"/>
  </r>
  <r>
    <x v="25"/>
  </r>
  <r>
    <x v="25"/>
  </r>
  <r>
    <x v="25"/>
  </r>
  <r>
    <x v="25"/>
  </r>
  <r>
    <x v="102"/>
  </r>
  <r>
    <x v="25"/>
  </r>
  <r>
    <x v="102"/>
  </r>
  <r>
    <x v="68"/>
  </r>
  <r>
    <x v="340"/>
  </r>
  <r>
    <x v="395"/>
  </r>
  <r>
    <x v="395"/>
  </r>
  <r>
    <x v="76"/>
  </r>
  <r>
    <x v="102"/>
  </r>
  <r>
    <x v="10"/>
  </r>
  <r>
    <x v="102"/>
  </r>
  <r>
    <x v="29"/>
  </r>
  <r>
    <x v="29"/>
  </r>
  <r>
    <x v="29"/>
  </r>
  <r>
    <x v="14"/>
  </r>
  <r>
    <x v="78"/>
  </r>
  <r>
    <x v="25"/>
  </r>
  <r>
    <x v="113"/>
  </r>
  <r>
    <x v="102"/>
  </r>
  <r>
    <x v="10"/>
  </r>
  <r>
    <x v="78"/>
  </r>
  <r>
    <x v="136"/>
  </r>
  <r>
    <x v="143"/>
  </r>
  <r>
    <x v="14"/>
  </r>
  <r>
    <x v="108"/>
  </r>
  <r>
    <x v="72"/>
  </r>
  <r>
    <x v="76"/>
  </r>
  <r>
    <x v="76"/>
  </r>
  <r>
    <x v="102"/>
  </r>
  <r>
    <x v="108"/>
  </r>
  <r>
    <x v="108"/>
  </r>
  <r>
    <x v="93"/>
  </r>
  <r>
    <x v="93"/>
  </r>
  <r>
    <x v="25"/>
  </r>
  <r>
    <x v="25"/>
  </r>
  <r>
    <x v="78"/>
  </r>
  <r>
    <x v="82"/>
  </r>
  <r>
    <x v="25"/>
  </r>
  <r>
    <x v="108"/>
  </r>
  <r>
    <x v="10"/>
  </r>
  <r>
    <x v="10"/>
  </r>
  <r>
    <x v="100"/>
  </r>
  <r>
    <x v="100"/>
  </r>
  <r>
    <x v="31"/>
  </r>
  <r>
    <x v="82"/>
  </r>
  <r>
    <x v="100"/>
  </r>
  <r>
    <x v="24"/>
  </r>
  <r>
    <x v="24"/>
  </r>
  <r>
    <x v="24"/>
  </r>
  <r>
    <x v="112"/>
  </r>
  <r>
    <x v="31"/>
  </r>
  <r>
    <x v="14"/>
  </r>
  <r>
    <x v="24"/>
  </r>
  <r>
    <x v="24"/>
  </r>
  <r>
    <x v="24"/>
  </r>
  <r>
    <x v="9"/>
  </r>
  <r>
    <x v="81"/>
  </r>
  <r>
    <x v="81"/>
  </r>
  <r>
    <x v="63"/>
  </r>
  <r>
    <x v="21"/>
  </r>
  <r>
    <x v="48"/>
  </r>
  <r>
    <x v="392"/>
  </r>
  <r>
    <x v="392"/>
  </r>
  <r>
    <x v="31"/>
  </r>
  <r>
    <x v="31"/>
  </r>
  <r>
    <x v="42"/>
  </r>
  <r>
    <x v="82"/>
  </r>
  <r>
    <x v="25"/>
  </r>
  <r>
    <x v="82"/>
  </r>
  <r>
    <x v="181"/>
  </r>
  <r>
    <x v="181"/>
  </r>
  <r>
    <x v="181"/>
  </r>
  <r>
    <x v="6"/>
  </r>
  <r>
    <x v="24"/>
  </r>
  <r>
    <x v="24"/>
  </r>
  <r>
    <x v="24"/>
  </r>
  <r>
    <x v="31"/>
  </r>
  <r>
    <x v="10"/>
  </r>
  <r>
    <x v="108"/>
  </r>
  <r>
    <x v="108"/>
  </r>
  <r>
    <x v="392"/>
  </r>
  <r>
    <x v="331"/>
  </r>
  <r>
    <x v="108"/>
  </r>
  <r>
    <x v="108"/>
  </r>
  <r>
    <x v="31"/>
  </r>
  <r>
    <x v="31"/>
  </r>
  <r>
    <x v="36"/>
  </r>
  <r>
    <x v="14"/>
  </r>
  <r>
    <x v="21"/>
  </r>
  <r>
    <x v="102"/>
  </r>
  <r>
    <x v="108"/>
  </r>
  <r>
    <x v="108"/>
  </r>
  <r>
    <x v="36"/>
  </r>
  <r>
    <x v="29"/>
  </r>
  <r>
    <x v="14"/>
  </r>
  <r>
    <x v="31"/>
  </r>
  <r>
    <x v="21"/>
  </r>
  <r>
    <x v="31"/>
  </r>
  <r>
    <x v="31"/>
  </r>
  <r>
    <x v="208"/>
  </r>
  <r>
    <x v="347"/>
  </r>
  <r>
    <x v="45"/>
  </r>
  <r>
    <x v="113"/>
  </r>
  <r>
    <x v="24"/>
  </r>
  <r>
    <x v="81"/>
  </r>
  <r>
    <x v="25"/>
  </r>
  <r>
    <x v="25"/>
  </r>
  <r>
    <x v="25"/>
  </r>
  <r>
    <x v="25"/>
  </r>
  <r>
    <x v="24"/>
  </r>
  <r>
    <x v="67"/>
  </r>
  <r>
    <x v="67"/>
  </r>
  <r>
    <x v="154"/>
  </r>
  <r>
    <x v="31"/>
  </r>
  <r>
    <x v="313"/>
  </r>
  <r>
    <x v="31"/>
  </r>
  <r>
    <x v="31"/>
  </r>
  <r>
    <x v="31"/>
  </r>
  <r>
    <x v="60"/>
  </r>
  <r>
    <x v="31"/>
  </r>
  <r>
    <x v="31"/>
  </r>
  <r>
    <x v="48"/>
  </r>
  <r>
    <x v="31"/>
  </r>
  <r>
    <x v="31"/>
  </r>
  <r>
    <x v="112"/>
  </r>
  <r>
    <x v="119"/>
  </r>
  <r>
    <x v="25"/>
  </r>
  <r>
    <x v="4"/>
  </r>
  <r>
    <x v="113"/>
  </r>
  <r>
    <x v="4"/>
  </r>
  <r>
    <x v="4"/>
  </r>
  <r>
    <x v="368"/>
  </r>
  <r>
    <x v="29"/>
  </r>
  <r>
    <x v="396"/>
  </r>
  <r>
    <x v="396"/>
  </r>
  <r>
    <x v="25"/>
  </r>
  <r>
    <x v="32"/>
  </r>
  <r>
    <x v="31"/>
  </r>
  <r>
    <x v="29"/>
  </r>
  <r>
    <x v="2"/>
  </r>
  <r>
    <x v="31"/>
  </r>
  <r>
    <x v="113"/>
  </r>
  <r>
    <x v="29"/>
  </r>
  <r>
    <x v="230"/>
  </r>
  <r>
    <x v="113"/>
  </r>
  <r>
    <x v="113"/>
  </r>
  <r>
    <x v="113"/>
  </r>
  <r>
    <x v="113"/>
  </r>
  <r>
    <x v="72"/>
  </r>
  <r>
    <x v="31"/>
  </r>
  <r>
    <x v="31"/>
  </r>
  <r>
    <x v="93"/>
  </r>
  <r>
    <x v="93"/>
  </r>
  <r>
    <x v="113"/>
  </r>
  <r>
    <x v="21"/>
  </r>
  <r>
    <x v="125"/>
  </r>
  <r>
    <x v="86"/>
  </r>
  <r>
    <x v="113"/>
  </r>
  <r>
    <x v="199"/>
  </r>
  <r>
    <x v="25"/>
  </r>
  <r>
    <x v="138"/>
  </r>
  <r>
    <x v="181"/>
  </r>
  <r>
    <x v="25"/>
  </r>
  <r>
    <x v="213"/>
  </r>
  <r>
    <x v="25"/>
  </r>
  <r>
    <x v="108"/>
  </r>
  <r>
    <x v="113"/>
  </r>
  <r>
    <x v="86"/>
  </r>
  <r>
    <x v="113"/>
  </r>
  <r>
    <x v="76"/>
  </r>
  <r>
    <x v="113"/>
  </r>
  <r>
    <x v="280"/>
  </r>
  <r>
    <x v="93"/>
  </r>
  <r>
    <x v="280"/>
  </r>
  <r>
    <x v="390"/>
  </r>
  <r>
    <x v="390"/>
  </r>
  <r>
    <x v="280"/>
  </r>
  <r>
    <x v="280"/>
  </r>
  <r>
    <x v="93"/>
  </r>
  <r>
    <x v="113"/>
  </r>
  <r>
    <x v="347"/>
  </r>
  <r>
    <x v="113"/>
  </r>
  <r>
    <x v="31"/>
  </r>
  <r>
    <x v="393"/>
  </r>
  <r>
    <x v="397"/>
  </r>
  <r>
    <x v="31"/>
  </r>
  <r>
    <x v="70"/>
  </r>
  <r>
    <x v="396"/>
  </r>
  <r>
    <x v="119"/>
  </r>
  <r>
    <x v="113"/>
  </r>
  <r>
    <x v="108"/>
  </r>
  <r>
    <x v="124"/>
  </r>
  <r>
    <x v="113"/>
  </r>
  <r>
    <x v="36"/>
  </r>
  <r>
    <x v="156"/>
  </r>
  <r>
    <x v="156"/>
  </r>
  <r>
    <x v="29"/>
  </r>
  <r>
    <x v="113"/>
  </r>
  <r>
    <x v="114"/>
  </r>
  <r>
    <x v="398"/>
  </r>
  <r>
    <x v="113"/>
  </r>
  <r>
    <x v="113"/>
  </r>
  <r>
    <x v="113"/>
  </r>
  <r>
    <x v="113"/>
  </r>
  <r>
    <x v="120"/>
  </r>
  <r>
    <x v="98"/>
  </r>
  <r>
    <x v="111"/>
  </r>
  <r>
    <x v="155"/>
  </r>
  <r>
    <x v="398"/>
  </r>
  <r>
    <x v="34"/>
  </r>
  <r>
    <x v="173"/>
  </r>
  <r>
    <x v="100"/>
  </r>
  <r>
    <x v="113"/>
  </r>
  <r>
    <x v="100"/>
  </r>
  <r>
    <x v="83"/>
  </r>
  <r>
    <x v="281"/>
  </r>
  <r>
    <x v="138"/>
  </r>
  <r>
    <x v="399"/>
  </r>
  <r>
    <x v="399"/>
  </r>
  <r>
    <x v="70"/>
  </r>
  <r>
    <x v="400"/>
  </r>
  <r>
    <x v="400"/>
  </r>
  <r>
    <x v="70"/>
  </r>
  <r>
    <x v="400"/>
  </r>
  <r>
    <x v="281"/>
  </r>
  <r>
    <x v="281"/>
  </r>
  <r>
    <x v="10"/>
  </r>
  <r>
    <x v="31"/>
  </r>
  <r>
    <x v="33"/>
  </r>
  <r>
    <x v="111"/>
  </r>
  <r>
    <x v="281"/>
  </r>
  <r>
    <x v="86"/>
  </r>
  <r>
    <x v="401"/>
  </r>
  <r>
    <x v="113"/>
  </r>
  <r>
    <x v="100"/>
  </r>
  <r>
    <x v="121"/>
  </r>
  <r>
    <x v="216"/>
  </r>
  <r>
    <x v="113"/>
  </r>
  <r>
    <x v="340"/>
  </r>
  <r>
    <x v="340"/>
  </r>
  <r>
    <x v="280"/>
  </r>
  <r>
    <x v="280"/>
  </r>
  <r>
    <x v="100"/>
  </r>
  <r>
    <x v="100"/>
  </r>
  <r>
    <x v="281"/>
  </r>
  <r>
    <x v="25"/>
  </r>
  <r>
    <x v="109"/>
  </r>
  <r>
    <x v="109"/>
  </r>
  <r>
    <x v="392"/>
  </r>
  <r>
    <x v="392"/>
  </r>
  <r>
    <x v="119"/>
  </r>
  <r>
    <x v="402"/>
  </r>
  <r>
    <x v="403"/>
  </r>
  <r>
    <x v="403"/>
  </r>
  <r>
    <x v="281"/>
  </r>
  <r>
    <x v="399"/>
  </r>
  <r>
    <x v="25"/>
  </r>
  <r>
    <x v="21"/>
  </r>
  <r>
    <x v="12"/>
  </r>
  <r>
    <x v="216"/>
  </r>
  <r>
    <x v="404"/>
  </r>
  <r>
    <x v="230"/>
  </r>
  <r>
    <x v="98"/>
  </r>
  <r>
    <x v="70"/>
  </r>
  <r>
    <x v="86"/>
  </r>
  <r>
    <x v="227"/>
  </r>
  <r>
    <x v="16"/>
  </r>
  <r>
    <x v="405"/>
  </r>
  <r>
    <x v="406"/>
  </r>
  <r>
    <x v="91"/>
  </r>
  <r>
    <x v="113"/>
  </r>
  <r>
    <x v="113"/>
  </r>
  <r>
    <x v="113"/>
  </r>
  <r>
    <x v="113"/>
  </r>
  <r>
    <x v="113"/>
  </r>
  <r>
    <x v="407"/>
  </r>
  <r>
    <x v="7"/>
  </r>
  <r>
    <x v="213"/>
  </r>
  <r>
    <x v="406"/>
  </r>
  <r>
    <x v="70"/>
  </r>
  <r>
    <x v="7"/>
  </r>
  <r>
    <x v="181"/>
  </r>
  <r>
    <x v="227"/>
  </r>
  <r>
    <x v="25"/>
  </r>
  <r>
    <x v="25"/>
  </r>
  <r>
    <x v="25"/>
  </r>
  <r>
    <x v="256"/>
  </r>
  <r>
    <x v="76"/>
  </r>
  <r>
    <x v="12"/>
  </r>
  <r>
    <x v="100"/>
  </r>
  <r>
    <x v="20"/>
  </r>
  <r>
    <x v="20"/>
  </r>
  <r>
    <x v="48"/>
  </r>
  <r>
    <x v="10"/>
  </r>
  <r>
    <x v="42"/>
  </r>
  <r>
    <x v="25"/>
  </r>
  <r>
    <x v="25"/>
  </r>
  <r>
    <x v="105"/>
  </r>
  <r>
    <x v="105"/>
  </r>
  <r>
    <x v="25"/>
  </r>
  <r>
    <x v="105"/>
  </r>
  <r>
    <x v="25"/>
  </r>
  <r>
    <x v="52"/>
  </r>
  <r>
    <x v="23"/>
  </r>
  <r>
    <x v="23"/>
  </r>
  <r>
    <x v="23"/>
  </r>
  <r>
    <x v="76"/>
  </r>
  <r>
    <x v="76"/>
  </r>
  <r>
    <x v="93"/>
  </r>
  <r>
    <x v="25"/>
  </r>
  <r>
    <x v="78"/>
  </r>
  <r>
    <x v="25"/>
  </r>
  <r>
    <x v="76"/>
  </r>
  <r>
    <x v="25"/>
  </r>
  <r>
    <x v="93"/>
  </r>
  <r>
    <x v="25"/>
  </r>
  <r>
    <x v="25"/>
  </r>
  <r>
    <x v="25"/>
  </r>
  <r>
    <x v="25"/>
  </r>
  <r>
    <x v="25"/>
  </r>
  <r>
    <x v="25"/>
  </r>
  <r>
    <x v="25"/>
  </r>
  <r>
    <x v="23"/>
  </r>
  <r>
    <x v="25"/>
  </r>
  <r>
    <x v="25"/>
  </r>
  <r>
    <x v="76"/>
  </r>
  <r>
    <x v="76"/>
  </r>
  <r>
    <x v="76"/>
  </r>
  <r>
    <x v="105"/>
  </r>
  <r>
    <x v="76"/>
  </r>
  <r>
    <x v="105"/>
  </r>
  <r>
    <x v="25"/>
  </r>
  <r>
    <x v="105"/>
  </r>
  <r>
    <x v="105"/>
  </r>
  <r>
    <x v="78"/>
  </r>
  <r>
    <x v="78"/>
  </r>
  <r>
    <x v="105"/>
  </r>
  <r>
    <x v="25"/>
  </r>
  <r>
    <x v="72"/>
  </r>
  <r>
    <x v="199"/>
  </r>
  <r>
    <x v="25"/>
  </r>
  <r>
    <x v="25"/>
  </r>
  <r>
    <x v="78"/>
  </r>
  <r>
    <x v="25"/>
  </r>
  <r>
    <x v="25"/>
  </r>
  <r>
    <x v="76"/>
  </r>
  <r>
    <x v="25"/>
  </r>
  <r>
    <x v="25"/>
  </r>
  <r>
    <x v="78"/>
  </r>
  <r>
    <x v="25"/>
  </r>
  <r>
    <x v="25"/>
  </r>
  <r>
    <x v="132"/>
  </r>
  <r>
    <x v="105"/>
  </r>
  <r>
    <x v="199"/>
  </r>
  <r>
    <x v="105"/>
  </r>
  <r>
    <x v="76"/>
  </r>
  <r>
    <x v="199"/>
  </r>
  <r>
    <x v="76"/>
  </r>
  <r>
    <x v="76"/>
  </r>
  <r>
    <x v="199"/>
  </r>
  <r>
    <x v="76"/>
  </r>
  <r>
    <x v="76"/>
  </r>
  <r>
    <x v="76"/>
  </r>
  <r>
    <x v="76"/>
  </r>
  <r>
    <x v="76"/>
  </r>
  <r>
    <x v="76"/>
  </r>
  <r>
    <x v="199"/>
  </r>
  <r>
    <x v="23"/>
  </r>
  <r>
    <x v="25"/>
  </r>
  <r>
    <x v="25"/>
  </r>
  <r>
    <x v="25"/>
  </r>
  <r>
    <x v="25"/>
  </r>
  <r>
    <x v="25"/>
  </r>
  <r>
    <x v="25"/>
  </r>
  <r>
    <x v="25"/>
  </r>
  <r>
    <x v="25"/>
  </r>
  <r>
    <x v="23"/>
  </r>
  <r>
    <x v="23"/>
  </r>
  <r>
    <x v="25"/>
  </r>
  <r>
    <x v="23"/>
  </r>
  <r>
    <x v="23"/>
  </r>
  <r>
    <x v="25"/>
  </r>
  <r>
    <x v="25"/>
  </r>
  <r>
    <x v="25"/>
  </r>
  <r>
    <x v="75"/>
  </r>
  <r>
    <x v="23"/>
  </r>
  <r>
    <x v="25"/>
  </r>
  <r>
    <x v="59"/>
  </r>
  <r>
    <x v="75"/>
  </r>
  <r>
    <x v="75"/>
  </r>
  <r>
    <x v="76"/>
  </r>
  <r>
    <x v="78"/>
  </r>
  <r>
    <x v="76"/>
  </r>
  <r>
    <x v="199"/>
  </r>
  <r>
    <x v="76"/>
  </r>
  <r>
    <x v="76"/>
  </r>
  <r>
    <x v="78"/>
  </r>
  <r>
    <x v="199"/>
  </r>
  <r>
    <x v="76"/>
  </r>
  <r>
    <x v="199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6"/>
  </r>
  <r>
    <x v="76"/>
  </r>
  <r>
    <x v="25"/>
  </r>
  <r>
    <x v="78"/>
  </r>
  <r>
    <x v="25"/>
  </r>
  <r>
    <x v="76"/>
  </r>
  <r>
    <x v="25"/>
  </r>
  <r>
    <x v="23"/>
  </r>
  <r>
    <x v="23"/>
  </r>
  <r>
    <x v="25"/>
  </r>
  <r>
    <x v="78"/>
  </r>
  <r>
    <x v="25"/>
  </r>
  <r>
    <x v="25"/>
  </r>
  <r>
    <x v="81"/>
  </r>
  <r>
    <x v="76"/>
  </r>
  <r>
    <x v="76"/>
  </r>
  <r>
    <x v="76"/>
  </r>
  <r>
    <x v="25"/>
  </r>
  <r>
    <x v="105"/>
  </r>
  <r>
    <x v="105"/>
  </r>
  <r>
    <x v="76"/>
  </r>
  <r>
    <x v="76"/>
  </r>
  <r>
    <x v="105"/>
  </r>
  <r>
    <x v="76"/>
  </r>
  <r>
    <x v="105"/>
  </r>
  <r>
    <x v="105"/>
  </r>
  <r>
    <x v="25"/>
  </r>
  <r>
    <x v="23"/>
  </r>
  <r>
    <x v="85"/>
  </r>
  <r>
    <x v="85"/>
  </r>
  <r>
    <x v="25"/>
  </r>
  <r>
    <x v="12"/>
  </r>
  <r>
    <x v="72"/>
  </r>
  <r>
    <x v="25"/>
  </r>
  <r>
    <x v="78"/>
  </r>
  <r>
    <x v="78"/>
  </r>
  <r>
    <x v="72"/>
  </r>
  <r>
    <x v="23"/>
  </r>
  <r>
    <x v="25"/>
  </r>
  <r>
    <x v="25"/>
  </r>
  <r>
    <x v="25"/>
  </r>
  <r>
    <x v="82"/>
  </r>
  <r>
    <x v="85"/>
  </r>
  <r>
    <x v="25"/>
  </r>
  <r>
    <x v="76"/>
  </r>
  <r>
    <x v="76"/>
  </r>
  <r>
    <x v="72"/>
  </r>
  <r>
    <x v="76"/>
  </r>
  <r>
    <x v="199"/>
  </r>
  <r>
    <x v="76"/>
  </r>
  <r>
    <x v="76"/>
  </r>
  <r>
    <x v="199"/>
  </r>
  <r>
    <x v="76"/>
  </r>
  <r>
    <x v="76"/>
  </r>
  <r>
    <x v="76"/>
  </r>
  <r>
    <x v="76"/>
  </r>
  <r>
    <x v="76"/>
  </r>
  <r>
    <x v="76"/>
  </r>
  <r>
    <x v="199"/>
  </r>
  <r>
    <x v="48"/>
  </r>
  <r>
    <x v="25"/>
  </r>
  <r>
    <x v="82"/>
  </r>
  <r>
    <x v="25"/>
  </r>
  <r>
    <x v="76"/>
  </r>
  <r>
    <x v="199"/>
  </r>
  <r>
    <x v="76"/>
  </r>
  <r>
    <x v="76"/>
  </r>
  <r>
    <x v="25"/>
  </r>
  <r>
    <x v="82"/>
  </r>
  <r>
    <x v="25"/>
  </r>
  <r>
    <x v="25"/>
  </r>
  <r>
    <x v="76"/>
  </r>
  <r>
    <x v="25"/>
  </r>
  <r>
    <x v="177"/>
  </r>
  <r>
    <x v="25"/>
  </r>
  <r>
    <x v="23"/>
  </r>
  <r>
    <x v="25"/>
  </r>
  <r>
    <x v="59"/>
  </r>
  <r>
    <x v="25"/>
  </r>
  <r>
    <x v="25"/>
  </r>
  <r>
    <x v="25"/>
  </r>
  <r>
    <x v="25"/>
  </r>
  <r>
    <x v="9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6"/>
  </r>
  <r>
    <x v="76"/>
  </r>
  <r>
    <x v="76"/>
  </r>
  <r>
    <x v="199"/>
  </r>
  <r>
    <x v="25"/>
  </r>
  <r>
    <x v="76"/>
  </r>
  <r>
    <x v="76"/>
  </r>
  <r>
    <x v="76"/>
  </r>
  <r>
    <x v="25"/>
  </r>
  <r>
    <x v="76"/>
  </r>
  <r>
    <x v="25"/>
  </r>
  <r>
    <x v="25"/>
  </r>
  <r>
    <x v="25"/>
  </r>
  <r>
    <x v="76"/>
  </r>
  <r>
    <x v="78"/>
  </r>
  <r>
    <x v="25"/>
  </r>
  <r>
    <x v="12"/>
  </r>
  <r>
    <x v="25"/>
  </r>
  <r>
    <x v="25"/>
  </r>
  <r>
    <x v="25"/>
  </r>
  <r>
    <x v="42"/>
  </r>
  <r>
    <x v="42"/>
  </r>
  <r>
    <x v="199"/>
  </r>
  <r>
    <x v="27"/>
  </r>
  <r>
    <x v="71"/>
  </r>
  <r>
    <x v="72"/>
  </r>
  <r>
    <x v="71"/>
  </r>
  <r>
    <x v="76"/>
  </r>
  <r>
    <x v="87"/>
  </r>
  <r>
    <x v="76"/>
  </r>
  <r>
    <x v="59"/>
  </r>
  <r>
    <x v="76"/>
  </r>
  <r>
    <x v="96"/>
  </r>
  <r>
    <x v="93"/>
  </r>
  <r>
    <x v="78"/>
  </r>
  <r>
    <x v="92"/>
  </r>
  <r>
    <x v="20"/>
  </r>
  <r>
    <x v="42"/>
  </r>
  <r>
    <x v="42"/>
  </r>
  <r>
    <x v="76"/>
  </r>
  <r>
    <x v="76"/>
  </r>
  <r>
    <x v="25"/>
  </r>
  <r>
    <x v="25"/>
  </r>
  <r>
    <x v="14"/>
  </r>
  <r>
    <x v="23"/>
  </r>
  <r>
    <x v="25"/>
  </r>
  <r>
    <x v="25"/>
  </r>
  <r>
    <x v="25"/>
  </r>
  <r>
    <x v="25"/>
  </r>
  <r>
    <x v="25"/>
  </r>
  <r>
    <x v="14"/>
  </r>
  <r>
    <x v="52"/>
  </r>
  <r>
    <x v="76"/>
  </r>
  <r>
    <x v="93"/>
  </r>
  <r>
    <x v="25"/>
  </r>
  <r>
    <x v="152"/>
  </r>
  <r>
    <x v="59"/>
  </r>
  <r>
    <x v="82"/>
  </r>
  <r>
    <x v="79"/>
  </r>
  <r>
    <x v="59"/>
  </r>
  <r>
    <x v="59"/>
  </r>
  <r>
    <x v="12"/>
  </r>
  <r>
    <x v="25"/>
  </r>
  <r>
    <x v="25"/>
  </r>
  <r>
    <x v="25"/>
  </r>
  <r>
    <x v="93"/>
  </r>
  <r>
    <x v="93"/>
  </r>
  <r>
    <x v="12"/>
  </r>
  <r>
    <x v="12"/>
  </r>
  <r>
    <x v="12"/>
  </r>
  <r>
    <x v="12"/>
  </r>
  <r>
    <x v="45"/>
  </r>
  <r>
    <x v="45"/>
  </r>
  <r>
    <x v="82"/>
  </r>
  <r>
    <x v="26"/>
  </r>
  <r>
    <x v="6"/>
  </r>
  <r>
    <x v="26"/>
  </r>
  <r>
    <x v="75"/>
  </r>
  <r>
    <x v="25"/>
  </r>
  <r>
    <x v="79"/>
  </r>
  <r>
    <x v="12"/>
  </r>
  <r>
    <x v="31"/>
  </r>
  <r>
    <x v="113"/>
  </r>
  <r>
    <x v="57"/>
  </r>
  <r>
    <x v="12"/>
  </r>
  <r>
    <x v="12"/>
  </r>
  <r>
    <x v="23"/>
  </r>
  <r>
    <x v="25"/>
  </r>
  <r>
    <x v="25"/>
  </r>
  <r>
    <x v="25"/>
  </r>
  <r>
    <x v="25"/>
  </r>
  <r>
    <x v="23"/>
  </r>
  <r>
    <x v="79"/>
  </r>
  <r>
    <x v="23"/>
  </r>
  <r>
    <x v="25"/>
  </r>
  <r>
    <x v="76"/>
  </r>
  <r>
    <x v="23"/>
  </r>
  <r>
    <x v="23"/>
  </r>
  <r>
    <x v="23"/>
  </r>
  <r>
    <x v="76"/>
  </r>
  <r>
    <x v="42"/>
  </r>
  <r>
    <x v="42"/>
  </r>
  <r>
    <x v="42"/>
  </r>
  <r>
    <x v="42"/>
  </r>
  <r>
    <x v="42"/>
  </r>
  <r>
    <x v="25"/>
  </r>
  <r>
    <x v="111"/>
  </r>
  <r>
    <x v="25"/>
  </r>
  <r>
    <x v="25"/>
  </r>
  <r>
    <x v="25"/>
  </r>
  <r>
    <x v="25"/>
  </r>
  <r>
    <x v="76"/>
  </r>
  <r>
    <x v="76"/>
  </r>
  <r>
    <x v="76"/>
  </r>
  <r>
    <x v="23"/>
  </r>
  <r>
    <x v="23"/>
  </r>
  <r>
    <x v="23"/>
  </r>
  <r>
    <x v="76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22"/>
  </r>
  <r>
    <x v="25"/>
  </r>
  <r>
    <x v="50"/>
  </r>
  <r>
    <x v="76"/>
  </r>
  <r>
    <x v="76"/>
  </r>
  <r>
    <x v="76"/>
  </r>
  <r>
    <x v="52"/>
  </r>
  <r>
    <x v="25"/>
  </r>
  <r>
    <x v="25"/>
  </r>
  <r>
    <x v="27"/>
  </r>
  <r>
    <x v="75"/>
  </r>
  <r>
    <x v="75"/>
  </r>
  <r>
    <x v="75"/>
  </r>
  <r>
    <x v="75"/>
  </r>
  <r>
    <x v="25"/>
  </r>
  <r>
    <x v="25"/>
  </r>
  <r>
    <x v="25"/>
  </r>
  <r>
    <x v="25"/>
  </r>
  <r>
    <x v="75"/>
  </r>
  <r>
    <x v="25"/>
  </r>
  <r>
    <x v="75"/>
  </r>
  <r>
    <x v="75"/>
  </r>
  <r>
    <x v="75"/>
  </r>
  <r>
    <x v="25"/>
  </r>
  <r>
    <x v="25"/>
  </r>
  <r>
    <x v="25"/>
  </r>
  <r>
    <x v="25"/>
  </r>
  <r>
    <x v="75"/>
  </r>
  <r>
    <x v="25"/>
  </r>
  <r>
    <x v="25"/>
  </r>
  <r>
    <x v="25"/>
  </r>
  <r>
    <x v="12"/>
  </r>
  <r>
    <x v="82"/>
  </r>
  <r>
    <x v="25"/>
  </r>
  <r>
    <x v="97"/>
  </r>
  <r>
    <x v="25"/>
  </r>
  <r>
    <x v="25"/>
  </r>
  <r>
    <x v="25"/>
  </r>
  <r>
    <x v="25"/>
  </r>
  <r>
    <x v="25"/>
  </r>
  <r>
    <x v="25"/>
  </r>
  <r>
    <x v="93"/>
  </r>
  <r>
    <x v="93"/>
  </r>
  <r>
    <x v="75"/>
  </r>
  <r>
    <x v="75"/>
  </r>
  <r>
    <x v="82"/>
  </r>
  <r>
    <x v="25"/>
  </r>
  <r>
    <x v="25"/>
  </r>
  <r>
    <x v="25"/>
  </r>
  <r>
    <x v="25"/>
  </r>
  <r>
    <x v="93"/>
  </r>
  <r>
    <x v="92"/>
  </r>
  <r>
    <x v="105"/>
  </r>
  <r>
    <x v="105"/>
  </r>
  <r>
    <x v="105"/>
  </r>
  <r>
    <x v="75"/>
  </r>
  <r>
    <x v="75"/>
  </r>
  <r>
    <x v="75"/>
  </r>
  <r>
    <x v="82"/>
  </r>
  <r>
    <x v="25"/>
  </r>
  <r>
    <x v="76"/>
  </r>
  <r>
    <x v="25"/>
  </r>
  <r>
    <x v="25"/>
  </r>
  <r>
    <x v="25"/>
  </r>
  <r>
    <x v="76"/>
  </r>
  <r>
    <x v="25"/>
  </r>
  <r>
    <x v="25"/>
  </r>
  <r>
    <x v="76"/>
  </r>
  <r>
    <x v="25"/>
  </r>
  <r>
    <x v="25"/>
  </r>
  <r>
    <x v="25"/>
  </r>
  <r>
    <x v="25"/>
  </r>
  <r>
    <x v="34"/>
  </r>
  <r>
    <x v="25"/>
  </r>
  <r>
    <x v="81"/>
  </r>
  <r>
    <x v="25"/>
  </r>
  <r>
    <x v="82"/>
  </r>
  <r>
    <x v="25"/>
  </r>
  <r>
    <x v="81"/>
  </r>
  <r>
    <x v="25"/>
  </r>
  <r>
    <x v="25"/>
  </r>
  <r>
    <x v="93"/>
  </r>
  <r>
    <x v="12"/>
  </r>
  <r>
    <x v="93"/>
  </r>
  <r>
    <x v="93"/>
  </r>
  <r>
    <x v="25"/>
  </r>
  <r>
    <x v="25"/>
  </r>
  <r>
    <x v="25"/>
  </r>
  <r>
    <x v="25"/>
  </r>
  <r>
    <x v="25"/>
  </r>
  <r>
    <x v="25"/>
  </r>
  <r>
    <x v="48"/>
  </r>
  <r>
    <x v="76"/>
  </r>
  <r>
    <x v="48"/>
  </r>
  <r>
    <x v="48"/>
  </r>
  <r>
    <x v="25"/>
  </r>
  <r>
    <x v="25"/>
  </r>
  <r>
    <x v="25"/>
  </r>
  <r>
    <x v="25"/>
  </r>
  <r>
    <x v="25"/>
  </r>
  <r>
    <x v="25"/>
  </r>
  <r>
    <x v="48"/>
  </r>
  <r>
    <x v="82"/>
  </r>
  <r>
    <x v="48"/>
  </r>
  <r>
    <x v="48"/>
  </r>
  <r>
    <x v="48"/>
  </r>
  <r>
    <x v="48"/>
  </r>
  <r>
    <x v="25"/>
  </r>
  <r>
    <x v="48"/>
  </r>
  <r>
    <x v="25"/>
  </r>
  <r>
    <x v="48"/>
  </r>
  <r>
    <x v="77"/>
  </r>
  <r>
    <x v="25"/>
  </r>
  <r>
    <x v="93"/>
  </r>
  <r>
    <x v="4"/>
  </r>
  <r>
    <x v="48"/>
  </r>
  <r>
    <x v="48"/>
  </r>
  <r>
    <x v="48"/>
  </r>
  <r>
    <x v="48"/>
  </r>
  <r>
    <x v="48"/>
  </r>
  <r>
    <x v="30"/>
  </r>
  <r>
    <x v="30"/>
  </r>
  <r>
    <x v="78"/>
  </r>
  <r>
    <x v="30"/>
  </r>
  <r>
    <x v="56"/>
  </r>
  <r>
    <x v="56"/>
  </r>
  <r>
    <x v="56"/>
  </r>
  <r>
    <x v="56"/>
  </r>
  <r>
    <x v="42"/>
  </r>
  <r>
    <x v="52"/>
  </r>
  <r>
    <x v="14"/>
  </r>
  <r>
    <x v="7"/>
  </r>
  <r>
    <x v="35"/>
  </r>
  <r>
    <x v="52"/>
  </r>
  <r>
    <x v="52"/>
  </r>
  <r>
    <x v="56"/>
  </r>
  <r>
    <x v="56"/>
  </r>
  <r>
    <x v="56"/>
  </r>
  <r>
    <x v="22"/>
  </r>
  <r>
    <x v="80"/>
  </r>
  <r>
    <x v="130"/>
  </r>
  <r>
    <x v="130"/>
  </r>
  <r>
    <x v="4"/>
  </r>
  <r>
    <x v="42"/>
  </r>
  <r>
    <x v="55"/>
  </r>
  <r>
    <x v="14"/>
  </r>
  <r>
    <x v="0"/>
  </r>
  <r>
    <x v="4"/>
  </r>
  <r>
    <x v="4"/>
  </r>
  <r>
    <x v="48"/>
  </r>
  <r>
    <x v="48"/>
  </r>
  <r>
    <x v="48"/>
  </r>
  <r>
    <x v="10"/>
  </r>
  <r>
    <x v="82"/>
  </r>
  <r>
    <x v="82"/>
  </r>
  <r>
    <x v="78"/>
  </r>
  <r>
    <x v="78"/>
  </r>
  <r>
    <x v="48"/>
  </r>
  <r>
    <x v="78"/>
  </r>
  <r>
    <x v="130"/>
  </r>
  <r>
    <x v="27"/>
  </r>
  <r>
    <x v="27"/>
  </r>
  <r>
    <x v="27"/>
  </r>
  <r>
    <x v="0"/>
  </r>
  <r>
    <x v="0"/>
  </r>
  <r>
    <x v="0"/>
  </r>
  <r>
    <x v="0"/>
  </r>
  <r>
    <x v="0"/>
  </r>
  <r>
    <x v="0"/>
  </r>
  <r>
    <x v="63"/>
  </r>
  <r>
    <x v="30"/>
  </r>
  <r>
    <x v="30"/>
  </r>
  <r>
    <x v="30"/>
  </r>
  <r>
    <x v="25"/>
  </r>
  <r>
    <x v="25"/>
  </r>
  <r>
    <x v="25"/>
  </r>
  <r>
    <x v="25"/>
  </r>
  <r>
    <x v="25"/>
  </r>
  <r>
    <x v="93"/>
  </r>
  <r>
    <x v="25"/>
  </r>
  <r>
    <x v="25"/>
  </r>
  <r>
    <x v="25"/>
  </r>
  <r>
    <x v="25"/>
  </r>
  <r>
    <x v="25"/>
  </r>
  <r>
    <x v="25"/>
  </r>
  <r>
    <x v="25"/>
  </r>
  <r>
    <x v="87"/>
  </r>
  <r>
    <x v="142"/>
  </r>
  <r>
    <x v="87"/>
  </r>
  <r>
    <x v="25"/>
  </r>
  <r>
    <x v="87"/>
  </r>
  <r>
    <x v="25"/>
  </r>
  <r>
    <x v="25"/>
  </r>
  <r>
    <x v="82"/>
  </r>
  <r>
    <x v="75"/>
  </r>
  <r>
    <x v="25"/>
  </r>
  <r>
    <x v="75"/>
  </r>
  <r>
    <x v="25"/>
  </r>
  <r>
    <x v="75"/>
  </r>
  <r>
    <x v="81"/>
  </r>
  <r>
    <x v="25"/>
  </r>
  <r>
    <x v="25"/>
  </r>
  <r>
    <x v="25"/>
  </r>
  <r>
    <x v="25"/>
  </r>
  <r>
    <x v="25"/>
  </r>
  <r>
    <x v="87"/>
  </r>
  <r>
    <x v="93"/>
  </r>
  <r>
    <x v="25"/>
  </r>
  <r>
    <x v="87"/>
  </r>
  <r>
    <x v="25"/>
  </r>
  <r>
    <x v="25"/>
  </r>
  <r>
    <x v="25"/>
  </r>
  <r>
    <x v="25"/>
  </r>
  <r>
    <x v="25"/>
  </r>
  <r>
    <x v="93"/>
  </r>
  <r>
    <x v="93"/>
  </r>
  <r>
    <x v="25"/>
  </r>
  <r>
    <x v="87"/>
  </r>
  <r>
    <x v="25"/>
  </r>
  <r>
    <x v="25"/>
  </r>
  <r>
    <x v="25"/>
  </r>
  <r>
    <x v="25"/>
  </r>
  <r>
    <x v="25"/>
  </r>
  <r>
    <x v="25"/>
  </r>
  <r>
    <x v="25"/>
  </r>
  <r>
    <x v="25"/>
  </r>
  <r>
    <x v="78"/>
  </r>
  <r>
    <x v="25"/>
  </r>
  <r>
    <x v="87"/>
  </r>
  <r>
    <x v="35"/>
  </r>
  <r>
    <x v="72"/>
  </r>
  <r>
    <x v="52"/>
  </r>
  <r>
    <x v="25"/>
  </r>
  <r>
    <x v="25"/>
  </r>
  <r>
    <x v="25"/>
  </r>
  <r>
    <x v="25"/>
  </r>
  <r>
    <x v="25"/>
  </r>
  <r>
    <x v="75"/>
  </r>
  <r>
    <x v="75"/>
  </r>
  <r>
    <x v="75"/>
  </r>
  <r>
    <x v="82"/>
  </r>
  <r>
    <x v="75"/>
  </r>
  <r>
    <x v="94"/>
  </r>
  <r>
    <x v="105"/>
  </r>
  <r>
    <x v="75"/>
  </r>
  <r>
    <x v="75"/>
  </r>
  <r>
    <x v="75"/>
  </r>
  <r>
    <x v="25"/>
  </r>
  <r>
    <x v="75"/>
  </r>
  <r>
    <x v="25"/>
  </r>
  <r>
    <x v="75"/>
  </r>
  <r>
    <x v="75"/>
  </r>
  <r>
    <x v="75"/>
  </r>
  <r>
    <x v="75"/>
  </r>
  <r>
    <x v="82"/>
  </r>
  <r>
    <x v="75"/>
  </r>
  <r>
    <x v="75"/>
  </r>
  <r>
    <x v="75"/>
  </r>
  <r>
    <x v="75"/>
  </r>
  <r>
    <x v="75"/>
  </r>
  <r>
    <x v="75"/>
  </r>
  <r>
    <x v="35"/>
  </r>
  <r>
    <x v="25"/>
  </r>
  <r>
    <x v="25"/>
  </r>
  <r>
    <x v="25"/>
  </r>
  <r>
    <x v="25"/>
  </r>
  <r>
    <x v="25"/>
  </r>
  <r>
    <x v="25"/>
  </r>
  <r>
    <x v="76"/>
  </r>
  <r>
    <x v="25"/>
  </r>
  <r>
    <x v="93"/>
  </r>
  <r>
    <x v="25"/>
  </r>
  <r>
    <x v="25"/>
  </r>
  <r>
    <x v="25"/>
  </r>
  <r>
    <x v="25"/>
  </r>
  <r>
    <x v="92"/>
  </r>
  <r>
    <x v="25"/>
  </r>
  <r>
    <x v="25"/>
  </r>
  <r>
    <x v="76"/>
  </r>
  <r>
    <x v="25"/>
  </r>
  <r>
    <x v="25"/>
  </r>
  <r>
    <x v="25"/>
  </r>
  <r>
    <x v="25"/>
  </r>
  <r>
    <x v="72"/>
  </r>
  <r>
    <x v="78"/>
  </r>
  <r>
    <x v="76"/>
  </r>
  <r>
    <x v="105"/>
  </r>
  <r>
    <x v="105"/>
  </r>
  <r>
    <x v="76"/>
  </r>
  <r>
    <x v="76"/>
  </r>
  <r>
    <x v="102"/>
  </r>
  <r>
    <x v="105"/>
  </r>
  <r>
    <x v="105"/>
  </r>
  <r>
    <x v="105"/>
  </r>
  <r>
    <x v="321"/>
  </r>
  <r>
    <x v="125"/>
  </r>
  <r>
    <x v="23"/>
  </r>
  <r>
    <x v="23"/>
  </r>
  <r>
    <x v="25"/>
  </r>
  <r>
    <x v="25"/>
  </r>
  <r>
    <x v="25"/>
  </r>
  <r>
    <x v="25"/>
  </r>
  <r>
    <x v="2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5"/>
  </r>
  <r>
    <x v="242"/>
  </r>
  <r>
    <x v="25"/>
  </r>
  <r>
    <x v="25"/>
  </r>
  <r>
    <x v="25"/>
  </r>
  <r>
    <x v="25"/>
  </r>
  <r>
    <x v="25"/>
  </r>
  <r>
    <x v="25"/>
  </r>
  <r>
    <x v="25"/>
  </r>
  <r>
    <x v="75"/>
  </r>
  <r>
    <x v="75"/>
  </r>
  <r>
    <x v="25"/>
  </r>
  <r>
    <x v="25"/>
  </r>
  <r>
    <x v="25"/>
  </r>
  <r>
    <x v="75"/>
  </r>
  <r>
    <x v="25"/>
  </r>
  <r>
    <x v="25"/>
  </r>
  <r>
    <x v="75"/>
  </r>
  <r>
    <x v="75"/>
  </r>
  <r>
    <x v="199"/>
  </r>
  <r>
    <x v="199"/>
  </r>
  <r>
    <x v="102"/>
  </r>
  <r>
    <x v="25"/>
  </r>
  <r>
    <x v="25"/>
  </r>
  <r>
    <x v="59"/>
  </r>
  <r>
    <x v="25"/>
  </r>
  <r>
    <x v="25"/>
  </r>
  <r>
    <x v="76"/>
  </r>
  <r>
    <x v="199"/>
  </r>
  <r>
    <x v="72"/>
  </r>
  <r>
    <x v="199"/>
  </r>
  <r>
    <x v="26"/>
  </r>
  <r>
    <x v="126"/>
  </r>
  <r>
    <x v="21"/>
  </r>
  <r>
    <x v="199"/>
  </r>
  <r>
    <x v="26"/>
  </r>
  <r>
    <x v="126"/>
  </r>
  <r>
    <x v="126"/>
  </r>
  <r>
    <x v="126"/>
  </r>
  <r>
    <x v="126"/>
  </r>
  <r>
    <x v="180"/>
  </r>
  <r>
    <x v="72"/>
  </r>
  <r>
    <x v="180"/>
  </r>
  <r>
    <x v="126"/>
  </r>
  <r>
    <x v="126"/>
  </r>
  <r>
    <x v="75"/>
  </r>
  <r>
    <x v="126"/>
  </r>
  <r>
    <x v="126"/>
  </r>
  <r>
    <x v="76"/>
  </r>
  <r>
    <x v="82"/>
  </r>
  <r>
    <x v="93"/>
  </r>
  <r>
    <x v="94"/>
  </r>
  <r>
    <x v="22"/>
  </r>
  <r>
    <x v="168"/>
  </r>
  <r>
    <x v="72"/>
  </r>
  <r>
    <x v="72"/>
  </r>
  <r>
    <x v="94"/>
  </r>
  <r>
    <x v="76"/>
  </r>
  <r>
    <x v="149"/>
  </r>
  <r>
    <x v="93"/>
  </r>
  <r>
    <x v="42"/>
  </r>
  <r>
    <x v="129"/>
  </r>
  <r>
    <x v="71"/>
  </r>
  <r>
    <x v="7"/>
  </r>
  <r>
    <x v="7"/>
  </r>
  <r>
    <x v="7"/>
  </r>
  <r>
    <x v="79"/>
  </r>
  <r>
    <x v="79"/>
  </r>
  <r>
    <x v="79"/>
  </r>
  <r>
    <x v="26"/>
  </r>
  <r>
    <x v="15"/>
  </r>
  <r>
    <x v="27"/>
  </r>
  <r>
    <x v="15"/>
  </r>
  <r>
    <x v="15"/>
  </r>
  <r>
    <x v="27"/>
  </r>
  <r>
    <x v="12"/>
  </r>
  <r>
    <x v="48"/>
  </r>
  <r>
    <x v="48"/>
  </r>
  <r>
    <x v="48"/>
  </r>
  <r>
    <x v="48"/>
  </r>
  <r>
    <x v="37"/>
  </r>
  <r>
    <x v="37"/>
  </r>
  <r>
    <x v="31"/>
  </r>
  <r>
    <x v="59"/>
  </r>
  <r>
    <x v="59"/>
  </r>
  <r>
    <x v="59"/>
  </r>
  <r>
    <x v="59"/>
  </r>
  <r>
    <x v="25"/>
  </r>
  <r>
    <x v="80"/>
  </r>
  <r>
    <x v="80"/>
  </r>
  <r>
    <x v="80"/>
  </r>
  <r>
    <x v="80"/>
  </r>
  <r>
    <x v="0"/>
  </r>
  <r>
    <x v="53"/>
  </r>
  <r>
    <x v="53"/>
  </r>
  <r>
    <x v="14"/>
  </r>
  <r>
    <x v="87"/>
  </r>
  <r>
    <x v="97"/>
  </r>
  <r>
    <x v="53"/>
  </r>
  <r>
    <x v="48"/>
  </r>
  <r>
    <x v="2"/>
  </r>
  <r>
    <x v="57"/>
  </r>
  <r>
    <x v="57"/>
  </r>
  <r>
    <x v="79"/>
  </r>
  <r>
    <x v="2"/>
  </r>
  <r>
    <x v="2"/>
  </r>
  <r>
    <x v="25"/>
  </r>
  <r>
    <x v="57"/>
  </r>
  <r>
    <x v="0"/>
  </r>
  <r>
    <x v="57"/>
  </r>
  <r>
    <x v="71"/>
  </r>
  <r>
    <x v="71"/>
  </r>
  <r>
    <x v="22"/>
  </r>
  <r>
    <x v="10"/>
  </r>
  <r>
    <x v="10"/>
  </r>
  <r>
    <x v="10"/>
  </r>
  <r>
    <x v="1"/>
  </r>
  <r>
    <x v="14"/>
  </r>
  <r>
    <x v="86"/>
  </r>
  <r>
    <x v="14"/>
  </r>
  <r>
    <x v="57"/>
  </r>
  <r>
    <x v="82"/>
  </r>
  <r>
    <x v="82"/>
  </r>
  <r>
    <x v="48"/>
  </r>
  <r>
    <x v="113"/>
  </r>
  <r>
    <x v="113"/>
  </r>
  <r>
    <x v="23"/>
  </r>
  <r>
    <x v="23"/>
  </r>
  <r>
    <x v="23"/>
  </r>
  <r>
    <x v="72"/>
  </r>
  <r>
    <x v="72"/>
  </r>
  <r>
    <x v="134"/>
  </r>
  <r>
    <x v="111"/>
  </r>
  <r>
    <x v="0"/>
  </r>
  <r>
    <x v="0"/>
  </r>
  <r>
    <x v="72"/>
  </r>
  <r>
    <x v="111"/>
  </r>
  <r>
    <x v="96"/>
  </r>
  <r>
    <x v="111"/>
  </r>
  <r>
    <x v="111"/>
  </r>
  <r>
    <x v="96"/>
  </r>
  <r>
    <x v="111"/>
  </r>
  <r>
    <x v="96"/>
  </r>
  <r>
    <x v="57"/>
  </r>
  <r>
    <x v="155"/>
  </r>
  <r>
    <x v="155"/>
  </r>
  <r>
    <x v="10"/>
  </r>
  <r>
    <x v="71"/>
  </r>
  <r>
    <x v="71"/>
  </r>
  <r>
    <x v="71"/>
  </r>
  <r>
    <x v="71"/>
  </r>
  <r>
    <x v="41"/>
  </r>
  <r>
    <x v="82"/>
  </r>
  <r>
    <x v="48"/>
  </r>
  <r>
    <x v="113"/>
  </r>
  <r>
    <x v="20"/>
  </r>
  <r>
    <x v="87"/>
  </r>
  <r>
    <x v="48"/>
  </r>
  <r>
    <x v="87"/>
  </r>
  <r>
    <x v="79"/>
  </r>
  <r>
    <x v="79"/>
  </r>
  <r>
    <x v="79"/>
  </r>
  <r>
    <x v="2"/>
  </r>
  <r>
    <x v="79"/>
  </r>
  <r>
    <x v="22"/>
  </r>
  <r>
    <x v="111"/>
  </r>
  <r>
    <x v="79"/>
  </r>
  <r>
    <x v="23"/>
  </r>
  <r>
    <x v="23"/>
  </r>
  <r>
    <x v="23"/>
  </r>
  <r>
    <x v="23"/>
  </r>
  <r>
    <x v="23"/>
  </r>
  <r>
    <x v="23"/>
  </r>
  <r>
    <x v="23"/>
  </r>
  <r>
    <x v="79"/>
  </r>
  <r>
    <x v="23"/>
  </r>
  <r>
    <x v="30"/>
  </r>
  <r>
    <x v="0"/>
  </r>
  <r>
    <x v="83"/>
  </r>
  <r>
    <x v="10"/>
  </r>
  <r>
    <x v="10"/>
  </r>
  <r>
    <x v="10"/>
  </r>
  <r>
    <x v="154"/>
  </r>
  <r>
    <x v="63"/>
  </r>
  <r>
    <x v="71"/>
  </r>
  <r>
    <x v="57"/>
  </r>
  <r>
    <x v="45"/>
  </r>
  <r>
    <x v="17"/>
  </r>
  <r>
    <x v="20"/>
  </r>
  <r>
    <x v="20"/>
  </r>
  <r>
    <x v="52"/>
  </r>
  <r>
    <x v="93"/>
  </r>
  <r>
    <x v="76"/>
  </r>
  <r>
    <x v="25"/>
  </r>
  <r>
    <x v="25"/>
  </r>
  <r>
    <x v="25"/>
  </r>
  <r>
    <x v="87"/>
  </r>
  <r>
    <x v="25"/>
  </r>
  <r>
    <x v="79"/>
  </r>
  <r>
    <x v="72"/>
  </r>
  <r>
    <x v="72"/>
  </r>
  <r>
    <x v="72"/>
  </r>
  <r>
    <x v="72"/>
  </r>
  <r>
    <x v="52"/>
  </r>
  <r>
    <x v="72"/>
  </r>
  <r>
    <x v="14"/>
  </r>
  <r>
    <x v="72"/>
  </r>
  <r>
    <x v="25"/>
  </r>
  <r>
    <x v="25"/>
  </r>
  <r>
    <x v="25"/>
  </r>
  <r>
    <x v="72"/>
  </r>
  <r>
    <x v="72"/>
  </r>
  <r>
    <x v="72"/>
  </r>
  <r>
    <x v="72"/>
  </r>
  <r>
    <x v="72"/>
  </r>
  <r>
    <x v="34"/>
  </r>
  <r>
    <x v="4"/>
  </r>
  <r>
    <x v="4"/>
  </r>
  <r>
    <x v="14"/>
  </r>
  <r>
    <x v="4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25"/>
  </r>
  <r>
    <x v="76"/>
  </r>
  <r>
    <x v="76"/>
  </r>
  <r>
    <x v="76"/>
  </r>
  <r>
    <x v="76"/>
  </r>
  <r>
    <x v="25"/>
  </r>
  <r>
    <x v="76"/>
  </r>
  <r>
    <x v="76"/>
  </r>
  <r>
    <x v="76"/>
  </r>
  <r>
    <x v="25"/>
  </r>
  <r>
    <x v="25"/>
  </r>
  <r>
    <x v="25"/>
  </r>
  <r>
    <x v="14"/>
  </r>
  <r>
    <x v="72"/>
  </r>
  <r>
    <x v="10"/>
  </r>
  <r>
    <x v="238"/>
  </r>
  <r>
    <x v="75"/>
  </r>
  <r>
    <x v="10"/>
  </r>
  <r>
    <x v="12"/>
  </r>
  <r>
    <x v="10"/>
  </r>
  <r>
    <x v="75"/>
  </r>
  <r>
    <x v="112"/>
  </r>
  <r>
    <x v="8"/>
  </r>
  <r>
    <x v="183"/>
  </r>
  <r>
    <x v="1"/>
  </r>
  <r>
    <x v="1"/>
  </r>
  <r>
    <x v="1"/>
  </r>
  <r>
    <x v="10"/>
  </r>
  <r>
    <x v="10"/>
  </r>
  <r>
    <x v="238"/>
  </r>
  <r>
    <x v="122"/>
  </r>
  <r>
    <x v="72"/>
  </r>
  <r>
    <x v="72"/>
  </r>
  <r>
    <x v="122"/>
  </r>
  <r>
    <x v="14"/>
  </r>
  <r>
    <x v="17"/>
  </r>
  <r>
    <x v="108"/>
  </r>
  <r>
    <x v="117"/>
  </r>
  <r>
    <x v="72"/>
  </r>
  <r>
    <x v="242"/>
  </r>
  <r>
    <x v="242"/>
  </r>
  <r>
    <x v="132"/>
  </r>
  <r>
    <x v="8"/>
  </r>
  <r>
    <x v="91"/>
  </r>
  <r>
    <x v="12"/>
  </r>
  <r>
    <x v="12"/>
  </r>
  <r>
    <x v="93"/>
  </r>
  <r>
    <x v="82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7"/>
  </r>
  <r>
    <x v="76"/>
  </r>
  <r>
    <x v="10"/>
  </r>
  <r>
    <x v="10"/>
  </r>
  <r>
    <x v="10"/>
  </r>
  <r>
    <x v="52"/>
  </r>
  <r>
    <x v="48"/>
  </r>
  <r>
    <x v="48"/>
  </r>
  <r>
    <x v="52"/>
  </r>
  <r>
    <x v="25"/>
  </r>
  <r>
    <x v="48"/>
  </r>
  <r>
    <x v="48"/>
  </r>
  <r>
    <x v="25"/>
  </r>
  <r>
    <x v="25"/>
  </r>
  <r>
    <x v="25"/>
  </r>
  <r>
    <x v="76"/>
  </r>
  <r>
    <x v="76"/>
  </r>
  <r>
    <x v="48"/>
  </r>
  <r>
    <x v="48"/>
  </r>
  <r>
    <x v="48"/>
  </r>
  <r>
    <x v="52"/>
  </r>
  <r>
    <x v="27"/>
  </r>
  <r>
    <x v="48"/>
  </r>
  <r>
    <x v="48"/>
  </r>
  <r>
    <x v="48"/>
  </r>
  <r>
    <x v="48"/>
  </r>
  <r>
    <x v="48"/>
  </r>
  <r>
    <x v="48"/>
  </r>
  <r>
    <x v="48"/>
  </r>
  <r>
    <x v="34"/>
  </r>
  <r>
    <x v="14"/>
  </r>
  <r>
    <x v="14"/>
  </r>
  <r>
    <x v="34"/>
  </r>
  <r>
    <x v="29"/>
  </r>
  <r>
    <x v="29"/>
  </r>
  <r>
    <x v="29"/>
  </r>
  <r>
    <x v="29"/>
  </r>
  <r>
    <x v="94"/>
  </r>
  <r>
    <x v="72"/>
  </r>
  <r>
    <x v="72"/>
  </r>
  <r>
    <x v="14"/>
  </r>
  <r>
    <x v="62"/>
  </r>
  <r>
    <x v="42"/>
  </r>
  <r>
    <x v="37"/>
  </r>
  <r>
    <x v="12"/>
  </r>
  <r>
    <x v="46"/>
  </r>
  <r>
    <x v="9"/>
  </r>
  <r>
    <x v="9"/>
  </r>
  <r>
    <x v="82"/>
  </r>
  <r>
    <x v="29"/>
  </r>
  <r>
    <x v="0"/>
  </r>
  <r>
    <x v="82"/>
  </r>
  <r>
    <x v="3"/>
  </r>
  <r>
    <x v="119"/>
  </r>
  <r>
    <x v="44"/>
  </r>
  <r>
    <x v="21"/>
  </r>
  <r>
    <x v="55"/>
  </r>
  <r>
    <x v="48"/>
  </r>
  <r>
    <x v="25"/>
  </r>
  <r>
    <x v="26"/>
  </r>
  <r>
    <x v="25"/>
  </r>
  <r>
    <x v="93"/>
  </r>
  <r>
    <x v="25"/>
  </r>
  <r>
    <x v="25"/>
  </r>
  <r>
    <x v="25"/>
  </r>
  <r>
    <x v="25"/>
  </r>
  <r>
    <x v="25"/>
  </r>
  <r>
    <x v="76"/>
  </r>
  <r>
    <x v="76"/>
  </r>
  <r>
    <x v="76"/>
  </r>
  <r>
    <x v="120"/>
  </r>
  <r>
    <x v="113"/>
  </r>
  <r>
    <x v="113"/>
  </r>
  <r>
    <x v="113"/>
  </r>
  <r>
    <x v="130"/>
  </r>
  <r>
    <x v="48"/>
  </r>
  <r>
    <x v="14"/>
  </r>
  <r>
    <x v="14"/>
  </r>
  <r>
    <x v="23"/>
  </r>
  <r>
    <x v="63"/>
  </r>
  <r>
    <x v="63"/>
  </r>
  <r>
    <x v="63"/>
  </r>
  <r>
    <x v="90"/>
  </r>
  <r>
    <x v="63"/>
  </r>
  <r>
    <x v="89"/>
  </r>
  <r>
    <x v="81"/>
  </r>
  <r>
    <x v="81"/>
  </r>
  <r>
    <x v="22"/>
  </r>
  <r>
    <x v="81"/>
  </r>
  <r>
    <x v="14"/>
  </r>
  <r>
    <x v="22"/>
  </r>
  <r>
    <x v="22"/>
  </r>
  <r>
    <x v="142"/>
  </r>
  <r>
    <x v="227"/>
  </r>
  <r>
    <x v="227"/>
  </r>
  <r>
    <x v="142"/>
  </r>
  <r>
    <x v="23"/>
  </r>
  <r>
    <x v="23"/>
  </r>
  <r>
    <x v="81"/>
  </r>
  <r>
    <x v="122"/>
  </r>
  <r>
    <x v="63"/>
  </r>
  <r>
    <x v="63"/>
  </r>
  <r>
    <x v="63"/>
  </r>
  <r>
    <x v="63"/>
  </r>
  <r>
    <x v="63"/>
  </r>
  <r>
    <x v="8"/>
  </r>
  <r>
    <x v="8"/>
  </r>
  <r>
    <x v="408"/>
  </r>
  <r>
    <x v="227"/>
  </r>
  <r>
    <x v="93"/>
  </r>
  <r>
    <x v="227"/>
  </r>
  <r>
    <x v="50"/>
  </r>
  <r>
    <x v="50"/>
  </r>
  <r>
    <x v="86"/>
  </r>
  <r>
    <x v="36"/>
  </r>
  <r>
    <x v="12"/>
  </r>
  <r>
    <x v="42"/>
  </r>
  <r>
    <x v="142"/>
  </r>
  <r>
    <x v="50"/>
  </r>
  <r>
    <x v="151"/>
  </r>
  <r>
    <x v="12"/>
  </r>
  <r>
    <x v="72"/>
  </r>
  <r>
    <x v="87"/>
  </r>
  <r>
    <x v="14"/>
  </r>
  <r>
    <x v="48"/>
  </r>
  <r>
    <x v="122"/>
  </r>
  <r>
    <x v="114"/>
  </r>
  <r>
    <x v="82"/>
  </r>
  <r>
    <x v="91"/>
  </r>
  <r>
    <x v="52"/>
  </r>
  <r>
    <x v="82"/>
  </r>
  <r>
    <x v="37"/>
  </r>
  <r>
    <x v="100"/>
  </r>
  <r>
    <x v="112"/>
  </r>
  <r>
    <x v="29"/>
  </r>
  <r>
    <x v="100"/>
  </r>
  <r>
    <x v="82"/>
  </r>
  <r>
    <x v="48"/>
  </r>
  <r>
    <x v="100"/>
  </r>
  <r>
    <x v="4"/>
  </r>
  <r>
    <x v="143"/>
  </r>
  <r>
    <x v="80"/>
  </r>
  <r>
    <x v="48"/>
  </r>
  <r>
    <x v="121"/>
  </r>
  <r>
    <x v="14"/>
  </r>
  <r>
    <x v="83"/>
  </r>
  <r>
    <x v="41"/>
  </r>
  <r>
    <x v="100"/>
  </r>
  <r>
    <x v="80"/>
  </r>
  <r>
    <x v="48"/>
  </r>
  <r>
    <x v="31"/>
  </r>
  <r>
    <x v="31"/>
  </r>
  <r>
    <x v="31"/>
  </r>
  <r>
    <x v="31"/>
  </r>
  <r>
    <x v="31"/>
  </r>
  <r>
    <x v="31"/>
  </r>
  <r>
    <x v="31"/>
  </r>
  <r>
    <x v="31"/>
  </r>
  <r>
    <x v="48"/>
  </r>
  <r>
    <x v="82"/>
  </r>
  <r>
    <x v="183"/>
  </r>
  <r>
    <x v="83"/>
  </r>
  <r>
    <x v="85"/>
  </r>
  <r>
    <x v="31"/>
  </r>
  <r>
    <x v="90"/>
  </r>
  <r>
    <x v="90"/>
  </r>
  <r>
    <x v="4"/>
  </r>
  <r>
    <x v="90"/>
  </r>
  <r>
    <x v="217"/>
  </r>
  <r>
    <x v="31"/>
  </r>
  <r>
    <x v="217"/>
  </r>
  <r>
    <x v="72"/>
  </r>
  <r>
    <x v="63"/>
  </r>
  <r>
    <x v="14"/>
  </r>
  <r>
    <x v="14"/>
  </r>
  <r>
    <x v="14"/>
  </r>
  <r>
    <x v="14"/>
  </r>
  <r>
    <x v="14"/>
  </r>
  <r>
    <x v="83"/>
  </r>
  <r>
    <x v="83"/>
  </r>
  <r>
    <x v="220"/>
  </r>
  <r>
    <x v="30"/>
  </r>
  <r>
    <x v="48"/>
  </r>
  <r>
    <x v="83"/>
  </r>
  <r>
    <x v="14"/>
  </r>
  <r>
    <x v="91"/>
  </r>
  <r>
    <x v="26"/>
  </r>
  <r>
    <x v="115"/>
  </r>
  <r>
    <x v="23"/>
  </r>
  <r>
    <x v="117"/>
  </r>
  <r>
    <x v="25"/>
  </r>
  <r>
    <x v="48"/>
  </r>
  <r>
    <x v="87"/>
  </r>
  <r>
    <x v="82"/>
  </r>
  <r>
    <x v="46"/>
  </r>
  <r>
    <x v="48"/>
  </r>
  <r>
    <x v="48"/>
  </r>
  <r>
    <x v="6"/>
  </r>
  <r>
    <x v="48"/>
  </r>
  <r>
    <x v="91"/>
  </r>
  <r>
    <x v="183"/>
  </r>
  <r>
    <x v="188"/>
  </r>
  <r>
    <x v="96"/>
  </r>
  <r>
    <x v="56"/>
  </r>
  <r>
    <x v="96"/>
  </r>
  <r>
    <x v="83"/>
  </r>
  <r>
    <x v="96"/>
  </r>
  <r>
    <x v="83"/>
  </r>
  <r>
    <x v="25"/>
  </r>
  <r>
    <x v="48"/>
  </r>
  <r>
    <x v="72"/>
  </r>
  <r>
    <x v="48"/>
  </r>
  <r>
    <x v="48"/>
  </r>
  <r>
    <x v="31"/>
  </r>
  <r>
    <x v="31"/>
  </r>
  <r>
    <x v="31"/>
  </r>
  <r>
    <x v="31"/>
  </r>
  <r>
    <x v="48"/>
  </r>
  <r>
    <x v="48"/>
  </r>
  <r>
    <x v="48"/>
  </r>
  <r>
    <x v="48"/>
  </r>
  <r>
    <x v="48"/>
  </r>
  <r>
    <x v="155"/>
  </r>
  <r>
    <x v="155"/>
  </r>
  <r>
    <x v="155"/>
  </r>
  <r>
    <x v="31"/>
  </r>
  <r>
    <x v="10"/>
  </r>
  <r>
    <x v="10"/>
  </r>
  <r>
    <x v="155"/>
  </r>
  <r>
    <x v="48"/>
  </r>
  <r>
    <x v="3"/>
  </r>
  <r>
    <x v="59"/>
  </r>
  <r>
    <x v="10"/>
  </r>
  <r>
    <x v="10"/>
  </r>
  <r>
    <x v="6"/>
  </r>
  <r>
    <x v="48"/>
  </r>
  <r>
    <x v="48"/>
  </r>
  <r>
    <x v="48"/>
  </r>
  <r>
    <x v="31"/>
  </r>
  <r>
    <x v="31"/>
  </r>
  <r>
    <x v="159"/>
  </r>
  <r>
    <x v="71"/>
  </r>
  <r>
    <x v="71"/>
  </r>
  <r>
    <x v="204"/>
  </r>
  <r>
    <x v="48"/>
  </r>
  <r>
    <x v="48"/>
  </r>
  <r>
    <x v="151"/>
  </r>
  <r>
    <x v="87"/>
  </r>
  <r>
    <x v="87"/>
  </r>
  <r>
    <x v="48"/>
  </r>
  <r>
    <x v="48"/>
  </r>
  <r>
    <x v="83"/>
  </r>
  <r>
    <x v="31"/>
  </r>
  <r>
    <x v="86"/>
  </r>
  <r>
    <x v="188"/>
  </r>
  <r>
    <x v="48"/>
  </r>
  <r>
    <x v="48"/>
  </r>
  <r>
    <x v="48"/>
  </r>
  <r>
    <x v="48"/>
  </r>
  <r>
    <x v="3"/>
  </r>
  <r>
    <x v="3"/>
  </r>
  <r>
    <x v="48"/>
  </r>
  <r>
    <x v="142"/>
  </r>
  <r>
    <x v="77"/>
  </r>
  <r>
    <x v="77"/>
  </r>
  <r>
    <x v="42"/>
  </r>
  <r>
    <x v="10"/>
  </r>
  <r>
    <x v="10"/>
  </r>
  <r>
    <x v="10"/>
  </r>
  <r>
    <x v="34"/>
  </r>
  <r>
    <x v="12"/>
  </r>
  <r>
    <x v="25"/>
  </r>
  <r>
    <x v="10"/>
  </r>
  <r>
    <x v="42"/>
  </r>
  <r>
    <x v="31"/>
  </r>
  <r>
    <x v="77"/>
  </r>
  <r>
    <x v="83"/>
  </r>
  <r>
    <x v="25"/>
  </r>
  <r>
    <x v="10"/>
  </r>
  <r>
    <x v="10"/>
  </r>
  <r>
    <x v="10"/>
  </r>
  <r>
    <x v="30"/>
  </r>
  <r>
    <x v="45"/>
  </r>
  <r>
    <x v="77"/>
  </r>
  <r>
    <x v="99"/>
  </r>
  <r>
    <x v="81"/>
  </r>
  <r>
    <x v="72"/>
  </r>
  <r>
    <x v="117"/>
  </r>
  <r>
    <x v="78"/>
  </r>
  <r>
    <x v="72"/>
  </r>
  <r>
    <x v="72"/>
  </r>
  <r>
    <x v="72"/>
  </r>
  <r>
    <x v="72"/>
  </r>
  <r>
    <x v="86"/>
  </r>
  <r>
    <x v="94"/>
  </r>
  <r>
    <x v="86"/>
  </r>
  <r>
    <x v="86"/>
  </r>
  <r>
    <x v="72"/>
  </r>
  <r>
    <x v="72"/>
  </r>
  <r>
    <x v="48"/>
  </r>
  <r>
    <x v="72"/>
  </r>
  <r>
    <x v="56"/>
  </r>
  <r>
    <x v="42"/>
  </r>
  <r>
    <x v="42"/>
  </r>
  <r>
    <x v="86"/>
  </r>
  <r>
    <x v="86"/>
  </r>
  <r>
    <x v="42"/>
  </r>
  <r>
    <x v="72"/>
  </r>
  <r>
    <x v="72"/>
  </r>
  <r>
    <x v="72"/>
  </r>
  <r>
    <x v="42"/>
  </r>
  <r>
    <x v="56"/>
  </r>
  <r>
    <x v="25"/>
  </r>
  <r>
    <x v="131"/>
  </r>
  <r>
    <x v="48"/>
  </r>
  <r>
    <x v="85"/>
  </r>
  <r>
    <x v="85"/>
  </r>
  <r>
    <x v="14"/>
  </r>
  <r>
    <x v="14"/>
  </r>
  <r>
    <x v="0"/>
  </r>
  <r>
    <x v="48"/>
  </r>
  <r>
    <x v="48"/>
  </r>
  <r>
    <x v="170"/>
  </r>
  <r>
    <x v="85"/>
  </r>
  <r>
    <x v="71"/>
  </r>
  <r>
    <x v="42"/>
  </r>
  <r>
    <x v="100"/>
  </r>
  <r>
    <x v="89"/>
  </r>
  <r>
    <x v="48"/>
  </r>
  <r>
    <x v="31"/>
  </r>
  <r>
    <x v="87"/>
  </r>
  <r>
    <x v="87"/>
  </r>
  <r>
    <x v="87"/>
  </r>
  <r>
    <x v="87"/>
  </r>
  <r>
    <x v="52"/>
  </r>
  <r>
    <x v="36"/>
  </r>
  <r>
    <x v="36"/>
  </r>
  <r>
    <x v="36"/>
  </r>
  <r>
    <x v="42"/>
  </r>
  <r>
    <x v="100"/>
  </r>
  <r>
    <x v="42"/>
  </r>
  <r>
    <x v="0"/>
  </r>
  <r>
    <x v="83"/>
  </r>
  <r>
    <x v="3"/>
  </r>
  <r>
    <x v="96"/>
  </r>
  <r>
    <x v="87"/>
  </r>
  <r>
    <x v="78"/>
  </r>
  <r>
    <x v="155"/>
  </r>
  <r>
    <x v="155"/>
  </r>
  <r>
    <x v="14"/>
  </r>
  <r>
    <x v="87"/>
  </r>
  <r>
    <x v="78"/>
  </r>
  <r>
    <x v="45"/>
  </r>
  <r>
    <x v="98"/>
  </r>
  <r>
    <x v="216"/>
  </r>
  <r>
    <x v="97"/>
  </r>
  <r>
    <x v="154"/>
  </r>
  <r>
    <x v="154"/>
  </r>
  <r>
    <x v="154"/>
  </r>
  <r>
    <x v="31"/>
  </r>
  <r>
    <x v="57"/>
  </r>
  <r>
    <x v="204"/>
  </r>
  <r>
    <x v="204"/>
  </r>
  <r>
    <x v="204"/>
  </r>
  <r>
    <x v="57"/>
  </r>
  <r>
    <x v="57"/>
  </r>
  <r>
    <x v="57"/>
  </r>
  <r>
    <x v="108"/>
  </r>
  <r>
    <x v="10"/>
  </r>
  <r>
    <x v="10"/>
  </r>
  <r>
    <x v="10"/>
  </r>
  <r>
    <x v="57"/>
  </r>
  <r>
    <x v="108"/>
  </r>
  <r>
    <x v="108"/>
  </r>
  <r>
    <x v="95"/>
  </r>
  <r>
    <x v="95"/>
  </r>
  <r>
    <x v="95"/>
  </r>
  <r>
    <x v="45"/>
  </r>
  <r>
    <x v="131"/>
  </r>
  <r>
    <x v="131"/>
  </r>
  <r>
    <x v="131"/>
  </r>
  <r>
    <x v="76"/>
  </r>
  <r>
    <x v="42"/>
  </r>
  <r>
    <x v="12"/>
  </r>
  <r>
    <x v="75"/>
  </r>
  <r>
    <x v="82"/>
  </r>
  <r>
    <x v="82"/>
  </r>
  <r>
    <x v="20"/>
  </r>
  <r>
    <x v="20"/>
  </r>
  <r>
    <x v="76"/>
  </r>
  <r>
    <x v="22"/>
  </r>
  <r>
    <x v="22"/>
  </r>
  <r>
    <x v="22"/>
  </r>
  <r>
    <x v="78"/>
  </r>
  <r>
    <x v="78"/>
  </r>
  <r>
    <x v="78"/>
  </r>
  <r>
    <x v="22"/>
  </r>
  <r>
    <x v="8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45"/>
  </r>
  <r>
    <x v="29"/>
  </r>
  <r>
    <x v="42"/>
  </r>
  <r>
    <x v="42"/>
  </r>
  <r>
    <x v="42"/>
  </r>
  <r>
    <x v="42"/>
  </r>
  <r>
    <x v="57"/>
  </r>
  <r>
    <x v="57"/>
  </r>
  <r>
    <x v="57"/>
  </r>
  <r>
    <x v="57"/>
  </r>
  <r>
    <x v="22"/>
  </r>
  <r>
    <x v="57"/>
  </r>
  <r>
    <x v="22"/>
  </r>
  <r>
    <x v="78"/>
  </r>
  <r>
    <x v="8"/>
  </r>
  <r>
    <x v="62"/>
  </r>
  <r>
    <x v="57"/>
  </r>
  <r>
    <x v="57"/>
  </r>
  <r>
    <x v="76"/>
  </r>
  <r>
    <x v="12"/>
  </r>
  <r>
    <x v="6"/>
  </r>
  <r>
    <x v="6"/>
  </r>
  <r>
    <x v="22"/>
  </r>
  <r>
    <x v="22"/>
  </r>
  <r>
    <x v="22"/>
  </r>
  <r>
    <x v="76"/>
  </r>
  <r>
    <x v="184"/>
  </r>
  <r>
    <x v="76"/>
  </r>
  <r>
    <x v="76"/>
  </r>
  <r>
    <x v="82"/>
  </r>
  <r>
    <x v="30"/>
  </r>
  <r>
    <x v="114"/>
  </r>
  <r>
    <x v="30"/>
  </r>
  <r>
    <x v="30"/>
  </r>
  <r>
    <x v="30"/>
  </r>
  <r>
    <x v="82"/>
  </r>
  <r>
    <x v="82"/>
  </r>
  <r>
    <x v="82"/>
  </r>
  <r>
    <x v="82"/>
  </r>
  <r>
    <x v="82"/>
  </r>
  <r>
    <x v="82"/>
  </r>
  <r>
    <x v="82"/>
  </r>
  <r>
    <x v="208"/>
  </r>
  <r>
    <x v="208"/>
  </r>
  <r>
    <x v="82"/>
  </r>
  <r>
    <x v="10"/>
  </r>
  <r>
    <x v="10"/>
  </r>
  <r>
    <x v="83"/>
  </r>
  <r>
    <x v="83"/>
  </r>
  <r>
    <x v="31"/>
  </r>
  <r>
    <x v="117"/>
  </r>
  <r>
    <x v="82"/>
  </r>
  <r>
    <x v="31"/>
  </r>
  <r>
    <x v="31"/>
  </r>
  <r>
    <x v="25"/>
  </r>
  <r>
    <x v="75"/>
  </r>
  <r>
    <x v="82"/>
  </r>
  <r>
    <x v="117"/>
  </r>
  <r>
    <x v="83"/>
  </r>
  <r>
    <x v="198"/>
  </r>
  <r>
    <x v="82"/>
  </r>
  <r>
    <x v="64"/>
  </r>
  <r>
    <x v="10"/>
  </r>
  <r>
    <x v="81"/>
  </r>
  <r>
    <x v="31"/>
  </r>
  <r>
    <x v="31"/>
  </r>
  <r>
    <x v="82"/>
  </r>
  <r>
    <x v="82"/>
  </r>
  <r>
    <x v="25"/>
  </r>
  <r>
    <x v="56"/>
  </r>
  <r>
    <x v="25"/>
  </r>
  <r>
    <x v="2"/>
  </r>
  <r>
    <x v="22"/>
  </r>
  <r>
    <x v="75"/>
  </r>
  <r>
    <x v="75"/>
  </r>
  <r>
    <x v="82"/>
  </r>
  <r>
    <x v="75"/>
  </r>
  <r>
    <x v="25"/>
  </r>
  <r>
    <x v="22"/>
  </r>
  <r>
    <x v="22"/>
  </r>
  <r>
    <x v="200"/>
  </r>
  <r>
    <x v="112"/>
  </r>
  <r>
    <x v="14"/>
  </r>
  <r>
    <x v="14"/>
  </r>
  <r>
    <x v="112"/>
  </r>
  <r>
    <x v="14"/>
  </r>
  <r>
    <x v="52"/>
  </r>
  <r>
    <x v="112"/>
  </r>
  <r>
    <x v="14"/>
  </r>
  <r>
    <x v="23"/>
  </r>
  <r>
    <x v="48"/>
  </r>
  <r>
    <x v="82"/>
  </r>
  <r>
    <x v="112"/>
  </r>
  <r>
    <x v="112"/>
  </r>
  <r>
    <x v="112"/>
  </r>
  <r>
    <x v="112"/>
  </r>
  <r>
    <x v="93"/>
  </r>
  <r>
    <x v="86"/>
  </r>
  <r>
    <x v="86"/>
  </r>
  <r>
    <x v="112"/>
  </r>
  <r>
    <x v="82"/>
  </r>
  <r>
    <x v="56"/>
  </r>
  <r>
    <x v="86"/>
  </r>
  <r>
    <x v="72"/>
  </r>
  <r>
    <x v="86"/>
  </r>
  <r>
    <x v="86"/>
  </r>
  <r>
    <x v="72"/>
  </r>
  <r>
    <x v="78"/>
  </r>
  <r>
    <x v="78"/>
  </r>
  <r>
    <x v="10"/>
  </r>
  <r>
    <x v="82"/>
  </r>
  <r>
    <x v="85"/>
  </r>
  <r>
    <x v="82"/>
  </r>
  <r>
    <x v="82"/>
  </r>
  <r>
    <x v="82"/>
  </r>
  <r>
    <x v="78"/>
  </r>
  <r>
    <x v="36"/>
  </r>
  <r>
    <x v="75"/>
  </r>
  <r>
    <x v="75"/>
  </r>
  <r>
    <x v="75"/>
  </r>
  <r>
    <x v="78"/>
  </r>
  <r>
    <x v="409"/>
  </r>
  <r>
    <x v="31"/>
  </r>
  <r>
    <x v="212"/>
  </r>
  <r>
    <x v="0"/>
  </r>
  <r>
    <x v="0"/>
  </r>
  <r>
    <x v="0"/>
  </r>
  <r>
    <x v="0"/>
  </r>
  <r>
    <x v="0"/>
  </r>
  <r>
    <x v="0"/>
  </r>
  <r>
    <x v="75"/>
  </r>
  <r>
    <x v="48"/>
  </r>
  <r>
    <x v="76"/>
  </r>
  <r>
    <x v="83"/>
  </r>
  <r>
    <x v="79"/>
  </r>
  <r>
    <x v="86"/>
  </r>
  <r>
    <x v="99"/>
  </r>
  <r>
    <x v="99"/>
  </r>
  <r>
    <x v="99"/>
  </r>
  <r>
    <x v="99"/>
  </r>
  <r>
    <x v="23"/>
  </r>
  <r>
    <x v="25"/>
  </r>
  <r>
    <x v="12"/>
  </r>
  <r>
    <x v="25"/>
  </r>
  <r>
    <x v="4"/>
  </r>
  <r>
    <x v="126"/>
  </r>
  <r>
    <x v="20"/>
  </r>
  <r>
    <x v="23"/>
  </r>
  <r>
    <x v="23"/>
  </r>
  <r>
    <x v="76"/>
  </r>
  <r>
    <x v="23"/>
  </r>
  <r>
    <x v="25"/>
  </r>
  <r>
    <x v="23"/>
  </r>
  <r>
    <x v="23"/>
  </r>
  <r>
    <x v="12"/>
  </r>
  <r>
    <x v="12"/>
  </r>
  <r>
    <x v="12"/>
  </r>
  <r>
    <x v="4"/>
  </r>
  <r>
    <x v="4"/>
  </r>
  <r>
    <x v="25"/>
  </r>
  <r>
    <x v="23"/>
  </r>
  <r>
    <x v="23"/>
  </r>
  <r>
    <x v="25"/>
  </r>
  <r>
    <x v="96"/>
  </r>
  <r>
    <x v="23"/>
  </r>
  <r>
    <x v="0"/>
  </r>
  <r>
    <x v="126"/>
  </r>
  <r>
    <x v="126"/>
  </r>
  <r>
    <x v="53"/>
  </r>
  <r>
    <x v="53"/>
  </r>
  <r>
    <x v="12"/>
  </r>
  <r>
    <x v="92"/>
  </r>
  <r>
    <x v="168"/>
  </r>
  <r>
    <x v="168"/>
  </r>
  <r>
    <x v="22"/>
  </r>
  <r>
    <x v="0"/>
  </r>
  <r>
    <x v="92"/>
  </r>
  <r>
    <x v="28"/>
  </r>
  <r>
    <x v="25"/>
  </r>
  <r>
    <x v="126"/>
  </r>
  <r>
    <x v="129"/>
  </r>
  <r>
    <x v="76"/>
  </r>
  <r>
    <x v="12"/>
  </r>
  <r>
    <x v="82"/>
  </r>
  <r>
    <x v="85"/>
  </r>
  <r>
    <x v="85"/>
  </r>
  <r>
    <x v="28"/>
  </r>
  <r>
    <x v="25"/>
  </r>
  <r>
    <x v="28"/>
  </r>
  <r>
    <x v="28"/>
  </r>
  <r>
    <x v="28"/>
  </r>
  <r>
    <x v="28"/>
  </r>
  <r>
    <x v="28"/>
  </r>
  <r>
    <x v="12"/>
  </r>
  <r>
    <x v="28"/>
  </r>
  <r>
    <x v="25"/>
  </r>
  <r>
    <x v="23"/>
  </r>
  <r>
    <x v="23"/>
  </r>
  <r>
    <x v="23"/>
  </r>
  <r>
    <x v="91"/>
  </r>
  <r>
    <x v="76"/>
  </r>
  <r>
    <x v="23"/>
  </r>
  <r>
    <x v="23"/>
  </r>
  <r>
    <x v="76"/>
  </r>
  <r>
    <x v="4"/>
  </r>
  <r>
    <x v="4"/>
  </r>
  <r>
    <x v="91"/>
  </r>
  <r>
    <x v="91"/>
  </r>
  <r>
    <x v="91"/>
  </r>
  <r>
    <x v="105"/>
  </r>
  <r>
    <x v="25"/>
  </r>
  <r>
    <x v="12"/>
  </r>
  <r>
    <x v="10"/>
  </r>
  <r>
    <x v="23"/>
  </r>
  <r>
    <x v="12"/>
  </r>
  <r>
    <x v="23"/>
  </r>
  <r>
    <x v="23"/>
  </r>
  <r>
    <x v="23"/>
  </r>
  <r>
    <x v="25"/>
  </r>
  <r>
    <x v="25"/>
  </r>
  <r>
    <x v="93"/>
  </r>
  <r>
    <x v="93"/>
  </r>
  <r>
    <x v="93"/>
  </r>
  <r>
    <x v="93"/>
  </r>
  <r>
    <x v="93"/>
  </r>
  <r>
    <x v="152"/>
  </r>
  <r>
    <x v="152"/>
  </r>
  <r>
    <x v="14"/>
  </r>
  <r>
    <x v="14"/>
  </r>
  <r>
    <x v="152"/>
  </r>
  <r>
    <x v="14"/>
  </r>
  <r>
    <x v="25"/>
  </r>
  <r>
    <x v="25"/>
  </r>
  <r>
    <x v="76"/>
  </r>
  <r>
    <x v="76"/>
  </r>
  <r>
    <x v="76"/>
  </r>
  <r>
    <x v="76"/>
  </r>
  <r>
    <x v="105"/>
  </r>
  <r>
    <x v="105"/>
  </r>
  <r>
    <x v="105"/>
  </r>
  <r>
    <x v="25"/>
  </r>
  <r>
    <x v="23"/>
  </r>
  <r>
    <x v="23"/>
  </r>
  <r>
    <x v="12"/>
  </r>
  <r>
    <x v="23"/>
  </r>
  <r>
    <x v="23"/>
  </r>
  <r>
    <x v="23"/>
  </r>
  <r>
    <x v="81"/>
  </r>
  <r>
    <x v="112"/>
  </r>
  <r>
    <x v="23"/>
  </r>
  <r>
    <x v="23"/>
  </r>
  <r>
    <x v="23"/>
  </r>
  <r>
    <x v="23"/>
  </r>
  <r>
    <x v="23"/>
  </r>
  <r>
    <x v="42"/>
  </r>
  <r>
    <x v="0"/>
  </r>
  <r>
    <x v="63"/>
  </r>
  <r>
    <x v="126"/>
  </r>
  <r>
    <x v="82"/>
  </r>
  <r>
    <x v="81"/>
  </r>
  <r>
    <x v="25"/>
  </r>
  <r>
    <x v="126"/>
  </r>
  <r>
    <x v="126"/>
  </r>
  <r>
    <x v="23"/>
  </r>
  <r>
    <x v="126"/>
  </r>
  <r>
    <x v="0"/>
  </r>
  <r>
    <x v="0"/>
  </r>
  <r>
    <x v="25"/>
  </r>
  <r>
    <x v="25"/>
  </r>
  <r>
    <x v="25"/>
  </r>
  <r>
    <x v="99"/>
  </r>
  <r>
    <x v="42"/>
  </r>
  <r>
    <x v="23"/>
  </r>
  <r>
    <x v="23"/>
  </r>
  <r>
    <x v="42"/>
  </r>
  <r>
    <x v="42"/>
  </r>
  <r>
    <x v="42"/>
  </r>
  <r>
    <x v="23"/>
  </r>
  <r>
    <x v="23"/>
  </r>
  <r>
    <x v="23"/>
  </r>
  <r>
    <x v="55"/>
  </r>
  <r>
    <x v="91"/>
  </r>
  <r>
    <x v="91"/>
  </r>
  <r>
    <x v="91"/>
  </r>
  <r>
    <x v="25"/>
  </r>
  <r>
    <x v="91"/>
  </r>
  <r>
    <x v="31"/>
  </r>
  <r>
    <x v="31"/>
  </r>
  <r>
    <x v="45"/>
  </r>
  <r>
    <x v="31"/>
  </r>
  <r>
    <x v="31"/>
  </r>
  <r>
    <x v="122"/>
  </r>
  <r>
    <x v="76"/>
  </r>
  <r>
    <x v="76"/>
  </r>
  <r>
    <x v="0"/>
  </r>
  <r>
    <x v="23"/>
  </r>
  <r>
    <x v="57"/>
  </r>
  <r>
    <x v="81"/>
  </r>
  <r>
    <x v="12"/>
  </r>
  <r>
    <x v="81"/>
  </r>
  <r>
    <x v="25"/>
  </r>
  <r>
    <x v="81"/>
  </r>
  <r>
    <x v="6"/>
  </r>
  <r>
    <x v="6"/>
  </r>
  <r>
    <x v="91"/>
  </r>
  <r>
    <x v="91"/>
  </r>
  <r>
    <x v="42"/>
  </r>
  <r>
    <x v="12"/>
  </r>
  <r>
    <x v="25"/>
  </r>
  <r>
    <x v="12"/>
  </r>
  <r>
    <x v="25"/>
  </r>
  <r>
    <x v="25"/>
  </r>
  <r>
    <x v="25"/>
  </r>
  <r>
    <x v="23"/>
  </r>
  <r>
    <x v="23"/>
  </r>
  <r>
    <x v="23"/>
  </r>
  <r>
    <x v="25"/>
  </r>
  <r>
    <x v="132"/>
  </r>
  <r>
    <x v="105"/>
  </r>
  <r>
    <x v="23"/>
  </r>
  <r>
    <x v="132"/>
  </r>
  <r>
    <x v="201"/>
  </r>
  <r>
    <x v="105"/>
  </r>
  <r>
    <x v="105"/>
  </r>
  <r>
    <x v="105"/>
  </r>
  <r>
    <x v="23"/>
  </r>
  <r>
    <x v="23"/>
  </r>
  <r>
    <x v="23"/>
  </r>
  <r>
    <x v="6"/>
  </r>
  <r>
    <x v="29"/>
  </r>
  <r>
    <x v="42"/>
  </r>
  <r>
    <x v="23"/>
  </r>
  <r>
    <x v="23"/>
  </r>
  <r>
    <x v="81"/>
  </r>
  <r>
    <x v="25"/>
  </r>
  <r>
    <x v="77"/>
  </r>
  <r>
    <x v="25"/>
  </r>
  <r>
    <x v="25"/>
  </r>
  <r>
    <x v="7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6"/>
  </r>
  <r>
    <x v="76"/>
  </r>
  <r>
    <x v="91"/>
  </r>
  <r>
    <x v="23"/>
  </r>
  <r>
    <x v="23"/>
  </r>
  <r>
    <x v="12"/>
  </r>
  <r>
    <x v="81"/>
  </r>
  <r>
    <x v="81"/>
  </r>
  <r>
    <x v="81"/>
  </r>
  <r>
    <x v="25"/>
  </r>
  <r>
    <x v="25"/>
  </r>
  <r>
    <x v="25"/>
  </r>
  <r>
    <x v="81"/>
  </r>
  <r>
    <x v="25"/>
  </r>
  <r>
    <x v="25"/>
  </r>
  <r>
    <x v="126"/>
  </r>
  <r>
    <x v="25"/>
  </r>
  <r>
    <x v="76"/>
  </r>
  <r>
    <x v="76"/>
  </r>
  <r>
    <x v="76"/>
  </r>
  <r>
    <x v="112"/>
  </r>
  <r>
    <x v="112"/>
  </r>
  <r>
    <x v="126"/>
  </r>
  <r>
    <x v="99"/>
  </r>
  <r>
    <x v="25"/>
  </r>
  <r>
    <x v="25"/>
  </r>
  <r>
    <x v="126"/>
  </r>
  <r>
    <x v="25"/>
  </r>
  <r>
    <x v="25"/>
  </r>
  <r>
    <x v="25"/>
  </r>
  <r>
    <x v="25"/>
  </r>
  <r>
    <x v="25"/>
  </r>
  <r>
    <x v="25"/>
  </r>
  <r>
    <x v="21"/>
  </r>
  <r>
    <x v="21"/>
  </r>
  <r>
    <x v="81"/>
  </r>
  <r>
    <x v="42"/>
  </r>
  <r>
    <x v="14"/>
  </r>
  <r>
    <x v="81"/>
  </r>
  <r>
    <x v="25"/>
  </r>
  <r>
    <x v="25"/>
  </r>
  <r>
    <x v="25"/>
  </r>
  <r>
    <x v="105"/>
  </r>
  <r>
    <x v="23"/>
  </r>
  <r>
    <x v="23"/>
  </r>
  <r>
    <x v="91"/>
  </r>
  <r>
    <x v="132"/>
  </r>
  <r>
    <x v="91"/>
  </r>
  <r>
    <x v="91"/>
  </r>
  <r>
    <x v="91"/>
  </r>
  <r>
    <x v="23"/>
  </r>
  <r>
    <x v="23"/>
  </r>
  <r>
    <x v="25"/>
  </r>
  <r>
    <x v="25"/>
  </r>
  <r>
    <x v="23"/>
  </r>
  <r>
    <x v="23"/>
  </r>
  <r>
    <x v="28"/>
  </r>
  <r>
    <x v="23"/>
  </r>
  <r>
    <x v="23"/>
  </r>
  <r>
    <x v="23"/>
  </r>
  <r>
    <x v="28"/>
  </r>
  <r>
    <x v="28"/>
  </r>
  <r>
    <x v="42"/>
  </r>
  <r>
    <x v="28"/>
  </r>
  <r>
    <x v="25"/>
  </r>
  <r>
    <x v="28"/>
  </r>
  <r>
    <x v="28"/>
  </r>
  <r>
    <x v="28"/>
  </r>
  <r>
    <x v="23"/>
  </r>
  <r>
    <x v="25"/>
  </r>
  <r>
    <x v="1"/>
  </r>
  <r>
    <x v="23"/>
  </r>
  <r>
    <x v="12"/>
  </r>
  <r>
    <x v="42"/>
  </r>
  <r>
    <x v="93"/>
  </r>
  <r>
    <x v="81"/>
  </r>
  <r>
    <x v="81"/>
  </r>
  <r>
    <x v="28"/>
  </r>
  <r>
    <x v="25"/>
  </r>
  <r>
    <x v="25"/>
  </r>
  <r>
    <x v="12"/>
  </r>
  <r>
    <x v="45"/>
  </r>
  <r>
    <x v="45"/>
  </r>
  <r>
    <x v="25"/>
  </r>
  <r>
    <x v="28"/>
  </r>
  <r>
    <x v="28"/>
  </r>
  <r>
    <x v="56"/>
  </r>
  <r>
    <x v="28"/>
  </r>
  <r>
    <x v="23"/>
  </r>
  <r>
    <x v="23"/>
  </r>
  <r>
    <x v="23"/>
  </r>
  <r>
    <x v="25"/>
  </r>
  <r>
    <x v="25"/>
  </r>
  <r>
    <x v="25"/>
  </r>
  <r>
    <x v="25"/>
  </r>
  <r>
    <x v="23"/>
  </r>
  <r>
    <x v="23"/>
  </r>
  <r>
    <x v="99"/>
  </r>
  <r>
    <x v="25"/>
  </r>
  <r>
    <x v="23"/>
  </r>
  <r>
    <x v="12"/>
  </r>
  <r>
    <x v="14"/>
  </r>
  <r>
    <x v="4"/>
  </r>
  <r>
    <x v="112"/>
  </r>
  <r>
    <x v="105"/>
  </r>
  <r>
    <x v="105"/>
  </r>
  <r>
    <x v="105"/>
  </r>
  <r>
    <x v="81"/>
  </r>
  <r>
    <x v="23"/>
  </r>
  <r>
    <x v="25"/>
  </r>
  <r>
    <x v="4"/>
  </r>
  <r>
    <x v="28"/>
  </r>
  <r>
    <x v="28"/>
  </r>
  <r>
    <x v="126"/>
  </r>
  <r>
    <x v="28"/>
  </r>
  <r>
    <x v="28"/>
  </r>
  <r>
    <x v="25"/>
  </r>
  <r>
    <x v="25"/>
  </r>
  <r>
    <x v="23"/>
  </r>
  <r>
    <x v="23"/>
  </r>
  <r>
    <x v="31"/>
  </r>
  <r>
    <x v="31"/>
  </r>
  <r>
    <x v="25"/>
  </r>
  <r>
    <x v="77"/>
  </r>
  <r>
    <x v="6"/>
  </r>
  <r>
    <x v="77"/>
  </r>
  <r>
    <x v="6"/>
  </r>
  <r>
    <x v="81"/>
  </r>
  <r>
    <x v="86"/>
  </r>
  <r>
    <x v="20"/>
  </r>
  <r>
    <x v="20"/>
  </r>
  <r>
    <x v="20"/>
  </r>
  <r>
    <x v="20"/>
  </r>
  <r>
    <x v="25"/>
  </r>
  <r>
    <x v="83"/>
  </r>
  <r>
    <x v="25"/>
  </r>
  <r>
    <x v="25"/>
  </r>
  <r>
    <x v="25"/>
  </r>
  <r>
    <x v="25"/>
  </r>
  <r>
    <x v="6"/>
  </r>
  <r>
    <x v="20"/>
  </r>
  <r>
    <x v="20"/>
  </r>
  <r>
    <x v="20"/>
  </r>
  <r>
    <x v="20"/>
  </r>
  <r>
    <x v="20"/>
  </r>
  <r>
    <x v="91"/>
  </r>
  <r>
    <x v="25"/>
  </r>
  <r>
    <x v="25"/>
  </r>
  <r>
    <x v="10"/>
  </r>
  <r>
    <x v="28"/>
  </r>
  <r>
    <x v="28"/>
  </r>
  <r>
    <x v="28"/>
  </r>
  <r>
    <x v="152"/>
  </r>
  <r>
    <x v="105"/>
  </r>
  <r>
    <x v="23"/>
  </r>
  <r>
    <x v="23"/>
  </r>
  <r>
    <x v="23"/>
  </r>
  <r>
    <x v="4"/>
  </r>
  <r>
    <x v="4"/>
  </r>
  <r>
    <x v="12"/>
  </r>
  <r>
    <x v="12"/>
  </r>
  <r>
    <x v="4"/>
  </r>
  <r>
    <x v="4"/>
  </r>
  <r>
    <x v="4"/>
  </r>
  <r>
    <x v="99"/>
  </r>
  <r>
    <x v="25"/>
  </r>
  <r>
    <x v="25"/>
  </r>
  <r>
    <x v="77"/>
  </r>
  <r>
    <x v="23"/>
  </r>
  <r>
    <x v="23"/>
  </r>
  <r>
    <x v="23"/>
  </r>
  <r>
    <x v="14"/>
  </r>
  <r>
    <x v="42"/>
  </r>
  <r>
    <x v="14"/>
  </r>
  <r>
    <x v="93"/>
  </r>
  <r>
    <x v="93"/>
  </r>
  <r>
    <x v="42"/>
  </r>
  <r>
    <x v="93"/>
  </r>
  <r>
    <x v="126"/>
  </r>
  <r>
    <x v="93"/>
  </r>
  <r>
    <x v="102"/>
  </r>
  <r>
    <x v="78"/>
  </r>
  <r>
    <x v="102"/>
  </r>
  <r>
    <x v="102"/>
  </r>
  <r>
    <x v="72"/>
  </r>
  <r>
    <x v="102"/>
  </r>
  <r>
    <x v="81"/>
  </r>
  <r>
    <x v="81"/>
  </r>
  <r>
    <x v="126"/>
  </r>
  <r>
    <x v="12"/>
  </r>
  <r>
    <x v="25"/>
  </r>
  <r>
    <x v="25"/>
  </r>
  <r>
    <x v="25"/>
  </r>
  <r>
    <x v="81"/>
  </r>
  <r>
    <x v="25"/>
  </r>
  <r>
    <x v="25"/>
  </r>
  <r>
    <x v="25"/>
  </r>
  <r>
    <x v="25"/>
  </r>
  <r>
    <x v="25"/>
  </r>
  <r>
    <x v="25"/>
  </r>
  <r>
    <x v="25"/>
  </r>
  <r>
    <x v="78"/>
  </r>
  <r>
    <x v="78"/>
  </r>
  <r>
    <x v="78"/>
  </r>
  <r>
    <x v="78"/>
  </r>
  <r>
    <x v="63"/>
  </r>
  <r>
    <x v="14"/>
  </r>
  <r>
    <x v="14"/>
  </r>
  <r>
    <x v="14"/>
  </r>
  <r>
    <x v="25"/>
  </r>
  <r>
    <x v="23"/>
  </r>
  <r>
    <x v="112"/>
  </r>
  <r>
    <x v="112"/>
  </r>
  <r>
    <x v="102"/>
  </r>
  <r>
    <x v="94"/>
  </r>
  <r>
    <x v="25"/>
  </r>
  <r>
    <x v="23"/>
  </r>
  <r>
    <x v="23"/>
  </r>
  <r>
    <x v="63"/>
  </r>
  <r>
    <x v="23"/>
  </r>
  <r>
    <x v="23"/>
  </r>
  <r>
    <x v="23"/>
  </r>
  <r>
    <x v="63"/>
  </r>
  <r>
    <x v="21"/>
  </r>
  <r>
    <x v="94"/>
  </r>
  <r>
    <x v="21"/>
  </r>
  <r>
    <x v="25"/>
  </r>
  <r>
    <x v="21"/>
  </r>
  <r>
    <x v="23"/>
  </r>
  <r>
    <x v="23"/>
  </r>
  <r>
    <x v="23"/>
  </r>
  <r>
    <x v="21"/>
  </r>
  <r>
    <x v="105"/>
  </r>
  <r>
    <x v="12"/>
  </r>
  <r>
    <x v="105"/>
  </r>
  <r>
    <x v="410"/>
  </r>
  <r>
    <x v="105"/>
  </r>
  <r>
    <x v="105"/>
  </r>
  <r>
    <x v="142"/>
  </r>
  <r>
    <x v="105"/>
  </r>
  <r>
    <x v="105"/>
  </r>
  <r>
    <x v="115"/>
  </r>
  <r>
    <x v="76"/>
  </r>
  <r>
    <x v="12"/>
  </r>
  <r>
    <x v="57"/>
  </r>
  <r>
    <x v="29"/>
  </r>
  <r>
    <x v="14"/>
  </r>
  <r>
    <x v="10"/>
  </r>
  <r>
    <x v="108"/>
  </r>
  <r>
    <x v="108"/>
  </r>
  <r>
    <x v="0"/>
  </r>
  <r>
    <x v="9"/>
  </r>
  <r>
    <x v="0"/>
  </r>
  <r>
    <x v="42"/>
  </r>
  <r>
    <x v="87"/>
  </r>
  <r>
    <x v="42"/>
  </r>
  <r>
    <x v="25"/>
  </r>
  <r>
    <x v="27"/>
  </r>
  <r>
    <x v="78"/>
  </r>
  <r>
    <x v="411"/>
  </r>
  <r>
    <x v="12"/>
  </r>
  <r>
    <x v="84"/>
  </r>
  <r>
    <x v="12"/>
  </r>
  <r>
    <x v="12"/>
  </r>
  <r>
    <x v="12"/>
  </r>
  <r>
    <x v="411"/>
  </r>
  <r>
    <x v="12"/>
  </r>
  <r>
    <x v="12"/>
  </r>
  <r>
    <x v="12"/>
  </r>
  <r>
    <x v="12"/>
  </r>
  <r>
    <x v="12"/>
  </r>
  <r>
    <x v="141"/>
  </r>
  <r>
    <x v="12"/>
  </r>
  <r>
    <x v="12"/>
  </r>
  <r>
    <x v="34"/>
  </r>
  <r>
    <x v="34"/>
  </r>
  <r>
    <x v="4"/>
  </r>
  <r>
    <x v="112"/>
  </r>
  <r>
    <x v="141"/>
  </r>
  <r>
    <x v="53"/>
  </r>
  <r>
    <x v="115"/>
  </r>
  <r>
    <x v="77"/>
  </r>
  <r>
    <x v="6"/>
  </r>
  <r>
    <x v="50"/>
  </r>
  <r>
    <x v="50"/>
  </r>
  <r>
    <x v="4"/>
  </r>
  <r>
    <x v="11"/>
  </r>
  <r>
    <x v="12"/>
  </r>
  <r>
    <x v="12"/>
  </r>
  <r>
    <x v="12"/>
  </r>
  <r>
    <x v="4"/>
  </r>
  <r>
    <x v="130"/>
  </r>
  <r>
    <x v="130"/>
  </r>
  <r>
    <x v="130"/>
  </r>
  <r>
    <x v="130"/>
  </r>
  <r>
    <x v="115"/>
  </r>
  <r>
    <x v="115"/>
  </r>
  <r>
    <x v="179"/>
  </r>
  <r>
    <x v="141"/>
  </r>
  <r>
    <x v="141"/>
  </r>
  <r>
    <x v="115"/>
  </r>
  <r>
    <x v="4"/>
  </r>
  <r>
    <x v="34"/>
  </r>
  <r>
    <x v="115"/>
  </r>
  <r>
    <x v="115"/>
  </r>
  <r>
    <x v="29"/>
  </r>
  <r>
    <x v="6"/>
  </r>
  <r>
    <x v="17"/>
  </r>
  <r>
    <x v="12"/>
  </r>
  <r>
    <x v="12"/>
  </r>
  <r>
    <x v="21"/>
  </r>
  <r>
    <x v="12"/>
  </r>
  <r>
    <x v="12"/>
  </r>
  <r>
    <x v="12"/>
  </r>
  <r>
    <x v="12"/>
  </r>
  <r>
    <x v="141"/>
  </r>
  <r>
    <x v="115"/>
  </r>
  <r>
    <x v="12"/>
  </r>
  <r>
    <x v="17"/>
  </r>
  <r>
    <x v="17"/>
  </r>
  <r>
    <x v="17"/>
  </r>
  <r>
    <x v="17"/>
  </r>
  <r>
    <x v="17"/>
  </r>
  <r>
    <x v="16"/>
  </r>
  <r>
    <x v="130"/>
  </r>
  <r>
    <x v="115"/>
  </r>
  <r>
    <x v="115"/>
  </r>
  <r>
    <x v="21"/>
  </r>
  <r>
    <x v="4"/>
  </r>
  <r>
    <x v="7"/>
  </r>
  <r>
    <x v="7"/>
  </r>
  <r>
    <x v="7"/>
  </r>
  <r>
    <x v="7"/>
  </r>
  <r>
    <x v="21"/>
  </r>
  <r>
    <x v="21"/>
  </r>
  <r>
    <x v="115"/>
  </r>
  <r>
    <x v="115"/>
  </r>
  <r>
    <x v="115"/>
  </r>
  <r>
    <x v="115"/>
  </r>
  <r>
    <x v="115"/>
  </r>
  <r>
    <x v="115"/>
  </r>
  <r>
    <x v="115"/>
  </r>
  <r>
    <x v="0"/>
  </r>
  <r>
    <x v="57"/>
  </r>
  <r>
    <x v="57"/>
  </r>
  <r>
    <x v="76"/>
  </r>
  <r>
    <x v="76"/>
  </r>
  <r>
    <x v="57"/>
  </r>
  <r>
    <x v="57"/>
  </r>
  <r>
    <x v="12"/>
  </r>
  <r>
    <x v="12"/>
  </r>
  <r>
    <x v="1"/>
  </r>
  <r>
    <x v="115"/>
  </r>
  <r>
    <x v="4"/>
  </r>
  <r>
    <x v="7"/>
  </r>
  <r>
    <x v="7"/>
  </r>
  <r>
    <x v="46"/>
  </r>
  <r>
    <x v="115"/>
  </r>
  <r>
    <x v="115"/>
  </r>
  <r>
    <x v="142"/>
  </r>
  <r>
    <x v="142"/>
  </r>
  <r>
    <x v="42"/>
  </r>
  <r>
    <x v="81"/>
  </r>
  <r>
    <x v="81"/>
  </r>
  <r>
    <x v="1"/>
  </r>
  <r>
    <x v="142"/>
  </r>
  <r>
    <x v="142"/>
  </r>
  <r>
    <x v="45"/>
  </r>
  <r>
    <x v="1"/>
  </r>
  <r>
    <x v="115"/>
  </r>
  <r>
    <x v="24"/>
  </r>
  <r>
    <x v="57"/>
  </r>
  <r>
    <x v="0"/>
  </r>
  <r>
    <x v="10"/>
  </r>
  <r>
    <x v="10"/>
  </r>
  <r>
    <x v="24"/>
  </r>
  <r>
    <x v="142"/>
  </r>
  <r>
    <x v="19"/>
  </r>
  <r>
    <x v="19"/>
  </r>
  <r>
    <x v="19"/>
  </r>
  <r>
    <x v="57"/>
  </r>
  <r>
    <x v="8"/>
  </r>
  <r>
    <x v="8"/>
  </r>
  <r>
    <x v="21"/>
  </r>
  <r>
    <x v="19"/>
  </r>
  <r>
    <x v="8"/>
  </r>
  <r>
    <x v="53"/>
  </r>
  <r>
    <x v="1"/>
  </r>
  <r>
    <x v="115"/>
  </r>
  <r>
    <x v="12"/>
  </r>
  <r>
    <x v="57"/>
  </r>
  <r>
    <x v="115"/>
  </r>
  <r>
    <x v="39"/>
  </r>
  <r>
    <x v="28"/>
  </r>
  <r>
    <x v="28"/>
  </r>
  <r>
    <x v="28"/>
  </r>
  <r>
    <x v="28"/>
  </r>
  <r>
    <x v="28"/>
  </r>
  <r>
    <x v="8"/>
  </r>
  <r>
    <x v="8"/>
  </r>
  <r>
    <x v="19"/>
  </r>
  <r>
    <x v="0"/>
  </r>
  <r>
    <x v="21"/>
  </r>
  <r>
    <x v="21"/>
  </r>
  <r>
    <x v="21"/>
  </r>
  <r>
    <x v="21"/>
  </r>
  <r>
    <x v="86"/>
  </r>
  <r>
    <x v="86"/>
  </r>
  <r>
    <x v="12"/>
  </r>
  <r>
    <x v="16"/>
  </r>
  <r>
    <x v="9"/>
  </r>
  <r>
    <x v="9"/>
  </r>
  <r>
    <x v="9"/>
  </r>
  <r>
    <x v="9"/>
  </r>
  <r>
    <x v="57"/>
  </r>
  <r>
    <x v="57"/>
  </r>
  <r>
    <x v="57"/>
  </r>
  <r>
    <x v="57"/>
  </r>
  <r>
    <x v="57"/>
  </r>
  <r>
    <x v="4"/>
  </r>
  <r>
    <x v="77"/>
  </r>
  <r>
    <x v="4"/>
  </r>
  <r>
    <x v="4"/>
  </r>
  <r>
    <x v="12"/>
  </r>
  <r>
    <x v="42"/>
  </r>
  <r>
    <x v="12"/>
  </r>
  <r>
    <x v="12"/>
  </r>
  <r>
    <x v="115"/>
  </r>
  <r>
    <x v="12"/>
  </r>
  <r>
    <x v="57"/>
  </r>
  <r>
    <x v="14"/>
  </r>
  <r>
    <x v="16"/>
  </r>
  <r>
    <x v="16"/>
  </r>
  <r>
    <x v="14"/>
  </r>
  <r>
    <x v="131"/>
  </r>
  <r>
    <x v="131"/>
  </r>
  <r>
    <x v="131"/>
  </r>
  <r>
    <x v="11"/>
  </r>
  <r>
    <x v="14"/>
  </r>
  <r>
    <x v="10"/>
  </r>
  <r>
    <x v="21"/>
  </r>
  <r>
    <x v="14"/>
  </r>
  <r>
    <x v="16"/>
  </r>
  <r>
    <x v="31"/>
  </r>
  <r>
    <x v="14"/>
  </r>
  <r>
    <x v="14"/>
  </r>
  <r>
    <x v="28"/>
  </r>
  <r>
    <x v="0"/>
  </r>
  <r>
    <x v="19"/>
  </r>
  <r>
    <x v="30"/>
  </r>
  <r>
    <x v="15"/>
  </r>
  <r>
    <x v="15"/>
  </r>
  <r>
    <x v="42"/>
  </r>
  <r>
    <x v="42"/>
  </r>
  <r>
    <x v="28"/>
  </r>
  <r>
    <x v="1"/>
  </r>
  <r>
    <x v="53"/>
  </r>
  <r>
    <x v="42"/>
  </r>
  <r>
    <x v="131"/>
  </r>
  <r>
    <x v="68"/>
  </r>
  <r>
    <x v="39"/>
  </r>
  <r>
    <x v="4"/>
  </r>
  <r>
    <x v="63"/>
  </r>
  <r>
    <x v="131"/>
  </r>
  <r>
    <x v="53"/>
  </r>
  <r>
    <x v="9"/>
  </r>
  <r>
    <x v="131"/>
  </r>
  <r>
    <x v="1"/>
  </r>
  <r>
    <x v="115"/>
  </r>
  <r>
    <x v="12"/>
  </r>
  <r>
    <x v="12"/>
  </r>
  <r>
    <x v="39"/>
  </r>
  <r>
    <x v="70"/>
  </r>
  <r>
    <x v="70"/>
  </r>
  <r>
    <x v="70"/>
  </r>
  <r>
    <x v="70"/>
  </r>
  <r>
    <x v="70"/>
  </r>
  <r>
    <x v="70"/>
  </r>
  <r>
    <x v="70"/>
  </r>
  <r>
    <x v="12"/>
  </r>
  <r>
    <x v="12"/>
  </r>
  <r>
    <x v="12"/>
  </r>
  <r>
    <x v="4"/>
  </r>
  <r>
    <x v="21"/>
  </r>
  <r>
    <x v="21"/>
  </r>
  <r>
    <x v="21"/>
  </r>
  <r>
    <x v="16"/>
  </r>
  <r>
    <x v="21"/>
  </r>
  <r>
    <x v="52"/>
  </r>
  <r>
    <x v="37"/>
  </r>
  <r>
    <x v="42"/>
  </r>
  <r>
    <x v="52"/>
  </r>
  <r>
    <x v="52"/>
  </r>
  <r>
    <x v="16"/>
  </r>
  <r>
    <x v="16"/>
  </r>
  <r>
    <x v="68"/>
  </r>
  <r>
    <x v="52"/>
  </r>
  <r>
    <x v="52"/>
  </r>
  <r>
    <x v="52"/>
  </r>
  <r>
    <x v="42"/>
  </r>
  <r>
    <x v="42"/>
  </r>
  <r>
    <x v="42"/>
  </r>
  <r>
    <x v="42"/>
  </r>
  <r>
    <x v="12"/>
  </r>
  <r>
    <x v="21"/>
  </r>
  <r>
    <x v="4"/>
  </r>
  <r>
    <x v="2"/>
  </r>
  <r>
    <x v="16"/>
  </r>
  <r>
    <x v="40"/>
  </r>
  <r>
    <x v="131"/>
  </r>
  <r>
    <x v="25"/>
  </r>
  <r>
    <x v="138"/>
  </r>
  <r>
    <x v="138"/>
  </r>
  <r>
    <x v="8"/>
  </r>
  <r>
    <x v="16"/>
  </r>
  <r>
    <x v="70"/>
  </r>
  <r>
    <x v="70"/>
  </r>
  <r>
    <x v="4"/>
  </r>
  <r>
    <x v="57"/>
  </r>
  <r>
    <x v="39"/>
  </r>
  <r>
    <x v="39"/>
  </r>
  <r>
    <x v="77"/>
  </r>
  <r>
    <x v="1"/>
  </r>
  <r>
    <x v="240"/>
  </r>
  <r>
    <x v="130"/>
  </r>
  <r>
    <x v="17"/>
  </r>
  <r>
    <x v="17"/>
  </r>
  <r>
    <x v="53"/>
  </r>
  <r>
    <x v="53"/>
  </r>
  <r>
    <x v="131"/>
  </r>
  <r>
    <x v="131"/>
  </r>
  <r>
    <x v="52"/>
  </r>
  <r>
    <x v="52"/>
  </r>
  <r>
    <x v="52"/>
  </r>
  <r>
    <x v="12"/>
  </r>
  <r>
    <x v="115"/>
  </r>
  <r>
    <x v="12"/>
  </r>
  <r>
    <x v="12"/>
  </r>
  <r>
    <x v="12"/>
  </r>
  <r>
    <x v="42"/>
  </r>
  <r>
    <x v="9"/>
  </r>
  <r>
    <x v="52"/>
  </r>
  <r>
    <x v="52"/>
  </r>
  <r>
    <x v="52"/>
  </r>
  <r>
    <x v="4"/>
  </r>
  <r>
    <x v="131"/>
  </r>
  <r>
    <x v="131"/>
  </r>
  <r>
    <x v="131"/>
  </r>
  <r>
    <x v="131"/>
  </r>
  <r>
    <x v="52"/>
  </r>
  <r>
    <x v="52"/>
  </r>
  <r>
    <x v="52"/>
  </r>
  <r>
    <x v="52"/>
  </r>
  <r>
    <x v="52"/>
  </r>
  <r>
    <x v="14"/>
  </r>
  <r>
    <x v="8"/>
  </r>
  <r>
    <x v="131"/>
  </r>
  <r>
    <x v="131"/>
  </r>
  <r>
    <x v="8"/>
  </r>
  <r>
    <x v="8"/>
  </r>
  <r>
    <x v="4"/>
  </r>
  <r>
    <x v="0"/>
  </r>
  <r>
    <x v="143"/>
  </r>
  <r>
    <x v="192"/>
  </r>
  <r>
    <x v="10"/>
  </r>
  <r>
    <x v="10"/>
  </r>
  <r>
    <x v="7"/>
  </r>
  <r>
    <x v="86"/>
  </r>
  <r>
    <x v="4"/>
  </r>
  <r>
    <x v="130"/>
  </r>
  <r>
    <x v="16"/>
  </r>
  <r>
    <x v="53"/>
  </r>
  <r>
    <x v="142"/>
  </r>
  <r>
    <x v="16"/>
  </r>
  <r>
    <x v="24"/>
  </r>
  <r>
    <x v="42"/>
  </r>
  <r>
    <x v="0"/>
  </r>
  <r>
    <x v="138"/>
  </r>
  <r>
    <x v="4"/>
  </r>
  <r>
    <x v="12"/>
  </r>
  <r>
    <x v="14"/>
  </r>
  <r>
    <x v="55"/>
  </r>
  <r>
    <x v="79"/>
  </r>
  <r>
    <x v="12"/>
  </r>
  <r>
    <x v="75"/>
  </r>
  <r>
    <x v="12"/>
  </r>
  <r>
    <x v="42"/>
  </r>
  <r>
    <x v="138"/>
  </r>
  <r>
    <x v="138"/>
  </r>
  <r>
    <x v="71"/>
  </r>
  <r>
    <x v="12"/>
  </r>
  <r>
    <x v="14"/>
  </r>
  <r>
    <x v="24"/>
  </r>
  <r>
    <x v="199"/>
  </r>
  <r>
    <x v="4"/>
  </r>
  <r>
    <x v="45"/>
  </r>
  <r>
    <x v="131"/>
  </r>
  <r>
    <x v="14"/>
  </r>
  <r>
    <x v="64"/>
  </r>
  <r>
    <x v="64"/>
  </r>
  <r>
    <x v="142"/>
  </r>
  <r>
    <x v="142"/>
  </r>
  <r>
    <x v="142"/>
  </r>
  <r>
    <x v="39"/>
  </r>
  <r>
    <x v="39"/>
  </r>
  <r>
    <x v="39"/>
  </r>
  <r>
    <x v="39"/>
  </r>
  <r>
    <x v="39"/>
  </r>
  <r>
    <x v="39"/>
  </r>
  <r>
    <x v="39"/>
  </r>
  <r>
    <x v="39"/>
  </r>
  <r>
    <x v="142"/>
  </r>
  <r>
    <x v="39"/>
  </r>
  <r>
    <x v="64"/>
  </r>
  <r>
    <x v="39"/>
  </r>
  <r>
    <x v="12"/>
  </r>
  <r>
    <x v="48"/>
  </r>
  <r>
    <x v="53"/>
  </r>
  <r>
    <x v="53"/>
  </r>
  <r>
    <x v="44"/>
  </r>
  <r>
    <x v="14"/>
  </r>
  <r>
    <x v="12"/>
  </r>
  <r>
    <x v="7"/>
  </r>
  <r>
    <x v="115"/>
  </r>
  <r>
    <x v="0"/>
  </r>
  <r>
    <x v="68"/>
  </r>
  <r>
    <x v="131"/>
  </r>
  <r>
    <x v="0"/>
  </r>
  <r>
    <x v="52"/>
  </r>
  <r>
    <x v="12"/>
  </r>
  <r>
    <x v="142"/>
  </r>
  <r>
    <x v="53"/>
  </r>
  <r>
    <x v="115"/>
  </r>
  <r>
    <x v="16"/>
  </r>
  <r>
    <x v="131"/>
  </r>
  <r>
    <x v="42"/>
  </r>
  <r>
    <x v="16"/>
  </r>
  <r>
    <x v="10"/>
  </r>
  <r>
    <x v="112"/>
  </r>
  <r>
    <x v="12"/>
  </r>
  <r>
    <x v="9"/>
  </r>
  <r>
    <x v="48"/>
  </r>
  <r>
    <x v="12"/>
  </r>
  <r>
    <x v="12"/>
  </r>
  <r>
    <x v="53"/>
  </r>
  <r>
    <x v="53"/>
  </r>
  <r>
    <x v="39"/>
  </r>
  <r>
    <x v="25"/>
  </r>
  <r>
    <x v="0"/>
  </r>
  <r>
    <x v="45"/>
  </r>
  <r>
    <x v="0"/>
  </r>
  <r>
    <x v="78"/>
  </r>
  <r>
    <x v="55"/>
  </r>
  <r>
    <x v="25"/>
  </r>
  <r>
    <x v="4"/>
  </r>
  <r>
    <x v="0"/>
  </r>
  <r>
    <x v="143"/>
  </r>
  <r>
    <x v="12"/>
  </r>
  <r>
    <x v="12"/>
  </r>
  <r>
    <x v="21"/>
  </r>
  <r>
    <x v="31"/>
  </r>
  <r>
    <x v="12"/>
  </r>
  <r>
    <x v="12"/>
  </r>
  <r>
    <x v="16"/>
  </r>
  <r>
    <x v="12"/>
  </r>
  <r>
    <x v="108"/>
  </r>
  <r>
    <x v="77"/>
  </r>
  <r>
    <x v="87"/>
  </r>
  <r>
    <x v="4"/>
  </r>
  <r>
    <x v="87"/>
  </r>
  <r>
    <x v="0"/>
  </r>
  <r>
    <x v="12"/>
  </r>
  <r>
    <x v="12"/>
  </r>
  <r>
    <x v="31"/>
  </r>
  <r>
    <x v="48"/>
  </r>
  <r>
    <x v="20"/>
  </r>
  <r>
    <x v="45"/>
  </r>
  <r>
    <x v="0"/>
  </r>
  <r>
    <x v="39"/>
  </r>
  <r>
    <x v="14"/>
  </r>
  <r>
    <x v="10"/>
  </r>
  <r>
    <x v="73"/>
  </r>
  <r>
    <x v="42"/>
  </r>
  <r>
    <x v="42"/>
  </r>
  <r>
    <x v="77"/>
  </r>
  <r>
    <x v="77"/>
  </r>
  <r>
    <x v="2"/>
  </r>
  <r>
    <x v="14"/>
  </r>
  <r>
    <x v="53"/>
  </r>
  <r>
    <x v="76"/>
  </r>
  <r>
    <x v="48"/>
  </r>
  <r>
    <x v="81"/>
  </r>
  <r>
    <x v="10"/>
  </r>
  <r>
    <x v="16"/>
  </r>
  <r>
    <x v="16"/>
  </r>
  <r>
    <x v="136"/>
  </r>
  <r>
    <x v="8"/>
  </r>
  <r>
    <x v="8"/>
  </r>
  <r>
    <x v="165"/>
  </r>
  <r>
    <x v="9"/>
  </r>
  <r>
    <x v="9"/>
  </r>
  <r>
    <x v="55"/>
  </r>
  <r>
    <x v="42"/>
  </r>
  <r>
    <x v="42"/>
  </r>
  <r>
    <x v="42"/>
  </r>
  <r>
    <x v="14"/>
  </r>
  <r>
    <x v="9"/>
  </r>
  <r>
    <x v="0"/>
  </r>
  <r>
    <x v="12"/>
  </r>
  <r>
    <x v="9"/>
  </r>
  <r>
    <x v="22"/>
  </r>
  <r>
    <x v="12"/>
  </r>
  <r>
    <x v="0"/>
  </r>
  <r>
    <x v="76"/>
  </r>
  <r>
    <x v="24"/>
  </r>
  <r>
    <x v="16"/>
  </r>
  <r>
    <x v="0"/>
  </r>
  <r>
    <x v="0"/>
  </r>
  <r>
    <x v="130"/>
  </r>
  <r>
    <x v="130"/>
  </r>
  <r>
    <x v="57"/>
  </r>
  <r>
    <x v="14"/>
  </r>
  <r>
    <x v="12"/>
  </r>
  <r>
    <x v="186"/>
  </r>
  <r>
    <x v="14"/>
  </r>
  <r>
    <x v="4"/>
  </r>
  <r>
    <x v="42"/>
  </r>
  <r>
    <x v="131"/>
  </r>
  <r>
    <x v="8"/>
  </r>
  <r>
    <x v="131"/>
  </r>
  <r>
    <x v="7"/>
  </r>
  <r>
    <x v="52"/>
  </r>
  <r>
    <x v="70"/>
  </r>
  <r>
    <x v="70"/>
  </r>
  <r>
    <x v="21"/>
  </r>
  <r>
    <x v="57"/>
  </r>
  <r>
    <x v="57"/>
  </r>
  <r>
    <x v="70"/>
  </r>
  <r>
    <x v="12"/>
  </r>
  <r>
    <x v="70"/>
  </r>
  <r>
    <x v="1"/>
  </r>
  <r>
    <x v="9"/>
  </r>
  <r>
    <x v="9"/>
  </r>
  <r>
    <x v="0"/>
  </r>
  <r>
    <x v="9"/>
  </r>
  <r>
    <x v="21"/>
  </r>
  <r>
    <x v="1"/>
  </r>
  <r>
    <x v="1"/>
  </r>
  <r>
    <x v="9"/>
  </r>
  <r>
    <x v="70"/>
  </r>
  <r>
    <x v="70"/>
  </r>
  <r>
    <x v="10"/>
  </r>
  <r>
    <x v="10"/>
  </r>
  <r>
    <x v="10"/>
  </r>
  <r>
    <x v="10"/>
  </r>
  <r>
    <x v="1"/>
  </r>
  <r>
    <x v="16"/>
  </r>
  <r>
    <x v="28"/>
  </r>
  <r>
    <x v="28"/>
  </r>
  <r>
    <x v="42"/>
  </r>
  <r>
    <x v="42"/>
  </r>
  <r>
    <x v="16"/>
  </r>
  <r>
    <x v="16"/>
  </r>
  <r>
    <x v="16"/>
  </r>
  <r>
    <x v="12"/>
  </r>
  <r>
    <x v="8"/>
  </r>
  <r>
    <x v="16"/>
  </r>
  <r>
    <x v="0"/>
  </r>
  <r>
    <x v="0"/>
  </r>
  <r>
    <x v="28"/>
  </r>
  <r>
    <x v="130"/>
  </r>
  <r>
    <x v="76"/>
  </r>
  <r>
    <x v="71"/>
  </r>
  <r>
    <x v="123"/>
  </r>
  <r>
    <x v="2"/>
  </r>
  <r>
    <x v="7"/>
  </r>
  <r>
    <x v="46"/>
  </r>
  <r>
    <x v="48"/>
  </r>
  <r>
    <x v="16"/>
  </r>
  <r>
    <x v="81"/>
  </r>
  <r>
    <x v="0"/>
  </r>
  <r>
    <x v="12"/>
  </r>
  <r>
    <x v="11"/>
  </r>
  <r>
    <x v="16"/>
  </r>
  <r>
    <x v="16"/>
  </r>
  <r>
    <x v="48"/>
  </r>
  <r>
    <x v="46"/>
  </r>
  <r>
    <x v="42"/>
  </r>
  <r>
    <x v="6"/>
  </r>
  <r>
    <x v="11"/>
  </r>
  <r>
    <x v="11"/>
  </r>
  <r>
    <x v="12"/>
  </r>
  <r>
    <x v="14"/>
  </r>
  <r>
    <x v="28"/>
  </r>
  <r>
    <x v="4"/>
  </r>
  <r>
    <x v="16"/>
  </r>
  <r>
    <x v="16"/>
  </r>
  <r>
    <x v="12"/>
  </r>
  <r>
    <x v="42"/>
  </r>
  <r>
    <x v="42"/>
  </r>
  <r>
    <x v="130"/>
  </r>
  <r>
    <x v="12"/>
  </r>
  <r>
    <x v="28"/>
  </r>
  <r>
    <x v="19"/>
  </r>
  <r>
    <x v="50"/>
  </r>
  <r>
    <x v="50"/>
  </r>
  <r>
    <x v="68"/>
  </r>
  <r>
    <x v="39"/>
  </r>
  <r>
    <x v="48"/>
  </r>
  <r>
    <x v="0"/>
  </r>
  <r>
    <x v="0"/>
  </r>
  <r>
    <x v="4"/>
  </r>
  <r>
    <x v="152"/>
  </r>
  <r>
    <x v="123"/>
  </r>
  <r>
    <x v="48"/>
  </r>
  <r>
    <x v="0"/>
  </r>
  <r>
    <x v="12"/>
  </r>
  <r>
    <x v="14"/>
  </r>
  <r>
    <x v="14"/>
  </r>
  <r>
    <x v="14"/>
  </r>
  <r>
    <x v="14"/>
  </r>
  <r>
    <x v="14"/>
  </r>
  <r>
    <x v="2"/>
  </r>
  <r>
    <x v="0"/>
  </r>
  <r>
    <x v="16"/>
  </r>
  <r>
    <x v="152"/>
  </r>
  <r>
    <x v="0"/>
  </r>
  <r>
    <x v="0"/>
  </r>
  <r>
    <x v="37"/>
  </r>
  <r>
    <x v="12"/>
  </r>
  <r>
    <x v="12"/>
  </r>
  <r>
    <x v="39"/>
  </r>
  <r>
    <x v="39"/>
  </r>
  <r>
    <x v="4"/>
  </r>
  <r>
    <x v="1"/>
  </r>
  <r>
    <x v="10"/>
  </r>
  <r>
    <x v="28"/>
  </r>
  <r>
    <x v="16"/>
  </r>
  <r>
    <x v="52"/>
  </r>
  <r>
    <x v="100"/>
  </r>
  <r>
    <x v="10"/>
  </r>
  <r>
    <x v="28"/>
  </r>
  <r>
    <x v="56"/>
  </r>
  <r>
    <x v="16"/>
  </r>
  <r>
    <x v="4"/>
  </r>
  <r>
    <x v="4"/>
  </r>
  <r>
    <x v="89"/>
  </r>
  <r>
    <x v="12"/>
  </r>
  <r>
    <x v="14"/>
  </r>
  <r>
    <x v="89"/>
  </r>
  <r>
    <x v="22"/>
  </r>
  <r>
    <x v="15"/>
  </r>
  <r>
    <x v="17"/>
  </r>
  <r>
    <x v="15"/>
  </r>
  <r>
    <x v="15"/>
  </r>
  <r>
    <x v="2"/>
  </r>
  <r>
    <x v="64"/>
  </r>
  <r>
    <x v="64"/>
  </r>
  <r>
    <x v="53"/>
  </r>
  <r>
    <x v="53"/>
  </r>
  <r>
    <x v="53"/>
  </r>
  <r>
    <x v="53"/>
  </r>
  <r>
    <x v="53"/>
  </r>
  <r>
    <x v="53"/>
  </r>
  <r>
    <x v="24"/>
  </r>
  <r>
    <x v="37"/>
  </r>
  <r>
    <x v="37"/>
  </r>
  <r>
    <x v="8"/>
  </r>
  <r>
    <x v="8"/>
  </r>
  <r>
    <x v="8"/>
  </r>
  <r>
    <x v="53"/>
  </r>
  <r>
    <x v="53"/>
  </r>
  <r>
    <x v="2"/>
  </r>
  <r>
    <x v="28"/>
  </r>
  <r>
    <x v="28"/>
  </r>
  <r>
    <x v="2"/>
  </r>
  <r>
    <x v="17"/>
  </r>
  <r>
    <x v="17"/>
  </r>
  <r>
    <x v="28"/>
  </r>
  <r>
    <x v="57"/>
  </r>
  <r>
    <x v="57"/>
  </r>
  <r>
    <x v="57"/>
  </r>
  <r>
    <x v="57"/>
  </r>
  <r>
    <x v="1"/>
  </r>
  <r>
    <x v="1"/>
  </r>
  <r>
    <x v="1"/>
  </r>
  <r>
    <x v="12"/>
  </r>
  <r>
    <x v="8"/>
  </r>
  <r>
    <x v="8"/>
  </r>
  <r>
    <x v="8"/>
  </r>
  <r>
    <x v="8"/>
  </r>
  <r>
    <x v="8"/>
  </r>
  <r>
    <x v="8"/>
  </r>
  <r>
    <x v="8"/>
  </r>
  <r>
    <x v="8"/>
  </r>
  <r>
    <x v="138"/>
  </r>
  <r>
    <x v="0"/>
  </r>
  <r>
    <x v="22"/>
  </r>
  <r>
    <x v="8"/>
  </r>
  <r>
    <x v="28"/>
  </r>
  <r>
    <x v="28"/>
  </r>
  <r>
    <x v="28"/>
  </r>
  <r>
    <x v="28"/>
  </r>
  <r>
    <x v="28"/>
  </r>
  <r>
    <x v="0"/>
  </r>
  <r>
    <x v="0"/>
  </r>
  <r>
    <x v="42"/>
  </r>
  <r>
    <x v="42"/>
  </r>
  <r>
    <x v="55"/>
  </r>
  <r>
    <x v="68"/>
  </r>
  <r>
    <x v="16"/>
  </r>
  <r>
    <x v="2"/>
  </r>
  <r>
    <x v="28"/>
  </r>
  <r>
    <x v="28"/>
  </r>
  <r>
    <x v="28"/>
  </r>
  <r>
    <x v="28"/>
  </r>
  <r>
    <x v="28"/>
  </r>
  <r>
    <x v="0"/>
  </r>
  <r>
    <x v="0"/>
  </r>
  <r>
    <x v="12"/>
  </r>
  <r>
    <x v="8"/>
  </r>
  <r>
    <x v="28"/>
  </r>
  <r>
    <x v="22"/>
  </r>
  <r>
    <x v="48"/>
  </r>
  <r>
    <x v="72"/>
  </r>
  <r>
    <x v="0"/>
  </r>
  <r>
    <x v="12"/>
  </r>
  <r>
    <x v="16"/>
  </r>
  <r>
    <x v="115"/>
  </r>
  <r>
    <x v="16"/>
  </r>
  <r>
    <x v="28"/>
  </r>
  <r>
    <x v="28"/>
  </r>
  <r>
    <x v="16"/>
  </r>
  <r>
    <x v="16"/>
  </r>
  <r>
    <x v="16"/>
  </r>
  <r>
    <x v="6"/>
  </r>
  <r>
    <x v="130"/>
  </r>
  <r>
    <x v="131"/>
  </r>
  <r>
    <x v="1"/>
  </r>
  <r>
    <x v="1"/>
  </r>
  <r>
    <x v="2"/>
  </r>
  <r>
    <x v="0"/>
  </r>
  <r>
    <x v="0"/>
  </r>
  <r>
    <x v="0"/>
  </r>
  <r>
    <x v="23"/>
  </r>
  <r>
    <x v="12"/>
  </r>
  <r>
    <x v="2"/>
  </r>
  <r>
    <x v="12"/>
  </r>
  <r>
    <x v="12"/>
  </r>
  <r>
    <x v="12"/>
  </r>
  <r>
    <x v="0"/>
  </r>
  <r>
    <x v="115"/>
  </r>
  <r>
    <x v="42"/>
  </r>
  <r>
    <x v="42"/>
  </r>
  <r>
    <x v="42"/>
  </r>
  <r>
    <x v="42"/>
  </r>
  <r>
    <x v="42"/>
  </r>
  <r>
    <x v="17"/>
  </r>
  <r>
    <x v="16"/>
  </r>
  <r>
    <x v="0"/>
  </r>
  <r>
    <x v="0"/>
  </r>
  <r>
    <x v="16"/>
  </r>
  <r>
    <x v="57"/>
  </r>
  <r>
    <x v="0"/>
  </r>
  <r>
    <x v="8"/>
  </r>
  <r>
    <x v="8"/>
  </r>
  <r>
    <x v="8"/>
  </r>
  <r>
    <x v="8"/>
  </r>
  <r>
    <x v="8"/>
  </r>
  <r>
    <x v="28"/>
  </r>
  <r>
    <x v="11"/>
  </r>
  <r>
    <x v="57"/>
  </r>
  <r>
    <x v="14"/>
  </r>
  <r>
    <x v="4"/>
  </r>
  <r>
    <x v="4"/>
  </r>
  <r>
    <x v="0"/>
  </r>
  <r>
    <x v="0"/>
  </r>
  <r>
    <x v="0"/>
  </r>
  <r>
    <x v="11"/>
  </r>
  <r>
    <x v="0"/>
  </r>
  <r>
    <x v="0"/>
  </r>
  <r>
    <x v="69"/>
  </r>
  <r>
    <x v="16"/>
  </r>
  <r>
    <x v="28"/>
  </r>
  <r>
    <x v="28"/>
  </r>
  <r>
    <x v="28"/>
  </r>
  <r>
    <x v="28"/>
  </r>
  <r>
    <x v="28"/>
  </r>
  <r>
    <x v="28"/>
  </r>
  <r>
    <x v="10"/>
  </r>
  <r>
    <x v="9"/>
  </r>
  <r>
    <x v="21"/>
  </r>
  <r>
    <x v="16"/>
  </r>
  <r>
    <x v="57"/>
  </r>
  <r>
    <x v="12"/>
  </r>
  <r>
    <x v="115"/>
  </r>
  <r>
    <x v="39"/>
  </r>
  <r>
    <x v="70"/>
  </r>
  <r>
    <x v="70"/>
  </r>
  <r>
    <x v="42"/>
  </r>
  <r>
    <x v="0"/>
  </r>
  <r>
    <x v="64"/>
  </r>
  <r>
    <x v="4"/>
  </r>
  <r>
    <x v="4"/>
  </r>
  <r>
    <x v="4"/>
  </r>
  <r>
    <x v="4"/>
  </r>
  <r>
    <x v="16"/>
  </r>
  <r>
    <x v="28"/>
  </r>
  <r>
    <x v="28"/>
  </r>
  <r>
    <x v="4"/>
  </r>
  <r>
    <x v="52"/>
  </r>
  <r>
    <x v="14"/>
  </r>
  <r>
    <x v="43"/>
  </r>
  <r>
    <x v="43"/>
  </r>
  <r>
    <x v="17"/>
  </r>
  <r>
    <x v="16"/>
  </r>
  <r>
    <x v="16"/>
  </r>
  <r>
    <x v="48"/>
  </r>
  <r>
    <x v="4"/>
  </r>
  <r>
    <x v="2"/>
  </r>
  <r>
    <x v="45"/>
  </r>
  <r>
    <x v="0"/>
  </r>
  <r>
    <x v="0"/>
  </r>
  <r>
    <x v="19"/>
  </r>
  <r>
    <x v="0"/>
  </r>
  <r>
    <x v="192"/>
  </r>
  <r>
    <x v="46"/>
  </r>
  <r>
    <x v="18"/>
  </r>
  <r>
    <x v="18"/>
  </r>
  <r>
    <x v="52"/>
  </r>
  <r>
    <x v="115"/>
  </r>
  <r>
    <x v="12"/>
  </r>
  <r>
    <x v="0"/>
  </r>
  <r>
    <x v="0"/>
  </r>
  <r>
    <x v="0"/>
  </r>
  <r>
    <x v="0"/>
  </r>
  <r>
    <x v="0"/>
  </r>
  <r>
    <x v="0"/>
  </r>
  <r>
    <x v="0"/>
  </r>
  <r>
    <x v="12"/>
  </r>
  <r>
    <x v="16"/>
  </r>
  <r>
    <x v="115"/>
  </r>
  <r>
    <x v="16"/>
  </r>
  <r>
    <x v="16"/>
  </r>
  <r>
    <x v="16"/>
  </r>
  <r>
    <x v="42"/>
  </r>
  <r>
    <x v="1"/>
  </r>
  <r>
    <x v="1"/>
  </r>
  <r>
    <x v="1"/>
  </r>
  <r>
    <x v="115"/>
  </r>
  <r>
    <x v="115"/>
  </r>
  <r>
    <x v="115"/>
  </r>
  <r>
    <x v="16"/>
  </r>
  <r>
    <x v="9"/>
  </r>
  <r>
    <x v="7"/>
  </r>
  <r>
    <x v="162"/>
  </r>
  <r>
    <x v="12"/>
  </r>
  <r>
    <x v="12"/>
  </r>
  <r>
    <x v="16"/>
  </r>
  <r>
    <x v="24"/>
  </r>
  <r>
    <x v="19"/>
  </r>
  <r>
    <x v="12"/>
  </r>
  <r>
    <x v="266"/>
  </r>
  <r>
    <x v="266"/>
  </r>
  <r>
    <x v="16"/>
  </r>
  <r>
    <x v="28"/>
  </r>
  <r>
    <x v="28"/>
  </r>
  <r>
    <x v="28"/>
  </r>
  <r>
    <x v="12"/>
  </r>
  <r>
    <x v="7"/>
  </r>
  <r>
    <x v="8"/>
  </r>
  <r>
    <x v="8"/>
  </r>
  <r>
    <x v="8"/>
  </r>
  <r>
    <x v="8"/>
  </r>
  <r>
    <x v="4"/>
  </r>
  <r>
    <x v="1"/>
  </r>
  <r>
    <x v="12"/>
  </r>
  <r>
    <x v="25"/>
  </r>
  <r>
    <x v="45"/>
  </r>
  <r>
    <x v="12"/>
  </r>
  <r>
    <x v="37"/>
  </r>
  <r>
    <x v="1"/>
  </r>
  <r>
    <x v="4"/>
  </r>
  <r>
    <x v="4"/>
  </r>
  <r>
    <x v="52"/>
  </r>
  <r>
    <x v="9"/>
  </r>
  <r>
    <x v="16"/>
  </r>
  <r>
    <x v="57"/>
  </r>
  <r>
    <x v="4"/>
  </r>
  <r>
    <x v="10"/>
  </r>
  <r>
    <x v="25"/>
  </r>
  <r>
    <x v="1"/>
  </r>
  <r>
    <x v="14"/>
  </r>
  <r>
    <x v="14"/>
  </r>
  <r>
    <x v="14"/>
  </r>
  <r>
    <x v="14"/>
  </r>
  <r>
    <x v="14"/>
  </r>
  <r>
    <x v="86"/>
  </r>
  <r>
    <x v="19"/>
  </r>
  <r>
    <x v="12"/>
  </r>
  <r>
    <x v="115"/>
  </r>
  <r>
    <x v="0"/>
  </r>
  <r>
    <x v="12"/>
  </r>
  <r>
    <x v="12"/>
  </r>
  <r>
    <x v="14"/>
  </r>
  <r>
    <x v="4"/>
  </r>
  <r>
    <x v="4"/>
  </r>
  <r>
    <x v="70"/>
  </r>
  <r>
    <x v="12"/>
  </r>
  <r>
    <x v="70"/>
  </r>
  <r>
    <x v="17"/>
  </r>
  <r>
    <x v="28"/>
  </r>
  <r>
    <x v="71"/>
  </r>
  <r>
    <x v="18"/>
  </r>
  <r>
    <x v="70"/>
  </r>
  <r>
    <x v="70"/>
  </r>
  <r>
    <x v="0"/>
  </r>
  <r>
    <x v="12"/>
  </r>
  <r>
    <x v="14"/>
  </r>
  <r>
    <x v="1"/>
  </r>
  <r>
    <x v="52"/>
  </r>
  <r>
    <x v="43"/>
  </r>
  <r>
    <x v="10"/>
  </r>
  <r>
    <x v="115"/>
  </r>
  <r>
    <x v="28"/>
  </r>
  <r>
    <x v="34"/>
  </r>
  <r>
    <x v="29"/>
  </r>
  <r>
    <x v="39"/>
  </r>
  <r>
    <x v="21"/>
  </r>
  <r>
    <x v="19"/>
  </r>
  <r>
    <x v="18"/>
  </r>
  <r>
    <x v="18"/>
  </r>
  <r>
    <x v="18"/>
  </r>
  <r>
    <x v="9"/>
  </r>
  <r>
    <x v="9"/>
  </r>
  <r>
    <x v="10"/>
  </r>
  <r>
    <x v="4"/>
  </r>
  <r>
    <x v="45"/>
  </r>
  <r>
    <x v="2"/>
  </r>
  <r>
    <x v="14"/>
  </r>
  <r>
    <x v="27"/>
  </r>
  <r>
    <x v="18"/>
  </r>
  <r>
    <x v="25"/>
  </r>
  <r>
    <x v="7"/>
  </r>
  <r>
    <x v="64"/>
  </r>
  <r>
    <x v="4"/>
  </r>
  <r>
    <x v="9"/>
  </r>
  <r>
    <x v="12"/>
  </r>
  <r>
    <x v="11"/>
  </r>
  <r>
    <x v="11"/>
  </r>
  <r>
    <x v="11"/>
  </r>
  <r>
    <x v="11"/>
  </r>
  <r>
    <x v="55"/>
  </r>
  <r>
    <x v="10"/>
  </r>
  <r>
    <x v="48"/>
  </r>
  <r>
    <x v="76"/>
  </r>
  <r>
    <x v="12"/>
  </r>
  <r>
    <x v="12"/>
  </r>
  <r>
    <x v="17"/>
  </r>
  <r>
    <x v="4"/>
  </r>
  <r>
    <x v="12"/>
  </r>
  <r>
    <x v="4"/>
  </r>
  <r>
    <x v="6"/>
  </r>
  <r>
    <x v="43"/>
  </r>
  <r>
    <x v="4"/>
  </r>
  <r>
    <x v="19"/>
  </r>
  <r>
    <x v="12"/>
  </r>
  <r>
    <x v="12"/>
  </r>
  <r>
    <x v="10"/>
  </r>
  <r>
    <x v="12"/>
  </r>
  <r>
    <x v="4"/>
  </r>
  <r>
    <x v="12"/>
  </r>
  <r>
    <x v="12"/>
  </r>
  <r>
    <x v="10"/>
  </r>
  <r>
    <x v="19"/>
  </r>
  <r>
    <x v="4"/>
  </r>
  <r>
    <x v="31"/>
  </r>
  <r>
    <x v="4"/>
  </r>
  <r>
    <x v="12"/>
  </r>
  <r>
    <x v="40"/>
  </r>
  <r>
    <x v="0"/>
  </r>
  <r>
    <x v="138"/>
  </r>
  <r>
    <x v="30"/>
  </r>
  <r>
    <x v="11"/>
  </r>
  <r>
    <x v="53"/>
  </r>
  <r>
    <x v="10"/>
  </r>
  <r>
    <x v="4"/>
  </r>
  <r>
    <x v="0"/>
  </r>
  <r>
    <x v="0"/>
  </r>
  <r>
    <x v="12"/>
  </r>
  <r>
    <x v="63"/>
  </r>
  <r>
    <x v="4"/>
  </r>
  <r>
    <x v="162"/>
  </r>
  <r>
    <x v="162"/>
  </r>
  <r>
    <x v="19"/>
  </r>
  <r>
    <x v="40"/>
  </r>
  <r>
    <x v="55"/>
  </r>
  <r>
    <x v="162"/>
  </r>
  <r>
    <x v="12"/>
  </r>
  <r>
    <x v="12"/>
  </r>
  <r>
    <x v="8"/>
  </r>
  <r>
    <x v="10"/>
  </r>
  <r>
    <x v="12"/>
  </r>
  <r>
    <x v="12"/>
  </r>
  <r>
    <x v="12"/>
  </r>
  <r>
    <x v="24"/>
  </r>
  <r>
    <x v="24"/>
  </r>
  <r>
    <x v="0"/>
  </r>
  <r>
    <x v="12"/>
  </r>
  <r>
    <x v="12"/>
  </r>
  <r>
    <x v="16"/>
  </r>
  <r>
    <x v="12"/>
  </r>
  <r>
    <x v="12"/>
  </r>
  <r>
    <x v="4"/>
  </r>
  <r>
    <x v="10"/>
  </r>
  <r>
    <x v="55"/>
  </r>
  <r>
    <x v="2"/>
  </r>
  <r>
    <x v="14"/>
  </r>
  <r>
    <x v="1"/>
  </r>
  <r>
    <x v="1"/>
  </r>
  <r>
    <x v="1"/>
  </r>
  <r>
    <x v="1"/>
  </r>
  <r>
    <x v="12"/>
  </r>
  <r>
    <x v="12"/>
  </r>
  <r>
    <x v="115"/>
  </r>
  <r>
    <x v="115"/>
  </r>
  <r>
    <x v="12"/>
  </r>
  <r>
    <x v="30"/>
  </r>
  <r>
    <x v="33"/>
  </r>
  <r>
    <x v="14"/>
  </r>
  <r>
    <x v="4"/>
  </r>
  <r>
    <x v="12"/>
  </r>
  <r>
    <x v="12"/>
  </r>
  <r>
    <x v="12"/>
  </r>
  <r>
    <x v="14"/>
  </r>
  <r>
    <x v="39"/>
  </r>
  <r>
    <x v="16"/>
  </r>
  <r>
    <x v="1"/>
  </r>
  <r>
    <x v="70"/>
  </r>
  <r>
    <x v="16"/>
  </r>
  <r>
    <x v="4"/>
  </r>
  <r>
    <x v="33"/>
  </r>
  <r>
    <x v="21"/>
  </r>
  <r>
    <x v="21"/>
  </r>
  <r>
    <x v="8"/>
  </r>
  <r>
    <x v="8"/>
  </r>
  <r>
    <x v="52"/>
  </r>
  <r>
    <x v="4"/>
  </r>
  <r>
    <x v="39"/>
  </r>
  <r>
    <x v="138"/>
  </r>
  <r>
    <x v="14"/>
  </r>
  <r>
    <x v="10"/>
  </r>
  <r>
    <x v="4"/>
  </r>
  <r>
    <x v="28"/>
  </r>
  <r>
    <x v="10"/>
  </r>
  <r>
    <x v="45"/>
  </r>
  <r>
    <x v="21"/>
  </r>
  <r>
    <x v="11"/>
  </r>
  <r>
    <x v="1"/>
  </r>
  <r>
    <x v="11"/>
  </r>
  <r>
    <x v="22"/>
  </r>
  <r>
    <x v="11"/>
  </r>
  <r>
    <x v="16"/>
  </r>
  <r>
    <x v="16"/>
  </r>
  <r>
    <x v="16"/>
  </r>
  <r>
    <x v="28"/>
  </r>
  <r>
    <x v="24"/>
  </r>
  <r>
    <x v="4"/>
  </r>
  <r>
    <x v="1"/>
  </r>
  <r>
    <x v="10"/>
  </r>
  <r>
    <x v="115"/>
  </r>
  <r>
    <x v="115"/>
  </r>
  <r>
    <x v="115"/>
  </r>
  <r>
    <x v="39"/>
  </r>
  <r>
    <x v="11"/>
  </r>
  <r>
    <x v="11"/>
  </r>
  <r>
    <x v="11"/>
  </r>
  <r>
    <x v="48"/>
  </r>
  <r>
    <x v="11"/>
  </r>
  <r>
    <x v="4"/>
  </r>
  <r>
    <x v="11"/>
  </r>
  <r>
    <x v="12"/>
  </r>
  <r>
    <x v="11"/>
  </r>
  <r>
    <x v="12"/>
  </r>
  <r>
    <x v="12"/>
  </r>
  <r>
    <x v="7"/>
  </r>
  <r>
    <x v="12"/>
  </r>
  <r>
    <x v="10"/>
  </r>
  <r>
    <x v="2"/>
  </r>
  <r>
    <x v="16"/>
  </r>
  <r>
    <x v="16"/>
  </r>
  <r>
    <x v="48"/>
  </r>
  <r>
    <x v="16"/>
  </r>
  <r>
    <x v="10"/>
  </r>
  <r>
    <x v="24"/>
  </r>
  <r>
    <x v="24"/>
  </r>
  <r>
    <x v="24"/>
  </r>
  <r>
    <x v="16"/>
  </r>
  <r>
    <x v="17"/>
  </r>
  <r>
    <x v="45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48"/>
  </r>
  <r>
    <x v="11"/>
  </r>
  <r>
    <x v="11"/>
  </r>
  <r>
    <x v="11"/>
  </r>
  <r>
    <x v="24"/>
  </r>
  <r>
    <x v="115"/>
  </r>
  <r>
    <x v="10"/>
  </r>
  <r>
    <x v="10"/>
  </r>
  <r>
    <x v="28"/>
  </r>
  <r>
    <x v="28"/>
  </r>
  <r>
    <x v="42"/>
  </r>
  <r>
    <x v="70"/>
  </r>
  <r>
    <x v="70"/>
  </r>
  <r>
    <x v="37"/>
  </r>
  <r>
    <x v="19"/>
  </r>
  <r>
    <x v="28"/>
  </r>
  <r>
    <x v="4"/>
  </r>
  <r>
    <x v="40"/>
  </r>
  <r>
    <x v="40"/>
  </r>
  <r>
    <x v="40"/>
  </r>
  <r>
    <x v="48"/>
  </r>
  <r>
    <x v="40"/>
  </r>
  <r>
    <x v="8"/>
  </r>
  <r>
    <x v="8"/>
  </r>
  <r>
    <x v="0"/>
  </r>
  <r>
    <x v="0"/>
  </r>
  <r>
    <x v="0"/>
  </r>
  <r>
    <x v="0"/>
  </r>
  <r>
    <x v="0"/>
  </r>
  <r>
    <x v="0"/>
  </r>
  <r>
    <x v="87"/>
  </r>
  <r>
    <x v="24"/>
  </r>
  <r>
    <x v="10"/>
  </r>
  <r>
    <x v="52"/>
  </r>
  <r>
    <x v="7"/>
  </r>
  <r>
    <x v="152"/>
  </r>
  <r>
    <x v="7"/>
  </r>
  <r>
    <x v="12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12"/>
  </r>
  <r>
    <x v="4"/>
  </r>
  <r>
    <x v="10"/>
  </r>
  <r>
    <x v="10"/>
  </r>
  <r>
    <x v="1"/>
  </r>
  <r>
    <x v="0"/>
  </r>
  <r>
    <x v="0"/>
  </r>
  <r>
    <x v="159"/>
  </r>
  <r>
    <x v="9"/>
  </r>
  <r>
    <x v="16"/>
  </r>
  <r>
    <x v="7"/>
  </r>
  <r>
    <x v="7"/>
  </r>
  <r>
    <x v="17"/>
  </r>
  <r>
    <x v="0"/>
  </r>
  <r>
    <x v="0"/>
  </r>
  <r>
    <x v="22"/>
  </r>
  <r>
    <x v="7"/>
  </r>
  <r>
    <x v="8"/>
  </r>
  <r>
    <x v="14"/>
  </r>
  <r>
    <x v="1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0"/>
  </r>
  <r>
    <x v="12"/>
  </r>
  <r>
    <x v="39"/>
  </r>
  <r>
    <x v="24"/>
  </r>
  <r>
    <x v="48"/>
  </r>
  <r>
    <x v="24"/>
  </r>
  <r>
    <x v="16"/>
  </r>
  <r>
    <x v="18"/>
  </r>
  <r>
    <x v="1"/>
  </r>
  <r>
    <x v="8"/>
  </r>
  <r>
    <x v="115"/>
  </r>
  <r>
    <x v="53"/>
  </r>
  <r>
    <x v="39"/>
  </r>
  <r>
    <x v="39"/>
  </r>
  <r>
    <x v="12"/>
  </r>
  <r>
    <x v="0"/>
  </r>
  <r>
    <x v="14"/>
  </r>
  <r>
    <x v="0"/>
  </r>
  <r>
    <x v="9"/>
  </r>
  <r>
    <x v="0"/>
  </r>
  <r>
    <x v="10"/>
  </r>
  <r>
    <x v="14"/>
  </r>
  <r>
    <x v="7"/>
  </r>
  <r>
    <x v="18"/>
  </r>
  <r>
    <x v="143"/>
  </r>
  <r>
    <x v="143"/>
  </r>
  <r>
    <x v="17"/>
  </r>
  <r>
    <x v="9"/>
  </r>
  <r>
    <x v="14"/>
  </r>
  <r>
    <x v="9"/>
  </r>
  <r>
    <x v="9"/>
  </r>
  <r>
    <x v="9"/>
  </r>
  <r>
    <x v="9"/>
  </r>
  <r>
    <x v="9"/>
  </r>
  <r>
    <x v="10"/>
  </r>
  <r>
    <x v="57"/>
  </r>
  <r>
    <x v="40"/>
  </r>
  <r>
    <x v="1"/>
  </r>
  <r>
    <x v="102"/>
  </r>
  <r>
    <x v="0"/>
  </r>
  <r>
    <x v="7"/>
  </r>
  <r>
    <x v="10"/>
  </r>
  <r>
    <x v="162"/>
  </r>
  <r>
    <x v="4"/>
  </r>
  <r>
    <x v="14"/>
  </r>
  <r>
    <x v="55"/>
  </r>
  <r>
    <x v="12"/>
  </r>
  <r>
    <x v="12"/>
  </r>
  <r>
    <x v="12"/>
  </r>
  <r>
    <x v="141"/>
  </r>
  <r>
    <x v="24"/>
  </r>
  <r>
    <x v="87"/>
  </r>
  <r>
    <x v="162"/>
  </r>
  <r>
    <x v="162"/>
  </r>
  <r>
    <x v="162"/>
  </r>
  <r>
    <x v="59"/>
  </r>
  <r>
    <x v="42"/>
  </r>
  <r>
    <x v="12"/>
  </r>
  <r>
    <x v="16"/>
  </r>
  <r>
    <x v="16"/>
  </r>
  <r>
    <x v="16"/>
  </r>
  <r>
    <x v="11"/>
  </r>
  <r>
    <x v="115"/>
  </r>
  <r>
    <x v="25"/>
  </r>
  <r>
    <x v="22"/>
  </r>
  <r>
    <x v="4"/>
  </r>
  <r>
    <x v="9"/>
  </r>
  <r>
    <x v="0"/>
  </r>
  <r>
    <x v="12"/>
  </r>
  <r>
    <x v="24"/>
  </r>
  <r>
    <x v="42"/>
  </r>
  <r>
    <x v="52"/>
  </r>
  <r>
    <x v="16"/>
  </r>
  <r>
    <x v="9"/>
  </r>
  <r>
    <x v="9"/>
  </r>
  <r>
    <x v="9"/>
  </r>
  <r>
    <x v="9"/>
  </r>
  <r>
    <x v="28"/>
  </r>
  <r>
    <x v="9"/>
  </r>
  <r>
    <x v="31"/>
  </r>
  <r>
    <x v="0"/>
  </r>
  <r>
    <x v="9"/>
  </r>
  <r>
    <x v="9"/>
  </r>
  <r>
    <x v="9"/>
  </r>
  <r>
    <x v="9"/>
  </r>
  <r>
    <x v="24"/>
  </r>
  <r>
    <x v="39"/>
  </r>
  <r>
    <x v="0"/>
  </r>
  <r>
    <x v="40"/>
  </r>
  <r>
    <x v="1"/>
  </r>
  <r>
    <x v="12"/>
  </r>
  <r>
    <x v="56"/>
  </r>
  <r>
    <x v="16"/>
  </r>
  <r>
    <x v="12"/>
  </r>
  <r>
    <x v="4"/>
  </r>
  <r>
    <x v="11"/>
  </r>
  <r>
    <x v="12"/>
  </r>
  <r>
    <x v="4"/>
  </r>
  <r>
    <x v="56"/>
  </r>
  <r>
    <x v="21"/>
  </r>
  <r>
    <x v="21"/>
  </r>
  <r>
    <x v="21"/>
  </r>
  <r>
    <x v="1"/>
  </r>
  <r>
    <x v="56"/>
  </r>
  <r>
    <x v="12"/>
  </r>
  <r>
    <x v="12"/>
  </r>
  <r>
    <x v="7"/>
  </r>
  <r>
    <x v="10"/>
  </r>
  <r>
    <x v="56"/>
  </r>
  <r>
    <x v="10"/>
  </r>
  <r>
    <x v="22"/>
  </r>
  <r>
    <x v="115"/>
  </r>
  <r>
    <x v="17"/>
  </r>
  <r>
    <x v="7"/>
  </r>
  <r>
    <x v="0"/>
  </r>
  <r>
    <x v="0"/>
  </r>
  <r>
    <x v="4"/>
  </r>
  <r>
    <x v="55"/>
  </r>
  <r>
    <x v="2"/>
  </r>
  <r>
    <x v="12"/>
  </r>
  <r>
    <x v="12"/>
  </r>
  <r>
    <x v="4"/>
  </r>
  <r>
    <x v="16"/>
  </r>
  <r>
    <x v="16"/>
  </r>
  <r>
    <x v="4"/>
  </r>
  <r>
    <x v="45"/>
  </r>
  <r>
    <x v="4"/>
  </r>
  <r>
    <x v="11"/>
  </r>
  <r>
    <x v="4"/>
  </r>
  <r>
    <x v="25"/>
  </r>
  <r>
    <x v="15"/>
  </r>
  <r>
    <x v="14"/>
  </r>
  <r>
    <x v="14"/>
  </r>
  <r>
    <x v="115"/>
  </r>
  <r>
    <x v="115"/>
  </r>
  <r>
    <x v="4"/>
  </r>
  <r>
    <x v="7"/>
  </r>
  <r>
    <x v="1"/>
  </r>
  <r>
    <x v="102"/>
  </r>
  <r>
    <x v="17"/>
  </r>
  <r>
    <x v="29"/>
  </r>
  <r>
    <x v="12"/>
  </r>
  <r>
    <x v="0"/>
  </r>
  <r>
    <x v="9"/>
  </r>
  <r>
    <x v="22"/>
  </r>
  <r>
    <x v="31"/>
  </r>
  <r>
    <x v="2"/>
  </r>
  <r>
    <x v="2"/>
  </r>
  <r>
    <x v="46"/>
  </r>
  <r>
    <x v="28"/>
  </r>
  <r>
    <x v="8"/>
  </r>
  <r>
    <x v="12"/>
  </r>
  <r>
    <x v="9"/>
  </r>
  <r>
    <x v="8"/>
  </r>
  <r>
    <x v="23"/>
  </r>
  <r>
    <x v="16"/>
  </r>
  <r>
    <x v="4"/>
  </r>
  <r>
    <x v="2"/>
  </r>
  <r>
    <x v="22"/>
  </r>
  <r>
    <x v="11"/>
  </r>
  <r>
    <x v="12"/>
  </r>
  <r>
    <x v="46"/>
  </r>
  <r>
    <x v="9"/>
  </r>
  <r>
    <x v="12"/>
  </r>
  <r>
    <x v="12"/>
  </r>
  <r>
    <x v="15"/>
  </r>
  <r>
    <x v="12"/>
  </r>
  <r>
    <x v="17"/>
  </r>
  <r>
    <x v="11"/>
  </r>
  <r>
    <x v="22"/>
  </r>
  <r>
    <x v="53"/>
  </r>
  <r>
    <x v="4"/>
  </r>
  <r>
    <x v="33"/>
  </r>
  <r>
    <x v="10"/>
  </r>
  <r>
    <x v="16"/>
  </r>
  <r>
    <x v="8"/>
  </r>
  <r>
    <x v="11"/>
  </r>
  <r>
    <x v="12"/>
  </r>
  <r>
    <x v="11"/>
  </r>
  <r>
    <x v="11"/>
  </r>
  <r>
    <x v="37"/>
  </r>
  <r>
    <x v="14"/>
  </r>
  <r>
    <x v="14"/>
  </r>
  <r>
    <x v="14"/>
  </r>
  <r>
    <x v="45"/>
  </r>
  <r>
    <x v="0"/>
  </r>
  <r>
    <x v="0"/>
  </r>
  <r>
    <x v="4"/>
  </r>
  <r>
    <x v="7"/>
  </r>
  <r>
    <x v="0"/>
  </r>
  <r>
    <x v="4"/>
  </r>
  <r>
    <x v="70"/>
  </r>
  <r>
    <x v="4"/>
  </r>
  <r>
    <x v="12"/>
  </r>
  <r>
    <x v="4"/>
  </r>
  <r>
    <x v="4"/>
  </r>
  <r>
    <x v="4"/>
  </r>
  <r>
    <x v="45"/>
  </r>
  <r>
    <x v="48"/>
  </r>
  <r>
    <x v="9"/>
  </r>
  <r>
    <x v="14"/>
  </r>
  <r>
    <x v="10"/>
  </r>
  <r>
    <x v="17"/>
  </r>
  <r>
    <x v="12"/>
  </r>
  <r>
    <x v="12"/>
  </r>
  <r>
    <x v="16"/>
  </r>
  <r>
    <x v="19"/>
  </r>
  <r>
    <x v="4"/>
  </r>
  <r>
    <x v="45"/>
  </r>
  <r>
    <x v="57"/>
  </r>
  <r>
    <x v="24"/>
  </r>
  <r>
    <x v="28"/>
  </r>
  <r>
    <x v="0"/>
  </r>
  <r>
    <x v="11"/>
  </r>
  <r>
    <x v="263"/>
  </r>
  <r>
    <x v="263"/>
  </r>
  <r>
    <x v="14"/>
  </r>
  <r>
    <x v="12"/>
  </r>
  <r>
    <x v="4"/>
  </r>
  <r>
    <x v="21"/>
  </r>
  <r>
    <x v="14"/>
  </r>
  <r>
    <x v="12"/>
  </r>
  <r>
    <x v="29"/>
  </r>
  <r>
    <x v="24"/>
  </r>
  <r>
    <x v="22"/>
  </r>
  <r>
    <x v="22"/>
  </r>
  <r>
    <x v="12"/>
  </r>
  <r>
    <x v="4"/>
  </r>
  <r>
    <x v="12"/>
  </r>
  <r>
    <x v="12"/>
  </r>
  <r>
    <x v="14"/>
  </r>
  <r>
    <x v="4"/>
  </r>
  <r>
    <x v="52"/>
  </r>
  <r>
    <x v="24"/>
  </r>
  <r>
    <x v="12"/>
  </r>
  <r>
    <x v="4"/>
  </r>
  <r>
    <x v="42"/>
  </r>
  <r>
    <x v="6"/>
  </r>
  <r>
    <x v="14"/>
  </r>
  <r>
    <x v="159"/>
  </r>
  <r>
    <x v="14"/>
  </r>
  <r>
    <x v="4"/>
  </r>
  <r>
    <x v="25"/>
  </r>
  <r>
    <x v="2"/>
  </r>
  <r>
    <x v="27"/>
  </r>
  <r>
    <x v="162"/>
  </r>
  <r>
    <x v="4"/>
  </r>
  <r>
    <x v="12"/>
  </r>
  <r>
    <x v="33"/>
  </r>
  <r>
    <x v="4"/>
  </r>
  <r>
    <x v="0"/>
  </r>
  <r>
    <x v="14"/>
  </r>
  <r>
    <x v="14"/>
  </r>
  <r>
    <x v="81"/>
  </r>
  <r>
    <x v="11"/>
  </r>
  <r>
    <x v="11"/>
  </r>
  <r>
    <x v="11"/>
  </r>
  <r>
    <x v="11"/>
  </r>
  <r>
    <x v="11"/>
  </r>
  <r>
    <x v="12"/>
  </r>
  <r>
    <x v="12"/>
  </r>
  <r>
    <x v="4"/>
  </r>
  <r>
    <x v="4"/>
  </r>
  <r>
    <x v="4"/>
  </r>
  <r>
    <x v="201"/>
  </r>
  <r>
    <x v="1"/>
  </r>
  <r>
    <x v="12"/>
  </r>
  <r>
    <x v="4"/>
  </r>
  <r>
    <x v="22"/>
  </r>
  <r>
    <x v="22"/>
  </r>
  <r>
    <x v="4"/>
  </r>
  <r>
    <x v="130"/>
  </r>
  <r>
    <x v="12"/>
  </r>
  <r>
    <x v="22"/>
  </r>
  <r>
    <x v="22"/>
  </r>
  <r>
    <x v="22"/>
  </r>
  <r>
    <x v="9"/>
  </r>
  <r>
    <x v="22"/>
  </r>
  <r>
    <x v="22"/>
  </r>
  <r>
    <x v="10"/>
  </r>
  <r>
    <x v="9"/>
  </r>
  <r>
    <x v="34"/>
  </r>
  <r>
    <x v="34"/>
  </r>
  <r>
    <x v="34"/>
  </r>
  <r>
    <x v="9"/>
  </r>
  <r>
    <x v="33"/>
  </r>
  <r>
    <x v="33"/>
  </r>
  <r>
    <x v="33"/>
  </r>
  <r>
    <x v="33"/>
  </r>
  <r>
    <x v="10"/>
  </r>
  <r>
    <x v="9"/>
  </r>
  <r>
    <x v="20"/>
  </r>
  <r>
    <x v="9"/>
  </r>
  <r>
    <x v="20"/>
  </r>
  <r>
    <x v="31"/>
  </r>
  <r>
    <x v="37"/>
  </r>
  <r>
    <x v="28"/>
  </r>
  <r>
    <x v="28"/>
  </r>
  <r>
    <x v="28"/>
  </r>
  <r>
    <x v="28"/>
  </r>
  <r>
    <x v="28"/>
  </r>
  <r>
    <x v="28"/>
  </r>
  <r>
    <x v="12"/>
  </r>
  <r>
    <x v="4"/>
  </r>
  <r>
    <x v="4"/>
  </r>
  <r>
    <x v="4"/>
  </r>
  <r>
    <x v="4"/>
  </r>
  <r>
    <x v="4"/>
  </r>
  <r>
    <x v="9"/>
  </r>
  <r>
    <x v="12"/>
  </r>
  <r>
    <x v="8"/>
  </r>
  <r>
    <x v="42"/>
  </r>
  <r>
    <x v="28"/>
  </r>
  <r>
    <x v="28"/>
  </r>
  <r>
    <x v="4"/>
  </r>
  <r>
    <x v="1"/>
  </r>
  <r>
    <x v="12"/>
  </r>
  <r>
    <x v="17"/>
  </r>
  <r>
    <x v="21"/>
  </r>
  <r>
    <x v="21"/>
  </r>
  <r>
    <x v="12"/>
  </r>
  <r>
    <x v="21"/>
  </r>
  <r>
    <x v="4"/>
  </r>
  <r>
    <x v="4"/>
  </r>
  <r>
    <x v="24"/>
  </r>
  <r>
    <x v="1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9"/>
  </r>
  <r>
    <x v="12"/>
  </r>
  <r>
    <x v="7"/>
  </r>
  <r>
    <x v="42"/>
  </r>
  <r>
    <x v="28"/>
  </r>
  <r>
    <x v="28"/>
  </r>
  <r>
    <x v="42"/>
  </r>
  <r>
    <x v="42"/>
  </r>
  <r>
    <x v="42"/>
  </r>
  <r>
    <x v="42"/>
  </r>
  <r>
    <x v="42"/>
  </r>
  <r>
    <x v="42"/>
  </r>
  <r>
    <x v="42"/>
  </r>
  <r>
    <x v="28"/>
  </r>
  <r>
    <x v="28"/>
  </r>
  <r>
    <x v="25"/>
  </r>
  <r>
    <x v="45"/>
  </r>
  <r>
    <x v="29"/>
  </r>
  <r>
    <x v="2"/>
  </r>
  <r>
    <x v="123"/>
  </r>
  <r>
    <x v="123"/>
  </r>
  <r>
    <x v="253"/>
  </r>
  <r>
    <x v="12"/>
  </r>
  <r>
    <x v="12"/>
  </r>
  <r>
    <x v="7"/>
  </r>
  <r>
    <x v="9"/>
  </r>
  <r>
    <x v="14"/>
  </r>
  <r>
    <x v="412"/>
  </r>
  <r>
    <x v="19"/>
  </r>
  <r>
    <x v="21"/>
  </r>
  <r>
    <x v="19"/>
  </r>
  <r>
    <x v="37"/>
  </r>
  <r>
    <x v="12"/>
  </r>
  <r>
    <x v="12"/>
  </r>
  <r>
    <x v="79"/>
  </r>
  <r>
    <x v="28"/>
  </r>
  <r>
    <x v="42"/>
  </r>
  <r>
    <x v="14"/>
  </r>
  <r>
    <x v="14"/>
  </r>
  <r>
    <x v="42"/>
  </r>
  <r>
    <x v="79"/>
  </r>
  <r>
    <x v="79"/>
  </r>
  <r>
    <x v="19"/>
  </r>
  <r>
    <x v="10"/>
  </r>
  <r>
    <x v="42"/>
  </r>
  <r>
    <x v="42"/>
  </r>
  <r>
    <x v="79"/>
  </r>
  <r>
    <x v="79"/>
  </r>
  <r>
    <x v="79"/>
  </r>
  <r>
    <x v="79"/>
  </r>
  <r>
    <x v="79"/>
  </r>
  <r>
    <x v="0"/>
  </r>
  <r>
    <x v="14"/>
  </r>
  <r>
    <x v="28"/>
  </r>
  <r>
    <x v="1"/>
  </r>
  <r>
    <x v="4"/>
  </r>
  <r>
    <x v="1"/>
  </r>
  <r>
    <x v="0"/>
  </r>
  <r>
    <x v="10"/>
  </r>
  <r>
    <x v="10"/>
  </r>
  <r>
    <x v="10"/>
  </r>
  <r>
    <x v="4"/>
  </r>
  <r>
    <x v="4"/>
  </r>
  <r>
    <x v="28"/>
  </r>
  <r>
    <x v="28"/>
  </r>
  <r>
    <x v="8"/>
  </r>
  <r>
    <x v="0"/>
  </r>
  <r>
    <x v="0"/>
  </r>
  <r>
    <x v="0"/>
  </r>
  <r>
    <x v="28"/>
  </r>
  <r>
    <x v="8"/>
  </r>
  <r>
    <x v="28"/>
  </r>
  <r>
    <x v="28"/>
  </r>
  <r>
    <x v="19"/>
  </r>
  <r>
    <x v="28"/>
  </r>
  <r>
    <x v="130"/>
  </r>
  <r>
    <x v="42"/>
  </r>
  <r>
    <x v="42"/>
  </r>
  <r>
    <x v="37"/>
  </r>
  <r>
    <x v="42"/>
  </r>
  <r>
    <x v="42"/>
  </r>
  <r>
    <x v="42"/>
  </r>
  <r>
    <x v="42"/>
  </r>
  <r>
    <x v="12"/>
  </r>
  <r>
    <x v="46"/>
  </r>
  <r>
    <x v="46"/>
  </r>
  <r>
    <x v="142"/>
  </r>
  <r>
    <x v="53"/>
  </r>
  <r>
    <x v="53"/>
  </r>
  <r>
    <x v="53"/>
  </r>
  <r>
    <x v="9"/>
  </r>
  <r>
    <x v="53"/>
  </r>
  <r>
    <x v="53"/>
  </r>
  <r>
    <x v="53"/>
  </r>
  <r>
    <x v="42"/>
  </r>
  <r>
    <x v="53"/>
  </r>
  <r>
    <x v="7"/>
  </r>
  <r>
    <x v="0"/>
  </r>
  <r>
    <x v="0"/>
  </r>
  <r>
    <x v="0"/>
  </r>
  <r>
    <x v="2"/>
  </r>
  <r>
    <x v="10"/>
  </r>
  <r>
    <x v="10"/>
  </r>
  <r>
    <x v="10"/>
  </r>
  <r>
    <x v="4"/>
  </r>
  <r>
    <x v="42"/>
  </r>
  <r>
    <x v="76"/>
  </r>
  <r>
    <x v="76"/>
  </r>
  <r>
    <x v="115"/>
  </r>
  <r>
    <x v="115"/>
  </r>
  <r>
    <x v="79"/>
  </r>
  <r>
    <x v="0"/>
  </r>
  <r>
    <x v="10"/>
  </r>
  <r>
    <x v="6"/>
  </r>
  <r>
    <x v="79"/>
  </r>
  <r>
    <x v="115"/>
  </r>
  <r>
    <x v="115"/>
  </r>
  <r>
    <x v="10"/>
  </r>
  <r>
    <x v="10"/>
  </r>
  <r>
    <x v="40"/>
  </r>
  <r>
    <x v="16"/>
  </r>
  <r>
    <x v="7"/>
  </r>
  <r>
    <x v="42"/>
  </r>
  <r>
    <x v="1"/>
  </r>
  <r>
    <x v="1"/>
  </r>
  <r>
    <x v="0"/>
  </r>
  <r>
    <x v="130"/>
  </r>
  <r>
    <x v="138"/>
  </r>
  <r>
    <x v="4"/>
  </r>
  <r>
    <x v="42"/>
  </r>
  <r>
    <x v="42"/>
  </r>
  <r>
    <x v="42"/>
  </r>
  <r>
    <x v="42"/>
  </r>
  <r>
    <x v="14"/>
  </r>
  <r>
    <x v="8"/>
  </r>
  <r>
    <x v="8"/>
  </r>
  <r>
    <x v="42"/>
  </r>
  <r>
    <x v="12"/>
  </r>
  <r>
    <x v="42"/>
  </r>
  <r>
    <x v="42"/>
  </r>
  <r>
    <x v="42"/>
  </r>
  <r>
    <x v="4"/>
  </r>
  <r>
    <x v="37"/>
  </r>
  <r>
    <x v="6"/>
  </r>
  <r>
    <x v="30"/>
  </r>
  <r>
    <x v="10"/>
  </r>
  <r>
    <x v="10"/>
  </r>
  <r>
    <x v="0"/>
  </r>
  <r>
    <x v="64"/>
  </r>
  <r>
    <x v="64"/>
  </r>
  <r>
    <x v="64"/>
  </r>
  <r>
    <x v="7"/>
  </r>
  <r>
    <x v="7"/>
  </r>
  <r>
    <x v="53"/>
  </r>
  <r>
    <x v="1"/>
  </r>
  <r>
    <x v="1"/>
  </r>
  <r>
    <x v="37"/>
  </r>
  <r>
    <x v="53"/>
  </r>
  <r>
    <x v="8"/>
  </r>
  <r>
    <x v="7"/>
  </r>
  <r>
    <x v="135"/>
  </r>
  <r>
    <x v="135"/>
  </r>
  <r>
    <x v="7"/>
  </r>
  <r>
    <x v="123"/>
  </r>
  <r>
    <x v="123"/>
  </r>
  <r>
    <x v="123"/>
  </r>
  <r>
    <x v="123"/>
  </r>
  <r>
    <x v="123"/>
  </r>
  <r>
    <x v="28"/>
  </r>
  <r>
    <x v="42"/>
  </r>
  <r>
    <x v="42"/>
  </r>
  <r>
    <x v="64"/>
  </r>
  <r>
    <x v="12"/>
  </r>
  <r>
    <x v="4"/>
  </r>
  <r>
    <x v="24"/>
  </r>
  <r>
    <x v="24"/>
  </r>
  <r>
    <x v="42"/>
  </r>
  <r>
    <x v="42"/>
  </r>
  <r>
    <x v="14"/>
  </r>
  <r>
    <x v="42"/>
  </r>
  <r>
    <x v="45"/>
  </r>
  <r>
    <x v="45"/>
  </r>
  <r>
    <x v="9"/>
  </r>
  <r>
    <x v="27"/>
  </r>
  <r>
    <x v="64"/>
  </r>
  <r>
    <x v="64"/>
  </r>
  <r>
    <x v="42"/>
  </r>
  <r>
    <x v="56"/>
  </r>
  <r>
    <x v="56"/>
  </r>
  <r>
    <x v="56"/>
  </r>
  <r>
    <x v="115"/>
  </r>
  <r>
    <x v="0"/>
  </r>
  <r>
    <x v="9"/>
  </r>
  <r>
    <x v="9"/>
  </r>
  <r>
    <x v="28"/>
  </r>
  <r>
    <x v="28"/>
  </r>
  <r>
    <x v="28"/>
  </r>
  <r>
    <x v="45"/>
  </r>
  <r>
    <x v="45"/>
  </r>
  <r>
    <x v="37"/>
  </r>
  <r>
    <x v="37"/>
  </r>
  <r>
    <x v="37"/>
  </r>
  <r>
    <x v="37"/>
  </r>
  <r>
    <x v="9"/>
  </r>
  <r>
    <x v="19"/>
  </r>
  <r>
    <x v="9"/>
  </r>
  <r>
    <x v="42"/>
  </r>
  <r>
    <x v="2"/>
  </r>
  <r>
    <x v="4"/>
  </r>
  <r>
    <x v="9"/>
  </r>
  <r>
    <x v="9"/>
  </r>
  <r>
    <x v="10"/>
  </r>
  <r>
    <x v="79"/>
  </r>
  <r>
    <x v="11"/>
  </r>
  <r>
    <x v="71"/>
  </r>
  <r>
    <x v="37"/>
  </r>
  <r>
    <x v="2"/>
  </r>
  <r>
    <x v="2"/>
  </r>
  <r>
    <x v="24"/>
  </r>
  <r>
    <x v="0"/>
  </r>
  <r>
    <x v="28"/>
  </r>
  <r>
    <x v="14"/>
  </r>
  <r>
    <x v="79"/>
  </r>
  <r>
    <x v="71"/>
  </r>
  <r>
    <x v="0"/>
  </r>
  <r>
    <x v="28"/>
  </r>
  <r>
    <x v="0"/>
  </r>
  <r>
    <x v="28"/>
  </r>
  <r>
    <x v="12"/>
  </r>
  <r>
    <x v="42"/>
  </r>
  <r>
    <x v="12"/>
  </r>
  <r>
    <x v="8"/>
  </r>
  <r>
    <x v="19"/>
  </r>
  <r>
    <x v="71"/>
  </r>
  <r>
    <x v="1"/>
  </r>
  <r>
    <x v="28"/>
  </r>
  <r>
    <x v="71"/>
  </r>
  <r>
    <x v="19"/>
  </r>
  <r>
    <x v="19"/>
  </r>
  <r>
    <x v="79"/>
  </r>
  <r>
    <x v="28"/>
  </r>
  <r>
    <x v="71"/>
  </r>
  <r>
    <x v="71"/>
  </r>
  <r>
    <x v="42"/>
  </r>
  <r>
    <x v="7"/>
  </r>
  <r>
    <x v="71"/>
  </r>
  <r>
    <x v="14"/>
  </r>
  <r>
    <x v="14"/>
  </r>
  <r>
    <x v="71"/>
  </r>
  <r>
    <x v="4"/>
  </r>
  <r>
    <x v="10"/>
  </r>
  <r>
    <x v="10"/>
  </r>
  <r>
    <x v="28"/>
  </r>
  <r>
    <x v="9"/>
  </r>
  <r>
    <x v="0"/>
  </r>
  <r>
    <x v="7"/>
  </r>
  <r>
    <x v="7"/>
  </r>
  <r>
    <x v="7"/>
  </r>
  <r>
    <x v="162"/>
  </r>
  <r>
    <x v="25"/>
  </r>
  <r>
    <x v="9"/>
  </r>
  <r>
    <x v="53"/>
  </r>
  <r>
    <x v="42"/>
  </r>
  <r>
    <x v="9"/>
  </r>
  <r>
    <x v="9"/>
  </r>
  <r>
    <x v="9"/>
  </r>
  <r>
    <x v="7"/>
  </r>
  <r>
    <x v="7"/>
  </r>
  <r>
    <x v="0"/>
  </r>
  <r>
    <x v="56"/>
  </r>
  <r>
    <x v="56"/>
  </r>
  <r>
    <x v="71"/>
  </r>
  <r>
    <x v="0"/>
  </r>
  <r>
    <x v="0"/>
  </r>
  <r>
    <x v="0"/>
  </r>
  <r>
    <x v="14"/>
  </r>
  <r>
    <x v="14"/>
  </r>
  <r>
    <x v="71"/>
  </r>
  <r>
    <x v="71"/>
  </r>
  <r>
    <x v="71"/>
  </r>
  <r>
    <x v="14"/>
  </r>
  <r>
    <x v="28"/>
  </r>
  <r>
    <x v="14"/>
  </r>
  <r>
    <x v="9"/>
  </r>
  <r>
    <x v="9"/>
  </r>
  <r>
    <x v="9"/>
  </r>
  <r>
    <x v="71"/>
  </r>
  <r>
    <x v="71"/>
  </r>
  <r>
    <x v="71"/>
  </r>
  <r>
    <x v="130"/>
  </r>
  <r>
    <x v="71"/>
  </r>
  <r>
    <x v="71"/>
  </r>
  <r>
    <x v="53"/>
  </r>
  <r>
    <x v="7"/>
  </r>
  <r>
    <x v="28"/>
  </r>
  <r>
    <x v="9"/>
  </r>
  <r>
    <x v="9"/>
  </r>
  <r>
    <x v="7"/>
  </r>
  <r>
    <x v="1"/>
  </r>
  <r>
    <x v="14"/>
  </r>
  <r>
    <x v="24"/>
  </r>
  <r>
    <x v="12"/>
  </r>
  <r>
    <x v="150"/>
  </r>
  <r>
    <x v="57"/>
  </r>
  <r>
    <x v="0"/>
  </r>
  <r>
    <x v="79"/>
  </r>
  <r>
    <x v="48"/>
  </r>
  <r>
    <x v="4"/>
  </r>
  <r>
    <x v="12"/>
  </r>
  <r>
    <x v="12"/>
  </r>
  <r>
    <x v="7"/>
  </r>
  <r>
    <x v="37"/>
  </r>
  <r>
    <x v="24"/>
  </r>
  <r>
    <x v="37"/>
  </r>
  <r>
    <x v="7"/>
  </r>
  <r>
    <x v="10"/>
  </r>
  <r>
    <x v="9"/>
  </r>
  <r>
    <x v="14"/>
  </r>
  <r>
    <x v="162"/>
  </r>
  <r>
    <x v="14"/>
  </r>
  <r>
    <x v="9"/>
  </r>
  <r>
    <x v="14"/>
  </r>
  <r>
    <x v="115"/>
  </r>
  <r>
    <x v="42"/>
  </r>
  <r>
    <x v="64"/>
  </r>
  <r>
    <x v="14"/>
  </r>
  <r>
    <x v="56"/>
  </r>
  <r>
    <x v="56"/>
  </r>
  <r>
    <x v="56"/>
  </r>
  <r>
    <x v="56"/>
  </r>
  <r>
    <x v="71"/>
  </r>
  <r>
    <x v="9"/>
  </r>
  <r>
    <x v="24"/>
  </r>
  <r>
    <x v="8"/>
  </r>
  <r>
    <x v="42"/>
  </r>
  <r>
    <x v="12"/>
  </r>
  <r>
    <x v="42"/>
  </r>
  <r>
    <x v="162"/>
  </r>
  <r>
    <x v="28"/>
  </r>
  <r>
    <x v="71"/>
  </r>
  <r>
    <x v="34"/>
  </r>
  <r>
    <x v="34"/>
  </r>
  <r>
    <x v="42"/>
  </r>
  <r>
    <x v="24"/>
  </r>
  <r>
    <x v="24"/>
  </r>
  <r>
    <x v="19"/>
  </r>
  <r>
    <x v="19"/>
  </r>
  <r>
    <x v="14"/>
  </r>
  <r>
    <x v="28"/>
  </r>
  <r>
    <x v="42"/>
  </r>
  <r>
    <x v="2"/>
  </r>
  <r>
    <x v="14"/>
  </r>
  <r>
    <x v="48"/>
  </r>
  <r>
    <x v="4"/>
  </r>
  <r>
    <x v="8"/>
  </r>
  <r>
    <x v="8"/>
  </r>
  <r>
    <x v="0"/>
  </r>
  <r>
    <x v="8"/>
  </r>
  <r>
    <x v="28"/>
  </r>
  <r>
    <x v="16"/>
  </r>
  <r>
    <x v="52"/>
  </r>
  <r>
    <x v="52"/>
  </r>
  <r>
    <x v="52"/>
  </r>
  <r>
    <x v="0"/>
  </r>
  <r>
    <x v="7"/>
  </r>
  <r>
    <x v="4"/>
  </r>
  <r>
    <x v="64"/>
  </r>
  <r>
    <x v="150"/>
  </r>
  <r>
    <x v="150"/>
  </r>
  <r>
    <x v="4"/>
  </r>
  <r>
    <x v="14"/>
  </r>
  <r>
    <x v="71"/>
  </r>
  <r>
    <x v="71"/>
  </r>
  <r>
    <x v="0"/>
  </r>
  <r>
    <x v="4"/>
  </r>
  <r>
    <x v="4"/>
  </r>
  <r>
    <x v="71"/>
  </r>
  <r>
    <x v="57"/>
  </r>
  <r>
    <x v="4"/>
  </r>
  <r>
    <x v="34"/>
  </r>
  <r>
    <x v="0"/>
  </r>
  <r>
    <x v="19"/>
  </r>
  <r>
    <x v="162"/>
  </r>
  <r>
    <x v="4"/>
  </r>
  <r>
    <x v="10"/>
  </r>
  <r>
    <x v="2"/>
  </r>
  <r>
    <x v="7"/>
  </r>
  <r>
    <x v="144"/>
  </r>
  <r>
    <x v="150"/>
  </r>
  <r>
    <x v="37"/>
  </r>
  <r>
    <x v="28"/>
  </r>
  <r>
    <x v="150"/>
  </r>
  <r>
    <x v="150"/>
  </r>
  <r>
    <x v="150"/>
  </r>
  <r>
    <x v="0"/>
  </r>
  <r>
    <x v="130"/>
  </r>
  <r>
    <x v="130"/>
  </r>
  <r>
    <x v="0"/>
  </r>
  <r>
    <x v="28"/>
  </r>
  <r>
    <x v="8"/>
  </r>
  <r>
    <x v="138"/>
  </r>
  <r>
    <x v="64"/>
  </r>
  <r>
    <x v="143"/>
  </r>
  <r>
    <x v="143"/>
  </r>
  <r>
    <x v="28"/>
  </r>
  <r>
    <x v="28"/>
  </r>
  <r>
    <x v="12"/>
  </r>
  <r>
    <x v="10"/>
  </r>
  <r>
    <x v="10"/>
  </r>
  <r>
    <x v="16"/>
  </r>
  <r>
    <x v="16"/>
  </r>
  <r>
    <x v="9"/>
  </r>
  <r>
    <x v="138"/>
  </r>
  <r>
    <x v="138"/>
  </r>
  <r>
    <x v="16"/>
  </r>
  <r>
    <x v="17"/>
  </r>
  <r>
    <x v="141"/>
  </r>
  <r>
    <x v="123"/>
  </r>
  <r>
    <x v="1"/>
  </r>
  <r>
    <x v="2"/>
  </r>
  <r>
    <x v="2"/>
  </r>
  <r>
    <x v="10"/>
  </r>
  <r>
    <x v="4"/>
  </r>
  <r>
    <x v="22"/>
  </r>
  <r>
    <x v="22"/>
  </r>
  <r>
    <x v="22"/>
  </r>
  <r>
    <x v="22"/>
  </r>
  <r>
    <x v="22"/>
  </r>
  <r>
    <x v="22"/>
  </r>
  <r>
    <x v="22"/>
  </r>
  <r>
    <x v="86"/>
  </r>
  <r>
    <x v="86"/>
  </r>
  <r>
    <x v="86"/>
  </r>
  <r>
    <x v="22"/>
  </r>
  <r>
    <x v="12"/>
  </r>
  <r>
    <x v="28"/>
  </r>
  <r>
    <x v="79"/>
  </r>
  <r>
    <x v="42"/>
  </r>
  <r>
    <x v="12"/>
  </r>
  <r>
    <x v="28"/>
  </r>
  <r>
    <x v="28"/>
  </r>
  <r>
    <x v="28"/>
  </r>
  <r>
    <x v="55"/>
  </r>
  <r>
    <x v="79"/>
  </r>
  <r>
    <x v="12"/>
  </r>
  <r>
    <x v="36"/>
  </r>
  <r>
    <x v="76"/>
  </r>
  <r>
    <x v="76"/>
  </r>
  <r>
    <x v="4"/>
  </r>
  <r>
    <x v="57"/>
  </r>
  <r>
    <x v="25"/>
  </r>
  <r>
    <x v="4"/>
  </r>
  <r>
    <x v="29"/>
  </r>
  <r>
    <x v="4"/>
  </r>
  <r>
    <x v="4"/>
  </r>
  <r>
    <x v="45"/>
  </r>
  <r>
    <x v="45"/>
  </r>
  <r>
    <x v="12"/>
  </r>
  <r>
    <x v="12"/>
  </r>
  <r>
    <x v="111"/>
  </r>
  <r>
    <x v="7"/>
  </r>
  <r>
    <x v="7"/>
  </r>
  <r>
    <x v="7"/>
  </r>
  <r>
    <x v="7"/>
  </r>
  <r>
    <x v="7"/>
  </r>
  <r>
    <x v="2"/>
  </r>
  <r>
    <x v="4"/>
  </r>
  <r>
    <x v="42"/>
  </r>
  <r>
    <x v="42"/>
  </r>
  <r>
    <x v="41"/>
  </r>
  <r>
    <x v="48"/>
  </r>
  <r>
    <x v="7"/>
  </r>
  <r>
    <x v="42"/>
  </r>
  <r>
    <x v="28"/>
  </r>
  <r>
    <x v="46"/>
  </r>
  <r>
    <x v="46"/>
  </r>
  <r>
    <x v="46"/>
  </r>
  <r>
    <x v="42"/>
  </r>
  <r>
    <x v="2"/>
  </r>
  <r>
    <x v="123"/>
  </r>
  <r>
    <x v="123"/>
  </r>
  <r>
    <x v="37"/>
  </r>
  <r>
    <x v="37"/>
  </r>
  <r>
    <x v="37"/>
  </r>
  <r>
    <x v="37"/>
  </r>
  <r>
    <x v="0"/>
  </r>
  <r>
    <x v="7"/>
  </r>
  <r>
    <x v="4"/>
  </r>
  <r>
    <x v="45"/>
  </r>
  <r>
    <x v="12"/>
  </r>
  <r>
    <x v="12"/>
  </r>
  <r>
    <x v="12"/>
  </r>
  <r>
    <x v="14"/>
  </r>
  <r>
    <x v="14"/>
  </r>
  <r>
    <x v="14"/>
  </r>
  <r>
    <x v="14"/>
  </r>
  <r>
    <x v="48"/>
  </r>
  <r>
    <x v="10"/>
  </r>
  <r>
    <x v="10"/>
  </r>
  <r>
    <x v="3"/>
  </r>
  <r>
    <x v="77"/>
  </r>
  <r>
    <x v="0"/>
  </r>
  <r>
    <x v="48"/>
  </r>
  <r>
    <x v="1"/>
  </r>
  <r>
    <x v="10"/>
  </r>
  <r>
    <x v="10"/>
  </r>
  <r>
    <x v="10"/>
  </r>
  <r>
    <x v="4"/>
  </r>
  <r>
    <x v="24"/>
  </r>
  <r>
    <x v="79"/>
  </r>
  <r>
    <x v="53"/>
  </r>
  <r>
    <x v="53"/>
  </r>
  <r>
    <x v="53"/>
  </r>
  <r>
    <x v="53"/>
  </r>
  <r>
    <x v="0"/>
  </r>
  <r>
    <x v="10"/>
  </r>
  <r>
    <x v="81"/>
  </r>
  <r>
    <x v="4"/>
  </r>
  <r>
    <x v="28"/>
  </r>
  <r>
    <x v="28"/>
  </r>
  <r>
    <x v="16"/>
  </r>
  <r>
    <x v="12"/>
  </r>
  <r>
    <x v="16"/>
  </r>
  <r>
    <x v="111"/>
  </r>
  <r>
    <x v="59"/>
  </r>
  <r>
    <x v="25"/>
  </r>
  <r>
    <x v="71"/>
  </r>
  <r>
    <x v="42"/>
  </r>
  <r>
    <x v="77"/>
  </r>
  <r>
    <x v="78"/>
  </r>
  <r>
    <x v="144"/>
  </r>
  <r>
    <x v="93"/>
  </r>
  <r>
    <x v="87"/>
  </r>
  <r>
    <x v="77"/>
  </r>
  <r>
    <x v="7"/>
  </r>
  <r>
    <x v="4"/>
  </r>
  <r>
    <x v="4"/>
  </r>
  <r>
    <x v="0"/>
  </r>
  <r>
    <x v="45"/>
  </r>
  <r>
    <x v="10"/>
  </r>
  <r>
    <x v="48"/>
  </r>
  <r>
    <x v="48"/>
  </r>
  <r>
    <x v="10"/>
  </r>
  <r>
    <x v="10"/>
  </r>
  <r>
    <x v="42"/>
  </r>
  <r>
    <x v="10"/>
  </r>
  <r>
    <x v="10"/>
  </r>
  <r>
    <x v="14"/>
  </r>
  <r>
    <x v="14"/>
  </r>
  <r>
    <x v="3"/>
  </r>
  <r>
    <x v="3"/>
  </r>
  <r>
    <x v="52"/>
  </r>
  <r>
    <x v="76"/>
  </r>
  <r>
    <x v="77"/>
  </r>
  <r>
    <x v="138"/>
  </r>
  <r>
    <x v="12"/>
  </r>
  <r>
    <x v="10"/>
  </r>
  <r>
    <x v="10"/>
  </r>
  <r>
    <x v="12"/>
  </r>
  <r>
    <x v="14"/>
  </r>
  <r>
    <x v="16"/>
  </r>
  <r>
    <x v="4"/>
  </r>
  <r>
    <x v="47"/>
  </r>
  <r>
    <x v="47"/>
  </r>
  <r>
    <x v="47"/>
  </r>
  <r>
    <x v="17"/>
  </r>
  <r>
    <x v="17"/>
  </r>
  <r>
    <x v="1"/>
  </r>
  <r>
    <x v="25"/>
  </r>
  <r>
    <x v="25"/>
  </r>
  <r>
    <x v="131"/>
  </r>
  <r>
    <x v="12"/>
  </r>
  <r>
    <x v="9"/>
  </r>
  <r>
    <x v="4"/>
  </r>
  <r>
    <x v="10"/>
  </r>
  <r>
    <x v="28"/>
  </r>
  <r>
    <x v="12"/>
  </r>
  <r>
    <x v="37"/>
  </r>
  <r>
    <x v="25"/>
  </r>
  <r>
    <x v="28"/>
  </r>
  <r>
    <x v="6"/>
  </r>
  <r>
    <x v="7"/>
  </r>
  <r>
    <x v="9"/>
  </r>
  <r>
    <x v="9"/>
  </r>
  <r>
    <x v="7"/>
  </r>
  <r>
    <x v="7"/>
  </r>
  <r>
    <x v="12"/>
  </r>
  <r>
    <x v="7"/>
  </r>
  <r>
    <x v="7"/>
  </r>
  <r>
    <x v="21"/>
  </r>
  <r>
    <x v="10"/>
  </r>
  <r>
    <x v="14"/>
  </r>
  <r>
    <x v="0"/>
  </r>
  <r>
    <x v="162"/>
  </r>
  <r>
    <x v="42"/>
  </r>
  <r>
    <x v="42"/>
  </r>
  <r>
    <x v="4"/>
  </r>
  <r>
    <x v="24"/>
  </r>
  <r>
    <x v="24"/>
  </r>
  <r>
    <x v="63"/>
  </r>
  <r>
    <x v="2"/>
  </r>
  <r>
    <x v="19"/>
  </r>
  <r>
    <x v="19"/>
  </r>
  <r>
    <x v="123"/>
  </r>
  <r>
    <x v="123"/>
  </r>
  <r>
    <x v="123"/>
  </r>
  <r>
    <x v="123"/>
  </r>
  <r>
    <x v="48"/>
  </r>
  <r>
    <x v="25"/>
  </r>
  <r>
    <x v="180"/>
  </r>
  <r>
    <x v="14"/>
  </r>
  <r>
    <x v="0"/>
  </r>
  <r>
    <x v="0"/>
  </r>
  <r>
    <x v="0"/>
  </r>
  <r>
    <x v="42"/>
  </r>
  <r>
    <x v="42"/>
  </r>
  <r>
    <x v="31"/>
  </r>
  <r>
    <x v="47"/>
  </r>
  <r>
    <x v="14"/>
  </r>
  <r>
    <x v="57"/>
  </r>
  <r>
    <x v="17"/>
  </r>
  <r>
    <x v="11"/>
  </r>
  <r>
    <x v="89"/>
  </r>
  <r>
    <x v="16"/>
  </r>
  <r>
    <x v="0"/>
  </r>
  <r>
    <x v="37"/>
  </r>
  <r>
    <x v="11"/>
  </r>
  <r>
    <x v="20"/>
  </r>
  <r>
    <x v="45"/>
  </r>
  <r>
    <x v="37"/>
  </r>
  <r>
    <x v="0"/>
  </r>
  <r>
    <x v="19"/>
  </r>
  <r>
    <x v="19"/>
  </r>
  <r>
    <x v="4"/>
  </r>
  <r>
    <x v="24"/>
  </r>
  <r>
    <x v="24"/>
  </r>
  <r>
    <x v="81"/>
  </r>
  <r>
    <x v="115"/>
  </r>
  <r>
    <x v="42"/>
  </r>
  <r>
    <x v="28"/>
  </r>
  <r>
    <x v="12"/>
  </r>
  <r>
    <x v="8"/>
  </r>
  <r>
    <x v="12"/>
  </r>
  <r>
    <x v="207"/>
  </r>
  <r>
    <x v="57"/>
  </r>
  <r>
    <x v="4"/>
  </r>
  <r>
    <x v="17"/>
  </r>
  <r>
    <x v="78"/>
  </r>
  <r>
    <x v="86"/>
  </r>
  <r>
    <x v="86"/>
  </r>
  <r>
    <x v="86"/>
  </r>
  <r>
    <x v="62"/>
  </r>
  <r>
    <x v="93"/>
  </r>
  <r>
    <x v="86"/>
  </r>
  <r>
    <x v="76"/>
  </r>
  <r>
    <x v="76"/>
  </r>
  <r>
    <x v="42"/>
  </r>
  <r>
    <x v="31"/>
  </r>
  <r>
    <x v="142"/>
  </r>
  <r>
    <x v="6"/>
  </r>
  <r>
    <x v="42"/>
  </r>
  <r>
    <x v="19"/>
  </r>
  <r>
    <x v="12"/>
  </r>
  <r>
    <x v="12"/>
  </r>
  <r>
    <x v="71"/>
  </r>
  <r>
    <x v="71"/>
  </r>
  <r>
    <x v="71"/>
  </r>
  <r>
    <x v="7"/>
  </r>
  <r>
    <x v="162"/>
  </r>
  <r>
    <x v="42"/>
  </r>
  <r>
    <x v="135"/>
  </r>
  <r>
    <x v="42"/>
  </r>
  <r>
    <x v="0"/>
  </r>
  <r>
    <x v="114"/>
  </r>
  <r>
    <x v="57"/>
  </r>
  <r>
    <x v="77"/>
  </r>
  <r>
    <x v="6"/>
  </r>
  <r>
    <x v="4"/>
  </r>
  <r>
    <x v="4"/>
  </r>
  <r>
    <x v="12"/>
  </r>
  <r>
    <x v="9"/>
  </r>
  <r>
    <x v="53"/>
  </r>
  <r>
    <x v="48"/>
  </r>
  <r>
    <x v="45"/>
  </r>
  <r>
    <x v="12"/>
  </r>
  <r>
    <x v="9"/>
  </r>
  <r>
    <x v="14"/>
  </r>
  <r>
    <x v="204"/>
  </r>
  <r>
    <x v="24"/>
  </r>
  <r>
    <x v="56"/>
  </r>
  <r>
    <x v="24"/>
  </r>
  <r>
    <x v="28"/>
  </r>
  <r>
    <x v="14"/>
  </r>
  <r>
    <x v="10"/>
  </r>
  <r>
    <x v="0"/>
  </r>
  <r>
    <x v="76"/>
  </r>
  <r>
    <x v="76"/>
  </r>
  <r>
    <x v="21"/>
  </r>
  <r>
    <x v="52"/>
  </r>
  <r>
    <x v="28"/>
  </r>
  <r>
    <x v="50"/>
  </r>
  <r>
    <x v="50"/>
  </r>
  <r>
    <x v="4"/>
  </r>
  <r>
    <x v="4"/>
  </r>
  <r>
    <x v="28"/>
  </r>
  <r>
    <x v="86"/>
  </r>
  <r>
    <x v="28"/>
  </r>
  <r>
    <x v="25"/>
  </r>
  <r>
    <x v="76"/>
  </r>
  <r>
    <x v="45"/>
  </r>
  <r>
    <x v="31"/>
  </r>
  <r>
    <x v="14"/>
  </r>
  <r>
    <x v="14"/>
  </r>
  <r>
    <x v="42"/>
  </r>
  <r>
    <x v="4"/>
  </r>
  <r>
    <x v="2"/>
  </r>
  <r>
    <x v="2"/>
  </r>
  <r>
    <x v="2"/>
  </r>
  <r>
    <x v="2"/>
  </r>
  <r>
    <x v="57"/>
  </r>
  <r>
    <x v="45"/>
  </r>
  <r>
    <x v="8"/>
  </r>
  <r>
    <x v="1"/>
  </r>
  <r>
    <x v="16"/>
  </r>
  <r>
    <x v="249"/>
  </r>
  <r>
    <x v="0"/>
  </r>
  <r>
    <x v="48"/>
  </r>
  <r>
    <x v="4"/>
  </r>
  <r>
    <x v="54"/>
  </r>
  <r>
    <x v="14"/>
  </r>
  <r>
    <x v="57"/>
  </r>
  <r>
    <x v="56"/>
  </r>
  <r>
    <x v="56"/>
  </r>
  <r>
    <x v="45"/>
  </r>
  <r>
    <x v="12"/>
  </r>
  <r>
    <x v="12"/>
  </r>
  <r>
    <x v="16"/>
  </r>
  <r>
    <x v="14"/>
  </r>
  <r>
    <x v="12"/>
  </r>
  <r>
    <x v="8"/>
  </r>
  <r>
    <x v="1"/>
  </r>
  <r>
    <x v="62"/>
  </r>
  <r>
    <x v="2"/>
  </r>
  <r>
    <x v="42"/>
  </r>
  <r>
    <x v="42"/>
  </r>
  <r>
    <x v="24"/>
  </r>
  <r>
    <x v="115"/>
  </r>
  <r>
    <x v="71"/>
  </r>
  <r>
    <x v="12"/>
  </r>
  <r>
    <x v="12"/>
  </r>
  <r>
    <x v="9"/>
  </r>
  <r>
    <x v="48"/>
  </r>
  <r>
    <x v="9"/>
  </r>
  <r>
    <x v="2"/>
  </r>
  <r>
    <x v="16"/>
  </r>
  <r>
    <x v="0"/>
  </r>
  <r>
    <x v="0"/>
  </r>
  <r>
    <x v="14"/>
  </r>
  <r>
    <x v="11"/>
  </r>
  <r>
    <x v="64"/>
  </r>
  <r>
    <x v="37"/>
  </r>
  <r>
    <x v="68"/>
  </r>
  <r>
    <x v="14"/>
  </r>
  <r>
    <x v="22"/>
  </r>
  <r>
    <x v="22"/>
  </r>
  <r>
    <x v="0"/>
  </r>
  <r>
    <x v="4"/>
  </r>
  <r>
    <x v="6"/>
  </r>
  <r>
    <x v="0"/>
  </r>
  <r>
    <x v="12"/>
  </r>
  <r>
    <x v="34"/>
  </r>
  <r>
    <x v="9"/>
  </r>
  <r>
    <x v="12"/>
  </r>
  <r>
    <x v="42"/>
  </r>
  <r>
    <x v="4"/>
  </r>
  <r>
    <x v="25"/>
  </r>
  <r>
    <x v="9"/>
  </r>
  <r>
    <x v="28"/>
  </r>
  <r>
    <x v="16"/>
  </r>
  <r>
    <x v="71"/>
  </r>
  <r>
    <x v="12"/>
  </r>
  <r>
    <x v="48"/>
  </r>
  <r>
    <x v="123"/>
  </r>
  <r>
    <x v="123"/>
  </r>
  <r>
    <x v="42"/>
  </r>
  <r>
    <x v="136"/>
  </r>
  <r>
    <x v="4"/>
  </r>
  <r>
    <x v="37"/>
  </r>
  <r>
    <x v="138"/>
  </r>
  <r>
    <x v="24"/>
  </r>
  <r>
    <x v="10"/>
  </r>
  <r>
    <x v="14"/>
  </r>
  <r>
    <x v="19"/>
  </r>
  <r>
    <x v="42"/>
  </r>
  <r>
    <x v="135"/>
  </r>
  <r>
    <x v="162"/>
  </r>
  <r>
    <x v="212"/>
  </r>
  <r>
    <x v="12"/>
  </r>
  <r>
    <x v="12"/>
  </r>
  <r>
    <x v="7"/>
  </r>
  <r>
    <x v="12"/>
  </r>
  <r>
    <x v="1"/>
  </r>
  <r>
    <x v="1"/>
  </r>
  <r>
    <x v="37"/>
  </r>
  <r>
    <x v="16"/>
  </r>
  <r>
    <x v="102"/>
  </r>
  <r>
    <x v="4"/>
  </r>
  <r>
    <x v="59"/>
  </r>
  <r>
    <x v="76"/>
  </r>
  <r>
    <x v="9"/>
  </r>
  <r>
    <x v="45"/>
  </r>
  <r>
    <x v="115"/>
  </r>
  <r>
    <x v="12"/>
  </r>
  <r>
    <x v="10"/>
  </r>
  <r>
    <x v="78"/>
  </r>
  <r>
    <x v="37"/>
  </r>
  <r>
    <x v="12"/>
  </r>
  <r>
    <x v="37"/>
  </r>
  <r>
    <x v="4"/>
  </r>
  <r>
    <x v="4"/>
  </r>
  <r>
    <x v="91"/>
  </r>
  <r>
    <x v="91"/>
  </r>
  <r>
    <x v="91"/>
  </r>
  <r>
    <x v="19"/>
  </r>
  <r>
    <x v="21"/>
  </r>
  <r>
    <x v="3"/>
  </r>
  <r>
    <x v="10"/>
  </r>
  <r>
    <x v="53"/>
  </r>
  <r>
    <x v="20"/>
  </r>
  <r>
    <x v="131"/>
  </r>
  <r>
    <x v="14"/>
  </r>
  <r>
    <x v="4"/>
  </r>
  <r>
    <x v="57"/>
  </r>
  <r>
    <x v="9"/>
  </r>
  <r>
    <x v="9"/>
  </r>
  <r>
    <x v="9"/>
  </r>
  <r>
    <x v="9"/>
  </r>
  <r>
    <x v="57"/>
  </r>
  <r>
    <x v="57"/>
  </r>
  <r>
    <x v="77"/>
  </r>
  <r>
    <x v="9"/>
  </r>
  <r>
    <x v="9"/>
  </r>
  <r>
    <x v="57"/>
  </r>
  <r>
    <x v="4"/>
  </r>
  <r>
    <x v="4"/>
  </r>
  <r>
    <x v="9"/>
  </r>
  <r>
    <x v="9"/>
  </r>
  <r>
    <x v="10"/>
  </r>
  <r>
    <x v="152"/>
  </r>
  <r>
    <x v="152"/>
  </r>
  <r>
    <x v="57"/>
  </r>
  <r>
    <x v="25"/>
  </r>
  <r>
    <x v="25"/>
  </r>
  <r>
    <x v="25"/>
  </r>
  <r>
    <x v="87"/>
  </r>
  <r>
    <x v="46"/>
  </r>
  <r>
    <x v="7"/>
  </r>
  <r>
    <x v="9"/>
  </r>
  <r>
    <x v="9"/>
  </r>
  <r>
    <x v="1"/>
  </r>
  <r>
    <x v="28"/>
  </r>
  <r>
    <x v="28"/>
  </r>
  <r>
    <x v="141"/>
  </r>
  <r>
    <x v="10"/>
  </r>
  <r>
    <x v="59"/>
  </r>
  <r>
    <x v="14"/>
  </r>
  <r>
    <x v="9"/>
  </r>
  <r>
    <x v="4"/>
  </r>
  <r>
    <x v="4"/>
  </r>
  <r>
    <x v="53"/>
  </r>
  <r>
    <x v="4"/>
  </r>
  <r>
    <x v="123"/>
  </r>
  <r>
    <x v="4"/>
  </r>
  <r>
    <x v="45"/>
  </r>
  <r>
    <x v="46"/>
  </r>
  <r>
    <x v="12"/>
  </r>
  <r>
    <x v="7"/>
  </r>
  <r>
    <x v="42"/>
  </r>
  <r>
    <x v="14"/>
  </r>
  <r>
    <x v="10"/>
  </r>
  <r>
    <x v="10"/>
  </r>
  <r>
    <x v="10"/>
  </r>
  <r>
    <x v="0"/>
  </r>
  <r>
    <x v="0"/>
  </r>
  <r>
    <x v="10"/>
  </r>
  <r>
    <x v="126"/>
  </r>
  <r>
    <x v="24"/>
  </r>
  <r>
    <x v="24"/>
  </r>
  <r>
    <x v="126"/>
  </r>
  <r>
    <x v="0"/>
  </r>
  <r>
    <x v="52"/>
  </r>
  <r>
    <x v="52"/>
  </r>
  <r>
    <x v="2"/>
  </r>
  <r>
    <x v="14"/>
  </r>
  <r>
    <x v="14"/>
  </r>
  <r>
    <x v="19"/>
  </r>
  <r>
    <x v="115"/>
  </r>
  <r>
    <x v="42"/>
  </r>
  <r>
    <x v="86"/>
  </r>
  <r>
    <x v="12"/>
  </r>
  <r>
    <x v="0"/>
  </r>
  <r>
    <x v="51"/>
  </r>
  <r>
    <x v="0"/>
  </r>
  <r>
    <x v="52"/>
  </r>
  <r>
    <x v="154"/>
  </r>
  <r>
    <x v="72"/>
  </r>
  <r>
    <x v="19"/>
  </r>
  <r>
    <x v="4"/>
  </r>
  <r>
    <x v="71"/>
  </r>
  <r>
    <x v="0"/>
  </r>
  <r>
    <x v="24"/>
  </r>
  <r>
    <x v="17"/>
  </r>
  <r>
    <x v="79"/>
  </r>
  <r>
    <x v="16"/>
  </r>
  <r>
    <x v="2"/>
  </r>
  <r>
    <x v="21"/>
  </r>
  <r>
    <x v="4"/>
  </r>
  <r>
    <x v="28"/>
  </r>
  <r>
    <x v="9"/>
  </r>
  <r>
    <x v="57"/>
  </r>
  <r>
    <x v="9"/>
  </r>
  <r>
    <x v="9"/>
  </r>
  <r>
    <x v="216"/>
  </r>
  <r>
    <x v="3"/>
  </r>
  <r>
    <x v="27"/>
  </r>
  <r>
    <x v="76"/>
  </r>
  <r>
    <x v="108"/>
  </r>
  <r>
    <x v="108"/>
  </r>
  <r>
    <x v="4"/>
  </r>
  <r>
    <x v="28"/>
  </r>
  <r>
    <x v="24"/>
  </r>
  <r>
    <x v="4"/>
  </r>
  <r>
    <x v="9"/>
  </r>
  <r>
    <x v="10"/>
  </r>
  <r>
    <x v="48"/>
  </r>
  <r>
    <x v="48"/>
  </r>
  <r>
    <x v="2"/>
  </r>
  <r>
    <x v="10"/>
  </r>
  <r>
    <x v="129"/>
  </r>
  <r>
    <x v="52"/>
  </r>
  <r>
    <x v="112"/>
  </r>
  <r>
    <x v="14"/>
  </r>
  <r>
    <x v="2"/>
  </r>
  <r>
    <x v="12"/>
  </r>
  <r>
    <x v="57"/>
  </r>
  <r>
    <x v="57"/>
  </r>
  <r>
    <x v="14"/>
  </r>
  <r>
    <x v="0"/>
  </r>
  <r>
    <x v="56"/>
  </r>
  <r>
    <x v="16"/>
  </r>
  <r>
    <x v="27"/>
  </r>
  <r>
    <x v="16"/>
  </r>
  <r>
    <x v="0"/>
  </r>
  <r>
    <x v="17"/>
  </r>
  <r>
    <x v="4"/>
  </r>
  <r>
    <x v="0"/>
  </r>
  <r>
    <x v="115"/>
  </r>
  <r>
    <x v="2"/>
  </r>
  <r>
    <x v="42"/>
  </r>
  <r>
    <x v="42"/>
  </r>
  <r>
    <x v="11"/>
  </r>
  <r>
    <x v="0"/>
  </r>
  <r>
    <x v="48"/>
  </r>
  <r>
    <x v="63"/>
  </r>
  <r>
    <x v="16"/>
  </r>
  <r>
    <x v="2"/>
  </r>
  <r>
    <x v="14"/>
  </r>
  <r>
    <x v="11"/>
  </r>
  <r>
    <x v="11"/>
  </r>
  <r>
    <x v="11"/>
  </r>
  <r>
    <x v="11"/>
  </r>
  <r>
    <x v="16"/>
  </r>
  <r>
    <x v="1"/>
  </r>
  <r>
    <x v="14"/>
  </r>
  <r>
    <x v="4"/>
  </r>
  <r>
    <x v="12"/>
  </r>
  <r>
    <x v="12"/>
  </r>
  <r>
    <x v="4"/>
  </r>
  <r>
    <x v="42"/>
  </r>
  <r>
    <x v="28"/>
  </r>
  <r>
    <x v="42"/>
  </r>
  <r>
    <x v="12"/>
  </r>
  <r>
    <x v="12"/>
  </r>
  <r>
    <x v="12"/>
  </r>
  <r>
    <x v="14"/>
  </r>
  <r>
    <x v="42"/>
  </r>
  <r>
    <x v="42"/>
  </r>
  <r>
    <x v="42"/>
  </r>
  <r>
    <x v="37"/>
  </r>
  <r>
    <x v="21"/>
  </r>
  <r>
    <x v="12"/>
  </r>
  <r>
    <x v="22"/>
  </r>
  <r>
    <x v="1"/>
  </r>
  <r>
    <x v="76"/>
  </r>
  <r>
    <x v="4"/>
  </r>
  <r>
    <x v="14"/>
  </r>
  <r>
    <x v="131"/>
  </r>
  <r>
    <x v="12"/>
  </r>
  <r>
    <x v="7"/>
  </r>
  <r>
    <x v="201"/>
  </r>
  <r>
    <x v="2"/>
  </r>
  <r>
    <x v="22"/>
  </r>
  <r>
    <x v="32"/>
  </r>
  <r>
    <x v="28"/>
  </r>
  <r>
    <x v="28"/>
  </r>
  <r>
    <x v="12"/>
  </r>
  <r>
    <x v="45"/>
  </r>
  <r>
    <x v="68"/>
  </r>
  <r>
    <x v="68"/>
  </r>
  <r>
    <x v="45"/>
  </r>
  <r>
    <x v="10"/>
  </r>
  <r>
    <x v="68"/>
  </r>
  <r>
    <x v="42"/>
  </r>
  <r>
    <x v="4"/>
  </r>
  <r>
    <x v="11"/>
  </r>
  <r>
    <x v="0"/>
  </r>
  <r>
    <x v="1"/>
  </r>
  <r>
    <x v="53"/>
  </r>
  <r>
    <x v="0"/>
  </r>
  <r>
    <x v="249"/>
  </r>
  <r>
    <x v="249"/>
  </r>
  <r>
    <x v="0"/>
  </r>
  <r>
    <x v="130"/>
  </r>
  <r>
    <x v="63"/>
  </r>
  <r>
    <x v="86"/>
  </r>
  <r>
    <x v="86"/>
  </r>
  <r>
    <x v="51"/>
  </r>
  <r>
    <x v="123"/>
  </r>
  <r>
    <x v="1"/>
  </r>
  <r>
    <x v="141"/>
  </r>
  <r>
    <x v="12"/>
  </r>
  <r>
    <x v="27"/>
  </r>
  <r>
    <x v="0"/>
  </r>
  <r>
    <x v="57"/>
  </r>
  <r>
    <x v="25"/>
  </r>
  <r>
    <x v="25"/>
  </r>
  <r>
    <x v="25"/>
  </r>
  <r>
    <x v="25"/>
  </r>
  <r>
    <x v="25"/>
  </r>
  <r>
    <x v="0"/>
  </r>
  <r>
    <x v="0"/>
  </r>
  <r>
    <x v="0"/>
  </r>
  <r>
    <x v="71"/>
  </r>
  <r>
    <x v="42"/>
  </r>
  <r>
    <x v="24"/>
  </r>
  <r>
    <x v="16"/>
  </r>
  <r>
    <x v="42"/>
  </r>
  <r>
    <x v="142"/>
  </r>
  <r>
    <x v="42"/>
  </r>
  <r>
    <x v="22"/>
  </r>
  <r>
    <x v="12"/>
  </r>
  <r>
    <x v="22"/>
  </r>
  <r>
    <x v="0"/>
  </r>
  <r>
    <x v="12"/>
  </r>
  <r>
    <x v="39"/>
  </r>
  <r>
    <x v="12"/>
  </r>
  <r>
    <x v="249"/>
  </r>
  <r>
    <x v="6"/>
  </r>
  <r>
    <x v="52"/>
  </r>
  <r>
    <x v="12"/>
  </r>
  <r>
    <x v="42"/>
  </r>
  <r>
    <x v="4"/>
  </r>
  <r>
    <x v="71"/>
  </r>
  <r>
    <x v="16"/>
  </r>
  <r>
    <x v="36"/>
  </r>
  <r>
    <x v="36"/>
  </r>
  <r>
    <x v="19"/>
  </r>
  <r>
    <x v="16"/>
  </r>
  <r>
    <x v="22"/>
  </r>
  <r>
    <x v="10"/>
  </r>
  <r>
    <x v="76"/>
  </r>
  <r>
    <x v="169"/>
  </r>
  <r>
    <x v="0"/>
  </r>
  <r>
    <x v="21"/>
  </r>
  <r>
    <x v="21"/>
  </r>
  <r>
    <x v="21"/>
  </r>
  <r>
    <x v="21"/>
  </r>
  <r>
    <x v="71"/>
  </r>
  <r>
    <x v="131"/>
  </r>
  <r>
    <x v="76"/>
  </r>
  <r>
    <x v="71"/>
  </r>
  <r>
    <x v="48"/>
  </r>
  <r>
    <x v="4"/>
  </r>
  <r>
    <x v="12"/>
  </r>
  <r>
    <x v="53"/>
  </r>
  <r>
    <x v="19"/>
  </r>
  <r>
    <x v="115"/>
  </r>
  <r>
    <x v="16"/>
  </r>
  <r>
    <x v="57"/>
  </r>
  <r>
    <x v="115"/>
  </r>
  <r>
    <x v="115"/>
  </r>
  <r>
    <x v="53"/>
  </r>
  <r>
    <x v="142"/>
  </r>
  <r>
    <x v="12"/>
  </r>
  <r>
    <x v="71"/>
  </r>
  <r>
    <x v="14"/>
  </r>
  <r>
    <x v="53"/>
  </r>
  <r>
    <x v="114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3"/>
  </r>
  <r>
    <x v="3"/>
  </r>
  <r>
    <x v="2"/>
  </r>
  <r>
    <x v="48"/>
  </r>
  <r>
    <x v="48"/>
  </r>
  <r>
    <x v="45"/>
  </r>
  <r>
    <x v="51"/>
  </r>
  <r>
    <x v="96"/>
  </r>
  <r>
    <x v="143"/>
  </r>
  <r>
    <x v="123"/>
  </r>
  <r>
    <x v="57"/>
  </r>
  <r>
    <x v="9"/>
  </r>
  <r>
    <x v="9"/>
  </r>
  <r>
    <x v="115"/>
  </r>
  <r>
    <x v="123"/>
  </r>
  <r>
    <x v="42"/>
  </r>
  <r>
    <x v="53"/>
  </r>
  <r>
    <x v="1"/>
  </r>
  <r>
    <x v="57"/>
  </r>
  <r>
    <x v="2"/>
  </r>
  <r>
    <x v="2"/>
  </r>
  <r>
    <x v="152"/>
  </r>
  <r>
    <x v="28"/>
  </r>
  <r>
    <x v="71"/>
  </r>
  <r>
    <x v="16"/>
  </r>
  <r>
    <x v="16"/>
  </r>
  <r>
    <x v="16"/>
  </r>
  <r>
    <x v="36"/>
  </r>
  <r>
    <x v="21"/>
  </r>
  <r>
    <x v="53"/>
  </r>
  <r>
    <x v="53"/>
  </r>
  <r>
    <x v="22"/>
  </r>
  <r>
    <x v="1"/>
  </r>
  <r>
    <x v="59"/>
  </r>
  <r>
    <x v="9"/>
  </r>
  <r>
    <x v="9"/>
  </r>
  <r>
    <x v="12"/>
  </r>
  <r>
    <x v="7"/>
  </r>
  <r>
    <x v="0"/>
  </r>
  <r>
    <x v="42"/>
  </r>
  <r>
    <x v="12"/>
  </r>
  <r>
    <x v="12"/>
  </r>
  <r>
    <x v="9"/>
  </r>
  <r>
    <x v="131"/>
  </r>
  <r>
    <x v="53"/>
  </r>
  <r>
    <x v="45"/>
  </r>
  <r>
    <x v="53"/>
  </r>
  <r>
    <x v="53"/>
  </r>
  <r>
    <x v="7"/>
  </r>
  <r>
    <x v="1"/>
  </r>
  <r>
    <x v="39"/>
  </r>
  <r>
    <x v="39"/>
  </r>
  <r>
    <x v="12"/>
  </r>
  <r>
    <x v="131"/>
  </r>
  <r>
    <x v="71"/>
  </r>
  <r>
    <x v="45"/>
  </r>
  <r>
    <x v="2"/>
  </r>
  <r>
    <x v="53"/>
  </r>
  <r>
    <x v="14"/>
  </r>
  <r>
    <x v="14"/>
  </r>
  <r>
    <x v="0"/>
  </r>
  <r>
    <x v="28"/>
  </r>
  <r>
    <x v="28"/>
  </r>
  <r>
    <x v="28"/>
  </r>
  <r>
    <x v="28"/>
  </r>
  <r>
    <x v="28"/>
  </r>
  <r>
    <x v="28"/>
  </r>
  <r>
    <x v="0"/>
  </r>
  <r>
    <x v="22"/>
  </r>
  <r>
    <x v="0"/>
  </r>
  <r>
    <x v="0"/>
  </r>
  <r>
    <x v="4"/>
  </r>
  <r>
    <x v="4"/>
  </r>
  <r>
    <x v="4"/>
  </r>
  <r>
    <x v="14"/>
  </r>
  <r>
    <x v="14"/>
  </r>
  <r>
    <x v="71"/>
  </r>
  <r>
    <x v="14"/>
  </r>
  <r>
    <x v="53"/>
  </r>
  <r>
    <x v="57"/>
  </r>
  <r>
    <x v="48"/>
  </r>
  <r>
    <x v="9"/>
  </r>
  <r>
    <x v="42"/>
  </r>
  <r>
    <x v="53"/>
  </r>
  <r>
    <x v="53"/>
  </r>
  <r>
    <x v="9"/>
  </r>
  <r>
    <x v="9"/>
  </r>
  <r>
    <x v="16"/>
  </r>
  <r>
    <x v="16"/>
  </r>
  <r>
    <x v="48"/>
  </r>
  <r>
    <x v="71"/>
  </r>
  <r>
    <x v="0"/>
  </r>
  <r>
    <x v="1"/>
  </r>
  <r>
    <x v="138"/>
  </r>
  <r>
    <x v="138"/>
  </r>
  <r>
    <x v="138"/>
  </r>
  <r>
    <x v="138"/>
  </r>
  <r>
    <x v="138"/>
  </r>
  <r>
    <x v="138"/>
  </r>
  <r>
    <x v="138"/>
  </r>
  <r>
    <x v="16"/>
  </r>
  <r>
    <x v="16"/>
  </r>
  <r>
    <x v="7"/>
  </r>
  <r>
    <x v="4"/>
  </r>
  <r>
    <x v="4"/>
  </r>
  <r>
    <x v="4"/>
  </r>
  <r>
    <x v="4"/>
  </r>
  <r>
    <x v="138"/>
  </r>
  <r>
    <x v="51"/>
  </r>
  <r>
    <x v="51"/>
  </r>
  <r>
    <x v="51"/>
  </r>
  <r>
    <x v="57"/>
  </r>
  <r>
    <x v="57"/>
  </r>
  <r>
    <x v="57"/>
  </r>
  <r>
    <x v="57"/>
  </r>
  <r>
    <x v="57"/>
  </r>
  <r>
    <x v="51"/>
  </r>
  <r>
    <x v="57"/>
  </r>
  <r>
    <x v="57"/>
  </r>
  <r>
    <x v="57"/>
  </r>
  <r>
    <x v="57"/>
  </r>
  <r>
    <x v="57"/>
  </r>
  <r>
    <x v="57"/>
  </r>
  <r>
    <x v="57"/>
  </r>
  <r>
    <x v="4"/>
  </r>
  <r>
    <x v="57"/>
  </r>
  <r>
    <x v="57"/>
  </r>
  <r>
    <x v="14"/>
  </r>
  <r>
    <x v="57"/>
  </r>
  <r>
    <x v="57"/>
  </r>
  <r>
    <x v="57"/>
  </r>
  <r>
    <x v="51"/>
  </r>
  <r>
    <x v="51"/>
  </r>
  <r>
    <x v="57"/>
  </r>
  <r>
    <x v="57"/>
  </r>
  <r>
    <x v="7"/>
  </r>
  <r>
    <x v="7"/>
  </r>
  <r>
    <x v="16"/>
  </r>
  <r>
    <x v="16"/>
  </r>
  <r>
    <x v="16"/>
  </r>
  <r>
    <x v="16"/>
  </r>
  <r>
    <x v="16"/>
  </r>
  <r>
    <x v="16"/>
  </r>
  <r>
    <x v="51"/>
  </r>
  <r>
    <x v="51"/>
  </r>
  <r>
    <x v="12"/>
  </r>
  <r>
    <x v="0"/>
  </r>
  <r>
    <x v="0"/>
  </r>
  <r>
    <x v="12"/>
  </r>
  <r>
    <x v="12"/>
  </r>
  <r>
    <x v="12"/>
  </r>
  <r>
    <x v="87"/>
  </r>
  <r>
    <x v="28"/>
  </r>
  <r>
    <x v="1"/>
  </r>
  <r>
    <x v="7"/>
  </r>
  <r>
    <x v="7"/>
  </r>
  <r>
    <x v="7"/>
  </r>
  <r>
    <x v="57"/>
  </r>
  <r>
    <x v="2"/>
  </r>
  <r>
    <x v="10"/>
  </r>
  <r>
    <x v="63"/>
  </r>
  <r>
    <x v="12"/>
  </r>
  <r>
    <x v="12"/>
  </r>
  <r>
    <x v="12"/>
  </r>
  <r>
    <x v="12"/>
  </r>
  <r>
    <x v="7"/>
  </r>
  <r>
    <x v="7"/>
  </r>
  <r>
    <x v="16"/>
  </r>
  <r>
    <x v="12"/>
  </r>
  <r>
    <x v="0"/>
  </r>
  <r>
    <x v="55"/>
  </r>
  <r>
    <x v="152"/>
  </r>
  <r>
    <x v="14"/>
  </r>
  <r>
    <x v="57"/>
  </r>
  <r>
    <x v="12"/>
  </r>
  <r>
    <x v="12"/>
  </r>
  <r>
    <x v="0"/>
  </r>
  <r>
    <x v="0"/>
  </r>
  <r>
    <x v="0"/>
  </r>
  <r>
    <x v="0"/>
  </r>
  <r>
    <x v="42"/>
  </r>
  <r>
    <x v="42"/>
  </r>
  <r>
    <x v="42"/>
  </r>
  <r>
    <x v="42"/>
  </r>
  <r>
    <x v="17"/>
  </r>
  <r>
    <x v="31"/>
  </r>
  <r>
    <x v="2"/>
  </r>
  <r>
    <x v="2"/>
  </r>
  <r>
    <x v="2"/>
  </r>
  <r>
    <x v="2"/>
  </r>
  <r>
    <x v="123"/>
  </r>
  <r>
    <x v="10"/>
  </r>
  <r>
    <x v="123"/>
  </r>
  <r>
    <x v="123"/>
  </r>
  <r>
    <x v="123"/>
  </r>
  <r>
    <x v="51"/>
  </r>
  <r>
    <x v="52"/>
  </r>
  <r>
    <x v="2"/>
  </r>
  <r>
    <x v="2"/>
  </r>
  <r>
    <x v="68"/>
  </r>
  <r>
    <x v="10"/>
  </r>
  <r>
    <x v="123"/>
  </r>
  <r>
    <x v="138"/>
  </r>
  <r>
    <x v="12"/>
  </r>
  <r>
    <x v="12"/>
  </r>
  <r>
    <x v="12"/>
  </r>
  <r>
    <x v="123"/>
  </r>
  <r>
    <x v="123"/>
  </r>
  <r>
    <x v="123"/>
  </r>
  <r>
    <x v="123"/>
  </r>
  <r>
    <x v="132"/>
  </r>
  <r>
    <x v="12"/>
  </r>
  <r>
    <x v="138"/>
  </r>
  <r>
    <x v="138"/>
  </r>
  <r>
    <x v="138"/>
  </r>
  <r>
    <x v="12"/>
  </r>
  <r>
    <x v="12"/>
  </r>
  <r>
    <x v="12"/>
  </r>
  <r>
    <x v="11"/>
  </r>
  <r>
    <x v="0"/>
  </r>
  <r>
    <x v="0"/>
  </r>
  <r>
    <x v="0"/>
  </r>
  <r>
    <x v="131"/>
  </r>
  <r>
    <x v="162"/>
  </r>
  <r>
    <x v="1"/>
  </r>
  <r>
    <x v="4"/>
  </r>
  <r>
    <x v="12"/>
  </r>
  <r>
    <x v="42"/>
  </r>
  <r>
    <x v="12"/>
  </r>
  <r>
    <x v="7"/>
  </r>
  <r>
    <x v="7"/>
  </r>
  <r>
    <x v="14"/>
  </r>
  <r>
    <x v="2"/>
  </r>
  <r>
    <x v="42"/>
  </r>
  <r>
    <x v="87"/>
  </r>
  <r>
    <x v="190"/>
  </r>
  <r>
    <x v="36"/>
  </r>
  <r>
    <x v="36"/>
  </r>
  <r>
    <x v="12"/>
  </r>
  <r>
    <x v="138"/>
  </r>
  <r>
    <x v="138"/>
  </r>
  <r>
    <x v="138"/>
  </r>
  <r>
    <x v="138"/>
  </r>
  <r>
    <x v="138"/>
  </r>
  <r>
    <x v="0"/>
  </r>
  <r>
    <x v="0"/>
  </r>
  <r>
    <x v="123"/>
  </r>
  <r>
    <x v="63"/>
  </r>
  <r>
    <x v="63"/>
  </r>
  <r>
    <x v="63"/>
  </r>
  <r>
    <x v="62"/>
  </r>
  <r>
    <x v="63"/>
  </r>
  <r>
    <x v="12"/>
  </r>
  <r>
    <x v="12"/>
  </r>
  <r>
    <x v="138"/>
  </r>
  <r>
    <x v="6"/>
  </r>
  <r>
    <x v="128"/>
  </r>
  <r>
    <x v="78"/>
  </r>
  <r>
    <x v="152"/>
  </r>
  <r>
    <x v="55"/>
  </r>
  <r>
    <x v="42"/>
  </r>
  <r>
    <x v="136"/>
  </r>
  <r>
    <x v="28"/>
  </r>
  <r>
    <x v="28"/>
  </r>
  <r>
    <x v="28"/>
  </r>
  <r>
    <x v="28"/>
  </r>
  <r>
    <x v="28"/>
  </r>
  <r>
    <x v="28"/>
  </r>
  <r>
    <x v="28"/>
  </r>
  <r>
    <x v="17"/>
  </r>
  <r>
    <x v="17"/>
  </r>
  <r>
    <x v="12"/>
  </r>
  <r>
    <x v="79"/>
  </r>
  <r>
    <x v="10"/>
  </r>
  <r>
    <x v="147"/>
  </r>
  <r>
    <x v="78"/>
  </r>
  <r>
    <x v="63"/>
  </r>
  <r>
    <x v="4"/>
  </r>
  <r>
    <x v="16"/>
  </r>
  <r>
    <x v="16"/>
  </r>
  <r>
    <x v="150"/>
  </r>
  <r>
    <x v="12"/>
  </r>
  <r>
    <x v="2"/>
  </r>
  <r>
    <x v="12"/>
  </r>
  <r>
    <x v="45"/>
  </r>
  <r>
    <x v="12"/>
  </r>
  <r>
    <x v="7"/>
  </r>
  <r>
    <x v="4"/>
  </r>
  <r>
    <x v="7"/>
  </r>
  <r>
    <x v="123"/>
  </r>
  <r>
    <x v="2"/>
  </r>
  <r>
    <x v="6"/>
  </r>
  <r>
    <x v="42"/>
  </r>
  <r>
    <x v="42"/>
  </r>
  <r>
    <x v="175"/>
  </r>
  <r>
    <x v="45"/>
  </r>
  <r>
    <x v="143"/>
  </r>
  <r>
    <x v="10"/>
  </r>
  <r>
    <x v="129"/>
  </r>
  <r>
    <x v="129"/>
  </r>
  <r>
    <x v="129"/>
  </r>
  <r>
    <x v="28"/>
  </r>
  <r>
    <x v="10"/>
  </r>
  <r>
    <x v="152"/>
  </r>
  <r>
    <x v="36"/>
  </r>
  <r>
    <x v="12"/>
  </r>
  <r>
    <x v="143"/>
  </r>
  <r>
    <x v="4"/>
  </r>
  <r>
    <x v="147"/>
  </r>
  <r>
    <x v="28"/>
  </r>
  <r>
    <x v="28"/>
  </r>
  <r>
    <x v="28"/>
  </r>
  <r>
    <x v="83"/>
  </r>
  <r>
    <x v="83"/>
  </r>
  <r>
    <x v="0"/>
  </r>
  <r>
    <x v="2"/>
  </r>
  <r>
    <x v="4"/>
  </r>
  <r>
    <x v="7"/>
  </r>
  <r>
    <x v="26"/>
  </r>
  <r>
    <x v="10"/>
  </r>
  <r>
    <x v="24"/>
  </r>
  <r>
    <x v="10"/>
  </r>
  <r>
    <x v="10"/>
  </r>
  <r>
    <x v="10"/>
  </r>
  <r>
    <x v="10"/>
  </r>
  <r>
    <x v="10"/>
  </r>
  <r>
    <x v="10"/>
  </r>
  <r>
    <x v="24"/>
  </r>
  <r>
    <x v="126"/>
  </r>
  <r>
    <x v="10"/>
  </r>
  <r>
    <x v="10"/>
  </r>
  <r>
    <x v="10"/>
  </r>
  <r>
    <x v="10"/>
  </r>
  <r>
    <x v="123"/>
  </r>
  <r>
    <x v="55"/>
  </r>
  <r>
    <x v="22"/>
  </r>
  <r>
    <x v="123"/>
  </r>
  <r>
    <x v="123"/>
  </r>
  <r>
    <x v="123"/>
  </r>
  <r>
    <x v="2"/>
  </r>
  <r>
    <x v="55"/>
  </r>
  <r>
    <x v="63"/>
  </r>
  <r>
    <x v="87"/>
  </r>
  <r>
    <x v="4"/>
  </r>
  <r>
    <x v="10"/>
  </r>
  <r>
    <x v="123"/>
  </r>
  <r>
    <x v="152"/>
  </r>
  <r>
    <x v="48"/>
  </r>
  <r>
    <x v="7"/>
  </r>
  <r>
    <x v="19"/>
  </r>
  <r>
    <x v="15"/>
  </r>
  <r>
    <x v="10"/>
  </r>
  <r>
    <x v="169"/>
  </r>
  <r>
    <x v="78"/>
  </r>
  <r>
    <x v="132"/>
  </r>
  <r>
    <x v="45"/>
  </r>
  <r>
    <x v="9"/>
  </r>
  <r>
    <x v="129"/>
  </r>
  <r>
    <x v="87"/>
  </r>
  <r>
    <x v="42"/>
  </r>
  <r>
    <x v="10"/>
  </r>
  <r>
    <x v="10"/>
  </r>
  <r>
    <x v="77"/>
  </r>
  <r>
    <x v="10"/>
  </r>
  <r>
    <x v="2"/>
  </r>
  <r>
    <x v="10"/>
  </r>
  <r>
    <x v="80"/>
  </r>
  <r>
    <x v="80"/>
  </r>
  <r>
    <x v="12"/>
  </r>
  <r>
    <x v="7"/>
  </r>
  <r>
    <x v="42"/>
  </r>
  <r>
    <x v="42"/>
  </r>
  <r>
    <x v="4"/>
  </r>
  <r>
    <x v="76"/>
  </r>
  <r>
    <x v="34"/>
  </r>
  <r>
    <x v="10"/>
  </r>
  <r>
    <x v="1"/>
  </r>
  <r>
    <x v="10"/>
  </r>
  <r>
    <x v="59"/>
  </r>
  <r>
    <x v="22"/>
  </r>
  <r>
    <x v="22"/>
  </r>
  <r>
    <x v="22"/>
  </r>
  <r>
    <x v="22"/>
  </r>
  <r>
    <x v="2"/>
  </r>
  <r>
    <x v="48"/>
  </r>
  <r>
    <x v="25"/>
  </r>
  <r>
    <x v="22"/>
  </r>
  <r>
    <x v="14"/>
  </r>
  <r>
    <x v="16"/>
  </r>
  <r>
    <x v="28"/>
  </r>
  <r>
    <x v="59"/>
  </r>
  <r>
    <x v="42"/>
  </r>
  <r>
    <x v="19"/>
  </r>
  <r>
    <x v="19"/>
  </r>
  <r>
    <x v="10"/>
  </r>
  <r>
    <x v="78"/>
  </r>
  <r>
    <x v="77"/>
  </r>
  <r>
    <x v="138"/>
  </r>
  <r>
    <x v="77"/>
  </r>
  <r>
    <x v="123"/>
  </r>
  <r>
    <x v="123"/>
  </r>
  <r>
    <x v="10"/>
  </r>
  <r>
    <x v="12"/>
  </r>
  <r>
    <x v="10"/>
  </r>
  <r>
    <x v="10"/>
  </r>
  <r>
    <x v="126"/>
  </r>
  <r>
    <x v="22"/>
  </r>
  <r>
    <x v="138"/>
  </r>
  <r>
    <x v="138"/>
  </r>
  <r>
    <x v="42"/>
  </r>
  <r>
    <x v="10"/>
  </r>
  <r>
    <x v="12"/>
  </r>
  <r>
    <x v="78"/>
  </r>
  <r>
    <x v="78"/>
  </r>
  <r>
    <x v="78"/>
  </r>
  <r>
    <x v="78"/>
  </r>
  <r>
    <x v="78"/>
  </r>
  <r>
    <x v="78"/>
  </r>
  <r>
    <x v="78"/>
  </r>
  <r>
    <x v="78"/>
  </r>
  <r>
    <x v="10"/>
  </r>
  <r>
    <x v="10"/>
  </r>
  <r>
    <x v="0"/>
  </r>
  <r>
    <x v="14"/>
  </r>
  <r>
    <x v="28"/>
  </r>
  <r>
    <x v="126"/>
  </r>
  <r>
    <x v="102"/>
  </r>
  <r>
    <x v="76"/>
  </r>
  <r>
    <x v="16"/>
  </r>
  <r>
    <x v="56"/>
  </r>
  <r>
    <x v="56"/>
  </r>
  <r>
    <x v="56"/>
  </r>
  <r>
    <x v="63"/>
  </r>
  <r>
    <x v="63"/>
  </r>
  <r>
    <x v="76"/>
  </r>
  <r>
    <x v="123"/>
  </r>
  <r>
    <x v="123"/>
  </r>
  <r>
    <x v="123"/>
  </r>
  <r>
    <x v="123"/>
  </r>
  <r>
    <x v="123"/>
  </r>
  <r>
    <x v="4"/>
  </r>
  <r>
    <x v="143"/>
  </r>
  <r>
    <x v="78"/>
  </r>
  <r>
    <x v="16"/>
  </r>
  <r>
    <x v="7"/>
  </r>
  <r>
    <x v="10"/>
  </r>
  <r>
    <x v="21"/>
  </r>
  <r>
    <x v="52"/>
  </r>
  <r>
    <x v="4"/>
  </r>
  <r>
    <x v="22"/>
  </r>
  <r>
    <x v="22"/>
  </r>
  <r>
    <x v="22"/>
  </r>
  <r>
    <x v="0"/>
  </r>
  <r>
    <x v="123"/>
  </r>
  <r>
    <x v="123"/>
  </r>
  <r>
    <x v="123"/>
  </r>
  <r>
    <x v="0"/>
  </r>
  <r>
    <x v="4"/>
  </r>
  <r>
    <x v="14"/>
  </r>
  <r>
    <x v="123"/>
  </r>
  <r>
    <x v="0"/>
  </r>
  <r>
    <x v="0"/>
  </r>
  <r>
    <x v="123"/>
  </r>
  <r>
    <x v="123"/>
  </r>
  <r>
    <x v="4"/>
  </r>
  <r>
    <x v="4"/>
  </r>
  <r>
    <x v="112"/>
  </r>
  <r>
    <x v="22"/>
  </r>
  <r>
    <x v="42"/>
  </r>
  <r>
    <x v="42"/>
  </r>
  <r>
    <x v="10"/>
  </r>
  <r>
    <x v="10"/>
  </r>
  <r>
    <x v="10"/>
  </r>
  <r>
    <x v="40"/>
  </r>
  <r>
    <x v="72"/>
  </r>
  <r>
    <x v="0"/>
  </r>
  <r>
    <x v="0"/>
  </r>
  <r>
    <x v="0"/>
  </r>
  <r>
    <x v="0"/>
  </r>
  <r>
    <x v="0"/>
  </r>
  <r>
    <x v="0"/>
  </r>
  <r>
    <x v="0"/>
  </r>
  <r>
    <x v="22"/>
  </r>
  <r>
    <x v="22"/>
  </r>
  <r>
    <x v="22"/>
  </r>
  <r>
    <x v="24"/>
  </r>
  <r>
    <x v="24"/>
  </r>
  <r>
    <x v="1"/>
  </r>
  <r>
    <x v="1"/>
  </r>
  <r>
    <x v="1"/>
  </r>
  <r>
    <x v="1"/>
  </r>
  <r>
    <x v="24"/>
  </r>
  <r>
    <x v="2"/>
  </r>
  <r>
    <x v="2"/>
  </r>
  <r>
    <x v="2"/>
  </r>
  <r>
    <x v="80"/>
  </r>
  <r>
    <x v="123"/>
  </r>
  <r>
    <x v="25"/>
  </r>
  <r>
    <x v="16"/>
  </r>
  <r>
    <x v="10"/>
  </r>
  <r>
    <x v="2"/>
  </r>
  <r>
    <x v="25"/>
  </r>
  <r>
    <x v="138"/>
  </r>
  <r>
    <x v="2"/>
  </r>
  <r>
    <x v="142"/>
  </r>
  <r>
    <x v="12"/>
  </r>
  <r>
    <x v="2"/>
  </r>
  <r>
    <x v="2"/>
  </r>
  <r>
    <x v="2"/>
  </r>
  <r>
    <x v="123"/>
  </r>
  <r>
    <x v="1"/>
  </r>
  <r>
    <x v="16"/>
  </r>
  <r>
    <x v="24"/>
  </r>
  <r>
    <x v="19"/>
  </r>
  <r>
    <x v="4"/>
  </r>
  <r>
    <x v="87"/>
  </r>
  <r>
    <x v="42"/>
  </r>
  <r>
    <x v="42"/>
  </r>
  <r>
    <x v="4"/>
  </r>
  <r>
    <x v="138"/>
  </r>
  <r>
    <x v="138"/>
  </r>
  <r>
    <x v="152"/>
  </r>
  <r>
    <x v="16"/>
  </r>
  <r>
    <x v="48"/>
  </r>
  <r>
    <x v="11"/>
  </r>
  <r>
    <x v="42"/>
  </r>
  <r>
    <x v="1"/>
  </r>
  <r>
    <x v="1"/>
  </r>
  <r>
    <x v="10"/>
  </r>
  <r>
    <x v="10"/>
  </r>
  <r>
    <x v="10"/>
  </r>
  <r>
    <x v="87"/>
  </r>
  <r>
    <x v="10"/>
  </r>
  <r>
    <x v="31"/>
  </r>
  <r>
    <x v="152"/>
  </r>
  <r>
    <x v="152"/>
  </r>
  <r>
    <x v="48"/>
  </r>
  <r>
    <x v="0"/>
  </r>
  <r>
    <x v="87"/>
  </r>
  <r>
    <x v="141"/>
  </r>
  <r>
    <x v="141"/>
  </r>
  <r>
    <x v="141"/>
  </r>
  <r>
    <x v="152"/>
  </r>
  <r>
    <x v="152"/>
  </r>
  <r>
    <x v="36"/>
  </r>
  <r>
    <x v="152"/>
  </r>
  <r>
    <x v="152"/>
  </r>
  <r>
    <x v="152"/>
  </r>
  <r>
    <x v="152"/>
  </r>
  <r>
    <x v="86"/>
  </r>
  <r>
    <x v="11"/>
  </r>
  <r>
    <x v="68"/>
  </r>
  <r>
    <x v="42"/>
  </r>
  <r>
    <x v="42"/>
  </r>
  <r>
    <x v="9"/>
  </r>
  <r>
    <x v="24"/>
  </r>
  <r>
    <x v="12"/>
  </r>
  <r>
    <x v="12"/>
  </r>
  <r>
    <x v="12"/>
  </r>
  <r>
    <x v="61"/>
  </r>
  <r>
    <x v="19"/>
  </r>
  <r>
    <x v="0"/>
  </r>
  <r>
    <x v="22"/>
  </r>
  <r>
    <x v="63"/>
  </r>
  <r>
    <x v="0"/>
  </r>
  <r>
    <x v="0"/>
  </r>
  <r>
    <x v="51"/>
  </r>
  <r>
    <x v="37"/>
  </r>
  <r>
    <x v="37"/>
  </r>
  <r>
    <x v="57"/>
  </r>
  <r>
    <x v="53"/>
  </r>
  <r>
    <x v="53"/>
  </r>
  <r>
    <x v="48"/>
  </r>
  <r>
    <x v="12"/>
  </r>
  <r>
    <x v="12"/>
  </r>
  <r>
    <x v="12"/>
  </r>
  <r>
    <x v="10"/>
  </r>
  <r>
    <x v="3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4"/>
  </r>
  <r>
    <x v="210"/>
  </r>
  <r>
    <x v="210"/>
  </r>
  <r>
    <x v="0"/>
  </r>
  <r>
    <x v="0"/>
  </r>
  <r>
    <x v="57"/>
  </r>
  <r>
    <x v="57"/>
  </r>
  <r>
    <x v="28"/>
  </r>
  <r>
    <x v="57"/>
  </r>
  <r>
    <x v="57"/>
  </r>
  <r>
    <x v="57"/>
  </r>
  <r>
    <x v="57"/>
  </r>
  <r>
    <x v="57"/>
  </r>
  <r>
    <x v="57"/>
  </r>
  <r>
    <x v="63"/>
  </r>
  <r>
    <x v="152"/>
  </r>
  <r>
    <x v="138"/>
  </r>
  <r>
    <x v="138"/>
  </r>
  <r>
    <x v="138"/>
  </r>
  <r>
    <x v="47"/>
  </r>
  <r>
    <x v="47"/>
  </r>
  <r>
    <x v="47"/>
  </r>
  <r>
    <x v="47"/>
  </r>
  <r>
    <x v="47"/>
  </r>
  <r>
    <x v="47"/>
  </r>
  <r>
    <x v="2"/>
  </r>
  <r>
    <x v="2"/>
  </r>
  <r>
    <x v="10"/>
  </r>
  <r>
    <x v="10"/>
  </r>
  <r>
    <x v="25"/>
  </r>
  <r>
    <x v="42"/>
  </r>
  <r>
    <x v="45"/>
  </r>
  <r>
    <x v="138"/>
  </r>
  <r>
    <x v="47"/>
  </r>
  <r>
    <x v="47"/>
  </r>
  <r>
    <x v="47"/>
  </r>
  <r>
    <x v="138"/>
  </r>
  <r>
    <x v="2"/>
  </r>
  <r>
    <x v="47"/>
  </r>
  <r>
    <x v="2"/>
  </r>
  <r>
    <x v="2"/>
  </r>
  <r>
    <x v="2"/>
  </r>
  <r>
    <x v="2"/>
  </r>
  <r>
    <x v="2"/>
  </r>
  <r>
    <x v="2"/>
  </r>
  <r>
    <x v="2"/>
  </r>
  <r>
    <x v="2"/>
  </r>
  <r>
    <x v="16"/>
  </r>
  <r>
    <x v="2"/>
  </r>
  <r>
    <x v="2"/>
  </r>
  <r>
    <x v="63"/>
  </r>
  <r>
    <x v="1"/>
  </r>
  <r>
    <x v="52"/>
  </r>
  <r>
    <x v="4"/>
  </r>
  <r>
    <x v="10"/>
  </r>
  <r>
    <x v="4"/>
  </r>
  <r>
    <x v="4"/>
  </r>
  <r>
    <x v="164"/>
  </r>
  <r>
    <x v="1"/>
  </r>
  <r>
    <x v="2"/>
  </r>
  <r>
    <x v="63"/>
  </r>
  <r>
    <x v="2"/>
  </r>
  <r>
    <x v="2"/>
  </r>
  <r>
    <x v="2"/>
  </r>
  <r>
    <x v="2"/>
  </r>
  <r>
    <x v="12"/>
  </r>
  <r>
    <x v="53"/>
  </r>
  <r>
    <x v="56"/>
  </r>
  <r>
    <x v="56"/>
  </r>
  <r>
    <x v="56"/>
  </r>
  <r>
    <x v="56"/>
  </r>
  <r>
    <x v="56"/>
  </r>
  <r>
    <x v="56"/>
  </r>
  <r>
    <x v="42"/>
  </r>
  <r>
    <x v="123"/>
  </r>
  <r>
    <x v="63"/>
  </r>
  <r>
    <x v="63"/>
  </r>
  <r>
    <x v="63"/>
  </r>
  <r>
    <x v="63"/>
  </r>
  <r>
    <x v="63"/>
  </r>
  <r>
    <x v="63"/>
  </r>
  <r>
    <x v="63"/>
  </r>
  <r>
    <x v="2"/>
  </r>
  <r>
    <x v="2"/>
  </r>
  <r>
    <x v="164"/>
  </r>
  <r>
    <x v="170"/>
  </r>
  <r>
    <x v="2"/>
  </r>
  <r>
    <x v="2"/>
  </r>
  <r>
    <x v="2"/>
  </r>
  <r>
    <x v="141"/>
  </r>
  <r>
    <x v="141"/>
  </r>
  <r>
    <x v="170"/>
  </r>
  <r>
    <x v="63"/>
  </r>
  <r>
    <x v="2"/>
  </r>
  <r>
    <x v="2"/>
  </r>
  <r>
    <x v="51"/>
  </r>
  <r>
    <x v="2"/>
  </r>
  <r>
    <x v="2"/>
  </r>
  <r>
    <x v="28"/>
  </r>
  <r>
    <x v="28"/>
  </r>
  <r>
    <x v="28"/>
  </r>
  <r>
    <x v="2"/>
  </r>
  <r>
    <x v="14"/>
  </r>
  <r>
    <x v="14"/>
  </r>
  <r>
    <x v="1"/>
  </r>
  <r>
    <x v="63"/>
  </r>
  <r>
    <x v="63"/>
  </r>
  <r>
    <x v="42"/>
  </r>
  <r>
    <x v="152"/>
  </r>
  <r>
    <x v="1"/>
  </r>
  <r>
    <x v="1"/>
  </r>
  <r>
    <x v="14"/>
  </r>
  <r>
    <x v="14"/>
  </r>
  <r>
    <x v="14"/>
  </r>
  <r>
    <x v="141"/>
  </r>
  <r>
    <x v="63"/>
  </r>
  <r>
    <x v="164"/>
  </r>
  <r>
    <x v="164"/>
  </r>
  <r>
    <x v="2"/>
  </r>
  <r>
    <x v="79"/>
  </r>
  <r>
    <x v="16"/>
  </r>
  <r>
    <x v="16"/>
  </r>
  <r>
    <x v="16"/>
  </r>
  <r>
    <x v="16"/>
  </r>
  <r>
    <x v="16"/>
  </r>
  <r>
    <x v="16"/>
  </r>
  <r>
    <x v="63"/>
  </r>
  <r>
    <x v="63"/>
  </r>
  <r>
    <x v="63"/>
  </r>
  <r>
    <x v="63"/>
  </r>
  <r>
    <x v="14"/>
  </r>
  <r>
    <x v="28"/>
  </r>
  <r>
    <x v="28"/>
  </r>
  <r>
    <x v="10"/>
  </r>
  <r>
    <x v="10"/>
  </r>
  <r>
    <x v="10"/>
  </r>
  <r>
    <x v="71"/>
  </r>
  <r>
    <x v="16"/>
  </r>
  <r>
    <x v="50"/>
  </r>
  <r>
    <x v="50"/>
  </r>
  <r>
    <x v="16"/>
  </r>
  <r>
    <x v="16"/>
  </r>
  <r>
    <x v="16"/>
  </r>
  <r>
    <x v="16"/>
  </r>
  <r>
    <x v="16"/>
  </r>
  <r>
    <x v="10"/>
  </r>
  <r>
    <x v="36"/>
  </r>
  <r>
    <x v="12"/>
  </r>
  <r>
    <x v="16"/>
  </r>
  <r>
    <x v="16"/>
  </r>
  <r>
    <x v="16"/>
  </r>
  <r>
    <x v="16"/>
  </r>
  <r>
    <x v="12"/>
  </r>
  <r>
    <x v="68"/>
  </r>
  <r>
    <x v="45"/>
  </r>
  <r>
    <x v="4"/>
  </r>
  <r>
    <x v="32"/>
  </r>
  <r>
    <x v="16"/>
  </r>
  <r>
    <x v="47"/>
  </r>
  <r>
    <x v="16"/>
  </r>
  <r>
    <x v="16"/>
  </r>
  <r>
    <x v="16"/>
  </r>
  <r>
    <x v="47"/>
  </r>
  <r>
    <x v="47"/>
  </r>
  <r>
    <x v="50"/>
  </r>
  <r>
    <x v="24"/>
  </r>
  <r>
    <x v="16"/>
  </r>
  <r>
    <x v="16"/>
  </r>
  <r>
    <x v="28"/>
  </r>
  <r>
    <x v="28"/>
  </r>
  <r>
    <x v="50"/>
  </r>
  <r>
    <x v="50"/>
  </r>
  <r>
    <x v="28"/>
  </r>
  <r>
    <x v="28"/>
  </r>
  <r>
    <x v="28"/>
  </r>
  <r>
    <x v="16"/>
  </r>
  <r>
    <x v="16"/>
  </r>
  <r>
    <x v="16"/>
  </r>
  <r>
    <x v="16"/>
  </r>
  <r>
    <x v="16"/>
  </r>
  <r>
    <x v="28"/>
  </r>
  <r>
    <x v="16"/>
  </r>
  <r>
    <x v="16"/>
  </r>
  <r>
    <x v="16"/>
  </r>
  <r>
    <x v="16"/>
  </r>
  <r>
    <x v="16"/>
  </r>
  <r>
    <x v="16"/>
  </r>
  <r>
    <x v="47"/>
  </r>
  <r>
    <x v="28"/>
  </r>
  <r>
    <x v="47"/>
  </r>
  <r>
    <x v="12"/>
  </r>
  <r>
    <x v="12"/>
  </r>
  <r>
    <x v="78"/>
  </r>
  <r>
    <x v="78"/>
  </r>
  <r>
    <x v="47"/>
  </r>
  <r>
    <x v="47"/>
  </r>
  <r>
    <x v="47"/>
  </r>
  <r>
    <x v="47"/>
  </r>
  <r>
    <x v="47"/>
  </r>
  <r>
    <x v="28"/>
  </r>
  <r>
    <x v="28"/>
  </r>
  <r>
    <x v="28"/>
  </r>
  <r>
    <x v="6"/>
  </r>
  <r>
    <x v="4"/>
  </r>
  <r>
    <x v="6"/>
  </r>
  <r>
    <x v="28"/>
  </r>
  <r>
    <x v="28"/>
  </r>
  <r>
    <x v="28"/>
  </r>
  <r>
    <x v="28"/>
  </r>
  <r>
    <x v="28"/>
  </r>
  <r>
    <x v="28"/>
  </r>
  <r>
    <x v="28"/>
  </r>
  <r>
    <x v="6"/>
  </r>
  <r>
    <x v="6"/>
  </r>
  <r>
    <x v="28"/>
  </r>
  <r>
    <x v="28"/>
  </r>
  <r>
    <x v="28"/>
  </r>
  <r>
    <x v="28"/>
  </r>
  <r>
    <x v="28"/>
  </r>
  <r>
    <x v="28"/>
  </r>
  <r>
    <x v="28"/>
  </r>
  <r>
    <x v="28"/>
  </r>
  <r>
    <x v="63"/>
  </r>
  <r>
    <x v="63"/>
  </r>
  <r>
    <x v="115"/>
  </r>
  <r>
    <x v="2"/>
  </r>
  <r>
    <x v="2"/>
  </r>
  <r>
    <x v="4"/>
  </r>
  <r>
    <x v="2"/>
  </r>
  <r>
    <x v="37"/>
  </r>
  <r>
    <x v="16"/>
  </r>
  <r>
    <x v="16"/>
  </r>
  <r>
    <x v="16"/>
  </r>
  <r>
    <x v="16"/>
  </r>
  <r>
    <x v="16"/>
  </r>
  <r>
    <x v="4"/>
  </r>
  <r>
    <x v="63"/>
  </r>
  <r>
    <x v="63"/>
  </r>
  <r>
    <x v="89"/>
  </r>
  <r>
    <x v="89"/>
  </r>
  <r>
    <x v="210"/>
  </r>
  <r>
    <x v="123"/>
  </r>
  <r>
    <x v="4"/>
  </r>
  <r>
    <x v="123"/>
  </r>
  <r>
    <x v="123"/>
  </r>
  <r>
    <x v="123"/>
  </r>
  <r>
    <x v="28"/>
  </r>
  <r>
    <x v="51"/>
  </r>
  <r>
    <x v="28"/>
  </r>
  <r>
    <x v="28"/>
  </r>
  <r>
    <x v="32"/>
  </r>
  <r>
    <x v="28"/>
  </r>
  <r>
    <x v="37"/>
  </r>
  <r>
    <x v="45"/>
  </r>
  <r>
    <x v="10"/>
  </r>
  <r>
    <x v="152"/>
  </r>
  <r>
    <x v="152"/>
  </r>
  <r>
    <x v="152"/>
  </r>
  <r>
    <x v="10"/>
  </r>
  <r>
    <x v="10"/>
  </r>
  <r>
    <x v="24"/>
  </r>
  <r>
    <x v="28"/>
  </r>
  <r>
    <x v="28"/>
  </r>
  <r>
    <x v="4"/>
  </r>
  <r>
    <x v="4"/>
  </r>
  <r>
    <x v="104"/>
  </r>
  <r>
    <x v="42"/>
  </r>
  <r>
    <x v="146"/>
  </r>
  <r>
    <x v="71"/>
  </r>
  <r>
    <x v="52"/>
  </r>
  <r>
    <x v="6"/>
  </r>
  <r>
    <x v="6"/>
  </r>
  <r>
    <x v="10"/>
  </r>
  <r>
    <x v="10"/>
  </r>
  <r>
    <x v="36"/>
  </r>
  <r>
    <x v="36"/>
  </r>
  <r>
    <x v="4"/>
  </r>
  <r>
    <x v="36"/>
  </r>
  <r>
    <x v="87"/>
  </r>
  <r>
    <x v="87"/>
  </r>
  <r>
    <x v="28"/>
  </r>
  <r>
    <x v="28"/>
  </r>
  <r>
    <x v="10"/>
  </r>
  <r>
    <x v="129"/>
  </r>
  <r>
    <x v="152"/>
  </r>
  <r>
    <x v="152"/>
  </r>
  <r>
    <x v="12"/>
  </r>
  <r>
    <x v="12"/>
  </r>
  <r>
    <x v="16"/>
  </r>
  <r>
    <x v="16"/>
  </r>
  <r>
    <x v="25"/>
  </r>
  <r>
    <x v="37"/>
  </r>
  <r>
    <x v="0"/>
  </r>
  <r>
    <x v="28"/>
  </r>
  <r>
    <x v="24"/>
  </r>
  <r>
    <x v="10"/>
  </r>
  <r>
    <x v="0"/>
  </r>
  <r>
    <x v="10"/>
  </r>
  <r>
    <x v="16"/>
  </r>
  <r>
    <x v="10"/>
  </r>
  <r>
    <x v="16"/>
  </r>
  <r>
    <x v="16"/>
  </r>
  <r>
    <x v="42"/>
  </r>
  <r>
    <x v="4"/>
  </r>
  <r>
    <x v="14"/>
  </r>
  <r>
    <x v="28"/>
  </r>
  <r>
    <x v="138"/>
  </r>
  <r>
    <x v="24"/>
  </r>
  <r>
    <x v="10"/>
  </r>
  <r>
    <x v="152"/>
  </r>
  <r>
    <x v="170"/>
  </r>
  <r>
    <x v="170"/>
  </r>
  <r>
    <x v="170"/>
  </r>
  <r>
    <x v="51"/>
  </r>
  <r>
    <x v="47"/>
  </r>
  <r>
    <x v="47"/>
  </r>
  <r>
    <x v="36"/>
  </r>
  <r>
    <x v="36"/>
  </r>
  <r>
    <x v="36"/>
  </r>
  <r>
    <x v="47"/>
  </r>
  <r>
    <x v="47"/>
  </r>
  <r>
    <x v="36"/>
  </r>
  <r>
    <x v="36"/>
  </r>
  <r>
    <x v="63"/>
  </r>
  <r>
    <x v="16"/>
  </r>
  <r>
    <x v="87"/>
  </r>
  <r>
    <x v="87"/>
  </r>
  <r>
    <x v="87"/>
  </r>
  <r>
    <x v="36"/>
  </r>
  <r>
    <x v="36"/>
  </r>
  <r>
    <x v="36"/>
  </r>
  <r>
    <x v="123"/>
  </r>
  <r>
    <x v="123"/>
  </r>
  <r>
    <x v="123"/>
  </r>
  <r>
    <x v="123"/>
  </r>
  <r>
    <x v="123"/>
  </r>
  <r>
    <x v="123"/>
  </r>
  <r>
    <x v="123"/>
  </r>
  <r>
    <x v="63"/>
  </r>
  <r>
    <x v="16"/>
  </r>
  <r>
    <x v="16"/>
  </r>
  <r>
    <x v="16"/>
  </r>
  <r>
    <x v="16"/>
  </r>
  <r>
    <x v="16"/>
  </r>
  <r>
    <x v="16"/>
  </r>
  <r>
    <x v="16"/>
  </r>
  <r>
    <x v="16"/>
  </r>
  <r>
    <x v="1"/>
  </r>
  <r>
    <x v="86"/>
  </r>
  <r>
    <x v="4"/>
  </r>
  <r>
    <x v="10"/>
  </r>
  <r>
    <x v="45"/>
  </r>
  <r>
    <x v="12"/>
  </r>
  <r>
    <x v="4"/>
  </r>
  <r>
    <x v="12"/>
  </r>
  <r>
    <x v="4"/>
  </r>
  <r>
    <x v="4"/>
  </r>
  <r>
    <x v="0"/>
  </r>
  <r>
    <x v="42"/>
  </r>
  <r>
    <x v="10"/>
  </r>
  <r>
    <x v="71"/>
  </r>
  <r>
    <x v="57"/>
  </r>
  <r>
    <x v="57"/>
  </r>
  <r>
    <x v="63"/>
  </r>
  <r>
    <x v="27"/>
  </r>
  <r>
    <x v="27"/>
  </r>
  <r>
    <x v="27"/>
  </r>
  <r>
    <x v="27"/>
  </r>
  <r>
    <x v="27"/>
  </r>
  <r>
    <x v="2"/>
  </r>
  <r>
    <x v="57"/>
  </r>
  <r>
    <x v="51"/>
  </r>
  <r>
    <x v="37"/>
  </r>
  <r>
    <x v="16"/>
  </r>
  <r>
    <x v="16"/>
  </r>
  <r>
    <x v="1"/>
  </r>
  <r>
    <x v="12"/>
  </r>
  <r>
    <x v="56"/>
  </r>
  <r>
    <x v="55"/>
  </r>
  <r>
    <x v="4"/>
  </r>
  <r>
    <x v="16"/>
  </r>
  <r>
    <x v="16"/>
  </r>
  <r>
    <x v="16"/>
  </r>
  <r>
    <x v="1"/>
  </r>
  <r>
    <x v="1"/>
  </r>
  <r>
    <x v="152"/>
  </r>
  <r>
    <x v="12"/>
  </r>
  <r>
    <x v="37"/>
  </r>
  <r>
    <x v="37"/>
  </r>
  <r>
    <x v="2"/>
  </r>
  <r>
    <x v="141"/>
  </r>
  <r>
    <x v="2"/>
  </r>
  <r>
    <x v="2"/>
  </r>
  <r>
    <x v="28"/>
  </r>
  <r>
    <x v="14"/>
  </r>
  <r>
    <x v="152"/>
  </r>
  <r>
    <x v="123"/>
  </r>
  <r>
    <x v="4"/>
  </r>
  <r>
    <x v="4"/>
  </r>
  <r>
    <x v="7"/>
  </r>
  <r>
    <x v="12"/>
  </r>
  <r>
    <x v="42"/>
  </r>
  <r>
    <x v="21"/>
  </r>
  <r>
    <x v="12"/>
  </r>
  <r>
    <x v="0"/>
  </r>
  <r>
    <x v="30"/>
  </r>
  <r>
    <x v="123"/>
  </r>
  <r>
    <x v="12"/>
  </r>
  <r>
    <x v="37"/>
  </r>
  <r>
    <x v="37"/>
  </r>
  <r>
    <x v="37"/>
  </r>
  <r>
    <x v="4"/>
  </r>
  <r>
    <x v="14"/>
  </r>
  <r>
    <x v="102"/>
  </r>
  <r>
    <x v="28"/>
  </r>
  <r>
    <x v="48"/>
  </r>
  <r>
    <x v="28"/>
  </r>
  <r>
    <x v="28"/>
  </r>
  <r>
    <x v="9"/>
  </r>
  <r>
    <x v="123"/>
  </r>
  <r>
    <x v="123"/>
  </r>
  <r>
    <x v="123"/>
  </r>
  <r>
    <x v="123"/>
  </r>
  <r>
    <x v="123"/>
  </r>
  <r>
    <x v="2"/>
  </r>
  <r>
    <x v="56"/>
  </r>
  <r>
    <x v="47"/>
  </r>
  <r>
    <x v="2"/>
  </r>
  <r>
    <x v="2"/>
  </r>
  <r>
    <x v="14"/>
  </r>
  <r>
    <x v="2"/>
  </r>
  <r>
    <x v="14"/>
  </r>
  <r>
    <x v="2"/>
  </r>
  <r>
    <x v="2"/>
  </r>
  <r>
    <x v="14"/>
  </r>
  <r>
    <x v="2"/>
  </r>
  <r>
    <x v="14"/>
  </r>
  <r>
    <x v="4"/>
  </r>
  <r>
    <x v="57"/>
  </r>
  <r>
    <x v="4"/>
  </r>
  <r>
    <x v="57"/>
  </r>
  <r>
    <x v="4"/>
  </r>
  <r>
    <x v="9"/>
  </r>
  <r>
    <x v="2"/>
  </r>
  <r>
    <x v="1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2"/>
  </r>
  <r>
    <x v="24"/>
  </r>
  <r>
    <x v="141"/>
  </r>
  <r>
    <x v="141"/>
  </r>
  <r>
    <x v="141"/>
  </r>
  <r>
    <x v="16"/>
  </r>
  <r>
    <x v="16"/>
  </r>
  <r>
    <x v="16"/>
  </r>
  <r>
    <x v="16"/>
  </r>
  <r>
    <x v="16"/>
  </r>
  <r>
    <x v="16"/>
  </r>
  <r>
    <x v="27"/>
  </r>
  <r>
    <x v="27"/>
  </r>
  <r>
    <x v="27"/>
  </r>
  <r>
    <x v="27"/>
  </r>
  <r>
    <x v="144"/>
  </r>
  <r>
    <x v="79"/>
  </r>
  <r>
    <x v="12"/>
  </r>
  <r>
    <x v="144"/>
  </r>
  <r>
    <x v="144"/>
  </r>
  <r>
    <x v="144"/>
  </r>
  <r>
    <x v="144"/>
  </r>
  <r>
    <x v="144"/>
  </r>
  <r>
    <x v="87"/>
  </r>
  <r>
    <x v="86"/>
  </r>
  <r>
    <x v="24"/>
  </r>
  <r>
    <x v="55"/>
  </r>
  <r>
    <x v="55"/>
  </r>
  <r>
    <x v="27"/>
  </r>
  <r>
    <x v="27"/>
  </r>
  <r>
    <x v="27"/>
  </r>
  <r>
    <x v="37"/>
  </r>
  <r>
    <x v="63"/>
  </r>
  <r>
    <x v="0"/>
  </r>
  <r>
    <x v="14"/>
  </r>
  <r>
    <x v="11"/>
  </r>
  <r>
    <x v="4"/>
  </r>
  <r>
    <x v="4"/>
  </r>
  <r>
    <x v="4"/>
  </r>
  <r>
    <x v="164"/>
  </r>
  <r>
    <x v="16"/>
  </r>
  <r>
    <x v="37"/>
  </r>
  <r>
    <x v="16"/>
  </r>
  <r>
    <x v="16"/>
  </r>
  <r>
    <x v="57"/>
  </r>
  <r>
    <x v="2"/>
  </r>
  <r>
    <x v="2"/>
  </r>
  <r>
    <x v="16"/>
  </r>
  <r>
    <x v="16"/>
  </r>
  <r>
    <x v="2"/>
  </r>
  <r>
    <x v="2"/>
  </r>
  <r>
    <x v="16"/>
  </r>
  <r>
    <x v="11"/>
  </r>
  <r>
    <x v="16"/>
  </r>
  <r>
    <x v="9"/>
  </r>
  <r>
    <x v="9"/>
  </r>
  <r>
    <x v="16"/>
  </r>
  <r>
    <x v="16"/>
  </r>
  <r>
    <x v="63"/>
  </r>
  <r>
    <x v="63"/>
  </r>
  <r>
    <x v="63"/>
  </r>
  <r>
    <x v="63"/>
  </r>
  <r>
    <x v="4"/>
  </r>
  <r>
    <x v="4"/>
  </r>
  <r>
    <x v="4"/>
  </r>
  <r>
    <x v="152"/>
  </r>
  <r>
    <x v="2"/>
  </r>
  <r>
    <x v="123"/>
  </r>
  <r>
    <x v="162"/>
  </r>
  <r>
    <x v="0"/>
  </r>
  <r>
    <x v="0"/>
  </r>
  <r>
    <x v="9"/>
  </r>
  <r>
    <x v="16"/>
  </r>
  <r>
    <x v="152"/>
  </r>
  <r>
    <x v="4"/>
  </r>
  <r>
    <x v="4"/>
  </r>
  <r>
    <x v="4"/>
  </r>
  <r>
    <x v="4"/>
  </r>
  <r>
    <x v="4"/>
  </r>
  <r>
    <x v="57"/>
  </r>
  <r>
    <x v="57"/>
  </r>
  <r>
    <x v="57"/>
  </r>
  <r>
    <x v="27"/>
  </r>
  <r>
    <x v="27"/>
  </r>
  <r>
    <x v="4"/>
  </r>
  <r>
    <x v="4"/>
  </r>
  <r>
    <x v="11"/>
  </r>
  <r>
    <x v="4"/>
  </r>
  <r>
    <x v="2"/>
  </r>
  <r>
    <x v="16"/>
  </r>
  <r>
    <x v="0"/>
  </r>
  <r>
    <x v="16"/>
  </r>
  <r>
    <x v="16"/>
  </r>
  <r>
    <x v="16"/>
  </r>
  <r>
    <x v="16"/>
  </r>
  <r>
    <x v="16"/>
  </r>
  <r>
    <x v="16"/>
  </r>
  <r>
    <x v="152"/>
  </r>
  <r>
    <x v="152"/>
  </r>
  <r>
    <x v="37"/>
  </r>
  <r>
    <x v="9"/>
  </r>
  <r>
    <x v="9"/>
  </r>
  <r>
    <x v="4"/>
  </r>
  <r>
    <x v="37"/>
  </r>
  <r>
    <x v="37"/>
  </r>
  <r>
    <x v="16"/>
  </r>
  <r>
    <x v="16"/>
  </r>
  <r>
    <x v="16"/>
  </r>
  <r>
    <x v="152"/>
  </r>
  <r>
    <x v="16"/>
  </r>
  <r>
    <x v="16"/>
  </r>
  <r>
    <x v="16"/>
  </r>
  <r>
    <x v="16"/>
  </r>
  <r>
    <x v="63"/>
  </r>
  <r>
    <x v="63"/>
  </r>
  <r>
    <x v="63"/>
  </r>
  <r>
    <x v="63"/>
  </r>
  <r>
    <x v="2"/>
  </r>
  <r>
    <x v="16"/>
  </r>
  <r>
    <x v="4"/>
  </r>
  <r>
    <x v="4"/>
  </r>
  <r>
    <x v="9"/>
  </r>
  <r>
    <x v="9"/>
  </r>
  <r>
    <x v="152"/>
  </r>
  <r>
    <x v="57"/>
  </r>
  <r>
    <x v="152"/>
  </r>
  <r>
    <x v="10"/>
  </r>
  <r>
    <x v="10"/>
  </r>
  <r>
    <x v="16"/>
  </r>
  <r>
    <x v="31"/>
  </r>
  <r>
    <x v="72"/>
  </r>
  <r>
    <x v="108"/>
  </r>
  <r>
    <x v="36"/>
  </r>
  <r>
    <x v="39"/>
  </r>
  <r>
    <x v="16"/>
  </r>
  <r>
    <x v="16"/>
  </r>
  <r>
    <x v="2"/>
  </r>
  <r>
    <x v="57"/>
  </r>
  <r>
    <x v="4"/>
  </r>
  <r>
    <x v="16"/>
  </r>
  <r>
    <x v="4"/>
  </r>
  <r>
    <x v="16"/>
  </r>
  <r>
    <x v="16"/>
  </r>
  <r>
    <x v="57"/>
  </r>
  <r>
    <x v="1"/>
  </r>
  <r>
    <x v="33"/>
  </r>
  <r>
    <x v="33"/>
  </r>
  <r>
    <x v="0"/>
  </r>
  <r>
    <x v="0"/>
  </r>
  <r>
    <x v="0"/>
  </r>
  <r>
    <x v="0"/>
  </r>
  <r>
    <x v="10"/>
  </r>
  <r>
    <x v="12"/>
  </r>
  <r>
    <x v="33"/>
  </r>
  <r>
    <x v="0"/>
  </r>
  <r>
    <x v="12"/>
  </r>
  <r>
    <x v="77"/>
  </r>
  <r>
    <x v="12"/>
  </r>
  <r>
    <x v="42"/>
  </r>
  <r>
    <x v="12"/>
  </r>
  <r>
    <x v="12"/>
  </r>
  <r>
    <x v="57"/>
  </r>
  <r>
    <x v="28"/>
  </r>
  <r>
    <x v="55"/>
  </r>
  <r>
    <x v="14"/>
  </r>
  <r>
    <x v="14"/>
  </r>
  <r>
    <x v="14"/>
  </r>
  <r>
    <x v="123"/>
  </r>
  <r>
    <x v="123"/>
  </r>
  <r>
    <x v="123"/>
  </r>
  <r>
    <x v="12"/>
  </r>
  <r>
    <x v="12"/>
  </r>
  <r>
    <x v="10"/>
  </r>
  <r>
    <x v="165"/>
  </r>
  <r>
    <x v="165"/>
  </r>
  <r>
    <x v="233"/>
  </r>
  <r>
    <x v="10"/>
  </r>
  <r>
    <x v="86"/>
  </r>
  <r>
    <x v="86"/>
  </r>
  <r>
    <x v="86"/>
  </r>
  <r>
    <x v="12"/>
  </r>
  <r>
    <x v="16"/>
  </r>
  <r>
    <x v="51"/>
  </r>
  <r>
    <x v="57"/>
  </r>
  <r>
    <x v="4"/>
  </r>
  <r>
    <x v="2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0"/>
  </r>
  <r>
    <x v="69"/>
  </r>
  <r>
    <x v="26"/>
  </r>
  <r>
    <x v="25"/>
  </r>
  <r>
    <x v="26"/>
  </r>
  <r>
    <x v="24"/>
  </r>
  <r>
    <x v="31"/>
  </r>
  <r>
    <x v="26"/>
  </r>
  <r>
    <x v="48"/>
  </r>
  <r>
    <x v="152"/>
  </r>
  <r>
    <x v="4"/>
  </r>
  <r>
    <x v="12"/>
  </r>
  <r>
    <x v="165"/>
  </r>
  <r>
    <x v="12"/>
  </r>
  <r>
    <x v="19"/>
  </r>
  <r>
    <x v="36"/>
  </r>
  <r>
    <x v="108"/>
  </r>
  <r>
    <x v="4"/>
  </r>
  <r>
    <x v="4"/>
  </r>
  <r>
    <x v="4"/>
  </r>
  <r>
    <x v="81"/>
  </r>
  <r>
    <x v="12"/>
  </r>
  <r>
    <x v="10"/>
  </r>
  <r>
    <x v="138"/>
  </r>
  <r>
    <x v="63"/>
  </r>
  <r>
    <x v="10"/>
  </r>
  <r>
    <x v="28"/>
  </r>
  <r>
    <x v="53"/>
  </r>
  <r>
    <x v="4"/>
  </r>
  <r>
    <x v="57"/>
  </r>
  <r>
    <x v="17"/>
  </r>
  <r>
    <x v="14"/>
  </r>
  <r>
    <x v="14"/>
  </r>
  <r>
    <x v="71"/>
  </r>
  <r>
    <x v="63"/>
  </r>
  <r>
    <x v="63"/>
  </r>
  <r>
    <x v="87"/>
  </r>
  <r>
    <x v="9"/>
  </r>
  <r>
    <x v="9"/>
  </r>
  <r>
    <x v="4"/>
  </r>
  <r>
    <x v="9"/>
  </r>
  <r>
    <x v="9"/>
  </r>
  <r>
    <x v="16"/>
  </r>
  <r>
    <x v="12"/>
  </r>
  <r>
    <x v="16"/>
  </r>
  <r>
    <x v="16"/>
  </r>
  <r>
    <x v="14"/>
  </r>
  <r>
    <x v="16"/>
  </r>
  <r>
    <x v="16"/>
  </r>
  <r>
    <x v="14"/>
  </r>
  <r>
    <x v="14"/>
  </r>
  <r>
    <x v="16"/>
  </r>
  <r>
    <x v="16"/>
  </r>
  <r>
    <x v="25"/>
  </r>
  <r>
    <x v="4"/>
  </r>
  <r>
    <x v="68"/>
  </r>
  <r>
    <x v="19"/>
  </r>
  <r>
    <x v="22"/>
  </r>
  <r>
    <x v="22"/>
  </r>
  <r>
    <x v="2"/>
  </r>
  <r>
    <x v="2"/>
  </r>
  <r>
    <x v="2"/>
  </r>
  <r>
    <x v="2"/>
  </r>
  <r>
    <x v="2"/>
  </r>
  <r>
    <x v="2"/>
  </r>
  <r>
    <x v="2"/>
  </r>
  <r>
    <x v="2"/>
  </r>
  <r>
    <x v="51"/>
  </r>
  <r>
    <x v="51"/>
  </r>
  <r>
    <x v="78"/>
  </r>
  <r>
    <x v="4"/>
  </r>
  <r>
    <x v="4"/>
  </r>
  <r>
    <x v="42"/>
  </r>
  <r>
    <x v="2"/>
  </r>
  <r>
    <x v="10"/>
  </r>
  <r>
    <x v="14"/>
  </r>
  <r>
    <x v="34"/>
  </r>
  <r>
    <x v="34"/>
  </r>
  <r>
    <x v="21"/>
  </r>
  <r>
    <x v="9"/>
  </r>
  <r>
    <x v="60"/>
  </r>
  <r>
    <x v="16"/>
  </r>
  <r>
    <x v="45"/>
  </r>
  <r>
    <x v="45"/>
  </r>
  <r>
    <x v="111"/>
  </r>
  <r>
    <x v="14"/>
  </r>
  <r>
    <x v="55"/>
  </r>
  <r>
    <x v="31"/>
  </r>
  <r>
    <x v="48"/>
  </r>
  <r>
    <x v="28"/>
  </r>
  <r>
    <x v="2"/>
  </r>
  <r>
    <x v="77"/>
  </r>
  <r>
    <x v="17"/>
  </r>
  <r>
    <x v="16"/>
  </r>
  <r>
    <x v="45"/>
  </r>
  <r>
    <x v="45"/>
  </r>
  <r>
    <x v="16"/>
  </r>
  <r>
    <x v="49"/>
  </r>
  <r>
    <x v="45"/>
  </r>
  <r>
    <x v="12"/>
  </r>
  <r>
    <x v="51"/>
  </r>
  <r>
    <x v="51"/>
  </r>
  <r>
    <x v="6"/>
  </r>
  <r>
    <x v="9"/>
  </r>
  <r>
    <x v="16"/>
  </r>
  <r>
    <x v="45"/>
  </r>
  <r>
    <x v="45"/>
  </r>
  <r>
    <x v="45"/>
  </r>
  <r>
    <x v="45"/>
  </r>
  <r>
    <x v="45"/>
  </r>
  <r>
    <x v="6"/>
  </r>
  <r>
    <x v="6"/>
  </r>
  <r>
    <x v="12"/>
  </r>
  <r>
    <x v="59"/>
  </r>
  <r>
    <x v="144"/>
  </r>
  <r>
    <x v="131"/>
  </r>
  <r>
    <x v="131"/>
  </r>
  <r>
    <x v="21"/>
  </r>
  <r>
    <x v="102"/>
  </r>
  <r>
    <x v="28"/>
  </r>
  <r>
    <x v="28"/>
  </r>
  <r>
    <x v="138"/>
  </r>
  <r>
    <x v="11"/>
  </r>
  <r>
    <x v="53"/>
  </r>
  <r>
    <x v="152"/>
  </r>
  <r>
    <x v="68"/>
  </r>
  <r>
    <x v="11"/>
  </r>
  <r>
    <x v="6"/>
  </r>
  <r>
    <x v="4"/>
  </r>
  <r>
    <x v="42"/>
  </r>
  <r>
    <x v="57"/>
  </r>
  <r>
    <x v="12"/>
  </r>
  <r>
    <x v="12"/>
  </r>
  <r>
    <x v="28"/>
  </r>
  <r>
    <x v="160"/>
  </r>
  <r>
    <x v="42"/>
  </r>
  <r>
    <x v="160"/>
  </r>
  <r>
    <x v="42"/>
  </r>
  <r>
    <x v="42"/>
  </r>
  <r>
    <x v="17"/>
  </r>
  <r>
    <x v="12"/>
  </r>
  <r>
    <x v="49"/>
  </r>
  <r>
    <x v="49"/>
  </r>
  <r>
    <x v="49"/>
  </r>
  <r>
    <x v="0"/>
  </r>
  <r>
    <x v="14"/>
  </r>
  <r>
    <x v="14"/>
  </r>
  <r>
    <x v="14"/>
  </r>
  <r>
    <x v="4"/>
  </r>
  <r>
    <x v="4"/>
  </r>
  <r>
    <x v="48"/>
  </r>
  <r>
    <x v="14"/>
  </r>
  <r>
    <x v="59"/>
  </r>
  <r>
    <x v="11"/>
  </r>
  <r>
    <x v="123"/>
  </r>
  <r>
    <x v="16"/>
  </r>
  <r>
    <x v="4"/>
  </r>
  <r>
    <x v="16"/>
  </r>
  <r>
    <x v="28"/>
  </r>
  <r>
    <x v="28"/>
  </r>
  <r>
    <x v="55"/>
  </r>
  <r>
    <x v="55"/>
  </r>
  <r>
    <x v="17"/>
  </r>
  <r>
    <x v="6"/>
  </r>
  <r>
    <x v="4"/>
  </r>
  <r>
    <x v="2"/>
  </r>
  <r>
    <x v="4"/>
  </r>
  <r>
    <x v="44"/>
  </r>
  <r>
    <x v="34"/>
  </r>
  <r>
    <x v="37"/>
  </r>
  <r>
    <x v="49"/>
  </r>
  <r>
    <x v="0"/>
  </r>
  <r>
    <x v="49"/>
  </r>
  <r>
    <x v="48"/>
  </r>
  <r>
    <x v="49"/>
  </r>
  <r>
    <x v="55"/>
  </r>
  <r>
    <x v="37"/>
  </r>
  <r>
    <x v="9"/>
  </r>
  <r>
    <x v="284"/>
  </r>
  <r>
    <x v="10"/>
  </r>
  <r>
    <x v="34"/>
  </r>
  <r>
    <x v="16"/>
  </r>
  <r>
    <x v="8"/>
  </r>
  <r>
    <x v="16"/>
  </r>
  <r>
    <x v="9"/>
  </r>
  <r>
    <x v="0"/>
  </r>
  <r>
    <x v="14"/>
  </r>
  <r>
    <x v="17"/>
  </r>
  <r>
    <x v="0"/>
  </r>
  <r>
    <x v="2"/>
  </r>
  <r>
    <x v="34"/>
  </r>
  <r>
    <x v="34"/>
  </r>
  <r>
    <x v="56"/>
  </r>
  <r>
    <x v="2"/>
  </r>
  <r>
    <x v="8"/>
  </r>
  <r>
    <x v="2"/>
  </r>
  <r>
    <x v="45"/>
  </r>
  <r>
    <x v="45"/>
  </r>
  <r>
    <x v="45"/>
  </r>
  <r>
    <x v="45"/>
  </r>
  <r>
    <x v="45"/>
  </r>
  <r>
    <x v="4"/>
  </r>
  <r>
    <x v="7"/>
  </r>
  <r>
    <x v="7"/>
  </r>
  <r>
    <x v="7"/>
  </r>
  <r>
    <x v="7"/>
  </r>
  <r>
    <x v="7"/>
  </r>
  <r>
    <x v="7"/>
  </r>
  <r>
    <x v="7"/>
  </r>
  <r>
    <x v="7"/>
  </r>
  <r>
    <x v="7"/>
  </r>
  <r>
    <x v="152"/>
  </r>
  <r>
    <x v="56"/>
  </r>
  <r>
    <x v="0"/>
  </r>
  <r>
    <x v="36"/>
  </r>
  <r>
    <x v="68"/>
  </r>
  <r>
    <x v="33"/>
  </r>
  <r>
    <x v="14"/>
  </r>
  <r>
    <x v="19"/>
  </r>
  <r>
    <x v="16"/>
  </r>
  <r>
    <x v="7"/>
  </r>
  <r>
    <x v="16"/>
  </r>
  <r>
    <x v="100"/>
  </r>
  <r>
    <x v="8"/>
  </r>
  <r>
    <x v="4"/>
  </r>
  <r>
    <x v="26"/>
  </r>
  <r>
    <x v="55"/>
  </r>
  <r>
    <x v="55"/>
  </r>
  <r>
    <x v="55"/>
  </r>
  <r>
    <x v="29"/>
  </r>
  <r>
    <x v="42"/>
  </r>
  <r>
    <x v="29"/>
  </r>
  <r>
    <x v="55"/>
  </r>
  <r>
    <x v="30"/>
  </r>
  <r>
    <x v="14"/>
  </r>
  <r>
    <x v="8"/>
  </r>
  <r>
    <x v="10"/>
  </r>
  <r>
    <x v="14"/>
  </r>
  <r>
    <x v="138"/>
  </r>
  <r>
    <x v="138"/>
  </r>
  <r>
    <x v="21"/>
  </r>
  <r>
    <x v="14"/>
  </r>
  <r>
    <x v="4"/>
  </r>
  <r>
    <x v="14"/>
  </r>
  <r>
    <x v="14"/>
  </r>
  <r>
    <x v="14"/>
  </r>
  <r>
    <x v="0"/>
  </r>
  <r>
    <x v="9"/>
  </r>
  <r>
    <x v="14"/>
  </r>
  <r>
    <x v="10"/>
  </r>
  <r>
    <x v="17"/>
  </r>
  <r>
    <x v="42"/>
  </r>
  <r>
    <x v="10"/>
  </r>
  <r>
    <x v="14"/>
  </r>
  <r>
    <x v="56"/>
  </r>
  <r>
    <x v="86"/>
  </r>
  <r>
    <x v="28"/>
  </r>
  <r>
    <x v="17"/>
  </r>
  <r>
    <x v="11"/>
  </r>
  <r>
    <x v="17"/>
  </r>
  <r>
    <x v="9"/>
  </r>
  <r>
    <x v="17"/>
  </r>
  <r>
    <x v="45"/>
  </r>
  <r>
    <x v="2"/>
  </r>
  <r>
    <x v="14"/>
  </r>
  <r>
    <x v="4"/>
  </r>
  <r>
    <x v="123"/>
  </r>
  <r>
    <x v="0"/>
  </r>
  <r>
    <x v="138"/>
  </r>
  <r>
    <x v="12"/>
  </r>
  <r>
    <x v="10"/>
  </r>
  <r>
    <x v="7"/>
  </r>
  <r>
    <x v="40"/>
  </r>
  <r>
    <x v="123"/>
  </r>
  <r>
    <x v="28"/>
  </r>
  <r>
    <x v="24"/>
  </r>
  <r>
    <x v="6"/>
  </r>
  <r>
    <x v="24"/>
  </r>
  <r>
    <x v="14"/>
  </r>
  <r>
    <x v="14"/>
  </r>
  <r>
    <x v="14"/>
  </r>
  <r>
    <x v="14"/>
  </r>
  <r>
    <x v="12"/>
  </r>
  <r>
    <x v="40"/>
  </r>
  <r>
    <x v="12"/>
  </r>
  <r>
    <x v="165"/>
  </r>
  <r>
    <x v="165"/>
  </r>
  <r>
    <x v="16"/>
  </r>
  <r>
    <x v="21"/>
  </r>
  <r>
    <x v="6"/>
  </r>
  <r>
    <x v="39"/>
  </r>
  <r>
    <x v="12"/>
  </r>
  <r>
    <x v="62"/>
  </r>
  <r>
    <x v="12"/>
  </r>
  <r>
    <x v="16"/>
  </r>
  <r>
    <x v="11"/>
  </r>
  <r>
    <x v="7"/>
  </r>
  <r>
    <x v="28"/>
  </r>
  <r>
    <x v="7"/>
  </r>
  <r>
    <x v="28"/>
  </r>
  <r>
    <x v="28"/>
  </r>
  <r>
    <x v="28"/>
  </r>
  <r>
    <x v="7"/>
  </r>
  <r>
    <x v="28"/>
  </r>
  <r>
    <x v="7"/>
  </r>
  <r>
    <x v="28"/>
  </r>
  <r>
    <x v="7"/>
  </r>
  <r>
    <x v="28"/>
  </r>
  <r>
    <x v="162"/>
  </r>
  <r>
    <x v="162"/>
  </r>
  <r>
    <x v="24"/>
  </r>
  <r>
    <x v="87"/>
  </r>
  <r>
    <x v="16"/>
  </r>
  <r>
    <x v="21"/>
  </r>
  <r>
    <x v="16"/>
  </r>
  <r>
    <x v="16"/>
  </r>
  <r>
    <x v="7"/>
  </r>
  <r>
    <x v="0"/>
  </r>
  <r>
    <x v="40"/>
  </r>
  <r>
    <x v="100"/>
  </r>
  <r>
    <x v="105"/>
  </r>
  <r>
    <x v="78"/>
  </r>
  <r>
    <x v="10"/>
  </r>
  <r>
    <x v="139"/>
  </r>
  <r>
    <x v="12"/>
  </r>
  <r>
    <x v="105"/>
  </r>
  <r>
    <x v="11"/>
  </r>
  <r>
    <x v="14"/>
  </r>
  <r>
    <x v="37"/>
  </r>
  <r>
    <x v="9"/>
  </r>
  <r>
    <x v="40"/>
  </r>
  <r>
    <x v="15"/>
  </r>
  <r>
    <x v="25"/>
  </r>
  <r>
    <x v="14"/>
  </r>
  <r>
    <x v="19"/>
  </r>
  <r>
    <x v="36"/>
  </r>
  <r>
    <x v="9"/>
  </r>
  <r>
    <x v="21"/>
  </r>
  <r>
    <x v="21"/>
  </r>
  <r>
    <x v="21"/>
  </r>
  <r>
    <x v="7"/>
  </r>
  <r>
    <x v="23"/>
  </r>
  <r>
    <x v="28"/>
  </r>
  <r>
    <x v="7"/>
  </r>
  <r>
    <x v="53"/>
  </r>
  <r>
    <x v="14"/>
  </r>
  <r>
    <x v="34"/>
  </r>
  <r>
    <x v="115"/>
  </r>
  <r>
    <x v="42"/>
  </r>
  <r>
    <x v="14"/>
  </r>
  <r>
    <x v="12"/>
  </r>
  <r>
    <x v="7"/>
  </r>
  <r>
    <x v="7"/>
  </r>
  <r>
    <x v="12"/>
  </r>
  <r>
    <x v="49"/>
  </r>
  <r>
    <x v="42"/>
  </r>
  <r>
    <x v="76"/>
  </r>
  <r>
    <x v="14"/>
  </r>
  <r>
    <x v="14"/>
  </r>
  <r>
    <x v="0"/>
  </r>
  <r>
    <x v="21"/>
  </r>
  <r>
    <x v="9"/>
  </r>
  <r>
    <x v="28"/>
  </r>
  <r>
    <x v="63"/>
  </r>
  <r>
    <x v="48"/>
  </r>
  <r>
    <x v="49"/>
  </r>
  <r>
    <x v="72"/>
  </r>
  <r>
    <x v="49"/>
  </r>
  <r>
    <x v="4"/>
  </r>
  <r>
    <x v="37"/>
  </r>
  <r>
    <x v="37"/>
  </r>
  <r>
    <x v="37"/>
  </r>
  <r>
    <x v="31"/>
  </r>
  <r>
    <x v="4"/>
  </r>
  <r>
    <x v="16"/>
  </r>
  <r>
    <x v="19"/>
  </r>
  <r>
    <x v="19"/>
  </r>
  <r>
    <x v="84"/>
  </r>
  <r>
    <x v="84"/>
  </r>
  <r>
    <x v="84"/>
  </r>
  <r>
    <x v="84"/>
  </r>
  <r>
    <x v="37"/>
  </r>
  <r>
    <x v="18"/>
  </r>
  <r>
    <x v="4"/>
  </r>
  <r>
    <x v="76"/>
  </r>
  <r>
    <x v="4"/>
  </r>
  <r>
    <x v="4"/>
  </r>
  <r>
    <x v="45"/>
  </r>
  <r>
    <x v="8"/>
  </r>
  <r>
    <x v="76"/>
  </r>
  <r>
    <x v="0"/>
  </r>
  <r>
    <x v="29"/>
  </r>
  <r>
    <x v="48"/>
  </r>
  <r>
    <x v="76"/>
  </r>
  <r>
    <x v="12"/>
  </r>
  <r>
    <x v="12"/>
  </r>
  <r>
    <x v="12"/>
  </r>
  <r>
    <x v="12"/>
  </r>
  <r>
    <x v="45"/>
  </r>
  <r>
    <x v="12"/>
  </r>
  <r>
    <x v="12"/>
  </r>
  <r>
    <x v="12"/>
  </r>
  <r>
    <x v="12"/>
  </r>
  <r>
    <x v="12"/>
  </r>
  <r>
    <x v="67"/>
  </r>
  <r>
    <x v="6"/>
  </r>
  <r>
    <x v="14"/>
  </r>
  <r>
    <x v="14"/>
  </r>
  <r>
    <x v="9"/>
  </r>
  <r>
    <x v="56"/>
  </r>
  <r>
    <x v="56"/>
  </r>
  <r>
    <x v="53"/>
  </r>
  <r>
    <x v="130"/>
  </r>
  <r>
    <x v="46"/>
  </r>
  <r>
    <x v="23"/>
  </r>
  <r>
    <x v="7"/>
  </r>
  <r>
    <x v="12"/>
  </r>
  <r>
    <x v="12"/>
  </r>
  <r>
    <x v="12"/>
  </r>
  <r>
    <x v="11"/>
  </r>
  <r>
    <x v="46"/>
  </r>
  <r>
    <x v="24"/>
  </r>
  <r>
    <x v="78"/>
  </r>
  <r>
    <x v="10"/>
  </r>
  <r>
    <x v="1"/>
  </r>
  <r>
    <x v="1"/>
  </r>
  <r>
    <x v="86"/>
  </r>
  <r>
    <x v="17"/>
  </r>
  <r>
    <x v="10"/>
  </r>
  <r>
    <x v="36"/>
  </r>
  <r>
    <x v="37"/>
  </r>
  <r>
    <x v="36"/>
  </r>
  <r>
    <x v="0"/>
  </r>
  <r>
    <x v="0"/>
  </r>
  <r>
    <x v="81"/>
  </r>
  <r>
    <x v="69"/>
  </r>
  <r>
    <x v="12"/>
  </r>
  <r>
    <x v="4"/>
  </r>
  <r>
    <x v="45"/>
  </r>
  <r>
    <x v="9"/>
  </r>
  <r>
    <x v="16"/>
  </r>
  <r>
    <x v="76"/>
  </r>
  <r>
    <x v="83"/>
  </r>
  <r>
    <x v="3"/>
  </r>
  <r>
    <x v="71"/>
  </r>
  <r>
    <x v="14"/>
  </r>
  <r>
    <x v="17"/>
  </r>
  <r>
    <x v="48"/>
  </r>
  <r>
    <x v="81"/>
  </r>
  <r>
    <x v="8"/>
  </r>
  <r>
    <x v="86"/>
  </r>
  <r>
    <x v="9"/>
  </r>
  <r>
    <x v="0"/>
  </r>
  <r>
    <x v="29"/>
  </r>
  <r>
    <x v="80"/>
  </r>
  <r>
    <x v="123"/>
  </r>
  <r>
    <x v="29"/>
  </r>
  <r>
    <x v="42"/>
  </r>
  <r>
    <x v="8"/>
  </r>
  <r>
    <x v="39"/>
  </r>
  <r>
    <x v="14"/>
  </r>
  <r>
    <x v="167"/>
  </r>
  <r>
    <x v="138"/>
  </r>
  <r>
    <x v="138"/>
  </r>
  <r>
    <x v="48"/>
  </r>
  <r>
    <x v="28"/>
  </r>
  <r>
    <x v="14"/>
  </r>
  <r>
    <x v="12"/>
  </r>
  <r>
    <x v="84"/>
  </r>
  <r>
    <x v="28"/>
  </r>
  <r>
    <x v="28"/>
  </r>
  <r>
    <x v="28"/>
  </r>
  <r>
    <x v="49"/>
  </r>
  <r>
    <x v="14"/>
  </r>
  <r>
    <x v="31"/>
  </r>
  <r>
    <x v="11"/>
  </r>
  <r>
    <x v="11"/>
  </r>
  <r>
    <x v="31"/>
  </r>
  <r>
    <x v="6"/>
  </r>
  <r>
    <x v="6"/>
  </r>
  <r>
    <x v="14"/>
  </r>
  <r>
    <x v="72"/>
  </r>
  <r>
    <x v="22"/>
  </r>
  <r>
    <x v="0"/>
  </r>
  <r>
    <x v="105"/>
  </r>
  <r>
    <x v="11"/>
  </r>
  <r>
    <x v="3"/>
  </r>
  <r>
    <x v="6"/>
  </r>
  <r>
    <x v="45"/>
  </r>
  <r>
    <x v="111"/>
  </r>
  <r>
    <x v="49"/>
  </r>
  <r>
    <x v="18"/>
  </r>
  <r>
    <x v="17"/>
  </r>
  <r>
    <x v="27"/>
  </r>
  <r>
    <x v="49"/>
  </r>
  <r>
    <x v="49"/>
  </r>
  <r>
    <x v="17"/>
  </r>
  <r>
    <x v="17"/>
  </r>
  <r>
    <x v="14"/>
  </r>
  <r>
    <x v="11"/>
  </r>
  <r>
    <x v="9"/>
  </r>
  <r>
    <x v="31"/>
  </r>
  <r>
    <x v="56"/>
  </r>
  <r>
    <x v="111"/>
  </r>
  <r>
    <x v="14"/>
  </r>
  <r>
    <x v="68"/>
  </r>
  <r>
    <x v="45"/>
  </r>
  <r>
    <x v="28"/>
  </r>
  <r>
    <x v="111"/>
  </r>
  <r>
    <x v="28"/>
  </r>
  <r>
    <x v="28"/>
  </r>
  <r>
    <x v="12"/>
  </r>
  <r>
    <x v="3"/>
  </r>
  <r>
    <x v="48"/>
  </r>
  <r>
    <x v="12"/>
  </r>
  <r>
    <x v="165"/>
  </r>
  <r>
    <x v="144"/>
  </r>
  <r>
    <x v="45"/>
  </r>
  <r>
    <x v="76"/>
  </r>
  <r>
    <x v="17"/>
  </r>
  <r>
    <x v="22"/>
  </r>
  <r>
    <x v="39"/>
  </r>
  <r>
    <x v="49"/>
  </r>
  <r>
    <x v="0"/>
  </r>
  <r>
    <x v="11"/>
  </r>
  <r>
    <x v="11"/>
  </r>
  <r>
    <x v="29"/>
  </r>
  <r>
    <x v="29"/>
  </r>
  <r>
    <x v="28"/>
  </r>
  <r>
    <x v="12"/>
  </r>
  <r>
    <x v="48"/>
  </r>
  <r>
    <x v="48"/>
  </r>
  <r>
    <x v="12"/>
  </r>
  <r>
    <x v="14"/>
  </r>
  <r>
    <x v="19"/>
  </r>
  <r>
    <x v="0"/>
  </r>
  <r>
    <x v="4"/>
  </r>
  <r>
    <x v="10"/>
  </r>
  <r>
    <x v="10"/>
  </r>
  <r>
    <x v="28"/>
  </r>
  <r>
    <x v="21"/>
  </r>
  <r>
    <x v="34"/>
  </r>
  <r>
    <x v="21"/>
  </r>
  <r>
    <x v="16"/>
  </r>
  <r>
    <x v="2"/>
  </r>
  <r>
    <x v="14"/>
  </r>
  <r>
    <x v="6"/>
  </r>
  <r>
    <x v="17"/>
  </r>
  <r>
    <x v="18"/>
  </r>
  <r>
    <x v="9"/>
  </r>
  <r>
    <x v="17"/>
  </r>
  <r>
    <x v="26"/>
  </r>
  <r>
    <x v="40"/>
  </r>
  <r>
    <x v="7"/>
  </r>
  <r>
    <x v="14"/>
  </r>
  <r>
    <x v="42"/>
  </r>
  <r>
    <x v="53"/>
  </r>
  <r>
    <x v="53"/>
  </r>
  <r>
    <x v="0"/>
  </r>
  <r>
    <x v="53"/>
  </r>
  <r>
    <x v="53"/>
  </r>
  <r>
    <x v="53"/>
  </r>
  <r>
    <x v="126"/>
  </r>
  <r>
    <x v="26"/>
  </r>
  <r>
    <x v="0"/>
  </r>
  <r>
    <x v="24"/>
  </r>
  <r>
    <x v="21"/>
  </r>
  <r>
    <x v="30"/>
  </r>
  <r>
    <x v="14"/>
  </r>
  <r>
    <x v="12"/>
  </r>
  <r>
    <x v="42"/>
  </r>
  <r>
    <x v="28"/>
  </r>
  <r>
    <x v="10"/>
  </r>
  <r>
    <x v="17"/>
  </r>
  <r>
    <x v="8"/>
  </r>
  <r>
    <x v="9"/>
  </r>
  <r>
    <x v="9"/>
  </r>
  <r>
    <x v="28"/>
  </r>
  <r>
    <x v="0"/>
  </r>
  <r>
    <x v="78"/>
  </r>
  <r>
    <x v="37"/>
  </r>
  <r>
    <x v="8"/>
  </r>
  <r>
    <x v="8"/>
  </r>
  <r>
    <x v="0"/>
  </r>
  <r>
    <x v="11"/>
  </r>
  <r>
    <x v="0"/>
  </r>
  <r>
    <x v="4"/>
  </r>
  <r>
    <x v="4"/>
  </r>
  <r>
    <x v="8"/>
  </r>
  <r>
    <x v="8"/>
  </r>
  <r>
    <x v="58"/>
  </r>
  <r>
    <x v="58"/>
  </r>
  <r>
    <x v="74"/>
  </r>
  <r>
    <x v="58"/>
  </r>
  <r>
    <x v="58"/>
  </r>
  <r>
    <x v="58"/>
  </r>
  <r>
    <x v="17"/>
  </r>
  <r>
    <x v="8"/>
  </r>
  <r>
    <x v="17"/>
  </r>
  <r>
    <x v="8"/>
  </r>
  <r>
    <x v="16"/>
  </r>
  <r>
    <x v="34"/>
  </r>
  <r>
    <x v="28"/>
  </r>
  <r>
    <x v="28"/>
  </r>
  <r>
    <x v="246"/>
  </r>
  <r>
    <x v="14"/>
  </r>
  <r>
    <x v="12"/>
  </r>
  <r>
    <x v="37"/>
  </r>
  <r>
    <x v="44"/>
  </r>
  <r>
    <x v="7"/>
  </r>
  <r>
    <x v="37"/>
  </r>
  <r>
    <x v="21"/>
  </r>
  <r>
    <x v="12"/>
  </r>
  <r>
    <x v="16"/>
  </r>
  <r>
    <x v="28"/>
  </r>
  <r>
    <x v="17"/>
  </r>
  <r>
    <x v="52"/>
  </r>
  <r>
    <x v="4"/>
  </r>
  <r>
    <x v="21"/>
  </r>
  <r>
    <x v="17"/>
  </r>
  <r>
    <x v="224"/>
  </r>
  <r>
    <x v="28"/>
  </r>
  <r>
    <x v="28"/>
  </r>
  <r>
    <x v="28"/>
  </r>
  <r>
    <x v="0"/>
  </r>
  <r>
    <x v="28"/>
  </r>
  <r>
    <x v="10"/>
  </r>
  <r>
    <x v="17"/>
  </r>
  <r>
    <x v="12"/>
  </r>
  <r>
    <x v="112"/>
  </r>
  <r>
    <x v="12"/>
  </r>
  <r>
    <x v="19"/>
  </r>
  <r>
    <x v="9"/>
  </r>
  <r>
    <x v="9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9"/>
  </r>
  <r>
    <x v="45"/>
  </r>
  <r>
    <x v="12"/>
  </r>
  <r>
    <x v="12"/>
  </r>
  <r>
    <x v="10"/>
  </r>
  <r>
    <x v="55"/>
  </r>
  <r>
    <x v="55"/>
  </r>
  <r>
    <x v="55"/>
  </r>
  <r>
    <x v="78"/>
  </r>
  <r>
    <x v="78"/>
  </r>
  <r>
    <x v="78"/>
  </r>
  <r>
    <x v="14"/>
  </r>
  <r>
    <x v="14"/>
  </r>
  <r>
    <x v="16"/>
  </r>
  <r>
    <x v="16"/>
  </r>
  <r>
    <x v="48"/>
  </r>
  <r>
    <x v="4"/>
  </r>
  <r>
    <x v="4"/>
  </r>
  <r>
    <x v="16"/>
  </r>
  <r>
    <x v="4"/>
  </r>
  <r>
    <x v="4"/>
  </r>
  <r>
    <x v="12"/>
  </r>
  <r>
    <x v="12"/>
  </r>
  <r>
    <x v="12"/>
  </r>
  <r>
    <x v="12"/>
  </r>
  <r>
    <x v="12"/>
  </r>
  <r>
    <x v="12"/>
  </r>
  <r>
    <x v="14"/>
  </r>
  <r>
    <x v="14"/>
  </r>
  <r>
    <x v="15"/>
  </r>
  <r>
    <x v="15"/>
  </r>
  <r>
    <x v="15"/>
  </r>
  <r>
    <x v="24"/>
  </r>
  <r>
    <x v="15"/>
  </r>
  <r>
    <x v="12"/>
  </r>
  <r>
    <x v="12"/>
  </r>
  <r>
    <x v="4"/>
  </r>
  <r>
    <x v="2"/>
  </r>
  <r>
    <x v="2"/>
  </r>
  <r>
    <x v="11"/>
  </r>
  <r>
    <x v="45"/>
  </r>
  <r>
    <x v="9"/>
  </r>
  <r>
    <x v="37"/>
  </r>
  <r>
    <x v="4"/>
  </r>
  <r>
    <x v="115"/>
  </r>
  <r>
    <x v="7"/>
  </r>
  <r>
    <x v="16"/>
  </r>
  <r>
    <x v="111"/>
  </r>
  <r>
    <x v="12"/>
  </r>
  <r>
    <x v="68"/>
  </r>
  <r>
    <x v="34"/>
  </r>
  <r>
    <x v="4"/>
  </r>
  <r>
    <x v="10"/>
  </r>
  <r>
    <x v="55"/>
  </r>
  <r>
    <x v="27"/>
  </r>
  <r>
    <x v="21"/>
  </r>
  <r>
    <x v="16"/>
  </r>
  <r>
    <x v="2"/>
  </r>
  <r>
    <x v="4"/>
  </r>
  <r>
    <x v="4"/>
  </r>
  <r>
    <x v="16"/>
  </r>
  <r>
    <x v="12"/>
  </r>
  <r>
    <x v="0"/>
  </r>
  <r>
    <x v="4"/>
  </r>
  <r>
    <x v="4"/>
  </r>
  <r>
    <x v="19"/>
  </r>
  <r>
    <x v="19"/>
  </r>
  <r>
    <x v="4"/>
  </r>
  <r>
    <x v="16"/>
  </r>
  <r>
    <x v="9"/>
  </r>
  <r>
    <x v="12"/>
  </r>
  <r>
    <x v="52"/>
  </r>
  <r>
    <x v="12"/>
  </r>
  <r>
    <x v="12"/>
  </r>
  <r>
    <x v="10"/>
  </r>
  <r>
    <x v="14"/>
  </r>
  <r>
    <x v="266"/>
  </r>
  <r>
    <x v="45"/>
  </r>
  <r>
    <x v="4"/>
  </r>
  <r>
    <x v="12"/>
  </r>
  <r>
    <x v="76"/>
  </r>
  <r>
    <x v="0"/>
  </r>
  <r>
    <x v="2"/>
  </r>
  <r>
    <x v="130"/>
  </r>
  <r>
    <x v="15"/>
  </r>
  <r>
    <x v="53"/>
  </r>
  <r>
    <x v="19"/>
  </r>
  <r>
    <x v="14"/>
  </r>
  <r>
    <x v="4"/>
  </r>
  <r>
    <x v="14"/>
  </r>
  <r>
    <x v="37"/>
  </r>
  <r>
    <x v="0"/>
  </r>
  <r>
    <x v="22"/>
  </r>
  <r>
    <x v="0"/>
  </r>
  <r>
    <x v="37"/>
  </r>
  <r>
    <x v="17"/>
  </r>
  <r>
    <x v="115"/>
  </r>
  <r>
    <x v="16"/>
  </r>
  <r>
    <x v="16"/>
  </r>
  <r>
    <x v="14"/>
  </r>
  <r>
    <x v="10"/>
  </r>
  <r>
    <x v="37"/>
  </r>
  <r>
    <x v="16"/>
  </r>
  <r>
    <x v="16"/>
  </r>
  <r>
    <x v="12"/>
  </r>
  <r>
    <x v="16"/>
  </r>
  <r>
    <x v="28"/>
  </r>
  <r>
    <x v="69"/>
  </r>
  <r>
    <x v="69"/>
  </r>
  <r>
    <x v="69"/>
  </r>
  <r>
    <x v="69"/>
  </r>
  <r>
    <x v="69"/>
  </r>
  <r>
    <x v="69"/>
  </r>
  <r>
    <x v="0"/>
  </r>
  <r>
    <x v="4"/>
  </r>
  <r>
    <x v="12"/>
  </r>
  <r>
    <x v="12"/>
  </r>
  <r>
    <x v="8"/>
  </r>
  <r>
    <x v="25"/>
  </r>
  <r>
    <x v="14"/>
  </r>
  <r>
    <x v="9"/>
  </r>
  <r>
    <x v="14"/>
  </r>
  <r>
    <x v="16"/>
  </r>
  <r>
    <x v="57"/>
  </r>
  <r>
    <x v="12"/>
  </r>
  <r>
    <x v="55"/>
  </r>
  <r>
    <x v="21"/>
  </r>
  <r>
    <x v="37"/>
  </r>
  <r>
    <x v="37"/>
  </r>
  <r>
    <x v="19"/>
  </r>
  <r>
    <x v="12"/>
  </r>
  <r>
    <x v="115"/>
  </r>
  <r>
    <x v="11"/>
  </r>
  <r>
    <x v="11"/>
  </r>
  <r>
    <x v="11"/>
  </r>
  <r>
    <x v="115"/>
  </r>
  <r>
    <x v="7"/>
  </r>
  <r>
    <x v="9"/>
  </r>
  <r>
    <x v="6"/>
  </r>
  <r>
    <x v="9"/>
  </r>
  <r>
    <x v="28"/>
  </r>
  <r>
    <x v="28"/>
  </r>
  <r>
    <x v="28"/>
  </r>
  <r>
    <x v="28"/>
  </r>
  <r>
    <x v="28"/>
  </r>
  <r>
    <x v="4"/>
  </r>
  <r>
    <x v="133"/>
  </r>
  <r>
    <x v="12"/>
  </r>
  <r>
    <x v="4"/>
  </r>
  <r>
    <x v="52"/>
  </r>
  <r>
    <x v="12"/>
  </r>
  <r>
    <x v="37"/>
  </r>
  <r>
    <x v="115"/>
  </r>
  <r>
    <x v="17"/>
  </r>
  <r>
    <x v="0"/>
  </r>
  <r>
    <x v="37"/>
  </r>
  <r>
    <x v="12"/>
  </r>
  <r>
    <x v="0"/>
  </r>
  <r>
    <x v="17"/>
  </r>
  <r>
    <x v="28"/>
  </r>
  <r>
    <x v="9"/>
  </r>
  <r>
    <x v="19"/>
  </r>
  <r>
    <x v="4"/>
  </r>
  <r>
    <x v="12"/>
  </r>
  <r>
    <x v="6"/>
  </r>
  <r>
    <x v="163"/>
  </r>
  <r>
    <x v="4"/>
  </r>
  <r>
    <x v="12"/>
  </r>
  <r>
    <x v="4"/>
  </r>
  <r>
    <x v="10"/>
  </r>
  <r>
    <x v="12"/>
  </r>
  <r>
    <x v="25"/>
  </r>
  <r>
    <x v="37"/>
  </r>
  <r>
    <x v="7"/>
  </r>
  <r>
    <x v="9"/>
  </r>
  <r>
    <x v="9"/>
  </r>
  <r>
    <x v="14"/>
  </r>
  <r>
    <x v="1"/>
  </r>
  <r>
    <x v="42"/>
  </r>
  <r>
    <x v="42"/>
  </r>
  <r>
    <x v="108"/>
  </r>
  <r>
    <x v="21"/>
  </r>
  <r>
    <x v="42"/>
  </r>
  <r>
    <x v="4"/>
  </r>
  <r>
    <x v="12"/>
  </r>
  <r>
    <x v="12"/>
  </r>
  <r>
    <x v="12"/>
  </r>
  <r>
    <x v="12"/>
  </r>
  <r>
    <x v="19"/>
  </r>
  <r>
    <x v="67"/>
  </r>
  <r>
    <x v="4"/>
  </r>
  <r>
    <x v="0"/>
  </r>
  <r>
    <x v="10"/>
  </r>
  <r>
    <x v="12"/>
  </r>
  <r>
    <x v="33"/>
  </r>
  <r>
    <x v="10"/>
  </r>
  <r>
    <x v="12"/>
  </r>
  <r>
    <x v="33"/>
  </r>
  <r>
    <x v="16"/>
  </r>
  <r>
    <x v="34"/>
  </r>
  <r>
    <x v="34"/>
  </r>
  <r>
    <x v="34"/>
  </r>
  <r>
    <x v="34"/>
  </r>
  <r>
    <x v="34"/>
  </r>
  <r>
    <x v="28"/>
  </r>
  <r>
    <x v="28"/>
  </r>
  <r>
    <x v="12"/>
  </r>
  <r>
    <x v="12"/>
  </r>
  <r>
    <x v="12"/>
  </r>
  <r>
    <x v="10"/>
  </r>
  <r>
    <x v="1"/>
  </r>
  <r>
    <x v="9"/>
  </r>
  <r>
    <x v="14"/>
  </r>
  <r>
    <x v="14"/>
  </r>
  <r>
    <x v="14"/>
  </r>
  <r>
    <x v="1"/>
  </r>
  <r>
    <x v="17"/>
  </r>
  <r>
    <x v="7"/>
  </r>
  <r>
    <x v="1"/>
  </r>
  <r>
    <x v="1"/>
  </r>
  <r>
    <x v="16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2"/>
  </r>
  <r>
    <x v="16"/>
  </r>
  <r>
    <x v="57"/>
  </r>
  <r>
    <x v="28"/>
  </r>
  <r>
    <x v="31"/>
  </r>
  <r>
    <x v="42"/>
  </r>
  <r>
    <x v="42"/>
  </r>
  <r>
    <x v="42"/>
  </r>
  <r>
    <x v="42"/>
  </r>
  <r>
    <x v="57"/>
  </r>
  <r>
    <x v="34"/>
  </r>
  <r>
    <x v="69"/>
  </r>
  <r>
    <x v="69"/>
  </r>
  <r>
    <x v="11"/>
  </r>
  <r>
    <x v="28"/>
  </r>
  <r>
    <x v="28"/>
  </r>
  <r>
    <x v="28"/>
  </r>
  <r>
    <x v="16"/>
  </r>
  <r>
    <x v="115"/>
  </r>
  <r>
    <x v="16"/>
  </r>
  <r>
    <x v="115"/>
  </r>
  <r>
    <x v="115"/>
  </r>
  <r>
    <x v="115"/>
  </r>
  <r>
    <x v="115"/>
  </r>
  <r>
    <x v="16"/>
  </r>
  <r>
    <x v="130"/>
  </r>
  <r>
    <x v="0"/>
  </r>
  <r>
    <x v="19"/>
  </r>
  <r>
    <x v="21"/>
  </r>
  <r>
    <x v="57"/>
  </r>
  <r>
    <x v="2"/>
  </r>
  <r>
    <x v="21"/>
  </r>
  <r>
    <x v="27"/>
  </r>
  <r>
    <x v="57"/>
  </r>
  <r>
    <x v="57"/>
  </r>
  <r>
    <x v="57"/>
  </r>
  <r>
    <x v="1"/>
  </r>
  <r>
    <x v="1"/>
  </r>
  <r>
    <x v="16"/>
  </r>
  <r>
    <x v="16"/>
  </r>
  <r>
    <x v="7"/>
  </r>
  <r>
    <x v="14"/>
  </r>
  <r>
    <x v="0"/>
  </r>
  <r>
    <x v="0"/>
  </r>
  <r>
    <x v="0"/>
  </r>
  <r>
    <x v="163"/>
  </r>
  <r>
    <x v="163"/>
  </r>
  <r>
    <x v="163"/>
  </r>
  <r>
    <x v="163"/>
  </r>
  <r>
    <x v="68"/>
  </r>
  <r>
    <x v="16"/>
  </r>
  <r>
    <x v="6"/>
  </r>
  <r>
    <x v="14"/>
  </r>
  <r>
    <x v="14"/>
  </r>
  <r>
    <x v="0"/>
  </r>
  <r>
    <x v="0"/>
  </r>
  <r>
    <x v="0"/>
  </r>
  <r>
    <x v="28"/>
  </r>
  <r>
    <x v="4"/>
  </r>
  <r>
    <x v="48"/>
  </r>
  <r>
    <x v="73"/>
  </r>
  <r>
    <x v="4"/>
  </r>
  <r>
    <x v="9"/>
  </r>
  <r>
    <x v="57"/>
  </r>
  <r>
    <x v="4"/>
  </r>
  <r>
    <x v="64"/>
  </r>
  <r>
    <x v="64"/>
  </r>
  <r>
    <x v="14"/>
  </r>
  <r>
    <x v="14"/>
  </r>
  <r>
    <x v="0"/>
  </r>
  <r>
    <x v="16"/>
  </r>
  <r>
    <x v="16"/>
  </r>
  <r>
    <x v="16"/>
  </r>
  <r>
    <x v="192"/>
  </r>
  <r>
    <x v="115"/>
  </r>
  <r>
    <x v="12"/>
  </r>
  <r>
    <x v="16"/>
  </r>
  <r>
    <x v="16"/>
  </r>
  <r>
    <x v="1"/>
  </r>
  <r>
    <x v="65"/>
  </r>
  <r>
    <x v="16"/>
  </r>
  <r>
    <x v="9"/>
  </r>
  <r>
    <x v="68"/>
  </r>
  <r>
    <x v="11"/>
  </r>
  <r>
    <x v="11"/>
  </r>
  <r>
    <x v="28"/>
  </r>
  <r>
    <x v="42"/>
  </r>
  <r>
    <x v="24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16"/>
  </r>
  <r>
    <x v="14"/>
  </r>
  <r>
    <x v="16"/>
  </r>
  <r>
    <x v="34"/>
  </r>
  <r>
    <x v="37"/>
  </r>
  <r>
    <x v="34"/>
  </r>
  <r>
    <x v="34"/>
  </r>
  <r>
    <x v="1"/>
  </r>
  <r>
    <x v="12"/>
  </r>
  <r>
    <x v="183"/>
  </r>
  <r>
    <x v="12"/>
  </r>
  <r>
    <x v="12"/>
  </r>
  <r>
    <x v="28"/>
  </r>
  <r>
    <x v="28"/>
  </r>
  <r>
    <x v="12"/>
  </r>
  <r>
    <x v="16"/>
  </r>
  <r>
    <x v="28"/>
  </r>
  <r>
    <x v="57"/>
  </r>
  <r>
    <x v="0"/>
  </r>
  <r>
    <x v="0"/>
  </r>
  <r>
    <x v="21"/>
  </r>
  <r>
    <x v="12"/>
  </r>
  <r>
    <x v="10"/>
  </r>
  <r>
    <x v="122"/>
  </r>
  <r>
    <x v="4"/>
  </r>
  <r>
    <x v="123"/>
  </r>
  <r>
    <x v="8"/>
  </r>
  <r>
    <x v="6"/>
  </r>
  <r>
    <x v="39"/>
  </r>
  <r>
    <x v="28"/>
  </r>
  <r>
    <x v="12"/>
  </r>
  <r>
    <x v="0"/>
  </r>
  <r>
    <x v="4"/>
  </r>
  <r>
    <x v="0"/>
  </r>
  <r>
    <x v="4"/>
  </r>
  <r>
    <x v="19"/>
  </r>
  <r>
    <x v="2"/>
  </r>
  <r>
    <x v="0"/>
  </r>
  <r>
    <x v="0"/>
  </r>
  <r>
    <x v="10"/>
  </r>
  <r>
    <x v="10"/>
  </r>
  <r>
    <x v="46"/>
  </r>
  <r>
    <x v="9"/>
  </r>
  <r>
    <x v="15"/>
  </r>
  <r>
    <x v="0"/>
  </r>
  <r>
    <x v="40"/>
  </r>
  <r>
    <x v="12"/>
  </r>
  <r>
    <x v="12"/>
  </r>
  <r>
    <x v="0"/>
  </r>
  <r>
    <x v="24"/>
  </r>
  <r>
    <x v="12"/>
  </r>
  <r>
    <x v="12"/>
  </r>
  <r>
    <x v="8"/>
  </r>
  <r>
    <x v="15"/>
  </r>
  <r>
    <x v="33"/>
  </r>
  <r>
    <x v="1"/>
  </r>
  <r>
    <x v="14"/>
  </r>
  <r>
    <x v="10"/>
  </r>
  <r>
    <x v="14"/>
  </r>
  <r>
    <x v="14"/>
  </r>
  <r>
    <x v="14"/>
  </r>
  <r>
    <x v="4"/>
  </r>
  <r>
    <x v="45"/>
  </r>
  <r>
    <x v="4"/>
  </r>
  <r>
    <x v="4"/>
  </r>
  <r>
    <x v="4"/>
  </r>
  <r>
    <x v="22"/>
  </r>
  <r>
    <x v="12"/>
  </r>
  <r>
    <x v="14"/>
  </r>
  <r>
    <x v="4"/>
  </r>
  <r>
    <x v="10"/>
  </r>
  <r>
    <x v="103"/>
  </r>
  <r>
    <x v="64"/>
  </r>
  <r>
    <x v="8"/>
  </r>
  <r>
    <x v="8"/>
  </r>
  <r>
    <x v="37"/>
  </r>
  <r>
    <x v="10"/>
  </r>
  <r>
    <x v="9"/>
  </r>
  <r>
    <x v="9"/>
  </r>
  <r>
    <x v="21"/>
  </r>
  <r>
    <x v="39"/>
  </r>
  <r>
    <x v="10"/>
  </r>
  <r>
    <x v="10"/>
  </r>
  <r>
    <x v="4"/>
  </r>
  <r>
    <x v="39"/>
  </r>
  <r>
    <x v="14"/>
  </r>
  <r>
    <x v="55"/>
  </r>
  <r>
    <x v="4"/>
  </r>
  <r>
    <x v="12"/>
  </r>
  <r>
    <x v="4"/>
  </r>
  <r>
    <x v="4"/>
  </r>
  <r>
    <x v="4"/>
  </r>
  <r>
    <x v="9"/>
  </r>
  <r>
    <x v="4"/>
  </r>
  <r>
    <x v="130"/>
  </r>
  <r>
    <x v="4"/>
  </r>
  <r>
    <x v="9"/>
  </r>
  <r>
    <x v="10"/>
  </r>
  <r>
    <x v="14"/>
  </r>
  <r>
    <x v="12"/>
  </r>
  <r>
    <x v="4"/>
  </r>
  <r>
    <x v="33"/>
  </r>
  <r>
    <x v="10"/>
  </r>
  <r>
    <x v="57"/>
  </r>
  <r>
    <x v="33"/>
  </r>
  <r>
    <x v="12"/>
  </r>
  <r>
    <x v="12"/>
  </r>
  <r>
    <x v="12"/>
  </r>
  <r>
    <x v="39"/>
  </r>
  <r>
    <x v="12"/>
  </r>
  <r>
    <x v="12"/>
  </r>
  <r>
    <x v="10"/>
  </r>
  <r>
    <x v="1"/>
  </r>
  <r>
    <x v="46"/>
  </r>
  <r>
    <x v="14"/>
  </r>
  <r>
    <x v="67"/>
  </r>
  <r>
    <x v="67"/>
  </r>
  <r>
    <x v="55"/>
  </r>
  <r>
    <x v="10"/>
  </r>
  <r>
    <x v="12"/>
  </r>
  <r>
    <x v="34"/>
  </r>
  <r>
    <x v="34"/>
  </r>
  <r>
    <x v="34"/>
  </r>
  <r>
    <x v="4"/>
  </r>
  <r>
    <x v="12"/>
  </r>
  <r>
    <x v="57"/>
  </r>
  <r>
    <x v="28"/>
  </r>
  <r>
    <x v="28"/>
  </r>
  <r>
    <x v="34"/>
  </r>
  <r>
    <x v="12"/>
  </r>
  <r>
    <x v="12"/>
  </r>
  <r>
    <x v="387"/>
  </r>
  <r>
    <x v="4"/>
  </r>
  <r>
    <x v="57"/>
  </r>
  <r>
    <x v="22"/>
  </r>
  <r>
    <x v="22"/>
  </r>
  <r>
    <x v="22"/>
  </r>
  <r>
    <x v="22"/>
  </r>
  <r>
    <x v="151"/>
  </r>
  <r>
    <x v="57"/>
  </r>
  <r>
    <x v="22"/>
  </r>
  <r>
    <x v="22"/>
  </r>
  <r>
    <x v="22"/>
  </r>
  <r>
    <x v="22"/>
  </r>
  <r>
    <x v="22"/>
  </r>
  <r>
    <x v="151"/>
  </r>
  <r>
    <x v="151"/>
  </r>
  <r>
    <x v="57"/>
  </r>
  <r>
    <x v="57"/>
  </r>
  <r>
    <x v="57"/>
  </r>
  <r>
    <x v="37"/>
  </r>
  <r>
    <x v="31"/>
  </r>
  <r>
    <x v="100"/>
  </r>
  <r>
    <x v="23"/>
  </r>
  <r>
    <x v="22"/>
  </r>
  <r>
    <x v="24"/>
  </r>
  <r>
    <x v="141"/>
  </r>
  <r>
    <x v="141"/>
  </r>
  <r>
    <x v="14"/>
  </r>
  <r>
    <x v="2"/>
  </r>
  <r>
    <x v="2"/>
  </r>
  <r>
    <x v="2"/>
  </r>
  <r>
    <x v="2"/>
  </r>
  <r>
    <x v="37"/>
  </r>
  <r>
    <x v="131"/>
  </r>
  <r>
    <x v="48"/>
  </r>
  <r>
    <x v="42"/>
  </r>
  <r>
    <x v="22"/>
  </r>
  <r>
    <x v="2"/>
  </r>
  <r>
    <x v="22"/>
  </r>
  <r>
    <x v="14"/>
  </r>
  <r>
    <x v="8"/>
  </r>
  <r>
    <x v="42"/>
  </r>
  <r>
    <x v="4"/>
  </r>
  <r>
    <x v="152"/>
  </r>
  <r>
    <x v="71"/>
  </r>
  <r>
    <x v="28"/>
  </r>
  <r>
    <x v="28"/>
  </r>
  <r>
    <x v="42"/>
  </r>
  <r>
    <x v="29"/>
  </r>
  <r>
    <x v="144"/>
  </r>
  <r>
    <x v="144"/>
  </r>
  <r>
    <x v="144"/>
  </r>
  <r>
    <x v="53"/>
  </r>
  <r>
    <x v="53"/>
  </r>
  <r>
    <x v="53"/>
  </r>
  <r>
    <x v="54"/>
  </r>
  <r>
    <x v="54"/>
  </r>
  <r>
    <x v="141"/>
  </r>
  <r>
    <x v="10"/>
  </r>
  <r>
    <x v="0"/>
  </r>
  <r>
    <x v="24"/>
  </r>
  <r>
    <x v="24"/>
  </r>
  <r>
    <x v="24"/>
  </r>
  <r>
    <x v="53"/>
  </r>
  <r>
    <x v="53"/>
  </r>
  <r>
    <x v="7"/>
  </r>
  <r>
    <x v="21"/>
  </r>
  <r>
    <x v="21"/>
  </r>
  <r>
    <x v="45"/>
  </r>
  <r>
    <x v="7"/>
  </r>
  <r>
    <x v="7"/>
  </r>
  <r>
    <x v="7"/>
  </r>
  <r>
    <x v="71"/>
  </r>
  <r>
    <x v="71"/>
  </r>
  <r>
    <x v="12"/>
  </r>
  <r>
    <x v="24"/>
  </r>
  <r>
    <x v="24"/>
  </r>
  <r>
    <x v="24"/>
  </r>
  <r>
    <x v="7"/>
  </r>
  <r>
    <x v="8"/>
  </r>
  <r>
    <x v="8"/>
  </r>
  <r>
    <x v="8"/>
  </r>
  <r>
    <x v="8"/>
  </r>
  <r>
    <x v="0"/>
  </r>
  <r>
    <x v="79"/>
  </r>
  <r>
    <x v="9"/>
  </r>
  <r>
    <x v="144"/>
  </r>
  <r>
    <x v="144"/>
  </r>
  <r>
    <x v="14"/>
  </r>
  <r>
    <x v="14"/>
  </r>
  <r>
    <x v="14"/>
  </r>
  <r>
    <x v="37"/>
  </r>
  <r>
    <x v="37"/>
  </r>
  <r>
    <x v="37"/>
  </r>
  <r>
    <x v="37"/>
  </r>
  <r>
    <x v="37"/>
  </r>
  <r>
    <x v="37"/>
  </r>
  <r>
    <x v="57"/>
  </r>
  <r>
    <x v="14"/>
  </r>
  <r>
    <x v="14"/>
  </r>
  <r>
    <x v="14"/>
  </r>
  <r>
    <x v="57"/>
  </r>
  <r>
    <x v="64"/>
  </r>
  <r>
    <x v="9"/>
  </r>
  <r>
    <x v="14"/>
  </r>
  <r>
    <x v="0"/>
  </r>
  <r>
    <x v="79"/>
  </r>
  <r>
    <x v="64"/>
  </r>
  <r>
    <x v="57"/>
  </r>
  <r>
    <x v="21"/>
  </r>
  <r>
    <x v="12"/>
  </r>
  <r>
    <x v="12"/>
  </r>
  <r>
    <x v="12"/>
  </r>
  <r>
    <x v="12"/>
  </r>
  <r>
    <x v="123"/>
  </r>
  <r>
    <x v="28"/>
  </r>
  <r>
    <x v="10"/>
  </r>
  <r>
    <x v="8"/>
  </r>
  <r>
    <x v="8"/>
  </r>
  <r>
    <x v="14"/>
  </r>
  <r>
    <x v="14"/>
  </r>
  <r>
    <x v="19"/>
  </r>
  <r>
    <x v="12"/>
  </r>
  <r>
    <x v="12"/>
  </r>
  <r>
    <x v="10"/>
  </r>
  <r>
    <x v="211"/>
  </r>
  <r>
    <x v="211"/>
  </r>
  <r>
    <x v="211"/>
  </r>
  <r>
    <x v="211"/>
  </r>
  <r>
    <x v="211"/>
  </r>
  <r>
    <x v="22"/>
  </r>
  <r>
    <x v="22"/>
  </r>
  <r>
    <x v="14"/>
  </r>
  <r>
    <x v="14"/>
  </r>
  <r>
    <x v="14"/>
  </r>
  <r>
    <x v="8"/>
  </r>
  <r>
    <x v="8"/>
  </r>
  <r>
    <x v="166"/>
  </r>
  <r>
    <x v="166"/>
  </r>
  <r>
    <x v="28"/>
  </r>
  <r>
    <x v="45"/>
  </r>
  <r>
    <x v="14"/>
  </r>
  <r>
    <x v="37"/>
  </r>
  <r>
    <x v="28"/>
  </r>
  <r>
    <x v="9"/>
  </r>
  <r>
    <x v="37"/>
  </r>
  <r>
    <x v="54"/>
  </r>
  <r>
    <x v="37"/>
  </r>
  <r>
    <x v="48"/>
  </r>
  <r>
    <x v="28"/>
  </r>
  <r>
    <x v="56"/>
  </r>
  <r>
    <x v="37"/>
  </r>
  <r>
    <x v="141"/>
  </r>
  <r>
    <x v="37"/>
  </r>
  <r>
    <x v="12"/>
  </r>
  <r>
    <x v="63"/>
  </r>
  <r>
    <x v="71"/>
  </r>
  <r>
    <x v="28"/>
  </r>
  <r>
    <x v="28"/>
  </r>
  <r>
    <x v="28"/>
  </r>
  <r>
    <x v="86"/>
  </r>
  <r>
    <x v="36"/>
  </r>
  <r>
    <x v="36"/>
  </r>
  <r>
    <x v="16"/>
  </r>
  <r>
    <x v="45"/>
  </r>
  <r>
    <x v="28"/>
  </r>
  <r>
    <x v="141"/>
  </r>
  <r>
    <x v="28"/>
  </r>
  <r>
    <x v="28"/>
  </r>
  <r>
    <x v="28"/>
  </r>
  <r>
    <x v="10"/>
  </r>
  <r>
    <x v="142"/>
  </r>
  <r>
    <x v="12"/>
  </r>
  <r>
    <x v="76"/>
  </r>
  <r>
    <x v="7"/>
  </r>
  <r>
    <x v="142"/>
  </r>
  <r>
    <x v="28"/>
  </r>
  <r>
    <x v="42"/>
  </r>
  <r>
    <x v="14"/>
  </r>
  <r>
    <x v="141"/>
  </r>
  <r>
    <x v="22"/>
  </r>
  <r>
    <x v="22"/>
  </r>
  <r>
    <x v="22"/>
  </r>
  <r>
    <x v="22"/>
  </r>
  <r>
    <x v="25"/>
  </r>
  <r>
    <x v="25"/>
  </r>
  <r>
    <x v="29"/>
  </r>
  <r>
    <x v="12"/>
  </r>
  <r>
    <x v="68"/>
  </r>
  <r>
    <x v="130"/>
  </r>
  <r>
    <x v="24"/>
  </r>
  <r>
    <x v="24"/>
  </r>
  <r>
    <x v="68"/>
  </r>
  <r>
    <x v="22"/>
  </r>
  <r>
    <x v="22"/>
  </r>
  <r>
    <x v="22"/>
  </r>
  <r>
    <x v="22"/>
  </r>
  <r>
    <x v="64"/>
  </r>
  <r>
    <x v="7"/>
  </r>
  <r>
    <x v="7"/>
  </r>
  <r>
    <x v="7"/>
  </r>
  <r>
    <x v="28"/>
  </r>
  <r>
    <x v="123"/>
  </r>
  <r>
    <x v="123"/>
  </r>
  <r>
    <x v="123"/>
  </r>
  <r>
    <x v="123"/>
  </r>
  <r>
    <x v="123"/>
  </r>
  <r>
    <x v="76"/>
  </r>
  <r>
    <x v="12"/>
  </r>
  <r>
    <x v="12"/>
  </r>
  <r>
    <x v="16"/>
  </r>
  <r>
    <x v="16"/>
  </r>
  <r>
    <x v="14"/>
  </r>
  <r>
    <x v="16"/>
  </r>
  <r>
    <x v="16"/>
  </r>
  <r>
    <x v="16"/>
  </r>
  <r>
    <x v="22"/>
  </r>
  <r>
    <x v="14"/>
  </r>
  <r>
    <x v="89"/>
  </r>
  <r>
    <x v="33"/>
  </r>
  <r>
    <x v="33"/>
  </r>
  <r>
    <x v="87"/>
  </r>
  <r>
    <x v="48"/>
  </r>
  <r>
    <x v="36"/>
  </r>
  <r>
    <x v="63"/>
  </r>
  <r>
    <x v="12"/>
  </r>
  <r>
    <x v="48"/>
  </r>
  <r>
    <x v="123"/>
  </r>
  <r>
    <x v="42"/>
  </r>
  <r>
    <x v="45"/>
  </r>
  <r>
    <x v="0"/>
  </r>
  <r>
    <x v="10"/>
  </r>
  <r>
    <x v="76"/>
  </r>
  <r>
    <x v="81"/>
  </r>
  <r>
    <x v="81"/>
  </r>
  <r>
    <x v="87"/>
  </r>
  <r>
    <x v="123"/>
  </r>
  <r>
    <x v="16"/>
  </r>
  <r>
    <x v="42"/>
  </r>
  <r>
    <x v="42"/>
  </r>
  <r>
    <x v="42"/>
  </r>
  <r>
    <x v="111"/>
  </r>
  <r>
    <x v="76"/>
  </r>
  <r>
    <x v="48"/>
  </r>
  <r>
    <x v="23"/>
  </r>
  <r>
    <x v="24"/>
  </r>
  <r>
    <x v="24"/>
  </r>
  <r>
    <x v="79"/>
  </r>
  <r>
    <x v="45"/>
  </r>
  <r>
    <x v="45"/>
  </r>
  <r>
    <x v="1"/>
  </r>
  <r>
    <x v="86"/>
  </r>
  <r>
    <x v="86"/>
  </r>
  <r>
    <x v="86"/>
  </r>
  <r>
    <x v="86"/>
  </r>
  <r>
    <x v="1"/>
  </r>
  <r>
    <x v="1"/>
  </r>
  <r>
    <x v="154"/>
  </r>
  <r>
    <x v="100"/>
  </r>
  <r>
    <x v="4"/>
  </r>
  <r>
    <x v="0"/>
  </r>
  <r>
    <x v="0"/>
  </r>
  <r>
    <x v="0"/>
  </r>
  <r>
    <x v="0"/>
  </r>
  <r>
    <x v="0"/>
  </r>
  <r>
    <x v="48"/>
  </r>
  <r>
    <x v="12"/>
  </r>
  <r>
    <x v="152"/>
  </r>
  <r>
    <x v="37"/>
  </r>
  <r>
    <x v="37"/>
  </r>
  <r>
    <x v="37"/>
  </r>
  <r>
    <x v="37"/>
  </r>
  <r>
    <x v="37"/>
  </r>
  <r>
    <x v="37"/>
  </r>
  <r>
    <x v="56"/>
  </r>
  <r>
    <x v="2"/>
  </r>
  <r>
    <x v="10"/>
  </r>
  <r>
    <x v="12"/>
  </r>
  <r>
    <x v="57"/>
  </r>
  <r>
    <x v="57"/>
  </r>
  <r>
    <x v="57"/>
  </r>
  <r>
    <x v="57"/>
  </r>
  <r>
    <x v="57"/>
  </r>
  <r>
    <x v="57"/>
  </r>
  <r>
    <x v="4"/>
  </r>
  <r>
    <x v="36"/>
  </r>
  <r>
    <x v="71"/>
  </r>
  <r>
    <x v="71"/>
  </r>
  <r>
    <x v="71"/>
  </r>
  <r>
    <x v="71"/>
  </r>
  <r>
    <x v="71"/>
  </r>
  <r>
    <x v="71"/>
  </r>
  <r>
    <x v="71"/>
  </r>
  <r>
    <x v="16"/>
  </r>
  <r>
    <x v="16"/>
  </r>
  <r>
    <x v="57"/>
  </r>
  <r>
    <x v="144"/>
  </r>
  <r>
    <x v="4"/>
  </r>
  <r>
    <x v="10"/>
  </r>
  <r>
    <x v="144"/>
  </r>
  <r>
    <x v="31"/>
  </r>
  <r>
    <x v="31"/>
  </r>
  <r>
    <x v="8"/>
  </r>
  <r>
    <x v="8"/>
  </r>
  <r>
    <x v="8"/>
  </r>
  <r>
    <x v="8"/>
  </r>
  <r>
    <x v="64"/>
  </r>
  <r>
    <x v="64"/>
  </r>
  <r>
    <x v="56"/>
  </r>
  <r>
    <x v="27"/>
  </r>
  <r>
    <x v="27"/>
  </r>
  <r>
    <x v="27"/>
  </r>
  <r>
    <x v="27"/>
  </r>
  <r>
    <x v="27"/>
  </r>
  <r>
    <x v="16"/>
  </r>
  <r>
    <x v="16"/>
  </r>
  <r>
    <x v="16"/>
  </r>
  <r>
    <x v="7"/>
  </r>
  <r>
    <x v="144"/>
  </r>
  <r>
    <x v="11"/>
  </r>
  <r>
    <x v="144"/>
  </r>
  <r>
    <x v="144"/>
  </r>
  <r>
    <x v="80"/>
  </r>
  <r>
    <x v="10"/>
  </r>
  <r>
    <x v="12"/>
  </r>
  <r>
    <x v="144"/>
  </r>
  <r>
    <x v="11"/>
  </r>
  <r>
    <x v="16"/>
  </r>
  <r>
    <x v="16"/>
  </r>
  <r>
    <x v="16"/>
  </r>
  <r>
    <x v="16"/>
  </r>
  <r>
    <x v="16"/>
  </r>
  <r>
    <x v="16"/>
  </r>
  <r>
    <x v="16"/>
  </r>
  <r>
    <x v="16"/>
  </r>
  <r>
    <x v="31"/>
  </r>
  <r>
    <x v="27"/>
  </r>
  <r>
    <x v="27"/>
  </r>
  <r>
    <x v="27"/>
  </r>
  <r>
    <x v="27"/>
  </r>
  <r>
    <x v="27"/>
  </r>
  <r>
    <x v="10"/>
  </r>
  <r>
    <x v="12"/>
  </r>
  <r>
    <x v="12"/>
  </r>
  <r>
    <x v="31"/>
  </r>
  <r>
    <x v="31"/>
  </r>
  <r>
    <x v="31"/>
  </r>
  <r>
    <x v="16"/>
  </r>
  <r>
    <x v="162"/>
  </r>
  <r>
    <x v="16"/>
  </r>
  <r>
    <x v="16"/>
  </r>
  <r>
    <x v="12"/>
  </r>
  <r>
    <x v="12"/>
  </r>
  <r>
    <x v="42"/>
  </r>
  <r>
    <x v="4"/>
  </r>
  <r>
    <x v="87"/>
  </r>
  <r>
    <x v="1"/>
  </r>
  <r>
    <x v="4"/>
  </r>
  <r>
    <x v="16"/>
  </r>
  <r>
    <x v="16"/>
  </r>
  <r>
    <x v="17"/>
  </r>
  <r>
    <x v="141"/>
  </r>
  <r>
    <x v="19"/>
  </r>
  <r>
    <x v="42"/>
  </r>
  <r>
    <x v="19"/>
  </r>
  <r>
    <x v="19"/>
  </r>
  <r>
    <x v="19"/>
  </r>
  <r>
    <x v="1"/>
  </r>
  <r>
    <x v="16"/>
  </r>
  <r>
    <x v="16"/>
  </r>
  <r>
    <x v="16"/>
  </r>
  <r>
    <x v="16"/>
  </r>
  <r>
    <x v="16"/>
  </r>
  <r>
    <x v="37"/>
  </r>
  <r>
    <x v="19"/>
  </r>
  <r>
    <x v="1"/>
  </r>
  <r>
    <x v="141"/>
  </r>
  <r>
    <x v="42"/>
  </r>
  <r>
    <x v="37"/>
  </r>
  <r>
    <x v="31"/>
  </r>
  <r>
    <x v="1"/>
  </r>
  <r>
    <x v="143"/>
  </r>
  <r>
    <x v="141"/>
  </r>
  <r>
    <x v="141"/>
  </r>
  <r>
    <x v="141"/>
  </r>
  <r>
    <x v="141"/>
  </r>
  <r>
    <x v="141"/>
  </r>
  <r>
    <x v="10"/>
  </r>
  <r>
    <x v="10"/>
  </r>
  <r>
    <x v="48"/>
  </r>
  <r>
    <x v="4"/>
  </r>
  <r>
    <x v="10"/>
  </r>
  <r>
    <x v="52"/>
  </r>
  <r>
    <x v="52"/>
  </r>
  <r>
    <x v="24"/>
  </r>
  <r>
    <x v="52"/>
  </r>
  <r>
    <x v="52"/>
  </r>
  <r>
    <x v="89"/>
  </r>
  <r>
    <x v="10"/>
  </r>
  <r>
    <x v="4"/>
  </r>
  <r>
    <x v="141"/>
  </r>
  <r>
    <x v="19"/>
  </r>
  <r>
    <x v="141"/>
  </r>
  <r>
    <x v="57"/>
  </r>
  <r>
    <x v="57"/>
  </r>
  <r>
    <x v="57"/>
  </r>
  <r>
    <x v="123"/>
  </r>
  <r>
    <x v="4"/>
  </r>
  <r>
    <x v="4"/>
  </r>
  <r>
    <x v="76"/>
  </r>
  <r>
    <x v="76"/>
  </r>
  <r>
    <x v="28"/>
  </r>
  <r>
    <x v="123"/>
  </r>
  <r>
    <x v="141"/>
  </r>
  <r>
    <x v="71"/>
  </r>
  <r>
    <x v="24"/>
  </r>
  <r>
    <x v="24"/>
  </r>
  <r>
    <x v="56"/>
  </r>
  <r>
    <x v="57"/>
  </r>
  <r>
    <x v="39"/>
  </r>
  <r>
    <x v="7"/>
  </r>
  <r>
    <x v="7"/>
  </r>
  <r>
    <x v="7"/>
  </r>
  <r>
    <x v="71"/>
  </r>
  <r>
    <x v="71"/>
  </r>
  <r>
    <x v="71"/>
  </r>
  <r>
    <x v="16"/>
  </r>
  <r>
    <x v="16"/>
  </r>
  <r>
    <x v="115"/>
  </r>
  <r>
    <x v="7"/>
  </r>
  <r>
    <x v="12"/>
  </r>
  <r>
    <x v="12"/>
  </r>
  <r>
    <x v="115"/>
  </r>
  <r>
    <x v="115"/>
  </r>
  <r>
    <x v="16"/>
  </r>
  <r>
    <x v="141"/>
  </r>
  <r>
    <x v="141"/>
  </r>
  <r>
    <x v="141"/>
  </r>
  <r>
    <x v="12"/>
  </r>
  <r>
    <x v="12"/>
  </r>
  <r>
    <x v="115"/>
  </r>
  <r>
    <x v="16"/>
  </r>
  <r>
    <x v="31"/>
  </r>
  <r>
    <x v="21"/>
  </r>
  <r>
    <x v="16"/>
  </r>
  <r>
    <x v="16"/>
  </r>
  <r>
    <x v="12"/>
  </r>
  <r>
    <x v="19"/>
  </r>
  <r>
    <x v="12"/>
  </r>
  <r>
    <x v="12"/>
  </r>
  <r>
    <x v="64"/>
  </r>
  <r>
    <x v="24"/>
  </r>
  <r>
    <x v="24"/>
  </r>
  <r>
    <x v="21"/>
  </r>
  <r>
    <x v="24"/>
  </r>
  <r>
    <x v="7"/>
  </r>
  <r>
    <x v="7"/>
  </r>
  <r>
    <x v="7"/>
  </r>
  <r>
    <x v="21"/>
  </r>
  <r>
    <x v="11"/>
  </r>
  <r>
    <x v="11"/>
  </r>
  <r>
    <x v="11"/>
  </r>
  <r>
    <x v="24"/>
  </r>
  <r>
    <x v="24"/>
  </r>
  <r>
    <x v="24"/>
  </r>
  <r>
    <x v="24"/>
  </r>
  <r>
    <x v="7"/>
  </r>
  <r>
    <x v="10"/>
  </r>
  <r>
    <x v="135"/>
  </r>
  <r>
    <x v="19"/>
  </r>
  <r>
    <x v="11"/>
  </r>
  <r>
    <x v="11"/>
  </r>
  <r>
    <x v="17"/>
  </r>
  <r>
    <x v="28"/>
  </r>
  <r>
    <x v="0"/>
  </r>
  <r>
    <x v="7"/>
  </r>
  <r>
    <x v="7"/>
  </r>
  <r>
    <x v="24"/>
  </r>
  <r>
    <x v="24"/>
  </r>
  <r>
    <x v="24"/>
  </r>
  <r>
    <x v="28"/>
  </r>
  <r>
    <x v="59"/>
  </r>
  <r>
    <x v="4"/>
  </r>
  <r>
    <x v="4"/>
  </r>
  <r>
    <x v="4"/>
  </r>
  <r>
    <x v="16"/>
  </r>
  <r>
    <x v="17"/>
  </r>
  <r>
    <x v="0"/>
  </r>
  <r>
    <x v="57"/>
  </r>
  <r>
    <x v="4"/>
  </r>
  <r>
    <x v="102"/>
  </r>
  <r>
    <x v="7"/>
  </r>
  <r>
    <x v="7"/>
  </r>
  <r>
    <x v="71"/>
  </r>
  <r>
    <x v="9"/>
  </r>
  <r>
    <x v="11"/>
  </r>
  <r>
    <x v="9"/>
  </r>
  <r>
    <x v="14"/>
  </r>
  <r>
    <x v="37"/>
  </r>
  <r>
    <x v="14"/>
  </r>
  <r>
    <x v="115"/>
  </r>
  <r>
    <x v="115"/>
  </r>
  <r>
    <x v="12"/>
  </r>
  <r>
    <x v="21"/>
  </r>
  <r>
    <x v="10"/>
  </r>
  <r>
    <x v="14"/>
  </r>
  <r>
    <x v="7"/>
  </r>
  <r>
    <x v="14"/>
  </r>
  <r>
    <x v="14"/>
  </r>
  <r>
    <x v="16"/>
  </r>
  <r>
    <x v="14"/>
  </r>
  <r>
    <x v="14"/>
  </r>
  <r>
    <x v="24"/>
  </r>
  <r>
    <x v="21"/>
  </r>
  <r>
    <x v="14"/>
  </r>
  <r>
    <x v="14"/>
  </r>
  <r>
    <x v="9"/>
  </r>
  <r>
    <x v="123"/>
  </r>
  <r>
    <x v="8"/>
  </r>
  <r>
    <x v="42"/>
  </r>
  <r>
    <x v="141"/>
  </r>
  <r>
    <x v="37"/>
  </r>
  <r>
    <x v="37"/>
  </r>
  <r>
    <x v="28"/>
  </r>
  <r>
    <x v="28"/>
  </r>
  <r>
    <x v="28"/>
  </r>
  <r>
    <x v="4"/>
  </r>
  <r>
    <x v="4"/>
  </r>
  <r>
    <x v="4"/>
  </r>
  <r>
    <x v="28"/>
  </r>
  <r>
    <x v="28"/>
  </r>
  <r>
    <x v="10"/>
  </r>
  <r>
    <x v="28"/>
  </r>
  <r>
    <x v="9"/>
  </r>
  <r>
    <x v="28"/>
  </r>
  <r>
    <x v="0"/>
  </r>
  <r>
    <x v="37"/>
  </r>
  <r>
    <x v="144"/>
  </r>
  <r>
    <x v="31"/>
  </r>
  <r>
    <x v="87"/>
  </r>
  <r>
    <x v="27"/>
  </r>
  <r>
    <x v="48"/>
  </r>
  <r>
    <x v="87"/>
  </r>
  <r>
    <x v="141"/>
  </r>
  <r>
    <x v="71"/>
  </r>
  <r>
    <x v="71"/>
  </r>
  <r>
    <x v="7"/>
  </r>
  <r>
    <x v="7"/>
  </r>
  <r>
    <x v="1"/>
  </r>
  <r>
    <x v="56"/>
  </r>
  <r>
    <x v="144"/>
  </r>
  <r>
    <x v="144"/>
  </r>
  <r>
    <x v="144"/>
  </r>
  <r>
    <x v="144"/>
  </r>
  <r>
    <x v="7"/>
  </r>
  <r>
    <x v="7"/>
  </r>
  <r>
    <x v="31"/>
  </r>
  <r>
    <x v="7"/>
  </r>
  <r>
    <x v="31"/>
  </r>
  <r>
    <x v="17"/>
  </r>
  <r>
    <x v="31"/>
  </r>
  <r>
    <x v="31"/>
  </r>
  <r>
    <x v="14"/>
  </r>
  <r>
    <x v="14"/>
  </r>
  <r>
    <x v="14"/>
  </r>
  <r>
    <x v="14"/>
  </r>
  <r>
    <x v="71"/>
  </r>
  <r>
    <x v="53"/>
  </r>
  <r>
    <x v="12"/>
  </r>
  <r>
    <x v="71"/>
  </r>
  <r>
    <x v="52"/>
  </r>
  <r>
    <x v="14"/>
  </r>
  <r>
    <x v="14"/>
  </r>
  <r>
    <x v="42"/>
  </r>
  <r>
    <x v="14"/>
  </r>
  <r>
    <x v="42"/>
  </r>
  <r>
    <x v="45"/>
  </r>
  <r>
    <x v="53"/>
  </r>
  <r>
    <x v="56"/>
  </r>
  <r>
    <x v="56"/>
  </r>
  <r>
    <x v="4"/>
  </r>
  <r>
    <x v="12"/>
  </r>
  <r>
    <x v="64"/>
  </r>
  <r>
    <x v="64"/>
  </r>
  <r>
    <x v="64"/>
  </r>
  <r>
    <x v="71"/>
  </r>
  <r>
    <x v="71"/>
  </r>
  <r>
    <x v="71"/>
  </r>
  <r>
    <x v="4"/>
  </r>
  <r>
    <x v="42"/>
  </r>
  <r>
    <x v="16"/>
  </r>
  <r>
    <x v="16"/>
  </r>
  <r>
    <x v="16"/>
  </r>
  <r>
    <x v="16"/>
  </r>
  <r>
    <x v="16"/>
  </r>
  <r>
    <x v="42"/>
  </r>
  <r>
    <x v="42"/>
  </r>
  <r>
    <x v="143"/>
  </r>
  <r>
    <x v="31"/>
  </r>
  <r>
    <x v="28"/>
  </r>
  <r>
    <x v="52"/>
  </r>
  <r>
    <x v="7"/>
  </r>
  <r>
    <x v="7"/>
  </r>
  <r>
    <x v="10"/>
  </r>
  <r>
    <x v="71"/>
  </r>
  <r>
    <x v="19"/>
  </r>
  <r>
    <x v="12"/>
  </r>
  <r>
    <x v="16"/>
  </r>
  <r>
    <x v="16"/>
  </r>
  <r>
    <x v="42"/>
  </r>
  <r>
    <x v="42"/>
  </r>
  <r>
    <x v="16"/>
  </r>
  <r>
    <x v="135"/>
  </r>
  <r>
    <x v="14"/>
  </r>
  <r>
    <x v="17"/>
  </r>
  <r>
    <x v="71"/>
  </r>
  <r>
    <x v="6"/>
  </r>
  <r>
    <x v="31"/>
  </r>
  <r>
    <x v="28"/>
  </r>
  <r>
    <x v="28"/>
  </r>
  <r>
    <x v="42"/>
  </r>
  <r>
    <x v="42"/>
  </r>
  <r>
    <x v="144"/>
  </r>
  <r>
    <x v="71"/>
  </r>
  <r>
    <x v="115"/>
  </r>
  <r>
    <x v="115"/>
  </r>
  <r>
    <x v="17"/>
  </r>
  <r>
    <x v="4"/>
  </r>
  <r>
    <x v="141"/>
  </r>
  <r>
    <x v="56"/>
  </r>
  <r>
    <x v="19"/>
  </r>
  <r>
    <x v="19"/>
  </r>
  <r>
    <x v="7"/>
  </r>
  <r>
    <x v="115"/>
  </r>
  <r>
    <x v="115"/>
  </r>
  <r>
    <x v="33"/>
  </r>
  <r>
    <x v="7"/>
  </r>
  <r>
    <x v="7"/>
  </r>
  <r>
    <x v="16"/>
  </r>
  <r>
    <x v="16"/>
  </r>
  <r>
    <x v="6"/>
  </r>
  <r>
    <x v="16"/>
  </r>
  <r>
    <x v="16"/>
  </r>
  <r>
    <x v="14"/>
  </r>
  <r>
    <x v="12"/>
  </r>
  <r>
    <x v="12"/>
  </r>
  <r>
    <x v="12"/>
  </r>
  <r>
    <x v="152"/>
  </r>
  <r>
    <x v="152"/>
  </r>
  <r>
    <x v="152"/>
  </r>
  <r>
    <x v="8"/>
  </r>
  <r>
    <x v="6"/>
  </r>
  <r>
    <x v="4"/>
  </r>
  <r>
    <x v="16"/>
  </r>
  <r>
    <x v="7"/>
  </r>
  <r>
    <x v="7"/>
  </r>
  <r>
    <x v="12"/>
  </r>
  <r>
    <x v="56"/>
  </r>
  <r>
    <x v="56"/>
  </r>
  <r>
    <x v="56"/>
  </r>
  <r>
    <x v="56"/>
  </r>
  <r>
    <x v="56"/>
  </r>
  <r>
    <x v="53"/>
  </r>
  <r>
    <x v="7"/>
  </r>
  <r>
    <x v="143"/>
  </r>
  <r>
    <x v="28"/>
  </r>
  <r>
    <x v="55"/>
  </r>
  <r>
    <x v="24"/>
  </r>
  <r>
    <x v="24"/>
  </r>
  <r>
    <x v="24"/>
  </r>
  <r>
    <x v="16"/>
  </r>
  <r>
    <x v="53"/>
  </r>
  <r>
    <x v="53"/>
  </r>
  <r>
    <x v="55"/>
  </r>
  <r>
    <x v="7"/>
  </r>
  <r>
    <x v="7"/>
  </r>
  <r>
    <x v="7"/>
  </r>
  <r>
    <x v="12"/>
  </r>
  <r>
    <x v="4"/>
  </r>
  <r>
    <x v="56"/>
  </r>
  <r>
    <x v="162"/>
  </r>
  <r>
    <x v="8"/>
  </r>
  <r>
    <x v="42"/>
  </r>
  <r>
    <x v="42"/>
  </r>
  <r>
    <x v="42"/>
  </r>
  <r>
    <x v="42"/>
  </r>
  <r>
    <x v="42"/>
  </r>
  <r>
    <x v="0"/>
  </r>
  <r>
    <x v="28"/>
  </r>
  <r>
    <x v="4"/>
  </r>
  <r>
    <x v="39"/>
  </r>
  <r>
    <x v="12"/>
  </r>
  <r>
    <x v="7"/>
  </r>
  <r>
    <x v="7"/>
  </r>
  <r>
    <x v="42"/>
  </r>
  <r>
    <x v="42"/>
  </r>
  <r>
    <x v="42"/>
  </r>
  <r>
    <x v="42"/>
  </r>
  <r>
    <x v="42"/>
  </r>
  <r>
    <x v="12"/>
  </r>
  <r>
    <x v="12"/>
  </r>
  <r>
    <x v="24"/>
  </r>
  <r>
    <x v="162"/>
  </r>
  <r>
    <x v="52"/>
  </r>
  <r>
    <x v="16"/>
  </r>
  <r>
    <x v="162"/>
  </r>
  <r>
    <x v="7"/>
  </r>
  <r>
    <x v="150"/>
  </r>
  <r>
    <x v="0"/>
  </r>
  <r>
    <x v="111"/>
  </r>
  <r>
    <x v="71"/>
  </r>
  <r>
    <x v="71"/>
  </r>
  <r>
    <x v="19"/>
  </r>
  <r>
    <x v="14"/>
  </r>
  <r>
    <x v="11"/>
  </r>
  <r>
    <x v="56"/>
  </r>
  <r>
    <x v="71"/>
  </r>
  <r>
    <x v="16"/>
  </r>
  <r>
    <x v="16"/>
  </r>
  <r>
    <x v="71"/>
  </r>
  <r>
    <x v="12"/>
  </r>
  <r>
    <x v="12"/>
  </r>
  <r>
    <x v="42"/>
  </r>
  <r>
    <x v="28"/>
  </r>
  <r>
    <x v="55"/>
  </r>
  <r>
    <x v="34"/>
  </r>
  <r>
    <x v="2"/>
  </r>
  <r>
    <x v="16"/>
  </r>
  <r>
    <x v="12"/>
  </r>
  <r>
    <x v="150"/>
  </r>
  <r>
    <x v="28"/>
  </r>
  <r>
    <x v="28"/>
  </r>
  <r>
    <x v="71"/>
  </r>
  <r>
    <x v="31"/>
  </r>
  <r>
    <x v="162"/>
  </r>
  <r>
    <x v="162"/>
  </r>
  <r>
    <x v="24"/>
  </r>
  <r>
    <x v="162"/>
  </r>
  <r>
    <x v="150"/>
  </r>
  <r>
    <x v="19"/>
  </r>
  <r>
    <x v="19"/>
  </r>
  <r>
    <x v="7"/>
  </r>
  <r>
    <x v="19"/>
  </r>
  <r>
    <x v="6"/>
  </r>
  <r>
    <x v="7"/>
  </r>
  <r>
    <x v="57"/>
  </r>
  <r>
    <x v="57"/>
  </r>
  <r>
    <x v="42"/>
  </r>
  <r>
    <x v="19"/>
  </r>
  <r>
    <x v="16"/>
  </r>
  <r>
    <x v="42"/>
  </r>
  <r>
    <x v="42"/>
  </r>
  <r>
    <x v="28"/>
  </r>
  <r>
    <x v="28"/>
  </r>
  <r>
    <x v="19"/>
  </r>
  <r>
    <x v="1"/>
  </r>
  <r>
    <x v="16"/>
  </r>
  <r>
    <x v="0"/>
  </r>
  <r>
    <x v="52"/>
  </r>
  <r>
    <x v="52"/>
  </r>
  <r>
    <x v="12"/>
  </r>
  <r>
    <x v="14"/>
  </r>
  <r>
    <x v="9"/>
  </r>
  <r>
    <x v="56"/>
  </r>
  <r>
    <x v="7"/>
  </r>
  <r>
    <x v="56"/>
  </r>
  <r>
    <x v="1"/>
  </r>
  <r>
    <x v="28"/>
  </r>
  <r>
    <x v="28"/>
  </r>
  <r>
    <x v="28"/>
  </r>
  <r>
    <x v="14"/>
  </r>
  <r>
    <x v="1"/>
  </r>
  <r>
    <x v="1"/>
  </r>
  <r>
    <x v="28"/>
  </r>
  <r>
    <x v="10"/>
  </r>
  <r>
    <x v="48"/>
  </r>
  <r>
    <x v="12"/>
  </r>
  <r>
    <x v="4"/>
  </r>
  <r>
    <x v="76"/>
  </r>
  <r>
    <x v="78"/>
  </r>
  <r>
    <x v="2"/>
  </r>
  <r>
    <x v="71"/>
  </r>
  <r>
    <x v="71"/>
  </r>
  <r>
    <x v="71"/>
  </r>
  <r>
    <x v="71"/>
  </r>
  <r>
    <x v="71"/>
  </r>
  <r>
    <x v="19"/>
  </r>
  <r>
    <x v="71"/>
  </r>
  <r>
    <x v="56"/>
  </r>
  <r>
    <x v="7"/>
  </r>
  <r>
    <x v="7"/>
  </r>
  <r>
    <x v="19"/>
  </r>
  <r>
    <x v="19"/>
  </r>
  <r>
    <x v="28"/>
  </r>
  <r>
    <x v="28"/>
  </r>
  <r>
    <x v="28"/>
  </r>
  <r>
    <x v="19"/>
  </r>
  <r>
    <x v="19"/>
  </r>
  <r>
    <x v="57"/>
  </r>
  <r>
    <x v="57"/>
  </r>
  <r>
    <x v="19"/>
  </r>
  <r>
    <x v="39"/>
  </r>
  <r>
    <x v="6"/>
  </r>
  <r>
    <x v="0"/>
  </r>
  <r>
    <x v="162"/>
  </r>
  <r>
    <x v="28"/>
  </r>
  <r>
    <x v="28"/>
  </r>
  <r>
    <x v="115"/>
  </r>
  <r>
    <x v="0"/>
  </r>
  <r>
    <x v="0"/>
  </r>
  <r>
    <x v="0"/>
  </r>
  <r>
    <x v="0"/>
  </r>
  <r>
    <x v="16"/>
  </r>
  <r>
    <x v="16"/>
  </r>
  <r>
    <x v="56"/>
  </r>
  <r>
    <x v="24"/>
  </r>
  <r>
    <x v="24"/>
  </r>
  <r>
    <x v="28"/>
  </r>
  <r>
    <x v="32"/>
  </r>
  <r>
    <x v="28"/>
  </r>
  <r>
    <x v="56"/>
  </r>
  <r>
    <x v="79"/>
  </r>
  <r>
    <x v="28"/>
  </r>
  <r>
    <x v="16"/>
  </r>
  <r>
    <x v="42"/>
  </r>
  <r>
    <x v="28"/>
  </r>
  <r>
    <x v="16"/>
  </r>
  <r>
    <x v="91"/>
  </r>
  <r>
    <x v="162"/>
  </r>
  <r>
    <x v="43"/>
  </r>
  <r>
    <x v="7"/>
  </r>
  <r>
    <x v="12"/>
  </r>
  <r>
    <x v="12"/>
  </r>
  <r>
    <x v="23"/>
  </r>
  <r>
    <x v="42"/>
  </r>
  <r>
    <x v="10"/>
  </r>
  <r>
    <x v="115"/>
  </r>
  <r>
    <x v="56"/>
  </r>
  <r>
    <x v="4"/>
  </r>
  <r>
    <x v="48"/>
  </r>
  <r>
    <x v="0"/>
  </r>
  <r>
    <x v="0"/>
  </r>
  <r>
    <x v="0"/>
  </r>
  <r>
    <x v="152"/>
  </r>
  <r>
    <x v="7"/>
  </r>
  <r>
    <x v="115"/>
  </r>
  <r>
    <x v="16"/>
  </r>
  <r>
    <x v="16"/>
  </r>
  <r>
    <x v="6"/>
  </r>
  <r>
    <x v="7"/>
  </r>
  <r>
    <x v="7"/>
  </r>
  <r>
    <x v="4"/>
  </r>
  <r>
    <x v="263"/>
  </r>
  <r>
    <x v="19"/>
  </r>
  <r>
    <x v="55"/>
  </r>
  <r>
    <x v="45"/>
  </r>
  <r>
    <x v="42"/>
  </r>
  <r>
    <x v="42"/>
  </r>
  <r>
    <x v="162"/>
  </r>
  <r>
    <x v="28"/>
  </r>
  <r>
    <x v="28"/>
  </r>
  <r>
    <x v="24"/>
  </r>
  <r>
    <x v="24"/>
  </r>
  <r>
    <x v="24"/>
  </r>
  <r>
    <x v="56"/>
  </r>
  <r>
    <x v="4"/>
  </r>
  <r>
    <x v="17"/>
  </r>
  <r>
    <x v="56"/>
  </r>
  <r>
    <x v="56"/>
  </r>
  <r>
    <x v="7"/>
  </r>
  <r>
    <x v="71"/>
  </r>
  <r>
    <x v="71"/>
  </r>
  <r>
    <x v="71"/>
  </r>
  <r>
    <x v="12"/>
  </r>
  <r>
    <x v="24"/>
  </r>
  <r>
    <x v="28"/>
  </r>
  <r>
    <x v="45"/>
  </r>
  <r>
    <x v="28"/>
  </r>
  <r>
    <x v="28"/>
  </r>
  <r>
    <x v="71"/>
  </r>
  <r>
    <x v="71"/>
  </r>
  <r>
    <x v="71"/>
  </r>
  <r>
    <x v="144"/>
  </r>
  <r>
    <x v="115"/>
  </r>
  <r>
    <x v="115"/>
  </r>
  <r>
    <x v="48"/>
  </r>
  <r>
    <x v="28"/>
  </r>
  <r>
    <x v="141"/>
  </r>
  <r>
    <x v="1"/>
  </r>
  <r>
    <x v="1"/>
  </r>
  <r>
    <x v="71"/>
  </r>
  <r>
    <x v="265"/>
  </r>
  <r>
    <x v="1"/>
  </r>
  <r>
    <x v="16"/>
  </r>
  <r>
    <x v="56"/>
  </r>
  <r>
    <x v="14"/>
  </r>
  <r>
    <x v="10"/>
  </r>
  <r>
    <x v="71"/>
  </r>
  <r>
    <x v="71"/>
  </r>
  <r>
    <x v="57"/>
  </r>
  <r>
    <x v="57"/>
  </r>
  <r>
    <x v="57"/>
  </r>
  <r>
    <x v="0"/>
  </r>
  <r>
    <x v="77"/>
  </r>
  <r>
    <x v="10"/>
  </r>
  <r>
    <x v="4"/>
  </r>
  <r>
    <x v="162"/>
  </r>
  <r>
    <x v="162"/>
  </r>
  <r>
    <x v="71"/>
  </r>
  <r>
    <x v="42"/>
  </r>
  <r>
    <x v="42"/>
  </r>
  <r>
    <x v="42"/>
  </r>
  <r>
    <x v="53"/>
  </r>
  <r>
    <x v="53"/>
  </r>
  <r>
    <x v="150"/>
  </r>
  <r>
    <x v="24"/>
  </r>
  <r>
    <x v="14"/>
  </r>
  <r>
    <x v="253"/>
  </r>
  <r>
    <x v="4"/>
  </r>
  <r>
    <x v="24"/>
  </r>
  <r>
    <x v="144"/>
  </r>
  <r>
    <x v="16"/>
  </r>
  <r>
    <x v="0"/>
  </r>
  <r>
    <x v="9"/>
  </r>
  <r>
    <x v="14"/>
  </r>
  <r>
    <x v="16"/>
  </r>
  <r>
    <x v="16"/>
  </r>
  <r>
    <x v="16"/>
  </r>
  <r>
    <x v="16"/>
  </r>
  <r>
    <x v="16"/>
  </r>
  <r>
    <x v="16"/>
  </r>
  <r>
    <x v="28"/>
  </r>
  <r>
    <x v="42"/>
  </r>
  <r>
    <x v="42"/>
  </r>
  <r>
    <x v="55"/>
  </r>
  <r>
    <x v="155"/>
  </r>
  <r>
    <x v="141"/>
  </r>
  <r>
    <x v="141"/>
  </r>
  <r>
    <x v="71"/>
  </r>
  <r>
    <x v="71"/>
  </r>
  <r>
    <x v="28"/>
  </r>
  <r>
    <x v="28"/>
  </r>
  <r>
    <x v="24"/>
  </r>
  <r>
    <x v="12"/>
  </r>
  <r>
    <x v="22"/>
  </r>
  <r>
    <x v="14"/>
  </r>
  <r>
    <x v="14"/>
  </r>
  <r>
    <x v="141"/>
  </r>
  <r>
    <x v="141"/>
  </r>
  <r>
    <x v="64"/>
  </r>
  <r>
    <x v="4"/>
  </r>
  <r>
    <x v="1"/>
  </r>
  <r>
    <x v="4"/>
  </r>
  <r>
    <x v="4"/>
  </r>
  <r>
    <x v="4"/>
  </r>
  <r>
    <x v="14"/>
  </r>
  <r>
    <x v="14"/>
  </r>
  <r>
    <x v="14"/>
  </r>
  <r>
    <x v="14"/>
  </r>
  <r>
    <x v="10"/>
  </r>
  <r>
    <x v="179"/>
  </r>
  <r>
    <x v="14"/>
  </r>
  <r>
    <x v="42"/>
  </r>
  <r>
    <x v="162"/>
  </r>
  <r>
    <x v="16"/>
  </r>
  <r>
    <x v="14"/>
  </r>
  <r>
    <x v="162"/>
  </r>
  <r>
    <x v="24"/>
  </r>
  <r>
    <x v="115"/>
  </r>
  <r>
    <x v="115"/>
  </r>
  <r>
    <x v="115"/>
  </r>
  <r>
    <x v="115"/>
  </r>
  <r>
    <x v="42"/>
  </r>
  <r>
    <x v="14"/>
  </r>
  <r>
    <x v="56"/>
  </r>
  <r>
    <x v="42"/>
  </r>
  <r>
    <x v="31"/>
  </r>
  <r>
    <x v="71"/>
  </r>
  <r>
    <x v="42"/>
  </r>
  <r>
    <x v="42"/>
  </r>
  <r>
    <x v="42"/>
  </r>
  <r>
    <x v="42"/>
  </r>
  <r>
    <x v="31"/>
  </r>
  <r>
    <x v="263"/>
  </r>
  <r>
    <x v="14"/>
  </r>
  <r>
    <x v="212"/>
  </r>
  <r>
    <x v="31"/>
  </r>
  <r>
    <x v="31"/>
  </r>
  <r>
    <x v="24"/>
  </r>
  <r>
    <x v="12"/>
  </r>
  <r>
    <x v="86"/>
  </r>
  <r>
    <x v="1"/>
  </r>
  <r>
    <x v="162"/>
  </r>
  <r>
    <x v="16"/>
  </r>
  <r>
    <x v="31"/>
  </r>
  <r>
    <x v="162"/>
  </r>
  <r>
    <x v="141"/>
  </r>
  <r>
    <x v="19"/>
  </r>
  <r>
    <x v="24"/>
  </r>
  <r>
    <x v="14"/>
  </r>
  <r>
    <x v="24"/>
  </r>
  <r>
    <x v="57"/>
  </r>
  <r>
    <x v="24"/>
  </r>
  <r>
    <x v="16"/>
  </r>
  <r>
    <x v="16"/>
  </r>
  <r>
    <x v="16"/>
  </r>
  <r>
    <x v="24"/>
  </r>
  <r>
    <x v="24"/>
  </r>
  <r>
    <x v="24"/>
  </r>
  <r>
    <x v="24"/>
  </r>
  <r>
    <x v="24"/>
  </r>
  <r>
    <x v="24"/>
  </r>
  <r>
    <x v="24"/>
  </r>
  <r>
    <x v="24"/>
  </r>
  <r>
    <x v="10"/>
  </r>
  <r>
    <x v="19"/>
  </r>
  <r>
    <x v="0"/>
  </r>
  <r>
    <x v="71"/>
  </r>
  <r>
    <x v="56"/>
  </r>
  <r>
    <x v="0"/>
  </r>
  <r>
    <x v="31"/>
  </r>
  <r>
    <x v="31"/>
  </r>
  <r>
    <x v="162"/>
  </r>
  <r>
    <x v="89"/>
  </r>
  <r>
    <x v="25"/>
  </r>
  <r>
    <x v="89"/>
  </r>
  <r>
    <x v="0"/>
  </r>
  <r>
    <x v="0"/>
  </r>
  <r>
    <x v="87"/>
  </r>
  <r>
    <x v="71"/>
  </r>
  <r>
    <x v="71"/>
  </r>
  <r>
    <x v="16"/>
  </r>
  <r>
    <x v="43"/>
  </r>
  <r>
    <x v="2"/>
  </r>
  <r>
    <x v="39"/>
  </r>
  <r>
    <x v="21"/>
  </r>
  <r>
    <x v="21"/>
  </r>
  <r>
    <x v="24"/>
  </r>
  <r>
    <x v="57"/>
  </r>
  <r>
    <x v="28"/>
  </r>
  <r>
    <x v="12"/>
  </r>
  <r>
    <x v="14"/>
  </r>
  <r>
    <x v="45"/>
  </r>
  <r>
    <x v="0"/>
  </r>
  <r>
    <x v="0"/>
  </r>
  <r>
    <x v="16"/>
  </r>
  <r>
    <x v="63"/>
  </r>
  <r>
    <x v="123"/>
  </r>
  <r>
    <x v="123"/>
  </r>
  <r>
    <x v="123"/>
  </r>
  <r>
    <x v="21"/>
  </r>
  <r>
    <x v="39"/>
  </r>
  <r>
    <x v="39"/>
  </r>
  <r>
    <x v="22"/>
  </r>
  <r>
    <x v="22"/>
  </r>
  <r>
    <x v="11"/>
  </r>
  <r>
    <x v="39"/>
  </r>
  <r>
    <x v="24"/>
  </r>
  <r>
    <x v="10"/>
  </r>
  <r>
    <x v="21"/>
  </r>
  <r>
    <x v="21"/>
  </r>
  <r>
    <x v="78"/>
  </r>
  <r>
    <x v="78"/>
  </r>
  <r>
    <x v="78"/>
  </r>
  <r>
    <x v="78"/>
  </r>
  <r>
    <x v="131"/>
  </r>
  <r>
    <x v="115"/>
  </r>
  <r>
    <x v="25"/>
  </r>
  <r>
    <x v="12"/>
  </r>
  <r>
    <x v="12"/>
  </r>
  <r>
    <x v="24"/>
  </r>
  <r>
    <x v="39"/>
  </r>
  <r>
    <x v="39"/>
  </r>
  <r>
    <x v="24"/>
  </r>
  <r>
    <x v="39"/>
  </r>
  <r>
    <x v="39"/>
  </r>
  <r>
    <x v="11"/>
  </r>
  <r>
    <x v="11"/>
  </r>
  <r>
    <x v="77"/>
  </r>
  <r>
    <x v="48"/>
  </r>
  <r>
    <x v="115"/>
  </r>
  <r>
    <x v="76"/>
  </r>
  <r>
    <x v="39"/>
  </r>
  <r>
    <x v="7"/>
  </r>
  <r>
    <x v="21"/>
  </r>
  <r>
    <x v="12"/>
  </r>
  <r>
    <x v="12"/>
  </r>
  <r>
    <x v="12"/>
  </r>
  <r>
    <x v="14"/>
  </r>
  <r>
    <x v="28"/>
  </r>
  <r>
    <x v="14"/>
  </r>
  <r>
    <x v="12"/>
  </r>
  <r>
    <x v="71"/>
  </r>
  <r>
    <x v="76"/>
  </r>
  <r>
    <x v="54"/>
  </r>
  <r>
    <x v="54"/>
  </r>
  <r>
    <x v="10"/>
  </r>
  <r>
    <x v="10"/>
  </r>
  <r>
    <x v="12"/>
  </r>
  <r>
    <x v="14"/>
  </r>
  <r>
    <x v="14"/>
  </r>
  <r>
    <x v="14"/>
  </r>
  <r>
    <x v="14"/>
  </r>
  <r>
    <x v="14"/>
  </r>
  <r>
    <x v="4"/>
  </r>
  <r>
    <x v="1"/>
  </r>
  <r>
    <x v="7"/>
  </r>
  <r>
    <x v="12"/>
  </r>
  <r>
    <x v="12"/>
  </r>
  <r>
    <x v="14"/>
  </r>
  <r>
    <x v="14"/>
  </r>
  <r>
    <x v="14"/>
  </r>
  <r>
    <x v="14"/>
  </r>
  <r>
    <x v="39"/>
  </r>
  <r>
    <x v="14"/>
  </r>
  <r>
    <x v="14"/>
  </r>
  <r>
    <x v="20"/>
  </r>
  <r>
    <x v="154"/>
  </r>
  <r>
    <x v="28"/>
  </r>
  <r>
    <x v="28"/>
  </r>
  <r>
    <x v="25"/>
  </r>
  <r>
    <x v="25"/>
  </r>
  <r>
    <x v="1"/>
  </r>
  <r>
    <x v="14"/>
  </r>
  <r>
    <x v="52"/>
  </r>
  <r>
    <x v="12"/>
  </r>
  <r>
    <x v="11"/>
  </r>
  <r>
    <x v="11"/>
  </r>
  <r>
    <x v="11"/>
  </r>
  <r>
    <x v="11"/>
  </r>
  <r>
    <x v="28"/>
  </r>
  <r>
    <x v="28"/>
  </r>
  <r>
    <x v="28"/>
  </r>
  <r>
    <x v="12"/>
  </r>
  <r>
    <x v="12"/>
  </r>
  <r>
    <x v="0"/>
  </r>
  <r>
    <x v="12"/>
  </r>
  <r>
    <x v="53"/>
  </r>
  <r>
    <x v="53"/>
  </r>
  <r>
    <x v="21"/>
  </r>
  <r>
    <x v="10"/>
  </r>
  <r>
    <x v="10"/>
  </r>
  <r>
    <x v="10"/>
  </r>
  <r>
    <x v="10"/>
  </r>
  <r>
    <x v="17"/>
  </r>
  <r>
    <x v="17"/>
  </r>
  <r>
    <x v="17"/>
  </r>
  <r>
    <x v="24"/>
  </r>
  <r>
    <x v="53"/>
  </r>
  <r>
    <x v="53"/>
  </r>
  <r>
    <x v="27"/>
  </r>
  <r>
    <x v="24"/>
  </r>
  <r>
    <x v="39"/>
  </r>
  <r>
    <x v="269"/>
  </r>
  <r>
    <x v="12"/>
  </r>
  <r>
    <x v="169"/>
  </r>
  <r>
    <x v="14"/>
  </r>
  <r>
    <x v="115"/>
  </r>
  <r>
    <x v="64"/>
  </r>
  <r>
    <x v="115"/>
  </r>
  <r>
    <x v="123"/>
  </r>
  <r>
    <x v="123"/>
  </r>
  <r>
    <x v="0"/>
  </r>
  <r>
    <x v="59"/>
  </r>
  <r>
    <x v="12"/>
  </r>
  <r>
    <x v="17"/>
  </r>
  <r>
    <x v="12"/>
  </r>
  <r>
    <x v="45"/>
  </r>
  <r>
    <x v="45"/>
  </r>
  <r>
    <x v="45"/>
  </r>
  <r>
    <x v="45"/>
  </r>
  <r>
    <x v="12"/>
  </r>
  <r>
    <x v="11"/>
  </r>
  <r>
    <x v="12"/>
  </r>
  <r>
    <x v="12"/>
  </r>
  <r>
    <x v="12"/>
  </r>
  <r>
    <x v="51"/>
  </r>
  <r>
    <x v="51"/>
  </r>
  <r>
    <x v="19"/>
  </r>
  <r>
    <x v="22"/>
  </r>
  <r>
    <x v="22"/>
  </r>
  <r>
    <x v="22"/>
  </r>
  <r>
    <x v="14"/>
  </r>
  <r>
    <x v="2"/>
  </r>
  <r>
    <x v="14"/>
  </r>
  <r>
    <x v="4"/>
  </r>
  <r>
    <x v="21"/>
  </r>
  <r>
    <x v="108"/>
  </r>
  <r>
    <x v="89"/>
  </r>
  <r>
    <x v="137"/>
  </r>
  <r>
    <x v="55"/>
  </r>
  <r>
    <x v="55"/>
  </r>
  <r>
    <x v="55"/>
  </r>
  <r>
    <x v="42"/>
  </r>
  <r>
    <x v="11"/>
  </r>
  <r>
    <x v="28"/>
  </r>
  <r>
    <x v="57"/>
  </r>
  <r>
    <x v="88"/>
  </r>
  <r>
    <x v="42"/>
  </r>
  <r>
    <x v="12"/>
  </r>
  <r>
    <x v="42"/>
  </r>
  <r>
    <x v="249"/>
  </r>
  <r>
    <x v="1"/>
  </r>
  <r>
    <x v="53"/>
  </r>
  <r>
    <x v="34"/>
  </r>
  <r>
    <x v="57"/>
  </r>
  <r>
    <x v="21"/>
  </r>
  <r>
    <x v="87"/>
  </r>
  <r>
    <x v="2"/>
  </r>
  <r>
    <x v="14"/>
  </r>
  <r>
    <x v="12"/>
  </r>
  <r>
    <x v="37"/>
  </r>
  <r>
    <x v="68"/>
  </r>
  <r>
    <x v="7"/>
  </r>
  <r>
    <x v="12"/>
  </r>
  <r>
    <x v="240"/>
  </r>
  <r>
    <x v="57"/>
  </r>
  <r>
    <x v="2"/>
  </r>
  <r>
    <x v="131"/>
  </r>
  <r>
    <x v="48"/>
  </r>
  <r>
    <x v="0"/>
  </r>
  <r>
    <x v="0"/>
  </r>
  <r>
    <x v="0"/>
  </r>
  <r>
    <x v="10"/>
  </r>
  <r>
    <x v="88"/>
  </r>
  <r>
    <x v="63"/>
  </r>
  <r>
    <x v="52"/>
  </r>
  <r>
    <x v="10"/>
  </r>
  <r>
    <x v="16"/>
  </r>
  <r>
    <x v="4"/>
  </r>
  <r>
    <x v="14"/>
  </r>
  <r>
    <x v="7"/>
  </r>
  <r>
    <x v="14"/>
  </r>
  <r>
    <x v="131"/>
  </r>
  <r>
    <x v="361"/>
  </r>
  <r>
    <x v="14"/>
  </r>
  <r>
    <x v="45"/>
  </r>
  <r>
    <x v="1"/>
  </r>
  <r>
    <x v="115"/>
  </r>
  <r>
    <x v="112"/>
  </r>
  <r>
    <x v="12"/>
  </r>
  <r>
    <x v="10"/>
  </r>
  <r>
    <x v="2"/>
  </r>
  <r>
    <x v="25"/>
  </r>
  <r>
    <x v="25"/>
  </r>
  <r>
    <x v="25"/>
  </r>
  <r>
    <x v="25"/>
  </r>
  <r>
    <x v="45"/>
  </r>
  <r>
    <x v="9"/>
  </r>
  <r>
    <x v="10"/>
  </r>
  <r>
    <x v="0"/>
  </r>
  <r>
    <x v="234"/>
  </r>
  <r>
    <x v="2"/>
  </r>
  <r>
    <x v="21"/>
  </r>
  <r>
    <x v="28"/>
  </r>
  <r>
    <x v="14"/>
  </r>
  <r>
    <x v="2"/>
  </r>
  <r>
    <x v="130"/>
  </r>
  <r>
    <x v="15"/>
  </r>
  <r>
    <x v="115"/>
  </r>
  <r>
    <x v="141"/>
  </r>
  <r>
    <x v="249"/>
  </r>
  <r>
    <x v="249"/>
  </r>
  <r>
    <x v="249"/>
  </r>
  <r>
    <x v="2"/>
  </r>
  <r>
    <x v="75"/>
  </r>
  <r>
    <x v="8"/>
  </r>
  <r>
    <x v="14"/>
  </r>
  <r>
    <x v="14"/>
  </r>
  <r>
    <x v="45"/>
  </r>
  <r>
    <x v="45"/>
  </r>
  <r>
    <x v="34"/>
  </r>
  <r>
    <x v="34"/>
  </r>
  <r>
    <x v="45"/>
  </r>
  <r>
    <x v="72"/>
  </r>
  <r>
    <x v="17"/>
  </r>
  <r>
    <x v="9"/>
  </r>
  <r>
    <x v="16"/>
  </r>
  <r>
    <x v="52"/>
  </r>
  <r>
    <x v="8"/>
  </r>
  <r>
    <x v="12"/>
  </r>
  <r>
    <x v="11"/>
  </r>
  <r>
    <x v="11"/>
  </r>
  <r>
    <x v="12"/>
  </r>
  <r>
    <x v="11"/>
  </r>
  <r>
    <x v="12"/>
  </r>
  <r>
    <x v="12"/>
  </r>
  <r>
    <x v="249"/>
  </r>
  <r>
    <x v="249"/>
  </r>
  <r>
    <x v="249"/>
  </r>
  <r>
    <x v="249"/>
  </r>
  <r>
    <x v="249"/>
  </r>
  <r>
    <x v="141"/>
  </r>
  <r>
    <x v="141"/>
  </r>
  <r>
    <x v="141"/>
  </r>
  <r>
    <x v="141"/>
  </r>
  <r>
    <x v="141"/>
  </r>
  <r>
    <x v="141"/>
  </r>
  <r>
    <x v="141"/>
  </r>
  <r>
    <x v="141"/>
  </r>
  <r>
    <x v="249"/>
  </r>
  <r>
    <x v="18"/>
  </r>
  <r>
    <x v="42"/>
  </r>
  <r>
    <x v="24"/>
  </r>
  <r>
    <x v="24"/>
  </r>
  <r>
    <x v="21"/>
  </r>
  <r>
    <x v="4"/>
  </r>
  <r>
    <x v="57"/>
  </r>
  <r>
    <x v="27"/>
  </r>
  <r>
    <x v="84"/>
  </r>
  <r>
    <x v="138"/>
  </r>
  <r>
    <x v="53"/>
  </r>
  <r>
    <x v="130"/>
  </r>
  <r>
    <x v="12"/>
  </r>
  <r>
    <x v="57"/>
  </r>
  <r>
    <x v="53"/>
  </r>
  <r>
    <x v="53"/>
  </r>
  <r>
    <x v="12"/>
  </r>
  <r>
    <x v="12"/>
  </r>
  <r>
    <x v="12"/>
  </r>
  <r>
    <x v="12"/>
  </r>
  <r>
    <x v="131"/>
  </r>
  <r>
    <x v="79"/>
  </r>
  <r>
    <x v="57"/>
  </r>
  <r>
    <x v="12"/>
  </r>
  <r>
    <x v="130"/>
  </r>
  <r>
    <x v="42"/>
  </r>
  <r>
    <x v="0"/>
  </r>
  <r>
    <x v="52"/>
  </r>
  <r>
    <x v="52"/>
  </r>
  <r>
    <x v="9"/>
  </r>
  <r>
    <x v="131"/>
  </r>
  <r>
    <x v="131"/>
  </r>
  <r>
    <x v="12"/>
  </r>
  <r>
    <x v="57"/>
  </r>
  <r>
    <x v="1"/>
  </r>
  <r>
    <x v="2"/>
  </r>
  <r>
    <x v="9"/>
  </r>
  <r>
    <x v="10"/>
  </r>
  <r>
    <x v="24"/>
  </r>
  <r>
    <x v="39"/>
  </r>
  <r>
    <x v="70"/>
  </r>
  <r>
    <x v="4"/>
  </r>
  <r>
    <x v="56"/>
  </r>
  <r>
    <x v="15"/>
  </r>
  <r>
    <x v="10"/>
  </r>
  <r>
    <x v="57"/>
  </r>
  <r>
    <x v="14"/>
  </r>
  <r>
    <x v="4"/>
  </r>
  <r>
    <x v="4"/>
  </r>
  <r>
    <x v="51"/>
  </r>
  <r>
    <x v="0"/>
  </r>
  <r>
    <x v="0"/>
  </r>
  <r>
    <x v="0"/>
  </r>
  <r>
    <x v="79"/>
  </r>
  <r>
    <x v="57"/>
  </r>
  <r>
    <x v="141"/>
  </r>
  <r>
    <x v="57"/>
  </r>
  <r>
    <x v="9"/>
  </r>
  <r>
    <x v="9"/>
  </r>
  <r>
    <x v="56"/>
  </r>
  <r>
    <x v="56"/>
  </r>
  <r>
    <x v="56"/>
  </r>
  <r>
    <x v="0"/>
  </r>
  <r>
    <x v="56"/>
  </r>
  <r>
    <x v="51"/>
  </r>
  <r>
    <x v="56"/>
  </r>
  <r>
    <x v="56"/>
  </r>
  <r>
    <x v="56"/>
  </r>
  <r>
    <x v="9"/>
  </r>
  <r>
    <x v="16"/>
  </r>
  <r>
    <x v="56"/>
  </r>
  <r>
    <x v="56"/>
  </r>
  <r>
    <x v="56"/>
  </r>
  <r>
    <x v="56"/>
  </r>
  <r>
    <x v="16"/>
  </r>
  <r>
    <x v="22"/>
  </r>
  <r>
    <x v="22"/>
  </r>
  <r>
    <x v="22"/>
  </r>
  <r>
    <x v="16"/>
  </r>
  <r>
    <x v="7"/>
  </r>
  <r>
    <x v="6"/>
  </r>
  <r>
    <x v="16"/>
  </r>
  <r>
    <x v="16"/>
  </r>
  <r>
    <x v="16"/>
  </r>
  <r>
    <x v="16"/>
  </r>
  <r>
    <x v="22"/>
  </r>
  <r>
    <x v="8"/>
  </r>
  <r>
    <x v="9"/>
  </r>
  <r>
    <x v="12"/>
  </r>
  <r>
    <x v="56"/>
  </r>
  <r>
    <x v="28"/>
  </r>
  <r>
    <x v="28"/>
  </r>
  <r>
    <x v="79"/>
  </r>
  <r>
    <x v="10"/>
  </r>
  <r>
    <x v="7"/>
  </r>
  <r>
    <x v="28"/>
  </r>
  <r>
    <x v="17"/>
  </r>
  <r>
    <x v="28"/>
  </r>
  <r>
    <x v="28"/>
  </r>
  <r>
    <x v="19"/>
  </r>
  <r>
    <x v="4"/>
  </r>
  <r>
    <x v="28"/>
  </r>
  <r>
    <x v="16"/>
  </r>
  <r>
    <x v="42"/>
  </r>
  <r>
    <x v="42"/>
  </r>
  <r>
    <x v="42"/>
  </r>
  <r>
    <x v="42"/>
  </r>
  <r>
    <x v="42"/>
  </r>
  <r>
    <x v="42"/>
  </r>
  <r>
    <x v="28"/>
  </r>
  <r>
    <x v="11"/>
  </r>
  <r>
    <x v="11"/>
  </r>
  <r>
    <x v="11"/>
  </r>
  <r>
    <x v="11"/>
  </r>
  <r>
    <x v="16"/>
  </r>
  <r>
    <x v="19"/>
  </r>
  <r>
    <x v="19"/>
  </r>
  <r>
    <x v="79"/>
  </r>
  <r>
    <x v="71"/>
  </r>
  <r>
    <x v="19"/>
  </r>
  <r>
    <x v="22"/>
  </r>
  <r>
    <x v="19"/>
  </r>
  <r>
    <x v="79"/>
  </r>
  <r>
    <x v="28"/>
  </r>
  <r>
    <x v="76"/>
  </r>
  <r>
    <x v="28"/>
  </r>
  <r>
    <x v="57"/>
  </r>
  <r>
    <x v="87"/>
  </r>
  <r>
    <x v="42"/>
  </r>
  <r>
    <x v="12"/>
  </r>
  <r>
    <x v="12"/>
  </r>
  <r>
    <x v="57"/>
  </r>
  <r>
    <x v="59"/>
  </r>
  <r>
    <x v="152"/>
  </r>
  <r>
    <x v="14"/>
  </r>
  <r>
    <x v="199"/>
  </r>
  <r>
    <x v="19"/>
  </r>
  <r>
    <x v="7"/>
  </r>
  <r>
    <x v="1"/>
  </r>
  <r>
    <x v="16"/>
  </r>
  <r>
    <x v="28"/>
  </r>
  <r>
    <x v="28"/>
  </r>
  <r>
    <x v="28"/>
  </r>
  <r>
    <x v="21"/>
  </r>
  <r>
    <x v="4"/>
  </r>
  <r>
    <x v="16"/>
  </r>
  <r>
    <x v="169"/>
  </r>
  <r>
    <x v="4"/>
  </r>
  <r>
    <x v="22"/>
  </r>
  <r>
    <x v="56"/>
  </r>
  <r>
    <x v="12"/>
  </r>
  <r>
    <x v="12"/>
  </r>
  <r>
    <x v="12"/>
  </r>
  <r>
    <x v="71"/>
  </r>
  <r>
    <x v="4"/>
  </r>
  <r>
    <x v="29"/>
  </r>
  <r>
    <x v="28"/>
  </r>
  <r>
    <x v="45"/>
  </r>
  <r>
    <x v="16"/>
  </r>
  <r>
    <x v="19"/>
  </r>
  <r>
    <x v="19"/>
  </r>
  <r>
    <x v="87"/>
  </r>
  <r>
    <x v="78"/>
  </r>
  <r>
    <x v="25"/>
  </r>
  <r>
    <x v="28"/>
  </r>
  <r>
    <x v="63"/>
  </r>
  <r>
    <x v="9"/>
  </r>
  <r>
    <x v="16"/>
  </r>
  <r>
    <x v="16"/>
  </r>
  <r>
    <x v="9"/>
  </r>
  <r>
    <x v="9"/>
  </r>
  <r>
    <x v="9"/>
  </r>
  <r>
    <x v="32"/>
  </r>
  <r>
    <x v="123"/>
  </r>
  <r>
    <x v="79"/>
  </r>
  <r>
    <x v="79"/>
  </r>
  <r>
    <x v="12"/>
  </r>
  <r>
    <x v="9"/>
  </r>
  <r>
    <x v="9"/>
  </r>
  <r>
    <x v="9"/>
  </r>
  <r>
    <x v="2"/>
  </r>
  <r>
    <x v="2"/>
  </r>
  <r>
    <x v="12"/>
  </r>
  <r>
    <x v="53"/>
  </r>
  <r>
    <x v="20"/>
  </r>
  <r>
    <x v="14"/>
  </r>
  <r>
    <x v="16"/>
  </r>
  <r>
    <x v="16"/>
  </r>
  <r>
    <x v="20"/>
  </r>
  <r>
    <x v="53"/>
  </r>
  <r>
    <x v="53"/>
  </r>
  <r>
    <x v="20"/>
  </r>
  <r>
    <x v="20"/>
  </r>
  <r>
    <x v="14"/>
  </r>
  <r>
    <x v="14"/>
  </r>
  <r>
    <x v="10"/>
  </r>
  <r>
    <x v="10"/>
  </r>
  <r>
    <x v="9"/>
  </r>
  <r>
    <x v="9"/>
  </r>
  <r>
    <x v="20"/>
  </r>
  <r>
    <x v="53"/>
  </r>
  <r>
    <x v="53"/>
  </r>
  <r>
    <x v="14"/>
  </r>
  <r>
    <x v="14"/>
  </r>
  <r>
    <x v="16"/>
  </r>
  <r>
    <x v="14"/>
  </r>
  <r>
    <x v="14"/>
  </r>
  <r>
    <x v="14"/>
  </r>
  <r>
    <x v="14"/>
  </r>
  <r>
    <x v="14"/>
  </r>
  <r>
    <x v="14"/>
  </r>
  <r>
    <x v="53"/>
  </r>
  <r>
    <x v="71"/>
  </r>
  <r>
    <x v="31"/>
  </r>
  <r>
    <x v="4"/>
  </r>
  <r>
    <x v="53"/>
  </r>
  <r>
    <x v="53"/>
  </r>
  <r>
    <x v="20"/>
  </r>
  <r>
    <x v="4"/>
  </r>
  <r>
    <x v="4"/>
  </r>
  <r>
    <x v="20"/>
  </r>
  <r>
    <x v="20"/>
  </r>
  <r>
    <x v="71"/>
  </r>
  <r>
    <x v="14"/>
  </r>
  <r>
    <x v="9"/>
  </r>
  <r>
    <x v="53"/>
  </r>
  <r>
    <x v="53"/>
  </r>
  <r>
    <x v="24"/>
  </r>
  <r>
    <x v="57"/>
  </r>
  <r>
    <x v="71"/>
  </r>
  <r>
    <x v="16"/>
  </r>
  <r>
    <x v="79"/>
  </r>
  <r>
    <x v="14"/>
  </r>
  <r>
    <x v="23"/>
  </r>
  <r>
    <x v="169"/>
  </r>
  <r>
    <x v="4"/>
  </r>
  <r>
    <x v="79"/>
  </r>
  <r>
    <x v="12"/>
  </r>
  <r>
    <x v="71"/>
  </r>
  <r>
    <x v="68"/>
  </r>
  <r>
    <x v="32"/>
  </r>
  <r>
    <x v="12"/>
  </r>
  <r>
    <x v="12"/>
  </r>
  <r>
    <x v="71"/>
  </r>
  <r>
    <x v="112"/>
  </r>
  <r>
    <x v="25"/>
  </r>
  <r>
    <x v="22"/>
  </r>
  <r>
    <x v="22"/>
  </r>
  <r>
    <x v="28"/>
  </r>
  <r>
    <x v="28"/>
  </r>
  <r>
    <x v="14"/>
  </r>
  <r>
    <x v="14"/>
  </r>
  <r>
    <x v="14"/>
  </r>
  <r>
    <x v="14"/>
  </r>
  <r>
    <x v="34"/>
  </r>
  <r>
    <x v="10"/>
  </r>
  <r>
    <x v="9"/>
  </r>
  <r>
    <x v="22"/>
  </r>
  <r>
    <x v="12"/>
  </r>
  <r>
    <x v="0"/>
  </r>
  <r>
    <x v="14"/>
  </r>
  <r>
    <x v="71"/>
  </r>
  <r>
    <x v="57"/>
  </r>
  <r>
    <x v="56"/>
  </r>
  <r>
    <x v="56"/>
  </r>
  <r>
    <x v="56"/>
  </r>
  <r>
    <x v="28"/>
  </r>
  <r>
    <x v="12"/>
  </r>
  <r>
    <x v="12"/>
  </r>
  <r>
    <x v="6"/>
  </r>
  <r>
    <x v="28"/>
  </r>
  <r>
    <x v="6"/>
  </r>
  <r>
    <x v="42"/>
  </r>
  <r>
    <x v="0"/>
  </r>
  <r>
    <x v="43"/>
  </r>
  <r>
    <x v="53"/>
  </r>
  <r>
    <x v="71"/>
  </r>
  <r>
    <x v="9"/>
  </r>
  <r>
    <x v="9"/>
  </r>
  <r>
    <x v="45"/>
  </r>
  <r>
    <x v="6"/>
  </r>
  <r>
    <x v="71"/>
  </r>
  <r>
    <x v="16"/>
  </r>
  <r>
    <x v="56"/>
  </r>
  <r>
    <x v="4"/>
  </r>
  <r>
    <x v="4"/>
  </r>
  <r>
    <x v="63"/>
  </r>
  <r>
    <x v="4"/>
  </r>
  <r>
    <x v="31"/>
  </r>
  <r>
    <x v="45"/>
  </r>
  <r>
    <x v="199"/>
  </r>
  <r>
    <x v="57"/>
  </r>
  <r>
    <x v="7"/>
  </r>
  <r>
    <x v="88"/>
  </r>
  <r>
    <x v="88"/>
  </r>
  <r>
    <x v="48"/>
  </r>
  <r>
    <x v="29"/>
  </r>
  <r>
    <x v="56"/>
  </r>
  <r>
    <x v="12"/>
  </r>
  <r>
    <x v="63"/>
  </r>
  <r>
    <x v="45"/>
  </r>
  <r>
    <x v="54"/>
  </r>
  <r>
    <x v="54"/>
  </r>
  <r>
    <x v="102"/>
  </r>
  <r>
    <x v="28"/>
  </r>
  <r>
    <x v="11"/>
  </r>
  <r>
    <x v="42"/>
  </r>
  <r>
    <x v="28"/>
  </r>
  <r>
    <x v="28"/>
  </r>
  <r>
    <x v="31"/>
  </r>
  <r>
    <x v="14"/>
  </r>
  <r>
    <x v="12"/>
  </r>
  <r>
    <x v="16"/>
  </r>
  <r>
    <x v="12"/>
  </r>
  <r>
    <x v="25"/>
  </r>
  <r>
    <x v="25"/>
  </r>
  <r>
    <x v="25"/>
  </r>
  <r>
    <x v="25"/>
  </r>
  <r>
    <x v="146"/>
  </r>
  <r>
    <x v="102"/>
  </r>
  <r>
    <x v="25"/>
  </r>
  <r>
    <x v="25"/>
  </r>
  <r>
    <x v="102"/>
  </r>
  <r>
    <x v="4"/>
  </r>
  <r>
    <x v="2"/>
  </r>
  <r>
    <x v="2"/>
  </r>
  <r>
    <x v="128"/>
  </r>
  <r>
    <x v="128"/>
  </r>
  <r>
    <x v="71"/>
  </r>
  <r>
    <x v="14"/>
  </r>
  <r>
    <x v="12"/>
  </r>
  <r>
    <x v="12"/>
  </r>
  <r>
    <x v="76"/>
  </r>
  <r>
    <x v="34"/>
  </r>
  <r>
    <x v="25"/>
  </r>
  <r>
    <x v="50"/>
  </r>
  <r>
    <x v="50"/>
  </r>
  <r>
    <x v="36"/>
  </r>
  <r>
    <x v="136"/>
  </r>
  <r>
    <x v="14"/>
  </r>
  <r>
    <x v="36"/>
  </r>
  <r>
    <x v="36"/>
  </r>
  <r>
    <x v="11"/>
  </r>
  <r>
    <x v="14"/>
  </r>
  <r>
    <x v="12"/>
  </r>
  <r>
    <x v="10"/>
  </r>
  <r>
    <x v="87"/>
  </r>
  <r>
    <x v="11"/>
  </r>
  <r>
    <x v="10"/>
  </r>
  <r>
    <x v="11"/>
  </r>
  <r>
    <x v="123"/>
  </r>
  <r>
    <x v="123"/>
  </r>
  <r>
    <x v="68"/>
  </r>
  <r>
    <x v="381"/>
  </r>
  <r>
    <x v="4"/>
  </r>
  <r>
    <x v="71"/>
  </r>
  <r>
    <x v="21"/>
  </r>
  <r>
    <x v="14"/>
  </r>
  <r>
    <x v="123"/>
  </r>
  <r>
    <x v="90"/>
  </r>
  <r>
    <x v="90"/>
  </r>
  <r>
    <x v="11"/>
  </r>
  <r>
    <x v="4"/>
  </r>
  <r>
    <x v="24"/>
  </r>
  <r>
    <x v="1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23"/>
  </r>
  <r>
    <x v="10"/>
  </r>
  <r>
    <x v="10"/>
  </r>
  <r>
    <x v="10"/>
  </r>
  <r>
    <x v="10"/>
  </r>
  <r>
    <x v="14"/>
  </r>
  <r>
    <x v="14"/>
  </r>
  <r>
    <x v="14"/>
  </r>
  <r>
    <x v="21"/>
  </r>
  <r>
    <x v="21"/>
  </r>
  <r>
    <x v="21"/>
  </r>
  <r>
    <x v="21"/>
  </r>
  <r>
    <x v="21"/>
  </r>
  <r>
    <x v="24"/>
  </r>
  <r>
    <x v="24"/>
  </r>
  <r>
    <x v="24"/>
  </r>
  <r>
    <x v="21"/>
  </r>
  <r>
    <x v="24"/>
  </r>
  <r>
    <x v="14"/>
  </r>
  <r>
    <x v="29"/>
  </r>
  <r>
    <x v="37"/>
  </r>
  <r>
    <x v="68"/>
  </r>
  <r>
    <x v="2"/>
  </r>
  <r>
    <x v="4"/>
  </r>
  <r>
    <x v="2"/>
  </r>
  <r>
    <x v="86"/>
  </r>
  <r>
    <x v="56"/>
  </r>
  <r>
    <x v="21"/>
  </r>
  <r>
    <x v="0"/>
  </r>
  <r>
    <x v="0"/>
  </r>
  <r>
    <x v="14"/>
  </r>
  <r>
    <x v="37"/>
  </r>
  <r>
    <x v="1"/>
  </r>
  <r>
    <x v="91"/>
  </r>
  <r>
    <x v="91"/>
  </r>
  <r>
    <x v="31"/>
  </r>
  <r>
    <x v="14"/>
  </r>
  <r>
    <x v="14"/>
  </r>
  <r>
    <x v="14"/>
  </r>
  <r>
    <x v="16"/>
  </r>
  <r>
    <x v="16"/>
  </r>
  <r>
    <x v="19"/>
  </r>
  <r>
    <x v="19"/>
  </r>
  <r>
    <x v="19"/>
  </r>
  <r>
    <x v="4"/>
  </r>
  <r>
    <x v="48"/>
  </r>
  <r>
    <x v="11"/>
  </r>
  <r>
    <x v="1"/>
  </r>
  <r>
    <x v="11"/>
  </r>
  <r>
    <x v="1"/>
  </r>
  <r>
    <x v="11"/>
  </r>
  <r>
    <x v="1"/>
  </r>
  <r>
    <x v="42"/>
  </r>
  <r>
    <x v="28"/>
  </r>
  <r>
    <x v="79"/>
  </r>
  <r>
    <x v="79"/>
  </r>
  <r>
    <x v="28"/>
  </r>
  <r>
    <x v="28"/>
  </r>
  <r>
    <x v="2"/>
  </r>
  <r>
    <x v="2"/>
  </r>
  <r>
    <x v="19"/>
  </r>
  <r>
    <x v="19"/>
  </r>
  <r>
    <x v="19"/>
  </r>
  <r>
    <x v="19"/>
  </r>
  <r>
    <x v="28"/>
  </r>
  <r>
    <x v="0"/>
  </r>
  <r>
    <x v="16"/>
  </r>
  <r>
    <x v="0"/>
  </r>
  <r>
    <x v="4"/>
  </r>
  <r>
    <x v="4"/>
  </r>
  <r>
    <x v="42"/>
  </r>
  <r>
    <x v="42"/>
  </r>
  <r>
    <x v="19"/>
  </r>
  <r>
    <x v="19"/>
  </r>
  <r>
    <x v="14"/>
  </r>
  <r>
    <x v="14"/>
  </r>
  <r>
    <x v="14"/>
  </r>
  <r>
    <x v="31"/>
  </r>
  <r>
    <x v="31"/>
  </r>
  <r>
    <x v="28"/>
  </r>
  <r>
    <x v="28"/>
  </r>
  <r>
    <x v="42"/>
  </r>
  <r>
    <x v="37"/>
  </r>
  <r>
    <x v="43"/>
  </r>
  <r>
    <x v="43"/>
  </r>
  <r>
    <x v="7"/>
  </r>
  <r>
    <x v="7"/>
  </r>
  <r>
    <x v="6"/>
  </r>
  <r>
    <x v="123"/>
  </r>
  <r>
    <x v="123"/>
  </r>
  <r>
    <x v="123"/>
  </r>
  <r>
    <x v="19"/>
  </r>
  <r>
    <x v="19"/>
  </r>
  <r>
    <x v="19"/>
  </r>
  <r>
    <x v="16"/>
  </r>
  <r>
    <x v="31"/>
  </r>
  <r>
    <x v="28"/>
  </r>
  <r>
    <x v="31"/>
  </r>
  <r>
    <x v="45"/>
  </r>
  <r>
    <x v="29"/>
  </r>
  <r>
    <x v="45"/>
  </r>
  <r>
    <x v="29"/>
  </r>
  <r>
    <x v="42"/>
  </r>
  <r>
    <x v="7"/>
  </r>
  <r>
    <x v="57"/>
  </r>
  <r>
    <x v="31"/>
  </r>
  <r>
    <x v="7"/>
  </r>
  <r>
    <x v="7"/>
  </r>
  <r>
    <x v="7"/>
  </r>
  <r>
    <x v="45"/>
  </r>
  <r>
    <x v="79"/>
  </r>
  <r>
    <x v="79"/>
  </r>
  <r>
    <x v="24"/>
  </r>
  <r>
    <x v="16"/>
  </r>
  <r>
    <x v="12"/>
  </r>
  <r>
    <x v="12"/>
  </r>
  <r>
    <x v="28"/>
  </r>
  <r>
    <x v="28"/>
  </r>
  <r>
    <x v="12"/>
  </r>
  <r>
    <x v="12"/>
  </r>
  <r>
    <x v="12"/>
  </r>
  <r>
    <x v="3"/>
  </r>
  <r>
    <x v="12"/>
  </r>
  <r>
    <x v="12"/>
  </r>
  <r>
    <x v="12"/>
  </r>
  <r>
    <x v="43"/>
  </r>
  <r>
    <x v="12"/>
  </r>
  <r>
    <x v="32"/>
  </r>
  <r>
    <x v="32"/>
  </r>
  <r>
    <x v="54"/>
  </r>
  <r>
    <x v="123"/>
  </r>
  <r>
    <x v="28"/>
  </r>
  <r>
    <x v="4"/>
  </r>
  <r>
    <x v="29"/>
  </r>
  <r>
    <x v="12"/>
  </r>
  <r>
    <x v="79"/>
  </r>
  <r>
    <x v="28"/>
  </r>
  <r>
    <x v="9"/>
  </r>
  <r>
    <x v="28"/>
  </r>
  <r>
    <x v="72"/>
  </r>
  <r>
    <x v="72"/>
  </r>
  <r>
    <x v="87"/>
  </r>
  <r>
    <x v="87"/>
  </r>
  <r>
    <x v="87"/>
  </r>
  <r>
    <x v="87"/>
  </r>
  <r>
    <x v="87"/>
  </r>
  <r>
    <x v="15"/>
  </r>
  <r>
    <x v="243"/>
  </r>
  <r>
    <x v="27"/>
  </r>
  <r>
    <x v="25"/>
  </r>
  <r>
    <x v="25"/>
  </r>
  <r>
    <x v="28"/>
  </r>
  <r>
    <x v="14"/>
  </r>
  <r>
    <x v="14"/>
  </r>
  <r>
    <x v="17"/>
  </r>
  <r>
    <x v="42"/>
  </r>
  <r>
    <x v="42"/>
  </r>
  <r>
    <x v="42"/>
  </r>
  <r>
    <x v="0"/>
  </r>
  <r>
    <x v="4"/>
  </r>
  <r>
    <x v="12"/>
  </r>
  <r>
    <x v="28"/>
  </r>
  <r>
    <x v="22"/>
  </r>
  <r>
    <x v="37"/>
  </r>
  <r>
    <x v="42"/>
  </r>
  <r>
    <x v="19"/>
  </r>
  <r>
    <x v="19"/>
  </r>
  <r>
    <x v="56"/>
  </r>
  <r>
    <x v="34"/>
  </r>
  <r>
    <x v="12"/>
  </r>
  <r>
    <x v="0"/>
  </r>
  <r>
    <x v="29"/>
  </r>
  <r>
    <x v="24"/>
  </r>
  <r>
    <x v="59"/>
  </r>
  <r>
    <x v="12"/>
  </r>
  <r>
    <x v="14"/>
  </r>
  <r>
    <x v="45"/>
  </r>
  <r>
    <x v="45"/>
  </r>
  <r>
    <x v="12"/>
  </r>
  <r>
    <x v="79"/>
  </r>
  <r>
    <x v="23"/>
  </r>
  <r>
    <x v="23"/>
  </r>
  <r>
    <x v="2"/>
  </r>
  <r>
    <x v="12"/>
  </r>
  <r>
    <x v="154"/>
  </r>
  <r>
    <x v="31"/>
  </r>
  <r>
    <x v="4"/>
  </r>
  <r>
    <x v="4"/>
  </r>
  <r>
    <x v="14"/>
  </r>
  <r>
    <x v="57"/>
  </r>
  <r>
    <x v="8"/>
  </r>
  <r>
    <x v="8"/>
  </r>
  <r>
    <x v="24"/>
  </r>
  <r>
    <x v="14"/>
  </r>
  <r>
    <x v="88"/>
  </r>
  <r>
    <x v="27"/>
  </r>
  <r>
    <x v="32"/>
  </r>
  <r>
    <x v="27"/>
  </r>
  <r>
    <x v="25"/>
  </r>
  <r>
    <x v="0"/>
  </r>
  <r>
    <x v="122"/>
  </r>
  <r>
    <x v="2"/>
  </r>
  <r>
    <x v="2"/>
  </r>
  <r>
    <x v="2"/>
  </r>
  <r>
    <x v="2"/>
  </r>
  <r>
    <x v="4"/>
  </r>
  <r>
    <x v="8"/>
  </r>
  <r>
    <x v="4"/>
  </r>
  <r>
    <x v="45"/>
  </r>
  <r>
    <x v="45"/>
  </r>
  <r>
    <x v="45"/>
  </r>
  <r>
    <x v="25"/>
  </r>
  <r>
    <x v="25"/>
  </r>
  <r>
    <x v="14"/>
  </r>
  <r>
    <x v="14"/>
  </r>
  <r>
    <x v="14"/>
  </r>
  <r>
    <x v="42"/>
  </r>
  <r>
    <x v="42"/>
  </r>
  <r>
    <x v="28"/>
  </r>
  <r>
    <x v="22"/>
  </r>
  <r>
    <x v="22"/>
  </r>
  <r>
    <x v="7"/>
  </r>
  <r>
    <x v="7"/>
  </r>
  <r>
    <x v="1"/>
  </r>
  <r>
    <x v="1"/>
  </r>
  <r>
    <x v="12"/>
  </r>
  <r>
    <x v="29"/>
  </r>
  <r>
    <x v="14"/>
  </r>
  <r>
    <x v="54"/>
  </r>
  <r>
    <x v="54"/>
  </r>
  <r>
    <x v="12"/>
  </r>
  <r>
    <x v="52"/>
  </r>
  <r>
    <x v="12"/>
  </r>
  <r>
    <x v="12"/>
  </r>
  <r>
    <x v="12"/>
  </r>
  <r>
    <x v="12"/>
  </r>
  <r>
    <x v="19"/>
  </r>
  <r>
    <x v="100"/>
  </r>
  <r>
    <x v="12"/>
  </r>
  <r>
    <x v="12"/>
  </r>
  <r>
    <x v="14"/>
  </r>
  <r>
    <x v="56"/>
  </r>
  <r>
    <x v="54"/>
  </r>
  <r>
    <x v="54"/>
  </r>
  <r>
    <x v="24"/>
  </r>
  <r>
    <x v="14"/>
  </r>
  <r>
    <x v="2"/>
  </r>
  <r>
    <x v="19"/>
  </r>
  <r>
    <x v="14"/>
  </r>
  <r>
    <x v="48"/>
  </r>
  <r>
    <x v="0"/>
  </r>
  <r>
    <x v="4"/>
  </r>
  <r>
    <x v="4"/>
  </r>
  <r>
    <x v="79"/>
  </r>
  <r>
    <x v="79"/>
  </r>
  <r>
    <x v="11"/>
  </r>
  <r>
    <x v="12"/>
  </r>
  <r>
    <x v="12"/>
  </r>
  <r>
    <x v="12"/>
  </r>
  <r>
    <x v="12"/>
  </r>
  <r>
    <x v="12"/>
  </r>
  <r>
    <x v="37"/>
  </r>
  <r>
    <x v="37"/>
  </r>
  <r>
    <x v="10"/>
  </r>
  <r>
    <x v="2"/>
  </r>
  <r>
    <x v="2"/>
  </r>
  <r>
    <x v="2"/>
  </r>
  <r>
    <x v="28"/>
  </r>
  <r>
    <x v="43"/>
  </r>
  <r>
    <x v="28"/>
  </r>
  <r>
    <x v="45"/>
  </r>
  <r>
    <x v="45"/>
  </r>
  <r>
    <x v="2"/>
  </r>
  <r>
    <x v="2"/>
  </r>
  <r>
    <x v="28"/>
  </r>
  <r>
    <x v="24"/>
  </r>
  <r>
    <x v="11"/>
  </r>
  <r>
    <x v="2"/>
  </r>
  <r>
    <x v="2"/>
  </r>
  <r>
    <x v="4"/>
  </r>
  <r>
    <x v="54"/>
  </r>
  <r>
    <x v="28"/>
  </r>
  <r>
    <x v="0"/>
  </r>
  <r>
    <x v="0"/>
  </r>
  <r>
    <x v="0"/>
  </r>
  <r>
    <x v="14"/>
  </r>
  <r>
    <x v="14"/>
  </r>
  <r>
    <x v="14"/>
  </r>
  <r>
    <x v="127"/>
  </r>
  <r>
    <x v="127"/>
  </r>
  <r>
    <x v="14"/>
  </r>
  <r>
    <x v="14"/>
  </r>
  <r>
    <x v="14"/>
  </r>
  <r>
    <x v="14"/>
  </r>
  <r>
    <x v="14"/>
  </r>
  <r>
    <x v="14"/>
  </r>
  <r>
    <x v="14"/>
  </r>
  <r>
    <x v="127"/>
  </r>
  <r>
    <x v="10"/>
  </r>
  <r>
    <x v="3"/>
  </r>
  <r>
    <x v="57"/>
  </r>
  <r>
    <x v="57"/>
  </r>
  <r>
    <x v="57"/>
  </r>
  <r>
    <x v="204"/>
  </r>
  <r>
    <x v="31"/>
  </r>
  <r>
    <x v="4"/>
  </r>
  <r>
    <x v="48"/>
  </r>
  <r>
    <x v="123"/>
  </r>
  <r>
    <x v="31"/>
  </r>
  <r>
    <x v="31"/>
  </r>
  <r>
    <x v="19"/>
  </r>
  <r>
    <x v="31"/>
  </r>
  <r>
    <x v="19"/>
  </r>
  <r>
    <x v="42"/>
  </r>
  <r>
    <x v="43"/>
  </r>
  <r>
    <x v="43"/>
  </r>
  <r>
    <x v="45"/>
  </r>
  <r>
    <x v="182"/>
  </r>
  <r>
    <x v="12"/>
  </r>
  <r>
    <x v="28"/>
  </r>
  <r>
    <x v="10"/>
  </r>
  <r>
    <x v="4"/>
  </r>
  <r>
    <x v="2"/>
  </r>
  <r>
    <x v="42"/>
  </r>
  <r>
    <x v="56"/>
  </r>
  <r>
    <x v="2"/>
  </r>
  <r>
    <x v="2"/>
  </r>
  <r>
    <x v="42"/>
  </r>
  <r>
    <x v="42"/>
  </r>
  <r>
    <x v="14"/>
  </r>
  <r>
    <x v="14"/>
  </r>
  <r>
    <x v="42"/>
  </r>
  <r>
    <x v="42"/>
  </r>
  <r>
    <x v="45"/>
  </r>
  <r>
    <x v="56"/>
  </r>
  <r>
    <x v="12"/>
  </r>
  <r>
    <x v="79"/>
  </r>
  <r>
    <x v="4"/>
  </r>
  <r>
    <x v="43"/>
  </r>
  <r>
    <x v="24"/>
  </r>
  <r>
    <x v="28"/>
  </r>
  <r>
    <x v="16"/>
  </r>
  <r>
    <x v="42"/>
  </r>
  <r>
    <x v="11"/>
  </r>
  <r>
    <x v="14"/>
  </r>
  <r>
    <x v="21"/>
  </r>
  <r>
    <x v="12"/>
  </r>
  <r>
    <x v="12"/>
  </r>
  <r>
    <x v="19"/>
  </r>
  <r>
    <x v="11"/>
  </r>
  <r>
    <x v="11"/>
  </r>
  <r>
    <x v="24"/>
  </r>
  <r>
    <x v="9"/>
  </r>
  <r>
    <x v="12"/>
  </r>
  <r>
    <x v="12"/>
  </r>
  <r>
    <x v="12"/>
  </r>
  <r>
    <x v="12"/>
  </r>
  <r>
    <x v="28"/>
  </r>
  <r>
    <x v="12"/>
  </r>
  <r>
    <x v="12"/>
  </r>
  <r>
    <x v="12"/>
  </r>
  <r>
    <x v="12"/>
  </r>
  <r>
    <x v="33"/>
  </r>
  <r>
    <x v="33"/>
  </r>
  <r>
    <x v="4"/>
  </r>
  <r>
    <x v="3"/>
  </r>
  <r>
    <x v="78"/>
  </r>
  <r>
    <x v="78"/>
  </r>
  <r>
    <x v="4"/>
  </r>
  <r>
    <x v="16"/>
  </r>
  <r>
    <x v="16"/>
  </r>
  <r>
    <x v="71"/>
  </r>
  <r>
    <x v="56"/>
  </r>
  <r>
    <x v="76"/>
  </r>
  <r>
    <x v="45"/>
  </r>
  <r>
    <x v="10"/>
  </r>
  <r>
    <x v="78"/>
  </r>
  <r>
    <x v="18"/>
  </r>
  <r>
    <x v="77"/>
  </r>
  <r>
    <x v="12"/>
  </r>
  <r>
    <x v="143"/>
  </r>
  <r>
    <x v="0"/>
  </r>
  <r>
    <x v="57"/>
  </r>
  <r>
    <x v="4"/>
  </r>
  <r>
    <x v="57"/>
  </r>
  <r>
    <x v="4"/>
  </r>
  <r>
    <x v="10"/>
  </r>
  <r>
    <x v="33"/>
  </r>
  <r>
    <x v="14"/>
  </r>
  <r>
    <x v="12"/>
  </r>
  <r>
    <x v="45"/>
  </r>
  <r>
    <x v="0"/>
  </r>
  <r>
    <x v="7"/>
  </r>
  <r>
    <x v="9"/>
  </r>
  <r>
    <x v="19"/>
  </r>
  <r>
    <x v="9"/>
  </r>
  <r>
    <x v="14"/>
  </r>
  <r>
    <x v="37"/>
  </r>
  <r>
    <x v="28"/>
  </r>
  <r>
    <x v="14"/>
  </r>
  <r>
    <x v="28"/>
  </r>
  <r>
    <x v="10"/>
  </r>
  <r>
    <x v="12"/>
  </r>
  <r>
    <x v="24"/>
  </r>
  <r>
    <x v="11"/>
  </r>
  <r>
    <x v="28"/>
  </r>
  <r>
    <x v="28"/>
  </r>
  <r>
    <x v="28"/>
  </r>
  <r>
    <x v="28"/>
  </r>
  <r>
    <x v="1"/>
  </r>
  <r>
    <x v="63"/>
  </r>
  <r>
    <x v="63"/>
  </r>
  <r>
    <x v="2"/>
  </r>
  <r>
    <x v="2"/>
  </r>
  <r>
    <x v="21"/>
  </r>
  <r>
    <x v="7"/>
  </r>
  <r>
    <x v="37"/>
  </r>
  <r>
    <x v="28"/>
  </r>
  <r>
    <x v="16"/>
  </r>
  <r>
    <x v="43"/>
  </r>
  <r>
    <x v="10"/>
  </r>
  <r>
    <x v="1"/>
  </r>
  <r>
    <x v="1"/>
  </r>
  <r>
    <x v="24"/>
  </r>
  <r>
    <x v="45"/>
  </r>
  <r>
    <x v="4"/>
  </r>
  <r>
    <x v="45"/>
  </r>
  <r>
    <x v="14"/>
  </r>
  <r>
    <x v="14"/>
  </r>
  <r>
    <x v="14"/>
  </r>
  <r>
    <x v="86"/>
  </r>
  <r>
    <x v="12"/>
  </r>
  <r>
    <x v="71"/>
  </r>
  <r>
    <x v="16"/>
  </r>
  <r>
    <x v="16"/>
  </r>
  <r>
    <x v="37"/>
  </r>
  <r>
    <x v="19"/>
  </r>
  <r>
    <x v="12"/>
  </r>
  <r>
    <x v="12"/>
  </r>
  <r>
    <x v="19"/>
  </r>
  <r>
    <x v="11"/>
  </r>
  <r>
    <x v="17"/>
  </r>
  <r>
    <x v="22"/>
  </r>
  <r>
    <x v="22"/>
  </r>
  <r>
    <x v="22"/>
  </r>
  <r>
    <x v="43"/>
  </r>
  <r>
    <x v="43"/>
  </r>
  <r>
    <x v="43"/>
  </r>
  <r>
    <x v="16"/>
  </r>
  <r>
    <x v="16"/>
  </r>
  <r>
    <x v="16"/>
  </r>
  <r>
    <x v="37"/>
  </r>
  <r>
    <x v="17"/>
  </r>
  <r>
    <x v="17"/>
  </r>
  <r>
    <x v="17"/>
  </r>
  <r>
    <x v="9"/>
  </r>
  <r>
    <x v="0"/>
  </r>
  <r>
    <x v="0"/>
  </r>
  <r>
    <x v="0"/>
  </r>
  <r>
    <x v="0"/>
  </r>
  <r>
    <x v="0"/>
  </r>
  <r>
    <x v="0"/>
  </r>
  <r>
    <x v="22"/>
  </r>
  <r>
    <x v="16"/>
  </r>
  <r>
    <x v="79"/>
  </r>
  <r>
    <x v="17"/>
  </r>
  <r>
    <x v="17"/>
  </r>
  <r>
    <x v="16"/>
  </r>
  <r>
    <x v="14"/>
  </r>
  <r>
    <x v="14"/>
  </r>
  <r>
    <x v="14"/>
  </r>
  <r>
    <x v="14"/>
  </r>
  <r>
    <x v="14"/>
  </r>
  <r>
    <x v="14"/>
  </r>
  <r>
    <x v="46"/>
  </r>
  <r>
    <x v="56"/>
  </r>
  <r>
    <x v="56"/>
  </r>
  <r>
    <x v="56"/>
  </r>
  <r>
    <x v="12"/>
  </r>
  <r>
    <x v="2"/>
  </r>
  <r>
    <x v="9"/>
  </r>
  <r>
    <x v="45"/>
  </r>
  <r>
    <x v="28"/>
  </r>
  <r>
    <x v="31"/>
  </r>
  <r>
    <x v="199"/>
  </r>
  <r>
    <x v="7"/>
  </r>
  <r>
    <x v="7"/>
  </r>
  <r>
    <x v="54"/>
  </r>
  <r>
    <x v="86"/>
  </r>
  <r>
    <x v="0"/>
  </r>
  <r>
    <x v="0"/>
  </r>
  <r>
    <x v="0"/>
  </r>
  <r>
    <x v="148"/>
  </r>
  <r>
    <x v="79"/>
  </r>
  <r>
    <x v="2"/>
  </r>
  <r>
    <x v="251"/>
  </r>
  <r>
    <x v="1"/>
  </r>
  <r>
    <x v="1"/>
  </r>
  <r>
    <x v="77"/>
  </r>
  <r>
    <x v="27"/>
  </r>
  <r>
    <x v="4"/>
  </r>
  <r>
    <x v="7"/>
  </r>
  <r>
    <x v="27"/>
  </r>
  <r>
    <x v="37"/>
  </r>
  <r>
    <x v="46"/>
  </r>
  <r>
    <x v="45"/>
  </r>
  <r>
    <x v="43"/>
  </r>
  <r>
    <x v="12"/>
  </r>
  <r>
    <x v="79"/>
  </r>
  <r>
    <x v="14"/>
  </r>
  <r>
    <x v="12"/>
  </r>
  <r>
    <x v="122"/>
  </r>
  <r>
    <x v="56"/>
  </r>
  <r>
    <x v="21"/>
  </r>
  <r>
    <x v="1"/>
  </r>
  <r>
    <x v="111"/>
  </r>
  <r>
    <x v="111"/>
  </r>
  <r>
    <x v="1"/>
  </r>
  <r>
    <x v="1"/>
  </r>
  <r>
    <x v="7"/>
  </r>
  <r>
    <x v="71"/>
  </r>
  <r>
    <x v="45"/>
  </r>
  <r>
    <x v="57"/>
  </r>
  <r>
    <x v="9"/>
  </r>
  <r>
    <x v="9"/>
  </r>
  <r>
    <x v="9"/>
  </r>
  <r>
    <x v="9"/>
  </r>
  <r>
    <x v="162"/>
  </r>
  <r>
    <x v="71"/>
  </r>
  <r>
    <x v="22"/>
  </r>
  <r>
    <x v="22"/>
  </r>
  <r>
    <x v="4"/>
  </r>
  <r>
    <x v="4"/>
  </r>
  <r>
    <x v="4"/>
  </r>
  <r>
    <x v="56"/>
  </r>
  <r>
    <x v="12"/>
  </r>
  <r>
    <x v="7"/>
  </r>
  <r>
    <x v="12"/>
  </r>
  <r>
    <x v="14"/>
  </r>
  <r>
    <x v="9"/>
  </r>
  <r>
    <x v="34"/>
  </r>
  <r>
    <x v="198"/>
  </r>
  <r>
    <x v="4"/>
  </r>
  <r>
    <x v="4"/>
  </r>
  <r>
    <x v="7"/>
  </r>
  <r>
    <x v="7"/>
  </r>
  <r>
    <x v="8"/>
  </r>
  <r>
    <x v="45"/>
  </r>
  <r>
    <x v="71"/>
  </r>
  <r>
    <x v="28"/>
  </r>
  <r>
    <x v="12"/>
  </r>
  <r>
    <x v="0"/>
  </r>
  <r>
    <x v="12"/>
  </r>
  <r>
    <x v="12"/>
  </r>
  <r>
    <x v="12"/>
  </r>
  <r>
    <x v="4"/>
  </r>
  <r>
    <x v="8"/>
  </r>
  <r>
    <x v="12"/>
  </r>
  <r>
    <x v="28"/>
  </r>
  <r>
    <x v="28"/>
  </r>
  <r>
    <x v="56"/>
  </r>
  <r>
    <x v="76"/>
  </r>
  <r>
    <x v="7"/>
  </r>
  <r>
    <x v="7"/>
  </r>
  <r>
    <x v="7"/>
  </r>
  <r>
    <x v="144"/>
  </r>
  <r>
    <x v="42"/>
  </r>
  <r>
    <x v="7"/>
  </r>
  <r>
    <x v="7"/>
  </r>
  <r>
    <x v="45"/>
  </r>
  <r>
    <x v="7"/>
  </r>
  <r>
    <x v="8"/>
  </r>
  <r>
    <x v="8"/>
  </r>
  <r>
    <x v="8"/>
  </r>
  <r>
    <x v="8"/>
  </r>
  <r>
    <x v="56"/>
  </r>
  <r>
    <x v="28"/>
  </r>
  <r>
    <x v="28"/>
  </r>
  <r>
    <x v="7"/>
  </r>
  <r>
    <x v="7"/>
  </r>
  <r>
    <x v="150"/>
  </r>
  <r>
    <x v="16"/>
  </r>
  <r>
    <x v="0"/>
  </r>
  <r>
    <x v="0"/>
  </r>
  <r>
    <x v="7"/>
  </r>
  <r>
    <x v="48"/>
  </r>
  <r>
    <x v="70"/>
  </r>
  <r>
    <x v="63"/>
  </r>
  <r>
    <x v="27"/>
  </r>
  <r>
    <x v="27"/>
  </r>
  <r>
    <x v="150"/>
  </r>
  <r>
    <x v="162"/>
  </r>
  <r>
    <x v="162"/>
  </r>
  <r>
    <x v="7"/>
  </r>
  <r>
    <x v="7"/>
  </r>
  <r>
    <x v="28"/>
  </r>
  <r>
    <x v="4"/>
  </r>
  <r>
    <x v="28"/>
  </r>
  <r>
    <x v="28"/>
  </r>
  <r>
    <x v="28"/>
  </r>
  <r>
    <x v="7"/>
  </r>
  <r>
    <x v="7"/>
  </r>
  <r>
    <x v="7"/>
  </r>
  <r>
    <x v="7"/>
  </r>
  <r>
    <x v="46"/>
  </r>
  <r>
    <x v="4"/>
  </r>
  <r>
    <x v="71"/>
  </r>
  <r>
    <x v="2"/>
  </r>
  <r>
    <x v="162"/>
  </r>
  <r>
    <x v="162"/>
  </r>
  <r>
    <x v="31"/>
  </r>
  <r>
    <x v="28"/>
  </r>
  <r>
    <x v="28"/>
  </r>
  <r>
    <x v="1"/>
  </r>
  <r>
    <x v="12"/>
  </r>
  <r>
    <x v="7"/>
  </r>
  <r>
    <x v="7"/>
  </r>
  <r>
    <x v="7"/>
  </r>
  <r>
    <x v="0"/>
  </r>
  <r>
    <x v="0"/>
  </r>
  <r>
    <x v="115"/>
  </r>
  <r>
    <x v="7"/>
  </r>
  <r>
    <x v="7"/>
  </r>
  <r>
    <x v="9"/>
  </r>
  <r>
    <x v="2"/>
  </r>
  <r>
    <x v="138"/>
  </r>
  <r>
    <x v="138"/>
  </r>
  <r>
    <x v="14"/>
  </r>
  <r>
    <x v="7"/>
  </r>
  <r>
    <x v="28"/>
  </r>
  <r>
    <x v="57"/>
  </r>
  <r>
    <x v="138"/>
  </r>
  <r>
    <x v="138"/>
  </r>
  <r>
    <x v="19"/>
  </r>
  <r>
    <x v="144"/>
  </r>
  <r>
    <x v="144"/>
  </r>
  <r>
    <x v="37"/>
  </r>
  <r>
    <x v="12"/>
  </r>
  <r>
    <x v="24"/>
  </r>
  <r>
    <x v="7"/>
  </r>
  <r>
    <x v="144"/>
  </r>
  <r>
    <x v="86"/>
  </r>
  <r>
    <x v="64"/>
  </r>
  <r>
    <x v="28"/>
  </r>
  <r>
    <x v="28"/>
  </r>
  <r>
    <x v="28"/>
  </r>
  <r>
    <x v="28"/>
  </r>
  <r>
    <x v="28"/>
  </r>
  <r>
    <x v="12"/>
  </r>
  <r>
    <x v="12"/>
  </r>
  <r>
    <x v="7"/>
  </r>
  <r>
    <x v="59"/>
  </r>
  <r>
    <x v="59"/>
  </r>
  <r>
    <x v="7"/>
  </r>
  <r>
    <x v="10"/>
  </r>
  <r>
    <x v="14"/>
  </r>
  <r>
    <x v="28"/>
  </r>
  <r>
    <x v="28"/>
  </r>
  <r>
    <x v="4"/>
  </r>
  <r>
    <x v="28"/>
  </r>
  <r>
    <x v="28"/>
  </r>
  <r>
    <x v="28"/>
  </r>
  <r>
    <x v="7"/>
  </r>
  <r>
    <x v="9"/>
  </r>
  <r>
    <x v="36"/>
  </r>
  <r>
    <x v="79"/>
  </r>
  <r>
    <x v="89"/>
  </r>
  <r>
    <x v="80"/>
  </r>
  <r>
    <x v="28"/>
  </r>
  <r>
    <x v="138"/>
  </r>
  <r>
    <x v="138"/>
  </r>
  <r>
    <x v="45"/>
  </r>
  <r>
    <x v="14"/>
  </r>
  <r>
    <x v="28"/>
  </r>
  <r>
    <x v="28"/>
  </r>
  <r>
    <x v="28"/>
  </r>
  <r>
    <x v="138"/>
  </r>
  <r>
    <x v="56"/>
  </r>
  <r>
    <x v="14"/>
  </r>
  <r>
    <x v="14"/>
  </r>
  <r>
    <x v="14"/>
  </r>
  <r>
    <x v="138"/>
  </r>
  <r>
    <x v="56"/>
  </r>
  <r>
    <x v="56"/>
  </r>
  <r>
    <x v="79"/>
  </r>
  <r>
    <x v="28"/>
  </r>
  <r>
    <x v="28"/>
  </r>
  <r>
    <x v="42"/>
  </r>
  <r>
    <x v="56"/>
  </r>
  <r>
    <x v="138"/>
  </r>
  <r>
    <x v="24"/>
  </r>
  <r>
    <x v="4"/>
  </r>
  <r>
    <x v="28"/>
  </r>
  <r>
    <x v="28"/>
  </r>
  <r>
    <x v="28"/>
  </r>
  <r>
    <x v="28"/>
  </r>
  <r>
    <x v="6"/>
  </r>
  <r>
    <x v="6"/>
  </r>
  <r>
    <x v="8"/>
  </r>
  <r>
    <x v="9"/>
  </r>
  <r>
    <x v="10"/>
  </r>
  <r>
    <x v="2"/>
  </r>
  <r>
    <x v="130"/>
  </r>
  <r>
    <x v="130"/>
  </r>
  <r>
    <x v="28"/>
  </r>
  <r>
    <x v="4"/>
  </r>
  <r>
    <x v="79"/>
  </r>
  <r>
    <x v="12"/>
  </r>
  <r>
    <x v="7"/>
  </r>
  <r>
    <x v="6"/>
  </r>
  <r>
    <x v="9"/>
  </r>
  <r>
    <x v="8"/>
  </r>
  <r>
    <x v="8"/>
  </r>
  <r>
    <x v="56"/>
  </r>
  <r>
    <x v="144"/>
  </r>
  <r>
    <x v="56"/>
  </r>
  <r>
    <x v="7"/>
  </r>
  <r>
    <x v="56"/>
  </r>
  <r>
    <x v="14"/>
  </r>
  <r>
    <x v="14"/>
  </r>
  <r>
    <x v="4"/>
  </r>
  <r>
    <x v="144"/>
  </r>
  <r>
    <x v="144"/>
  </r>
  <r>
    <x v="144"/>
  </r>
  <r>
    <x v="28"/>
  </r>
  <r>
    <x v="27"/>
  </r>
  <r>
    <x v="7"/>
  </r>
  <r>
    <x v="79"/>
  </r>
  <r>
    <x v="0"/>
  </r>
  <r>
    <x v="52"/>
  </r>
  <r>
    <x v="27"/>
  </r>
  <r>
    <x v="27"/>
  </r>
  <r>
    <x v="27"/>
  </r>
  <r>
    <x v="27"/>
  </r>
  <r>
    <x v="138"/>
  </r>
  <r>
    <x v="7"/>
  </r>
  <r>
    <x v="14"/>
  </r>
  <r>
    <x v="79"/>
  </r>
  <r>
    <x v="14"/>
  </r>
  <r>
    <x v="79"/>
  </r>
  <r>
    <x v="4"/>
  </r>
  <r>
    <x v="0"/>
  </r>
  <r>
    <x v="14"/>
  </r>
  <r>
    <x v="45"/>
  </r>
  <r>
    <x v="45"/>
  </r>
  <r>
    <x v="9"/>
  </r>
  <r>
    <x v="48"/>
  </r>
  <r>
    <x v="48"/>
  </r>
  <r>
    <x v="4"/>
  </r>
  <r>
    <x v="28"/>
  </r>
  <r>
    <x v="28"/>
  </r>
  <r>
    <x v="138"/>
  </r>
  <r>
    <x v="4"/>
  </r>
  <r>
    <x v="71"/>
  </r>
  <r>
    <x v="4"/>
  </r>
  <r>
    <x v="11"/>
  </r>
  <r>
    <x v="28"/>
  </r>
  <r>
    <x v="71"/>
  </r>
  <r>
    <x v="71"/>
  </r>
  <r>
    <x v="71"/>
  </r>
  <r>
    <x v="12"/>
  </r>
  <r>
    <x v="8"/>
  </r>
  <r>
    <x v="4"/>
  </r>
  <r>
    <x v="71"/>
  </r>
  <r>
    <x v="45"/>
  </r>
  <r>
    <x v="45"/>
  </r>
  <r>
    <x v="71"/>
  </r>
  <r>
    <x v="28"/>
  </r>
  <r>
    <x v="28"/>
  </r>
  <r>
    <x v="150"/>
  </r>
  <r>
    <x v="150"/>
  </r>
  <r>
    <x v="19"/>
  </r>
  <r>
    <x v="162"/>
  </r>
  <r>
    <x v="71"/>
  </r>
  <r>
    <x v="79"/>
  </r>
  <r>
    <x v="10"/>
  </r>
  <r>
    <x v="16"/>
  </r>
  <r>
    <x v="16"/>
  </r>
  <r>
    <x v="16"/>
  </r>
  <r>
    <x v="16"/>
  </r>
  <r>
    <x v="16"/>
  </r>
  <r>
    <x v="16"/>
  </r>
  <r>
    <x v="16"/>
  </r>
  <r>
    <x v="4"/>
  </r>
  <r>
    <x v="31"/>
  </r>
  <r>
    <x v="4"/>
  </r>
  <r>
    <x v="28"/>
  </r>
  <r>
    <x v="37"/>
  </r>
  <r>
    <x v="31"/>
  </r>
  <r>
    <x v="31"/>
  </r>
  <r>
    <x v="9"/>
  </r>
  <r>
    <x v="9"/>
  </r>
  <r>
    <x v="19"/>
  </r>
  <r>
    <x v="91"/>
  </r>
  <r>
    <x v="9"/>
  </r>
  <r>
    <x v="138"/>
  </r>
  <r>
    <x v="71"/>
  </r>
  <r>
    <x v="144"/>
  </r>
  <r>
    <x v="26"/>
  </r>
  <r>
    <x v="28"/>
  </r>
  <r>
    <x v="79"/>
  </r>
  <r>
    <x v="130"/>
  </r>
  <r>
    <x v="8"/>
  </r>
  <r>
    <x v="79"/>
  </r>
  <r>
    <x v="28"/>
  </r>
  <r>
    <x v="28"/>
  </r>
  <r>
    <x v="24"/>
  </r>
  <r>
    <x v="10"/>
  </r>
  <r>
    <x v="2"/>
  </r>
  <r>
    <x v="0"/>
  </r>
  <r>
    <x v="57"/>
  </r>
  <r>
    <x v="3"/>
  </r>
  <r>
    <x v="57"/>
  </r>
  <r>
    <x v="54"/>
  </r>
  <r>
    <x v="54"/>
  </r>
  <r>
    <x v="138"/>
  </r>
  <r>
    <x v="10"/>
  </r>
  <r>
    <x v="144"/>
  </r>
  <r>
    <x v="8"/>
  </r>
  <r>
    <x v="8"/>
  </r>
  <r>
    <x v="28"/>
  </r>
  <r>
    <x v="138"/>
  </r>
  <r>
    <x v="138"/>
  </r>
  <r>
    <x v="138"/>
  </r>
  <r>
    <x v="138"/>
  </r>
  <r>
    <x v="28"/>
  </r>
  <r>
    <x v="14"/>
  </r>
  <r>
    <x v="8"/>
  </r>
  <r>
    <x v="28"/>
  </r>
  <r>
    <x v="28"/>
  </r>
  <r>
    <x v="59"/>
  </r>
  <r>
    <x v="11"/>
  </r>
  <r>
    <x v="141"/>
  </r>
  <r>
    <x v="138"/>
  </r>
  <r>
    <x v="28"/>
  </r>
  <r>
    <x v="37"/>
  </r>
  <r>
    <x v="150"/>
  </r>
  <r>
    <x v="37"/>
  </r>
  <r>
    <x v="37"/>
  </r>
  <r>
    <x v="28"/>
  </r>
  <r>
    <x v="28"/>
  </r>
  <r>
    <x v="16"/>
  </r>
  <r>
    <x v="31"/>
  </r>
  <r>
    <x v="22"/>
  </r>
  <r>
    <x v="4"/>
  </r>
  <r>
    <x v="123"/>
  </r>
  <r>
    <x v="1"/>
  </r>
  <r>
    <x v="42"/>
  </r>
  <r>
    <x v="24"/>
  </r>
  <r>
    <x v="24"/>
  </r>
  <r>
    <x v="24"/>
  </r>
  <r>
    <x v="24"/>
  </r>
  <r>
    <x v="14"/>
  </r>
  <r>
    <x v="31"/>
  </r>
  <r>
    <x v="31"/>
  </r>
  <r>
    <x v="0"/>
  </r>
  <r>
    <x v="31"/>
  </r>
  <r>
    <x v="53"/>
  </r>
  <r>
    <x v="53"/>
  </r>
  <r>
    <x v="53"/>
  </r>
  <r>
    <x v="53"/>
  </r>
  <r>
    <x v="53"/>
  </r>
  <r>
    <x v="12"/>
  </r>
  <r>
    <x v="12"/>
  </r>
  <r>
    <x v="12"/>
  </r>
  <r>
    <x v="16"/>
  </r>
  <r>
    <x v="86"/>
  </r>
  <r>
    <x v="42"/>
  </r>
  <r>
    <x v="12"/>
  </r>
  <r>
    <x v="12"/>
  </r>
  <r>
    <x v="12"/>
  </r>
  <r>
    <x v="12"/>
  </r>
  <r>
    <x v="12"/>
  </r>
  <r>
    <x v="28"/>
  </r>
  <r>
    <x v="12"/>
  </r>
  <r>
    <x v="16"/>
  </r>
  <r>
    <x v="42"/>
  </r>
  <r>
    <x v="42"/>
  </r>
  <r>
    <x v="59"/>
  </r>
  <r>
    <x v="42"/>
  </r>
  <r>
    <x v="42"/>
  </r>
  <r>
    <x v="9"/>
  </r>
  <r>
    <x v="9"/>
  </r>
  <r>
    <x v="0"/>
  </r>
  <r>
    <x v="10"/>
  </r>
  <r>
    <x v="42"/>
  </r>
  <r>
    <x v="0"/>
  </r>
  <r>
    <x v="37"/>
  </r>
  <r>
    <x v="10"/>
  </r>
  <r>
    <x v="8"/>
  </r>
  <r>
    <x v="8"/>
  </r>
  <r>
    <x v="8"/>
  </r>
  <r>
    <x v="21"/>
  </r>
  <r>
    <x v="28"/>
  </r>
  <r>
    <x v="14"/>
  </r>
  <r>
    <x v="8"/>
  </r>
  <r>
    <x v="8"/>
  </r>
  <r>
    <x v="8"/>
  </r>
  <r>
    <x v="8"/>
  </r>
  <r>
    <x v="8"/>
  </r>
  <r>
    <x v="8"/>
  </r>
  <r>
    <x v="8"/>
  </r>
  <r>
    <x v="8"/>
  </r>
  <r>
    <x v="4"/>
  </r>
  <r>
    <x v="16"/>
  </r>
  <r>
    <x v="31"/>
  </r>
  <r>
    <x v="45"/>
  </r>
  <r>
    <x v="24"/>
  </r>
  <r>
    <x v="2"/>
  </r>
  <r>
    <x v="28"/>
  </r>
  <r>
    <x v="7"/>
  </r>
  <r>
    <x v="7"/>
  </r>
  <r>
    <x v="98"/>
  </r>
  <r>
    <x v="42"/>
  </r>
  <r>
    <x v="14"/>
  </r>
  <r>
    <x v="10"/>
  </r>
  <r>
    <x v="10"/>
  </r>
  <r>
    <x v="1"/>
  </r>
  <r>
    <x v="12"/>
  </r>
  <r>
    <x v="16"/>
  </r>
  <r>
    <x v="12"/>
  </r>
  <r>
    <x v="12"/>
  </r>
  <r>
    <x v="12"/>
  </r>
  <r>
    <x v="53"/>
  </r>
  <r>
    <x v="131"/>
  </r>
  <r>
    <x v="86"/>
  </r>
  <r>
    <x v="88"/>
  </r>
  <r>
    <x v="53"/>
  </r>
  <r>
    <x v="53"/>
  </r>
  <r>
    <x v="152"/>
  </r>
  <r>
    <x v="0"/>
  </r>
  <r>
    <x v="14"/>
  </r>
  <r>
    <x v="14"/>
  </r>
  <r>
    <x v="4"/>
  </r>
  <r>
    <x v="12"/>
  </r>
  <r>
    <x v="14"/>
  </r>
  <r>
    <x v="16"/>
  </r>
  <r>
    <x v="11"/>
  </r>
  <r>
    <x v="4"/>
  </r>
  <r>
    <x v="10"/>
  </r>
  <r>
    <x v="12"/>
  </r>
  <r>
    <x v="9"/>
  </r>
  <r>
    <x v="52"/>
  </r>
  <r>
    <x v="1"/>
  </r>
  <r>
    <x v="11"/>
  </r>
  <r>
    <x v="154"/>
  </r>
  <r>
    <x v="10"/>
  </r>
  <r>
    <x v="12"/>
  </r>
  <r>
    <x v="142"/>
  </r>
  <r>
    <x v="10"/>
  </r>
  <r>
    <x v="7"/>
  </r>
  <r>
    <x v="21"/>
  </r>
  <r>
    <x v="21"/>
  </r>
  <r>
    <x v="21"/>
  </r>
  <r>
    <x v="21"/>
  </r>
  <r>
    <x v="7"/>
  </r>
  <r>
    <x v="31"/>
  </r>
  <r>
    <x v="56"/>
  </r>
  <r>
    <x v="76"/>
  </r>
  <r>
    <x v="21"/>
  </r>
  <r>
    <x v="131"/>
  </r>
  <r>
    <x v="12"/>
  </r>
  <r>
    <x v="12"/>
  </r>
  <r>
    <x v="57"/>
  </r>
  <r>
    <x v="21"/>
  </r>
  <r>
    <x v="53"/>
  </r>
  <r>
    <x v="12"/>
  </r>
  <r>
    <x v="12"/>
  </r>
  <r>
    <x v="16"/>
  </r>
  <r>
    <x v="16"/>
  </r>
  <r>
    <x v="12"/>
  </r>
  <r>
    <x v="71"/>
  </r>
  <r>
    <x v="12"/>
  </r>
  <r>
    <x v="115"/>
  </r>
  <r>
    <x v="115"/>
  </r>
  <r>
    <x v="115"/>
  </r>
  <r>
    <x v="6"/>
  </r>
  <r>
    <x v="24"/>
  </r>
  <r>
    <x v="53"/>
  </r>
  <r>
    <x v="14"/>
  </r>
  <r>
    <x v="12"/>
  </r>
  <r>
    <x v="59"/>
  </r>
  <r>
    <x v="12"/>
  </r>
  <r>
    <x v="0"/>
  </r>
  <r>
    <x v="39"/>
  </r>
  <r>
    <x v="11"/>
  </r>
  <r>
    <x v="240"/>
  </r>
  <r>
    <x v="14"/>
  </r>
  <r>
    <x v="21"/>
  </r>
  <r>
    <x v="22"/>
  </r>
  <r>
    <x v="77"/>
  </r>
  <r>
    <x v="56"/>
  </r>
  <r>
    <x v="71"/>
  </r>
  <r>
    <x v="71"/>
  </r>
  <r>
    <x v="71"/>
  </r>
  <r>
    <x v="176"/>
  </r>
  <r>
    <x v="21"/>
  </r>
  <r>
    <x v="9"/>
  </r>
  <r>
    <x v="52"/>
  </r>
  <r>
    <x v="45"/>
  </r>
  <r>
    <x v="12"/>
  </r>
  <r>
    <x v="4"/>
  </r>
  <r>
    <x v="4"/>
  </r>
  <r>
    <x v="4"/>
  </r>
  <r>
    <x v="169"/>
  </r>
  <r>
    <x v="4"/>
  </r>
  <r>
    <x v="16"/>
  </r>
  <r>
    <x v="71"/>
  </r>
  <r>
    <x v="71"/>
  </r>
  <r>
    <x v="273"/>
  </r>
  <r>
    <x v="28"/>
  </r>
  <r>
    <x v="12"/>
  </r>
  <r>
    <x v="28"/>
  </r>
  <r>
    <x v="42"/>
  </r>
  <r>
    <x v="12"/>
  </r>
  <r>
    <x v="33"/>
  </r>
  <r>
    <x v="33"/>
  </r>
  <r>
    <x v="33"/>
  </r>
  <r>
    <x v="111"/>
  </r>
  <r>
    <x v="19"/>
  </r>
  <r>
    <x v="39"/>
  </r>
  <r>
    <x v="21"/>
  </r>
  <r>
    <x v="45"/>
  </r>
  <r>
    <x v="154"/>
  </r>
  <r>
    <x v="26"/>
  </r>
  <r>
    <x v="78"/>
  </r>
  <r>
    <x v="69"/>
  </r>
  <r>
    <x v="78"/>
  </r>
  <r>
    <x v="78"/>
  </r>
  <r>
    <x v="78"/>
  </r>
  <r>
    <x v="78"/>
  </r>
  <r>
    <x v="69"/>
  </r>
  <r>
    <x v="69"/>
  </r>
  <r>
    <x v="154"/>
  </r>
  <r>
    <x v="69"/>
  </r>
  <r>
    <x v="78"/>
  </r>
  <r>
    <x v="63"/>
  </r>
  <r>
    <x v="69"/>
  </r>
  <r>
    <x v="112"/>
  </r>
  <r>
    <x v="115"/>
  </r>
  <r>
    <x v="112"/>
  </r>
  <r>
    <x v="112"/>
  </r>
  <r>
    <x v="112"/>
  </r>
  <r>
    <x v="112"/>
  </r>
  <r>
    <x v="115"/>
  </r>
  <r>
    <x v="52"/>
  </r>
  <r>
    <x v="251"/>
  </r>
  <r>
    <x v="251"/>
  </r>
  <r>
    <x v="42"/>
  </r>
  <r>
    <x v="251"/>
  </r>
  <r>
    <x v="112"/>
  </r>
  <r>
    <x v="112"/>
  </r>
  <r>
    <x v="251"/>
  </r>
  <r>
    <x v="115"/>
  </r>
  <r>
    <x v="112"/>
  </r>
  <r>
    <x v="112"/>
  </r>
  <r>
    <x v="112"/>
  </r>
  <r>
    <x v="112"/>
  </r>
  <r>
    <x v="79"/>
  </r>
  <r>
    <x v="81"/>
  </r>
  <r>
    <x v="14"/>
  </r>
  <r>
    <x v="14"/>
  </r>
  <r>
    <x v="81"/>
  </r>
  <r>
    <x v="112"/>
  </r>
  <r>
    <x v="81"/>
  </r>
  <r>
    <x v="81"/>
  </r>
  <r>
    <x v="81"/>
  </r>
  <r>
    <x v="81"/>
  </r>
  <r>
    <x v="81"/>
  </r>
  <r>
    <x v="81"/>
  </r>
  <r>
    <x v="75"/>
  </r>
  <r>
    <x v="75"/>
  </r>
  <r>
    <x v="81"/>
  </r>
  <r>
    <x v="81"/>
  </r>
  <r>
    <x v="16"/>
  </r>
  <r>
    <x v="25"/>
  </r>
  <r>
    <x v="3"/>
  </r>
  <r>
    <x v="87"/>
  </r>
  <r>
    <x v="1"/>
  </r>
  <r>
    <x v="123"/>
  </r>
  <r>
    <x v="123"/>
  </r>
  <r>
    <x v="87"/>
  </r>
  <r>
    <x v="48"/>
  </r>
  <r>
    <x v="63"/>
  </r>
  <r>
    <x v="36"/>
  </r>
  <r>
    <x v="10"/>
  </r>
  <r>
    <x v="24"/>
  </r>
  <r>
    <x v="24"/>
  </r>
  <r>
    <x v="108"/>
  </r>
  <r>
    <x v="108"/>
  </r>
  <r>
    <x v="3"/>
  </r>
  <r>
    <x v="108"/>
  </r>
  <r>
    <x v="108"/>
  </r>
  <r>
    <x v="83"/>
  </r>
  <r>
    <x v="10"/>
  </r>
  <r>
    <x v="83"/>
  </r>
  <r>
    <x v="108"/>
  </r>
  <r>
    <x v="3"/>
  </r>
  <r>
    <x v="108"/>
  </r>
  <r>
    <x v="10"/>
  </r>
  <r>
    <x v="72"/>
  </r>
  <r>
    <x v="108"/>
  </r>
  <r>
    <x v="108"/>
  </r>
  <r>
    <x v="3"/>
  </r>
  <r>
    <x v="3"/>
  </r>
  <r>
    <x v="10"/>
  </r>
  <r>
    <x v="3"/>
  </r>
  <r>
    <x v="32"/>
  </r>
  <r>
    <x v="3"/>
  </r>
  <r>
    <x v="10"/>
  </r>
  <r>
    <x v="10"/>
  </r>
  <r>
    <x v="10"/>
  </r>
  <r>
    <x v="23"/>
  </r>
  <r>
    <x v="128"/>
  </r>
  <r>
    <x v="15"/>
  </r>
  <r>
    <x v="95"/>
  </r>
  <r>
    <x v="154"/>
  </r>
  <r>
    <x v="31"/>
  </r>
  <r>
    <x v="113"/>
  </r>
  <r>
    <x v="42"/>
  </r>
  <r>
    <x v="42"/>
  </r>
  <r>
    <x v="15"/>
  </r>
  <r>
    <x v="21"/>
  </r>
  <r>
    <x v="21"/>
  </r>
  <r>
    <x v="81"/>
  </r>
  <r>
    <x v="10"/>
  </r>
  <r>
    <x v="10"/>
  </r>
  <r>
    <x v="126"/>
  </r>
  <r>
    <x v="15"/>
  </r>
  <r>
    <x v="23"/>
  </r>
  <r>
    <x v="123"/>
  </r>
  <r>
    <x v="123"/>
  </r>
  <r>
    <x v="126"/>
  </r>
  <r>
    <x v="3"/>
  </r>
  <r>
    <x v="10"/>
  </r>
  <r>
    <x v="126"/>
  </r>
  <r>
    <x v="20"/>
  </r>
  <r>
    <x v="25"/>
  </r>
  <r>
    <x v="20"/>
  </r>
  <r>
    <x v="10"/>
  </r>
  <r>
    <x v="10"/>
  </r>
  <r>
    <x v="10"/>
  </r>
  <r>
    <x v="25"/>
  </r>
  <r>
    <x v="10"/>
  </r>
  <r>
    <x v="20"/>
  </r>
  <r>
    <x v="127"/>
  </r>
  <r>
    <x v="20"/>
  </r>
  <r>
    <x v="25"/>
  </r>
  <r>
    <x v="10"/>
  </r>
  <r>
    <x v="10"/>
  </r>
  <r>
    <x v="20"/>
  </r>
  <r>
    <x v="10"/>
  </r>
  <r>
    <x v="10"/>
  </r>
  <r>
    <x v="10"/>
  </r>
  <r>
    <x v="20"/>
  </r>
  <r>
    <x v="20"/>
  </r>
  <r>
    <x v="10"/>
  </r>
  <r>
    <x v="20"/>
  </r>
  <r>
    <x v="10"/>
  </r>
  <r>
    <x v="20"/>
  </r>
  <r>
    <x v="20"/>
  </r>
  <r>
    <x v="20"/>
  </r>
  <r>
    <x v="112"/>
  </r>
  <r>
    <x v="25"/>
  </r>
  <r>
    <x v="0"/>
  </r>
  <r>
    <x v="23"/>
  </r>
  <r>
    <x v="80"/>
  </r>
  <r>
    <x v="80"/>
  </r>
  <r>
    <x v="0"/>
  </r>
  <r>
    <x v="0"/>
  </r>
  <r>
    <x v="31"/>
  </r>
  <r>
    <x v="31"/>
  </r>
  <r>
    <x v="31"/>
  </r>
  <r>
    <x v="31"/>
  </r>
  <r>
    <x v="31"/>
  </r>
  <r>
    <x v="138"/>
  </r>
  <r>
    <x v="7"/>
  </r>
  <r>
    <x v="21"/>
  </r>
  <r>
    <x v="81"/>
  </r>
  <r>
    <x v="24"/>
  </r>
  <r>
    <x v="81"/>
  </r>
  <r>
    <x v="53"/>
  </r>
  <r>
    <x v="9"/>
  </r>
  <r>
    <x v="14"/>
  </r>
  <r>
    <x v="23"/>
  </r>
  <r>
    <x v="23"/>
  </r>
  <r>
    <x v="23"/>
  </r>
  <r>
    <x v="0"/>
  </r>
  <r>
    <x v="3"/>
  </r>
  <r>
    <x v="10"/>
  </r>
  <r>
    <x v="12"/>
  </r>
  <r>
    <x v="20"/>
  </r>
  <r>
    <x v="20"/>
  </r>
  <r>
    <x v="3"/>
  </r>
  <r>
    <x v="10"/>
  </r>
  <r>
    <x v="10"/>
  </r>
  <r>
    <x v="3"/>
  </r>
  <r>
    <x v="3"/>
  </r>
  <r>
    <x v="10"/>
  </r>
  <r>
    <x v="10"/>
  </r>
  <r>
    <x v="10"/>
  </r>
  <r>
    <x v="12"/>
  </r>
  <r>
    <x v="10"/>
  </r>
  <r>
    <x v="1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75"/>
  </r>
  <r>
    <x v="112"/>
  </r>
  <r>
    <x v="31"/>
  </r>
  <r>
    <x v="31"/>
  </r>
  <r>
    <x v="31"/>
  </r>
  <r>
    <x v="31"/>
  </r>
  <r>
    <x v="31"/>
  </r>
  <r>
    <x v="31"/>
  </r>
  <r>
    <x v="31"/>
  </r>
  <r>
    <x v="31"/>
  </r>
  <r>
    <x v="24"/>
  </r>
  <r>
    <x v="31"/>
  </r>
  <r>
    <x v="31"/>
  </r>
  <r>
    <x v="24"/>
  </r>
  <r>
    <x v="23"/>
  </r>
  <r>
    <x v="23"/>
  </r>
  <r>
    <x v="42"/>
  </r>
  <r>
    <x v="23"/>
  </r>
  <r>
    <x v="23"/>
  </r>
  <r>
    <x v="3"/>
  </r>
  <r>
    <x v="36"/>
  </r>
  <r>
    <x v="36"/>
  </r>
  <r>
    <x v="36"/>
  </r>
  <r>
    <x v="23"/>
  </r>
  <r>
    <x v="81"/>
  </r>
  <r>
    <x v="81"/>
  </r>
  <r>
    <x v="81"/>
  </r>
  <r>
    <x v="81"/>
  </r>
  <r>
    <x v="122"/>
  </r>
  <r>
    <x v="123"/>
  </r>
  <r>
    <x v="122"/>
  </r>
  <r>
    <x v="14"/>
  </r>
  <r>
    <x v="14"/>
  </r>
  <r>
    <x v="122"/>
  </r>
  <r>
    <x v="165"/>
  </r>
  <r>
    <x v="0"/>
  </r>
  <r>
    <x v="122"/>
  </r>
  <r>
    <x v="4"/>
  </r>
  <r>
    <x v="4"/>
  </r>
  <r>
    <x v="42"/>
  </r>
  <r>
    <x v="4"/>
  </r>
  <r>
    <x v="10"/>
  </r>
  <r>
    <x v="0"/>
  </r>
  <r>
    <x v="4"/>
  </r>
  <r>
    <x v="4"/>
  </r>
  <r>
    <x v="115"/>
  </r>
  <r>
    <x v="115"/>
  </r>
  <r>
    <x v="10"/>
  </r>
  <r>
    <x v="12"/>
  </r>
  <r>
    <x v="12"/>
  </r>
  <r>
    <x v="12"/>
  </r>
  <r>
    <x v="12"/>
  </r>
  <r>
    <x v="12"/>
  </r>
  <r>
    <x v="12"/>
  </r>
  <r>
    <x v="12"/>
  </r>
  <r>
    <x v="4"/>
  </r>
  <r>
    <x v="123"/>
  </r>
  <r>
    <x v="123"/>
  </r>
  <r>
    <x v="0"/>
  </r>
  <r>
    <x v="123"/>
  </r>
  <r>
    <x v="36"/>
  </r>
  <r>
    <x v="36"/>
  </r>
  <r>
    <x v="36"/>
  </r>
  <r>
    <x v="29"/>
  </r>
  <r>
    <x v="95"/>
  </r>
  <r>
    <x v="10"/>
  </r>
  <r>
    <x v="10"/>
  </r>
  <r>
    <x v="10"/>
  </r>
  <r>
    <x v="10"/>
  </r>
  <r>
    <x v="10"/>
  </r>
  <r>
    <x v="76"/>
  </r>
  <r>
    <x v="21"/>
  </r>
  <r>
    <x v="12"/>
  </r>
  <r>
    <x v="25"/>
  </r>
  <r>
    <x v="122"/>
  </r>
  <r>
    <x v="10"/>
  </r>
  <r>
    <x v="57"/>
  </r>
  <r>
    <x v="4"/>
  </r>
  <r>
    <x v="4"/>
  </r>
  <r>
    <x v="10"/>
  </r>
  <r>
    <x v="11"/>
  </r>
  <r>
    <x v="11"/>
  </r>
  <r>
    <x v="11"/>
  </r>
  <r>
    <x v="78"/>
  </r>
  <r>
    <x v="36"/>
  </r>
  <r>
    <x v="59"/>
  </r>
  <r>
    <x v="6"/>
  </r>
  <r>
    <x v="45"/>
  </r>
  <r>
    <x v="12"/>
  </r>
  <r>
    <x v="7"/>
  </r>
  <r>
    <x v="7"/>
  </r>
  <r>
    <x v="10"/>
  </r>
  <r>
    <x v="57"/>
  </r>
  <r>
    <x v="165"/>
  </r>
  <r>
    <x v="77"/>
  </r>
  <r>
    <x v="42"/>
  </r>
  <r>
    <x v="42"/>
  </r>
  <r>
    <x v="42"/>
  </r>
  <r>
    <x v="42"/>
  </r>
  <r>
    <x v="71"/>
  </r>
  <r>
    <x v="77"/>
  </r>
  <r>
    <x v="0"/>
  </r>
  <r>
    <x v="57"/>
  </r>
  <r>
    <x v="135"/>
  </r>
  <r>
    <x v="50"/>
  </r>
  <r>
    <x v="10"/>
  </r>
  <r>
    <x v="71"/>
  </r>
  <r>
    <x v="12"/>
  </r>
  <r>
    <x v="16"/>
  </r>
  <r>
    <x v="16"/>
  </r>
  <r>
    <x v="132"/>
  </r>
  <r>
    <x v="16"/>
  </r>
  <r>
    <x v="76"/>
  </r>
  <r>
    <x v="12"/>
  </r>
  <r>
    <x v="45"/>
  </r>
  <r>
    <x v="45"/>
  </r>
  <r>
    <x v="12"/>
  </r>
  <r>
    <x v="45"/>
  </r>
  <r>
    <x v="12"/>
  </r>
  <r>
    <x v="10"/>
  </r>
  <r>
    <x v="45"/>
  </r>
  <r>
    <x v="45"/>
  </r>
  <r>
    <x v="26"/>
  </r>
  <r>
    <x v="28"/>
  </r>
  <r>
    <x v="25"/>
  </r>
  <r>
    <x v="12"/>
  </r>
  <r>
    <x v="42"/>
  </r>
  <r>
    <x v="42"/>
  </r>
  <r>
    <x v="42"/>
  </r>
  <r>
    <x v="12"/>
  </r>
  <r>
    <x v="12"/>
  </r>
  <r>
    <x v="25"/>
  </r>
  <r>
    <x v="42"/>
  </r>
  <r>
    <x v="10"/>
  </r>
  <r>
    <x v="108"/>
  </r>
  <r>
    <x v="42"/>
  </r>
  <r>
    <x v="71"/>
  </r>
  <r>
    <x v="44"/>
  </r>
  <r>
    <x v="48"/>
  </r>
  <r>
    <x v="29"/>
  </r>
  <r>
    <x v="51"/>
  </r>
  <r>
    <x v="51"/>
  </r>
  <r>
    <x v="51"/>
  </r>
  <r>
    <x v="45"/>
  </r>
  <r>
    <x v="45"/>
  </r>
  <r>
    <x v="45"/>
  </r>
  <r>
    <x v="57"/>
  </r>
  <r>
    <x v="45"/>
  </r>
  <r>
    <x v="7"/>
  </r>
  <r>
    <x v="7"/>
  </r>
  <r>
    <x v="0"/>
  </r>
  <r>
    <x v="51"/>
  </r>
  <r>
    <x v="51"/>
  </r>
  <r>
    <x v="12"/>
  </r>
  <r>
    <x v="63"/>
  </r>
  <r>
    <x v="42"/>
  </r>
  <r>
    <x v="51"/>
  </r>
  <r>
    <x v="51"/>
  </r>
  <r>
    <x v="51"/>
  </r>
  <r>
    <x v="86"/>
  </r>
  <r>
    <x v="182"/>
  </r>
  <r>
    <x v="25"/>
  </r>
  <r>
    <x v="10"/>
  </r>
  <r>
    <x v="12"/>
  </r>
  <r>
    <x v="12"/>
  </r>
  <r>
    <x v="12"/>
  </r>
  <r>
    <x v="12"/>
  </r>
  <r>
    <x v="14"/>
  </r>
  <r>
    <x v="14"/>
  </r>
  <r>
    <x v="144"/>
  </r>
  <r>
    <x v="63"/>
  </r>
  <r>
    <x v="63"/>
  </r>
  <r>
    <x v="63"/>
  </r>
  <r>
    <x v="144"/>
  </r>
  <r>
    <x v="12"/>
  </r>
  <r>
    <x v="15"/>
  </r>
  <r>
    <x v="28"/>
  </r>
  <r>
    <x v="28"/>
  </r>
  <r>
    <x v="12"/>
  </r>
  <r>
    <x v="12"/>
  </r>
  <r>
    <x v="45"/>
  </r>
  <r>
    <x v="45"/>
  </r>
  <r>
    <x v="1"/>
  </r>
  <r>
    <x v="1"/>
  </r>
  <r>
    <x v="19"/>
  </r>
  <r>
    <x v="87"/>
  </r>
  <r>
    <x v="71"/>
  </r>
  <r>
    <x v="71"/>
  </r>
  <r>
    <x v="7"/>
  </r>
  <r>
    <x v="7"/>
  </r>
  <r>
    <x v="7"/>
  </r>
  <r>
    <x v="12"/>
  </r>
  <r>
    <x v="14"/>
  </r>
  <r>
    <x v="14"/>
  </r>
  <r>
    <x v="14"/>
  </r>
  <r>
    <x v="141"/>
  </r>
  <r>
    <x v="141"/>
  </r>
  <r>
    <x v="141"/>
  </r>
  <r>
    <x v="141"/>
  </r>
  <r>
    <x v="141"/>
  </r>
  <r>
    <x v="141"/>
  </r>
  <r>
    <x v="12"/>
  </r>
  <r>
    <x v="42"/>
  </r>
  <r>
    <x v="63"/>
  </r>
  <r>
    <x v="1"/>
  </r>
  <r>
    <x v="45"/>
  </r>
  <r>
    <x v="15"/>
  </r>
  <r>
    <x v="1"/>
  </r>
  <r>
    <x v="12"/>
  </r>
  <r>
    <x v="12"/>
  </r>
  <r>
    <x v="7"/>
  </r>
  <r>
    <x v="7"/>
  </r>
  <r>
    <x v="7"/>
  </r>
  <r>
    <x v="7"/>
  </r>
  <r>
    <x v="7"/>
  </r>
  <r>
    <x v="71"/>
  </r>
  <r>
    <x v="15"/>
  </r>
  <r>
    <x v="15"/>
  </r>
  <r>
    <x v="15"/>
  </r>
  <r>
    <x v="1"/>
  </r>
  <r>
    <x v="162"/>
  </r>
  <r>
    <x v="162"/>
  </r>
  <r>
    <x v="7"/>
  </r>
  <r>
    <x v="7"/>
  </r>
  <r>
    <x v="19"/>
  </r>
  <r>
    <x v="1"/>
  </r>
  <r>
    <x v="19"/>
  </r>
  <r>
    <x v="1"/>
  </r>
  <r>
    <x v="162"/>
  </r>
  <r>
    <x v="12"/>
  </r>
  <r>
    <x v="12"/>
  </r>
  <r>
    <x v="12"/>
  </r>
  <r>
    <x v="4"/>
  </r>
  <r>
    <x v="12"/>
  </r>
  <r>
    <x v="12"/>
  </r>
  <r>
    <x v="12"/>
  </r>
  <r>
    <x v="0"/>
  </r>
  <r>
    <x v="15"/>
  </r>
  <r>
    <x v="84"/>
  </r>
  <r>
    <x v="84"/>
  </r>
  <r>
    <x v="84"/>
  </r>
  <r>
    <x v="141"/>
  </r>
  <r>
    <x v="0"/>
  </r>
  <r>
    <x v="71"/>
  </r>
  <r>
    <x v="1"/>
  </r>
  <r>
    <x v="1"/>
  </r>
  <r>
    <x v="1"/>
  </r>
  <r>
    <x v="1"/>
  </r>
  <r>
    <x v="51"/>
  </r>
  <r>
    <x v="12"/>
  </r>
  <r>
    <x v="51"/>
  </r>
  <r>
    <x v="51"/>
  </r>
  <r>
    <x v="51"/>
  </r>
  <r>
    <x v="51"/>
  </r>
  <r>
    <x v="42"/>
  </r>
  <r>
    <x v="10"/>
  </r>
  <r>
    <x v="51"/>
  </r>
  <r>
    <x v="45"/>
  </r>
  <r>
    <x v="4"/>
  </r>
  <r>
    <x v="16"/>
  </r>
  <r>
    <x v="16"/>
  </r>
  <r>
    <x v="28"/>
  </r>
  <r>
    <x v="45"/>
  </r>
  <r>
    <x v="71"/>
  </r>
  <r>
    <x v="12"/>
  </r>
  <r>
    <x v="12"/>
  </r>
  <r>
    <x v="12"/>
  </r>
  <r>
    <x v="12"/>
  </r>
  <r>
    <x v="16"/>
  </r>
  <r>
    <x v="42"/>
  </r>
  <r>
    <x v="42"/>
  </r>
  <r>
    <x v="57"/>
  </r>
  <r>
    <x v="1"/>
  </r>
  <r>
    <x v="12"/>
  </r>
  <r>
    <x v="12"/>
  </r>
  <r>
    <x v="28"/>
  </r>
  <r>
    <x v="28"/>
  </r>
  <r>
    <x v="63"/>
  </r>
  <r>
    <x v="12"/>
  </r>
  <r>
    <x v="12"/>
  </r>
  <r>
    <x v="0"/>
  </r>
  <r>
    <x v="12"/>
  </r>
  <r>
    <x v="0"/>
  </r>
  <r>
    <x v="42"/>
  </r>
  <r>
    <x v="71"/>
  </r>
  <r>
    <x v="12"/>
  </r>
  <r>
    <x v="0"/>
  </r>
  <r>
    <x v="28"/>
  </r>
  <r>
    <x v="0"/>
  </r>
  <r>
    <x v="28"/>
  </r>
  <r>
    <x v="28"/>
  </r>
  <r>
    <x v="12"/>
  </r>
  <r>
    <x v="12"/>
  </r>
  <r>
    <x v="42"/>
  </r>
  <r>
    <x v="42"/>
  </r>
  <r>
    <x v="0"/>
  </r>
  <r>
    <x v="0"/>
  </r>
  <r>
    <x v="0"/>
  </r>
  <r>
    <x v="45"/>
  </r>
  <r>
    <x v="45"/>
  </r>
  <r>
    <x v="12"/>
  </r>
  <r>
    <x v="0"/>
  </r>
  <r>
    <x v="12"/>
  </r>
  <r>
    <x v="63"/>
  </r>
  <r>
    <x v="12"/>
  </r>
  <r>
    <x v="141"/>
  </r>
  <r>
    <x v="84"/>
  </r>
  <r>
    <x v="0"/>
  </r>
  <r>
    <x v="28"/>
  </r>
  <r>
    <x v="28"/>
  </r>
  <r>
    <x v="28"/>
  </r>
  <r>
    <x v="28"/>
  </r>
  <r>
    <x v="28"/>
  </r>
  <r>
    <x v="28"/>
  </r>
  <r>
    <x v="28"/>
  </r>
  <r>
    <x v="16"/>
  </r>
  <r>
    <x v="16"/>
  </r>
  <r>
    <x v="16"/>
  </r>
  <r>
    <x v="16"/>
  </r>
  <r>
    <x v="16"/>
  </r>
  <r>
    <x v="45"/>
  </r>
  <r>
    <x v="71"/>
  </r>
  <r>
    <x v="71"/>
  </r>
  <r>
    <x v="45"/>
  </r>
  <r>
    <x v="45"/>
  </r>
  <r>
    <x v="28"/>
  </r>
  <r>
    <x v="0"/>
  </r>
  <r>
    <x v="28"/>
  </r>
  <r>
    <x v="28"/>
  </r>
  <r>
    <x v="42"/>
  </r>
  <r>
    <x v="57"/>
  </r>
  <r>
    <x v="19"/>
  </r>
  <r>
    <x v="41"/>
  </r>
  <r>
    <x v="63"/>
  </r>
  <r>
    <x v="57"/>
  </r>
  <r>
    <x v="0"/>
  </r>
  <r>
    <x v="0"/>
  </r>
  <r>
    <x v="0"/>
  </r>
  <r>
    <x v="0"/>
  </r>
  <r>
    <x v="57"/>
  </r>
  <r>
    <x v="63"/>
  </r>
  <r>
    <x v="162"/>
  </r>
  <r>
    <x v="42"/>
  </r>
  <r>
    <x v="2"/>
  </r>
  <r>
    <x v="4"/>
  </r>
  <r>
    <x v="0"/>
  </r>
  <r>
    <x v="0"/>
  </r>
  <r>
    <x v="1"/>
  </r>
  <r>
    <x v="4"/>
  </r>
  <r>
    <x v="144"/>
  </r>
  <r>
    <x v="144"/>
  </r>
  <r>
    <x v="4"/>
  </r>
  <r>
    <x v="0"/>
  </r>
  <r>
    <x v="0"/>
  </r>
  <r>
    <x v="28"/>
  </r>
  <r>
    <x v="28"/>
  </r>
  <r>
    <x v="28"/>
  </r>
  <r>
    <x v="0"/>
  </r>
  <r>
    <x v="0"/>
  </r>
  <r>
    <x v="0"/>
  </r>
  <r>
    <x v="12"/>
  </r>
  <r>
    <x v="12"/>
  </r>
  <r>
    <x v="12"/>
  </r>
  <r>
    <x v="28"/>
  </r>
  <r>
    <x v="0"/>
  </r>
  <r>
    <x v="28"/>
  </r>
  <r>
    <x v="28"/>
  </r>
  <r>
    <x v="28"/>
  </r>
  <r>
    <x v="12"/>
  </r>
  <r>
    <x v="12"/>
  </r>
  <r>
    <x v="12"/>
  </r>
  <r>
    <x v="12"/>
  </r>
  <r>
    <x v="63"/>
  </r>
  <r>
    <x v="63"/>
  </r>
  <r>
    <x v="12"/>
  </r>
  <r>
    <x v="10"/>
  </r>
  <r>
    <x v="12"/>
  </r>
  <r>
    <x v="10"/>
  </r>
  <r>
    <x v="37"/>
  </r>
  <r>
    <x v="162"/>
  </r>
  <r>
    <x v="51"/>
  </r>
  <r>
    <x v="29"/>
  </r>
  <r>
    <x v="128"/>
  </r>
  <r>
    <x v="0"/>
  </r>
  <r>
    <x v="4"/>
  </r>
  <r>
    <x v="87"/>
  </r>
  <r>
    <x v="3"/>
  </r>
  <r>
    <x v="3"/>
  </r>
  <r>
    <x v="12"/>
  </r>
  <r>
    <x v="10"/>
  </r>
  <r>
    <x v="10"/>
  </r>
  <r>
    <x v="28"/>
  </r>
  <r>
    <x v="128"/>
  </r>
  <r>
    <x v="123"/>
  </r>
  <r>
    <x v="10"/>
  </r>
  <r>
    <x v="10"/>
  </r>
  <r>
    <x v="123"/>
  </r>
  <r>
    <x v="57"/>
  </r>
  <r>
    <x v="56"/>
  </r>
  <r>
    <x v="42"/>
  </r>
  <r>
    <x v="12"/>
  </r>
  <r>
    <x v="10"/>
  </r>
  <r>
    <x v="16"/>
  </r>
  <r>
    <x v="10"/>
  </r>
  <r>
    <x v="28"/>
  </r>
  <r>
    <x v="42"/>
  </r>
  <r>
    <x v="28"/>
  </r>
  <r>
    <x v="28"/>
  </r>
  <r>
    <x v="28"/>
  </r>
  <r>
    <x v="12"/>
  </r>
  <r>
    <x v="12"/>
  </r>
  <r>
    <x v="71"/>
  </r>
  <r>
    <x v="12"/>
  </r>
  <r>
    <x v="12"/>
  </r>
  <r>
    <x v="12"/>
  </r>
  <r>
    <x v="4"/>
  </r>
  <r>
    <x v="4"/>
  </r>
  <r>
    <x v="1"/>
  </r>
  <r>
    <x v="0"/>
  </r>
  <r>
    <x v="12"/>
  </r>
  <r>
    <x v="0"/>
  </r>
  <r>
    <x v="71"/>
  </r>
  <r>
    <x v="45"/>
  </r>
  <r>
    <x v="71"/>
  </r>
  <r>
    <x v="45"/>
  </r>
  <r>
    <x v="42"/>
  </r>
  <r>
    <x v="42"/>
  </r>
  <r>
    <x v="12"/>
  </r>
  <r>
    <x v="12"/>
  </r>
  <r>
    <x v="12"/>
  </r>
  <r>
    <x v="12"/>
  </r>
  <r>
    <x v="12"/>
  </r>
  <r>
    <x v="10"/>
  </r>
  <r>
    <x v="10"/>
  </r>
  <r>
    <x v="10"/>
  </r>
  <r>
    <x v="175"/>
  </r>
  <r>
    <x v="12"/>
  </r>
  <r>
    <x v="12"/>
  </r>
  <r>
    <x v="78"/>
  </r>
  <r>
    <x v="41"/>
  </r>
  <r>
    <x v="7"/>
  </r>
  <r>
    <x v="7"/>
  </r>
  <r>
    <x v="1"/>
  </r>
  <r>
    <x v="1"/>
  </r>
  <r>
    <x v="7"/>
  </r>
  <r>
    <x v="7"/>
  </r>
  <r>
    <x v="63"/>
  </r>
  <r>
    <x v="14"/>
  </r>
  <r>
    <x v="63"/>
  </r>
  <r>
    <x v="4"/>
  </r>
  <r>
    <x v="4"/>
  </r>
  <r>
    <x v="4"/>
  </r>
  <r>
    <x v="1"/>
  </r>
  <r>
    <x v="19"/>
  </r>
  <r>
    <x v="19"/>
  </r>
  <r>
    <x v="1"/>
  </r>
  <r>
    <x v="12"/>
  </r>
  <r>
    <x v="12"/>
  </r>
  <r>
    <x v="12"/>
  </r>
  <r>
    <x v="0"/>
  </r>
  <r>
    <x v="144"/>
  </r>
  <r>
    <x v="144"/>
  </r>
  <r>
    <x v="28"/>
  </r>
  <r>
    <x v="28"/>
  </r>
  <r>
    <x v="28"/>
  </r>
  <r>
    <x v="28"/>
  </r>
  <r>
    <x v="144"/>
  </r>
  <r>
    <x v="4"/>
  </r>
  <r>
    <x v="4"/>
  </r>
  <r>
    <x v="4"/>
  </r>
  <r>
    <x v="9"/>
  </r>
  <r>
    <x v="0"/>
  </r>
  <r>
    <x v="45"/>
  </r>
  <r>
    <x v="45"/>
  </r>
  <r>
    <x v="45"/>
  </r>
  <r>
    <x v="45"/>
  </r>
  <r>
    <x v="45"/>
  </r>
  <r>
    <x v="42"/>
  </r>
  <r>
    <x v="4"/>
  </r>
  <r>
    <x v="63"/>
  </r>
  <r>
    <x v="4"/>
  </r>
  <r>
    <x v="63"/>
  </r>
  <r>
    <x v="63"/>
  </r>
  <r>
    <x v="4"/>
  </r>
  <r>
    <x v="16"/>
  </r>
  <r>
    <x v="16"/>
  </r>
  <r>
    <x v="1"/>
  </r>
  <r>
    <x v="4"/>
  </r>
  <r>
    <x v="63"/>
  </r>
  <r>
    <x v="141"/>
  </r>
  <r>
    <x v="7"/>
  </r>
  <r>
    <x v="63"/>
  </r>
  <r>
    <x v="4"/>
  </r>
  <r>
    <x v="1"/>
  </r>
  <r>
    <x v="22"/>
  </r>
  <r>
    <x v="1"/>
  </r>
  <r>
    <x v="1"/>
  </r>
  <r>
    <x v="63"/>
  </r>
  <r>
    <x v="4"/>
  </r>
  <r>
    <x v="4"/>
  </r>
  <r>
    <x v="14"/>
  </r>
  <r>
    <x v="1"/>
  </r>
  <r>
    <x v="1"/>
  </r>
  <r>
    <x v="42"/>
  </r>
  <r>
    <x v="42"/>
  </r>
  <r>
    <x v="7"/>
  </r>
  <r>
    <x v="14"/>
  </r>
  <r>
    <x v="1"/>
  </r>
  <r>
    <x v="1"/>
  </r>
  <r>
    <x v="1"/>
  </r>
  <r>
    <x v="1"/>
  </r>
  <r>
    <x v="1"/>
  </r>
  <r>
    <x v="1"/>
  </r>
  <r>
    <x v="1"/>
  </r>
  <r>
    <x v="7"/>
  </r>
  <r>
    <x v="77"/>
  </r>
  <r>
    <x v="7"/>
  </r>
  <r>
    <x v="10"/>
  </r>
  <r>
    <x v="126"/>
  </r>
  <r>
    <x v="63"/>
  </r>
  <r>
    <x v="4"/>
  </r>
  <r>
    <x v="10"/>
  </r>
  <r>
    <x v="5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0"/>
  </r>
  <r>
    <x v="16"/>
  </r>
  <r>
    <x v="16"/>
  </r>
  <r>
    <x v="16"/>
  </r>
  <r>
    <x v="48"/>
  </r>
  <r>
    <x v="12"/>
  </r>
  <r>
    <x v="12"/>
  </r>
  <r>
    <x v="1"/>
  </r>
  <r>
    <x v="1"/>
  </r>
  <r>
    <x v="1"/>
  </r>
  <r>
    <x v="1"/>
  </r>
  <r>
    <x v="1"/>
  </r>
  <r>
    <x v="1"/>
  </r>
  <r>
    <x v="1"/>
  </r>
  <r>
    <x v="12"/>
  </r>
  <r>
    <x v="12"/>
  </r>
  <r>
    <x v="12"/>
  </r>
  <r>
    <x v="1"/>
  </r>
  <r>
    <x v="1"/>
  </r>
  <r>
    <x v="1"/>
  </r>
  <r>
    <x v="12"/>
  </r>
  <r>
    <x v="1"/>
  </r>
  <r>
    <x v="1"/>
  </r>
  <r>
    <x v="12"/>
  </r>
  <r>
    <x v="63"/>
  </r>
  <r>
    <x v="22"/>
  </r>
  <r>
    <x v="51"/>
  </r>
  <r>
    <x v="51"/>
  </r>
  <r>
    <x v="42"/>
  </r>
  <r>
    <x v="12"/>
  </r>
  <r>
    <x v="12"/>
  </r>
  <r>
    <x v="12"/>
  </r>
  <r>
    <x v="9"/>
  </r>
  <r>
    <x v="51"/>
  </r>
  <r>
    <x v="7"/>
  </r>
  <r>
    <x v="12"/>
  </r>
  <r>
    <x v="12"/>
  </r>
  <r>
    <x v="12"/>
  </r>
  <r>
    <x v="12"/>
  </r>
  <r>
    <x v="144"/>
  </r>
  <r>
    <x v="144"/>
  </r>
  <r>
    <x v="51"/>
  </r>
  <r>
    <x v="115"/>
  </r>
  <r>
    <x v="51"/>
  </r>
  <r>
    <x v="12"/>
  </r>
  <r>
    <x v="51"/>
  </r>
  <r>
    <x v="51"/>
  </r>
  <r>
    <x v="51"/>
  </r>
  <r>
    <x v="130"/>
  </r>
  <r>
    <x v="16"/>
  </r>
  <r>
    <x v="12"/>
  </r>
  <r>
    <x v="51"/>
  </r>
  <r>
    <x v="51"/>
  </r>
  <r>
    <x v="51"/>
  </r>
  <r>
    <x v="51"/>
  </r>
  <r>
    <x v="51"/>
  </r>
  <r>
    <x v="79"/>
  </r>
  <r>
    <x v="63"/>
  </r>
  <r>
    <x v="28"/>
  </r>
  <r>
    <x v="12"/>
  </r>
  <r>
    <x v="51"/>
  </r>
  <r>
    <x v="51"/>
  </r>
  <r>
    <x v="51"/>
  </r>
  <r>
    <x v="51"/>
  </r>
  <r>
    <x v="51"/>
  </r>
  <r>
    <x v="51"/>
  </r>
  <r>
    <x v="37"/>
  </r>
  <r>
    <x v="12"/>
  </r>
  <r>
    <x v="12"/>
  </r>
  <r>
    <x v="12"/>
  </r>
  <r>
    <x v="12"/>
  </r>
  <r>
    <x v="12"/>
  </r>
  <r>
    <x v="12"/>
  </r>
  <r>
    <x v="51"/>
  </r>
  <r>
    <x v="45"/>
  </r>
  <r>
    <x v="45"/>
  </r>
  <r>
    <x v="63"/>
  </r>
  <r>
    <x v="28"/>
  </r>
  <r>
    <x v="45"/>
  </r>
  <r>
    <x v="7"/>
  </r>
  <r>
    <x v="7"/>
  </r>
  <r>
    <x v="7"/>
  </r>
  <r>
    <x v="45"/>
  </r>
  <r>
    <x v="7"/>
  </r>
  <r>
    <x v="7"/>
  </r>
  <r>
    <x v="7"/>
  </r>
  <r>
    <x v="45"/>
  </r>
  <r>
    <x v="45"/>
  </r>
  <r>
    <x v="45"/>
  </r>
  <r>
    <x v="7"/>
  </r>
  <r>
    <x v="144"/>
  </r>
  <r>
    <x v="12"/>
  </r>
  <r>
    <x v="33"/>
  </r>
  <r>
    <x v="33"/>
  </r>
  <r>
    <x v="144"/>
  </r>
  <r>
    <x v="28"/>
  </r>
  <r>
    <x v="28"/>
  </r>
  <r>
    <x v="63"/>
  </r>
  <r>
    <x v="28"/>
  </r>
  <r>
    <x v="78"/>
  </r>
  <r>
    <x v="33"/>
  </r>
  <r>
    <x v="33"/>
  </r>
  <r>
    <x v="33"/>
  </r>
  <r>
    <x v="33"/>
  </r>
  <r>
    <x v="144"/>
  </r>
  <r>
    <x v="51"/>
  </r>
  <r>
    <x v="57"/>
  </r>
  <r>
    <x v="51"/>
  </r>
  <r>
    <x v="87"/>
  </r>
  <r>
    <x v="45"/>
  </r>
  <r>
    <x v="122"/>
  </r>
  <r>
    <x v="152"/>
  </r>
  <r>
    <x v="28"/>
  </r>
  <r>
    <x v="48"/>
  </r>
  <r>
    <x v="9"/>
  </r>
  <r>
    <x v="87"/>
  </r>
  <r>
    <x v="19"/>
  </r>
  <r>
    <x v="162"/>
  </r>
  <r>
    <x v="24"/>
  </r>
  <r>
    <x v="57"/>
  </r>
  <r>
    <x v="1"/>
  </r>
  <r>
    <x v="57"/>
  </r>
  <r>
    <x v="162"/>
  </r>
  <r>
    <x v="37"/>
  </r>
  <r>
    <x v="37"/>
  </r>
  <r>
    <x v="12"/>
  </r>
  <r>
    <x v="12"/>
  </r>
  <r>
    <x v="39"/>
  </r>
  <r>
    <x v="162"/>
  </r>
  <r>
    <x v="4"/>
  </r>
  <r>
    <x v="16"/>
  </r>
  <r>
    <x v="48"/>
  </r>
  <r>
    <x v="143"/>
  </r>
  <r>
    <x v="71"/>
  </r>
  <r>
    <x v="79"/>
  </r>
  <r>
    <x v="28"/>
  </r>
  <r>
    <x v="53"/>
  </r>
  <r>
    <x v="7"/>
  </r>
  <r>
    <x v="57"/>
  </r>
  <r>
    <x v="36"/>
  </r>
  <r>
    <x v="37"/>
  </r>
  <r>
    <x v="162"/>
  </r>
  <r>
    <x v="19"/>
  </r>
  <r>
    <x v="7"/>
  </r>
  <r>
    <x v="4"/>
  </r>
  <r>
    <x v="7"/>
  </r>
  <r>
    <x v="7"/>
  </r>
  <r>
    <x v="7"/>
  </r>
  <r>
    <x v="1"/>
  </r>
  <r>
    <x v="1"/>
  </r>
  <r>
    <x v="57"/>
  </r>
  <r>
    <x v="1"/>
  </r>
  <r>
    <x v="7"/>
  </r>
  <r>
    <x v="57"/>
  </r>
  <r>
    <x v="84"/>
  </r>
  <r>
    <x v="84"/>
  </r>
  <r>
    <x v="59"/>
  </r>
  <r>
    <x v="48"/>
  </r>
  <r>
    <x v="25"/>
  </r>
  <r>
    <x v="25"/>
  </r>
  <r>
    <x v="48"/>
  </r>
  <r>
    <x v="162"/>
  </r>
  <r>
    <x v="51"/>
  </r>
  <r>
    <x v="37"/>
  </r>
  <r>
    <x v="57"/>
  </r>
  <r>
    <x v="57"/>
  </r>
  <r>
    <x v="57"/>
  </r>
  <r>
    <x v="7"/>
  </r>
  <r>
    <x v="37"/>
  </r>
  <r>
    <x v="7"/>
  </r>
  <r>
    <x v="57"/>
  </r>
  <r>
    <x v="4"/>
  </r>
  <r>
    <x v="17"/>
  </r>
  <r>
    <x v="10"/>
  </r>
  <r>
    <x v="71"/>
  </r>
  <r>
    <x v="4"/>
  </r>
  <r>
    <x v="6"/>
  </r>
  <r>
    <x v="16"/>
  </r>
  <r>
    <x v="16"/>
  </r>
  <r>
    <x v="2"/>
  </r>
  <r>
    <x v="2"/>
  </r>
  <r>
    <x v="2"/>
  </r>
  <r>
    <x v="2"/>
  </r>
  <r>
    <x v="45"/>
  </r>
  <r>
    <x v="45"/>
  </r>
  <r>
    <x v="1"/>
  </r>
  <r>
    <x v="1"/>
  </r>
  <r>
    <x v="1"/>
  </r>
  <r>
    <x v="7"/>
  </r>
  <r>
    <x v="12"/>
  </r>
  <r>
    <x v="12"/>
  </r>
  <r>
    <x v="12"/>
  </r>
  <r>
    <x v="12"/>
  </r>
  <r>
    <x v="162"/>
  </r>
  <r>
    <x v="162"/>
  </r>
  <r>
    <x v="12"/>
  </r>
  <r>
    <x v="16"/>
  </r>
  <r>
    <x v="16"/>
  </r>
  <r>
    <x v="16"/>
  </r>
  <r>
    <x v="45"/>
  </r>
  <r>
    <x v="2"/>
  </r>
  <r>
    <x v="16"/>
  </r>
  <r>
    <x v="16"/>
  </r>
  <r>
    <x v="4"/>
  </r>
  <r>
    <x v="4"/>
  </r>
  <r>
    <x v="4"/>
  </r>
  <r>
    <x v="71"/>
  </r>
  <r>
    <x v="12"/>
  </r>
  <r>
    <x v="16"/>
  </r>
  <r>
    <x v="45"/>
  </r>
  <r>
    <x v="1"/>
  </r>
  <r>
    <x v="16"/>
  </r>
  <r>
    <x v="16"/>
  </r>
  <r>
    <x v="16"/>
  </r>
  <r>
    <x v="2"/>
  </r>
  <r>
    <x v="16"/>
  </r>
  <r>
    <x v="16"/>
  </r>
  <r>
    <x v="16"/>
  </r>
  <r>
    <x v="2"/>
  </r>
  <r>
    <x v="42"/>
  </r>
  <r>
    <x v="141"/>
  </r>
  <r>
    <x v="71"/>
  </r>
  <r>
    <x v="7"/>
  </r>
  <r>
    <x v="45"/>
  </r>
  <r>
    <x v="45"/>
  </r>
  <r>
    <x v="42"/>
  </r>
  <r>
    <x v="42"/>
  </r>
  <r>
    <x v="7"/>
  </r>
  <r>
    <x v="7"/>
  </r>
  <r>
    <x v="63"/>
  </r>
  <r>
    <x v="15"/>
  </r>
  <r>
    <x v="15"/>
  </r>
  <r>
    <x v="7"/>
  </r>
  <r>
    <x v="7"/>
  </r>
  <r>
    <x v="7"/>
  </r>
  <r>
    <x v="16"/>
  </r>
  <r>
    <x v="7"/>
  </r>
  <r>
    <x v="7"/>
  </r>
  <r>
    <x v="71"/>
  </r>
  <r>
    <x v="71"/>
  </r>
  <r>
    <x v="4"/>
  </r>
  <r>
    <x v="4"/>
  </r>
  <r>
    <x v="4"/>
  </r>
  <r>
    <x v="4"/>
  </r>
  <r>
    <x v="141"/>
  </r>
  <r>
    <x v="141"/>
  </r>
  <r>
    <x v="141"/>
  </r>
  <r>
    <x v="42"/>
  </r>
  <r>
    <x v="141"/>
  </r>
  <r>
    <x v="45"/>
  </r>
  <r>
    <x v="45"/>
  </r>
  <r>
    <x v="0"/>
  </r>
  <r>
    <x v="12"/>
  </r>
  <r>
    <x v="16"/>
  </r>
  <r>
    <x v="16"/>
  </r>
  <r>
    <x v="0"/>
  </r>
  <r>
    <x v="12"/>
  </r>
  <r>
    <x v="16"/>
  </r>
  <r>
    <x v="12"/>
  </r>
  <r>
    <x v="16"/>
  </r>
  <r>
    <x v="16"/>
  </r>
  <r>
    <x v="4"/>
  </r>
  <r>
    <x v="4"/>
  </r>
  <r>
    <x v="4"/>
  </r>
  <r>
    <x v="4"/>
  </r>
  <r>
    <x v="4"/>
  </r>
  <r>
    <x v="4"/>
  </r>
  <r>
    <x v="6"/>
  </r>
  <r>
    <x v="174"/>
  </r>
  <r>
    <x v="22"/>
  </r>
  <r>
    <x v="24"/>
  </r>
  <r>
    <x v="28"/>
  </r>
  <r>
    <x v="28"/>
  </r>
  <r>
    <x v="154"/>
  </r>
  <r>
    <x v="0"/>
  </r>
  <r>
    <x v="7"/>
  </r>
  <r>
    <x v="6"/>
  </r>
  <r>
    <x v="55"/>
  </r>
  <r>
    <x v="169"/>
  </r>
  <r>
    <x v="12"/>
  </r>
  <r>
    <x v="12"/>
  </r>
  <r>
    <x v="16"/>
  </r>
  <r>
    <x v="12"/>
  </r>
  <r>
    <x v="0"/>
  </r>
  <r>
    <x v="71"/>
  </r>
  <r>
    <x v="42"/>
  </r>
  <r>
    <x v="12"/>
  </r>
  <r>
    <x v="0"/>
  </r>
  <r>
    <x v="28"/>
  </r>
  <r>
    <x v="16"/>
  </r>
  <r>
    <x v="16"/>
  </r>
  <r>
    <x v="12"/>
  </r>
  <r>
    <x v="28"/>
  </r>
  <r>
    <x v="28"/>
  </r>
  <r>
    <x v="75"/>
  </r>
  <r>
    <x v="12"/>
  </r>
  <r>
    <x v="63"/>
  </r>
  <r>
    <x v="141"/>
  </r>
  <r>
    <x v="63"/>
  </r>
  <r>
    <x v="12"/>
  </r>
  <r>
    <x v="4"/>
  </r>
  <r>
    <x v="12"/>
  </r>
  <r>
    <x v="152"/>
  </r>
  <r>
    <x v="63"/>
  </r>
  <r>
    <x v="12"/>
  </r>
  <r>
    <x v="12"/>
  </r>
  <r>
    <x v="15"/>
  </r>
  <r>
    <x v="15"/>
  </r>
  <r>
    <x v="15"/>
  </r>
  <r>
    <x v="15"/>
  </r>
  <r>
    <x v="15"/>
  </r>
  <r>
    <x v="0"/>
  </r>
  <r>
    <x v="16"/>
  </r>
  <r>
    <x v="57"/>
  </r>
  <r>
    <x v="57"/>
  </r>
  <r>
    <x v="84"/>
  </r>
  <r>
    <x v="19"/>
  </r>
  <r>
    <x v="28"/>
  </r>
  <r>
    <x v="7"/>
  </r>
  <r>
    <x v="45"/>
  </r>
  <r>
    <x v="24"/>
  </r>
  <r>
    <x v="0"/>
  </r>
  <r>
    <x v="0"/>
  </r>
  <r>
    <x v="0"/>
  </r>
  <r>
    <x v="1"/>
  </r>
  <r>
    <x v="1"/>
  </r>
  <r>
    <x v="1"/>
  </r>
  <r>
    <x v="28"/>
  </r>
  <r>
    <x v="28"/>
  </r>
  <r>
    <x v="28"/>
  </r>
  <r>
    <x v="0"/>
  </r>
  <r>
    <x v="130"/>
  </r>
  <r>
    <x v="16"/>
  </r>
  <r>
    <x v="16"/>
  </r>
  <r>
    <x v="0"/>
  </r>
  <r>
    <x v="2"/>
  </r>
  <r>
    <x v="2"/>
  </r>
  <r>
    <x v="76"/>
  </r>
  <r>
    <x v="25"/>
  </r>
  <r>
    <x v="105"/>
  </r>
  <r>
    <x v="124"/>
  </r>
  <r>
    <x v="85"/>
  </r>
  <r>
    <x v="52"/>
  </r>
  <r>
    <x v="29"/>
  </r>
  <r>
    <x v="0"/>
  </r>
  <r>
    <x v="0"/>
  </r>
  <r>
    <x v="54"/>
  </r>
  <r>
    <x v="199"/>
  </r>
  <r>
    <x v="14"/>
  </r>
  <r>
    <x v="53"/>
  </r>
  <r>
    <x v="53"/>
  </r>
  <r>
    <x v="53"/>
  </r>
  <r>
    <x v="42"/>
  </r>
  <r>
    <x v="42"/>
  </r>
  <r>
    <x v="138"/>
  </r>
  <r>
    <x v="52"/>
  </r>
  <r>
    <x v="4"/>
  </r>
  <r>
    <x v="24"/>
  </r>
  <r>
    <x v="53"/>
  </r>
  <r>
    <x v="42"/>
  </r>
  <r>
    <x v="42"/>
  </r>
  <r>
    <x v="53"/>
  </r>
  <r>
    <x v="14"/>
  </r>
  <r>
    <x v="14"/>
  </r>
  <r>
    <x v="14"/>
  </r>
  <r>
    <x v="0"/>
  </r>
  <r>
    <x v="57"/>
  </r>
  <r>
    <x v="57"/>
  </r>
  <r>
    <x v="0"/>
  </r>
  <r>
    <x v="0"/>
  </r>
  <r>
    <x v="52"/>
  </r>
  <r>
    <x v="57"/>
  </r>
  <r>
    <x v="14"/>
  </r>
  <r>
    <x v="52"/>
  </r>
  <r>
    <x v="52"/>
  </r>
  <r>
    <x v="0"/>
  </r>
  <r>
    <x v="0"/>
  </r>
  <r>
    <x v="28"/>
  </r>
  <r>
    <x v="10"/>
  </r>
  <r>
    <x v="138"/>
  </r>
  <r>
    <x v="10"/>
  </r>
  <r>
    <x v="28"/>
  </r>
  <r>
    <x v="3"/>
  </r>
  <r>
    <x v="162"/>
  </r>
  <r>
    <x v="165"/>
  </r>
  <r>
    <x v="25"/>
  </r>
  <r>
    <x v="25"/>
  </r>
  <r>
    <x v="57"/>
  </r>
  <r>
    <x v="57"/>
  </r>
  <r>
    <x v="57"/>
  </r>
  <r>
    <x v="57"/>
  </r>
  <r>
    <x v="12"/>
  </r>
  <r>
    <x v="57"/>
  </r>
  <r>
    <x v="1"/>
  </r>
  <r>
    <x v="0"/>
  </r>
  <r>
    <x v="79"/>
  </r>
  <r>
    <x v="57"/>
  </r>
  <r>
    <x v="57"/>
  </r>
  <r>
    <x v="57"/>
  </r>
  <r>
    <x v="28"/>
  </r>
  <r>
    <x v="4"/>
  </r>
  <r>
    <x v="28"/>
  </r>
  <r>
    <x v="71"/>
  </r>
  <r>
    <x v="28"/>
  </r>
  <r>
    <x v="28"/>
  </r>
  <r>
    <x v="28"/>
  </r>
  <r>
    <x v="28"/>
  </r>
  <r>
    <x v="4"/>
  </r>
  <r>
    <x v="4"/>
  </r>
  <r>
    <x v="142"/>
  </r>
  <r>
    <x v="19"/>
  </r>
  <r>
    <x v="1"/>
  </r>
  <r>
    <x v="1"/>
  </r>
  <r>
    <x v="28"/>
  </r>
  <r>
    <x v="28"/>
  </r>
  <r>
    <x v="28"/>
  </r>
  <r>
    <x v="28"/>
  </r>
  <r>
    <x v="28"/>
  </r>
  <r>
    <x v="37"/>
  </r>
  <r>
    <x v="28"/>
  </r>
  <r>
    <x v="28"/>
  </r>
  <r>
    <x v="33"/>
  </r>
  <r>
    <x v="144"/>
  </r>
  <r>
    <x v="142"/>
  </r>
  <r>
    <x v="142"/>
  </r>
  <r>
    <x v="57"/>
  </r>
  <r>
    <x v="19"/>
  </r>
  <r>
    <x v="28"/>
  </r>
  <r>
    <x v="19"/>
  </r>
  <r>
    <x v="57"/>
  </r>
  <r>
    <x v="1"/>
  </r>
  <r>
    <x v="1"/>
  </r>
  <r>
    <x v="1"/>
  </r>
  <r>
    <x v="10"/>
  </r>
  <r>
    <x v="10"/>
  </r>
  <r>
    <x v="10"/>
  </r>
  <r>
    <x v="10"/>
  </r>
  <r>
    <x v="10"/>
  </r>
  <r>
    <x v="0"/>
  </r>
  <r>
    <x v="0"/>
  </r>
  <r>
    <x v="0"/>
  </r>
  <r>
    <x v="10"/>
  </r>
  <r>
    <x v="28"/>
  </r>
  <r>
    <x v="52"/>
  </r>
  <r>
    <x v="115"/>
  </r>
  <r>
    <x v="115"/>
  </r>
  <r>
    <x v="142"/>
  </r>
  <r>
    <x v="19"/>
  </r>
  <r>
    <x v="19"/>
  </r>
  <r>
    <x v="19"/>
  </r>
  <r>
    <x v="1"/>
  </r>
  <r>
    <x v="1"/>
  </r>
  <r>
    <x v="1"/>
  </r>
  <r>
    <x v="1"/>
  </r>
  <r>
    <x v="19"/>
  </r>
  <r>
    <x v="28"/>
  </r>
  <r>
    <x v="1"/>
  </r>
  <r>
    <x v="19"/>
  </r>
  <r>
    <x v="1"/>
  </r>
  <r>
    <x v="1"/>
  </r>
  <r>
    <x v="1"/>
  </r>
  <r>
    <x v="142"/>
  </r>
  <r>
    <x v="142"/>
  </r>
  <r>
    <x v="11"/>
  </r>
  <r>
    <x v="11"/>
  </r>
  <r>
    <x v="1"/>
  </r>
  <r>
    <x v="11"/>
  </r>
  <r>
    <x v="28"/>
  </r>
  <r>
    <x v="0"/>
  </r>
  <r>
    <x v="10"/>
  </r>
  <r>
    <x v="63"/>
  </r>
  <r>
    <x v="63"/>
  </r>
  <r>
    <x v="63"/>
  </r>
  <r>
    <x v="28"/>
  </r>
  <r>
    <x v="28"/>
  </r>
  <r>
    <x v="28"/>
  </r>
  <r>
    <x v="28"/>
  </r>
  <r>
    <x v="28"/>
  </r>
  <r>
    <x v="0"/>
  </r>
  <r>
    <x v="57"/>
  </r>
  <r>
    <x v="1"/>
  </r>
  <r>
    <x v="37"/>
  </r>
  <r>
    <x v="37"/>
  </r>
  <r>
    <x v="28"/>
  </r>
  <r>
    <x v="28"/>
  </r>
  <r>
    <x v="9"/>
  </r>
  <r>
    <x v="9"/>
  </r>
  <r>
    <x v="9"/>
  </r>
  <r>
    <x v="9"/>
  </r>
  <r>
    <x v="19"/>
  </r>
  <r>
    <x v="19"/>
  </r>
  <r>
    <x v="89"/>
  </r>
  <r>
    <x v="89"/>
  </r>
  <r>
    <x v="89"/>
  </r>
  <r>
    <x v="1"/>
  </r>
  <r>
    <x v="10"/>
  </r>
  <r>
    <x v="28"/>
  </r>
  <r>
    <x v="28"/>
  </r>
  <r>
    <x v="28"/>
  </r>
  <r>
    <x v="28"/>
  </r>
  <r>
    <x v="42"/>
  </r>
  <r>
    <x v="42"/>
  </r>
  <r>
    <x v="42"/>
  </r>
  <r>
    <x v="7"/>
  </r>
  <r>
    <x v="7"/>
  </r>
  <r>
    <x v="7"/>
  </r>
  <r>
    <x v="14"/>
  </r>
  <r>
    <x v="0"/>
  </r>
  <r>
    <x v="0"/>
  </r>
  <r>
    <x v="77"/>
  </r>
  <r>
    <x v="14"/>
  </r>
  <r>
    <x v="14"/>
  </r>
  <r>
    <x v="16"/>
  </r>
  <r>
    <x v="16"/>
  </r>
  <r>
    <x v="0"/>
  </r>
  <r>
    <x v="71"/>
  </r>
  <r>
    <x v="45"/>
  </r>
  <r>
    <x v="16"/>
  </r>
  <r>
    <x v="3"/>
  </r>
  <r>
    <x v="3"/>
  </r>
  <r>
    <x v="111"/>
  </r>
  <r>
    <x v="28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0"/>
  </r>
  <r>
    <x v="0"/>
  </r>
  <r>
    <x v="0"/>
  </r>
  <r>
    <x v="48"/>
  </r>
  <r>
    <x v="0"/>
  </r>
  <r>
    <x v="8"/>
  </r>
  <r>
    <x v="0"/>
  </r>
  <r>
    <x v="30"/>
  </r>
  <r>
    <x v="30"/>
  </r>
  <r>
    <x v="28"/>
  </r>
  <r>
    <x v="79"/>
  </r>
  <r>
    <x v="123"/>
  </r>
  <r>
    <x v="79"/>
  </r>
  <r>
    <x v="123"/>
  </r>
  <r>
    <x v="84"/>
  </r>
  <r>
    <x v="17"/>
  </r>
  <r>
    <x v="14"/>
  </r>
  <r>
    <x v="123"/>
  </r>
  <r>
    <x v="123"/>
  </r>
  <r>
    <x v="123"/>
  </r>
  <r>
    <x v="48"/>
  </r>
  <r>
    <x v="102"/>
  </r>
  <r>
    <x v="35"/>
  </r>
  <r>
    <x v="28"/>
  </r>
  <r>
    <x v="46"/>
  </r>
  <r>
    <x v="28"/>
  </r>
  <r>
    <x v="126"/>
  </r>
  <r>
    <x v="12"/>
  </r>
  <r>
    <x v="28"/>
  </r>
  <r>
    <x v="28"/>
  </r>
  <r>
    <x v="6"/>
  </r>
  <r>
    <x v="75"/>
  </r>
  <r>
    <x v="157"/>
  </r>
  <r>
    <x v="139"/>
  </r>
  <r>
    <x v="30"/>
  </r>
  <r>
    <x v="45"/>
  </r>
  <r>
    <x v="43"/>
  </r>
  <r>
    <x v="25"/>
  </r>
  <r>
    <x v="251"/>
  </r>
  <r>
    <x v="251"/>
  </r>
  <r>
    <x v="12"/>
  </r>
  <r>
    <x v="12"/>
  </r>
  <r>
    <x v="72"/>
  </r>
  <r>
    <x v="14"/>
  </r>
  <r>
    <x v="217"/>
  </r>
  <r>
    <x v="207"/>
  </r>
  <r>
    <x v="207"/>
  </r>
  <r>
    <x v="88"/>
  </r>
  <r>
    <x v="10"/>
  </r>
  <r>
    <x v="64"/>
  </r>
  <r>
    <x v="12"/>
  </r>
  <r>
    <x v="69"/>
  </r>
  <r>
    <x v="108"/>
  </r>
  <r>
    <x v="171"/>
  </r>
  <r>
    <x v="10"/>
  </r>
  <r>
    <x v="21"/>
  </r>
  <r>
    <x v="14"/>
  </r>
  <r>
    <x v="171"/>
  </r>
  <r>
    <x v="130"/>
  </r>
  <r>
    <x v="14"/>
  </r>
  <r>
    <x v="39"/>
  </r>
  <r>
    <x v="0"/>
  </r>
  <r>
    <x v="48"/>
  </r>
  <r>
    <x v="30"/>
  </r>
  <r>
    <x v="30"/>
  </r>
  <r>
    <x v="30"/>
  </r>
  <r>
    <x v="14"/>
  </r>
  <r>
    <x v="183"/>
  </r>
  <r>
    <x v="28"/>
  </r>
  <r>
    <x v="199"/>
  </r>
  <r>
    <x v="199"/>
  </r>
  <r>
    <x v="199"/>
  </r>
  <r>
    <x v="76"/>
  </r>
  <r>
    <x v="76"/>
  </r>
  <r>
    <x v="76"/>
  </r>
  <r>
    <x v="76"/>
  </r>
  <r>
    <x v="76"/>
  </r>
  <r>
    <x v="28"/>
  </r>
  <r>
    <x v="14"/>
  </r>
  <r>
    <x v="249"/>
  </r>
  <r>
    <x v="30"/>
  </r>
  <r>
    <x v="78"/>
  </r>
  <r>
    <x v="249"/>
  </r>
  <r>
    <x v="249"/>
  </r>
  <r>
    <x v="42"/>
  </r>
  <r>
    <x v="0"/>
  </r>
  <r>
    <x v="45"/>
  </r>
  <r>
    <x v="45"/>
  </r>
  <r>
    <x v="45"/>
  </r>
  <r>
    <x v="45"/>
  </r>
  <r>
    <x v="0"/>
  </r>
  <r>
    <x v="0"/>
  </r>
  <r>
    <x v="10"/>
  </r>
  <r>
    <x v="126"/>
  </r>
  <r>
    <x v="123"/>
  </r>
  <r>
    <x v="123"/>
  </r>
  <r>
    <x v="123"/>
  </r>
  <r>
    <x v="123"/>
  </r>
  <r>
    <x v="123"/>
  </r>
  <r>
    <x v="171"/>
  </r>
  <r>
    <x v="152"/>
  </r>
  <r>
    <x v="10"/>
  </r>
  <r>
    <x v="152"/>
  </r>
  <r>
    <x v="152"/>
  </r>
  <r>
    <x v="152"/>
  </r>
  <r>
    <x v="152"/>
  </r>
  <r>
    <x v="152"/>
  </r>
  <r>
    <x v="171"/>
  </r>
  <r>
    <x v="123"/>
  </r>
  <r>
    <x v="123"/>
  </r>
  <r>
    <x v="123"/>
  </r>
  <r>
    <x v="123"/>
  </r>
  <r>
    <x v="10"/>
  </r>
  <r>
    <x v="35"/>
  </r>
  <r>
    <x v="42"/>
  </r>
  <r>
    <x v="10"/>
  </r>
  <r>
    <x v="10"/>
  </r>
  <r>
    <x v="123"/>
  </r>
  <r>
    <x v="146"/>
  </r>
  <r>
    <x v="146"/>
  </r>
  <r>
    <x v="207"/>
  </r>
  <r>
    <x v="146"/>
  </r>
  <r>
    <x v="146"/>
  </r>
  <r>
    <x v="165"/>
  </r>
  <r>
    <x v="4"/>
  </r>
  <r>
    <x v="4"/>
  </r>
  <r>
    <x v="4"/>
  </r>
  <r>
    <x v="4"/>
  </r>
  <r>
    <x v="10"/>
  </r>
  <r>
    <x v="10"/>
  </r>
  <r>
    <x v="10"/>
  </r>
  <r>
    <x v="10"/>
  </r>
  <r>
    <x v="14"/>
  </r>
  <r>
    <x v="51"/>
  </r>
  <r>
    <x v="30"/>
  </r>
  <r>
    <x v="30"/>
  </r>
  <r>
    <x v="22"/>
  </r>
  <r>
    <x v="79"/>
  </r>
  <r>
    <x v="76"/>
  </r>
  <r>
    <x v="204"/>
  </r>
  <r>
    <x v="204"/>
  </r>
  <r>
    <x v="79"/>
  </r>
  <r>
    <x v="10"/>
  </r>
  <r>
    <x v="10"/>
  </r>
  <r>
    <x v="10"/>
  </r>
  <r>
    <x v="25"/>
  </r>
  <r>
    <x v="23"/>
  </r>
  <r>
    <x v="24"/>
  </r>
  <r>
    <x v="77"/>
  </r>
  <r>
    <x v="36"/>
  </r>
  <r>
    <x v="123"/>
  </r>
  <r>
    <x v="136"/>
  </r>
  <r>
    <x v="24"/>
  </r>
  <r>
    <x v="24"/>
  </r>
  <r>
    <x v="24"/>
  </r>
  <r>
    <x v="24"/>
  </r>
  <r>
    <x v="78"/>
  </r>
  <r>
    <x v="24"/>
  </r>
  <r>
    <x v="63"/>
  </r>
  <r>
    <x v="10"/>
  </r>
  <r>
    <x v="10"/>
  </r>
  <r>
    <x v="10"/>
  </r>
  <r>
    <x v="24"/>
  </r>
  <r>
    <x v="24"/>
  </r>
  <r>
    <x v="24"/>
  </r>
  <r>
    <x v="24"/>
  </r>
  <r>
    <x v="102"/>
  </r>
  <r>
    <x v="179"/>
  </r>
  <r>
    <x v="12"/>
  </r>
  <r>
    <x v="28"/>
  </r>
  <r>
    <x v="28"/>
  </r>
  <r>
    <x v="36"/>
  </r>
  <r>
    <x v="26"/>
  </r>
  <r>
    <x v="28"/>
  </r>
  <r>
    <x v="78"/>
  </r>
  <r>
    <x v="69"/>
  </r>
  <r>
    <x v="69"/>
  </r>
  <r>
    <x v="69"/>
  </r>
  <r>
    <x v="78"/>
  </r>
  <r>
    <x v="154"/>
  </r>
  <r>
    <x v="69"/>
  </r>
  <r>
    <x v="92"/>
  </r>
  <r>
    <x v="69"/>
  </r>
  <r>
    <x v="154"/>
  </r>
  <r>
    <x v="154"/>
  </r>
  <r>
    <x v="154"/>
  </r>
  <r>
    <x v="69"/>
  </r>
  <r>
    <x v="154"/>
  </r>
  <r>
    <x v="154"/>
  </r>
  <r>
    <x v="154"/>
  </r>
  <r>
    <x v="154"/>
  </r>
  <r>
    <x v="69"/>
  </r>
  <r>
    <x v="69"/>
  </r>
  <r>
    <x v="115"/>
  </r>
  <r>
    <x v="112"/>
  </r>
  <r>
    <x v="251"/>
  </r>
  <r>
    <x v="251"/>
  </r>
  <r>
    <x v="251"/>
  </r>
  <r>
    <x v="115"/>
  </r>
  <r>
    <x v="52"/>
  </r>
  <r>
    <x v="112"/>
  </r>
  <r>
    <x v="115"/>
  </r>
  <r>
    <x v="112"/>
  </r>
  <r>
    <x v="251"/>
  </r>
  <r>
    <x v="115"/>
  </r>
  <r>
    <x v="112"/>
  </r>
  <r>
    <x v="251"/>
  </r>
  <r>
    <x v="115"/>
  </r>
  <r>
    <x v="115"/>
  </r>
  <r>
    <x v="115"/>
  </r>
  <r>
    <x v="52"/>
  </r>
  <r>
    <x v="112"/>
  </r>
  <r>
    <x v="14"/>
  </r>
  <r>
    <x v="14"/>
  </r>
  <r>
    <x v="108"/>
  </r>
  <r>
    <x v="81"/>
  </r>
  <r>
    <x v="81"/>
  </r>
  <r>
    <x v="81"/>
  </r>
  <r>
    <x v="108"/>
  </r>
  <r>
    <x v="81"/>
  </r>
  <r>
    <x v="81"/>
  </r>
  <r>
    <x v="81"/>
  </r>
  <r>
    <x v="81"/>
  </r>
  <r>
    <x v="81"/>
  </r>
  <r>
    <x v="48"/>
  </r>
  <r>
    <x v="81"/>
  </r>
  <r>
    <x v="81"/>
  </r>
  <r>
    <x v="81"/>
  </r>
  <r>
    <x v="85"/>
  </r>
  <r>
    <x v="81"/>
  </r>
  <r>
    <x v="81"/>
  </r>
  <r>
    <x v="28"/>
  </r>
  <r>
    <x v="16"/>
  </r>
  <r>
    <x v="7"/>
  </r>
  <r>
    <x v="83"/>
  </r>
  <r>
    <x v="59"/>
  </r>
  <r>
    <x v="42"/>
  </r>
  <r>
    <x v="42"/>
  </r>
  <r>
    <x v="42"/>
  </r>
  <r>
    <x v="10"/>
  </r>
  <r>
    <x v="87"/>
  </r>
  <r>
    <x v="87"/>
  </r>
  <r>
    <x v="43"/>
  </r>
  <r>
    <x v="10"/>
  </r>
  <r>
    <x v="123"/>
  </r>
  <r>
    <x v="123"/>
  </r>
  <r>
    <x v="19"/>
  </r>
  <r>
    <x v="36"/>
  </r>
  <r>
    <x v="24"/>
  </r>
  <r>
    <x v="24"/>
  </r>
  <r>
    <x v="48"/>
  </r>
  <r>
    <x v="4"/>
  </r>
  <r>
    <x v="108"/>
  </r>
  <r>
    <x v="3"/>
  </r>
  <r>
    <x v="108"/>
  </r>
  <r>
    <x v="59"/>
  </r>
  <r>
    <x v="59"/>
  </r>
  <r>
    <x v="59"/>
  </r>
  <r>
    <x v="83"/>
  </r>
  <r>
    <x v="154"/>
  </r>
  <r>
    <x v="3"/>
  </r>
  <r>
    <x v="83"/>
  </r>
  <r>
    <x v="10"/>
  </r>
  <r>
    <x v="25"/>
  </r>
  <r>
    <x v="3"/>
  </r>
  <r>
    <x v="108"/>
  </r>
  <r>
    <x v="3"/>
  </r>
  <r>
    <x v="3"/>
  </r>
  <r>
    <x v="3"/>
  </r>
  <r>
    <x v="3"/>
  </r>
  <r>
    <x v="10"/>
  </r>
  <r>
    <x v="3"/>
  </r>
  <r>
    <x v="3"/>
  </r>
  <r>
    <x v="3"/>
  </r>
  <r>
    <x v="10"/>
  </r>
  <r>
    <x v="128"/>
  </r>
  <r>
    <x v="122"/>
  </r>
  <r>
    <x v="110"/>
  </r>
  <r>
    <x v="15"/>
  </r>
  <r>
    <x v="15"/>
  </r>
  <r>
    <x v="59"/>
  </r>
  <r>
    <x v="15"/>
  </r>
  <r>
    <x v="112"/>
  </r>
  <r>
    <x v="23"/>
  </r>
  <r>
    <x v="3"/>
  </r>
  <r>
    <x v="42"/>
  </r>
  <r>
    <x v="35"/>
  </r>
  <r>
    <x v="42"/>
  </r>
  <r>
    <x v="42"/>
  </r>
  <r>
    <x v="203"/>
  </r>
  <r>
    <x v="10"/>
  </r>
  <r>
    <x v="45"/>
  </r>
  <r>
    <x v="10"/>
  </r>
  <r>
    <x v="10"/>
  </r>
  <r>
    <x v="10"/>
  </r>
  <r>
    <x v="10"/>
  </r>
  <r>
    <x v="10"/>
  </r>
  <r>
    <x v="126"/>
  </r>
  <r>
    <x v="20"/>
  </r>
  <r>
    <x v="10"/>
  </r>
  <r>
    <x v="20"/>
  </r>
  <r>
    <x v="27"/>
  </r>
  <r>
    <x v="27"/>
  </r>
  <r>
    <x v="20"/>
  </r>
  <r>
    <x v="10"/>
  </r>
  <r>
    <x v="25"/>
  </r>
  <r>
    <x v="10"/>
  </r>
  <r>
    <x v="10"/>
  </r>
  <r>
    <x v="10"/>
  </r>
  <r>
    <x v="10"/>
  </r>
  <r>
    <x v="127"/>
  </r>
  <r>
    <x v="20"/>
  </r>
  <r>
    <x v="20"/>
  </r>
  <r>
    <x v="10"/>
  </r>
  <r>
    <x v="10"/>
  </r>
  <r>
    <x v="20"/>
  </r>
  <r>
    <x v="10"/>
  </r>
  <r>
    <x v="10"/>
  </r>
  <r>
    <x v="10"/>
  </r>
  <r>
    <x v="10"/>
  </r>
  <r>
    <x v="10"/>
  </r>
  <r>
    <x v="20"/>
  </r>
  <r>
    <x v="10"/>
  </r>
  <r>
    <x v="10"/>
  </r>
  <r>
    <x v="20"/>
  </r>
  <r>
    <x v="20"/>
  </r>
  <r>
    <x v="20"/>
  </r>
  <r>
    <x v="21"/>
  </r>
  <r>
    <x v="20"/>
  </r>
  <r>
    <x v="20"/>
  </r>
  <r>
    <x v="112"/>
  </r>
  <r>
    <x v="0"/>
  </r>
  <r>
    <x v="23"/>
  </r>
  <r>
    <x v="31"/>
  </r>
  <r>
    <x v="81"/>
  </r>
  <r>
    <x v="81"/>
  </r>
  <r>
    <x v="24"/>
  </r>
  <r>
    <x v="24"/>
  </r>
  <r>
    <x v="33"/>
  </r>
  <r>
    <x v="81"/>
  </r>
  <r>
    <x v="33"/>
  </r>
  <r>
    <x v="81"/>
  </r>
  <r>
    <x v="81"/>
  </r>
  <r>
    <x v="33"/>
  </r>
  <r>
    <x v="24"/>
  </r>
  <r>
    <x v="53"/>
  </r>
  <r>
    <x v="0"/>
  </r>
  <r>
    <x v="0"/>
  </r>
  <r>
    <x v="3"/>
  </r>
  <r>
    <x v="49"/>
  </r>
  <r>
    <x v="49"/>
  </r>
  <r>
    <x v="6"/>
  </r>
  <r>
    <x v="3"/>
  </r>
  <r>
    <x v="3"/>
  </r>
  <r>
    <x v="3"/>
  </r>
  <r>
    <x v="3"/>
  </r>
  <r>
    <x v="3"/>
  </r>
  <r>
    <x v="3"/>
  </r>
  <r>
    <x v="1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24"/>
  </r>
  <r>
    <x v="31"/>
  </r>
  <r>
    <x v="112"/>
  </r>
  <r>
    <x v="31"/>
  </r>
  <r>
    <x v="10"/>
  </r>
  <r>
    <x v="10"/>
  </r>
  <r>
    <x v="10"/>
  </r>
  <r>
    <x v="23"/>
  </r>
  <r>
    <x v="10"/>
  </r>
  <r>
    <x v="23"/>
  </r>
  <r>
    <x v="16"/>
  </r>
  <r>
    <x v="0"/>
  </r>
  <r>
    <x v="36"/>
  </r>
  <r>
    <x v="3"/>
  </r>
  <r>
    <x v="23"/>
  </r>
  <r>
    <x v="36"/>
  </r>
  <r>
    <x v="3"/>
  </r>
  <r>
    <x v="43"/>
  </r>
  <r>
    <x v="28"/>
  </r>
  <r>
    <x v="81"/>
  </r>
  <r>
    <x v="14"/>
  </r>
  <r>
    <x v="0"/>
  </r>
  <r>
    <x v="112"/>
  </r>
  <r>
    <x v="24"/>
  </r>
  <r>
    <x v="129"/>
  </r>
  <r>
    <x v="4"/>
  </r>
  <r>
    <x v="10"/>
  </r>
  <r>
    <x v="4"/>
  </r>
  <r>
    <x v="4"/>
  </r>
  <r>
    <x v="4"/>
  </r>
  <r>
    <x v="4"/>
  </r>
  <r>
    <x v="115"/>
  </r>
  <r>
    <x v="115"/>
  </r>
  <r>
    <x v="115"/>
  </r>
  <r>
    <x v="123"/>
  </r>
  <r>
    <x v="123"/>
  </r>
  <r>
    <x v="123"/>
  </r>
  <r>
    <x v="123"/>
  </r>
  <r>
    <x v="41"/>
  </r>
  <r>
    <x v="14"/>
  </r>
  <r>
    <x v="14"/>
  </r>
  <r>
    <x v="14"/>
  </r>
  <r>
    <x v="123"/>
  </r>
  <r>
    <x v="12"/>
  </r>
  <r>
    <x v="12"/>
  </r>
  <r>
    <x v="12"/>
  </r>
  <r>
    <x v="12"/>
  </r>
  <r>
    <x v="12"/>
  </r>
  <r>
    <x v="12"/>
  </r>
  <r>
    <x v="12"/>
  </r>
  <r>
    <x v="4"/>
  </r>
  <r>
    <x v="123"/>
  </r>
  <r>
    <x v="123"/>
  </r>
  <r>
    <x v="123"/>
  </r>
  <r>
    <x v="123"/>
  </r>
  <r>
    <x v="0"/>
  </r>
  <r>
    <x v="0"/>
  </r>
  <r>
    <x v="123"/>
  </r>
  <r>
    <x v="36"/>
  </r>
  <r>
    <x v="87"/>
  </r>
  <r>
    <x v="87"/>
  </r>
  <r>
    <x v="95"/>
  </r>
  <r>
    <x v="10"/>
  </r>
  <r>
    <x v="10"/>
  </r>
  <r>
    <x v="10"/>
  </r>
  <r>
    <x v="24"/>
  </r>
  <r>
    <x v="25"/>
  </r>
  <r>
    <x v="12"/>
  </r>
  <r>
    <x v="19"/>
  </r>
  <r>
    <x v="57"/>
  </r>
  <r>
    <x v="81"/>
  </r>
  <r>
    <x v="81"/>
  </r>
  <r>
    <x v="61"/>
  </r>
  <r>
    <x v="21"/>
  </r>
  <r>
    <x v="25"/>
  </r>
  <r>
    <x v="11"/>
  </r>
  <r>
    <x v="11"/>
  </r>
  <r>
    <x v="25"/>
  </r>
  <r>
    <x v="31"/>
  </r>
  <r>
    <x v="42"/>
  </r>
  <r>
    <x v="6"/>
  </r>
  <r>
    <x v="83"/>
  </r>
  <r>
    <x v="7"/>
  </r>
  <r>
    <x v="12"/>
  </r>
  <r>
    <x v="108"/>
  </r>
  <r>
    <x v="12"/>
  </r>
  <r>
    <x v="4"/>
  </r>
  <r>
    <x v="4"/>
  </r>
  <r>
    <x v="77"/>
  </r>
  <r>
    <x v="4"/>
  </r>
  <r>
    <x v="4"/>
  </r>
  <r>
    <x v="48"/>
  </r>
  <r>
    <x v="154"/>
  </r>
  <r>
    <x v="4"/>
  </r>
  <r>
    <x v="4"/>
  </r>
  <r>
    <x v="10"/>
  </r>
  <r>
    <x v="106"/>
  </r>
  <r>
    <x v="21"/>
  </r>
  <r>
    <x v="21"/>
  </r>
  <r>
    <x v="42"/>
  </r>
  <r>
    <x v="22"/>
  </r>
  <r>
    <x v="21"/>
  </r>
  <r>
    <x v="21"/>
  </r>
  <r>
    <x v="45"/>
  </r>
  <r>
    <x v="12"/>
  </r>
  <r>
    <x v="45"/>
  </r>
  <r>
    <x v="7"/>
  </r>
  <r>
    <x v="12"/>
  </r>
  <r>
    <x v="12"/>
  </r>
  <r>
    <x v="21"/>
  </r>
  <r>
    <x v="45"/>
  </r>
  <r>
    <x v="45"/>
  </r>
  <r>
    <x v="11"/>
  </r>
  <r>
    <x v="83"/>
  </r>
  <r>
    <x v="2"/>
  </r>
  <r>
    <x v="12"/>
  </r>
  <r>
    <x v="12"/>
  </r>
  <r>
    <x v="10"/>
  </r>
  <r>
    <x v="175"/>
  </r>
  <r>
    <x v="42"/>
  </r>
  <r>
    <x v="12"/>
  </r>
  <r>
    <x v="12"/>
  </r>
  <r>
    <x v="42"/>
  </r>
  <r>
    <x v="42"/>
  </r>
  <r>
    <x v="12"/>
  </r>
  <r>
    <x v="71"/>
  </r>
  <r>
    <x v="123"/>
  </r>
  <r>
    <x v="59"/>
  </r>
  <r>
    <x v="83"/>
  </r>
  <r>
    <x v="7"/>
  </r>
  <r>
    <x v="71"/>
  </r>
  <r>
    <x v="1"/>
  </r>
  <r>
    <x v="1"/>
  </r>
  <r>
    <x v="1"/>
  </r>
  <r>
    <x v="7"/>
  </r>
  <r>
    <x v="7"/>
  </r>
  <r>
    <x v="6"/>
  </r>
  <r>
    <x v="7"/>
  </r>
  <r>
    <x v="7"/>
  </r>
  <r>
    <x v="6"/>
  </r>
  <r>
    <x v="7"/>
  </r>
  <r>
    <x v="77"/>
  </r>
  <r>
    <x v="45"/>
  </r>
  <r>
    <x v="7"/>
  </r>
  <r>
    <x v="7"/>
  </r>
  <r>
    <x v="7"/>
  </r>
  <r>
    <x v="7"/>
  </r>
  <r>
    <x v="7"/>
  </r>
  <r>
    <x v="87"/>
  </r>
  <r>
    <x v="16"/>
  </r>
  <r>
    <x v="16"/>
  </r>
  <r>
    <x v="130"/>
  </r>
  <r>
    <x v="130"/>
  </r>
  <r>
    <x v="130"/>
  </r>
  <r>
    <x v="130"/>
  </r>
  <r>
    <x v="130"/>
  </r>
  <r>
    <x v="7"/>
  </r>
  <r>
    <x v="45"/>
  </r>
  <r>
    <x v="7"/>
  </r>
  <r>
    <x v="7"/>
  </r>
  <r>
    <x v="7"/>
  </r>
  <r>
    <x v="7"/>
  </r>
  <r>
    <x v="7"/>
  </r>
  <r>
    <x v="7"/>
  </r>
  <r>
    <x v="37"/>
  </r>
  <r>
    <x v="7"/>
  </r>
  <r>
    <x v="1"/>
  </r>
  <r>
    <x v="162"/>
  </r>
  <r>
    <x v="162"/>
  </r>
  <r>
    <x v="16"/>
  </r>
  <r>
    <x v="16"/>
  </r>
  <r>
    <x v="6"/>
  </r>
  <r>
    <x v="7"/>
  </r>
  <r>
    <x v="19"/>
  </r>
  <r>
    <x v="115"/>
  </r>
  <r>
    <x v="7"/>
  </r>
  <r>
    <x v="37"/>
  </r>
  <r>
    <x v="37"/>
  </r>
  <r>
    <x v="10"/>
  </r>
  <r>
    <x v="10"/>
  </r>
  <r>
    <x v="162"/>
  </r>
  <r>
    <x v="162"/>
  </r>
  <r>
    <x v="162"/>
  </r>
  <r>
    <x v="162"/>
  </r>
  <r>
    <x v="162"/>
  </r>
  <r>
    <x v="37"/>
  </r>
  <r>
    <x v="37"/>
  </r>
  <r>
    <x v="162"/>
  </r>
  <r>
    <x v="162"/>
  </r>
  <r>
    <x v="37"/>
  </r>
  <r>
    <x v="162"/>
  </r>
  <r>
    <x v="10"/>
  </r>
  <r>
    <x v="15"/>
  </r>
  <r>
    <x v="162"/>
  </r>
  <r>
    <x v="4"/>
  </r>
  <r>
    <x v="12"/>
  </r>
  <r>
    <x v="50"/>
  </r>
  <r>
    <x v="14"/>
  </r>
  <r>
    <x v="14"/>
  </r>
  <r>
    <x v="141"/>
  </r>
  <r>
    <x v="6"/>
  </r>
  <r>
    <x v="162"/>
  </r>
  <r>
    <x v="162"/>
  </r>
  <r>
    <x v="1"/>
  </r>
  <r>
    <x v="7"/>
  </r>
  <r>
    <x v="7"/>
  </r>
  <r>
    <x v="7"/>
  </r>
  <r>
    <x v="16"/>
  </r>
  <r>
    <x v="16"/>
  </r>
  <r>
    <x v="16"/>
  </r>
  <r>
    <x v="16"/>
  </r>
  <r>
    <x v="0"/>
  </r>
  <r>
    <x v="0"/>
  </r>
  <r>
    <x v="0"/>
  </r>
  <r>
    <x v="16"/>
  </r>
  <r>
    <x v="42"/>
  </r>
  <r>
    <x v="42"/>
  </r>
  <r>
    <x v="37"/>
  </r>
  <r>
    <x v="16"/>
  </r>
  <r>
    <x v="16"/>
  </r>
  <r>
    <x v="16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28"/>
  </r>
  <r>
    <x v="31"/>
  </r>
  <r>
    <x v="31"/>
  </r>
  <r>
    <x v="21"/>
  </r>
  <r>
    <x v="62"/>
  </r>
  <r>
    <x v="52"/>
  </r>
  <r>
    <x v="52"/>
  </r>
  <r>
    <x v="4"/>
  </r>
  <r>
    <x v="4"/>
  </r>
  <r>
    <x v="4"/>
  </r>
  <r>
    <x v="4"/>
  </r>
  <r>
    <x v="112"/>
  </r>
  <r>
    <x v="7"/>
  </r>
  <r>
    <x v="10"/>
  </r>
  <r>
    <x v="71"/>
  </r>
  <r>
    <x v="28"/>
  </r>
  <r>
    <x v="162"/>
  </r>
  <r>
    <x v="6"/>
  </r>
  <r>
    <x v="112"/>
  </r>
  <r>
    <x v="45"/>
  </r>
  <r>
    <x v="112"/>
  </r>
  <r>
    <x v="112"/>
  </r>
  <r>
    <x v="7"/>
  </r>
  <r>
    <x v="6"/>
  </r>
  <r>
    <x v="37"/>
  </r>
  <r>
    <x v="10"/>
  </r>
  <r>
    <x v="10"/>
  </r>
  <r>
    <x v="45"/>
  </r>
  <r>
    <x v="162"/>
  </r>
  <r>
    <x v="71"/>
  </r>
  <r>
    <x v="16"/>
  </r>
  <r>
    <x v="45"/>
  </r>
  <r>
    <x v="6"/>
  </r>
  <r>
    <x v="6"/>
  </r>
  <r>
    <x v="7"/>
  </r>
  <r>
    <x v="1"/>
  </r>
  <r>
    <x v="0"/>
  </r>
  <r>
    <x v="1"/>
  </r>
  <r>
    <x v="1"/>
  </r>
  <r>
    <x v="14"/>
  </r>
  <r>
    <x v="64"/>
  </r>
  <r>
    <x v="64"/>
  </r>
  <r>
    <x v="64"/>
  </r>
  <r>
    <x v="64"/>
  </r>
  <r>
    <x v="4"/>
  </r>
  <r>
    <x v="4"/>
  </r>
  <r>
    <x v="123"/>
  </r>
  <r>
    <x v="123"/>
  </r>
  <r>
    <x v="162"/>
  </r>
  <r>
    <x v="28"/>
  </r>
  <r>
    <x v="169"/>
  </r>
  <r>
    <x v="21"/>
  </r>
  <r>
    <x v="42"/>
  </r>
  <r>
    <x v="22"/>
  </r>
  <r>
    <x v="12"/>
  </r>
  <r>
    <x v="28"/>
  </r>
  <r>
    <x v="7"/>
  </r>
  <r>
    <x v="141"/>
  </r>
  <r>
    <x v="141"/>
  </r>
  <r>
    <x v="71"/>
  </r>
  <r>
    <x v="71"/>
  </r>
  <r>
    <x v="71"/>
  </r>
  <r>
    <x v="71"/>
  </r>
  <r>
    <x v="7"/>
  </r>
  <r>
    <x v="7"/>
  </r>
  <r>
    <x v="71"/>
  </r>
  <r>
    <x v="7"/>
  </r>
  <r>
    <x v="7"/>
  </r>
  <r>
    <x v="7"/>
  </r>
  <r>
    <x v="141"/>
  </r>
  <r>
    <x v="57"/>
  </r>
  <r>
    <x v="6"/>
  </r>
  <r>
    <x v="4"/>
  </r>
  <r>
    <x v="16"/>
  </r>
  <r>
    <x v="10"/>
  </r>
  <r>
    <x v="126"/>
  </r>
  <r>
    <x v="71"/>
  </r>
  <r>
    <x v="63"/>
  </r>
  <r>
    <x v="71"/>
  </r>
  <r>
    <x v="141"/>
  </r>
  <r>
    <x v="123"/>
  </r>
  <r>
    <x v="6"/>
  </r>
  <r>
    <x v="4"/>
  </r>
  <r>
    <x v="1"/>
  </r>
  <r>
    <x v="6"/>
  </r>
  <r>
    <x v="6"/>
  </r>
  <r>
    <x v="6"/>
  </r>
  <r>
    <x v="6"/>
  </r>
  <r>
    <x v="6"/>
  </r>
  <r>
    <x v="6"/>
  </r>
  <r>
    <x v="7"/>
  </r>
  <r>
    <x v="28"/>
  </r>
  <r>
    <x v="7"/>
  </r>
  <r>
    <x v="162"/>
  </r>
  <r>
    <x v="28"/>
  </r>
  <r>
    <x v="12"/>
  </r>
  <r>
    <x v="10"/>
  </r>
  <r>
    <x v="86"/>
  </r>
  <r>
    <x v="45"/>
  </r>
  <r>
    <x v="42"/>
  </r>
  <r>
    <x v="9"/>
  </r>
  <r>
    <x v="19"/>
  </r>
  <r>
    <x v="19"/>
  </r>
  <r>
    <x v="9"/>
  </r>
  <r>
    <x v="12"/>
  </r>
  <r>
    <x v="11"/>
  </r>
  <r>
    <x v="162"/>
  </r>
  <r>
    <x v="57"/>
  </r>
  <r>
    <x v="21"/>
  </r>
  <r>
    <x v="21"/>
  </r>
  <r>
    <x v="14"/>
  </r>
  <r>
    <x v="14"/>
  </r>
  <r>
    <x v="16"/>
  </r>
  <r>
    <x v="28"/>
  </r>
  <r>
    <x v="7"/>
  </r>
  <r>
    <x v="28"/>
  </r>
  <r>
    <x v="123"/>
  </r>
  <r>
    <x v="10"/>
  </r>
  <r>
    <x v="7"/>
  </r>
  <r>
    <x v="7"/>
  </r>
  <r>
    <x v="79"/>
  </r>
  <r>
    <x v="63"/>
  </r>
  <r>
    <x v="79"/>
  </r>
  <r>
    <x v="7"/>
  </r>
  <r>
    <x v="7"/>
  </r>
  <r>
    <x v="7"/>
  </r>
  <r>
    <x v="7"/>
  </r>
  <r>
    <x v="7"/>
  </r>
  <r>
    <x v="7"/>
  </r>
  <r>
    <x v="123"/>
  </r>
  <r>
    <x v="152"/>
  </r>
  <r>
    <x v="12"/>
  </r>
  <r>
    <x v="55"/>
  </r>
  <r>
    <x v="57"/>
  </r>
  <r>
    <x v="10"/>
  </r>
  <r>
    <x v="12"/>
  </r>
  <r>
    <x v="6"/>
  </r>
  <r>
    <x v="16"/>
  </r>
  <r>
    <x v="16"/>
  </r>
  <r>
    <x v="9"/>
  </r>
  <r>
    <x v="42"/>
  </r>
  <r>
    <x v="16"/>
  </r>
  <r>
    <x v="2"/>
  </r>
  <r>
    <x v="16"/>
  </r>
  <r>
    <x v="16"/>
  </r>
  <r>
    <x v="30"/>
  </r>
  <r>
    <x v="16"/>
  </r>
  <r>
    <x v="123"/>
  </r>
  <r>
    <x v="2"/>
  </r>
  <r>
    <x v="162"/>
  </r>
  <r>
    <x v="14"/>
  </r>
  <r>
    <x v="28"/>
  </r>
  <r>
    <x v="7"/>
  </r>
  <r>
    <x v="7"/>
  </r>
  <r>
    <x v="64"/>
  </r>
  <r>
    <x v="64"/>
  </r>
  <r>
    <x v="79"/>
  </r>
  <r>
    <x v="79"/>
  </r>
  <r>
    <x v="16"/>
  </r>
  <r>
    <x v="162"/>
  </r>
  <r>
    <x v="162"/>
  </r>
  <r>
    <x v="161"/>
  </r>
  <r>
    <x v="64"/>
  </r>
  <r>
    <x v="161"/>
  </r>
  <r>
    <x v="161"/>
  </r>
  <r>
    <x v="161"/>
  </r>
  <r>
    <x v="16"/>
  </r>
  <r>
    <x v="16"/>
  </r>
  <r>
    <x v="37"/>
  </r>
  <r>
    <x v="37"/>
  </r>
  <r>
    <x v="62"/>
  </r>
  <r>
    <x v="37"/>
  </r>
  <r>
    <x v="37"/>
  </r>
  <r>
    <x v="4"/>
  </r>
  <r>
    <x v="0"/>
  </r>
  <r>
    <x v="37"/>
  </r>
  <r>
    <x v="4"/>
  </r>
  <r>
    <x v="56"/>
  </r>
  <r>
    <x v="56"/>
  </r>
  <r>
    <x v="37"/>
  </r>
  <r>
    <x v="0"/>
  </r>
  <r>
    <x v="26"/>
  </r>
  <r>
    <x v="0"/>
  </r>
  <r>
    <x v="0"/>
  </r>
  <r>
    <x v="28"/>
  </r>
  <r>
    <x v="28"/>
  </r>
  <r>
    <x v="10"/>
  </r>
  <r>
    <x v="14"/>
  </r>
  <r>
    <x v="26"/>
  </r>
  <r>
    <x v="28"/>
  </r>
  <r>
    <x v="17"/>
  </r>
  <r>
    <x v="71"/>
  </r>
  <r>
    <x v="26"/>
  </r>
  <r>
    <x v="4"/>
  </r>
  <r>
    <x v="25"/>
  </r>
  <r>
    <x v="12"/>
  </r>
  <r>
    <x v="4"/>
  </r>
  <r>
    <x v="57"/>
  </r>
  <r>
    <x v="57"/>
  </r>
  <r>
    <x v="9"/>
  </r>
  <r>
    <x v="60"/>
  </r>
  <r>
    <x v="0"/>
  </r>
  <r>
    <x v="56"/>
  </r>
  <r>
    <x v="126"/>
  </r>
  <r>
    <x v="26"/>
  </r>
  <r>
    <x v="0"/>
  </r>
  <r>
    <x v="0"/>
  </r>
  <r>
    <x v="6"/>
  </r>
  <r>
    <x v="7"/>
  </r>
  <r>
    <x v="16"/>
  </r>
  <r>
    <x v="161"/>
  </r>
  <r>
    <x v="28"/>
  </r>
  <r>
    <x v="28"/>
  </r>
  <r>
    <x v="28"/>
  </r>
  <r>
    <x v="2"/>
  </r>
  <r>
    <x v="6"/>
  </r>
  <r>
    <x v="16"/>
  </r>
  <r>
    <x v="12"/>
  </r>
  <r>
    <x v="12"/>
  </r>
  <r>
    <x v="12"/>
  </r>
  <r>
    <x v="1"/>
  </r>
  <r>
    <x v="12"/>
  </r>
  <r>
    <x v="12"/>
  </r>
  <r>
    <x v="28"/>
  </r>
  <r>
    <x v="152"/>
  </r>
  <r>
    <x v="152"/>
  </r>
  <r>
    <x v="16"/>
  </r>
  <r>
    <x v="24"/>
  </r>
  <r>
    <x v="0"/>
  </r>
  <r>
    <x v="28"/>
  </r>
  <r>
    <x v="7"/>
  </r>
  <r>
    <x v="28"/>
  </r>
  <r>
    <x v="10"/>
  </r>
  <r>
    <x v="9"/>
  </r>
  <r>
    <x v="14"/>
  </r>
  <r>
    <x v="16"/>
  </r>
  <r>
    <x v="4"/>
  </r>
  <r>
    <x v="71"/>
  </r>
  <r>
    <x v="12"/>
  </r>
  <r>
    <x v="79"/>
  </r>
  <r>
    <x v="2"/>
  </r>
  <r>
    <x v="2"/>
  </r>
  <r>
    <x v="28"/>
  </r>
  <r>
    <x v="16"/>
  </r>
  <r>
    <x v="16"/>
  </r>
  <r>
    <x v="16"/>
  </r>
  <r>
    <x v="10"/>
  </r>
  <r>
    <x v="29"/>
  </r>
  <r>
    <x v="10"/>
  </r>
  <r>
    <x v="2"/>
  </r>
  <r>
    <x v="2"/>
  </r>
  <r>
    <x v="2"/>
  </r>
  <r>
    <x v="4"/>
  </r>
  <r>
    <x v="4"/>
  </r>
  <r>
    <x v="57"/>
  </r>
  <r>
    <x v="63"/>
  </r>
  <r>
    <x v="63"/>
  </r>
  <r>
    <x v="10"/>
  </r>
  <r>
    <x v="141"/>
  </r>
  <r>
    <x v="54"/>
  </r>
  <r>
    <x v="15"/>
  </r>
  <r>
    <x v="19"/>
  </r>
  <r>
    <x v="141"/>
  </r>
  <r>
    <x v="63"/>
  </r>
  <r>
    <x v="28"/>
  </r>
  <r>
    <x v="28"/>
  </r>
  <r>
    <x v="7"/>
  </r>
  <r>
    <x v="4"/>
  </r>
  <r>
    <x v="54"/>
  </r>
  <r>
    <x v="9"/>
  </r>
  <r>
    <x v="6"/>
  </r>
  <r>
    <x v="71"/>
  </r>
  <r>
    <x v="42"/>
  </r>
  <r>
    <x v="50"/>
  </r>
  <r>
    <x v="9"/>
  </r>
  <r>
    <x v="26"/>
  </r>
  <r>
    <x v="64"/>
  </r>
  <r>
    <x v="123"/>
  </r>
  <r>
    <x v="7"/>
  </r>
  <r>
    <x v="14"/>
  </r>
  <r>
    <x v="29"/>
  </r>
  <r>
    <x v="86"/>
  </r>
  <r>
    <x v="19"/>
  </r>
  <r>
    <x v="19"/>
  </r>
  <r>
    <x v="42"/>
  </r>
  <r>
    <x v="16"/>
  </r>
  <r>
    <x v="10"/>
  </r>
  <r>
    <x v="10"/>
  </r>
  <r>
    <x v="143"/>
  </r>
  <r>
    <x v="2"/>
  </r>
  <r>
    <x v="12"/>
  </r>
  <r>
    <x v="71"/>
  </r>
  <r>
    <x v="12"/>
  </r>
  <r>
    <x v="12"/>
  </r>
  <r>
    <x v="12"/>
  </r>
  <r>
    <x v="4"/>
  </r>
  <r>
    <x v="4"/>
  </r>
  <r>
    <x v="51"/>
  </r>
  <r>
    <x v="14"/>
  </r>
  <r>
    <x v="24"/>
  </r>
  <r>
    <x v="10"/>
  </r>
  <r>
    <x v="48"/>
  </r>
  <r>
    <x v="0"/>
  </r>
  <r>
    <x v="78"/>
  </r>
  <r>
    <x v="12"/>
  </r>
  <r>
    <x v="4"/>
  </r>
  <r>
    <x v="4"/>
  </r>
  <r>
    <x v="4"/>
  </r>
  <r>
    <x v="4"/>
  </r>
  <r>
    <x v="95"/>
  </r>
  <r>
    <x v="10"/>
  </r>
  <r>
    <x v="10"/>
  </r>
  <r>
    <x v="51"/>
  </r>
  <r>
    <x v="9"/>
  </r>
  <r>
    <x v="10"/>
  </r>
  <r>
    <x v="63"/>
  </r>
  <r>
    <x v="24"/>
  </r>
  <r>
    <x v="14"/>
  </r>
  <r>
    <x v="86"/>
  </r>
  <r>
    <x v="4"/>
  </r>
  <r>
    <x v="10"/>
  </r>
  <r>
    <x v="10"/>
  </r>
  <r>
    <x v="10"/>
  </r>
  <r>
    <x v="10"/>
  </r>
  <r>
    <x v="4"/>
  </r>
  <r>
    <x v="4"/>
  </r>
  <r>
    <x v="79"/>
  </r>
  <r>
    <x v="4"/>
  </r>
  <r>
    <x v="10"/>
  </r>
  <r>
    <x v="11"/>
  </r>
  <r>
    <x v="1"/>
  </r>
  <r>
    <x v="7"/>
  </r>
  <r>
    <x v="14"/>
  </r>
  <r>
    <x v="15"/>
  </r>
  <r>
    <x v="15"/>
  </r>
  <r>
    <x v="12"/>
  </r>
  <r>
    <x v="123"/>
  </r>
  <r>
    <x v="12"/>
  </r>
  <r>
    <x v="4"/>
  </r>
  <r>
    <x v="9"/>
  </r>
  <r>
    <x v="9"/>
  </r>
  <r>
    <x v="12"/>
  </r>
  <r>
    <x v="10"/>
  </r>
  <r>
    <x v="15"/>
  </r>
  <r>
    <x v="4"/>
  </r>
  <r>
    <x v="6"/>
  </r>
  <r>
    <x v="248"/>
  </r>
  <r>
    <x v="42"/>
  </r>
  <r>
    <x v="184"/>
  </r>
  <r>
    <x v="4"/>
  </r>
  <r>
    <x v="10"/>
  </r>
  <r>
    <x v="10"/>
  </r>
  <r>
    <x v="10"/>
  </r>
  <r>
    <x v="10"/>
  </r>
  <r>
    <x v="10"/>
  </r>
  <r>
    <x v="10"/>
  </r>
  <r>
    <x v="4"/>
  </r>
  <r>
    <x v="4"/>
  </r>
  <r>
    <x v="42"/>
  </r>
  <r>
    <x v="77"/>
  </r>
  <r>
    <x v="77"/>
  </r>
  <r>
    <x v="42"/>
  </r>
  <r>
    <x v="48"/>
  </r>
  <r>
    <x v="138"/>
  </r>
  <r>
    <x v="138"/>
  </r>
  <r>
    <x v="48"/>
  </r>
  <r>
    <x v="10"/>
  </r>
  <r>
    <x v="7"/>
  </r>
  <r>
    <x v="7"/>
  </r>
  <r>
    <x v="7"/>
  </r>
  <r>
    <x v="11"/>
  </r>
  <r>
    <x v="76"/>
  </r>
  <r>
    <x v="7"/>
  </r>
  <r>
    <x v="28"/>
  </r>
  <r>
    <x v="28"/>
  </r>
  <r>
    <x v="28"/>
  </r>
  <r>
    <x v="4"/>
  </r>
  <r>
    <x v="10"/>
  </r>
  <r>
    <x v="131"/>
  </r>
  <r>
    <x v="28"/>
  </r>
  <r>
    <x v="10"/>
  </r>
  <r>
    <x v="12"/>
  </r>
  <r>
    <x v="12"/>
  </r>
  <r>
    <x v="12"/>
  </r>
  <r>
    <x v="12"/>
  </r>
  <r>
    <x v="72"/>
  </r>
  <r>
    <x v="12"/>
  </r>
  <r>
    <x v="12"/>
  </r>
  <r>
    <x v="141"/>
  </r>
  <r>
    <x v="12"/>
  </r>
  <r>
    <x v="0"/>
  </r>
  <r>
    <x v="104"/>
  </r>
  <r>
    <x v="71"/>
  </r>
  <r>
    <x v="115"/>
  </r>
  <r>
    <x v="57"/>
  </r>
  <r>
    <x v="9"/>
  </r>
  <r>
    <x v="25"/>
  </r>
  <r>
    <x v="77"/>
  </r>
  <r>
    <x v="24"/>
  </r>
  <r>
    <x v="14"/>
  </r>
  <r>
    <x v="14"/>
  </r>
  <r>
    <x v="14"/>
  </r>
  <r>
    <x v="14"/>
  </r>
  <r>
    <x v="224"/>
  </r>
  <r>
    <x v="1"/>
  </r>
  <r>
    <x v="10"/>
  </r>
  <r>
    <x v="0"/>
  </r>
  <r>
    <x v="0"/>
  </r>
  <r>
    <x v="7"/>
  </r>
  <r>
    <x v="0"/>
  </r>
  <r>
    <x v="57"/>
  </r>
  <r>
    <x v="10"/>
  </r>
  <r>
    <x v="42"/>
  </r>
  <r>
    <x v="12"/>
  </r>
  <r>
    <x v="12"/>
  </r>
  <r>
    <x v="28"/>
  </r>
  <r>
    <x v="57"/>
  </r>
  <r>
    <x v="152"/>
  </r>
  <r>
    <x v="12"/>
  </r>
  <r>
    <x v="55"/>
  </r>
  <r>
    <x v="28"/>
  </r>
  <r>
    <x v="276"/>
  </r>
  <r>
    <x v="37"/>
  </r>
  <r>
    <x v="16"/>
  </r>
  <r>
    <x v="55"/>
  </r>
  <r>
    <x v="11"/>
  </r>
  <r>
    <x v="0"/>
  </r>
  <r>
    <x v="32"/>
  </r>
  <r>
    <x v="1"/>
  </r>
  <r>
    <x v="413"/>
  </r>
  <r>
    <x v="86"/>
  </r>
  <r>
    <x v="4"/>
  </r>
  <r>
    <x v="16"/>
  </r>
  <r>
    <x v="0"/>
  </r>
  <r>
    <x v="16"/>
  </r>
  <r>
    <x v="16"/>
  </r>
  <r>
    <x v="53"/>
  </r>
  <r>
    <x v="12"/>
  </r>
  <r>
    <x v="12"/>
  </r>
  <r>
    <x v="125"/>
  </r>
  <r>
    <x v="7"/>
  </r>
  <r>
    <x v="42"/>
  </r>
  <r>
    <x v="7"/>
  </r>
  <r>
    <x v="12"/>
  </r>
  <r>
    <x v="70"/>
  </r>
  <r>
    <x v="6"/>
  </r>
  <r>
    <x v="7"/>
  </r>
  <r>
    <x v="7"/>
  </r>
  <r>
    <x v="9"/>
  </r>
  <r>
    <x v="12"/>
  </r>
  <r>
    <x v="7"/>
  </r>
  <r>
    <x v="10"/>
  </r>
  <r>
    <x v="10"/>
  </r>
  <r>
    <x v="25"/>
  </r>
  <r>
    <x v="85"/>
  </r>
  <r>
    <x v="152"/>
  </r>
  <r>
    <x v="10"/>
  </r>
  <r>
    <x v="22"/>
  </r>
  <r>
    <x v="4"/>
  </r>
  <r>
    <x v="165"/>
  </r>
  <r>
    <x v="4"/>
  </r>
  <r>
    <x v="152"/>
  </r>
  <r>
    <x v="43"/>
  </r>
  <r>
    <x v="48"/>
  </r>
  <r>
    <x v="10"/>
  </r>
  <r>
    <x v="45"/>
  </r>
  <r>
    <x v="7"/>
  </r>
  <r>
    <x v="87"/>
  </r>
  <r>
    <x v="16"/>
  </r>
  <r>
    <x v="4"/>
  </r>
  <r>
    <x v="45"/>
  </r>
  <r>
    <x v="79"/>
  </r>
  <r>
    <x v="45"/>
  </r>
  <r>
    <x v="11"/>
  </r>
  <r>
    <x v="64"/>
  </r>
  <r>
    <x v="2"/>
  </r>
  <r>
    <x v="64"/>
  </r>
  <r>
    <x v="123"/>
  </r>
  <r>
    <x v="4"/>
  </r>
  <r>
    <x v="108"/>
  </r>
  <r>
    <x v="37"/>
  </r>
  <r>
    <x v="69"/>
  </r>
  <r>
    <x v="7"/>
  </r>
  <r>
    <x v="10"/>
  </r>
  <r>
    <x v="10"/>
  </r>
  <r>
    <x v="1"/>
  </r>
  <r>
    <x v="29"/>
  </r>
  <r>
    <x v="28"/>
  </r>
  <r>
    <x v="51"/>
  </r>
  <r>
    <x v="24"/>
  </r>
  <r>
    <x v="10"/>
  </r>
  <r>
    <x v="71"/>
  </r>
  <r>
    <x v="42"/>
  </r>
  <r>
    <x v="42"/>
  </r>
  <r>
    <x v="141"/>
  </r>
  <r>
    <x v="17"/>
  </r>
  <r>
    <x v="19"/>
  </r>
  <r>
    <x v="152"/>
  </r>
  <r>
    <x v="63"/>
  </r>
  <r>
    <x v="42"/>
  </r>
  <r>
    <x v="123"/>
  </r>
  <r>
    <x v="14"/>
  </r>
  <r>
    <x v="16"/>
  </r>
  <r>
    <x v="4"/>
  </r>
  <r>
    <x v="12"/>
  </r>
  <r>
    <x v="7"/>
  </r>
  <r>
    <x v="0"/>
  </r>
  <r>
    <x v="0"/>
  </r>
  <r>
    <x v="7"/>
  </r>
  <r>
    <x v="7"/>
  </r>
  <r>
    <x v="152"/>
  </r>
  <r>
    <x v="29"/>
  </r>
  <r>
    <x v="29"/>
  </r>
  <r>
    <x v="29"/>
  </r>
  <r>
    <x v="129"/>
  </r>
  <r>
    <x v="129"/>
  </r>
  <r>
    <x v="39"/>
  </r>
  <r>
    <x v="12"/>
  </r>
  <r>
    <x v="123"/>
  </r>
  <r>
    <x v="10"/>
  </r>
  <r>
    <x v="126"/>
  </r>
  <r>
    <x v="10"/>
  </r>
  <r>
    <x v="10"/>
  </r>
  <r>
    <x v="10"/>
  </r>
  <r>
    <x v="10"/>
  </r>
  <r>
    <x v="80"/>
  </r>
  <r>
    <x v="10"/>
  </r>
  <r>
    <x v="10"/>
  </r>
  <r>
    <x v="10"/>
  </r>
  <r>
    <x v="10"/>
  </r>
  <r>
    <x v="10"/>
  </r>
  <r>
    <x v="123"/>
  </r>
  <r>
    <x v="7"/>
  </r>
  <r>
    <x v="10"/>
  </r>
  <r>
    <x v="19"/>
  </r>
  <r>
    <x v="7"/>
  </r>
  <r>
    <x v="7"/>
  </r>
  <r>
    <x v="11"/>
  </r>
  <r>
    <x v="10"/>
  </r>
  <r>
    <x v="4"/>
  </r>
  <r>
    <x v="19"/>
  </r>
  <r>
    <x v="123"/>
  </r>
  <r>
    <x v="123"/>
  </r>
  <r>
    <x v="7"/>
  </r>
  <r>
    <x v="152"/>
  </r>
  <r>
    <x v="7"/>
  </r>
  <r>
    <x v="106"/>
  </r>
  <r>
    <x v="152"/>
  </r>
  <r>
    <x v="136"/>
  </r>
  <r>
    <x v="123"/>
  </r>
  <r>
    <x v="24"/>
  </r>
  <r>
    <x v="123"/>
  </r>
  <r>
    <x v="10"/>
  </r>
  <r>
    <x v="51"/>
  </r>
  <r>
    <x v="123"/>
  </r>
  <r>
    <x v="4"/>
  </r>
  <r>
    <x v="56"/>
  </r>
  <r>
    <x v="56"/>
  </r>
  <r>
    <x v="14"/>
  </r>
  <r>
    <x v="4"/>
  </r>
  <r>
    <x v="51"/>
  </r>
  <r>
    <x v="162"/>
  </r>
  <r>
    <x v="1"/>
  </r>
  <r>
    <x v="0"/>
  </r>
  <r>
    <x v="0"/>
  </r>
  <r>
    <x v="7"/>
  </r>
  <r>
    <x v="28"/>
  </r>
  <r>
    <x v="57"/>
  </r>
  <r>
    <x v="7"/>
  </r>
  <r>
    <x v="9"/>
  </r>
  <r>
    <x v="9"/>
  </r>
  <r>
    <x v="1"/>
  </r>
  <r>
    <x v="12"/>
  </r>
  <r>
    <x v="1"/>
  </r>
  <r>
    <x v="12"/>
  </r>
  <r>
    <x v="4"/>
  </r>
  <r>
    <x v="51"/>
  </r>
  <r>
    <x v="51"/>
  </r>
  <r>
    <x v="51"/>
  </r>
  <r>
    <x v="51"/>
  </r>
  <r>
    <x v="51"/>
  </r>
  <r>
    <x v="0"/>
  </r>
  <r>
    <x v="51"/>
  </r>
  <r>
    <x v="51"/>
  </r>
  <r>
    <x v="12"/>
  </r>
  <r>
    <x v="87"/>
  </r>
  <r>
    <x v="10"/>
  </r>
  <r>
    <x v="10"/>
  </r>
  <r>
    <x v="10"/>
  </r>
  <r>
    <x v="14"/>
  </r>
  <r>
    <x v="12"/>
  </r>
  <r>
    <x v="63"/>
  </r>
  <r>
    <x v="63"/>
  </r>
  <r>
    <x v="144"/>
  </r>
  <r>
    <x v="12"/>
  </r>
  <r>
    <x v="63"/>
  </r>
  <r>
    <x v="12"/>
  </r>
  <r>
    <x v="12"/>
  </r>
  <r>
    <x v="12"/>
  </r>
  <r>
    <x v="12"/>
  </r>
  <r>
    <x v="144"/>
  </r>
  <r>
    <x v="15"/>
  </r>
  <r>
    <x v="28"/>
  </r>
  <r>
    <x v="12"/>
  </r>
  <r>
    <x v="45"/>
  </r>
  <r>
    <x v="45"/>
  </r>
  <r>
    <x v="1"/>
  </r>
  <r>
    <x v="51"/>
  </r>
  <r>
    <x v="7"/>
  </r>
  <r>
    <x v="71"/>
  </r>
  <r>
    <x v="71"/>
  </r>
  <r>
    <x v="144"/>
  </r>
  <r>
    <x v="7"/>
  </r>
  <r>
    <x v="7"/>
  </r>
  <r>
    <x v="7"/>
  </r>
  <r>
    <x v="12"/>
  </r>
  <r>
    <x v="42"/>
  </r>
  <r>
    <x v="141"/>
  </r>
  <r>
    <x v="7"/>
  </r>
  <r>
    <x v="141"/>
  </r>
  <r>
    <x v="141"/>
  </r>
  <r>
    <x v="141"/>
  </r>
  <r>
    <x v="141"/>
  </r>
  <r>
    <x v="12"/>
  </r>
  <r>
    <x v="63"/>
  </r>
  <r>
    <x v="1"/>
  </r>
  <r>
    <x v="1"/>
  </r>
  <r>
    <x v="1"/>
  </r>
  <r>
    <x v="141"/>
  </r>
  <r>
    <x v="45"/>
  </r>
  <r>
    <x v="45"/>
  </r>
  <r>
    <x v="15"/>
  </r>
  <r>
    <x v="7"/>
  </r>
  <r>
    <x v="7"/>
  </r>
  <r>
    <x v="15"/>
  </r>
  <r>
    <x v="1"/>
  </r>
  <r>
    <x v="7"/>
  </r>
  <r>
    <x v="12"/>
  </r>
  <r>
    <x v="7"/>
  </r>
  <r>
    <x v="7"/>
  </r>
  <r>
    <x v="12"/>
  </r>
  <r>
    <x v="7"/>
  </r>
  <r>
    <x v="12"/>
  </r>
  <r>
    <x v="12"/>
  </r>
  <r>
    <x v="12"/>
  </r>
  <r>
    <x v="15"/>
  </r>
  <r>
    <x v="12"/>
  </r>
  <r>
    <x v="12"/>
  </r>
  <r>
    <x v="162"/>
  </r>
  <r>
    <x v="42"/>
  </r>
  <r>
    <x v="42"/>
  </r>
  <r>
    <x v="71"/>
  </r>
  <r>
    <x v="15"/>
  </r>
  <r>
    <x v="45"/>
  </r>
  <r>
    <x v="162"/>
  </r>
  <r>
    <x v="1"/>
  </r>
  <r>
    <x v="12"/>
  </r>
  <r>
    <x v="12"/>
  </r>
  <r>
    <x v="1"/>
  </r>
  <r>
    <x v="1"/>
  </r>
  <r>
    <x v="12"/>
  </r>
  <r>
    <x v="12"/>
  </r>
  <r>
    <x v="12"/>
  </r>
  <r>
    <x v="12"/>
  </r>
  <r>
    <x v="4"/>
  </r>
  <r>
    <x v="12"/>
  </r>
  <r>
    <x v="4"/>
  </r>
  <r>
    <x v="12"/>
  </r>
  <r>
    <x v="12"/>
  </r>
  <r>
    <x v="0"/>
  </r>
  <r>
    <x v="0"/>
  </r>
  <r>
    <x v="0"/>
  </r>
  <r>
    <x v="0"/>
  </r>
  <r>
    <x v="0"/>
  </r>
  <r>
    <x v="71"/>
  </r>
  <r>
    <x v="1"/>
  </r>
  <r>
    <x v="1"/>
  </r>
  <r>
    <x v="56"/>
  </r>
  <r>
    <x v="29"/>
  </r>
  <r>
    <x v="51"/>
  </r>
  <r>
    <x v="42"/>
  </r>
  <r>
    <x v="51"/>
  </r>
  <r>
    <x v="51"/>
  </r>
  <r>
    <x v="51"/>
  </r>
  <r>
    <x v="51"/>
  </r>
  <r>
    <x v="51"/>
  </r>
  <r>
    <x v="28"/>
  </r>
  <r>
    <x v="71"/>
  </r>
  <r>
    <x v="75"/>
  </r>
  <r>
    <x v="16"/>
  </r>
  <r>
    <x v="16"/>
  </r>
  <r>
    <x v="28"/>
  </r>
  <r>
    <x v="28"/>
  </r>
  <r>
    <x v="28"/>
  </r>
  <r>
    <x v="28"/>
  </r>
  <r>
    <x v="71"/>
  </r>
  <r>
    <x v="71"/>
  </r>
  <r>
    <x v="71"/>
  </r>
  <r>
    <x v="12"/>
  </r>
  <r>
    <x v="16"/>
  </r>
  <r>
    <x v="16"/>
  </r>
  <r>
    <x v="16"/>
  </r>
  <r>
    <x v="28"/>
  </r>
  <r>
    <x v="42"/>
  </r>
  <r>
    <x v="42"/>
  </r>
  <r>
    <x v="1"/>
  </r>
  <r>
    <x v="1"/>
  </r>
  <r>
    <x v="12"/>
  </r>
  <r>
    <x v="7"/>
  </r>
  <r>
    <x v="0"/>
  </r>
  <r>
    <x v="12"/>
  </r>
  <r>
    <x v="63"/>
  </r>
  <r>
    <x v="12"/>
  </r>
  <r>
    <x v="42"/>
  </r>
  <r>
    <x v="71"/>
  </r>
  <r>
    <x v="42"/>
  </r>
  <r>
    <x v="42"/>
  </r>
  <r>
    <x v="0"/>
  </r>
  <r>
    <x v="0"/>
  </r>
  <r>
    <x v="28"/>
  </r>
  <r>
    <x v="42"/>
  </r>
  <r>
    <x v="71"/>
  </r>
  <r>
    <x v="42"/>
  </r>
  <r>
    <x v="0"/>
  </r>
  <r>
    <x v="28"/>
  </r>
  <r>
    <x v="71"/>
  </r>
  <r>
    <x v="45"/>
  </r>
  <r>
    <x v="12"/>
  </r>
  <r>
    <x v="12"/>
  </r>
  <r>
    <x v="12"/>
  </r>
  <r>
    <x v="63"/>
  </r>
  <r>
    <x v="15"/>
  </r>
  <r>
    <x v="15"/>
  </r>
  <r>
    <x v="84"/>
  </r>
  <r>
    <x v="63"/>
  </r>
  <r>
    <x v="0"/>
  </r>
  <r>
    <x v="0"/>
  </r>
  <r>
    <x v="0"/>
  </r>
  <r>
    <x v="0"/>
  </r>
  <r>
    <x v="0"/>
  </r>
  <r>
    <x v="0"/>
  </r>
  <r>
    <x v="28"/>
  </r>
  <r>
    <x v="28"/>
  </r>
  <r>
    <x v="28"/>
  </r>
  <r>
    <x v="28"/>
  </r>
  <r>
    <x v="16"/>
  </r>
  <r>
    <x v="16"/>
  </r>
  <r>
    <x v="71"/>
  </r>
  <r>
    <x v="71"/>
  </r>
  <r>
    <x v="71"/>
  </r>
  <r>
    <x v="45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0"/>
  </r>
  <r>
    <x v="63"/>
  </r>
  <r>
    <x v="57"/>
  </r>
  <r>
    <x v="7"/>
  </r>
  <r>
    <x v="63"/>
  </r>
  <r>
    <x v="63"/>
  </r>
  <r>
    <x v="57"/>
  </r>
  <r>
    <x v="47"/>
  </r>
  <r>
    <x v="42"/>
  </r>
  <r>
    <x v="0"/>
  </r>
  <r>
    <x v="12"/>
  </r>
  <r>
    <x v="4"/>
  </r>
  <r>
    <x v="4"/>
  </r>
  <r>
    <x v="63"/>
  </r>
  <r>
    <x v="0"/>
  </r>
  <r>
    <x v="28"/>
  </r>
  <r>
    <x v="12"/>
  </r>
  <r>
    <x v="42"/>
  </r>
  <r>
    <x v="28"/>
  </r>
  <r>
    <x v="0"/>
  </r>
  <r>
    <x v="12"/>
  </r>
  <r>
    <x v="12"/>
  </r>
  <r>
    <x v="12"/>
  </r>
  <r>
    <x v="12"/>
  </r>
  <r>
    <x v="28"/>
  </r>
  <r>
    <x v="0"/>
  </r>
  <r>
    <x v="28"/>
  </r>
  <r>
    <x v="28"/>
  </r>
  <r>
    <x v="28"/>
  </r>
  <r>
    <x v="12"/>
  </r>
  <r>
    <x v="12"/>
  </r>
  <r>
    <x v="12"/>
  </r>
  <r>
    <x v="12"/>
  </r>
  <r>
    <x v="63"/>
  </r>
  <r>
    <x v="152"/>
  </r>
  <r>
    <x v="10"/>
  </r>
  <r>
    <x v="37"/>
  </r>
  <r>
    <x v="7"/>
  </r>
  <r>
    <x v="57"/>
  </r>
  <r>
    <x v="48"/>
  </r>
  <r>
    <x v="4"/>
  </r>
  <r>
    <x v="128"/>
  </r>
  <r>
    <x v="10"/>
  </r>
  <r>
    <x v="10"/>
  </r>
  <r>
    <x v="10"/>
  </r>
  <r>
    <x v="0"/>
  </r>
  <r>
    <x v="56"/>
  </r>
  <r>
    <x v="57"/>
  </r>
  <r>
    <x v="42"/>
  </r>
  <r>
    <x v="7"/>
  </r>
  <r>
    <x v="7"/>
  </r>
  <r>
    <x v="42"/>
  </r>
  <r>
    <x v="71"/>
  </r>
  <r>
    <x v="28"/>
  </r>
  <r>
    <x v="28"/>
  </r>
  <r>
    <x v="4"/>
  </r>
  <r>
    <x v="28"/>
  </r>
  <r>
    <x v="28"/>
  </r>
  <r>
    <x v="12"/>
  </r>
  <r>
    <x v="71"/>
  </r>
  <r>
    <x v="71"/>
  </r>
  <r>
    <x v="71"/>
  </r>
  <r>
    <x v="12"/>
  </r>
  <r>
    <x v="71"/>
  </r>
  <r>
    <x v="12"/>
  </r>
  <r>
    <x v="71"/>
  </r>
  <r>
    <x v="12"/>
  </r>
  <r>
    <x v="4"/>
  </r>
  <r>
    <x v="12"/>
  </r>
  <r>
    <x v="0"/>
  </r>
  <r>
    <x v="0"/>
  </r>
  <r>
    <x v="71"/>
  </r>
  <r>
    <x v="71"/>
  </r>
  <r>
    <x v="45"/>
  </r>
  <r>
    <x v="42"/>
  </r>
  <r>
    <x v="42"/>
  </r>
  <r>
    <x v="123"/>
  </r>
  <r>
    <x v="12"/>
  </r>
  <r>
    <x v="71"/>
  </r>
  <r>
    <x v="12"/>
  </r>
  <r>
    <x v="14"/>
  </r>
  <r>
    <x v="10"/>
  </r>
  <r>
    <x v="10"/>
  </r>
  <r>
    <x v="7"/>
  </r>
  <r>
    <x v="7"/>
  </r>
  <r>
    <x v="1"/>
  </r>
  <r>
    <x v="7"/>
  </r>
  <r>
    <x v="4"/>
  </r>
  <r>
    <x v="4"/>
  </r>
  <r>
    <x v="7"/>
  </r>
  <r>
    <x v="175"/>
  </r>
  <r>
    <x v="1"/>
  </r>
  <r>
    <x v="63"/>
  </r>
  <r>
    <x v="4"/>
  </r>
  <r>
    <x v="4"/>
  </r>
  <r>
    <x v="7"/>
  </r>
  <r>
    <x v="7"/>
  </r>
  <r>
    <x v="4"/>
  </r>
  <r>
    <x v="1"/>
  </r>
  <r>
    <x v="1"/>
  </r>
  <r>
    <x v="19"/>
  </r>
  <r>
    <x v="19"/>
  </r>
  <r>
    <x v="12"/>
  </r>
  <r>
    <x v="12"/>
  </r>
  <r>
    <x v="56"/>
  </r>
  <r>
    <x v="162"/>
  </r>
  <r>
    <x v="57"/>
  </r>
  <r>
    <x v="0"/>
  </r>
  <r>
    <x v="0"/>
  </r>
  <r>
    <x v="63"/>
  </r>
  <r>
    <x v="4"/>
  </r>
  <r>
    <x v="12"/>
  </r>
  <r>
    <x v="9"/>
  </r>
  <r>
    <x v="45"/>
  </r>
  <r>
    <x v="45"/>
  </r>
  <r>
    <x v="9"/>
  </r>
  <r>
    <x v="141"/>
  </r>
  <r>
    <x v="63"/>
  </r>
  <r>
    <x v="4"/>
  </r>
  <r>
    <x v="48"/>
  </r>
  <r>
    <x v="16"/>
  </r>
  <r>
    <x v="16"/>
  </r>
  <r>
    <x v="16"/>
  </r>
  <r>
    <x v="1"/>
  </r>
  <r>
    <x v="1"/>
  </r>
  <r>
    <x v="141"/>
  </r>
  <r>
    <x v="1"/>
  </r>
  <r>
    <x v="1"/>
  </r>
  <r>
    <x v="1"/>
  </r>
  <r>
    <x v="63"/>
  </r>
  <r>
    <x v="63"/>
  </r>
  <r>
    <x v="63"/>
  </r>
  <r>
    <x v="9"/>
  </r>
  <r>
    <x v="141"/>
  </r>
  <r>
    <x v="1"/>
  </r>
  <r>
    <x v="1"/>
  </r>
  <r>
    <x v="7"/>
  </r>
  <r>
    <x v="1"/>
  </r>
  <r>
    <x v="7"/>
  </r>
  <r>
    <x v="7"/>
  </r>
  <r>
    <x v="1"/>
  </r>
  <r>
    <x v="1"/>
  </r>
  <r>
    <x v="1"/>
  </r>
  <r>
    <x v="1"/>
  </r>
  <r>
    <x v="48"/>
  </r>
  <r>
    <x v="8"/>
  </r>
  <r>
    <x v="68"/>
  </r>
  <r>
    <x v="100"/>
  </r>
  <r>
    <x v="12"/>
  </r>
  <r>
    <x v="123"/>
  </r>
  <r>
    <x v="4"/>
  </r>
  <r>
    <x v="57"/>
  </r>
  <r>
    <x v="152"/>
  </r>
  <r>
    <x v="152"/>
  </r>
  <r>
    <x v="0"/>
  </r>
  <r>
    <x v="19"/>
  </r>
  <r>
    <x v="79"/>
  </r>
  <r>
    <x v="28"/>
  </r>
  <r>
    <x v="12"/>
  </r>
  <r>
    <x v="50"/>
  </r>
  <r>
    <x v="10"/>
  </r>
  <r>
    <x v="10"/>
  </r>
  <r>
    <x v="123"/>
  </r>
  <r>
    <x v="63"/>
  </r>
  <r>
    <x v="12"/>
  </r>
  <r>
    <x v="24"/>
  </r>
  <r>
    <x v="10"/>
  </r>
  <r>
    <x v="21"/>
  </r>
  <r>
    <x v="51"/>
  </r>
  <r>
    <x v="4"/>
  </r>
  <r>
    <x v="12"/>
  </r>
  <r>
    <x v="4"/>
  </r>
  <r>
    <x v="16"/>
  </r>
  <r>
    <x v="16"/>
  </r>
  <r>
    <x v="16"/>
  </r>
  <r>
    <x v="16"/>
  </r>
  <r>
    <x v="16"/>
  </r>
  <r>
    <x v="12"/>
  </r>
  <r>
    <x v="12"/>
  </r>
  <r>
    <x v="12"/>
  </r>
  <r>
    <x v="1"/>
  </r>
  <r>
    <x v="1"/>
  </r>
  <r>
    <x v="1"/>
  </r>
  <r>
    <x v="63"/>
  </r>
  <r>
    <x v="63"/>
  </r>
  <r>
    <x v="12"/>
  </r>
  <r>
    <x v="1"/>
  </r>
  <r>
    <x v="1"/>
  </r>
  <r>
    <x v="1"/>
  </r>
  <r>
    <x v="1"/>
  </r>
  <r>
    <x v="12"/>
  </r>
  <r>
    <x v="12"/>
  </r>
  <r>
    <x v="1"/>
  </r>
  <r>
    <x v="1"/>
  </r>
  <r>
    <x v="51"/>
  </r>
  <r>
    <x v="42"/>
  </r>
  <r>
    <x v="42"/>
  </r>
  <r>
    <x v="1"/>
  </r>
  <r>
    <x v="4"/>
  </r>
  <r>
    <x v="1"/>
  </r>
  <r>
    <x v="1"/>
  </r>
  <r>
    <x v="51"/>
  </r>
  <r>
    <x v="7"/>
  </r>
  <r>
    <x v="1"/>
  </r>
  <r>
    <x v="12"/>
  </r>
  <r>
    <x v="12"/>
  </r>
  <r>
    <x v="12"/>
  </r>
  <r>
    <x v="12"/>
  </r>
  <r>
    <x v="51"/>
  </r>
  <r>
    <x v="4"/>
  </r>
  <r>
    <x v="4"/>
  </r>
  <r>
    <x v="4"/>
  </r>
  <r>
    <x v="51"/>
  </r>
  <r>
    <x v="51"/>
  </r>
  <r>
    <x v="51"/>
  </r>
  <r>
    <x v="12"/>
  </r>
  <r>
    <x v="12"/>
  </r>
  <r>
    <x v="12"/>
  </r>
  <r>
    <x v="51"/>
  </r>
  <r>
    <x v="51"/>
  </r>
  <r>
    <x v="51"/>
  </r>
  <r>
    <x v="130"/>
  </r>
  <r>
    <x v="130"/>
  </r>
  <r>
    <x v="51"/>
  </r>
  <r>
    <x v="51"/>
  </r>
  <r>
    <x v="144"/>
  </r>
  <r>
    <x v="51"/>
  </r>
  <r>
    <x v="28"/>
  </r>
  <r>
    <x v="63"/>
  </r>
  <r>
    <x v="63"/>
  </r>
  <r>
    <x v="12"/>
  </r>
  <r>
    <x v="33"/>
  </r>
  <r>
    <x v="12"/>
  </r>
  <r>
    <x v="33"/>
  </r>
  <r>
    <x v="12"/>
  </r>
  <r>
    <x v="12"/>
  </r>
  <r>
    <x v="33"/>
  </r>
  <r>
    <x v="33"/>
  </r>
  <r>
    <x v="12"/>
  </r>
  <r>
    <x v="51"/>
  </r>
  <r>
    <x v="51"/>
  </r>
  <r>
    <x v="51"/>
  </r>
  <r>
    <x v="4"/>
  </r>
  <r>
    <x v="51"/>
  </r>
  <r>
    <x v="51"/>
  </r>
  <r>
    <x v="12"/>
  </r>
  <r>
    <x v="51"/>
  </r>
  <r>
    <x v="45"/>
  </r>
  <r>
    <x v="45"/>
  </r>
  <r>
    <x v="63"/>
  </r>
  <r>
    <x v="10"/>
  </r>
  <r>
    <x v="63"/>
  </r>
  <r>
    <x v="28"/>
  </r>
  <r>
    <x v="63"/>
  </r>
  <r>
    <x v="7"/>
  </r>
  <r>
    <x v="79"/>
  </r>
  <r>
    <x v="45"/>
  </r>
  <r>
    <x v="7"/>
  </r>
  <r>
    <x v="7"/>
  </r>
  <r>
    <x v="45"/>
  </r>
  <r>
    <x v="7"/>
  </r>
  <r>
    <x v="45"/>
  </r>
  <r>
    <x v="7"/>
  </r>
  <r>
    <x v="144"/>
  </r>
  <r>
    <x v="144"/>
  </r>
  <r>
    <x v="33"/>
  </r>
  <r>
    <x v="144"/>
  </r>
  <r>
    <x v="63"/>
  </r>
  <r>
    <x v="28"/>
  </r>
  <r>
    <x v="63"/>
  </r>
  <r>
    <x v="63"/>
  </r>
  <r>
    <x v="33"/>
  </r>
  <r>
    <x v="33"/>
  </r>
  <r>
    <x v="33"/>
  </r>
  <r>
    <x v="33"/>
  </r>
  <r>
    <x v="33"/>
  </r>
  <r>
    <x v="33"/>
  </r>
  <r>
    <x v="48"/>
  </r>
  <r>
    <x v="57"/>
  </r>
  <r>
    <x v="57"/>
  </r>
  <r>
    <x v="57"/>
  </r>
  <r>
    <x v="87"/>
  </r>
  <r>
    <x v="45"/>
  </r>
  <r>
    <x v="45"/>
  </r>
  <r>
    <x v="45"/>
  </r>
  <r>
    <x v="45"/>
  </r>
  <r>
    <x v="28"/>
  </r>
  <r>
    <x v="81"/>
  </r>
  <r>
    <x v="19"/>
  </r>
  <r>
    <x v="19"/>
  </r>
  <r>
    <x v="19"/>
  </r>
  <r>
    <x v="71"/>
  </r>
  <r>
    <x v="12"/>
  </r>
  <r>
    <x v="9"/>
  </r>
  <r>
    <x v="57"/>
  </r>
  <r>
    <x v="1"/>
  </r>
  <r>
    <x v="1"/>
  </r>
  <r>
    <x v="4"/>
  </r>
  <r>
    <x v="1"/>
  </r>
  <r>
    <x v="57"/>
  </r>
  <r>
    <x v="57"/>
  </r>
  <r>
    <x v="12"/>
  </r>
  <r>
    <x v="12"/>
  </r>
  <r>
    <x v="12"/>
  </r>
  <r>
    <x v="4"/>
  </r>
  <r>
    <x v="4"/>
  </r>
  <r>
    <x v="16"/>
  </r>
  <r>
    <x v="141"/>
  </r>
  <r>
    <x v="16"/>
  </r>
  <r>
    <x v="12"/>
  </r>
  <r>
    <x v="4"/>
  </r>
  <r>
    <x v="28"/>
  </r>
  <r>
    <x v="28"/>
  </r>
  <r>
    <x v="29"/>
  </r>
  <r>
    <x v="45"/>
  </r>
  <r>
    <x v="4"/>
  </r>
  <r>
    <x v="57"/>
  </r>
  <r>
    <x v="4"/>
  </r>
  <r>
    <x v="12"/>
  </r>
  <r>
    <x v="45"/>
  </r>
  <r>
    <x v="7"/>
  </r>
  <r>
    <x v="84"/>
  </r>
  <r>
    <x v="84"/>
  </r>
  <r>
    <x v="53"/>
  </r>
  <r>
    <x v="10"/>
  </r>
  <r>
    <x v="4"/>
  </r>
  <r>
    <x v="25"/>
  </r>
  <r>
    <x v="48"/>
  </r>
  <r>
    <x v="48"/>
  </r>
  <r>
    <x v="1"/>
  </r>
  <r>
    <x v="1"/>
  </r>
  <r>
    <x v="162"/>
  </r>
  <r>
    <x v="162"/>
  </r>
  <r>
    <x v="51"/>
  </r>
  <r>
    <x v="51"/>
  </r>
  <r>
    <x v="7"/>
  </r>
  <r>
    <x v="7"/>
  </r>
  <r>
    <x v="17"/>
  </r>
  <r>
    <x v="7"/>
  </r>
  <r>
    <x v="7"/>
  </r>
  <r>
    <x v="51"/>
  </r>
  <r>
    <x v="87"/>
  </r>
  <r>
    <x v="57"/>
  </r>
  <r>
    <x v="141"/>
  </r>
  <r>
    <x v="1"/>
  </r>
  <r>
    <x v="7"/>
  </r>
  <r>
    <x v="12"/>
  </r>
  <r>
    <x v="12"/>
  </r>
  <r>
    <x v="34"/>
  </r>
  <r>
    <x v="12"/>
  </r>
  <r>
    <x v="16"/>
  </r>
  <r>
    <x v="16"/>
  </r>
  <r>
    <x v="57"/>
  </r>
  <r>
    <x v="16"/>
  </r>
  <r>
    <x v="12"/>
  </r>
  <r>
    <x v="4"/>
  </r>
  <r>
    <x v="16"/>
  </r>
  <r>
    <x v="16"/>
  </r>
  <r>
    <x v="45"/>
  </r>
  <r>
    <x v="1"/>
  </r>
  <r>
    <x v="2"/>
  </r>
  <r>
    <x v="2"/>
  </r>
  <r>
    <x v="2"/>
  </r>
  <r>
    <x v="2"/>
  </r>
  <r>
    <x v="51"/>
  </r>
  <r>
    <x v="42"/>
  </r>
  <r>
    <x v="42"/>
  </r>
  <r>
    <x v="42"/>
  </r>
  <r>
    <x v="42"/>
  </r>
  <r>
    <x v="42"/>
  </r>
  <r>
    <x v="42"/>
  </r>
  <r>
    <x v="42"/>
  </r>
  <r>
    <x v="141"/>
  </r>
  <r>
    <x v="71"/>
  </r>
  <r>
    <x v="71"/>
  </r>
  <r>
    <x v="45"/>
  </r>
  <r>
    <x v="141"/>
  </r>
  <r>
    <x v="141"/>
  </r>
  <r>
    <x v="42"/>
  </r>
  <r>
    <x v="42"/>
  </r>
  <r>
    <x v="7"/>
  </r>
  <r>
    <x v="7"/>
  </r>
  <r>
    <x v="7"/>
  </r>
  <r>
    <x v="7"/>
  </r>
  <r>
    <x v="7"/>
  </r>
  <r>
    <x v="71"/>
  </r>
  <r>
    <x v="71"/>
  </r>
  <r>
    <x v="14"/>
  </r>
  <r>
    <x v="10"/>
  </r>
  <r>
    <x v="4"/>
  </r>
  <r>
    <x v="141"/>
  </r>
  <r>
    <x v="45"/>
  </r>
  <r>
    <x v="45"/>
  </r>
  <r>
    <x v="141"/>
  </r>
  <r>
    <x v="51"/>
  </r>
  <r>
    <x v="51"/>
  </r>
  <r>
    <x v="76"/>
  </r>
  <r>
    <x v="16"/>
  </r>
  <r>
    <x v="16"/>
  </r>
  <r>
    <x v="86"/>
  </r>
  <r>
    <x v="68"/>
  </r>
  <r>
    <x v="16"/>
  </r>
  <r>
    <x v="16"/>
  </r>
  <r>
    <x v="12"/>
  </r>
  <r>
    <x v="7"/>
  </r>
  <r>
    <x v="4"/>
  </r>
  <r>
    <x v="24"/>
  </r>
  <r>
    <x v="28"/>
  </r>
  <r>
    <x v="28"/>
  </r>
  <r>
    <x v="138"/>
  </r>
  <r>
    <x v="45"/>
  </r>
  <r>
    <x v="16"/>
  </r>
  <r>
    <x v="14"/>
  </r>
  <r>
    <x v="0"/>
  </r>
  <r>
    <x v="10"/>
  </r>
  <r>
    <x v="71"/>
  </r>
  <r>
    <x v="17"/>
  </r>
  <r>
    <x v="42"/>
  </r>
  <r>
    <x v="16"/>
  </r>
  <r>
    <x v="16"/>
  </r>
  <r>
    <x v="9"/>
  </r>
  <r>
    <x v="9"/>
  </r>
  <r>
    <x v="12"/>
  </r>
  <r>
    <x v="28"/>
  </r>
  <r>
    <x v="12"/>
  </r>
  <r>
    <x v="45"/>
  </r>
  <r>
    <x v="0"/>
  </r>
  <r>
    <x v="12"/>
  </r>
  <r>
    <x v="10"/>
  </r>
  <r>
    <x v="10"/>
  </r>
  <r>
    <x v="15"/>
  </r>
  <r>
    <x v="15"/>
  </r>
  <r>
    <x v="15"/>
  </r>
  <r>
    <x v="0"/>
  </r>
  <r>
    <x v="45"/>
  </r>
  <r>
    <x v="0"/>
  </r>
  <r>
    <x v="71"/>
  </r>
  <r>
    <x v="45"/>
  </r>
  <r>
    <x v="57"/>
  </r>
  <r>
    <x v="57"/>
  </r>
  <r>
    <x v="12"/>
  </r>
  <r>
    <x v="15"/>
  </r>
  <r>
    <x v="16"/>
  </r>
  <r>
    <x v="19"/>
  </r>
  <r>
    <x v="0"/>
  </r>
  <r>
    <x v="39"/>
  </r>
  <r>
    <x v="28"/>
  </r>
  <r>
    <x v="114"/>
  </r>
  <r>
    <x v="31"/>
  </r>
  <r>
    <x v="24"/>
  </r>
  <r>
    <x v="28"/>
  </r>
  <r>
    <x v="28"/>
  </r>
  <r>
    <x v="42"/>
  </r>
  <r>
    <x v="76"/>
  </r>
  <r>
    <x v="45"/>
  </r>
  <r>
    <x v="68"/>
  </r>
  <r>
    <x v="0"/>
  </r>
  <r>
    <x v="0"/>
  </r>
  <r>
    <x v="0"/>
  </r>
  <r>
    <x v="56"/>
  </r>
  <r>
    <x v="28"/>
  </r>
  <r>
    <x v="28"/>
  </r>
  <r>
    <x v="28"/>
  </r>
  <r>
    <x v="28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28"/>
  </r>
  <r>
    <x v="28"/>
  </r>
  <r>
    <x v="28"/>
  </r>
  <r>
    <x v="115"/>
  </r>
  <r>
    <x v="63"/>
  </r>
  <r>
    <x v="63"/>
  </r>
  <r>
    <x v="63"/>
  </r>
  <r>
    <x v="63"/>
  </r>
  <r>
    <x v="0"/>
  </r>
  <r>
    <x v="152"/>
  </r>
  <r>
    <x v="2"/>
  </r>
  <r>
    <x v="9"/>
  </r>
  <r>
    <x v="9"/>
  </r>
  <r>
    <x v="51"/>
  </r>
  <r>
    <x v="63"/>
  </r>
  <r>
    <x v="59"/>
  </r>
  <r>
    <x v="53"/>
  </r>
  <r>
    <x v="4"/>
  </r>
  <r>
    <x v="71"/>
  </r>
  <r>
    <x v="71"/>
  </r>
  <r>
    <x v="71"/>
  </r>
  <r>
    <x v="71"/>
  </r>
  <r>
    <x v="112"/>
  </r>
  <r>
    <x v="30"/>
  </r>
  <r>
    <x v="4"/>
  </r>
  <r>
    <x v="4"/>
  </r>
  <r>
    <x v="4"/>
  </r>
  <r>
    <x v="21"/>
  </r>
  <r>
    <x v="0"/>
  </r>
  <r>
    <x v="26"/>
  </r>
  <r>
    <x v="10"/>
  </r>
  <r>
    <x v="46"/>
  </r>
  <r>
    <x v="10"/>
  </r>
  <r>
    <x v="106"/>
  </r>
  <r>
    <x v="10"/>
  </r>
  <r>
    <x v="81"/>
  </r>
  <r>
    <x v="134"/>
  </r>
  <r>
    <x v="15"/>
  </r>
  <r>
    <x v="122"/>
  </r>
  <r>
    <x v="81"/>
  </r>
  <r>
    <x v="165"/>
  </r>
  <r>
    <x v="10"/>
  </r>
  <r>
    <x v="53"/>
  </r>
  <r>
    <x v="15"/>
  </r>
  <r>
    <x v="53"/>
  </r>
  <r>
    <x v="53"/>
  </r>
  <r>
    <x v="15"/>
  </r>
  <r>
    <x v="14"/>
  </r>
  <r>
    <x v="14"/>
  </r>
  <r>
    <x v="86"/>
  </r>
  <r>
    <x v="0"/>
  </r>
  <r>
    <x v="69"/>
  </r>
  <r>
    <x v="199"/>
  </r>
  <r>
    <x v="56"/>
  </r>
  <r>
    <x v="10"/>
  </r>
  <r>
    <x v="0"/>
  </r>
  <r>
    <x v="26"/>
  </r>
  <r>
    <x v="34"/>
  </r>
  <r>
    <x v="10"/>
  </r>
  <r>
    <x v="17"/>
  </r>
  <r>
    <x v="0"/>
  </r>
  <r>
    <x v="40"/>
  </r>
  <r>
    <x v="34"/>
  </r>
  <r>
    <x v="123"/>
  </r>
  <r>
    <x v="152"/>
  </r>
  <r>
    <x v="10"/>
  </r>
  <r>
    <x v="7"/>
  </r>
  <r>
    <x v="0"/>
  </r>
  <r>
    <x v="77"/>
  </r>
  <r>
    <x v="17"/>
  </r>
  <r>
    <x v="10"/>
  </r>
  <r>
    <x v="17"/>
  </r>
  <r>
    <x v="79"/>
  </r>
  <r>
    <x v="17"/>
  </r>
  <r>
    <x v="11"/>
  </r>
  <r>
    <x v="10"/>
  </r>
  <r>
    <x v="10"/>
  </r>
  <r>
    <x v="12"/>
  </r>
  <r>
    <x v="71"/>
  </r>
  <r>
    <x v="34"/>
  </r>
  <r>
    <x v="45"/>
  </r>
  <r>
    <x v="45"/>
  </r>
  <r>
    <x v="45"/>
  </r>
  <r>
    <x v="0"/>
  </r>
  <r>
    <x v="174"/>
  </r>
  <r>
    <x v="14"/>
  </r>
  <r>
    <x v="12"/>
  </r>
  <r>
    <x v="24"/>
  </r>
  <r>
    <x v="24"/>
  </r>
  <r>
    <x v="4"/>
  </r>
  <r>
    <x v="48"/>
  </r>
  <r>
    <x v="4"/>
  </r>
  <r>
    <x v="4"/>
  </r>
  <r>
    <x v="17"/>
  </r>
  <r>
    <x v="16"/>
  </r>
  <r>
    <x v="16"/>
  </r>
  <r>
    <x v="0"/>
  </r>
  <r>
    <x v="71"/>
  </r>
  <r>
    <x v="16"/>
  </r>
  <r>
    <x v="22"/>
  </r>
  <r>
    <x v="12"/>
  </r>
  <r>
    <x v="1"/>
  </r>
  <r>
    <x v="21"/>
  </r>
  <r>
    <x v="71"/>
  </r>
  <r>
    <x v="0"/>
  </r>
  <r>
    <x v="22"/>
  </r>
  <r>
    <x v="22"/>
  </r>
  <r>
    <x v="6"/>
  </r>
  <r>
    <x v="154"/>
  </r>
  <r>
    <x v="1"/>
  </r>
  <r>
    <x v="24"/>
  </r>
  <r>
    <x v="7"/>
  </r>
  <r>
    <x v="28"/>
  </r>
  <r>
    <x v="10"/>
  </r>
  <r>
    <x v="6"/>
  </r>
  <r>
    <x v="6"/>
  </r>
  <r>
    <x v="6"/>
  </r>
  <r>
    <x v="6"/>
  </r>
  <r>
    <x v="6"/>
  </r>
  <r>
    <x v="130"/>
  </r>
  <r>
    <x v="16"/>
  </r>
  <r>
    <x v="28"/>
  </r>
  <r>
    <x v="16"/>
  </r>
  <r>
    <x v="24"/>
  </r>
  <r>
    <x v="1"/>
  </r>
  <r>
    <x v="21"/>
  </r>
  <r>
    <x v="0"/>
  </r>
  <r>
    <x v="0"/>
  </r>
  <r>
    <x v="24"/>
  </r>
  <r>
    <x v="24"/>
  </r>
  <r>
    <x v="14"/>
  </r>
  <r>
    <x v="7"/>
  </r>
  <r>
    <x v="7"/>
  </r>
  <r>
    <x v="34"/>
  </r>
  <r>
    <x v="24"/>
  </r>
  <r>
    <x v="16"/>
  </r>
  <r>
    <x v="14"/>
  </r>
  <r>
    <x v="2"/>
  </r>
  <r>
    <x v="14"/>
  </r>
  <r>
    <x v="28"/>
  </r>
  <r>
    <x v="0"/>
  </r>
  <r>
    <x v="1"/>
  </r>
  <r>
    <x v="14"/>
  </r>
  <r>
    <x v="14"/>
  </r>
  <r>
    <x v="28"/>
  </r>
  <r>
    <x v="16"/>
  </r>
  <r>
    <x v="31"/>
  </r>
  <r>
    <x v="37"/>
  </r>
  <r>
    <x v="14"/>
  </r>
  <r>
    <x v="7"/>
  </r>
  <r>
    <x v="0"/>
  </r>
  <r>
    <x v="30"/>
  </r>
  <r>
    <x v="30"/>
  </r>
  <r>
    <x v="12"/>
  </r>
  <r>
    <x v="37"/>
  </r>
  <r>
    <x v="47"/>
  </r>
  <r>
    <x v="8"/>
  </r>
  <r>
    <x v="0"/>
  </r>
  <r>
    <x v="0"/>
  </r>
  <r>
    <x v="16"/>
  </r>
  <r>
    <x v="14"/>
  </r>
  <r>
    <x v="43"/>
  </r>
  <r>
    <x v="14"/>
  </r>
  <r>
    <x v="17"/>
  </r>
  <r>
    <x v="14"/>
  </r>
  <r>
    <x v="14"/>
  </r>
  <r>
    <x v="10"/>
  </r>
  <r>
    <x v="1"/>
  </r>
  <r>
    <x v="40"/>
  </r>
  <r>
    <x v="16"/>
  </r>
  <r>
    <x v="0"/>
  </r>
  <r>
    <x v="16"/>
  </r>
  <r>
    <x v="12"/>
  </r>
  <r>
    <x v="12"/>
  </r>
  <r>
    <x v="21"/>
  </r>
  <r>
    <x v="8"/>
  </r>
  <r>
    <x v="40"/>
  </r>
  <r>
    <x v="14"/>
  </r>
  <r>
    <x v="17"/>
  </r>
  <r>
    <x v="4"/>
  </r>
  <r>
    <x v="11"/>
  </r>
  <r>
    <x v="8"/>
  </r>
  <r>
    <x v="37"/>
  </r>
  <r>
    <x v="1"/>
  </r>
  <r>
    <x v="21"/>
  </r>
  <r>
    <x v="21"/>
  </r>
  <r>
    <x v="10"/>
  </r>
  <r>
    <x v="8"/>
  </r>
  <r>
    <x v="17"/>
  </r>
  <r>
    <x v="11"/>
  </r>
  <r>
    <x v="40"/>
  </r>
  <r>
    <x v="48"/>
  </r>
  <r>
    <x v="14"/>
  </r>
  <r>
    <x v="8"/>
  </r>
  <r>
    <x v="77"/>
  </r>
  <r>
    <x v="77"/>
  </r>
  <r>
    <x v="0"/>
  </r>
  <r>
    <x v="40"/>
  </r>
  <r>
    <x v="7"/>
  </r>
  <r>
    <x v="45"/>
  </r>
  <r>
    <x v="7"/>
  </r>
  <r>
    <x v="40"/>
  </r>
  <r>
    <x v="10"/>
  </r>
  <r>
    <x v="11"/>
  </r>
  <r>
    <x v="10"/>
  </r>
  <r>
    <x v="11"/>
  </r>
  <r>
    <x v="22"/>
  </r>
  <r>
    <x v="22"/>
  </r>
  <r>
    <x v="48"/>
  </r>
  <r>
    <x v="1"/>
  </r>
  <r>
    <x v="48"/>
  </r>
  <r>
    <x v="1"/>
  </r>
  <r>
    <x v="1"/>
  </r>
  <r>
    <x v="1"/>
  </r>
  <r>
    <x v="1"/>
  </r>
  <r>
    <x v="28"/>
  </r>
  <r>
    <x v="28"/>
  </r>
  <r>
    <x v="21"/>
  </r>
  <r>
    <x v="17"/>
  </r>
  <r>
    <x v="4"/>
  </r>
  <r>
    <x v="41"/>
  </r>
  <r>
    <x v="86"/>
  </r>
  <r>
    <x v="0"/>
  </r>
  <r>
    <x v="28"/>
  </r>
  <r>
    <x v="0"/>
  </r>
  <r>
    <x v="37"/>
  </r>
  <r>
    <x v="0"/>
  </r>
  <r>
    <x v="12"/>
  </r>
  <r>
    <x v="14"/>
  </r>
  <r>
    <x v="42"/>
  </r>
  <r>
    <x v="92"/>
  </r>
  <r>
    <x v="113"/>
  </r>
  <r>
    <x v="113"/>
  </r>
  <r>
    <x v="56"/>
  </r>
  <r>
    <x v="4"/>
  </r>
  <r>
    <x v="12"/>
  </r>
  <r>
    <x v="11"/>
  </r>
  <r>
    <x v="16"/>
  </r>
  <r>
    <x v="47"/>
  </r>
  <r>
    <x v="37"/>
  </r>
  <r>
    <x v="37"/>
  </r>
  <r>
    <x v="37"/>
  </r>
  <r>
    <x v="10"/>
  </r>
  <r>
    <x v="11"/>
  </r>
  <r>
    <x v="2"/>
  </r>
  <r>
    <x v="2"/>
  </r>
  <r>
    <x v="2"/>
  </r>
  <r>
    <x v="2"/>
  </r>
  <r>
    <x v="2"/>
  </r>
  <r>
    <x v="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55"/>
  </r>
  <r>
    <x v="43"/>
  </r>
  <r>
    <x v="68"/>
  </r>
  <r>
    <x v="55"/>
  </r>
  <r>
    <x v="1"/>
  </r>
  <r>
    <x v="28"/>
  </r>
  <r>
    <x v="30"/>
  </r>
  <r>
    <x v="1"/>
  </r>
  <r>
    <x v="1"/>
  </r>
  <r>
    <x v="12"/>
  </r>
  <r>
    <x v="1"/>
  </r>
  <r>
    <x v="14"/>
  </r>
  <r>
    <x v="2"/>
  </r>
  <r>
    <x v="10"/>
  </r>
  <r>
    <x v="162"/>
  </r>
  <r>
    <x v="17"/>
  </r>
  <r>
    <x v="0"/>
  </r>
  <r>
    <x v="0"/>
  </r>
  <r>
    <x v="2"/>
  </r>
  <r>
    <x v="14"/>
  </r>
  <r>
    <x v="12"/>
  </r>
  <r>
    <x v="8"/>
  </r>
  <r>
    <x v="16"/>
  </r>
  <r>
    <x v="77"/>
  </r>
  <r>
    <x v="14"/>
  </r>
  <r>
    <x v="14"/>
  </r>
  <r>
    <x v="4"/>
  </r>
  <r>
    <x v="11"/>
  </r>
  <r>
    <x v="22"/>
  </r>
  <r>
    <x v="10"/>
  </r>
  <r>
    <x v="48"/>
  </r>
  <r>
    <x v="27"/>
  </r>
  <r>
    <x v="42"/>
  </r>
  <r>
    <x v="41"/>
  </r>
  <r>
    <x v="17"/>
  </r>
  <r>
    <x v="123"/>
  </r>
  <r>
    <x v="9"/>
  </r>
  <r>
    <x v="14"/>
  </r>
  <r>
    <x v="63"/>
  </r>
  <r>
    <x v="10"/>
  </r>
  <r>
    <x v="48"/>
  </r>
  <r>
    <x v="2"/>
  </r>
  <r>
    <x v="14"/>
  </r>
  <r>
    <x v="6"/>
  </r>
  <r>
    <x v="162"/>
  </r>
  <r>
    <x v="17"/>
  </r>
  <r>
    <x v="10"/>
  </r>
  <r>
    <x v="9"/>
  </r>
  <r>
    <x v="9"/>
  </r>
  <r>
    <x v="11"/>
  </r>
  <r>
    <x v="48"/>
  </r>
  <r>
    <x v="11"/>
  </r>
  <r>
    <x v="11"/>
  </r>
  <r>
    <x v="126"/>
  </r>
  <r>
    <x v="0"/>
  </r>
  <r>
    <x v="0"/>
  </r>
  <r>
    <x v="17"/>
  </r>
  <r>
    <x v="10"/>
  </r>
  <r>
    <x v="4"/>
  </r>
  <r>
    <x v="10"/>
  </r>
  <r>
    <x v="78"/>
  </r>
  <r>
    <x v="4"/>
  </r>
  <r>
    <x v="19"/>
  </r>
  <r>
    <x v="17"/>
  </r>
  <r>
    <x v="29"/>
  </r>
  <r>
    <x v="171"/>
  </r>
  <r>
    <x v="16"/>
  </r>
  <r>
    <x v="2"/>
  </r>
  <r>
    <x v="14"/>
  </r>
  <r>
    <x v="4"/>
  </r>
  <r>
    <x v="28"/>
  </r>
  <r>
    <x v="28"/>
  </r>
  <r>
    <x v="28"/>
  </r>
  <r>
    <x v="42"/>
  </r>
  <r>
    <x v="42"/>
  </r>
  <r>
    <x v="126"/>
  </r>
  <r>
    <x v="42"/>
  </r>
  <r>
    <x v="16"/>
  </r>
  <r>
    <x v="42"/>
  </r>
  <r>
    <x v="14"/>
  </r>
  <r>
    <x v="10"/>
  </r>
  <r>
    <x v="123"/>
  </r>
  <r>
    <x v="123"/>
  </r>
  <r>
    <x v="115"/>
  </r>
  <r>
    <x v="7"/>
  </r>
  <r>
    <x v="7"/>
  </r>
  <r>
    <x v="8"/>
  </r>
  <r>
    <x v="71"/>
  </r>
  <r>
    <x v="56"/>
  </r>
  <r>
    <x v="8"/>
  </r>
  <r>
    <x v="8"/>
  </r>
  <r>
    <x v="40"/>
  </r>
  <r>
    <x v="75"/>
  </r>
  <r>
    <x v="126"/>
  </r>
  <r>
    <x v="53"/>
  </r>
  <r>
    <x v="53"/>
  </r>
  <r>
    <x v="28"/>
  </r>
  <r>
    <x v="131"/>
  </r>
  <r>
    <x v="141"/>
  </r>
  <r>
    <x v="86"/>
  </r>
  <r>
    <x v="56"/>
  </r>
  <r>
    <x v="56"/>
  </r>
  <r>
    <x v="86"/>
  </r>
  <r>
    <x v="86"/>
  </r>
  <r>
    <x v="56"/>
  </r>
  <r>
    <x v="0"/>
  </r>
  <r>
    <x v="115"/>
  </r>
  <r>
    <x v="31"/>
  </r>
  <r>
    <x v="176"/>
  </r>
  <r>
    <x v="176"/>
  </r>
  <r>
    <x v="10"/>
  </r>
  <r>
    <x v="28"/>
  </r>
  <r>
    <x v="31"/>
  </r>
  <r>
    <x v="12"/>
  </r>
  <r>
    <x v="10"/>
  </r>
  <r>
    <x v="12"/>
  </r>
  <r>
    <x v="14"/>
  </r>
  <r>
    <x v="0"/>
  </r>
  <r>
    <x v="48"/>
  </r>
  <r>
    <x v="36"/>
  </r>
  <r>
    <x v="36"/>
  </r>
  <r>
    <x v="36"/>
  </r>
  <r>
    <x v="28"/>
  </r>
  <r>
    <x v="0"/>
  </r>
  <r>
    <x v="2"/>
  </r>
  <r>
    <x v="78"/>
  </r>
  <r>
    <x v="179"/>
  </r>
  <r>
    <x v="179"/>
  </r>
  <r>
    <x v="179"/>
  </r>
  <r>
    <x v="179"/>
  </r>
  <r>
    <x v="12"/>
  </r>
  <r>
    <x v="10"/>
  </r>
  <r>
    <x v="19"/>
  </r>
  <r>
    <x v="14"/>
  </r>
  <r>
    <x v="14"/>
  </r>
  <r>
    <x v="9"/>
  </r>
  <r>
    <x v="4"/>
  </r>
  <r>
    <x v="152"/>
  </r>
  <r>
    <x v="11"/>
  </r>
  <r>
    <x v="11"/>
  </r>
  <r>
    <x v="87"/>
  </r>
  <r>
    <x v="87"/>
  </r>
  <r>
    <x v="63"/>
  </r>
  <r>
    <x v="20"/>
  </r>
  <r>
    <x v="130"/>
  </r>
  <r>
    <x v="4"/>
  </r>
  <r>
    <x v="4"/>
  </r>
  <r>
    <x v="14"/>
  </r>
  <r>
    <x v="10"/>
  </r>
  <r>
    <x v="56"/>
  </r>
  <r>
    <x v="56"/>
  </r>
  <r>
    <x v="56"/>
  </r>
  <r>
    <x v="56"/>
  </r>
  <r>
    <x v="56"/>
  </r>
  <r>
    <x v="71"/>
  </r>
  <r>
    <x v="56"/>
  </r>
  <r>
    <x v="56"/>
  </r>
  <r>
    <x v="16"/>
  </r>
  <r>
    <x v="56"/>
  </r>
  <r>
    <x v="56"/>
  </r>
  <r>
    <x v="81"/>
  </r>
  <r>
    <x v="207"/>
  </r>
  <r>
    <x v="63"/>
  </r>
  <r>
    <x v="45"/>
  </r>
  <r>
    <x v="36"/>
  </r>
  <r>
    <x v="78"/>
  </r>
  <r>
    <x v="0"/>
  </r>
  <r>
    <x v="0"/>
  </r>
  <r>
    <x v="4"/>
  </r>
  <r>
    <x v="4"/>
  </r>
  <r>
    <x v="4"/>
  </r>
  <r>
    <x v="53"/>
  </r>
  <r>
    <x v="53"/>
  </r>
  <r>
    <x v="11"/>
  </r>
  <r>
    <x v="56"/>
  </r>
  <r>
    <x v="56"/>
  </r>
  <r>
    <x v="56"/>
  </r>
  <r>
    <x v="56"/>
  </r>
  <r>
    <x v="78"/>
  </r>
  <r>
    <x v="89"/>
  </r>
  <r>
    <x v="78"/>
  </r>
  <r>
    <x v="89"/>
  </r>
  <r>
    <x v="89"/>
  </r>
  <r>
    <x v="89"/>
  </r>
  <r>
    <x v="4"/>
  </r>
  <r>
    <x v="55"/>
  </r>
  <r>
    <x v="161"/>
  </r>
  <r>
    <x v="4"/>
  </r>
  <r>
    <x v="161"/>
  </r>
  <r>
    <x v="55"/>
  </r>
  <r>
    <x v="161"/>
  </r>
  <r>
    <x v="37"/>
  </r>
  <r>
    <x v="12"/>
  </r>
  <r>
    <x v="16"/>
  </r>
  <r>
    <x v="16"/>
  </r>
  <r>
    <x v="57"/>
  </r>
  <r>
    <x v="23"/>
  </r>
  <r>
    <x v="51"/>
  </r>
  <r>
    <x v="51"/>
  </r>
  <r>
    <x v="45"/>
  </r>
  <r>
    <x v="15"/>
  </r>
  <r>
    <x v="75"/>
  </r>
  <r>
    <x v="9"/>
  </r>
  <r>
    <x v="71"/>
  </r>
  <r>
    <x v="0"/>
  </r>
  <r>
    <x v="71"/>
  </r>
  <r>
    <x v="42"/>
  </r>
  <r>
    <x v="19"/>
  </r>
  <r>
    <x v="1"/>
  </r>
  <r>
    <x v="28"/>
  </r>
  <r>
    <x v="123"/>
  </r>
  <r>
    <x v="16"/>
  </r>
  <r>
    <x v="71"/>
  </r>
  <r>
    <x v="115"/>
  </r>
  <r>
    <x v="4"/>
  </r>
  <r>
    <x v="4"/>
  </r>
  <r>
    <x v="4"/>
  </r>
  <r>
    <x v="42"/>
  </r>
  <r>
    <x v="0"/>
  </r>
  <r>
    <x v="7"/>
  </r>
  <r>
    <x v="28"/>
  </r>
  <r>
    <x v="25"/>
  </r>
  <r>
    <x v="43"/>
  </r>
  <r>
    <x v="42"/>
  </r>
  <r>
    <x v="10"/>
  </r>
  <r>
    <x v="123"/>
  </r>
  <r>
    <x v="4"/>
  </r>
  <r>
    <x v="19"/>
  </r>
  <r>
    <x v="138"/>
  </r>
  <r>
    <x v="4"/>
  </r>
  <r>
    <x v="71"/>
  </r>
  <r>
    <x v="16"/>
  </r>
  <r>
    <x v="10"/>
  </r>
  <r>
    <x v="4"/>
  </r>
  <r>
    <x v="6"/>
  </r>
  <r>
    <x v="7"/>
  </r>
  <r>
    <x v="4"/>
  </r>
  <r>
    <x v="10"/>
  </r>
  <r>
    <x v="48"/>
  </r>
  <r>
    <x v="37"/>
  </r>
  <r>
    <x v="251"/>
  </r>
  <r>
    <x v="112"/>
  </r>
  <r>
    <x v="0"/>
  </r>
  <r>
    <x v="199"/>
  </r>
  <r>
    <x v="251"/>
  </r>
  <r>
    <x v="48"/>
  </r>
  <r>
    <x v="0"/>
  </r>
  <r>
    <x v="0"/>
  </r>
  <r>
    <x v="0"/>
  </r>
  <r>
    <x v="17"/>
  </r>
  <r>
    <x v="112"/>
  </r>
  <r>
    <x v="80"/>
  </r>
  <r>
    <x v="81"/>
  </r>
  <r>
    <x v="24"/>
  </r>
  <r>
    <x v="9"/>
  </r>
  <r>
    <x v="0"/>
  </r>
  <r>
    <x v="0"/>
  </r>
  <r>
    <x v="2"/>
  </r>
  <r>
    <x v="2"/>
  </r>
  <r>
    <x v="24"/>
  </r>
  <r>
    <x v="81"/>
  </r>
  <r>
    <x v="122"/>
  </r>
  <r>
    <x v="0"/>
  </r>
  <r>
    <x v="387"/>
  </r>
  <r>
    <x v="23"/>
  </r>
  <r>
    <x v="21"/>
  </r>
  <r>
    <x v="10"/>
  </r>
  <r>
    <x v="122"/>
  </r>
  <r>
    <x v="4"/>
  </r>
  <r>
    <x v="0"/>
  </r>
  <r>
    <x v="4"/>
  </r>
  <r>
    <x v="4"/>
  </r>
  <r>
    <x v="42"/>
  </r>
  <r>
    <x v="0"/>
  </r>
  <r>
    <x v="171"/>
  </r>
  <r>
    <x v="12"/>
  </r>
  <r>
    <x v="42"/>
  </r>
  <r>
    <x v="24"/>
  </r>
  <r>
    <x v="0"/>
  </r>
  <r>
    <x v="0"/>
  </r>
  <r>
    <x v="152"/>
  </r>
  <r>
    <x v="152"/>
  </r>
  <r>
    <x v="152"/>
  </r>
  <r>
    <x v="12"/>
  </r>
  <r>
    <x v="2"/>
  </r>
  <r>
    <x v="77"/>
  </r>
  <r>
    <x v="28"/>
  </r>
  <r>
    <x v="7"/>
  </r>
  <r>
    <x v="7"/>
  </r>
  <r>
    <x v="48"/>
  </r>
  <r>
    <x v="10"/>
  </r>
  <r>
    <x v="79"/>
  </r>
  <r>
    <x v="79"/>
  </r>
  <r>
    <x v="63"/>
  </r>
  <r>
    <x v="4"/>
  </r>
  <r>
    <x v="87"/>
  </r>
  <r>
    <x v="126"/>
  </r>
  <r>
    <x v="86"/>
  </r>
  <r>
    <x v="7"/>
  </r>
  <r>
    <x v="86"/>
  </r>
  <r>
    <x v="86"/>
  </r>
  <r>
    <x v="7"/>
  </r>
  <r>
    <x v="4"/>
  </r>
  <r>
    <x v="10"/>
  </r>
  <r>
    <x v="22"/>
  </r>
  <r>
    <x v="22"/>
  </r>
  <r>
    <x v="9"/>
  </r>
  <r>
    <x v="55"/>
  </r>
  <r>
    <x v="12"/>
  </r>
  <r>
    <x v="4"/>
  </r>
  <r>
    <x v="7"/>
  </r>
  <r>
    <x v="4"/>
  </r>
  <r>
    <x v="28"/>
  </r>
  <r>
    <x v="152"/>
  </r>
  <r>
    <x v="152"/>
  </r>
  <r>
    <x v="4"/>
  </r>
  <r>
    <x v="4"/>
  </r>
  <r>
    <x v="57"/>
  </r>
  <r>
    <x v="4"/>
  </r>
  <r>
    <x v="24"/>
  </r>
  <r>
    <x v="161"/>
  </r>
  <r>
    <x v="28"/>
  </r>
  <r>
    <x v="7"/>
  </r>
  <r>
    <x v="152"/>
  </r>
  <r>
    <x v="174"/>
  </r>
  <r>
    <x v="81"/>
  </r>
  <r>
    <x v="10"/>
  </r>
  <r>
    <x v="63"/>
  </r>
  <r>
    <x v="100"/>
  </r>
  <r>
    <x v="4"/>
  </r>
  <r>
    <x v="77"/>
  </r>
  <r>
    <x v="10"/>
  </r>
  <r>
    <x v="10"/>
  </r>
  <r>
    <x v="0"/>
  </r>
  <r>
    <x v="0"/>
  </r>
  <r>
    <x v="0"/>
  </r>
  <r>
    <x v="12"/>
  </r>
  <r>
    <x v="12"/>
  </r>
  <r>
    <x v="23"/>
  </r>
  <r>
    <x v="81"/>
  </r>
  <r>
    <x v="81"/>
  </r>
  <r>
    <x v="12"/>
  </r>
  <r>
    <x v="12"/>
  </r>
  <r>
    <x v="2"/>
  </r>
  <r>
    <x v="12"/>
  </r>
  <r>
    <x v="2"/>
  </r>
  <r>
    <x v="7"/>
  </r>
  <r>
    <x v="14"/>
  </r>
  <r>
    <x v="0"/>
  </r>
  <r>
    <x v="0"/>
  </r>
  <r>
    <x v="4"/>
  </r>
  <r>
    <x v="25"/>
  </r>
  <r>
    <x v="152"/>
  </r>
  <r>
    <x v="10"/>
  </r>
  <r>
    <x v="28"/>
  </r>
  <r>
    <x v="0"/>
  </r>
  <r>
    <x v="12"/>
  </r>
  <r>
    <x v="10"/>
  </r>
  <r>
    <x v="123"/>
  </r>
  <r>
    <x v="0"/>
  </r>
  <r>
    <x v="0"/>
  </r>
  <r>
    <x v="138"/>
  </r>
  <r>
    <x v="10"/>
  </r>
  <r>
    <x v="10"/>
  </r>
  <r>
    <x v="22"/>
  </r>
  <r>
    <x v="152"/>
  </r>
  <r>
    <x v="152"/>
  </r>
  <r>
    <x v="24"/>
  </r>
  <r>
    <x v="24"/>
  </r>
  <r>
    <x v="42"/>
  </r>
  <r>
    <x v="24"/>
  </r>
  <r>
    <x v="77"/>
  </r>
  <r>
    <x v="86"/>
  </r>
  <r>
    <x v="53"/>
  </r>
  <r>
    <x v="75"/>
  </r>
  <r>
    <x v="21"/>
  </r>
  <r>
    <x v="123"/>
  </r>
  <r>
    <x v="123"/>
  </r>
  <r>
    <x v="16"/>
  </r>
  <r>
    <x v="123"/>
  </r>
  <r>
    <x v="14"/>
  </r>
  <r>
    <x v="31"/>
  </r>
  <r>
    <x v="9"/>
  </r>
  <r>
    <x v="24"/>
  </r>
  <r>
    <x v="12"/>
  </r>
  <r>
    <x v="12"/>
  </r>
  <r>
    <x v="42"/>
  </r>
  <r>
    <x v="2"/>
  </r>
  <r>
    <x v="16"/>
  </r>
  <r>
    <x v="16"/>
  </r>
  <r>
    <x v="7"/>
  </r>
  <r>
    <x v="33"/>
  </r>
  <r>
    <x v="7"/>
  </r>
  <r>
    <x v="7"/>
  </r>
  <r>
    <x v="7"/>
  </r>
  <r>
    <x v="79"/>
  </r>
  <r>
    <x v="10"/>
  </r>
  <r>
    <x v="87"/>
  </r>
  <r>
    <x v="4"/>
  </r>
  <r>
    <x v="28"/>
  </r>
  <r>
    <x v="0"/>
  </r>
  <r>
    <x v="24"/>
  </r>
  <r>
    <x v="10"/>
  </r>
  <r>
    <x v="10"/>
  </r>
  <r>
    <x v="10"/>
  </r>
  <r>
    <x v="10"/>
  </r>
  <r>
    <x v="4"/>
  </r>
  <r>
    <x v="28"/>
  </r>
  <r>
    <x v="77"/>
  </r>
  <r>
    <x v="14"/>
  </r>
  <r>
    <x v="141"/>
  </r>
  <r>
    <x v="14"/>
  </r>
  <r>
    <x v="11"/>
  </r>
  <r>
    <x v="0"/>
  </r>
  <r>
    <x v="77"/>
  </r>
  <r>
    <x v="77"/>
  </r>
  <r>
    <x v="48"/>
  </r>
  <r>
    <x v="78"/>
  </r>
  <r>
    <x v="12"/>
  </r>
  <r>
    <x v="12"/>
  </r>
  <r>
    <x v="12"/>
  </r>
  <r>
    <x v="78"/>
  </r>
  <r>
    <x v="63"/>
  </r>
  <r>
    <x v="10"/>
  </r>
  <r>
    <x v="10"/>
  </r>
  <r>
    <x v="123"/>
  </r>
  <r>
    <x v="123"/>
  </r>
  <r>
    <x v="48"/>
  </r>
  <r>
    <x v="113"/>
  </r>
  <r>
    <x v="12"/>
  </r>
  <r>
    <x v="165"/>
  </r>
  <r>
    <x v="165"/>
  </r>
  <r>
    <x v="165"/>
  </r>
  <r>
    <x v="165"/>
  </r>
  <r>
    <x v="9"/>
  </r>
  <r>
    <x v="37"/>
  </r>
  <r>
    <x v="9"/>
  </r>
  <r>
    <x v="9"/>
  </r>
  <r>
    <x v="42"/>
  </r>
  <r>
    <x v="17"/>
  </r>
  <r>
    <x v="12"/>
  </r>
  <r>
    <x v="24"/>
  </r>
  <r>
    <x v="16"/>
  </r>
  <r>
    <x v="77"/>
  </r>
  <r>
    <x v="14"/>
  </r>
  <r>
    <x v="92"/>
  </r>
  <r>
    <x v="11"/>
  </r>
  <r>
    <x v="160"/>
  </r>
  <r>
    <x v="12"/>
  </r>
  <r>
    <x v="7"/>
  </r>
  <r>
    <x v="11"/>
  </r>
  <r>
    <x v="71"/>
  </r>
  <r>
    <x v="42"/>
  </r>
  <r>
    <x v="42"/>
  </r>
  <r>
    <x v="14"/>
  </r>
  <r>
    <x v="14"/>
  </r>
  <r>
    <x v="12"/>
  </r>
  <r>
    <x v="123"/>
  </r>
  <r>
    <x v="42"/>
  </r>
  <r>
    <x v="12"/>
  </r>
  <r>
    <x v="11"/>
  </r>
  <r>
    <x v="123"/>
  </r>
  <r>
    <x v="123"/>
  </r>
  <r>
    <x v="123"/>
  </r>
  <r>
    <x v="123"/>
  </r>
  <r>
    <x v="125"/>
  </r>
  <r>
    <x v="125"/>
  </r>
  <r>
    <x v="125"/>
  </r>
  <r>
    <x v="125"/>
  </r>
  <r>
    <x v="125"/>
  </r>
  <r>
    <x v="125"/>
  </r>
  <r>
    <x v="125"/>
  </r>
  <r>
    <x v="125"/>
  </r>
  <r>
    <x v="42"/>
  </r>
  <r>
    <x v="42"/>
  </r>
  <r>
    <x v="42"/>
  </r>
  <r>
    <x v="115"/>
  </r>
  <r>
    <x v="71"/>
  </r>
  <r>
    <x v="10"/>
  </r>
  <r>
    <x v="19"/>
  </r>
  <r>
    <x v="71"/>
  </r>
  <r>
    <x v="7"/>
  </r>
  <r>
    <x v="63"/>
  </r>
  <r>
    <x v="42"/>
  </r>
  <r>
    <x v="10"/>
  </r>
  <r>
    <x v="10"/>
  </r>
  <r>
    <x v="10"/>
  </r>
  <r>
    <x v="24"/>
  </r>
  <r>
    <x v="55"/>
  </r>
  <r>
    <x v="4"/>
  </r>
  <r>
    <x v="9"/>
  </r>
  <r>
    <x v="4"/>
  </r>
  <r>
    <x v="6"/>
  </r>
  <r>
    <x v="3"/>
  </r>
  <r>
    <x v="57"/>
  </r>
  <r>
    <x v="77"/>
  </r>
  <r>
    <x v="28"/>
  </r>
  <r>
    <x v="7"/>
  </r>
  <r>
    <x v="57"/>
  </r>
  <r>
    <x v="7"/>
  </r>
  <r>
    <x v="7"/>
  </r>
  <r>
    <x v="12"/>
  </r>
  <r>
    <x v="12"/>
  </r>
  <r>
    <x v="12"/>
  </r>
  <r>
    <x v="12"/>
  </r>
  <r>
    <x v="12"/>
  </r>
  <r>
    <x v="45"/>
  </r>
  <r>
    <x v="45"/>
  </r>
  <r>
    <x v="12"/>
  </r>
  <r>
    <x v="12"/>
  </r>
  <r>
    <x v="162"/>
  </r>
  <r>
    <x v="42"/>
  </r>
  <r>
    <x v="42"/>
  </r>
  <r>
    <x v="12"/>
  </r>
  <r>
    <x v="77"/>
  </r>
  <r>
    <x v="7"/>
  </r>
  <r>
    <x v="78"/>
  </r>
  <r>
    <x v="6"/>
  </r>
  <r>
    <x v="37"/>
  </r>
  <r>
    <x v="99"/>
  </r>
  <r>
    <x v="51"/>
  </r>
  <r>
    <x v="51"/>
  </r>
  <r>
    <x v="0"/>
  </r>
  <r>
    <x v="45"/>
  </r>
  <r>
    <x v="45"/>
  </r>
  <r>
    <x v="57"/>
  </r>
  <r>
    <x v="51"/>
  </r>
  <r>
    <x v="51"/>
  </r>
  <r>
    <x v="51"/>
  </r>
  <r>
    <x v="51"/>
  </r>
  <r>
    <x v="51"/>
  </r>
  <r>
    <x v="77"/>
  </r>
  <r>
    <x v="146"/>
  </r>
  <r>
    <x v="63"/>
  </r>
  <r>
    <x v="3"/>
  </r>
  <r>
    <x v="31"/>
  </r>
  <r>
    <x v="31"/>
  </r>
  <r>
    <x v="51"/>
  </r>
  <r>
    <x v="25"/>
  </r>
  <r>
    <x v="8"/>
  </r>
  <r>
    <x v="8"/>
  </r>
  <r>
    <x v="76"/>
  </r>
  <r>
    <x v="76"/>
  </r>
  <r>
    <x v="76"/>
  </r>
  <r>
    <x v="31"/>
  </r>
  <r>
    <x v="4"/>
  </r>
  <r>
    <x v="103"/>
  </r>
  <r>
    <x v="60"/>
  </r>
  <r>
    <x v="64"/>
  </r>
  <r>
    <x v="28"/>
  </r>
  <r>
    <x v="26"/>
  </r>
  <r>
    <x v="0"/>
  </r>
  <r>
    <x v="56"/>
  </r>
  <r>
    <x v="14"/>
  </r>
  <r>
    <x v="163"/>
  </r>
  <r>
    <x v="8"/>
  </r>
  <r>
    <x v="48"/>
  </r>
  <r>
    <x v="57"/>
  </r>
  <r>
    <x v="76"/>
  </r>
  <r>
    <x v="411"/>
  </r>
  <r>
    <x v="171"/>
  </r>
  <r>
    <x v="7"/>
  </r>
  <r>
    <x v="80"/>
  </r>
  <r>
    <x v="31"/>
  </r>
  <r>
    <x v="8"/>
  </r>
  <r>
    <x v="10"/>
  </r>
  <r>
    <x v="24"/>
  </r>
  <r>
    <x v="24"/>
  </r>
  <r>
    <x v="64"/>
  </r>
  <r>
    <x v="25"/>
  </r>
  <r>
    <x v="10"/>
  </r>
  <r>
    <x v="76"/>
  </r>
  <r>
    <x v="71"/>
  </r>
  <r>
    <x v="9"/>
  </r>
  <r>
    <x v="9"/>
  </r>
  <r>
    <x v="9"/>
  </r>
  <r>
    <x v="76"/>
  </r>
  <r>
    <x v="35"/>
  </r>
  <r>
    <x v="71"/>
  </r>
  <r>
    <x v="123"/>
  </r>
  <r>
    <x v="0"/>
  </r>
  <r>
    <x v="8"/>
  </r>
  <r>
    <x v="53"/>
  </r>
  <r>
    <x v="8"/>
  </r>
  <r>
    <x v="42"/>
  </r>
  <r>
    <x v="86"/>
  </r>
  <r>
    <x v="86"/>
  </r>
  <r>
    <x v="86"/>
  </r>
  <r>
    <x v="128"/>
  </r>
  <r>
    <x v="111"/>
  </r>
  <r>
    <x v="14"/>
  </r>
  <r>
    <x v="53"/>
  </r>
  <r>
    <x v="53"/>
  </r>
  <r>
    <x v="53"/>
  </r>
  <r>
    <x v="14"/>
  </r>
  <r>
    <x v="28"/>
  </r>
  <r>
    <x v="4"/>
  </r>
  <r>
    <x v="10"/>
  </r>
  <r>
    <x v="21"/>
  </r>
  <r>
    <x v="56"/>
  </r>
  <r>
    <x v="37"/>
  </r>
  <r>
    <x v="28"/>
  </r>
  <r>
    <x v="28"/>
  </r>
  <r>
    <x v="4"/>
  </r>
  <r>
    <x v="4"/>
  </r>
  <r>
    <x v="24"/>
  </r>
  <r>
    <x v="7"/>
  </r>
  <r>
    <x v="4"/>
  </r>
  <r>
    <x v="87"/>
  </r>
  <r>
    <x v="10"/>
  </r>
  <r>
    <x v="9"/>
  </r>
  <r>
    <x v="17"/>
  </r>
  <r>
    <x v="7"/>
  </r>
  <r>
    <x v="10"/>
  </r>
  <r>
    <x v="115"/>
  </r>
  <r>
    <x v="17"/>
  </r>
  <r>
    <x v="123"/>
  </r>
  <r>
    <x v="4"/>
  </r>
  <r>
    <x v="4"/>
  </r>
  <r>
    <x v="24"/>
  </r>
  <r>
    <x v="9"/>
  </r>
  <r>
    <x v="56"/>
  </r>
  <r>
    <x v="56"/>
  </r>
  <r>
    <x v="42"/>
  </r>
  <r>
    <x v="152"/>
  </r>
  <r>
    <x v="10"/>
  </r>
  <r>
    <x v="6"/>
  </r>
  <r>
    <x v="115"/>
  </r>
  <r>
    <x v="4"/>
  </r>
  <r>
    <x v="37"/>
  </r>
  <r>
    <x v="123"/>
  </r>
  <r>
    <x v="16"/>
  </r>
  <r>
    <x v="12"/>
  </r>
  <r>
    <x v="12"/>
  </r>
  <r>
    <x v="12"/>
  </r>
  <r>
    <x v="16"/>
  </r>
  <r>
    <x v="3"/>
  </r>
  <r>
    <x v="79"/>
  </r>
  <r>
    <x v="25"/>
  </r>
  <r>
    <x v="51"/>
  </r>
  <r>
    <x v="2"/>
  </r>
  <r>
    <x v="141"/>
  </r>
  <r>
    <x v="141"/>
  </r>
  <r>
    <x v="0"/>
  </r>
  <r>
    <x v="4"/>
  </r>
  <r>
    <x v="77"/>
  </r>
  <r>
    <x v="4"/>
  </r>
  <r>
    <x v="12"/>
  </r>
  <r>
    <x v="7"/>
  </r>
  <r>
    <x v="7"/>
  </r>
  <r>
    <x v="7"/>
  </r>
  <r>
    <x v="162"/>
  </r>
  <r>
    <x v="16"/>
  </r>
  <r>
    <x v="10"/>
  </r>
  <r>
    <x v="19"/>
  </r>
  <r>
    <x v="123"/>
  </r>
  <r>
    <x v="7"/>
  </r>
  <r>
    <x v="7"/>
  </r>
  <r>
    <x v="63"/>
  </r>
  <r>
    <x v="166"/>
  </r>
  <r>
    <x v="166"/>
  </r>
  <r>
    <x v="166"/>
  </r>
  <r>
    <x v="166"/>
  </r>
  <r>
    <x v="51"/>
  </r>
  <r>
    <x v="51"/>
  </r>
  <r>
    <x v="166"/>
  </r>
  <r>
    <x v="51"/>
  </r>
  <r>
    <x v="6"/>
  </r>
  <r>
    <x v="37"/>
  </r>
  <r>
    <x v="4"/>
  </r>
  <r>
    <x v="4"/>
  </r>
  <r>
    <x v="29"/>
  </r>
  <r>
    <x v="162"/>
  </r>
  <r>
    <x v="162"/>
  </r>
  <r>
    <x v="29"/>
  </r>
  <r>
    <x v="31"/>
  </r>
  <r>
    <x v="7"/>
  </r>
  <r>
    <x v="48"/>
  </r>
  <r>
    <x v="123"/>
  </r>
  <r>
    <x v="123"/>
  </r>
  <r>
    <x v="45"/>
  </r>
  <r>
    <x v="45"/>
  </r>
  <r>
    <x v="12"/>
  </r>
  <r>
    <x v="162"/>
  </r>
  <r>
    <x v="45"/>
  </r>
  <r>
    <x v="45"/>
  </r>
  <r>
    <x v="45"/>
  </r>
  <r>
    <x v="0"/>
  </r>
  <r>
    <x v="15"/>
  </r>
  <r>
    <x v="42"/>
  </r>
  <r>
    <x v="6"/>
  </r>
  <r>
    <x v="12"/>
  </r>
  <r>
    <x v="28"/>
  </r>
  <r>
    <x v="71"/>
  </r>
  <r>
    <x v="71"/>
  </r>
  <r>
    <x v="12"/>
  </r>
  <r>
    <x v="7"/>
  </r>
  <r>
    <x v="47"/>
  </r>
  <r>
    <x v="37"/>
  </r>
  <r>
    <x v="37"/>
  </r>
  <r>
    <x v="37"/>
  </r>
  <r>
    <x v="37"/>
  </r>
  <r>
    <x v="37"/>
  </r>
  <r>
    <x v="37"/>
  </r>
  <r>
    <x v="37"/>
  </r>
  <r>
    <x v="28"/>
  </r>
  <r>
    <x v="37"/>
  </r>
  <r>
    <x v="162"/>
  </r>
  <r>
    <x v="17"/>
  </r>
  <r>
    <x v="57"/>
  </r>
  <r>
    <x v="57"/>
  </r>
  <r>
    <x v="57"/>
  </r>
  <r>
    <x v="28"/>
  </r>
  <r>
    <x v="31"/>
  </r>
  <r>
    <x v="249"/>
  </r>
  <r>
    <x v="57"/>
  </r>
  <r>
    <x v="130"/>
  </r>
  <r>
    <x v="4"/>
  </r>
  <r>
    <x v="19"/>
  </r>
  <r>
    <x v="10"/>
  </r>
  <r>
    <x v="0"/>
  </r>
  <r>
    <x v="19"/>
  </r>
  <r>
    <x v="28"/>
  </r>
  <r>
    <x v="9"/>
  </r>
  <r>
    <x v="37"/>
  </r>
  <r>
    <x v="42"/>
  </r>
  <r>
    <x v="42"/>
  </r>
  <r>
    <x v="42"/>
  </r>
  <r>
    <x v="411"/>
  </r>
  <r>
    <x v="37"/>
  </r>
  <r>
    <x v="37"/>
  </r>
  <r>
    <x v="37"/>
  </r>
  <r>
    <x v="51"/>
  </r>
  <r>
    <x v="12"/>
  </r>
  <r>
    <x v="16"/>
  </r>
  <r>
    <x v="16"/>
  </r>
  <r>
    <x v="12"/>
  </r>
  <r>
    <x v="12"/>
  </r>
  <r>
    <x v="12"/>
  </r>
  <r>
    <x v="130"/>
  </r>
  <r>
    <x v="19"/>
  </r>
  <r>
    <x v="53"/>
  </r>
  <r>
    <x v="53"/>
  </r>
  <r>
    <x v="12"/>
  </r>
  <r>
    <x v="12"/>
  </r>
  <r>
    <x v="163"/>
  </r>
  <r>
    <x v="12"/>
  </r>
  <r>
    <x v="84"/>
  </r>
  <r>
    <x v="19"/>
  </r>
  <r>
    <x v="19"/>
  </r>
  <r>
    <x v="41"/>
  </r>
  <r>
    <x v="53"/>
  </r>
  <r>
    <x v="53"/>
  </r>
  <r>
    <x v="411"/>
  </r>
  <r>
    <x v="53"/>
  </r>
  <r>
    <x v="53"/>
  </r>
  <r>
    <x v="84"/>
  </r>
  <r>
    <x v="12"/>
  </r>
  <r>
    <x v="12"/>
  </r>
  <r>
    <x v="179"/>
  </r>
  <r>
    <x v="179"/>
  </r>
  <r>
    <x v="34"/>
  </r>
  <r>
    <x v="48"/>
  </r>
  <r>
    <x v="48"/>
  </r>
  <r>
    <x v="112"/>
  </r>
  <r>
    <x v="112"/>
  </r>
  <r>
    <x v="141"/>
  </r>
  <r>
    <x v="179"/>
  </r>
  <r>
    <x v="80"/>
  </r>
  <r>
    <x v="19"/>
  </r>
  <r>
    <x v="115"/>
  </r>
  <r>
    <x v="57"/>
  </r>
  <r>
    <x v="115"/>
  </r>
  <r>
    <x v="12"/>
  </r>
  <r>
    <x v="0"/>
  </r>
  <r>
    <x v="0"/>
  </r>
  <r>
    <x v="11"/>
  </r>
  <r>
    <x v="11"/>
  </r>
  <r>
    <x v="12"/>
  </r>
  <r>
    <x v="12"/>
  </r>
  <r>
    <x v="21"/>
  </r>
  <r>
    <x v="14"/>
  </r>
  <r>
    <x v="14"/>
  </r>
  <r>
    <x v="14"/>
  </r>
  <r>
    <x v="14"/>
  </r>
  <r>
    <x v="115"/>
  </r>
  <r>
    <x v="179"/>
  </r>
  <r>
    <x v="34"/>
  </r>
  <r>
    <x v="115"/>
  </r>
  <r>
    <x v="115"/>
  </r>
  <r>
    <x v="141"/>
  </r>
  <r>
    <x v="115"/>
  </r>
  <r>
    <x v="115"/>
  </r>
  <r>
    <x v="21"/>
  </r>
  <r>
    <x v="21"/>
  </r>
  <r>
    <x v="6"/>
  </r>
  <r>
    <x v="6"/>
  </r>
  <r>
    <x v="17"/>
  </r>
  <r>
    <x v="17"/>
  </r>
  <r>
    <x v="17"/>
  </r>
  <r>
    <x v="17"/>
  </r>
  <r>
    <x v="12"/>
  </r>
  <r>
    <x v="12"/>
  </r>
  <r>
    <x v="115"/>
  </r>
  <r>
    <x v="57"/>
  </r>
  <r>
    <x v="16"/>
  </r>
  <r>
    <x v="16"/>
  </r>
  <r>
    <x v="11"/>
  </r>
  <r>
    <x v="11"/>
  </r>
  <r>
    <x v="11"/>
  </r>
  <r>
    <x v="12"/>
  </r>
  <r>
    <x v="21"/>
  </r>
  <r>
    <x v="21"/>
  </r>
  <r>
    <x v="21"/>
  </r>
  <r>
    <x v="21"/>
  </r>
  <r>
    <x v="4"/>
  </r>
  <r>
    <x v="21"/>
  </r>
  <r>
    <x v="7"/>
  </r>
  <r>
    <x v="7"/>
  </r>
  <r>
    <x v="7"/>
  </r>
  <r>
    <x v="7"/>
  </r>
  <r>
    <x v="7"/>
  </r>
  <r>
    <x v="7"/>
  </r>
  <r>
    <x v="76"/>
  </r>
  <r>
    <x v="53"/>
  </r>
  <r>
    <x v="4"/>
  </r>
  <r>
    <x v="15"/>
  </r>
  <r>
    <x v="57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57"/>
  </r>
  <r>
    <x v="21"/>
  </r>
  <r>
    <x v="57"/>
  </r>
  <r>
    <x v="57"/>
  </r>
  <r>
    <x v="57"/>
  </r>
  <r>
    <x v="57"/>
  </r>
  <r>
    <x v="6"/>
  </r>
  <r>
    <x v="17"/>
  </r>
  <r>
    <x v="76"/>
  </r>
  <r>
    <x v="76"/>
  </r>
  <r>
    <x v="76"/>
  </r>
  <r>
    <x v="12"/>
  </r>
  <r>
    <x v="12"/>
  </r>
  <r>
    <x v="55"/>
  </r>
  <r>
    <x v="12"/>
  </r>
  <r>
    <x v="4"/>
  </r>
  <r>
    <x v="42"/>
  </r>
  <r>
    <x v="115"/>
  </r>
  <r>
    <x v="7"/>
  </r>
  <r>
    <x v="7"/>
  </r>
  <r>
    <x v="7"/>
  </r>
  <r>
    <x v="115"/>
  </r>
  <r>
    <x v="115"/>
  </r>
  <r>
    <x v="142"/>
  </r>
  <r>
    <x v="179"/>
  </r>
  <r>
    <x v="142"/>
  </r>
  <r>
    <x v="142"/>
  </r>
  <r>
    <x v="142"/>
  </r>
  <r>
    <x v="14"/>
  </r>
  <r>
    <x v="14"/>
  </r>
  <r>
    <x v="42"/>
  </r>
  <r>
    <x v="1"/>
  </r>
  <r>
    <x v="1"/>
  </r>
  <r>
    <x v="12"/>
  </r>
  <r>
    <x v="57"/>
  </r>
  <r>
    <x v="76"/>
  </r>
  <r>
    <x v="102"/>
  </r>
  <r>
    <x v="87"/>
  </r>
  <r>
    <x v="12"/>
  </r>
  <r>
    <x v="8"/>
  </r>
  <r>
    <x v="21"/>
  </r>
  <r>
    <x v="8"/>
  </r>
  <r>
    <x v="19"/>
  </r>
  <r>
    <x v="19"/>
  </r>
  <r>
    <x v="19"/>
  </r>
  <r>
    <x v="10"/>
  </r>
  <r>
    <x v="57"/>
  </r>
  <r>
    <x v="57"/>
  </r>
  <r>
    <x v="4"/>
  </r>
  <r>
    <x v="4"/>
  </r>
  <r>
    <x v="4"/>
  </r>
  <r>
    <x v="28"/>
  </r>
  <r>
    <x v="28"/>
  </r>
  <r>
    <x v="28"/>
  </r>
  <r>
    <x v="28"/>
  </r>
  <r>
    <x v="7"/>
  </r>
  <r>
    <x v="7"/>
  </r>
  <r>
    <x v="7"/>
  </r>
  <r>
    <x v="29"/>
  </r>
  <r>
    <x v="19"/>
  </r>
  <r>
    <x v="10"/>
  </r>
  <r>
    <x v="75"/>
  </r>
  <r>
    <x v="86"/>
  </r>
  <r>
    <x v="9"/>
  </r>
  <r>
    <x v="37"/>
  </r>
  <r>
    <x v="4"/>
  </r>
  <r>
    <x v="42"/>
  </r>
  <r>
    <x v="4"/>
  </r>
  <r>
    <x v="4"/>
  </r>
  <r>
    <x v="10"/>
  </r>
  <r>
    <x v="12"/>
  </r>
  <r>
    <x v="9"/>
  </r>
  <r>
    <x v="115"/>
  </r>
  <r>
    <x v="12"/>
  </r>
  <r>
    <x v="42"/>
  </r>
  <r>
    <x v="16"/>
  </r>
  <r>
    <x v="12"/>
  </r>
  <r>
    <x v="130"/>
  </r>
  <r>
    <x v="0"/>
  </r>
  <r>
    <x v="131"/>
  </r>
  <r>
    <x v="131"/>
  </r>
  <r>
    <x v="131"/>
  </r>
  <r>
    <x v="130"/>
  </r>
  <r>
    <x v="42"/>
  </r>
  <r>
    <x v="115"/>
  </r>
  <r>
    <x v="21"/>
  </r>
  <r>
    <x v="28"/>
  </r>
  <r>
    <x v="17"/>
  </r>
  <r>
    <x v="17"/>
  </r>
  <r>
    <x v="17"/>
  </r>
  <r>
    <x v="51"/>
  </r>
  <r>
    <x v="16"/>
  </r>
  <r>
    <x v="53"/>
  </r>
  <r>
    <x v="22"/>
  </r>
  <r>
    <x v="53"/>
  </r>
  <r>
    <x v="12"/>
  </r>
  <r>
    <x v="9"/>
  </r>
  <r>
    <x v="10"/>
  </r>
  <r>
    <x v="24"/>
  </r>
  <r>
    <x v="8"/>
  </r>
  <r>
    <x v="53"/>
  </r>
  <r>
    <x v="57"/>
  </r>
  <r>
    <x v="42"/>
  </r>
  <r>
    <x v="42"/>
  </r>
  <r>
    <x v="131"/>
  </r>
  <r>
    <x v="45"/>
  </r>
  <r>
    <x v="29"/>
  </r>
  <r>
    <x v="169"/>
  </r>
  <r>
    <x v="4"/>
  </r>
  <r>
    <x v="14"/>
  </r>
  <r>
    <x v="12"/>
  </r>
  <r>
    <x v="45"/>
  </r>
  <r>
    <x v="131"/>
  </r>
  <r>
    <x v="12"/>
  </r>
  <r>
    <x v="70"/>
  </r>
  <r>
    <x v="12"/>
  </r>
  <r>
    <x v="12"/>
  </r>
  <r>
    <x v="12"/>
  </r>
  <r>
    <x v="21"/>
  </r>
  <r>
    <x v="21"/>
  </r>
  <r>
    <x v="42"/>
  </r>
  <r>
    <x v="8"/>
  </r>
  <r>
    <x v="16"/>
  </r>
  <r>
    <x v="16"/>
  </r>
  <r>
    <x v="52"/>
  </r>
  <r>
    <x v="52"/>
  </r>
  <r>
    <x v="72"/>
  </r>
  <r>
    <x v="37"/>
  </r>
  <r>
    <x v="52"/>
  </r>
  <r>
    <x v="52"/>
  </r>
  <r>
    <x v="52"/>
  </r>
  <r>
    <x v="52"/>
  </r>
  <r>
    <x v="52"/>
  </r>
  <r>
    <x v="52"/>
  </r>
  <r>
    <x v="12"/>
  </r>
  <r>
    <x v="12"/>
  </r>
  <r>
    <x v="12"/>
  </r>
  <r>
    <x v="12"/>
  </r>
  <r>
    <x v="16"/>
  </r>
  <r>
    <x v="68"/>
  </r>
  <r>
    <x v="130"/>
  </r>
  <r>
    <x v="179"/>
  </r>
  <r>
    <x v="52"/>
  </r>
  <r>
    <x v="42"/>
  </r>
  <r>
    <x v="42"/>
  </r>
  <r>
    <x v="42"/>
  </r>
  <r>
    <x v="4"/>
  </r>
  <r>
    <x v="2"/>
  </r>
  <r>
    <x v="40"/>
  </r>
  <r>
    <x v="45"/>
  </r>
  <r>
    <x v="131"/>
  </r>
  <r>
    <x v="12"/>
  </r>
  <r>
    <x v="11"/>
  </r>
  <r>
    <x v="11"/>
  </r>
  <r>
    <x v="70"/>
  </r>
  <r>
    <x v="70"/>
  </r>
  <r>
    <x v="73"/>
  </r>
  <r>
    <x v="39"/>
  </r>
  <r>
    <x v="39"/>
  </r>
  <r>
    <x v="10"/>
  </r>
  <r>
    <x v="37"/>
  </r>
  <r>
    <x v="48"/>
  </r>
  <r>
    <x v="39"/>
  </r>
  <r>
    <x v="163"/>
  </r>
  <r>
    <x v="15"/>
  </r>
  <r>
    <x v="163"/>
  </r>
  <r>
    <x v="77"/>
  </r>
  <r>
    <x v="130"/>
  </r>
  <r>
    <x v="17"/>
  </r>
  <r>
    <x v="53"/>
  </r>
  <r>
    <x v="131"/>
  </r>
  <r>
    <x v="131"/>
  </r>
  <r>
    <x v="131"/>
  </r>
  <r>
    <x v="131"/>
  </r>
  <r>
    <x v="52"/>
  </r>
  <r>
    <x v="52"/>
  </r>
  <r>
    <x v="52"/>
  </r>
  <r>
    <x v="39"/>
  </r>
  <r>
    <x v="225"/>
  </r>
  <r>
    <x v="163"/>
  </r>
  <r>
    <x v="12"/>
  </r>
  <r>
    <x v="11"/>
  </r>
  <r>
    <x v="186"/>
  </r>
  <r>
    <x v="30"/>
  </r>
  <r>
    <x v="30"/>
  </r>
  <r>
    <x v="115"/>
  </r>
  <r>
    <x v="115"/>
  </r>
  <r>
    <x v="115"/>
  </r>
  <r>
    <x v="12"/>
  </r>
  <r>
    <x v="131"/>
  </r>
  <r>
    <x v="42"/>
  </r>
  <r>
    <x v="225"/>
  </r>
  <r>
    <x v="52"/>
  </r>
  <r>
    <x v="25"/>
  </r>
  <r>
    <x v="70"/>
  </r>
  <r>
    <x v="131"/>
  </r>
  <r>
    <x v="131"/>
  </r>
  <r>
    <x v="131"/>
  </r>
  <r>
    <x v="28"/>
  </r>
  <r>
    <x v="52"/>
  </r>
  <r>
    <x v="14"/>
  </r>
  <r>
    <x v="14"/>
  </r>
  <r>
    <x v="131"/>
  </r>
  <r>
    <x v="131"/>
  </r>
  <r>
    <x v="131"/>
  </r>
  <r>
    <x v="8"/>
  </r>
  <r>
    <x v="2"/>
  </r>
  <r>
    <x v="2"/>
  </r>
  <r>
    <x v="37"/>
  </r>
  <r>
    <x v="16"/>
  </r>
  <r>
    <x v="21"/>
  </r>
  <r>
    <x v="53"/>
  </r>
  <r>
    <x v="57"/>
  </r>
  <r>
    <x v="39"/>
  </r>
  <r>
    <x v="24"/>
  </r>
  <r>
    <x v="10"/>
  </r>
  <r>
    <x v="115"/>
  </r>
  <r>
    <x v="115"/>
  </r>
  <r>
    <x v="115"/>
  </r>
  <r>
    <x v="115"/>
  </r>
  <r>
    <x v="115"/>
  </r>
  <r>
    <x v="115"/>
  </r>
  <r>
    <x v="1"/>
  </r>
  <r>
    <x v="12"/>
  </r>
  <r>
    <x v="76"/>
  </r>
  <r>
    <x v="10"/>
  </r>
  <r>
    <x v="76"/>
  </r>
  <r>
    <x v="57"/>
  </r>
  <r>
    <x v="43"/>
  </r>
  <r>
    <x v="131"/>
  </r>
  <r>
    <x v="131"/>
  </r>
  <r>
    <x v="21"/>
  </r>
  <r>
    <x v="64"/>
  </r>
  <r>
    <x v="142"/>
  </r>
  <r>
    <x v="142"/>
  </r>
  <r>
    <x v="39"/>
  </r>
  <r>
    <x v="39"/>
  </r>
  <r>
    <x v="42"/>
  </r>
  <r>
    <x v="0"/>
  </r>
  <r>
    <x v="142"/>
  </r>
  <r>
    <x v="39"/>
  </r>
  <r>
    <x v="12"/>
  </r>
  <r>
    <x v="64"/>
  </r>
  <r>
    <x v="64"/>
  </r>
  <r>
    <x v="130"/>
  </r>
  <r>
    <x v="130"/>
  </r>
  <r>
    <x v="130"/>
  </r>
  <r>
    <x v="48"/>
  </r>
  <r>
    <x v="42"/>
  </r>
  <r>
    <x v="4"/>
  </r>
  <r>
    <x v="130"/>
  </r>
  <r>
    <x v="12"/>
  </r>
  <r>
    <x v="53"/>
  </r>
  <r>
    <x v="115"/>
  </r>
  <r>
    <x v="14"/>
  </r>
  <r>
    <x v="21"/>
  </r>
  <r>
    <x v="42"/>
  </r>
  <r>
    <x v="6"/>
  </r>
  <r>
    <x v="12"/>
  </r>
  <r>
    <x v="16"/>
  </r>
  <r>
    <x v="12"/>
  </r>
  <r>
    <x v="142"/>
  </r>
  <r>
    <x v="142"/>
  </r>
  <r>
    <x v="43"/>
  </r>
  <r>
    <x v="16"/>
  </r>
  <r>
    <x v="57"/>
  </r>
  <r>
    <x v="18"/>
  </r>
  <r>
    <x v="12"/>
  </r>
  <r>
    <x v="16"/>
  </r>
  <r>
    <x v="0"/>
  </r>
  <r>
    <x v="7"/>
  </r>
  <r>
    <x v="81"/>
  </r>
  <r>
    <x v="112"/>
  </r>
  <r>
    <x v="31"/>
  </r>
  <r>
    <x v="9"/>
  </r>
  <r>
    <x v="4"/>
  </r>
  <r>
    <x v="1"/>
  </r>
  <r>
    <x v="4"/>
  </r>
  <r>
    <x v="7"/>
  </r>
  <r>
    <x v="25"/>
  </r>
  <r>
    <x v="12"/>
  </r>
  <r>
    <x v="42"/>
  </r>
  <r>
    <x v="24"/>
  </r>
  <r>
    <x v="14"/>
  </r>
  <r>
    <x v="78"/>
  </r>
  <r>
    <x v="78"/>
  </r>
  <r>
    <x v="127"/>
  </r>
  <r>
    <x v="3"/>
  </r>
  <r>
    <x v="22"/>
  </r>
  <r>
    <x v="28"/>
  </r>
  <r>
    <x v="12"/>
  </r>
  <r>
    <x v="12"/>
  </r>
  <r>
    <x v="12"/>
  </r>
  <r>
    <x v="12"/>
  </r>
  <r>
    <x v="12"/>
  </r>
  <r>
    <x v="28"/>
  </r>
  <r>
    <x v="21"/>
  </r>
  <r>
    <x v="39"/>
  </r>
  <r>
    <x v="12"/>
  </r>
  <r>
    <x v="12"/>
  </r>
  <r>
    <x v="87"/>
  </r>
  <r>
    <x v="63"/>
  </r>
  <r>
    <x v="1"/>
  </r>
  <r>
    <x v="152"/>
  </r>
  <r>
    <x v="0"/>
  </r>
  <r>
    <x v="31"/>
  </r>
  <r>
    <x v="12"/>
  </r>
  <r>
    <x v="12"/>
  </r>
  <r>
    <x v="48"/>
  </r>
  <r>
    <x v="4"/>
  </r>
  <r>
    <x v="57"/>
  </r>
  <r>
    <x v="141"/>
  </r>
  <r>
    <x v="31"/>
  </r>
  <r>
    <x v="31"/>
  </r>
  <r>
    <x v="4"/>
  </r>
  <r>
    <x v="19"/>
  </r>
  <r>
    <x v="4"/>
  </r>
  <r>
    <x v="28"/>
  </r>
  <r>
    <x v="0"/>
  </r>
  <r>
    <x v="42"/>
  </r>
  <r>
    <x v="12"/>
  </r>
  <r>
    <x v="42"/>
  </r>
  <r>
    <x v="10"/>
  </r>
  <r>
    <x v="7"/>
  </r>
  <r>
    <x v="0"/>
  </r>
  <r>
    <x v="163"/>
  </r>
  <r>
    <x v="2"/>
  </r>
  <r>
    <x v="2"/>
  </r>
  <r>
    <x v="9"/>
  </r>
  <r>
    <x v="0"/>
  </r>
  <r>
    <x v="9"/>
  </r>
  <r>
    <x v="10"/>
  </r>
  <r>
    <x v="76"/>
  </r>
  <r>
    <x v="48"/>
  </r>
  <r>
    <x v="52"/>
  </r>
  <r>
    <x v="47"/>
  </r>
  <r>
    <x v="8"/>
  </r>
  <r>
    <x v="8"/>
  </r>
  <r>
    <x v="8"/>
  </r>
  <r>
    <x v="0"/>
  </r>
  <r>
    <x v="165"/>
  </r>
  <r>
    <x v="163"/>
  </r>
  <r>
    <x v="9"/>
  </r>
  <r>
    <x v="77"/>
  </r>
  <r>
    <x v="12"/>
  </r>
  <r>
    <x v="16"/>
  </r>
  <r>
    <x v="42"/>
  </r>
  <r>
    <x v="12"/>
  </r>
  <r>
    <x v="12"/>
  </r>
  <r>
    <x v="76"/>
  </r>
  <r>
    <x v="4"/>
  </r>
  <r>
    <x v="21"/>
  </r>
  <r>
    <x v="12"/>
  </r>
  <r>
    <x v="14"/>
  </r>
  <r>
    <x v="69"/>
  </r>
  <r>
    <x v="8"/>
  </r>
  <r>
    <x v="16"/>
  </r>
  <r>
    <x v="16"/>
  </r>
  <r>
    <x v="12"/>
  </r>
  <r>
    <x v="59"/>
  </r>
  <r>
    <x v="137"/>
  </r>
  <r>
    <x v="115"/>
  </r>
  <r>
    <x v="115"/>
  </r>
  <r>
    <x v="76"/>
  </r>
  <r>
    <x v="16"/>
  </r>
  <r>
    <x v="4"/>
  </r>
  <r>
    <x v="0"/>
  </r>
  <r>
    <x v="21"/>
  </r>
  <r>
    <x v="53"/>
  </r>
  <r>
    <x v="4"/>
  </r>
  <r>
    <x v="131"/>
  </r>
  <r>
    <x v="131"/>
  </r>
  <r>
    <x v="8"/>
  </r>
  <r>
    <x v="42"/>
  </r>
  <r>
    <x v="12"/>
  </r>
  <r>
    <x v="11"/>
  </r>
  <r>
    <x v="53"/>
  </r>
  <r>
    <x v="70"/>
  </r>
  <r>
    <x v="70"/>
  </r>
  <r>
    <x v="1"/>
  </r>
  <r>
    <x v="4"/>
  </r>
  <r>
    <x v="4"/>
  </r>
  <r>
    <x v="9"/>
  </r>
  <r>
    <x v="42"/>
  </r>
  <r>
    <x v="70"/>
  </r>
  <r>
    <x v="70"/>
  </r>
  <r>
    <x v="70"/>
  </r>
  <r>
    <x v="21"/>
  </r>
  <r>
    <x v="16"/>
  </r>
  <r>
    <x v="16"/>
  </r>
  <r>
    <x v="16"/>
  </r>
  <r>
    <x v="16"/>
  </r>
  <r>
    <x v="0"/>
  </r>
  <r>
    <x v="14"/>
  </r>
  <r>
    <x v="57"/>
  </r>
  <r>
    <x v="16"/>
  </r>
  <r>
    <x v="16"/>
  </r>
  <r>
    <x v="115"/>
  </r>
  <r>
    <x v="0"/>
  </r>
  <r>
    <x v="12"/>
  </r>
  <r>
    <x v="16"/>
  </r>
  <r>
    <x v="16"/>
  </r>
  <r>
    <x v="16"/>
  </r>
  <r>
    <x v="11"/>
  </r>
  <r>
    <x v="22"/>
  </r>
  <r>
    <x v="28"/>
  </r>
  <r>
    <x v="1"/>
  </r>
  <r>
    <x v="130"/>
  </r>
  <r>
    <x v="16"/>
  </r>
  <r>
    <x v="16"/>
  </r>
  <r>
    <x v="12"/>
  </r>
  <r>
    <x v="12"/>
  </r>
  <r>
    <x v="9"/>
  </r>
  <r>
    <x v="25"/>
  </r>
  <r>
    <x v="123"/>
  </r>
  <r>
    <x v="42"/>
  </r>
  <r>
    <x v="17"/>
  </r>
  <r>
    <x v="43"/>
  </r>
  <r>
    <x v="16"/>
  </r>
  <r>
    <x v="188"/>
  </r>
  <r>
    <x v="188"/>
  </r>
  <r>
    <x v="42"/>
  </r>
  <r>
    <x v="16"/>
  </r>
  <r>
    <x v="16"/>
  </r>
  <r>
    <x v="46"/>
  </r>
  <r>
    <x v="46"/>
  </r>
  <r>
    <x v="57"/>
  </r>
  <r>
    <x v="57"/>
  </r>
  <r>
    <x v="2"/>
  </r>
  <r>
    <x v="19"/>
  </r>
  <r>
    <x v="14"/>
  </r>
  <r>
    <x v="45"/>
  </r>
  <r>
    <x v="150"/>
  </r>
  <r>
    <x v="19"/>
  </r>
  <r>
    <x v="68"/>
  </r>
  <r>
    <x v="131"/>
  </r>
  <r>
    <x v="42"/>
  </r>
  <r>
    <x v="2"/>
  </r>
  <r>
    <x v="7"/>
  </r>
  <r>
    <x v="28"/>
  </r>
  <r>
    <x v="24"/>
  </r>
  <r>
    <x v="1"/>
  </r>
  <r>
    <x v="50"/>
  </r>
  <r>
    <x v="50"/>
  </r>
  <r>
    <x v="50"/>
  </r>
  <r>
    <x v="0"/>
  </r>
  <r>
    <x v="0"/>
  </r>
  <r>
    <x v="0"/>
  </r>
  <r>
    <x v="123"/>
  </r>
  <r>
    <x v="123"/>
  </r>
  <r>
    <x v="414"/>
  </r>
  <r>
    <x v="42"/>
  </r>
  <r>
    <x v="57"/>
  </r>
  <r>
    <x v="14"/>
  </r>
  <r>
    <x v="12"/>
  </r>
  <r>
    <x v="10"/>
  </r>
  <r>
    <x v="16"/>
  </r>
  <r>
    <x v="152"/>
  </r>
  <r>
    <x v="123"/>
  </r>
  <r>
    <x v="48"/>
  </r>
  <r>
    <x v="4"/>
  </r>
  <r>
    <x v="39"/>
  </r>
  <r>
    <x v="57"/>
  </r>
  <r>
    <x v="39"/>
  </r>
  <r>
    <x v="1"/>
  </r>
  <r>
    <x v="28"/>
  </r>
  <r>
    <x v="10"/>
  </r>
  <r>
    <x v="10"/>
  </r>
  <r>
    <x v="10"/>
  </r>
  <r>
    <x v="63"/>
  </r>
  <r>
    <x v="48"/>
  </r>
  <r>
    <x v="17"/>
  </r>
  <r>
    <x v="118"/>
  </r>
  <r>
    <x v="6"/>
  </r>
  <r>
    <x v="12"/>
  </r>
  <r>
    <x v="37"/>
  </r>
  <r>
    <x v="37"/>
  </r>
  <r>
    <x v="22"/>
  </r>
  <r>
    <x v="17"/>
  </r>
  <r>
    <x v="15"/>
  </r>
  <r>
    <x v="15"/>
  </r>
  <r>
    <x v="15"/>
  </r>
  <r>
    <x v="15"/>
  </r>
  <r>
    <x v="15"/>
  </r>
  <r>
    <x v="15"/>
  </r>
  <r>
    <x v="15"/>
  </r>
  <r>
    <x v="15"/>
  </r>
  <r>
    <x v="17"/>
  </r>
  <r>
    <x v="9"/>
  </r>
  <r>
    <x v="9"/>
  </r>
  <r>
    <x v="64"/>
  </r>
  <r>
    <x v="64"/>
  </r>
  <r>
    <x v="53"/>
  </r>
  <r>
    <x v="53"/>
  </r>
  <r>
    <x v="53"/>
  </r>
  <r>
    <x v="53"/>
  </r>
  <r>
    <x v="8"/>
  </r>
  <r>
    <x v="8"/>
  </r>
  <r>
    <x v="8"/>
  </r>
  <r>
    <x v="8"/>
  </r>
  <r>
    <x v="53"/>
  </r>
  <r>
    <x v="53"/>
  </r>
  <r>
    <x v="53"/>
  </r>
  <r>
    <x v="53"/>
  </r>
  <r>
    <x v="28"/>
  </r>
  <r>
    <x v="9"/>
  </r>
  <r>
    <x v="22"/>
  </r>
  <r>
    <x v="42"/>
  </r>
  <r>
    <x v="12"/>
  </r>
  <r>
    <x v="12"/>
  </r>
  <r>
    <x v="184"/>
  </r>
  <r>
    <x v="89"/>
  </r>
  <r>
    <x v="184"/>
  </r>
  <r>
    <x v="9"/>
  </r>
  <r>
    <x v="9"/>
  </r>
  <r>
    <x v="12"/>
  </r>
  <r>
    <x v="17"/>
  </r>
  <r>
    <x v="17"/>
  </r>
  <r>
    <x v="28"/>
  </r>
  <r>
    <x v="57"/>
  </r>
  <r>
    <x v="57"/>
  </r>
  <r>
    <x v="57"/>
  </r>
  <r>
    <x v="1"/>
  </r>
  <r>
    <x v="1"/>
  </r>
  <r>
    <x v="1"/>
  </r>
  <r>
    <x v="34"/>
  </r>
  <r>
    <x v="12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28"/>
  </r>
  <r>
    <x v="56"/>
  </r>
  <r>
    <x v="0"/>
  </r>
  <r>
    <x v="0"/>
  </r>
  <r>
    <x v="64"/>
  </r>
  <r>
    <x v="64"/>
  </r>
  <r>
    <x v="37"/>
  </r>
  <r>
    <x v="4"/>
  </r>
  <r>
    <x v="64"/>
  </r>
  <r>
    <x v="64"/>
  </r>
  <r>
    <x v="2"/>
  </r>
  <r>
    <x v="16"/>
  </r>
  <r>
    <x v="16"/>
  </r>
  <r>
    <x v="11"/>
  </r>
  <r>
    <x v="28"/>
  </r>
  <r>
    <x v="28"/>
  </r>
  <r>
    <x v="16"/>
  </r>
  <r>
    <x v="8"/>
  </r>
  <r>
    <x v="8"/>
  </r>
  <r>
    <x v="8"/>
  </r>
  <r>
    <x v="8"/>
  </r>
  <r>
    <x v="45"/>
  </r>
  <r>
    <x v="45"/>
  </r>
  <r>
    <x v="52"/>
  </r>
  <r>
    <x v="115"/>
  </r>
  <r>
    <x v="2"/>
  </r>
  <r>
    <x v="2"/>
  </r>
  <r>
    <x v="0"/>
  </r>
  <r>
    <x v="81"/>
  </r>
  <r>
    <x v="16"/>
  </r>
  <r>
    <x v="16"/>
  </r>
  <r>
    <x v="16"/>
  </r>
  <r>
    <x v="37"/>
  </r>
  <r>
    <x v="64"/>
  </r>
  <r>
    <x v="0"/>
  </r>
  <r>
    <x v="28"/>
  </r>
  <r>
    <x v="28"/>
  </r>
  <r>
    <x v="28"/>
  </r>
  <r>
    <x v="16"/>
  </r>
  <r>
    <x v="28"/>
  </r>
  <r>
    <x v="27"/>
  </r>
  <r>
    <x v="6"/>
  </r>
  <r>
    <x v="8"/>
  </r>
  <r>
    <x v="8"/>
  </r>
  <r>
    <x v="130"/>
  </r>
  <r>
    <x v="1"/>
  </r>
  <r>
    <x v="1"/>
  </r>
  <r>
    <x v="2"/>
  </r>
  <r>
    <x v="2"/>
  </r>
  <r>
    <x v="0"/>
  </r>
  <r>
    <x v="16"/>
  </r>
  <r>
    <x v="46"/>
  </r>
  <r>
    <x v="0"/>
  </r>
  <r>
    <x v="16"/>
  </r>
  <r>
    <x v="12"/>
  </r>
  <r>
    <x v="12"/>
  </r>
  <r>
    <x v="12"/>
  </r>
  <r>
    <x v="12"/>
  </r>
  <r>
    <x v="57"/>
  </r>
  <r>
    <x v="57"/>
  </r>
  <r>
    <x v="2"/>
  </r>
  <r>
    <x v="42"/>
  </r>
  <r>
    <x v="10"/>
  </r>
  <r>
    <x v="10"/>
  </r>
  <r>
    <x v="16"/>
  </r>
  <r>
    <x v="16"/>
  </r>
  <r>
    <x v="42"/>
  </r>
  <r>
    <x v="0"/>
  </r>
  <r>
    <x v="0"/>
  </r>
  <r>
    <x v="0"/>
  </r>
  <r>
    <x v="0"/>
  </r>
  <r>
    <x v="9"/>
  </r>
  <r>
    <x v="9"/>
  </r>
  <r>
    <x v="16"/>
  </r>
  <r>
    <x v="115"/>
  </r>
  <r>
    <x v="57"/>
  </r>
  <r>
    <x v="0"/>
  </r>
  <r>
    <x v="28"/>
  </r>
  <r>
    <x v="16"/>
  </r>
  <r>
    <x v="48"/>
  </r>
  <r>
    <x v="16"/>
  </r>
  <r>
    <x v="16"/>
  </r>
  <r>
    <x v="16"/>
  </r>
  <r>
    <x v="2"/>
  </r>
  <r>
    <x v="2"/>
  </r>
  <r>
    <x v="57"/>
  </r>
  <r>
    <x v="57"/>
  </r>
  <r>
    <x v="57"/>
  </r>
  <r>
    <x v="12"/>
  </r>
  <r>
    <x v="4"/>
  </r>
  <r>
    <x v="4"/>
  </r>
  <r>
    <x v="0"/>
  </r>
  <r>
    <x v="0"/>
  </r>
  <r>
    <x v="14"/>
  </r>
  <r>
    <x v="16"/>
  </r>
  <r>
    <x v="46"/>
  </r>
  <r>
    <x v="56"/>
  </r>
  <r>
    <x v="16"/>
  </r>
  <r>
    <x v="12"/>
  </r>
  <r>
    <x v="56"/>
  </r>
  <r>
    <x v="28"/>
  </r>
  <r>
    <x v="28"/>
  </r>
  <r>
    <x v="12"/>
  </r>
  <r>
    <x v="14"/>
  </r>
  <r>
    <x v="45"/>
  </r>
  <r>
    <x v="57"/>
  </r>
  <r>
    <x v="57"/>
  </r>
  <r>
    <x v="1"/>
  </r>
  <r>
    <x v="1"/>
  </r>
  <r>
    <x v="21"/>
  </r>
  <r>
    <x v="4"/>
  </r>
  <r>
    <x v="16"/>
  </r>
  <r>
    <x v="39"/>
  </r>
  <r>
    <x v="7"/>
  </r>
  <r>
    <x v="16"/>
  </r>
  <r>
    <x v="0"/>
  </r>
  <r>
    <x v="10"/>
  </r>
  <r>
    <x v="42"/>
  </r>
  <r>
    <x v="64"/>
  </r>
  <r>
    <x v="64"/>
  </r>
  <r>
    <x v="4"/>
  </r>
  <r>
    <x v="4"/>
  </r>
  <r>
    <x v="16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6"/>
  </r>
  <r>
    <x v="28"/>
  </r>
  <r>
    <x v="12"/>
  </r>
  <r>
    <x v="12"/>
  </r>
  <r>
    <x v="52"/>
  </r>
  <r>
    <x v="12"/>
  </r>
  <r>
    <x v="43"/>
  </r>
  <r>
    <x v="17"/>
  </r>
  <r>
    <x v="17"/>
  </r>
  <r>
    <x v="16"/>
  </r>
  <r>
    <x v="64"/>
  </r>
  <r>
    <x v="28"/>
  </r>
  <r>
    <x v="16"/>
  </r>
  <r>
    <x v="12"/>
  </r>
  <r>
    <x v="17"/>
  </r>
  <r>
    <x v="16"/>
  </r>
  <r>
    <x v="4"/>
  </r>
  <r>
    <x v="16"/>
  </r>
  <r>
    <x v="2"/>
  </r>
  <r>
    <x v="1"/>
  </r>
  <r>
    <x v="1"/>
  </r>
  <r>
    <x v="0"/>
  </r>
  <r>
    <x v="45"/>
  </r>
  <r>
    <x v="28"/>
  </r>
  <r>
    <x v="28"/>
  </r>
  <r>
    <x v="14"/>
  </r>
  <r>
    <x v="81"/>
  </r>
  <r>
    <x v="55"/>
  </r>
  <r>
    <x v="64"/>
  </r>
  <r>
    <x v="48"/>
  </r>
  <r>
    <x v="142"/>
  </r>
  <r>
    <x v="0"/>
  </r>
  <r>
    <x v="29"/>
  </r>
  <r>
    <x v="29"/>
  </r>
  <r>
    <x v="0"/>
  </r>
  <r>
    <x v="0"/>
  </r>
  <r>
    <x v="12"/>
  </r>
  <r>
    <x v="16"/>
  </r>
  <r>
    <x v="12"/>
  </r>
  <r>
    <x v="16"/>
  </r>
  <r>
    <x v="16"/>
  </r>
  <r>
    <x v="64"/>
  </r>
  <r>
    <x v="1"/>
  </r>
  <r>
    <x v="1"/>
  </r>
  <r>
    <x v="115"/>
  </r>
  <r>
    <x v="115"/>
  </r>
  <r>
    <x v="16"/>
  </r>
  <r>
    <x v="27"/>
  </r>
  <r>
    <x v="131"/>
  </r>
  <r>
    <x v="27"/>
  </r>
  <r>
    <x v="2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4"/>
  </r>
  <r>
    <x v="42"/>
  </r>
  <r>
    <x v="12"/>
  </r>
  <r>
    <x v="12"/>
  </r>
  <r>
    <x v="135"/>
  </r>
  <r>
    <x v="143"/>
  </r>
  <r>
    <x v="71"/>
  </r>
  <r>
    <x v="71"/>
  </r>
  <r>
    <x v="111"/>
  </r>
  <r>
    <x v="102"/>
  </r>
  <r>
    <x v="9"/>
  </r>
  <r>
    <x v="9"/>
  </r>
  <r>
    <x v="9"/>
  </r>
  <r>
    <x v="9"/>
  </r>
  <r>
    <x v="4"/>
  </r>
  <r>
    <x v="4"/>
  </r>
  <r>
    <x v="4"/>
  </r>
  <r>
    <x v="4"/>
  </r>
  <r>
    <x v="155"/>
  </r>
  <r>
    <x v="155"/>
  </r>
  <r>
    <x v="155"/>
  </r>
  <r>
    <x v="7"/>
  </r>
  <r>
    <x v="24"/>
  </r>
  <r>
    <x v="115"/>
  </r>
  <r>
    <x v="115"/>
  </r>
  <r>
    <x v="10"/>
  </r>
  <r>
    <x v="52"/>
  </r>
  <r>
    <x v="0"/>
  </r>
  <r>
    <x v="0"/>
  </r>
  <r>
    <x v="42"/>
  </r>
  <r>
    <x v="12"/>
  </r>
  <r>
    <x v="24"/>
  </r>
  <r>
    <x v="24"/>
  </r>
  <r>
    <x v="42"/>
  </r>
  <r>
    <x v="10"/>
  </r>
  <r>
    <x v="2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35"/>
  </r>
  <r>
    <x v="4"/>
  </r>
  <r>
    <x v="4"/>
  </r>
  <r>
    <x v="71"/>
  </r>
  <r>
    <x v="86"/>
  </r>
  <r>
    <x v="86"/>
  </r>
  <r>
    <x v="86"/>
  </r>
  <r>
    <x v="86"/>
  </r>
  <r>
    <x v="28"/>
  </r>
  <r>
    <x v="135"/>
  </r>
  <r>
    <x v="135"/>
  </r>
  <r>
    <x v="135"/>
  </r>
  <r>
    <x v="14"/>
  </r>
  <r>
    <x v="0"/>
  </r>
  <r>
    <x v="0"/>
  </r>
  <r>
    <x v="28"/>
  </r>
  <r>
    <x v="34"/>
  </r>
  <r>
    <x v="12"/>
  </r>
  <r>
    <x v="12"/>
  </r>
  <r>
    <x v="2"/>
  </r>
  <r>
    <x v="135"/>
  </r>
  <r>
    <x v="135"/>
  </r>
  <r>
    <x v="4"/>
  </r>
  <r>
    <x v="10"/>
  </r>
  <r>
    <x v="135"/>
  </r>
  <r>
    <x v="9"/>
  </r>
  <r>
    <x v="4"/>
  </r>
  <r>
    <x v="4"/>
  </r>
  <r>
    <x v="4"/>
  </r>
  <r>
    <x v="7"/>
  </r>
  <r>
    <x v="135"/>
  </r>
  <r>
    <x v="135"/>
  </r>
  <r>
    <x v="0"/>
  </r>
  <r>
    <x v="0"/>
  </r>
  <r>
    <x v="16"/>
  </r>
  <r>
    <x v="4"/>
  </r>
  <r>
    <x v="14"/>
  </r>
  <r>
    <x v="71"/>
  </r>
  <r>
    <x v="71"/>
  </r>
  <r>
    <x v="71"/>
  </r>
  <r>
    <x v="11"/>
  </r>
  <r>
    <x v="42"/>
  </r>
  <r>
    <x v="64"/>
  </r>
  <r>
    <x v="64"/>
  </r>
  <r>
    <x v="64"/>
  </r>
  <r>
    <x v="11"/>
  </r>
  <r>
    <x v="56"/>
  </r>
  <r>
    <x v="56"/>
  </r>
  <r>
    <x v="12"/>
  </r>
  <r>
    <x v="57"/>
  </r>
  <r>
    <x v="28"/>
  </r>
  <r>
    <x v="19"/>
  </r>
  <r>
    <x v="53"/>
  </r>
  <r>
    <x v="12"/>
  </r>
  <r>
    <x v="12"/>
  </r>
  <r>
    <x v="12"/>
  </r>
  <r>
    <x v="12"/>
  </r>
  <r>
    <x v="12"/>
  </r>
  <r>
    <x v="12"/>
  </r>
  <r>
    <x v="12"/>
  </r>
  <r>
    <x v="12"/>
  </r>
  <r>
    <x v="71"/>
  </r>
  <r>
    <x v="39"/>
  </r>
  <r>
    <x v="39"/>
  </r>
  <r>
    <x v="9"/>
  </r>
  <r>
    <x v="12"/>
  </r>
  <r>
    <x v="12"/>
  </r>
  <r>
    <x v="12"/>
  </r>
  <r>
    <x v="9"/>
  </r>
  <r>
    <x v="144"/>
  </r>
  <r>
    <x v="34"/>
  </r>
  <r>
    <x v="34"/>
  </r>
  <r>
    <x v="12"/>
  </r>
  <r>
    <x v="0"/>
  </r>
  <r>
    <x v="0"/>
  </r>
  <r>
    <x v="86"/>
  </r>
  <r>
    <x v="12"/>
  </r>
  <r>
    <x v="7"/>
  </r>
  <r>
    <x v="7"/>
  </r>
  <r>
    <x v="21"/>
  </r>
  <r>
    <x v="12"/>
  </r>
  <r>
    <x v="12"/>
  </r>
  <r>
    <x v="144"/>
  </r>
  <r>
    <x v="34"/>
  </r>
  <r>
    <x v="17"/>
  </r>
  <r>
    <x v="17"/>
  </r>
  <r>
    <x v="17"/>
  </r>
  <r>
    <x v="17"/>
  </r>
  <r>
    <x v="17"/>
  </r>
  <r>
    <x v="53"/>
  </r>
  <r>
    <x v="144"/>
  </r>
  <r>
    <x v="144"/>
  </r>
  <r>
    <x v="144"/>
  </r>
  <r>
    <x v="10"/>
  </r>
  <r>
    <x v="9"/>
  </r>
  <r>
    <x v="17"/>
  </r>
  <r>
    <x v="34"/>
  </r>
  <r>
    <x v="21"/>
  </r>
  <r>
    <x v="12"/>
  </r>
  <r>
    <x v="12"/>
  </r>
  <r>
    <x v="12"/>
  </r>
  <r>
    <x v="16"/>
  </r>
  <r>
    <x v="4"/>
  </r>
  <r>
    <x v="21"/>
  </r>
  <r>
    <x v="34"/>
  </r>
  <r>
    <x v="7"/>
  </r>
  <r>
    <x v="86"/>
  </r>
  <r>
    <x v="86"/>
  </r>
  <r>
    <x v="7"/>
  </r>
  <r>
    <x v="7"/>
  </r>
  <r>
    <x v="86"/>
  </r>
  <r>
    <x v="86"/>
  </r>
  <r>
    <x v="142"/>
  </r>
  <r>
    <x v="63"/>
  </r>
  <r>
    <x v="57"/>
  </r>
  <r>
    <x v="12"/>
  </r>
  <r>
    <x v="11"/>
  </r>
  <r>
    <x v="11"/>
  </r>
  <r>
    <x v="21"/>
  </r>
  <r>
    <x v="14"/>
  </r>
  <r>
    <x v="14"/>
  </r>
  <r>
    <x v="1"/>
  </r>
  <r>
    <x v="42"/>
  </r>
  <r>
    <x v="131"/>
  </r>
  <r>
    <x v="42"/>
  </r>
  <r>
    <x v="0"/>
  </r>
  <r>
    <x v="24"/>
  </r>
  <r>
    <x v="7"/>
  </r>
  <r>
    <x v="7"/>
  </r>
  <r>
    <x v="19"/>
  </r>
  <r>
    <x v="24"/>
  </r>
  <r>
    <x v="4"/>
  </r>
  <r>
    <x v="71"/>
  </r>
  <r>
    <x v="42"/>
  </r>
  <r>
    <x v="71"/>
  </r>
  <r>
    <x v="71"/>
  </r>
  <r>
    <x v="10"/>
  </r>
  <r>
    <x v="63"/>
  </r>
  <r>
    <x v="42"/>
  </r>
  <r>
    <x v="12"/>
  </r>
  <r>
    <x v="53"/>
  </r>
  <r>
    <x v="53"/>
  </r>
  <r>
    <x v="8"/>
  </r>
  <r>
    <x v="45"/>
  </r>
  <r>
    <x v="71"/>
  </r>
  <r>
    <x v="12"/>
  </r>
  <r>
    <x v="57"/>
  </r>
  <r>
    <x v="42"/>
  </r>
  <r>
    <x v="42"/>
  </r>
  <r>
    <x v="42"/>
  </r>
  <r>
    <x v="42"/>
  </r>
  <r>
    <x v="12"/>
  </r>
  <r>
    <x v="71"/>
  </r>
  <r>
    <x v="71"/>
  </r>
  <r>
    <x v="71"/>
  </r>
  <r>
    <x v="131"/>
  </r>
  <r>
    <x v="71"/>
  </r>
  <r>
    <x v="42"/>
  </r>
  <r>
    <x v="42"/>
  </r>
  <r>
    <x v="71"/>
  </r>
  <r>
    <x v="71"/>
  </r>
  <r>
    <x v="42"/>
  </r>
  <r>
    <x v="42"/>
  </r>
  <r>
    <x v="28"/>
  </r>
  <r>
    <x v="28"/>
  </r>
  <r>
    <x v="52"/>
  </r>
  <r>
    <x v="52"/>
  </r>
  <r>
    <x v="71"/>
  </r>
  <r>
    <x v="52"/>
  </r>
  <r>
    <x v="52"/>
  </r>
  <r>
    <x v="42"/>
  </r>
  <r>
    <x v="45"/>
  </r>
  <r>
    <x v="42"/>
  </r>
  <r>
    <x v="9"/>
  </r>
  <r>
    <x v="1"/>
  </r>
  <r>
    <x v="1"/>
  </r>
  <r>
    <x v="1"/>
  </r>
  <r>
    <x v="1"/>
  </r>
  <r>
    <x v="31"/>
  </r>
  <r>
    <x v="28"/>
  </r>
  <r>
    <x v="71"/>
  </r>
  <r>
    <x v="42"/>
  </r>
  <r>
    <x v="42"/>
  </r>
  <r>
    <x v="86"/>
  </r>
  <r>
    <x v="86"/>
  </r>
  <r>
    <x v="56"/>
  </r>
  <r>
    <x v="56"/>
  </r>
  <r>
    <x v="31"/>
  </r>
  <r>
    <x v="4"/>
  </r>
  <r>
    <x v="4"/>
  </r>
  <r>
    <x v="4"/>
  </r>
  <r>
    <x v="0"/>
  </r>
  <r>
    <x v="37"/>
  </r>
  <r>
    <x v="31"/>
  </r>
  <r>
    <x v="37"/>
  </r>
  <r>
    <x v="42"/>
  </r>
  <r>
    <x v="42"/>
  </r>
  <r>
    <x v="4"/>
  </r>
  <r>
    <x v="42"/>
  </r>
  <r>
    <x v="42"/>
  </r>
  <r>
    <x v="42"/>
  </r>
  <r>
    <x v="42"/>
  </r>
  <r>
    <x v="7"/>
  </r>
  <r>
    <x v="135"/>
  </r>
  <r>
    <x v="42"/>
  </r>
  <r>
    <x v="42"/>
  </r>
  <r>
    <x v="42"/>
  </r>
  <r>
    <x v="42"/>
  </r>
  <r>
    <x v="4"/>
  </r>
  <r>
    <x v="4"/>
  </r>
  <r>
    <x v="42"/>
  </r>
  <r>
    <x v="12"/>
  </r>
  <r>
    <x v="45"/>
  </r>
  <r>
    <x v="45"/>
  </r>
  <r>
    <x v="4"/>
  </r>
  <r>
    <x v="4"/>
  </r>
  <r>
    <x v="53"/>
  </r>
  <r>
    <x v="0"/>
  </r>
  <r>
    <x v="12"/>
  </r>
  <r>
    <x v="53"/>
  </r>
  <r>
    <x v="12"/>
  </r>
  <r>
    <x v="0"/>
  </r>
  <r>
    <x v="0"/>
  </r>
  <r>
    <x v="9"/>
  </r>
  <r>
    <x v="4"/>
  </r>
  <r>
    <x v="4"/>
  </r>
  <r>
    <x v="14"/>
  </r>
  <r>
    <x v="37"/>
  </r>
  <r>
    <x v="11"/>
  </r>
  <r>
    <x v="4"/>
  </r>
  <r>
    <x v="31"/>
  </r>
  <r>
    <x v="17"/>
  </r>
  <r>
    <x v="42"/>
  </r>
  <r>
    <x v="4"/>
  </r>
  <r>
    <x v="45"/>
  </r>
  <r>
    <x v="45"/>
  </r>
  <r>
    <x v="24"/>
  </r>
  <r>
    <x v="45"/>
  </r>
  <r>
    <x v="39"/>
  </r>
  <r>
    <x v="115"/>
  </r>
  <r>
    <x v="53"/>
  </r>
  <r>
    <x v="53"/>
  </r>
  <r>
    <x v="2"/>
  </r>
  <r>
    <x v="22"/>
  </r>
  <r>
    <x v="53"/>
  </r>
  <r>
    <x v="14"/>
  </r>
  <r>
    <x v="53"/>
  </r>
  <r>
    <x v="0"/>
  </r>
  <r>
    <x v="53"/>
  </r>
  <r>
    <x v="53"/>
  </r>
  <r>
    <x v="71"/>
  </r>
  <r>
    <x v="4"/>
  </r>
  <r>
    <x v="4"/>
  </r>
  <r>
    <x v="53"/>
  </r>
  <r>
    <x v="115"/>
  </r>
  <r>
    <x v="0"/>
  </r>
  <r>
    <x v="42"/>
  </r>
  <r>
    <x v="31"/>
  </r>
  <r>
    <x v="7"/>
  </r>
  <r>
    <x v="71"/>
  </r>
  <r>
    <x v="71"/>
  </r>
  <r>
    <x v="53"/>
  </r>
  <r>
    <x v="42"/>
  </r>
  <r>
    <x v="42"/>
  </r>
  <r>
    <x v="42"/>
  </r>
  <r>
    <x v="42"/>
  </r>
  <r>
    <x v="11"/>
  </r>
  <r>
    <x v="11"/>
  </r>
  <r>
    <x v="11"/>
  </r>
  <r>
    <x v="4"/>
  </r>
  <r>
    <x v="4"/>
  </r>
  <r>
    <x v="28"/>
  </r>
  <r>
    <x v="12"/>
  </r>
  <r>
    <x v="7"/>
  </r>
  <r>
    <x v="24"/>
  </r>
  <r>
    <x v="24"/>
  </r>
  <r>
    <x v="14"/>
  </r>
  <r>
    <x v="31"/>
  </r>
  <r>
    <x v="28"/>
  </r>
  <r>
    <x v="253"/>
  </r>
  <r>
    <x v="115"/>
  </r>
  <r>
    <x v="253"/>
  </r>
  <r>
    <x v="24"/>
  </r>
  <r>
    <x v="14"/>
  </r>
  <r>
    <x v="14"/>
  </r>
  <r>
    <x v="71"/>
  </r>
  <r>
    <x v="71"/>
  </r>
  <r>
    <x v="28"/>
  </r>
  <r>
    <x v="14"/>
  </r>
  <r>
    <x v="71"/>
  </r>
  <r>
    <x v="42"/>
  </r>
  <r>
    <x v="52"/>
  </r>
  <r>
    <x v="52"/>
  </r>
  <r>
    <x v="52"/>
  </r>
  <r>
    <x v="0"/>
  </r>
  <r>
    <x v="0"/>
  </r>
  <r>
    <x v="71"/>
  </r>
  <r>
    <x v="71"/>
  </r>
  <r>
    <x v="42"/>
  </r>
  <r>
    <x v="71"/>
  </r>
  <r>
    <x v="71"/>
  </r>
  <r>
    <x v="71"/>
  </r>
  <r>
    <x v="71"/>
  </r>
  <r>
    <x v="144"/>
  </r>
  <r>
    <x v="0"/>
  </r>
  <r>
    <x v="0"/>
  </r>
  <r>
    <x v="71"/>
  </r>
  <r>
    <x v="42"/>
  </r>
  <r>
    <x v="71"/>
  </r>
  <r>
    <x v="14"/>
  </r>
  <r>
    <x v="42"/>
  </r>
  <r>
    <x v="42"/>
  </r>
  <r>
    <x v="0"/>
  </r>
  <r>
    <x v="14"/>
  </r>
  <r>
    <x v="0"/>
  </r>
  <r>
    <x v="42"/>
  </r>
  <r>
    <x v="42"/>
  </r>
  <r>
    <x v="0"/>
  </r>
  <r>
    <x v="42"/>
  </r>
  <r>
    <x v="42"/>
  </r>
  <r>
    <x v="42"/>
  </r>
  <r>
    <x v="52"/>
  </r>
  <r>
    <x v="52"/>
  </r>
  <r>
    <x v="216"/>
  </r>
  <r>
    <x v="216"/>
  </r>
  <r>
    <x v="216"/>
  </r>
  <r>
    <x v="216"/>
  </r>
  <r>
    <x v="14"/>
  </r>
  <r>
    <x v="14"/>
  </r>
  <r>
    <x v="17"/>
  </r>
  <r>
    <x v="162"/>
  </r>
  <r>
    <x v="162"/>
  </r>
  <r>
    <x v="162"/>
  </r>
  <r>
    <x v="34"/>
  </r>
  <r>
    <x v="34"/>
  </r>
  <r>
    <x v="21"/>
  </r>
  <r>
    <x v="142"/>
  </r>
  <r>
    <x v="14"/>
  </r>
  <r>
    <x v="17"/>
  </r>
  <r>
    <x v="0"/>
  </r>
  <r>
    <x v="0"/>
  </r>
  <r>
    <x v="19"/>
  </r>
  <r>
    <x v="17"/>
  </r>
  <r>
    <x v="17"/>
  </r>
  <r>
    <x v="17"/>
  </r>
  <r>
    <x v="216"/>
  </r>
  <r>
    <x v="17"/>
  </r>
  <r>
    <x v="17"/>
  </r>
  <r>
    <x v="48"/>
  </r>
  <r>
    <x v="162"/>
  </r>
  <r>
    <x v="14"/>
  </r>
  <r>
    <x v="14"/>
  </r>
  <r>
    <x v="14"/>
  </r>
  <r>
    <x v="37"/>
  </r>
  <r>
    <x v="71"/>
  </r>
  <r>
    <x v="15"/>
  </r>
  <r>
    <x v="4"/>
  </r>
  <r>
    <x v="14"/>
  </r>
  <r>
    <x v="4"/>
  </r>
  <r>
    <x v="11"/>
  </r>
  <r>
    <x v="12"/>
  </r>
  <r>
    <x v="11"/>
  </r>
  <r>
    <x v="19"/>
  </r>
  <r>
    <x v="21"/>
  </r>
  <r>
    <x v="19"/>
  </r>
  <r>
    <x v="42"/>
  </r>
  <r>
    <x v="42"/>
  </r>
  <r>
    <x v="42"/>
  </r>
  <r>
    <x v="42"/>
  </r>
  <r>
    <x v="42"/>
  </r>
  <r>
    <x v="42"/>
  </r>
  <r>
    <x v="14"/>
  </r>
  <r>
    <x v="48"/>
  </r>
  <r>
    <x v="1"/>
  </r>
  <r>
    <x v="1"/>
  </r>
  <r>
    <x v="24"/>
  </r>
  <r>
    <x v="386"/>
  </r>
  <r>
    <x v="12"/>
  </r>
  <r>
    <x v="12"/>
  </r>
  <r>
    <x v="135"/>
  </r>
  <r>
    <x v="14"/>
  </r>
  <r>
    <x v="14"/>
  </r>
  <r>
    <x v="42"/>
  </r>
  <r>
    <x v="42"/>
  </r>
  <r>
    <x v="135"/>
  </r>
  <r>
    <x v="135"/>
  </r>
  <r>
    <x v="56"/>
  </r>
  <r>
    <x v="12"/>
  </r>
  <r>
    <x v="12"/>
  </r>
  <r>
    <x v="14"/>
  </r>
  <r>
    <x v="64"/>
  </r>
  <r>
    <x v="11"/>
  </r>
  <r>
    <x v="2"/>
  </r>
  <r>
    <x v="53"/>
  </r>
  <r>
    <x v="71"/>
  </r>
  <r>
    <x v="14"/>
  </r>
  <r>
    <x v="16"/>
  </r>
  <r>
    <x v="170"/>
  </r>
  <r>
    <x v="48"/>
  </r>
  <r>
    <x v="14"/>
  </r>
  <r>
    <x v="12"/>
  </r>
  <r>
    <x v="12"/>
  </r>
  <r>
    <x v="12"/>
  </r>
  <r>
    <x v="14"/>
  </r>
  <r>
    <x v="131"/>
  </r>
  <r>
    <x v="12"/>
  </r>
  <r>
    <x v="12"/>
  </r>
  <r>
    <x v="12"/>
  </r>
  <r>
    <x v="42"/>
  </r>
  <r>
    <x v="2"/>
  </r>
  <r>
    <x v="4"/>
  </r>
  <r>
    <x v="4"/>
  </r>
  <r>
    <x v="4"/>
  </r>
  <r>
    <x v="39"/>
  </r>
  <r>
    <x v="8"/>
  </r>
  <r>
    <x v="42"/>
  </r>
  <r>
    <x v="12"/>
  </r>
  <r>
    <x v="42"/>
  </r>
  <r>
    <x v="86"/>
  </r>
  <r>
    <x v="19"/>
  </r>
  <r>
    <x v="7"/>
  </r>
  <r>
    <x v="11"/>
  </r>
  <r>
    <x v="135"/>
  </r>
  <r>
    <x v="135"/>
  </r>
  <r>
    <x v="79"/>
  </r>
  <r>
    <x v="79"/>
  </r>
  <r>
    <x v="34"/>
  </r>
  <r>
    <x v="7"/>
  </r>
  <r>
    <x v="131"/>
  </r>
  <r>
    <x v="12"/>
  </r>
  <r>
    <x v="1"/>
  </r>
  <r>
    <x v="1"/>
  </r>
  <r>
    <x v="12"/>
  </r>
  <r>
    <x v="12"/>
  </r>
  <r>
    <x v="12"/>
  </r>
  <r>
    <x v="12"/>
  </r>
  <r>
    <x v="12"/>
  </r>
  <r>
    <x v="56"/>
  </r>
  <r>
    <x v="8"/>
  </r>
  <r>
    <x v="162"/>
  </r>
  <r>
    <x v="42"/>
  </r>
  <r>
    <x v="27"/>
  </r>
  <r>
    <x v="27"/>
  </r>
  <r>
    <x v="135"/>
  </r>
  <r>
    <x v="2"/>
  </r>
  <r>
    <x v="144"/>
  </r>
  <r>
    <x v="37"/>
  </r>
  <r>
    <x v="37"/>
  </r>
  <r>
    <x v="37"/>
  </r>
  <r>
    <x v="4"/>
  </r>
  <r>
    <x v="19"/>
  </r>
  <r>
    <x v="0"/>
  </r>
  <r>
    <x v="57"/>
  </r>
  <r>
    <x v="28"/>
  </r>
  <r>
    <x v="14"/>
  </r>
  <r>
    <x v="135"/>
  </r>
  <r>
    <x v="135"/>
  </r>
  <r>
    <x v="42"/>
  </r>
  <r>
    <x v="56"/>
  </r>
  <r>
    <x v="142"/>
  </r>
  <r>
    <x v="142"/>
  </r>
  <r>
    <x v="14"/>
  </r>
  <r>
    <x v="54"/>
  </r>
  <r>
    <x v="86"/>
  </r>
  <r>
    <x v="48"/>
  </r>
  <r>
    <x v="48"/>
  </r>
  <r>
    <x v="71"/>
  </r>
  <r>
    <x v="7"/>
  </r>
  <r>
    <x v="71"/>
  </r>
  <r>
    <x v="71"/>
  </r>
  <r>
    <x v="2"/>
  </r>
  <r>
    <x v="2"/>
  </r>
  <r>
    <x v="2"/>
  </r>
  <r>
    <x v="7"/>
  </r>
  <r>
    <x v="86"/>
  </r>
  <r>
    <x v="53"/>
  </r>
  <r>
    <x v="53"/>
  </r>
  <r>
    <x v="53"/>
  </r>
  <r>
    <x v="53"/>
  </r>
  <r>
    <x v="53"/>
  </r>
  <r>
    <x v="7"/>
  </r>
  <r>
    <x v="22"/>
  </r>
  <r>
    <x v="131"/>
  </r>
  <r>
    <x v="131"/>
  </r>
  <r>
    <x v="131"/>
  </r>
  <r>
    <x v="131"/>
  </r>
  <r>
    <x v="9"/>
  </r>
  <r>
    <x v="42"/>
  </r>
  <r>
    <x v="42"/>
  </r>
  <r>
    <x v="42"/>
  </r>
  <r>
    <x v="27"/>
  </r>
  <r>
    <x v="135"/>
  </r>
  <r>
    <x v="135"/>
  </r>
  <r>
    <x v="34"/>
  </r>
  <r>
    <x v="34"/>
  </r>
  <r>
    <x v="9"/>
  </r>
  <r>
    <x v="9"/>
  </r>
  <r>
    <x v="9"/>
  </r>
  <r>
    <x v="9"/>
  </r>
  <r>
    <x v="9"/>
  </r>
  <r>
    <x v="4"/>
  </r>
  <r>
    <x v="9"/>
  </r>
  <r>
    <x v="53"/>
  </r>
  <r>
    <x v="53"/>
  </r>
  <r>
    <x v="4"/>
  </r>
  <r>
    <x v="4"/>
  </r>
  <r>
    <x v="37"/>
  </r>
  <r>
    <x v="37"/>
  </r>
  <r>
    <x v="14"/>
  </r>
  <r>
    <x v="27"/>
  </r>
  <r>
    <x v="27"/>
  </r>
  <r>
    <x v="27"/>
  </r>
  <r>
    <x v="135"/>
  </r>
  <r>
    <x v="9"/>
  </r>
  <r>
    <x v="71"/>
  </r>
  <r>
    <x v="71"/>
  </r>
  <r>
    <x v="71"/>
  </r>
  <r>
    <x v="71"/>
  </r>
  <r>
    <x v="16"/>
  </r>
  <r>
    <x v="14"/>
  </r>
  <r>
    <x v="42"/>
  </r>
  <r>
    <x v="135"/>
  </r>
  <r>
    <x v="53"/>
  </r>
  <r>
    <x v="53"/>
  </r>
  <r>
    <x v="53"/>
  </r>
  <r>
    <x v="53"/>
  </r>
  <r>
    <x v="42"/>
  </r>
  <r>
    <x v="9"/>
  </r>
  <r>
    <x v="4"/>
  </r>
  <r>
    <x v="4"/>
  </r>
  <r>
    <x v="71"/>
  </r>
  <r>
    <x v="42"/>
  </r>
  <r>
    <x v="42"/>
  </r>
  <r>
    <x v="71"/>
  </r>
  <r>
    <x v="4"/>
  </r>
  <r>
    <x v="4"/>
  </r>
  <r>
    <x v="1"/>
  </r>
  <r>
    <x v="0"/>
  </r>
  <r>
    <x v="43"/>
  </r>
  <r>
    <x v="22"/>
  </r>
  <r>
    <x v="7"/>
  </r>
  <r>
    <x v="21"/>
  </r>
  <r>
    <x v="43"/>
  </r>
  <r>
    <x v="63"/>
  </r>
  <r>
    <x v="14"/>
  </r>
  <r>
    <x v="14"/>
  </r>
  <r>
    <x v="86"/>
  </r>
  <r>
    <x v="86"/>
  </r>
  <r>
    <x v="86"/>
  </r>
  <r>
    <x v="71"/>
  </r>
  <r>
    <x v="12"/>
  </r>
  <r>
    <x v="12"/>
  </r>
  <r>
    <x v="4"/>
  </r>
  <r>
    <x v="4"/>
  </r>
  <r>
    <x v="0"/>
  </r>
  <r>
    <x v="12"/>
  </r>
  <r>
    <x v="28"/>
  </r>
  <r>
    <x v="17"/>
  </r>
  <r>
    <x v="0"/>
  </r>
  <r>
    <x v="42"/>
  </r>
  <r>
    <x v="8"/>
  </r>
  <r>
    <x v="8"/>
  </r>
  <r>
    <x v="86"/>
  </r>
  <r>
    <x v="11"/>
  </r>
  <r>
    <x v="0"/>
  </r>
  <r>
    <x v="0"/>
  </r>
  <r>
    <x v="0"/>
  </r>
  <r>
    <x v="42"/>
  </r>
  <r>
    <x v="53"/>
  </r>
  <r>
    <x v="137"/>
  </r>
  <r>
    <x v="14"/>
  </r>
  <r>
    <x v="14"/>
  </r>
  <r>
    <x v="14"/>
  </r>
  <r>
    <x v="14"/>
  </r>
  <r>
    <x v="130"/>
  </r>
  <r>
    <x v="130"/>
  </r>
  <r>
    <x v="130"/>
  </r>
  <r>
    <x v="4"/>
  </r>
  <r>
    <x v="4"/>
  </r>
  <r>
    <x v="11"/>
  </r>
  <r>
    <x v="11"/>
  </r>
  <r>
    <x v="86"/>
  </r>
  <r>
    <x v="4"/>
  </r>
  <r>
    <x v="4"/>
  </r>
  <r>
    <x v="4"/>
  </r>
  <r>
    <x v="4"/>
  </r>
  <r>
    <x v="4"/>
  </r>
  <r>
    <x v="4"/>
  </r>
  <r>
    <x v="4"/>
  </r>
  <r>
    <x v="24"/>
  </r>
  <r>
    <x v="42"/>
  </r>
  <r>
    <x v="142"/>
  </r>
  <r>
    <x v="142"/>
  </r>
  <r>
    <x v="142"/>
  </r>
  <r>
    <x v="142"/>
  </r>
  <r>
    <x v="12"/>
  </r>
  <r>
    <x v="42"/>
  </r>
  <r>
    <x v="42"/>
  </r>
  <r>
    <x v="45"/>
  </r>
  <r>
    <x v="4"/>
  </r>
  <r>
    <x v="142"/>
  </r>
  <r>
    <x v="4"/>
  </r>
  <r>
    <x v="45"/>
  </r>
  <r>
    <x v="0"/>
  </r>
  <r>
    <x v="15"/>
  </r>
  <r>
    <x v="4"/>
  </r>
  <r>
    <x v="15"/>
  </r>
  <r>
    <x v="28"/>
  </r>
  <r>
    <x v="16"/>
  </r>
  <r>
    <x v="4"/>
  </r>
  <r>
    <x v="135"/>
  </r>
  <r>
    <x v="4"/>
  </r>
  <r>
    <x v="24"/>
  </r>
  <r>
    <x v="0"/>
  </r>
  <r>
    <x v="0"/>
  </r>
  <r>
    <x v="11"/>
  </r>
  <r>
    <x v="11"/>
  </r>
  <r>
    <x v="135"/>
  </r>
  <r>
    <x v="6"/>
  </r>
  <r>
    <x v="55"/>
  </r>
  <r>
    <x v="2"/>
  </r>
  <r>
    <x v="2"/>
  </r>
  <r>
    <x v="2"/>
  </r>
  <r>
    <x v="144"/>
  </r>
  <r>
    <x v="64"/>
  </r>
  <r>
    <x v="10"/>
  </r>
  <r>
    <x v="115"/>
  </r>
  <r>
    <x v="115"/>
  </r>
  <r>
    <x v="115"/>
  </r>
  <r>
    <x v="4"/>
  </r>
  <r>
    <x v="71"/>
  </r>
  <r>
    <x v="28"/>
  </r>
  <r>
    <x v="28"/>
  </r>
  <r>
    <x v="28"/>
  </r>
  <r>
    <x v="0"/>
  </r>
  <r>
    <x v="115"/>
  </r>
  <r>
    <x v="71"/>
  </r>
  <r>
    <x v="71"/>
  </r>
  <r>
    <x v="17"/>
  </r>
  <r>
    <x v="53"/>
  </r>
  <r>
    <x v="53"/>
  </r>
  <r>
    <x v="71"/>
  </r>
  <r>
    <x v="71"/>
  </r>
  <r>
    <x v="42"/>
  </r>
  <r>
    <x v="4"/>
  </r>
  <r>
    <x v="8"/>
  </r>
  <r>
    <x v="71"/>
  </r>
  <r>
    <x v="71"/>
  </r>
  <r>
    <x v="12"/>
  </r>
  <r>
    <x v="4"/>
  </r>
  <r>
    <x v="42"/>
  </r>
  <r>
    <x v="1"/>
  </r>
  <r>
    <x v="52"/>
  </r>
  <r>
    <x v="52"/>
  </r>
  <r>
    <x v="4"/>
  </r>
  <r>
    <x v="4"/>
  </r>
  <r>
    <x v="4"/>
  </r>
  <r>
    <x v="142"/>
  </r>
  <r>
    <x v="62"/>
  </r>
  <r>
    <x v="2"/>
  </r>
  <r>
    <x v="4"/>
  </r>
  <r>
    <x v="11"/>
  </r>
  <r>
    <x v="11"/>
  </r>
  <r>
    <x v="37"/>
  </r>
  <r>
    <x v="37"/>
  </r>
  <r>
    <x v="2"/>
  </r>
  <r>
    <x v="2"/>
  </r>
  <r>
    <x v="64"/>
  </r>
  <r>
    <x v="0"/>
  </r>
  <r>
    <x v="0"/>
  </r>
  <r>
    <x v="162"/>
  </r>
  <r>
    <x v="0"/>
  </r>
  <r>
    <x v="12"/>
  </r>
  <r>
    <x v="12"/>
  </r>
  <r>
    <x v="12"/>
  </r>
  <r>
    <x v="12"/>
  </r>
  <r>
    <x v="253"/>
  </r>
  <r>
    <x v="12"/>
  </r>
  <r>
    <x v="12"/>
  </r>
  <r>
    <x v="12"/>
  </r>
  <r>
    <x v="64"/>
  </r>
  <r>
    <x v="12"/>
  </r>
  <r>
    <x v="115"/>
  </r>
  <r>
    <x v="11"/>
  </r>
  <r>
    <x v="11"/>
  </r>
  <r>
    <x v="4"/>
  </r>
  <r>
    <x v="4"/>
  </r>
  <r>
    <x v="12"/>
  </r>
  <r>
    <x v="11"/>
  </r>
  <r>
    <x v="86"/>
  </r>
  <r>
    <x v="11"/>
  </r>
  <r>
    <x v="71"/>
  </r>
  <r>
    <x v="4"/>
  </r>
  <r>
    <x v="4"/>
  </r>
  <r>
    <x v="53"/>
  </r>
  <r>
    <x v="17"/>
  </r>
  <r>
    <x v="0"/>
  </r>
  <r>
    <x v="14"/>
  </r>
  <r>
    <x v="12"/>
  </r>
  <r>
    <x v="7"/>
  </r>
  <r>
    <x v="45"/>
  </r>
  <r>
    <x v="0"/>
  </r>
  <r>
    <x v="12"/>
  </r>
  <r>
    <x v="12"/>
  </r>
  <r>
    <x v="86"/>
  </r>
  <r>
    <x v="0"/>
  </r>
  <r>
    <x v="7"/>
  </r>
  <r>
    <x v="14"/>
  </r>
  <r>
    <x v="12"/>
  </r>
  <r>
    <x v="12"/>
  </r>
  <r>
    <x v="1"/>
  </r>
  <r>
    <x v="8"/>
  </r>
  <r>
    <x v="8"/>
  </r>
  <r>
    <x v="8"/>
  </r>
  <r>
    <x v="8"/>
  </r>
  <r>
    <x v="28"/>
  </r>
  <r>
    <x v="42"/>
  </r>
  <r>
    <x v="8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6"/>
  </r>
  <r>
    <x v="71"/>
  </r>
  <r>
    <x v="2"/>
  </r>
  <r>
    <x v="34"/>
  </r>
  <r>
    <x v="4"/>
  </r>
  <r>
    <x v="1"/>
  </r>
  <r>
    <x v="4"/>
  </r>
  <r>
    <x v="12"/>
  </r>
  <r>
    <x v="12"/>
  </r>
  <r>
    <x v="12"/>
  </r>
  <r>
    <x v="37"/>
  </r>
  <r>
    <x v="24"/>
  </r>
  <r>
    <x v="24"/>
  </r>
  <r>
    <x v="142"/>
  </r>
  <r>
    <x v="8"/>
  </r>
  <r>
    <x v="8"/>
  </r>
  <r>
    <x v="8"/>
  </r>
  <r>
    <x v="8"/>
  </r>
  <r>
    <x v="59"/>
  </r>
  <r>
    <x v="46"/>
  </r>
  <r>
    <x v="21"/>
  </r>
  <r>
    <x v="21"/>
  </r>
  <r>
    <x v="53"/>
  </r>
  <r>
    <x v="12"/>
  </r>
  <r>
    <x v="169"/>
  </r>
  <r>
    <x v="21"/>
  </r>
  <r>
    <x v="12"/>
  </r>
  <r>
    <x v="11"/>
  </r>
  <r>
    <x v="21"/>
  </r>
  <r>
    <x v="21"/>
  </r>
  <r>
    <x v="21"/>
  </r>
  <r>
    <x v="57"/>
  </r>
  <r>
    <x v="53"/>
  </r>
  <r>
    <x v="53"/>
  </r>
  <r>
    <x v="53"/>
  </r>
  <r>
    <x v="14"/>
  </r>
  <r>
    <x v="14"/>
  </r>
  <r>
    <x v="14"/>
  </r>
  <r>
    <x v="9"/>
  </r>
  <r>
    <x v="2"/>
  </r>
  <r>
    <x v="8"/>
  </r>
  <r>
    <x v="7"/>
  </r>
  <r>
    <x v="12"/>
  </r>
  <r>
    <x v="22"/>
  </r>
  <r>
    <x v="0"/>
  </r>
  <r>
    <x v="53"/>
  </r>
  <r>
    <x v="57"/>
  </r>
  <r>
    <x v="12"/>
  </r>
  <r>
    <x v="57"/>
  </r>
  <r>
    <x v="81"/>
  </r>
  <r>
    <x v="12"/>
  </r>
  <r>
    <x v="48"/>
  </r>
  <r>
    <x v="12"/>
  </r>
  <r>
    <x v="169"/>
  </r>
  <r>
    <x v="131"/>
  </r>
  <r>
    <x v="0"/>
  </r>
  <r>
    <x v="0"/>
  </r>
  <r>
    <x v="0"/>
  </r>
  <r>
    <x v="169"/>
  </r>
  <r>
    <x v="12"/>
  </r>
  <r>
    <x v="12"/>
  </r>
  <r>
    <x v="115"/>
  </r>
  <r>
    <x v="0"/>
  </r>
  <r>
    <x v="16"/>
  </r>
  <r>
    <x v="0"/>
  </r>
  <r>
    <x v="12"/>
  </r>
  <r>
    <x v="4"/>
  </r>
  <r>
    <x v="24"/>
  </r>
  <r>
    <x v="24"/>
  </r>
  <r>
    <x v="4"/>
  </r>
  <r>
    <x v="0"/>
  </r>
  <r>
    <x v="4"/>
  </r>
  <r>
    <x v="115"/>
  </r>
  <r>
    <x v="115"/>
  </r>
  <r>
    <x v="71"/>
  </r>
  <r>
    <x v="0"/>
  </r>
  <r>
    <x v="42"/>
  </r>
  <r>
    <x v="71"/>
  </r>
  <r>
    <x v="4"/>
  </r>
  <r>
    <x v="71"/>
  </r>
  <r>
    <x v="57"/>
  </r>
  <r>
    <x v="115"/>
  </r>
  <r>
    <x v="19"/>
  </r>
  <r>
    <x v="42"/>
  </r>
  <r>
    <x v="115"/>
  </r>
  <r>
    <x v="1"/>
  </r>
  <r>
    <x v="12"/>
  </r>
  <r>
    <x v="53"/>
  </r>
  <r>
    <x v="130"/>
  </r>
  <r>
    <x v="77"/>
  </r>
  <r>
    <x v="10"/>
  </r>
  <r>
    <x v="16"/>
  </r>
  <r>
    <x v="28"/>
  </r>
  <r>
    <x v="17"/>
  </r>
  <r>
    <x v="154"/>
  </r>
  <r>
    <x v="16"/>
  </r>
  <r>
    <x v="16"/>
  </r>
  <r>
    <x v="16"/>
  </r>
  <r>
    <x v="14"/>
  </r>
  <r>
    <x v="4"/>
  </r>
  <r>
    <x v="22"/>
  </r>
  <r>
    <x v="0"/>
  </r>
  <r>
    <x v="1"/>
  </r>
  <r>
    <x v="4"/>
  </r>
  <r>
    <x v="142"/>
  </r>
  <r>
    <x v="31"/>
  </r>
  <r>
    <x v="0"/>
  </r>
  <r>
    <x v="71"/>
  </r>
  <r>
    <x v="71"/>
  </r>
  <r>
    <x v="4"/>
  </r>
  <r>
    <x v="151"/>
  </r>
  <r>
    <x v="56"/>
  </r>
  <r>
    <x v="42"/>
  </r>
  <r>
    <x v="0"/>
  </r>
  <r>
    <x v="14"/>
  </r>
  <r>
    <x v="12"/>
  </r>
  <r>
    <x v="4"/>
  </r>
  <r>
    <x v="42"/>
  </r>
  <r>
    <x v="42"/>
  </r>
  <r>
    <x v="42"/>
  </r>
  <r>
    <x v="42"/>
  </r>
  <r>
    <x v="42"/>
  </r>
  <r>
    <x v="42"/>
  </r>
  <r>
    <x v="42"/>
  </r>
  <r>
    <x v="53"/>
  </r>
  <r>
    <x v="53"/>
  </r>
  <r>
    <x v="53"/>
  </r>
  <r>
    <x v="53"/>
  </r>
  <r>
    <x v="14"/>
  </r>
  <r>
    <x v="14"/>
  </r>
  <r>
    <x v="12"/>
  </r>
  <r>
    <x v="28"/>
  </r>
  <r>
    <x v="10"/>
  </r>
  <r>
    <x v="39"/>
  </r>
  <r>
    <x v="10"/>
  </r>
  <r>
    <x v="12"/>
  </r>
  <r>
    <x v="28"/>
  </r>
  <r>
    <x v="123"/>
  </r>
  <r>
    <x v="40"/>
  </r>
  <r>
    <x v="17"/>
  </r>
  <r>
    <x v="17"/>
  </r>
  <r>
    <x v="4"/>
  </r>
  <r>
    <x v="24"/>
  </r>
  <r>
    <x v="86"/>
  </r>
  <r>
    <x v="24"/>
  </r>
  <r>
    <x v="60"/>
  </r>
  <r>
    <x v="12"/>
  </r>
  <r>
    <x v="12"/>
  </r>
  <r>
    <x v="12"/>
  </r>
  <r>
    <x v="176"/>
  </r>
  <r>
    <x v="176"/>
  </r>
  <r>
    <x v="176"/>
  </r>
  <r>
    <x v="176"/>
  </r>
  <r>
    <x v="176"/>
  </r>
  <r>
    <x v="176"/>
  </r>
  <r>
    <x v="37"/>
  </r>
  <r>
    <x v="12"/>
  </r>
  <r>
    <x v="12"/>
  </r>
  <r>
    <x v="12"/>
  </r>
  <r>
    <x v="39"/>
  </r>
  <r>
    <x v="39"/>
  </r>
  <r>
    <x v="39"/>
  </r>
  <r>
    <x v="39"/>
  </r>
  <r>
    <x v="12"/>
  </r>
  <r>
    <x v="53"/>
  </r>
  <r>
    <x v="42"/>
  </r>
  <r>
    <x v="76"/>
  </r>
  <r>
    <x v="19"/>
  </r>
  <r>
    <x v="19"/>
  </r>
  <r>
    <x v="12"/>
  </r>
  <r>
    <x v="253"/>
  </r>
  <r>
    <x v="42"/>
  </r>
  <r>
    <x v="53"/>
  </r>
  <r>
    <x v="19"/>
  </r>
  <r>
    <x v="4"/>
  </r>
  <r>
    <x v="12"/>
  </r>
  <r>
    <x v="28"/>
  </r>
  <r>
    <x v="28"/>
  </r>
  <r>
    <x v="12"/>
  </r>
  <r>
    <x v="14"/>
  </r>
  <r>
    <x v="63"/>
  </r>
  <r>
    <x v="12"/>
  </r>
  <r>
    <x v="28"/>
  </r>
  <r>
    <x v="12"/>
  </r>
  <r>
    <x v="11"/>
  </r>
  <r>
    <x v="12"/>
  </r>
  <r>
    <x v="12"/>
  </r>
  <r>
    <x v="12"/>
  </r>
  <r>
    <x v="0"/>
  </r>
  <r>
    <x v="17"/>
  </r>
  <r>
    <x v="0"/>
  </r>
  <r>
    <x v="24"/>
  </r>
  <r>
    <x v="51"/>
  </r>
  <r>
    <x v="0"/>
  </r>
  <r>
    <x v="0"/>
  </r>
  <r>
    <x v="0"/>
  </r>
  <r>
    <x v="0"/>
  </r>
  <r>
    <x v="1"/>
  </r>
  <r>
    <x v="1"/>
  </r>
  <r>
    <x v="1"/>
  </r>
  <r>
    <x v="28"/>
  </r>
  <r>
    <x v="0"/>
  </r>
  <r>
    <x v="16"/>
  </r>
  <r>
    <x v="16"/>
  </r>
  <r>
    <x v="54"/>
  </r>
  <r>
    <x v="57"/>
  </r>
  <r>
    <x v="123"/>
  </r>
  <r>
    <x v="0"/>
  </r>
  <r>
    <x v="199"/>
  </r>
  <r>
    <x v="76"/>
  </r>
  <r>
    <x v="24"/>
  </r>
  <r>
    <x v="25"/>
  </r>
  <r>
    <x v="76"/>
  </r>
  <r>
    <x v="25"/>
  </r>
  <r>
    <x v="25"/>
  </r>
  <r>
    <x v="25"/>
  </r>
  <r>
    <x v="76"/>
  </r>
  <r>
    <x v="76"/>
  </r>
  <r>
    <x v="124"/>
  </r>
  <r>
    <x v="81"/>
  </r>
  <r>
    <x v="28"/>
  </r>
  <r>
    <x v="28"/>
  </r>
  <r>
    <x v="0"/>
  </r>
  <r>
    <x v="8"/>
  </r>
  <r>
    <x v="8"/>
  </r>
  <r>
    <x v="10"/>
  </r>
  <r>
    <x v="29"/>
  </r>
  <r>
    <x v="0"/>
  </r>
  <r>
    <x v="0"/>
  </r>
  <r>
    <x v="76"/>
  </r>
  <r>
    <x v="76"/>
  </r>
  <r>
    <x v="76"/>
  </r>
  <r>
    <x v="76"/>
  </r>
  <r>
    <x v="7"/>
  </r>
  <r>
    <x v="10"/>
  </r>
  <r>
    <x v="10"/>
  </r>
  <r>
    <x v="10"/>
  </r>
  <r>
    <x v="0"/>
  </r>
  <r>
    <x v="42"/>
  </r>
  <r>
    <x v="4"/>
  </r>
  <r>
    <x v="42"/>
  </r>
  <r>
    <x v="10"/>
  </r>
  <r>
    <x v="53"/>
  </r>
  <r>
    <x v="53"/>
  </r>
  <r>
    <x v="52"/>
  </r>
  <r>
    <x v="42"/>
  </r>
  <r>
    <x v="42"/>
  </r>
  <r>
    <x v="42"/>
  </r>
  <r>
    <x v="42"/>
  </r>
  <r>
    <x v="45"/>
  </r>
  <r>
    <x v="143"/>
  </r>
  <r>
    <x v="16"/>
  </r>
  <r>
    <x v="42"/>
  </r>
  <r>
    <x v="9"/>
  </r>
  <r>
    <x v="10"/>
  </r>
  <r>
    <x v="22"/>
  </r>
  <r>
    <x v="51"/>
  </r>
  <r>
    <x v="55"/>
  </r>
  <r>
    <x v="40"/>
  </r>
  <r>
    <x v="40"/>
  </r>
  <r>
    <x v="14"/>
  </r>
  <r>
    <x v="22"/>
  </r>
  <r>
    <x v="40"/>
  </r>
  <r>
    <x v="40"/>
  </r>
  <r>
    <x v="40"/>
  </r>
  <r>
    <x v="40"/>
  </r>
  <r>
    <x v="40"/>
  </r>
  <r>
    <x v="40"/>
  </r>
  <r>
    <x v="8"/>
  </r>
  <r>
    <x v="87"/>
  </r>
  <r>
    <x v="171"/>
  </r>
  <r>
    <x v="52"/>
  </r>
  <r>
    <x v="0"/>
  </r>
  <r>
    <x v="0"/>
  </r>
  <r>
    <x v="0"/>
  </r>
  <r>
    <x v="0"/>
  </r>
  <r>
    <x v="0"/>
  </r>
  <r>
    <x v="0"/>
  </r>
  <r>
    <x v="37"/>
  </r>
  <r>
    <x v="87"/>
  </r>
  <r>
    <x v="12"/>
  </r>
  <r>
    <x v="126"/>
  </r>
  <r>
    <x v="14"/>
  </r>
  <r>
    <x v="14"/>
  </r>
  <r>
    <x v="14"/>
  </r>
  <r>
    <x v="14"/>
  </r>
  <r>
    <x v="14"/>
  </r>
  <r>
    <x v="14"/>
  </r>
  <r>
    <x v="11"/>
  </r>
  <r>
    <x v="11"/>
  </r>
  <r>
    <x v="12"/>
  </r>
  <r>
    <x v="64"/>
  </r>
  <r>
    <x v="12"/>
  </r>
  <r>
    <x v="12"/>
  </r>
  <r>
    <x v="7"/>
  </r>
  <r>
    <x v="7"/>
  </r>
  <r>
    <x v="17"/>
  </r>
  <r>
    <x v="31"/>
  </r>
  <r>
    <x v="21"/>
  </r>
  <r>
    <x v="37"/>
  </r>
  <r>
    <x v="18"/>
  </r>
  <r>
    <x v="14"/>
  </r>
  <r>
    <x v="14"/>
  </r>
  <r>
    <x v="24"/>
  </r>
  <r>
    <x v="111"/>
  </r>
  <r>
    <x v="4"/>
  </r>
  <r>
    <x v="0"/>
  </r>
  <r>
    <x v="2"/>
  </r>
  <r>
    <x v="17"/>
  </r>
  <r>
    <x v="8"/>
  </r>
  <r>
    <x v="8"/>
  </r>
  <r>
    <x v="8"/>
  </r>
  <r>
    <x v="21"/>
  </r>
  <r>
    <x v="12"/>
  </r>
  <r>
    <x v="31"/>
  </r>
  <r>
    <x v="0"/>
  </r>
  <r>
    <x v="12"/>
  </r>
  <r>
    <x v="115"/>
  </r>
  <r>
    <x v="11"/>
  </r>
  <r>
    <x v="45"/>
  </r>
  <r>
    <x v="45"/>
  </r>
  <r>
    <x v="45"/>
  </r>
  <r>
    <x v="12"/>
  </r>
  <r>
    <x v="87"/>
  </r>
  <r>
    <x v="130"/>
  </r>
  <r>
    <x v="32"/>
  </r>
  <r>
    <x v="11"/>
  </r>
  <r>
    <x v="49"/>
  </r>
  <r>
    <x v="12"/>
  </r>
  <r>
    <x v="2"/>
  </r>
  <r>
    <x v="22"/>
  </r>
  <r>
    <x v="51"/>
  </r>
  <r>
    <x v="51"/>
  </r>
  <r>
    <x v="21"/>
  </r>
  <r>
    <x v="64"/>
  </r>
  <r>
    <x v="40"/>
  </r>
  <r>
    <x v="64"/>
  </r>
  <r>
    <x v="64"/>
  </r>
  <r>
    <x v="14"/>
  </r>
  <r>
    <x v="14"/>
  </r>
  <r>
    <x v="14"/>
  </r>
  <r>
    <x v="11"/>
  </r>
  <r>
    <x v="11"/>
  </r>
  <r>
    <x v="14"/>
  </r>
  <r>
    <x v="14"/>
  </r>
  <r>
    <x v="14"/>
  </r>
  <r>
    <x v="17"/>
  </r>
  <r>
    <x v="28"/>
  </r>
  <r>
    <x v="17"/>
  </r>
  <r>
    <x v="12"/>
  </r>
  <r>
    <x v="0"/>
  </r>
  <r>
    <x v="45"/>
  </r>
  <r>
    <x v="12"/>
  </r>
  <r>
    <x v="89"/>
  </r>
  <r>
    <x v="17"/>
  </r>
  <r>
    <x v="48"/>
  </r>
  <r>
    <x v="28"/>
  </r>
  <r>
    <x v="0"/>
  </r>
  <r>
    <x v="17"/>
  </r>
  <r>
    <x v="14"/>
  </r>
  <r>
    <x v="14"/>
  </r>
  <r>
    <x v="14"/>
  </r>
  <r>
    <x v="14"/>
  </r>
  <r>
    <x v="14"/>
  </r>
  <r>
    <x v="14"/>
  </r>
  <r>
    <x v="14"/>
  </r>
  <r>
    <x v="14"/>
  </r>
  <r>
    <x v="16"/>
  </r>
  <r>
    <x v="64"/>
  </r>
  <r>
    <x v="41"/>
  </r>
  <r>
    <x v="62"/>
  </r>
  <r>
    <x v="62"/>
  </r>
  <r>
    <x v="45"/>
  </r>
  <r>
    <x v="61"/>
  </r>
  <r>
    <x v="14"/>
  </r>
  <r>
    <x v="37"/>
  </r>
  <r>
    <x v="16"/>
  </r>
  <r>
    <x v="9"/>
  </r>
  <r>
    <x v="115"/>
  </r>
  <r>
    <x v="10"/>
  </r>
  <r>
    <x v="55"/>
  </r>
  <r>
    <x v="28"/>
  </r>
  <r>
    <x v="28"/>
  </r>
  <r>
    <x v="28"/>
  </r>
  <r>
    <x v="28"/>
  </r>
  <r>
    <x v="22"/>
  </r>
  <r>
    <x v="22"/>
  </r>
  <r>
    <x v="25"/>
  </r>
  <r>
    <x v="0"/>
  </r>
  <r>
    <x v="2"/>
  </r>
  <r>
    <x v="0"/>
  </r>
  <r>
    <x v="14"/>
  </r>
  <r>
    <x v="45"/>
  </r>
  <r>
    <x v="37"/>
  </r>
  <r>
    <x v="115"/>
  </r>
  <r>
    <x v="16"/>
  </r>
  <r>
    <x v="16"/>
  </r>
  <r>
    <x v="16"/>
  </r>
  <r>
    <x v="16"/>
  </r>
  <r>
    <x v="14"/>
  </r>
  <r>
    <x v="49"/>
  </r>
  <r>
    <x v="49"/>
  </r>
  <r>
    <x v="49"/>
  </r>
  <r>
    <x v="12"/>
  </r>
  <r>
    <x v="29"/>
  </r>
  <r>
    <x v="45"/>
  </r>
  <r>
    <x v="45"/>
  </r>
  <r>
    <x v="24"/>
  </r>
  <r>
    <x v="24"/>
  </r>
  <r>
    <x v="21"/>
  </r>
  <r>
    <x v="10"/>
  </r>
  <r>
    <x v="52"/>
  </r>
  <r>
    <x v="166"/>
  </r>
  <r>
    <x v="7"/>
  </r>
  <r>
    <x v="7"/>
  </r>
  <r>
    <x v="11"/>
  </r>
  <r>
    <x v="10"/>
  </r>
  <r>
    <x v="10"/>
  </r>
  <r>
    <x v="48"/>
  </r>
  <r>
    <x v="30"/>
  </r>
  <r>
    <x v="4"/>
  </r>
  <r>
    <x v="28"/>
  </r>
  <r>
    <x v="12"/>
  </r>
  <r>
    <x v="17"/>
  </r>
  <r>
    <x v="10"/>
  </r>
  <r>
    <x v="11"/>
  </r>
  <r>
    <x v="31"/>
  </r>
  <r>
    <x v="51"/>
  </r>
  <r>
    <x v="14"/>
  </r>
  <r>
    <x v="48"/>
  </r>
  <r>
    <x v="17"/>
  </r>
  <r>
    <x v="12"/>
  </r>
  <r>
    <x v="115"/>
  </r>
  <r>
    <x v="14"/>
  </r>
  <r>
    <x v="2"/>
  </r>
  <r>
    <x v="28"/>
  </r>
  <r>
    <x v="48"/>
  </r>
  <r>
    <x v="4"/>
  </r>
  <r>
    <x v="225"/>
  </r>
  <r>
    <x v="14"/>
  </r>
  <r>
    <x v="14"/>
  </r>
  <r>
    <x v="14"/>
  </r>
  <r>
    <x v="17"/>
  </r>
  <r>
    <x v="71"/>
  </r>
  <r>
    <x v="0"/>
  </r>
  <r>
    <x v="24"/>
  </r>
  <r>
    <x v="21"/>
  </r>
  <r>
    <x v="231"/>
  </r>
  <r>
    <x v="14"/>
  </r>
  <r>
    <x v="231"/>
  </r>
  <r>
    <x v="0"/>
  </r>
  <r>
    <x v="17"/>
  </r>
  <r>
    <x v="14"/>
  </r>
  <r>
    <x v="17"/>
  </r>
  <r>
    <x v="17"/>
  </r>
  <r>
    <x v="71"/>
  </r>
  <r>
    <x v="12"/>
  </r>
  <r>
    <x v="12"/>
  </r>
  <r>
    <x v="12"/>
  </r>
  <r>
    <x v="12"/>
  </r>
  <r>
    <x v="12"/>
  </r>
  <r>
    <x v="12"/>
  </r>
  <r>
    <x v="12"/>
  </r>
  <r>
    <x v="42"/>
  </r>
  <r>
    <x v="12"/>
  </r>
  <r>
    <x v="52"/>
  </r>
  <r>
    <x v="10"/>
  </r>
  <r>
    <x v="10"/>
  </r>
  <r>
    <x v="8"/>
  </r>
  <r>
    <x v="14"/>
  </r>
  <r>
    <x v="48"/>
  </r>
  <r>
    <x v="123"/>
  </r>
  <r>
    <x v="12"/>
  </r>
  <r>
    <x v="17"/>
  </r>
  <r>
    <x v="55"/>
  </r>
  <r>
    <x v="87"/>
  </r>
  <r>
    <x v="12"/>
  </r>
  <r>
    <x v="0"/>
  </r>
  <r>
    <x v="0"/>
  </r>
  <r>
    <x v="0"/>
  </r>
  <r>
    <x v="12"/>
  </r>
  <r>
    <x v="26"/>
  </r>
  <r>
    <x v="16"/>
  </r>
  <r>
    <x v="16"/>
  </r>
  <r>
    <x v="10"/>
  </r>
  <r>
    <x v="24"/>
  </r>
  <r>
    <x v="14"/>
  </r>
  <r>
    <x v="14"/>
  </r>
  <r>
    <x v="14"/>
  </r>
  <r>
    <x v="52"/>
  </r>
  <r>
    <x v="76"/>
  </r>
  <r>
    <x v="34"/>
  </r>
  <r>
    <x v="78"/>
  </r>
  <r>
    <x v="12"/>
  </r>
  <r>
    <x v="10"/>
  </r>
  <r>
    <x v="24"/>
  </r>
  <r>
    <x v="45"/>
  </r>
  <r>
    <x v="46"/>
  </r>
  <r>
    <x v="45"/>
  </r>
  <r>
    <x v="22"/>
  </r>
  <r>
    <x v="45"/>
  </r>
  <r>
    <x v="22"/>
  </r>
  <r>
    <x v="22"/>
  </r>
  <r>
    <x v="26"/>
  </r>
  <r>
    <x v="71"/>
  </r>
  <r>
    <x v="31"/>
  </r>
  <r>
    <x v="14"/>
  </r>
  <r>
    <x v="12"/>
  </r>
  <r>
    <x v="48"/>
  </r>
  <r>
    <x v="48"/>
  </r>
  <r>
    <x v="77"/>
  </r>
  <r>
    <x v="48"/>
  </r>
  <r>
    <x v="42"/>
  </r>
  <r>
    <x v="53"/>
  </r>
  <r>
    <x v="10"/>
  </r>
  <r>
    <x v="45"/>
  </r>
  <r>
    <x v="14"/>
  </r>
  <r>
    <x v="4"/>
  </r>
  <r>
    <x v="48"/>
  </r>
  <r>
    <x v="45"/>
  </r>
  <r>
    <x v="14"/>
  </r>
  <r>
    <x v="10"/>
  </r>
  <r>
    <x v="126"/>
  </r>
  <r>
    <x v="4"/>
  </r>
  <r>
    <x v="37"/>
  </r>
  <r>
    <x v="37"/>
  </r>
  <r>
    <x v="55"/>
  </r>
  <r>
    <x v="55"/>
  </r>
  <r>
    <x v="0"/>
  </r>
  <r>
    <x v="17"/>
  </r>
  <r>
    <x v="22"/>
  </r>
  <r>
    <x v="7"/>
  </r>
  <r>
    <x v="22"/>
  </r>
  <r>
    <x v="24"/>
  </r>
  <r>
    <x v="0"/>
  </r>
  <r>
    <x v="12"/>
  </r>
  <r>
    <x v="52"/>
  </r>
  <r>
    <x v="8"/>
  </r>
  <r>
    <x v="8"/>
  </r>
  <r>
    <x v="8"/>
  </r>
  <r>
    <x v="8"/>
  </r>
  <r>
    <x v="17"/>
  </r>
  <r>
    <x v="17"/>
  </r>
  <r>
    <x v="78"/>
  </r>
  <r>
    <x v="49"/>
  </r>
  <r>
    <x v="62"/>
  </r>
  <r>
    <x v="0"/>
  </r>
  <r>
    <x v="0"/>
  </r>
  <r>
    <x v="78"/>
  </r>
  <r>
    <x v="48"/>
  </r>
  <r>
    <x v="0"/>
  </r>
  <r>
    <x v="0"/>
  </r>
  <r>
    <x v="22"/>
  </r>
  <r>
    <x v="126"/>
  </r>
  <r>
    <x v="126"/>
  </r>
  <r>
    <x v="126"/>
  </r>
  <r>
    <x v="53"/>
  </r>
  <r>
    <x v="17"/>
  </r>
  <r>
    <x v="17"/>
  </r>
  <r>
    <x v="17"/>
  </r>
  <r>
    <x v="37"/>
  </r>
  <r>
    <x v="28"/>
  </r>
  <r>
    <x v="14"/>
  </r>
  <r>
    <x v="77"/>
  </r>
  <r>
    <x v="14"/>
  </r>
  <r>
    <x v="11"/>
  </r>
  <r>
    <x v="12"/>
  </r>
  <r>
    <x v="49"/>
  </r>
  <r>
    <x v="71"/>
  </r>
  <r>
    <x v="48"/>
  </r>
  <r>
    <x v="14"/>
  </r>
  <r>
    <x v="14"/>
  </r>
  <r>
    <x v="46"/>
  </r>
  <r>
    <x v="46"/>
  </r>
  <r>
    <x v="29"/>
  </r>
  <r>
    <x v="29"/>
  </r>
  <r>
    <x v="65"/>
  </r>
  <r>
    <x v="65"/>
  </r>
  <r>
    <x v="126"/>
  </r>
  <r>
    <x v="48"/>
  </r>
  <r>
    <x v="1"/>
  </r>
  <r>
    <x v="21"/>
  </r>
  <r>
    <x v="8"/>
  </r>
  <r>
    <x v="34"/>
  </r>
  <r>
    <x v="10"/>
  </r>
  <r>
    <x v="115"/>
  </r>
  <r>
    <x v="61"/>
  </r>
  <r>
    <x v="61"/>
  </r>
  <r>
    <x v="14"/>
  </r>
  <r>
    <x v="12"/>
  </r>
  <r>
    <x v="17"/>
  </r>
  <r>
    <x v="11"/>
  </r>
  <r>
    <x v="123"/>
  </r>
  <r>
    <x v="48"/>
  </r>
  <r>
    <x v="71"/>
  </r>
  <r>
    <x v="4"/>
  </r>
  <r>
    <x v="22"/>
  </r>
  <r>
    <x v="14"/>
  </r>
  <r>
    <x v="87"/>
  </r>
  <r>
    <x v="2"/>
  </r>
  <r>
    <x v="16"/>
  </r>
  <r>
    <x v="12"/>
  </r>
  <r>
    <x v="12"/>
  </r>
  <r>
    <x v="28"/>
  </r>
  <r>
    <x v="11"/>
  </r>
  <r>
    <x v="11"/>
  </r>
  <r>
    <x v="11"/>
  </r>
  <r>
    <x v="12"/>
  </r>
  <r>
    <x v="115"/>
  </r>
  <r>
    <x v="115"/>
  </r>
  <r>
    <x v="46"/>
  </r>
  <r>
    <x v="112"/>
  </r>
  <r>
    <x v="24"/>
  </r>
  <r>
    <x v="24"/>
  </r>
  <r>
    <x v="14"/>
  </r>
  <r>
    <x v="60"/>
  </r>
  <r>
    <x v="60"/>
  </r>
  <r>
    <x v="19"/>
  </r>
  <r>
    <x v="64"/>
  </r>
  <r>
    <x v="60"/>
  </r>
  <r>
    <x v="62"/>
  </r>
  <r>
    <x v="60"/>
  </r>
  <r>
    <x v="7"/>
  </r>
  <r>
    <x v="17"/>
  </r>
  <r>
    <x v="17"/>
  </r>
  <r>
    <x v="22"/>
  </r>
  <r>
    <x v="78"/>
  </r>
  <r>
    <x v="48"/>
  </r>
  <r>
    <x v="0"/>
  </r>
  <r>
    <x v="53"/>
  </r>
  <r>
    <x v="11"/>
  </r>
  <r>
    <x v="11"/>
  </r>
  <r>
    <x v="40"/>
  </r>
  <r>
    <x v="14"/>
  </r>
  <r>
    <x v="61"/>
  </r>
  <r>
    <x v="14"/>
  </r>
  <r>
    <x v="60"/>
  </r>
  <r>
    <x v="17"/>
  </r>
  <r>
    <x v="45"/>
  </r>
  <r>
    <x v="14"/>
  </r>
  <r>
    <x v="7"/>
  </r>
  <r>
    <x v="10"/>
  </r>
  <r>
    <x v="14"/>
  </r>
  <r>
    <x v="32"/>
  </r>
  <r>
    <x v="7"/>
  </r>
  <r>
    <x v="14"/>
  </r>
  <r>
    <x v="14"/>
  </r>
  <r>
    <x v="131"/>
  </r>
  <r>
    <x v="14"/>
  </r>
  <r>
    <x v="2"/>
  </r>
  <r>
    <x v="2"/>
  </r>
  <r>
    <x v="14"/>
  </r>
  <r>
    <x v="142"/>
  </r>
  <r>
    <x v="52"/>
  </r>
  <r>
    <x v="0"/>
  </r>
  <r>
    <x v="0"/>
  </r>
  <r>
    <x v="0"/>
  </r>
  <r>
    <x v="0"/>
  </r>
  <r>
    <x v="58"/>
  </r>
  <r>
    <x v="21"/>
  </r>
  <r>
    <x v="17"/>
  </r>
  <r>
    <x v="17"/>
  </r>
  <r>
    <x v="17"/>
  </r>
  <r>
    <x v="17"/>
  </r>
  <r>
    <x v="2"/>
  </r>
  <r>
    <x v="6"/>
  </r>
  <r>
    <x v="6"/>
  </r>
  <r>
    <x v="14"/>
  </r>
  <r>
    <x v="61"/>
  </r>
  <r>
    <x v="48"/>
  </r>
  <r>
    <x v="4"/>
  </r>
  <r>
    <x v="1"/>
  </r>
  <r>
    <x v="14"/>
  </r>
  <r>
    <x v="14"/>
  </r>
  <r>
    <x v="48"/>
  </r>
  <r>
    <x v="48"/>
  </r>
  <r>
    <x v="48"/>
  </r>
  <r>
    <x v="14"/>
  </r>
  <r>
    <x v="14"/>
  </r>
  <r>
    <x v="56"/>
  </r>
  <r>
    <x v="56"/>
  </r>
  <r>
    <x v="56"/>
  </r>
  <r>
    <x v="22"/>
  </r>
  <r>
    <x v="22"/>
  </r>
  <r>
    <x v="22"/>
  </r>
  <r>
    <x v="22"/>
  </r>
  <r>
    <x v="15"/>
  </r>
  <r>
    <x v="22"/>
  </r>
  <r>
    <x v="22"/>
  </r>
  <r>
    <x v="22"/>
  </r>
  <r>
    <x v="22"/>
  </r>
  <r>
    <x v="1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37"/>
  </r>
  <r>
    <x v="28"/>
  </r>
  <r>
    <x v="14"/>
  </r>
  <r>
    <x v="14"/>
  </r>
  <r>
    <x v="53"/>
  </r>
  <r>
    <x v="14"/>
  </r>
  <r>
    <x v="37"/>
  </r>
  <r>
    <x v="7"/>
  </r>
  <r>
    <x v="14"/>
  </r>
  <r>
    <x v="14"/>
  </r>
  <r>
    <x v="14"/>
  </r>
  <r>
    <x v="14"/>
  </r>
  <r>
    <x v="14"/>
  </r>
  <r>
    <x v="14"/>
  </r>
  <r>
    <x v="22"/>
  </r>
  <r>
    <x v="22"/>
  </r>
  <r>
    <x v="22"/>
  </r>
  <r>
    <x v="22"/>
  </r>
  <r>
    <x v="22"/>
  </r>
  <r>
    <x v="22"/>
  </r>
  <r>
    <x v="32"/>
  </r>
  <r>
    <x v="28"/>
  </r>
  <r>
    <x v="16"/>
  </r>
  <r>
    <x v="16"/>
  </r>
  <r>
    <x v="16"/>
  </r>
  <r>
    <x v="16"/>
  </r>
  <r>
    <x v="16"/>
  </r>
  <r>
    <x v="16"/>
  </r>
  <r>
    <x v="16"/>
  </r>
  <r>
    <x v="14"/>
  </r>
  <r>
    <x v="14"/>
  </r>
  <r>
    <x v="40"/>
  </r>
  <r>
    <x v="0"/>
  </r>
  <r>
    <x v="11"/>
  </r>
  <r>
    <x v="37"/>
  </r>
  <r>
    <x v="16"/>
  </r>
  <r>
    <x v="9"/>
  </r>
  <r>
    <x v="16"/>
  </r>
  <r>
    <x v="16"/>
  </r>
  <r>
    <x v="16"/>
  </r>
  <r>
    <x v="16"/>
  </r>
  <r>
    <x v="76"/>
  </r>
  <r>
    <x v="276"/>
  </r>
  <r>
    <x v="48"/>
  </r>
  <r>
    <x v="114"/>
  </r>
  <r>
    <x v="63"/>
  </r>
  <r>
    <x v="108"/>
  </r>
  <r>
    <x v="63"/>
  </r>
  <r>
    <x v="63"/>
  </r>
  <r>
    <x v="12"/>
  </r>
  <r>
    <x v="14"/>
  </r>
  <r>
    <x v="190"/>
  </r>
  <r>
    <x v="190"/>
  </r>
  <r>
    <x v="190"/>
  </r>
  <r>
    <x v="28"/>
  </r>
  <r>
    <x v="14"/>
  </r>
  <r>
    <x v="112"/>
  </r>
  <r>
    <x v="14"/>
  </r>
  <r>
    <x v="14"/>
  </r>
  <r>
    <x v="0"/>
  </r>
  <r>
    <x v="79"/>
  </r>
  <r>
    <x v="10"/>
  </r>
  <r>
    <x v="87"/>
  </r>
  <r>
    <x v="16"/>
  </r>
  <r>
    <x v="17"/>
  </r>
  <r>
    <x v="14"/>
  </r>
  <r>
    <x v="0"/>
  </r>
  <r>
    <x v="28"/>
  </r>
  <r>
    <x v="10"/>
  </r>
  <r>
    <x v="24"/>
  </r>
  <r>
    <x v="28"/>
  </r>
  <r>
    <x v="41"/>
  </r>
  <r>
    <x v="79"/>
  </r>
  <r>
    <x v="79"/>
  </r>
  <r>
    <x v="14"/>
  </r>
  <r>
    <x v="10"/>
  </r>
  <r>
    <x v="106"/>
  </r>
  <r>
    <x v="34"/>
  </r>
  <r>
    <x v="48"/>
  </r>
  <r>
    <x v="4"/>
  </r>
  <r>
    <x v="10"/>
  </r>
  <r>
    <x v="10"/>
  </r>
  <r>
    <x v="14"/>
  </r>
  <r>
    <x v="22"/>
  </r>
  <r>
    <x v="51"/>
  </r>
  <r>
    <x v="7"/>
  </r>
  <r>
    <x v="17"/>
  </r>
  <r>
    <x v="17"/>
  </r>
  <r>
    <x v="17"/>
  </r>
  <r>
    <x v="0"/>
  </r>
  <r>
    <x v="0"/>
  </r>
  <r>
    <x v="37"/>
  </r>
  <r>
    <x v="28"/>
  </r>
  <r>
    <x v="28"/>
  </r>
  <r>
    <x v="28"/>
  </r>
  <r>
    <x v="28"/>
  </r>
  <r>
    <x v="28"/>
  </r>
  <r>
    <x v="14"/>
  </r>
  <r>
    <x v="0"/>
  </r>
  <r>
    <x v="17"/>
  </r>
  <r>
    <x v="17"/>
  </r>
  <r>
    <x v="57"/>
  </r>
  <r>
    <x v="57"/>
  </r>
  <r>
    <x v="17"/>
  </r>
  <r>
    <x v="17"/>
  </r>
  <r>
    <x v="17"/>
  </r>
  <r>
    <x v="12"/>
  </r>
  <r>
    <x v="11"/>
  </r>
  <r>
    <x v="14"/>
  </r>
  <r>
    <x v="14"/>
  </r>
  <r>
    <x v="14"/>
  </r>
  <r>
    <x v="12"/>
  </r>
  <r>
    <x v="17"/>
  </r>
  <r>
    <x v="22"/>
  </r>
  <r>
    <x v="0"/>
  </r>
  <r>
    <x v="0"/>
  </r>
  <r>
    <x v="28"/>
  </r>
  <r>
    <x v="22"/>
  </r>
  <r>
    <x v="22"/>
  </r>
  <r>
    <x v="17"/>
  </r>
  <r>
    <x v="14"/>
  </r>
  <r>
    <x v="14"/>
  </r>
  <r>
    <x v="14"/>
  </r>
  <r>
    <x v="14"/>
  </r>
  <r>
    <x v="14"/>
  </r>
  <r>
    <x v="143"/>
  </r>
  <r>
    <x v="131"/>
  </r>
  <r>
    <x v="14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34"/>
  </r>
  <r>
    <x v="28"/>
  </r>
  <r>
    <x v="42"/>
  </r>
  <r>
    <x v="42"/>
  </r>
  <r>
    <x v="42"/>
  </r>
  <r>
    <x v="28"/>
  </r>
  <r>
    <x v="28"/>
  </r>
  <r>
    <x v="28"/>
  </r>
  <r>
    <x v="0"/>
  </r>
  <r>
    <x v="7"/>
  </r>
  <r>
    <x v="9"/>
  </r>
  <r>
    <x v="239"/>
  </r>
  <r>
    <x v="14"/>
  </r>
  <r>
    <x v="14"/>
  </r>
  <r>
    <x v="14"/>
  </r>
  <r>
    <x v="14"/>
  </r>
  <r>
    <x v="17"/>
  </r>
  <r>
    <x v="17"/>
  </r>
  <r>
    <x v="17"/>
  </r>
  <r>
    <x v="59"/>
  </r>
  <r>
    <x v="17"/>
  </r>
  <r>
    <x v="15"/>
  </r>
  <r>
    <x v="4"/>
  </r>
  <r>
    <x v="42"/>
  </r>
  <r>
    <x v="10"/>
  </r>
  <r>
    <x v="11"/>
  </r>
  <r>
    <x v="56"/>
  </r>
  <r>
    <x v="2"/>
  </r>
  <r>
    <x v="42"/>
  </r>
  <r>
    <x v="42"/>
  </r>
  <r>
    <x v="17"/>
  </r>
  <r>
    <x v="12"/>
  </r>
  <r>
    <x v="0"/>
  </r>
  <r>
    <x v="0"/>
  </r>
  <r>
    <x v="17"/>
  </r>
  <r>
    <x v="14"/>
  </r>
  <r>
    <x v="24"/>
  </r>
  <r>
    <x v="10"/>
  </r>
  <r>
    <x v="7"/>
  </r>
  <r>
    <x v="10"/>
  </r>
  <r>
    <x v="25"/>
  </r>
  <r>
    <x v="19"/>
  </r>
  <r>
    <x v="4"/>
  </r>
  <r>
    <x v="42"/>
  </r>
  <r>
    <x v="7"/>
  </r>
  <r>
    <x v="7"/>
  </r>
  <r>
    <x v="12"/>
  </r>
  <r>
    <x v="28"/>
  </r>
  <r>
    <x v="70"/>
  </r>
  <r>
    <x v="17"/>
  </r>
  <r>
    <x v="14"/>
  </r>
  <r>
    <x v="2"/>
  </r>
  <r>
    <x v="17"/>
  </r>
  <r>
    <x v="17"/>
  </r>
  <r>
    <x v="7"/>
  </r>
  <r>
    <x v="4"/>
  </r>
  <r>
    <x v="45"/>
  </r>
  <r>
    <x v="7"/>
  </r>
  <r>
    <x v="7"/>
  </r>
  <r>
    <x v="2"/>
  </r>
  <r>
    <x v="22"/>
  </r>
  <r>
    <x v="15"/>
  </r>
  <r>
    <x v="130"/>
  </r>
  <r>
    <x v="52"/>
  </r>
  <r>
    <x v="11"/>
  </r>
  <r>
    <x v="7"/>
  </r>
  <r>
    <x v="4"/>
  </r>
  <r>
    <x v="7"/>
  </r>
  <r>
    <x v="4"/>
  </r>
  <r>
    <x v="4"/>
  </r>
  <r>
    <x v="8"/>
  </r>
  <r>
    <x v="16"/>
  </r>
  <r>
    <x v="14"/>
  </r>
  <r>
    <x v="14"/>
  </r>
  <r>
    <x v="8"/>
  </r>
  <r>
    <x v="42"/>
  </r>
  <r>
    <x v="91"/>
  </r>
  <r>
    <x v="91"/>
  </r>
  <r>
    <x v="7"/>
  </r>
  <r>
    <x v="7"/>
  </r>
  <r>
    <x v="7"/>
  </r>
  <r>
    <x v="7"/>
  </r>
  <r>
    <x v="7"/>
  </r>
  <r>
    <x v="7"/>
  </r>
  <r>
    <x v="7"/>
  </r>
  <r>
    <x v="24"/>
  </r>
  <r>
    <x v="33"/>
  </r>
  <r>
    <x v="4"/>
  </r>
  <r>
    <x v="0"/>
  </r>
  <r>
    <x v="0"/>
  </r>
  <r>
    <x v="4"/>
  </r>
  <r>
    <x v="10"/>
  </r>
  <r>
    <x v="0"/>
  </r>
  <r>
    <x v="0"/>
  </r>
  <r>
    <x v="16"/>
  </r>
  <r>
    <x v="17"/>
  </r>
  <r>
    <x v="188"/>
  </r>
  <r>
    <x v="11"/>
  </r>
  <r>
    <x v="16"/>
  </r>
  <r>
    <x v="17"/>
  </r>
  <r>
    <x v="17"/>
  </r>
  <r>
    <x v="23"/>
  </r>
  <r>
    <x v="4"/>
  </r>
  <r>
    <x v="11"/>
  </r>
  <r>
    <x v="56"/>
  </r>
  <r>
    <x v="53"/>
  </r>
  <r>
    <x v="81"/>
  </r>
  <r>
    <x v="22"/>
  </r>
  <r>
    <x v="4"/>
  </r>
  <r>
    <x v="6"/>
  </r>
  <r>
    <x v="28"/>
  </r>
  <r>
    <x v="42"/>
  </r>
  <r>
    <x v="21"/>
  </r>
  <r>
    <x v="21"/>
  </r>
  <r>
    <x v="4"/>
  </r>
  <r>
    <x v="4"/>
  </r>
  <r>
    <x v="17"/>
  </r>
  <r>
    <x v="16"/>
  </r>
  <r>
    <x v="16"/>
  </r>
  <r>
    <x v="8"/>
  </r>
  <r>
    <x v="21"/>
  </r>
  <r>
    <x v="12"/>
  </r>
  <r>
    <x v="4"/>
  </r>
  <r>
    <x v="28"/>
  </r>
  <r>
    <x v="28"/>
  </r>
  <r>
    <x v="28"/>
  </r>
  <r>
    <x v="6"/>
  </r>
  <r>
    <x v="12"/>
  </r>
  <r>
    <x v="8"/>
  </r>
  <r>
    <x v="17"/>
  </r>
  <r>
    <x v="17"/>
  </r>
  <r>
    <x v="4"/>
  </r>
  <r>
    <x v="4"/>
  </r>
  <r>
    <x v="0"/>
  </r>
  <r>
    <x v="4"/>
  </r>
  <r>
    <x v="11"/>
  </r>
  <r>
    <x v="11"/>
  </r>
  <r>
    <x v="11"/>
  </r>
  <r>
    <x v="10"/>
  </r>
  <r>
    <x v="48"/>
  </r>
  <r>
    <x v="24"/>
  </r>
  <r>
    <x v="21"/>
  </r>
  <r>
    <x v="0"/>
  </r>
  <r>
    <x v="11"/>
  </r>
  <r>
    <x v="11"/>
  </r>
  <r>
    <x v="22"/>
  </r>
  <r>
    <x v="28"/>
  </r>
  <r>
    <x v="39"/>
  </r>
  <r>
    <x v="21"/>
  </r>
  <r>
    <x v="4"/>
  </r>
  <r>
    <x v="42"/>
  </r>
  <r>
    <x v="23"/>
  </r>
  <r>
    <x v="14"/>
  </r>
  <r>
    <x v="10"/>
  </r>
  <r>
    <x v="9"/>
  </r>
  <r>
    <x v="7"/>
  </r>
  <r>
    <x v="10"/>
  </r>
  <r>
    <x v="4"/>
  </r>
  <r>
    <x v="14"/>
  </r>
  <r>
    <x v="45"/>
  </r>
  <r>
    <x v="10"/>
  </r>
  <r>
    <x v="33"/>
  </r>
  <r>
    <x v="0"/>
  </r>
  <r>
    <x v="8"/>
  </r>
  <r>
    <x v="6"/>
  </r>
  <r>
    <x v="6"/>
  </r>
  <r>
    <x v="6"/>
  </r>
  <r>
    <x v="6"/>
  </r>
  <r>
    <x v="8"/>
  </r>
  <r>
    <x v="8"/>
  </r>
  <r>
    <x v="8"/>
  </r>
  <r>
    <x v="4"/>
  </r>
  <r>
    <x v="4"/>
  </r>
  <r>
    <x v="4"/>
  </r>
  <r>
    <x v="222"/>
  </r>
  <r>
    <x v="17"/>
  </r>
  <r>
    <x v="10"/>
  </r>
  <r>
    <x v="8"/>
  </r>
  <r>
    <x v="4"/>
  </r>
  <r>
    <x v="17"/>
  </r>
  <r>
    <x v="6"/>
  </r>
  <r>
    <x v="21"/>
  </r>
  <r>
    <x v="14"/>
  </r>
  <r>
    <x v="14"/>
  </r>
  <r>
    <x v="17"/>
  </r>
  <r>
    <x v="17"/>
  </r>
  <r>
    <x v="12"/>
  </r>
  <r>
    <x v="12"/>
  </r>
  <r>
    <x v="12"/>
  </r>
  <r>
    <x v="12"/>
  </r>
  <r>
    <x v="12"/>
  </r>
  <r>
    <x v="12"/>
  </r>
  <r>
    <x v="28"/>
  </r>
  <r>
    <x v="49"/>
  </r>
  <r>
    <x v="163"/>
  </r>
  <r>
    <x v="4"/>
  </r>
  <r>
    <x v="11"/>
  </r>
  <r>
    <x v="22"/>
  </r>
  <r>
    <x v="22"/>
  </r>
  <r>
    <x v="17"/>
  </r>
  <r>
    <x v="59"/>
  </r>
  <r>
    <x v="10"/>
  </r>
  <r>
    <x v="17"/>
  </r>
  <r>
    <x v="33"/>
  </r>
  <r>
    <x v="10"/>
  </r>
  <r>
    <x v="22"/>
  </r>
  <r>
    <x v="10"/>
  </r>
  <r>
    <x v="0"/>
  </r>
  <r>
    <x v="2"/>
  </r>
  <r>
    <x v="2"/>
  </r>
  <r>
    <x v="17"/>
  </r>
  <r>
    <x v="0"/>
  </r>
  <r>
    <x v="0"/>
  </r>
  <r>
    <x v="14"/>
  </r>
  <r>
    <x v="10"/>
  </r>
  <r>
    <x v="31"/>
  </r>
  <r>
    <x v="8"/>
  </r>
  <r>
    <x v="10"/>
  </r>
  <r>
    <x v="24"/>
  </r>
  <r>
    <x v="14"/>
  </r>
  <r>
    <x v="21"/>
  </r>
  <r>
    <x v="0"/>
  </r>
  <r>
    <x v="17"/>
  </r>
  <r>
    <x v="24"/>
  </r>
  <r>
    <x v="7"/>
  </r>
  <r>
    <x v="10"/>
  </r>
  <r>
    <x v="10"/>
  </r>
  <r>
    <x v="4"/>
  </r>
  <r>
    <x v="4"/>
  </r>
  <r>
    <x v="28"/>
  </r>
  <r>
    <x v="48"/>
  </r>
  <r>
    <x v="4"/>
  </r>
  <r>
    <x v="4"/>
  </r>
  <r>
    <x v="9"/>
  </r>
  <r>
    <x v="43"/>
  </r>
  <r>
    <x v="6"/>
  </r>
  <r>
    <x v="8"/>
  </r>
  <r>
    <x v="10"/>
  </r>
  <r>
    <x v="0"/>
  </r>
  <r>
    <x v="10"/>
  </r>
  <r>
    <x v="10"/>
  </r>
  <r>
    <x v="4"/>
  </r>
  <r>
    <x v="4"/>
  </r>
  <r>
    <x v="12"/>
  </r>
  <r>
    <x v="48"/>
  </r>
  <r>
    <x v="4"/>
  </r>
  <r>
    <x v="37"/>
  </r>
  <r>
    <x v="0"/>
  </r>
  <r>
    <x v="4"/>
  </r>
  <r>
    <x v="4"/>
  </r>
  <r>
    <x v="4"/>
  </r>
  <r>
    <x v="0"/>
  </r>
  <r>
    <x v="8"/>
  </r>
  <r>
    <x v="21"/>
  </r>
  <r>
    <x v="150"/>
  </r>
  <r>
    <x v="21"/>
  </r>
  <r>
    <x v="0"/>
  </r>
  <r>
    <x v="22"/>
  </r>
  <r>
    <x v="0"/>
  </r>
  <r>
    <x v="8"/>
  </r>
  <r>
    <x v="0"/>
  </r>
  <r>
    <x v="4"/>
  </r>
  <r>
    <x v="9"/>
  </r>
  <r>
    <x v="10"/>
  </r>
  <r>
    <x v="12"/>
  </r>
  <r>
    <x v="53"/>
  </r>
  <r>
    <x v="22"/>
  </r>
  <r>
    <x v="14"/>
  </r>
  <r>
    <x v="16"/>
  </r>
  <r>
    <x v="11"/>
  </r>
  <r>
    <x v="0"/>
  </r>
  <r>
    <x v="11"/>
  </r>
  <r>
    <x v="2"/>
  </r>
  <r>
    <x v="9"/>
  </r>
  <r>
    <x v="53"/>
  </r>
  <r>
    <x v="25"/>
  </r>
  <r>
    <x v="0"/>
  </r>
  <r>
    <x v="0"/>
  </r>
  <r>
    <x v="12"/>
  </r>
  <r>
    <x v="8"/>
  </r>
  <r>
    <x v="33"/>
  </r>
  <r>
    <x v="4"/>
  </r>
  <r>
    <x v="0"/>
  </r>
  <r>
    <x v="10"/>
  </r>
  <r>
    <x v="8"/>
  </r>
  <r>
    <x v="31"/>
  </r>
  <r>
    <x v="14"/>
  </r>
  <r>
    <x v="0"/>
  </r>
  <r>
    <x v="10"/>
  </r>
  <r>
    <x v="11"/>
  </r>
  <r>
    <x v="11"/>
  </r>
  <r>
    <x v="10"/>
  </r>
  <r>
    <x v="17"/>
  </r>
  <r>
    <x v="0"/>
  </r>
  <r>
    <x v="53"/>
  </r>
  <r>
    <x v="10"/>
  </r>
  <r>
    <x v="0"/>
  </r>
  <r>
    <x v="24"/>
  </r>
  <r>
    <x v="10"/>
  </r>
  <r>
    <x v="45"/>
  </r>
  <r>
    <x v="45"/>
  </r>
  <r>
    <x v="62"/>
  </r>
  <r>
    <x v="62"/>
  </r>
  <r>
    <x v="17"/>
  </r>
  <r>
    <x v="17"/>
  </r>
  <r>
    <x v="31"/>
  </r>
  <r>
    <x v="37"/>
  </r>
  <r>
    <x v="0"/>
  </r>
  <r>
    <x v="45"/>
  </r>
  <r>
    <x v="56"/>
  </r>
  <r>
    <x v="72"/>
  </r>
  <r>
    <x v="59"/>
  </r>
  <r>
    <x v="0"/>
  </r>
  <r>
    <x v="0"/>
  </r>
  <r>
    <x v="17"/>
  </r>
  <r>
    <x v="2"/>
  </r>
  <r>
    <x v="0"/>
  </r>
  <r>
    <x v="9"/>
  </r>
  <r>
    <x v="37"/>
  </r>
  <r>
    <x v="2"/>
  </r>
  <r>
    <x v="12"/>
  </r>
  <r>
    <x v="52"/>
  </r>
  <r>
    <x v="58"/>
  </r>
  <r>
    <x v="24"/>
  </r>
  <r>
    <x v="4"/>
  </r>
  <r>
    <x v="24"/>
  </r>
  <r>
    <x v="17"/>
  </r>
  <r>
    <x v="21"/>
  </r>
  <r>
    <x v="0"/>
  </r>
  <r>
    <x v="12"/>
  </r>
  <r>
    <x v="12"/>
  </r>
  <r>
    <x v="12"/>
  </r>
  <r>
    <x v="222"/>
  </r>
  <r>
    <x v="11"/>
  </r>
  <r>
    <x v="10"/>
  </r>
  <r>
    <x v="10"/>
  </r>
  <r>
    <x v="4"/>
  </r>
  <r>
    <x v="40"/>
  </r>
  <r>
    <x v="10"/>
  </r>
  <r>
    <x v="10"/>
  </r>
  <r>
    <x v="0"/>
  </r>
  <r>
    <x v="0"/>
  </r>
  <r>
    <x v="10"/>
  </r>
  <r>
    <x v="40"/>
  </r>
  <r>
    <x v="43"/>
  </r>
  <r>
    <x v="106"/>
  </r>
  <r>
    <x v="174"/>
  </r>
  <r>
    <x v="0"/>
  </r>
  <r>
    <x v="0"/>
  </r>
  <r>
    <x v="0"/>
  </r>
  <r>
    <x v="62"/>
  </r>
  <r>
    <x v="37"/>
  </r>
  <r>
    <x v="4"/>
  </r>
  <r>
    <x v="4"/>
  </r>
  <r>
    <x v="43"/>
  </r>
  <r>
    <x v="33"/>
  </r>
  <r>
    <x v="11"/>
  </r>
  <r>
    <x v="7"/>
  </r>
  <r>
    <x v="17"/>
  </r>
  <r>
    <x v="17"/>
  </r>
  <r>
    <x v="17"/>
  </r>
  <r>
    <x v="10"/>
  </r>
  <r>
    <x v="4"/>
  </r>
  <r>
    <x v="3"/>
  </r>
  <r>
    <x v="71"/>
  </r>
  <r>
    <x v="14"/>
  </r>
  <r>
    <x v="143"/>
  </r>
  <r>
    <x v="4"/>
  </r>
  <r>
    <x v="40"/>
  </r>
  <r>
    <x v="40"/>
  </r>
  <r>
    <x v="222"/>
  </r>
  <r>
    <x v="53"/>
  </r>
  <r>
    <x v="53"/>
  </r>
  <r>
    <x v="26"/>
  </r>
  <r>
    <x v="188"/>
  </r>
  <r>
    <x v="188"/>
  </r>
  <r>
    <x v="10"/>
  </r>
  <r>
    <x v="16"/>
  </r>
  <r>
    <x v="28"/>
  </r>
  <r>
    <x v="2"/>
  </r>
  <r>
    <x v="4"/>
  </r>
  <r>
    <x v="11"/>
  </r>
  <r>
    <x v="0"/>
  </r>
  <r>
    <x v="8"/>
  </r>
  <r>
    <x v="79"/>
  </r>
  <r>
    <x v="79"/>
  </r>
  <r>
    <x v="79"/>
  </r>
  <r>
    <x v="48"/>
  </r>
  <r>
    <x v="48"/>
  </r>
  <r>
    <x v="21"/>
  </r>
  <r>
    <x v="17"/>
  </r>
  <r>
    <x v="21"/>
  </r>
  <r>
    <x v="17"/>
  </r>
  <r>
    <x v="28"/>
  </r>
  <r>
    <x v="28"/>
  </r>
  <r>
    <x v="28"/>
  </r>
  <r>
    <x v="37"/>
  </r>
  <r>
    <x v="17"/>
  </r>
  <r>
    <x v="17"/>
  </r>
  <r>
    <x v="28"/>
  </r>
  <r>
    <x v="6"/>
  </r>
  <r>
    <x v="28"/>
  </r>
  <r>
    <x v="37"/>
  </r>
  <r>
    <x v="4"/>
  </r>
  <r>
    <x v="17"/>
  </r>
  <r>
    <x v="48"/>
  </r>
  <r>
    <x v="48"/>
  </r>
  <r>
    <x v="48"/>
  </r>
  <r>
    <x v="4"/>
  </r>
  <r>
    <x v="53"/>
  </r>
  <r>
    <x v="222"/>
  </r>
  <r>
    <x v="11"/>
  </r>
  <r>
    <x v="0"/>
  </r>
  <r>
    <x v="37"/>
  </r>
  <r>
    <x v="2"/>
  </r>
  <r>
    <x v="40"/>
  </r>
  <r>
    <x v="0"/>
  </r>
  <r>
    <x v="12"/>
  </r>
  <r>
    <x v="123"/>
  </r>
  <r>
    <x v="123"/>
  </r>
  <r>
    <x v="2"/>
  </r>
  <r>
    <x v="0"/>
  </r>
  <r>
    <x v="28"/>
  </r>
  <r>
    <x v="17"/>
  </r>
  <r>
    <x v="17"/>
  </r>
  <r>
    <x v="11"/>
  </r>
  <r>
    <x v="0"/>
  </r>
  <r>
    <x v="78"/>
  </r>
  <r>
    <x v="45"/>
  </r>
  <r>
    <x v="28"/>
  </r>
  <r>
    <x v="23"/>
  </r>
  <r>
    <x v="37"/>
  </r>
  <r>
    <x v="25"/>
  </r>
  <r>
    <x v="40"/>
  </r>
  <r>
    <x v="55"/>
  </r>
  <r>
    <x v="8"/>
  </r>
  <r>
    <x v="0"/>
  </r>
  <r>
    <x v="4"/>
  </r>
  <r>
    <x v="7"/>
  </r>
  <r>
    <x v="8"/>
  </r>
  <r>
    <x v="24"/>
  </r>
  <r>
    <x v="4"/>
  </r>
  <r>
    <x v="4"/>
  </r>
  <r>
    <x v="0"/>
  </r>
  <r>
    <x v="17"/>
  </r>
  <r>
    <x v="16"/>
  </r>
  <r>
    <x v="222"/>
  </r>
  <r>
    <x v="4"/>
  </r>
  <r>
    <x v="222"/>
  </r>
  <r>
    <x v="4"/>
  </r>
  <r>
    <x v="74"/>
  </r>
  <r>
    <x v="74"/>
  </r>
  <r>
    <x v="201"/>
  </r>
  <r>
    <x v="45"/>
  </r>
  <r>
    <x v="45"/>
  </r>
  <r>
    <x v="76"/>
  </r>
  <r>
    <x v="9"/>
  </r>
  <r>
    <x v="9"/>
  </r>
  <r>
    <x v="4"/>
  </r>
  <r>
    <x v="12"/>
  </r>
  <r>
    <x v="9"/>
  </r>
  <r>
    <x v="0"/>
  </r>
  <r>
    <x v="2"/>
  </r>
  <r>
    <x v="25"/>
  </r>
  <r>
    <x v="25"/>
  </r>
  <r>
    <x v="25"/>
  </r>
  <r>
    <x v="25"/>
  </r>
  <r>
    <x v="25"/>
  </r>
  <r>
    <x v="28"/>
  </r>
  <r>
    <x v="28"/>
  </r>
  <r>
    <x v="28"/>
  </r>
  <r>
    <x v="28"/>
  </r>
  <r>
    <x v="37"/>
  </r>
  <r>
    <x v="37"/>
  </r>
  <r>
    <x v="28"/>
  </r>
  <r>
    <x v="37"/>
  </r>
  <r>
    <x v="0"/>
  </r>
  <r>
    <x v="17"/>
  </r>
  <r>
    <x v="17"/>
  </r>
  <r>
    <x v="12"/>
  </r>
  <r>
    <x v="12"/>
  </r>
  <r>
    <x v="28"/>
  </r>
  <r>
    <x v="8"/>
  </r>
  <r>
    <x v="4"/>
  </r>
  <r>
    <x v="10"/>
  </r>
  <r>
    <x v="10"/>
  </r>
  <r>
    <x v="4"/>
  </r>
  <r>
    <x v="0"/>
  </r>
  <r>
    <x v="45"/>
  </r>
  <r>
    <x v="48"/>
  </r>
  <r>
    <x v="48"/>
  </r>
  <r>
    <x v="48"/>
  </r>
  <r>
    <x v="40"/>
  </r>
  <r>
    <x v="28"/>
  </r>
  <r>
    <x v="0"/>
  </r>
  <r>
    <x v="37"/>
  </r>
  <r>
    <x v="37"/>
  </r>
  <r>
    <x v="0"/>
  </r>
  <r>
    <x v="0"/>
  </r>
  <r>
    <x v="0"/>
  </r>
  <r>
    <x v="0"/>
  </r>
  <r>
    <x v="12"/>
  </r>
  <r>
    <x v="12"/>
  </r>
  <r>
    <x v="123"/>
  </r>
  <r>
    <x v="28"/>
  </r>
  <r>
    <x v="28"/>
  </r>
  <r>
    <x v="0"/>
  </r>
  <r>
    <x v="0"/>
  </r>
  <r>
    <x v="4"/>
  </r>
  <r>
    <x v="0"/>
  </r>
  <r>
    <x v="14"/>
  </r>
  <r>
    <x v="10"/>
  </r>
  <r>
    <x v="2"/>
  </r>
  <r>
    <x v="2"/>
  </r>
  <r>
    <x v="2"/>
  </r>
  <r>
    <x v="53"/>
  </r>
  <r>
    <x v="0"/>
  </r>
  <r>
    <x v="0"/>
  </r>
  <r>
    <x v="37"/>
  </r>
  <r>
    <x v="37"/>
  </r>
  <r>
    <x v="74"/>
  </r>
  <r>
    <x v="56"/>
  </r>
  <r>
    <x v="11"/>
  </r>
  <r>
    <x v="11"/>
  </r>
  <r>
    <x v="43"/>
  </r>
  <r>
    <x v="17"/>
  </r>
  <r>
    <x v="60"/>
  </r>
  <r>
    <x v="17"/>
  </r>
  <r>
    <x v="9"/>
  </r>
  <r>
    <x v="115"/>
  </r>
  <r>
    <x v="40"/>
  </r>
  <r>
    <x v="17"/>
  </r>
  <r>
    <x v="22"/>
  </r>
  <r>
    <x v="43"/>
  </r>
  <r>
    <x v="14"/>
  </r>
  <r>
    <x v="17"/>
  </r>
  <r>
    <x v="9"/>
  </r>
  <r>
    <x v="42"/>
  </r>
  <r>
    <x v="0"/>
  </r>
  <r>
    <x v="0"/>
  </r>
  <r>
    <x v="2"/>
  </r>
  <r>
    <x v="0"/>
  </r>
  <r>
    <x v="7"/>
  </r>
  <r>
    <x v="45"/>
  </r>
  <r>
    <x v="14"/>
  </r>
  <r>
    <x v="222"/>
  </r>
  <r>
    <x v="17"/>
  </r>
  <r>
    <x v="17"/>
  </r>
  <r>
    <x v="28"/>
  </r>
  <r>
    <x v="28"/>
  </r>
  <r>
    <x v="28"/>
  </r>
  <r>
    <x v="9"/>
  </r>
  <r>
    <x v="10"/>
  </r>
  <r>
    <x v="14"/>
  </r>
  <r>
    <x v="17"/>
  </r>
  <r>
    <x v="0"/>
  </r>
  <r>
    <x v="2"/>
  </r>
  <r>
    <x v="10"/>
  </r>
  <r>
    <x v="9"/>
  </r>
  <r>
    <x v="11"/>
  </r>
  <r>
    <x v="0"/>
  </r>
  <r>
    <x v="0"/>
  </r>
  <r>
    <x v="0"/>
  </r>
  <r>
    <x v="16"/>
  </r>
  <r>
    <x v="37"/>
  </r>
  <r>
    <x v="0"/>
  </r>
  <r>
    <x v="9"/>
  </r>
  <r>
    <x v="9"/>
  </r>
  <r>
    <x v="17"/>
  </r>
  <r>
    <x v="17"/>
  </r>
  <r>
    <x v="17"/>
  </r>
  <r>
    <x v="17"/>
  </r>
  <r>
    <x v="17"/>
  </r>
  <r>
    <x v="17"/>
  </r>
  <r>
    <x v="22"/>
  </r>
  <r>
    <x v="22"/>
  </r>
  <r>
    <x v="0"/>
  </r>
  <r>
    <x v="10"/>
  </r>
  <r>
    <x v="0"/>
  </r>
  <r>
    <x v="24"/>
  </r>
  <r>
    <x v="24"/>
  </r>
  <r>
    <x v="28"/>
  </r>
  <r>
    <x v="43"/>
  </r>
  <r>
    <x v="17"/>
  </r>
  <r>
    <x v="10"/>
  </r>
  <r>
    <x v="17"/>
  </r>
  <r>
    <x v="10"/>
  </r>
  <r>
    <x v="28"/>
  </r>
  <r>
    <x v="37"/>
  </r>
  <r>
    <x v="0"/>
  </r>
  <r>
    <x v="9"/>
  </r>
  <r>
    <x v="90"/>
  </r>
  <r>
    <x v="16"/>
  </r>
  <r>
    <x v="14"/>
  </r>
  <r>
    <x v="0"/>
  </r>
  <r>
    <x v="0"/>
  </r>
  <r>
    <x v="28"/>
  </r>
  <r>
    <x v="28"/>
  </r>
  <r>
    <x v="6"/>
  </r>
  <r>
    <x v="14"/>
  </r>
  <r>
    <x v="11"/>
  </r>
  <r>
    <x v="16"/>
  </r>
  <r>
    <x v="28"/>
  </r>
  <r>
    <x v="10"/>
  </r>
  <r>
    <x v="28"/>
  </r>
  <r>
    <x v="11"/>
  </r>
  <r>
    <x v="11"/>
  </r>
  <r>
    <x v="10"/>
  </r>
  <r>
    <x v="2"/>
  </r>
  <r>
    <x v="14"/>
  </r>
  <r>
    <x v="28"/>
  </r>
  <r>
    <x v="8"/>
  </r>
  <r>
    <x v="53"/>
  </r>
  <r>
    <x v="58"/>
  </r>
  <r>
    <x v="4"/>
  </r>
  <r>
    <x v="42"/>
  </r>
  <r>
    <x v="42"/>
  </r>
  <r>
    <x v="0"/>
  </r>
  <r>
    <x v="17"/>
  </r>
  <r>
    <x v="17"/>
  </r>
  <r>
    <x v="21"/>
  </r>
  <r>
    <x v="15"/>
  </r>
  <r>
    <x v="0"/>
  </r>
  <r>
    <x v="12"/>
  </r>
  <r>
    <x v="37"/>
  </r>
  <r>
    <x v="17"/>
  </r>
  <r>
    <x v="17"/>
  </r>
  <r>
    <x v="17"/>
  </r>
  <r>
    <x v="40"/>
  </r>
  <r>
    <x v="10"/>
  </r>
  <r>
    <x v="0"/>
  </r>
  <r>
    <x v="8"/>
  </r>
  <r>
    <x v="17"/>
  </r>
  <r>
    <x v="28"/>
  </r>
  <r>
    <x v="10"/>
  </r>
  <r>
    <x v="28"/>
  </r>
  <r>
    <x v="40"/>
  </r>
  <r>
    <x v="40"/>
  </r>
  <r>
    <x v="28"/>
  </r>
  <r>
    <x v="40"/>
  </r>
  <r>
    <x v="28"/>
  </r>
  <r>
    <x v="28"/>
  </r>
  <r>
    <x v="40"/>
  </r>
  <r>
    <x v="28"/>
  </r>
  <r>
    <x v="40"/>
  </r>
  <r>
    <x v="40"/>
  </r>
  <r>
    <x v="28"/>
  </r>
  <r>
    <x v="40"/>
  </r>
  <r>
    <x v="40"/>
  </r>
  <r>
    <x v="28"/>
  </r>
  <r>
    <x v="40"/>
  </r>
  <r>
    <x v="28"/>
  </r>
  <r>
    <x v="28"/>
  </r>
  <r>
    <x v="40"/>
  </r>
  <r>
    <x v="40"/>
  </r>
  <r>
    <x v="40"/>
  </r>
  <r>
    <x v="28"/>
  </r>
  <r>
    <x v="40"/>
  </r>
  <r>
    <x v="40"/>
  </r>
  <r>
    <x v="28"/>
  </r>
  <r>
    <x v="40"/>
  </r>
  <r>
    <x v="28"/>
  </r>
  <r>
    <x v="28"/>
  </r>
  <r>
    <x v="28"/>
  </r>
  <r>
    <x v="46"/>
  </r>
  <r>
    <x v="16"/>
  </r>
  <r>
    <x v="2"/>
  </r>
  <r>
    <x v="64"/>
  </r>
  <r>
    <x v="45"/>
  </r>
  <r>
    <x v="86"/>
  </r>
  <r>
    <x v="86"/>
  </r>
  <r>
    <x v="42"/>
  </r>
  <r>
    <x v="47"/>
  </r>
  <r>
    <x v="111"/>
  </r>
  <r>
    <x v="37"/>
  </r>
  <r>
    <x v="84"/>
  </r>
  <r>
    <x v="0"/>
  </r>
  <r>
    <x v="130"/>
  </r>
  <r>
    <x v="162"/>
  </r>
  <r>
    <x v="0"/>
  </r>
  <r>
    <x v="11"/>
  </r>
  <r>
    <x v="74"/>
  </r>
  <r>
    <x v="49"/>
  </r>
  <r>
    <x v="55"/>
  </r>
  <r>
    <x v="55"/>
  </r>
  <r>
    <x v="55"/>
  </r>
  <r>
    <x v="24"/>
  </r>
  <r>
    <x v="24"/>
  </r>
  <r>
    <x v="24"/>
  </r>
  <r>
    <x v="12"/>
  </r>
  <r>
    <x v="42"/>
  </r>
  <r>
    <x v="28"/>
  </r>
  <r>
    <x v="17"/>
  </r>
  <r>
    <x v="14"/>
  </r>
  <r>
    <x v="24"/>
  </r>
  <r>
    <x v="24"/>
  </r>
  <r>
    <x v="42"/>
  </r>
  <r>
    <x v="14"/>
  </r>
  <r>
    <x v="14"/>
  </r>
  <r>
    <x v="46"/>
  </r>
  <r>
    <x v="36"/>
  </r>
  <r>
    <x v="36"/>
  </r>
  <r>
    <x v="36"/>
  </r>
  <r>
    <x v="14"/>
  </r>
  <r>
    <x v="14"/>
  </r>
  <r>
    <x v="14"/>
  </r>
  <r>
    <x v="0"/>
  </r>
  <r>
    <x v="14"/>
  </r>
  <r>
    <x v="11"/>
  </r>
  <r>
    <x v="42"/>
  </r>
  <r>
    <x v="45"/>
  </r>
  <r>
    <x v="4"/>
  </r>
  <r>
    <x v="32"/>
  </r>
  <r>
    <x v="14"/>
  </r>
  <r>
    <x v="14"/>
  </r>
  <r>
    <x v="14"/>
  </r>
  <r>
    <x v="45"/>
  </r>
  <r>
    <x v="14"/>
  </r>
  <r>
    <x v="14"/>
  </r>
  <r>
    <x v="21"/>
  </r>
  <r>
    <x v="21"/>
  </r>
  <r>
    <x v="28"/>
  </r>
  <r>
    <x v="2"/>
  </r>
  <r>
    <x v="2"/>
  </r>
  <r>
    <x v="26"/>
  </r>
  <r>
    <x v="11"/>
  </r>
  <r>
    <x v="0"/>
  </r>
  <r>
    <x v="0"/>
  </r>
  <r>
    <x v="14"/>
  </r>
  <r>
    <x v="2"/>
  </r>
  <r>
    <x v="131"/>
  </r>
  <r>
    <x v="49"/>
  </r>
  <r>
    <x v="14"/>
  </r>
  <r>
    <x v="28"/>
  </r>
  <r>
    <x v="28"/>
  </r>
  <r>
    <x v="17"/>
  </r>
  <r>
    <x v="17"/>
  </r>
  <r>
    <x v="17"/>
  </r>
  <r>
    <x v="17"/>
  </r>
  <r>
    <x v="17"/>
  </r>
  <r>
    <x v="31"/>
  </r>
  <r>
    <x v="47"/>
  </r>
  <r>
    <x v="52"/>
  </r>
  <r>
    <x v="119"/>
  </r>
  <r>
    <x v="78"/>
  </r>
  <r>
    <x v="28"/>
  </r>
  <r>
    <x v="17"/>
  </r>
  <r>
    <x v="28"/>
  </r>
  <r>
    <x v="0"/>
  </r>
  <r>
    <x v="33"/>
  </r>
  <r>
    <x v="17"/>
  </r>
  <r>
    <x v="17"/>
  </r>
  <r>
    <x v="49"/>
  </r>
  <r>
    <x v="74"/>
  </r>
  <r>
    <x v="74"/>
  </r>
  <r>
    <x v="11"/>
  </r>
  <r>
    <x v="2"/>
  </r>
  <r>
    <x v="2"/>
  </r>
  <r>
    <x v="2"/>
  </r>
  <r>
    <x v="22"/>
  </r>
  <r>
    <x v="11"/>
  </r>
  <r>
    <x v="11"/>
  </r>
  <r>
    <x v="42"/>
  </r>
  <r>
    <x v="42"/>
  </r>
  <r>
    <x v="16"/>
  </r>
  <r>
    <x v="12"/>
  </r>
  <r>
    <x v="17"/>
  </r>
  <r>
    <x v="14"/>
  </r>
  <r>
    <x v="14"/>
  </r>
  <r>
    <x v="21"/>
  </r>
  <r>
    <x v="60"/>
  </r>
  <r>
    <x v="60"/>
  </r>
  <r>
    <x v="14"/>
  </r>
  <r>
    <x v="14"/>
  </r>
  <r>
    <x v="14"/>
  </r>
  <r>
    <x v="28"/>
  </r>
  <r>
    <x v="28"/>
  </r>
  <r>
    <x v="34"/>
  </r>
  <r>
    <x v="34"/>
  </r>
  <r>
    <x v="46"/>
  </r>
  <r>
    <x v="7"/>
  </r>
  <r>
    <x v="71"/>
  </r>
  <r>
    <x v="132"/>
  </r>
  <r>
    <x v="132"/>
  </r>
  <r>
    <x v="12"/>
  </r>
  <r>
    <x v="55"/>
  </r>
  <r>
    <x v="55"/>
  </r>
  <r>
    <x v="31"/>
  </r>
  <r>
    <x v="16"/>
  </r>
  <r>
    <x v="18"/>
  </r>
  <r>
    <x v="28"/>
  </r>
  <r>
    <x v="28"/>
  </r>
  <r>
    <x v="14"/>
  </r>
  <r>
    <x v="55"/>
  </r>
  <r>
    <x v="6"/>
  </r>
  <r>
    <x v="14"/>
  </r>
  <r>
    <x v="24"/>
  </r>
  <r>
    <x v="37"/>
  </r>
  <r>
    <x v="48"/>
  </r>
  <r>
    <x v="14"/>
  </r>
  <r>
    <x v="10"/>
  </r>
  <r>
    <x v="10"/>
  </r>
  <r>
    <x v="10"/>
  </r>
  <r>
    <x v="28"/>
  </r>
  <r>
    <x v="10"/>
  </r>
  <r>
    <x v="0"/>
  </r>
  <r>
    <x v="115"/>
  </r>
  <r>
    <x v="12"/>
  </r>
  <r>
    <x v="223"/>
  </r>
  <r>
    <x v="114"/>
  </r>
  <r>
    <x v="31"/>
  </r>
  <r>
    <x v="17"/>
  </r>
  <r>
    <x v="28"/>
  </r>
  <r>
    <x v="28"/>
  </r>
  <r>
    <x v="10"/>
  </r>
  <r>
    <x v="49"/>
  </r>
  <r>
    <x v="34"/>
  </r>
  <r>
    <x v="71"/>
  </r>
  <r>
    <x v="47"/>
  </r>
  <r>
    <x v="47"/>
  </r>
  <r>
    <x v="7"/>
  </r>
  <r>
    <x v="7"/>
  </r>
  <r>
    <x v="64"/>
  </r>
  <r>
    <x v="14"/>
  </r>
  <r>
    <x v="10"/>
  </r>
  <r>
    <x v="10"/>
  </r>
  <r>
    <x v="14"/>
  </r>
  <r>
    <x v="17"/>
  </r>
  <r>
    <x v="17"/>
  </r>
  <r>
    <x v="69"/>
  </r>
  <r>
    <x v="10"/>
  </r>
  <r>
    <x v="43"/>
  </r>
  <r>
    <x v="37"/>
  </r>
  <r>
    <x v="16"/>
  </r>
  <r>
    <x v="16"/>
  </r>
  <r>
    <x v="131"/>
  </r>
  <r>
    <x v="28"/>
  </r>
  <r>
    <x v="28"/>
  </r>
  <r>
    <x v="28"/>
  </r>
  <r>
    <x v="17"/>
  </r>
  <r>
    <x v="10"/>
  </r>
  <r>
    <x v="17"/>
  </r>
  <r>
    <x v="71"/>
  </r>
  <r>
    <x v="10"/>
  </r>
  <r>
    <x v="42"/>
  </r>
  <r>
    <x v="42"/>
  </r>
  <r>
    <x v="6"/>
  </r>
  <r>
    <x v="71"/>
  </r>
  <r>
    <x v="71"/>
  </r>
  <r>
    <x v="71"/>
  </r>
  <r>
    <x v="84"/>
  </r>
  <r>
    <x v="21"/>
  </r>
  <r>
    <x v="24"/>
  </r>
  <r>
    <x v="60"/>
  </r>
  <r>
    <x v="17"/>
  </r>
  <r>
    <x v="14"/>
  </r>
  <r>
    <x v="10"/>
  </r>
  <r>
    <x v="2"/>
  </r>
  <r>
    <x v="49"/>
  </r>
  <r>
    <x v="14"/>
  </r>
  <r>
    <x v="40"/>
  </r>
  <r>
    <x v="49"/>
  </r>
  <r>
    <x v="49"/>
  </r>
  <r>
    <x v="46"/>
  </r>
  <r>
    <x v="14"/>
  </r>
  <r>
    <x v="45"/>
  </r>
  <r>
    <x v="0"/>
  </r>
  <r>
    <x v="0"/>
  </r>
  <r>
    <x v="53"/>
  </r>
  <r>
    <x v="14"/>
  </r>
  <r>
    <x v="66"/>
  </r>
  <r>
    <x v="48"/>
  </r>
  <r>
    <x v="48"/>
  </r>
  <r>
    <x v="40"/>
  </r>
  <r>
    <x v="14"/>
  </r>
  <r>
    <x v="24"/>
  </r>
  <r>
    <x v="24"/>
  </r>
  <r>
    <x v="14"/>
  </r>
  <r>
    <x v="14"/>
  </r>
  <r>
    <x v="14"/>
  </r>
  <r>
    <x v="9"/>
  </r>
  <r>
    <x v="24"/>
  </r>
  <r>
    <x v="4"/>
  </r>
  <r>
    <x v="24"/>
  </r>
  <r>
    <x v="4"/>
  </r>
  <r>
    <x v="14"/>
  </r>
  <r>
    <x v="2"/>
  </r>
  <r>
    <x v="40"/>
  </r>
  <r>
    <x v="40"/>
  </r>
  <r>
    <x v="4"/>
  </r>
  <r>
    <x v="24"/>
  </r>
  <r>
    <x v="24"/>
  </r>
  <r>
    <x v="10"/>
  </r>
  <r>
    <x v="10"/>
  </r>
  <r>
    <x v="51"/>
  </r>
  <r>
    <x v="37"/>
  </r>
  <r>
    <x v="16"/>
  </r>
  <r>
    <x v="11"/>
  </r>
  <r>
    <x v="7"/>
  </r>
  <r>
    <x v="7"/>
  </r>
  <r>
    <x v="0"/>
  </r>
  <r>
    <x v="222"/>
  </r>
  <r>
    <x v="115"/>
  </r>
  <r>
    <x v="24"/>
  </r>
  <r>
    <x v="14"/>
  </r>
  <r>
    <x v="45"/>
  </r>
  <r>
    <x v="106"/>
  </r>
  <r>
    <x v="10"/>
  </r>
  <r>
    <x v="17"/>
  </r>
  <r>
    <x v="71"/>
  </r>
  <r>
    <x v="24"/>
  </r>
  <r>
    <x v="47"/>
  </r>
  <r>
    <x v="24"/>
  </r>
  <r>
    <x v="71"/>
  </r>
  <r>
    <x v="22"/>
  </r>
  <r>
    <x v="22"/>
  </r>
  <r>
    <x v="37"/>
  </r>
  <r>
    <x v="10"/>
  </r>
  <r>
    <x v="10"/>
  </r>
  <r>
    <x v="46"/>
  </r>
  <r>
    <x v="150"/>
  </r>
  <r>
    <x v="22"/>
  </r>
  <r>
    <x v="28"/>
  </r>
  <r>
    <x v="60"/>
  </r>
  <r>
    <x v="45"/>
  </r>
  <r>
    <x v="42"/>
  </r>
  <r>
    <x v="2"/>
  </r>
  <r>
    <x v="0"/>
  </r>
  <r>
    <x v="0"/>
  </r>
  <r>
    <x v="0"/>
  </r>
  <r>
    <x v="0"/>
  </r>
  <r>
    <x v="0"/>
  </r>
  <r>
    <x v="81"/>
  </r>
  <r>
    <x v="81"/>
  </r>
  <r>
    <x v="81"/>
  </r>
  <r>
    <x v="45"/>
  </r>
  <r>
    <x v="45"/>
  </r>
  <r>
    <x v="28"/>
  </r>
  <r>
    <x v="14"/>
  </r>
  <r>
    <x v="14"/>
  </r>
  <r>
    <x v="57"/>
  </r>
  <r>
    <x v="57"/>
  </r>
  <r>
    <x v="57"/>
  </r>
  <r>
    <x v="57"/>
  </r>
  <r>
    <x v="2"/>
  </r>
  <r>
    <x v="21"/>
  </r>
  <r>
    <x v="40"/>
  </r>
  <r>
    <x v="60"/>
  </r>
  <r>
    <x v="16"/>
  </r>
  <r>
    <x v="48"/>
  </r>
  <r>
    <x v="49"/>
  </r>
  <r>
    <x v="22"/>
  </r>
  <r>
    <x v="47"/>
  </r>
  <r>
    <x v="14"/>
  </r>
  <r>
    <x v="4"/>
  </r>
  <r>
    <x v="28"/>
  </r>
  <r>
    <x v="12"/>
  </r>
  <r>
    <x v="14"/>
  </r>
  <r>
    <x v="6"/>
  </r>
  <r>
    <x v="74"/>
  </r>
  <r>
    <x v="74"/>
  </r>
  <r>
    <x v="25"/>
  </r>
  <r>
    <x v="57"/>
  </r>
  <r>
    <x v="42"/>
  </r>
  <r>
    <x v="48"/>
  </r>
  <r>
    <x v="37"/>
  </r>
  <r>
    <x v="14"/>
  </r>
  <r>
    <x v="49"/>
  </r>
  <r>
    <x v="0"/>
  </r>
  <r>
    <x v="77"/>
  </r>
  <r>
    <x v="14"/>
  </r>
  <r>
    <x v="1"/>
  </r>
  <r>
    <x v="28"/>
  </r>
  <r>
    <x v="152"/>
  </r>
  <r>
    <x v="152"/>
  </r>
  <r>
    <x v="2"/>
  </r>
  <r>
    <x v="12"/>
  </r>
  <r>
    <x v="31"/>
  </r>
  <r>
    <x v="46"/>
  </r>
  <r>
    <x v="14"/>
  </r>
  <r>
    <x v="47"/>
  </r>
  <r>
    <x v="64"/>
  </r>
  <r>
    <x v="2"/>
  </r>
  <r>
    <x v="2"/>
  </r>
  <r>
    <x v="14"/>
  </r>
  <r>
    <x v="55"/>
  </r>
  <r>
    <x v="131"/>
  </r>
  <r>
    <x v="22"/>
  </r>
  <r>
    <x v="22"/>
  </r>
  <r>
    <x v="7"/>
  </r>
  <r>
    <x v="64"/>
  </r>
  <r>
    <x v="42"/>
  </r>
  <r>
    <x v="48"/>
  </r>
  <r>
    <x v="49"/>
  </r>
  <r>
    <x v="37"/>
  </r>
  <r>
    <x v="22"/>
  </r>
  <r>
    <x v="37"/>
  </r>
  <r>
    <x v="0"/>
  </r>
  <r>
    <x v="16"/>
  </r>
  <r>
    <x v="14"/>
  </r>
  <r>
    <x v="0"/>
  </r>
  <r>
    <x v="64"/>
  </r>
  <r>
    <x v="1"/>
  </r>
  <r>
    <x v="14"/>
  </r>
  <r>
    <x v="60"/>
  </r>
  <r>
    <x v="14"/>
  </r>
  <r>
    <x v="276"/>
  </r>
  <r>
    <x v="22"/>
  </r>
  <r>
    <x v="16"/>
  </r>
  <r>
    <x v="14"/>
  </r>
  <r>
    <x v="37"/>
  </r>
  <r>
    <x v="9"/>
  </r>
  <r>
    <x v="22"/>
  </r>
  <r>
    <x v="48"/>
  </r>
  <r>
    <x v="16"/>
  </r>
  <r>
    <x v="28"/>
  </r>
  <r>
    <x v="12"/>
  </r>
  <r>
    <x v="14"/>
  </r>
  <r>
    <x v="12"/>
  </r>
  <r>
    <x v="12"/>
  </r>
  <r>
    <x v="37"/>
  </r>
  <r>
    <x v="49"/>
  </r>
  <r>
    <x v="115"/>
  </r>
  <r>
    <x v="22"/>
  </r>
  <r>
    <x v="10"/>
  </r>
  <r>
    <x v="17"/>
  </r>
  <r>
    <x v="93"/>
  </r>
  <r>
    <x v="11"/>
  </r>
  <r>
    <x v="11"/>
  </r>
  <r>
    <x v="0"/>
  </r>
  <r>
    <x v="0"/>
  </r>
  <r>
    <x v="0"/>
  </r>
  <r>
    <x v="0"/>
  </r>
  <r>
    <x v="22"/>
  </r>
  <r>
    <x v="52"/>
  </r>
  <r>
    <x v="12"/>
  </r>
  <r>
    <x v="12"/>
  </r>
  <r>
    <x v="22"/>
  </r>
  <r>
    <x v="131"/>
  </r>
  <r>
    <x v="141"/>
  </r>
  <r>
    <x v="0"/>
  </r>
  <r>
    <x v="17"/>
  </r>
  <r>
    <x v="12"/>
  </r>
  <r>
    <x v="12"/>
  </r>
  <r>
    <x v="48"/>
  </r>
  <r>
    <x v="28"/>
  </r>
  <r>
    <x v="7"/>
  </r>
  <r>
    <x v="7"/>
  </r>
  <r>
    <x v="48"/>
  </r>
  <r>
    <x v="14"/>
  </r>
  <r>
    <x v="14"/>
  </r>
  <r>
    <x v="17"/>
  </r>
  <r>
    <x v="17"/>
  </r>
  <r>
    <x v="0"/>
  </r>
  <r>
    <x v="3"/>
  </r>
  <r>
    <x v="83"/>
  </r>
  <r>
    <x v="83"/>
  </r>
  <r>
    <x v="81"/>
  </r>
  <r>
    <x v="64"/>
  </r>
  <r>
    <x v="75"/>
  </r>
  <r>
    <x v="75"/>
  </r>
  <r>
    <x v="64"/>
  </r>
  <r>
    <x v="64"/>
  </r>
  <r>
    <x v="64"/>
  </r>
  <r>
    <x v="75"/>
  </r>
  <r>
    <x v="64"/>
  </r>
  <r>
    <x v="64"/>
  </r>
  <r>
    <x v="0"/>
  </r>
  <r>
    <x v="0"/>
  </r>
  <r>
    <x v="0"/>
  </r>
  <r>
    <x v="42"/>
  </r>
  <r>
    <x v="10"/>
  </r>
  <r>
    <x v="10"/>
  </r>
  <r>
    <x v="48"/>
  </r>
  <r>
    <x v="48"/>
  </r>
  <r>
    <x v="24"/>
  </r>
  <r>
    <x v="24"/>
  </r>
  <r>
    <x v="17"/>
  </r>
  <r>
    <x v="223"/>
  </r>
  <r>
    <x v="48"/>
  </r>
  <r>
    <x v="48"/>
  </r>
  <r>
    <x v="48"/>
  </r>
  <r>
    <x v="48"/>
  </r>
  <r>
    <x v="48"/>
  </r>
  <r>
    <x v="48"/>
  </r>
  <r>
    <x v="0"/>
  </r>
  <r>
    <x v="11"/>
  </r>
  <r>
    <x v="7"/>
  </r>
  <r>
    <x v="17"/>
  </r>
  <r>
    <x v="12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42"/>
  </r>
  <r>
    <x v="42"/>
  </r>
  <r>
    <x v="40"/>
  </r>
  <r>
    <x v="141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24"/>
  </r>
  <r>
    <x v="79"/>
  </r>
  <r>
    <x v="79"/>
  </r>
  <r>
    <x v="79"/>
  </r>
  <r>
    <x v="12"/>
  </r>
  <r>
    <x v="49"/>
  </r>
  <r>
    <x v="16"/>
  </r>
  <r>
    <x v="20"/>
  </r>
  <r>
    <x v="9"/>
  </r>
  <r>
    <x v="10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12"/>
  </r>
  <r>
    <x v="115"/>
  </r>
  <r>
    <x v="12"/>
  </r>
  <r>
    <x v="43"/>
  </r>
  <r>
    <x v="48"/>
  </r>
  <r>
    <x v="17"/>
  </r>
  <r>
    <x v="24"/>
  </r>
  <r>
    <x v="10"/>
  </r>
  <r>
    <x v="9"/>
  </r>
  <r>
    <x v="11"/>
  </r>
  <r>
    <x v="12"/>
  </r>
  <r>
    <x v="87"/>
  </r>
  <r>
    <x v="34"/>
  </r>
  <r>
    <x v="12"/>
  </r>
  <r>
    <x v="12"/>
  </r>
  <r>
    <x v="12"/>
  </r>
  <r>
    <x v="10"/>
  </r>
  <r>
    <x v="17"/>
  </r>
  <r>
    <x v="49"/>
  </r>
  <r>
    <x v="42"/>
  </r>
  <r>
    <x v="45"/>
  </r>
  <r>
    <x v="78"/>
  </r>
  <r>
    <x v="68"/>
  </r>
  <r>
    <x v="68"/>
  </r>
  <r>
    <x v="16"/>
  </r>
  <r>
    <x v="63"/>
  </r>
  <r>
    <x v="12"/>
  </r>
  <r>
    <x v="42"/>
  </r>
  <r>
    <x v="1"/>
  </r>
  <r>
    <x v="17"/>
  </r>
  <r>
    <x v="53"/>
  </r>
  <r>
    <x v="42"/>
  </r>
  <r>
    <x v="87"/>
  </r>
  <r>
    <x v="12"/>
  </r>
  <r>
    <x v="42"/>
  </r>
  <r>
    <x v="42"/>
  </r>
  <r>
    <x v="41"/>
  </r>
  <r>
    <x v="37"/>
  </r>
  <r>
    <x v="0"/>
  </r>
  <r>
    <x v="49"/>
  </r>
  <r>
    <x v="17"/>
  </r>
  <r>
    <x v="2"/>
  </r>
  <r>
    <x v="37"/>
  </r>
  <r>
    <x v="10"/>
  </r>
  <r>
    <x v="10"/>
  </r>
  <r>
    <x v="14"/>
  </r>
  <r>
    <x v="14"/>
  </r>
  <r>
    <x v="56"/>
  </r>
  <r>
    <x v="56"/>
  </r>
  <r>
    <x v="56"/>
  </r>
  <r>
    <x v="56"/>
  </r>
  <r>
    <x v="56"/>
  </r>
  <r>
    <x v="56"/>
  </r>
  <r>
    <x v="56"/>
  </r>
  <r>
    <x v="87"/>
  </r>
  <r>
    <x v="78"/>
  </r>
  <r>
    <x v="56"/>
  </r>
  <r>
    <x v="56"/>
  </r>
  <r>
    <x v="0"/>
  </r>
  <r>
    <x v="23"/>
  </r>
  <r>
    <x v="27"/>
  </r>
  <r>
    <x v="78"/>
  </r>
  <r>
    <x v="2"/>
  </r>
  <r>
    <x v="2"/>
  </r>
  <r>
    <x v="2"/>
  </r>
  <r>
    <x v="2"/>
  </r>
  <r>
    <x v="79"/>
  </r>
  <r>
    <x v="32"/>
  </r>
  <r>
    <x v="2"/>
  </r>
  <r>
    <x v="79"/>
  </r>
  <r>
    <x v="79"/>
  </r>
  <r>
    <x v="79"/>
  </r>
  <r>
    <x v="79"/>
  </r>
  <r>
    <x v="32"/>
  </r>
  <r>
    <x v="0"/>
  </r>
  <r>
    <x v="80"/>
  </r>
  <r>
    <x v="48"/>
  </r>
  <r>
    <x v="14"/>
  </r>
  <r>
    <x v="14"/>
  </r>
  <r>
    <x v="14"/>
  </r>
  <r>
    <x v="14"/>
  </r>
  <r>
    <x v="14"/>
  </r>
  <r>
    <x v="14"/>
  </r>
  <r>
    <x v="80"/>
  </r>
  <r>
    <x v="80"/>
  </r>
  <r>
    <x v="80"/>
  </r>
  <r>
    <x v="81"/>
  </r>
  <r>
    <x v="14"/>
  </r>
  <r>
    <x v="76"/>
  </r>
  <r>
    <x v="55"/>
  </r>
  <r>
    <x v="14"/>
  </r>
  <r>
    <x v="23"/>
  </r>
  <r>
    <x v="14"/>
  </r>
  <r>
    <x v="14"/>
  </r>
  <r>
    <x v="14"/>
  </r>
  <r>
    <x v="55"/>
  </r>
  <r>
    <x v="55"/>
  </r>
  <r>
    <x v="14"/>
  </r>
  <r>
    <x v="14"/>
  </r>
  <r>
    <x v="14"/>
  </r>
  <r>
    <x v="56"/>
  </r>
  <r>
    <x v="48"/>
  </r>
  <r>
    <x v="48"/>
  </r>
  <r>
    <x v="14"/>
  </r>
  <r>
    <x v="14"/>
  </r>
  <r>
    <x v="14"/>
  </r>
  <r>
    <x v="14"/>
  </r>
  <r>
    <x v="84"/>
  </r>
  <r>
    <x v="84"/>
  </r>
  <r>
    <x v="84"/>
  </r>
  <r>
    <x v="14"/>
  </r>
  <r>
    <x v="81"/>
  </r>
  <r>
    <x v="48"/>
  </r>
  <r>
    <x v="48"/>
  </r>
  <r>
    <x v="48"/>
  </r>
  <r>
    <x v="14"/>
  </r>
  <r>
    <x v="14"/>
  </r>
  <r>
    <x v="14"/>
  </r>
  <r>
    <x v="14"/>
  </r>
  <r>
    <x v="14"/>
  </r>
  <r>
    <x v="14"/>
  </r>
  <r>
    <x v="23"/>
  </r>
  <r>
    <x v="25"/>
  </r>
  <r>
    <x v="85"/>
  </r>
  <r>
    <x v="85"/>
  </r>
  <r>
    <x v="48"/>
  </r>
  <r>
    <x v="25"/>
  </r>
  <r>
    <x v="55"/>
  </r>
  <r>
    <x v="48"/>
  </r>
  <r>
    <x v="48"/>
  </r>
  <r>
    <x v="82"/>
  </r>
  <r>
    <x v="2"/>
  </r>
  <r>
    <x v="59"/>
  </r>
  <r>
    <x v="28"/>
  </r>
  <r>
    <x v="28"/>
  </r>
  <r>
    <x v="12"/>
  </r>
  <r>
    <x v="86"/>
  </r>
  <r>
    <x v="86"/>
  </r>
  <r>
    <x v="12"/>
  </r>
  <r>
    <x v="32"/>
  </r>
  <r>
    <x v="12"/>
  </r>
  <r>
    <x v="86"/>
  </r>
  <r>
    <x v="87"/>
  </r>
  <r>
    <x v="28"/>
  </r>
  <r>
    <x v="12"/>
  </r>
  <r>
    <x v="3"/>
  </r>
  <r>
    <x v="3"/>
  </r>
  <r>
    <x v="12"/>
  </r>
  <r>
    <x v="48"/>
  </r>
  <r>
    <x v="10"/>
  </r>
  <r>
    <x v="10"/>
  </r>
  <r>
    <x v="25"/>
  </r>
  <r>
    <x v="22"/>
  </r>
  <r>
    <x v="22"/>
  </r>
  <r>
    <x v="59"/>
  </r>
  <r>
    <x v="59"/>
  </r>
  <r>
    <x v="59"/>
  </r>
  <r>
    <x v="22"/>
  </r>
  <r>
    <x v="25"/>
  </r>
  <r>
    <x v="25"/>
  </r>
  <r>
    <x v="78"/>
  </r>
  <r>
    <x v="78"/>
  </r>
  <r>
    <x v="7"/>
  </r>
  <r>
    <x v="7"/>
  </r>
  <r>
    <x v="7"/>
  </r>
  <r>
    <x v="78"/>
  </r>
  <r>
    <x v="7"/>
  </r>
  <r>
    <x v="7"/>
  </r>
  <r>
    <x v="7"/>
  </r>
  <r>
    <x v="88"/>
  </r>
  <r>
    <x v="88"/>
  </r>
  <r>
    <x v="88"/>
  </r>
  <r>
    <x v="88"/>
  </r>
  <r>
    <x v="7"/>
  </r>
  <r>
    <x v="7"/>
  </r>
  <r>
    <x v="7"/>
  </r>
  <r>
    <x v="14"/>
  </r>
  <r>
    <x v="7"/>
  </r>
  <r>
    <x v="89"/>
  </r>
  <r>
    <x v="89"/>
  </r>
  <r>
    <x v="89"/>
  </r>
  <r>
    <x v="89"/>
  </r>
  <r>
    <x v="118"/>
  </r>
  <r>
    <x v="118"/>
  </r>
  <r>
    <x v="10"/>
  </r>
  <r>
    <x v="94"/>
  </r>
  <r>
    <x v="71"/>
  </r>
  <r>
    <x v="12"/>
  </r>
  <r>
    <x v="48"/>
  </r>
  <r>
    <x v="48"/>
  </r>
  <r>
    <x v="10"/>
  </r>
  <r>
    <x v="10"/>
  </r>
  <r>
    <x v="90"/>
  </r>
  <r>
    <x v="31"/>
  </r>
  <r>
    <x v="31"/>
  </r>
  <r>
    <x v="83"/>
  </r>
  <r>
    <x v="25"/>
  </r>
  <r>
    <x v="25"/>
  </r>
  <r>
    <x v="11"/>
  </r>
  <r>
    <x v="11"/>
  </r>
  <r>
    <x v="91"/>
  </r>
  <r>
    <x v="91"/>
  </r>
  <r>
    <x v="48"/>
  </r>
  <r>
    <x v="48"/>
  </r>
  <r>
    <x v="89"/>
  </r>
  <r>
    <x v="89"/>
  </r>
  <r>
    <x v="89"/>
  </r>
  <r>
    <x v="90"/>
  </r>
  <r>
    <x v="31"/>
  </r>
  <r>
    <x v="31"/>
  </r>
  <r>
    <x v="71"/>
  </r>
  <r>
    <x v="11"/>
  </r>
  <r>
    <x v="92"/>
  </r>
  <r>
    <x v="92"/>
  </r>
  <r>
    <x v="59"/>
  </r>
  <r>
    <x v="59"/>
  </r>
  <r>
    <x v="93"/>
  </r>
  <r>
    <x v="93"/>
  </r>
  <r>
    <x v="93"/>
  </r>
  <r>
    <x v="93"/>
  </r>
  <r>
    <x v="93"/>
  </r>
  <r>
    <x v="93"/>
  </r>
  <r>
    <x v="78"/>
  </r>
  <r>
    <x v="48"/>
  </r>
  <r>
    <x v="48"/>
  </r>
  <r>
    <x v="85"/>
  </r>
  <r>
    <x v="85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25"/>
  </r>
  <r>
    <x v="79"/>
  </r>
  <r>
    <x v="94"/>
  </r>
  <r>
    <x v="93"/>
  </r>
  <r>
    <x v="93"/>
  </r>
  <r>
    <x v="78"/>
  </r>
  <r>
    <x v="93"/>
  </r>
  <r>
    <x v="93"/>
  </r>
  <r>
    <x v="93"/>
  </r>
  <r>
    <x v="93"/>
  </r>
  <r>
    <x v="85"/>
  </r>
  <r>
    <x v="85"/>
  </r>
  <r>
    <x v="77"/>
  </r>
  <r>
    <x v="77"/>
  </r>
  <r>
    <x v="48"/>
  </r>
  <r>
    <x v="48"/>
  </r>
  <r>
    <x v="48"/>
  </r>
  <r>
    <x v="48"/>
  </r>
  <r>
    <x v="93"/>
  </r>
  <r>
    <x v="93"/>
  </r>
  <r>
    <x v="93"/>
  </r>
  <r>
    <x v="93"/>
  </r>
  <r>
    <x v="93"/>
  </r>
  <r>
    <x v="25"/>
  </r>
  <r>
    <x v="93"/>
  </r>
  <r>
    <x v="93"/>
  </r>
  <r>
    <x v="93"/>
  </r>
  <r>
    <x v="124"/>
  </r>
  <r>
    <x v="78"/>
  </r>
  <r>
    <x v="78"/>
  </r>
  <r>
    <x v="78"/>
  </r>
  <r>
    <x v="78"/>
  </r>
  <r>
    <x v="78"/>
  </r>
  <r>
    <x v="78"/>
  </r>
  <r>
    <x v="78"/>
  </r>
  <r>
    <x v="78"/>
  </r>
  <r>
    <x v="93"/>
  </r>
  <r>
    <x v="0"/>
  </r>
  <r>
    <x v="0"/>
  </r>
  <r>
    <x v="93"/>
  </r>
  <r>
    <x v="78"/>
  </r>
  <r>
    <x v="78"/>
  </r>
  <r>
    <x v="78"/>
  </r>
  <r>
    <x v="78"/>
  </r>
  <r>
    <x v="78"/>
  </r>
  <r>
    <x v="0"/>
  </r>
  <r>
    <x v="0"/>
  </r>
  <r>
    <x v="0"/>
  </r>
  <r>
    <x v="42"/>
  </r>
  <r>
    <x v="71"/>
  </r>
  <r>
    <x v="71"/>
  </r>
  <r>
    <x v="78"/>
  </r>
  <r>
    <x v="78"/>
  </r>
  <r>
    <x v="78"/>
  </r>
  <r>
    <x v="78"/>
  </r>
  <r>
    <x v="48"/>
  </r>
  <r>
    <x v="48"/>
  </r>
  <r>
    <x v="48"/>
  </r>
  <r>
    <x v="48"/>
  </r>
  <r>
    <x v="48"/>
  </r>
  <r>
    <x v="48"/>
  </r>
  <r>
    <x v="48"/>
  </r>
  <r>
    <x v="78"/>
  </r>
  <r>
    <x v="96"/>
  </r>
  <r>
    <x v="82"/>
  </r>
  <r>
    <x v="72"/>
  </r>
  <r>
    <x v="217"/>
  </r>
  <r>
    <x v="93"/>
  </r>
  <r>
    <x v="93"/>
  </r>
  <r>
    <x v="93"/>
  </r>
  <r>
    <x v="93"/>
  </r>
  <r>
    <x v="93"/>
  </r>
  <r>
    <x v="78"/>
  </r>
  <r>
    <x v="93"/>
  </r>
  <r>
    <x v="93"/>
  </r>
  <r>
    <x v="93"/>
  </r>
  <r>
    <x v="93"/>
  </r>
  <r>
    <x v="29"/>
  </r>
  <r>
    <x v="93"/>
  </r>
  <r>
    <x v="93"/>
  </r>
  <r>
    <x v="93"/>
  </r>
  <r>
    <x v="93"/>
  </r>
  <r>
    <x v="93"/>
  </r>
  <r>
    <x v="93"/>
  </r>
  <r>
    <x v="93"/>
  </r>
  <r>
    <x v="96"/>
  </r>
  <r>
    <x v="96"/>
  </r>
  <r>
    <x v="93"/>
  </r>
  <r>
    <x v="78"/>
  </r>
  <r>
    <x v="93"/>
  </r>
  <r>
    <x v="93"/>
  </r>
  <r>
    <x v="93"/>
  </r>
  <r>
    <x v="99"/>
  </r>
  <r>
    <x v="93"/>
  </r>
  <r>
    <x v="29"/>
  </r>
  <r>
    <x v="93"/>
  </r>
  <r>
    <x v="93"/>
  </r>
  <r>
    <x v="25"/>
  </r>
  <r>
    <x v="25"/>
  </r>
  <r>
    <x v="25"/>
  </r>
  <r>
    <x v="25"/>
  </r>
  <r>
    <x v="48"/>
  </r>
  <r>
    <x v="96"/>
  </r>
  <r>
    <x v="78"/>
  </r>
  <r>
    <x v="78"/>
  </r>
  <r>
    <x v="78"/>
  </r>
  <r>
    <x v="48"/>
  </r>
  <r>
    <x v="99"/>
  </r>
  <r>
    <x v="93"/>
  </r>
  <r>
    <x v="93"/>
  </r>
  <r>
    <x v="93"/>
  </r>
  <r>
    <x v="93"/>
  </r>
  <r>
    <x v="93"/>
  </r>
  <r>
    <x v="93"/>
  </r>
  <r>
    <x v="93"/>
  </r>
  <r>
    <x v="72"/>
  </r>
  <r>
    <x v="93"/>
  </r>
  <r>
    <x v="93"/>
  </r>
  <r>
    <x v="93"/>
  </r>
  <r>
    <x v="94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142"/>
  </r>
  <r>
    <x v="94"/>
  </r>
  <r>
    <x v="94"/>
  </r>
  <r>
    <x v="12"/>
  </r>
  <r>
    <x v="25"/>
  </r>
  <r>
    <x v="25"/>
  </r>
  <r>
    <x v="25"/>
  </r>
  <r>
    <x v="42"/>
  </r>
  <r>
    <x v="42"/>
  </r>
  <r>
    <x v="25"/>
  </r>
  <r>
    <x v="25"/>
  </r>
  <r>
    <x v="25"/>
  </r>
  <r>
    <x v="25"/>
  </r>
  <r>
    <x v="12"/>
  </r>
  <r>
    <x v="12"/>
  </r>
  <r>
    <x v="75"/>
  </r>
  <r>
    <x v="25"/>
  </r>
  <r>
    <x v="25"/>
  </r>
  <r>
    <x v="75"/>
  </r>
  <r>
    <x v="2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5"/>
  </r>
  <r>
    <x v="25"/>
  </r>
  <r>
    <x v="81"/>
  </r>
  <r>
    <x v="23"/>
  </r>
  <r>
    <x v="12"/>
  </r>
  <r>
    <x v="81"/>
  </r>
  <r>
    <x v="12"/>
  </r>
  <r>
    <x v="12"/>
  </r>
  <r>
    <x v="25"/>
  </r>
  <r>
    <x v="12"/>
  </r>
  <r>
    <x v="99"/>
  </r>
  <r>
    <x v="99"/>
  </r>
  <r>
    <x v="99"/>
  </r>
  <r>
    <x v="9"/>
  </r>
  <r>
    <x v="99"/>
  </r>
  <r>
    <x v="330"/>
  </r>
  <r>
    <x v="193"/>
  </r>
  <r>
    <x v="193"/>
  </r>
  <r>
    <x v="244"/>
  </r>
  <r>
    <x v="244"/>
  </r>
  <r>
    <x v="8"/>
  </r>
  <r>
    <x v="8"/>
  </r>
  <r>
    <x v="42"/>
  </r>
  <r>
    <x v="42"/>
  </r>
  <r>
    <x v="23"/>
  </r>
  <r>
    <x v="23"/>
  </r>
  <r>
    <x v="12"/>
  </r>
  <r>
    <x v="12"/>
  </r>
  <r>
    <x v="23"/>
  </r>
  <r>
    <x v="25"/>
  </r>
  <r>
    <x v="96"/>
  </r>
  <r>
    <x v="23"/>
  </r>
  <r>
    <x v="23"/>
  </r>
  <r>
    <x v="94"/>
  </r>
  <r>
    <x v="29"/>
  </r>
  <r>
    <x v="29"/>
  </r>
  <r>
    <x v="29"/>
  </r>
  <r>
    <x v="23"/>
  </r>
  <r>
    <x v="23"/>
  </r>
  <r>
    <x v="21"/>
  </r>
  <r>
    <x v="9"/>
  </r>
  <r>
    <x v="21"/>
  </r>
  <r>
    <x v="21"/>
  </r>
  <r>
    <x v="21"/>
  </r>
  <r>
    <x v="177"/>
  </r>
  <r>
    <x v="21"/>
  </r>
  <r>
    <x v="99"/>
  </r>
  <r>
    <x v="99"/>
  </r>
  <r>
    <x v="29"/>
  </r>
  <r>
    <x v="29"/>
  </r>
  <r>
    <x v="134"/>
  </r>
  <r>
    <x v="29"/>
  </r>
  <r>
    <x v="29"/>
  </r>
  <r>
    <x v="99"/>
  </r>
  <r>
    <x v="21"/>
  </r>
  <r>
    <x v="81"/>
  </r>
  <r>
    <x v="81"/>
  </r>
  <r>
    <x v="81"/>
  </r>
  <r>
    <x v="81"/>
  </r>
  <r>
    <x v="81"/>
  </r>
  <r>
    <x v="81"/>
  </r>
  <r>
    <x v="81"/>
  </r>
  <r>
    <x v="4"/>
  </r>
  <r>
    <x v="126"/>
  </r>
  <r>
    <x v="142"/>
  </r>
  <r>
    <x v="96"/>
  </r>
  <r>
    <x v="23"/>
  </r>
  <r>
    <x v="23"/>
  </r>
  <r>
    <x v="12"/>
  </r>
  <r>
    <x v="12"/>
  </r>
  <r>
    <x v="14"/>
  </r>
  <r>
    <x v="28"/>
  </r>
  <r>
    <x v="2"/>
  </r>
  <r>
    <x v="20"/>
  </r>
  <r>
    <x v="91"/>
  </r>
  <r>
    <x v="75"/>
  </r>
  <r>
    <x v="25"/>
  </r>
  <r>
    <x v="25"/>
  </r>
  <r>
    <x v="76"/>
  </r>
  <r>
    <x v="199"/>
  </r>
  <r>
    <x v="75"/>
  </r>
  <r>
    <x v="75"/>
  </r>
  <r>
    <x v="199"/>
  </r>
  <r>
    <x v="25"/>
  </r>
  <r>
    <x v="75"/>
  </r>
  <r>
    <x v="76"/>
  </r>
  <r>
    <x v="25"/>
  </r>
  <r>
    <x v="23"/>
  </r>
  <r>
    <x v="23"/>
  </r>
  <r>
    <x v="199"/>
  </r>
  <r>
    <x v="23"/>
  </r>
  <r>
    <x v="25"/>
  </r>
  <r>
    <x v="25"/>
  </r>
  <r>
    <x v="25"/>
  </r>
  <r>
    <x v="21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8"/>
  </r>
  <r>
    <x v="25"/>
  </r>
  <r>
    <x v="22"/>
  </r>
  <r>
    <x v="78"/>
  </r>
  <r>
    <x v="22"/>
  </r>
  <r>
    <x v="22"/>
  </r>
  <r>
    <x v="78"/>
  </r>
  <r>
    <x v="78"/>
  </r>
  <r>
    <x v="78"/>
  </r>
  <r>
    <x v="78"/>
  </r>
  <r>
    <x v="78"/>
  </r>
  <r>
    <x v="78"/>
  </r>
  <r>
    <x v="78"/>
  </r>
  <r>
    <x v="78"/>
  </r>
  <r>
    <x v="56"/>
  </r>
  <r>
    <x v="56"/>
  </r>
  <r>
    <x v="79"/>
  </r>
  <r>
    <x v="79"/>
  </r>
  <r>
    <x v="79"/>
  </r>
  <r>
    <x v="79"/>
  </r>
  <r>
    <x v="138"/>
  </r>
  <r>
    <x v="23"/>
  </r>
  <r>
    <x v="59"/>
  </r>
  <r>
    <x v="16"/>
  </r>
  <r>
    <x v="42"/>
  </r>
  <r>
    <x v="42"/>
  </r>
  <r>
    <x v="0"/>
  </r>
  <r>
    <x v="10"/>
  </r>
  <r>
    <x v="17"/>
  </r>
  <r>
    <x v="14"/>
  </r>
  <r>
    <x v="62"/>
  </r>
  <r>
    <x v="14"/>
  </r>
  <r>
    <x v="77"/>
  </r>
  <r>
    <x v="24"/>
  </r>
  <r>
    <x v="12"/>
  </r>
  <r>
    <x v="28"/>
  </r>
  <r>
    <x v="28"/>
  </r>
  <r>
    <x v="41"/>
  </r>
  <r>
    <x v="37"/>
  </r>
  <r>
    <x v="37"/>
  </r>
  <r>
    <x v="14"/>
  </r>
  <r>
    <x v="26"/>
  </r>
  <r>
    <x v="14"/>
  </r>
  <r>
    <x v="46"/>
  </r>
  <r>
    <x v="14"/>
  </r>
  <r>
    <x v="61"/>
  </r>
  <r>
    <x v="78"/>
  </r>
  <r>
    <x v="21"/>
  </r>
  <r>
    <x v="64"/>
  </r>
  <r>
    <x v="45"/>
  </r>
  <r>
    <x v="59"/>
  </r>
  <r>
    <x v="41"/>
  </r>
  <r>
    <x v="93"/>
  </r>
  <r>
    <x v="45"/>
  </r>
  <r>
    <x v="52"/>
  </r>
  <r>
    <x v="28"/>
  </r>
  <r>
    <x v="28"/>
  </r>
  <r>
    <x v="28"/>
  </r>
  <r>
    <x v="28"/>
  </r>
  <r>
    <x v="93"/>
  </r>
  <r>
    <x v="48"/>
  </r>
  <r>
    <x v="48"/>
  </r>
  <r>
    <x v="7"/>
  </r>
  <r>
    <x v="7"/>
  </r>
  <r>
    <x v="46"/>
  </r>
  <r>
    <x v="14"/>
  </r>
  <r>
    <x v="171"/>
  </r>
  <r>
    <x v="14"/>
  </r>
  <r>
    <x v="14"/>
  </r>
  <r>
    <x v="22"/>
  </r>
  <r>
    <x v="2"/>
  </r>
  <r>
    <x v="0"/>
  </r>
  <r>
    <x v="16"/>
  </r>
  <r>
    <x v="12"/>
  </r>
  <r>
    <x v="28"/>
  </r>
  <r>
    <x v="14"/>
  </r>
  <r>
    <x v="16"/>
  </r>
  <r>
    <x v="28"/>
  </r>
  <r>
    <x v="152"/>
  </r>
  <r>
    <x v="17"/>
  </r>
  <r>
    <x v="14"/>
  </r>
  <r>
    <x v="10"/>
  </r>
  <r>
    <x v="10"/>
  </r>
  <r>
    <x v="10"/>
  </r>
  <r>
    <x v="14"/>
  </r>
  <r>
    <x v="12"/>
  </r>
  <r>
    <x v="12"/>
  </r>
  <r>
    <x v="10"/>
  </r>
  <r>
    <x v="10"/>
  </r>
  <r>
    <x v="249"/>
  </r>
  <r>
    <x v="17"/>
  </r>
  <r>
    <x v="64"/>
  </r>
  <r>
    <x v="64"/>
  </r>
  <r>
    <x v="108"/>
  </r>
  <r>
    <x v="87"/>
  </r>
  <r>
    <x v="43"/>
  </r>
  <r>
    <x v="22"/>
  </r>
  <r>
    <x v="9"/>
  </r>
  <r>
    <x v="10"/>
  </r>
  <r>
    <x v="6"/>
  </r>
  <r>
    <x v="14"/>
  </r>
  <r>
    <x v="8"/>
  </r>
  <r>
    <x v="55"/>
  </r>
  <r>
    <x v="131"/>
  </r>
  <r>
    <x v="0"/>
  </r>
  <r>
    <x v="32"/>
  </r>
  <r>
    <x v="6"/>
  </r>
  <r>
    <x v="171"/>
  </r>
  <r>
    <x v="17"/>
  </r>
  <r>
    <x v="37"/>
  </r>
  <r>
    <x v="16"/>
  </r>
  <r>
    <x v="16"/>
  </r>
  <r>
    <x v="171"/>
  </r>
  <r>
    <x v="4"/>
  </r>
  <r>
    <x v="55"/>
  </r>
  <r>
    <x v="55"/>
  </r>
  <r>
    <x v="9"/>
  </r>
  <r>
    <x v="9"/>
  </r>
  <r>
    <x v="12"/>
  </r>
  <r>
    <x v="17"/>
  </r>
  <r>
    <x v="0"/>
  </r>
  <r>
    <x v="61"/>
  </r>
  <r>
    <x v="9"/>
  </r>
  <r>
    <x v="26"/>
  </r>
  <r>
    <x v="12"/>
  </r>
  <r>
    <x v="28"/>
  </r>
  <r>
    <x v="28"/>
  </r>
  <r>
    <x v="16"/>
  </r>
  <r>
    <x v="62"/>
  </r>
  <r>
    <x v="81"/>
  </r>
  <r>
    <x v="28"/>
  </r>
  <r>
    <x v="0"/>
  </r>
  <r>
    <x v="108"/>
  </r>
  <r>
    <x v="0"/>
  </r>
  <r>
    <x v="131"/>
  </r>
  <r>
    <x v="10"/>
  </r>
  <r>
    <x v="34"/>
  </r>
  <r>
    <x v="28"/>
  </r>
  <r>
    <x v="16"/>
  </r>
  <r>
    <x v="0"/>
  </r>
  <r>
    <x v="64"/>
  </r>
  <r>
    <x v="64"/>
  </r>
  <r>
    <x v="10"/>
  </r>
  <r>
    <x v="0"/>
  </r>
  <r>
    <x v="28"/>
  </r>
  <r>
    <x v="14"/>
  </r>
  <r>
    <x v="17"/>
  </r>
  <r>
    <x v="28"/>
  </r>
  <r>
    <x v="11"/>
  </r>
  <r>
    <x v="30"/>
  </r>
  <r>
    <x v="14"/>
  </r>
  <r>
    <x v="2"/>
  </r>
  <r>
    <x v="28"/>
  </r>
  <r>
    <x v="7"/>
  </r>
  <r>
    <x v="30"/>
  </r>
  <r>
    <x v="7"/>
  </r>
  <r>
    <x v="7"/>
  </r>
  <r>
    <x v="0"/>
  </r>
  <r>
    <x v="0"/>
  </r>
  <r>
    <x v="0"/>
  </r>
  <r>
    <x v="80"/>
  </r>
  <r>
    <x v="80"/>
  </r>
  <r>
    <x v="125"/>
  </r>
  <r>
    <x v="2"/>
  </r>
  <r>
    <x v="2"/>
  </r>
  <r>
    <x v="14"/>
  </r>
  <r>
    <x v="14"/>
  </r>
  <r>
    <x v="14"/>
  </r>
  <r>
    <x v="45"/>
  </r>
  <r>
    <x v="45"/>
  </r>
  <r>
    <x v="45"/>
  </r>
  <r>
    <x v="45"/>
  </r>
  <r>
    <x v="45"/>
  </r>
  <r>
    <x v="45"/>
  </r>
  <r>
    <x v="91"/>
  </r>
  <r>
    <x v="10"/>
  </r>
  <r>
    <x v="10"/>
  </r>
  <r>
    <x v="9"/>
  </r>
  <r>
    <x v="9"/>
  </r>
  <r>
    <x v="24"/>
  </r>
  <r>
    <x v="26"/>
  </r>
  <r>
    <x v="331"/>
  </r>
  <r>
    <x v="112"/>
  </r>
  <r>
    <x v="112"/>
  </r>
  <r>
    <x v="123"/>
  </r>
  <r>
    <x v="2"/>
  </r>
  <r>
    <x v="16"/>
  </r>
  <r>
    <x v="2"/>
  </r>
  <r>
    <x v="79"/>
  </r>
  <r>
    <x v="63"/>
  </r>
  <r>
    <x v="54"/>
  </r>
  <r>
    <x v="42"/>
  </r>
  <r>
    <x v="10"/>
  </r>
  <r>
    <x v="28"/>
  </r>
  <r>
    <x v="28"/>
  </r>
  <r>
    <x v="12"/>
  </r>
  <r>
    <x v="12"/>
  </r>
  <r>
    <x v="25"/>
  </r>
  <r>
    <x v="28"/>
  </r>
  <r>
    <x v="14"/>
  </r>
  <r>
    <x v="9"/>
  </r>
  <r>
    <x v="4"/>
  </r>
  <r>
    <x v="19"/>
  </r>
  <r>
    <x v="14"/>
  </r>
  <r>
    <x v="28"/>
  </r>
  <r>
    <x v="12"/>
  </r>
  <r>
    <x v="77"/>
  </r>
  <r>
    <x v="56"/>
  </r>
  <r>
    <x v="56"/>
  </r>
  <r>
    <x v="130"/>
  </r>
  <r>
    <x v="130"/>
  </r>
  <r>
    <x v="130"/>
  </r>
  <r>
    <x v="86"/>
  </r>
  <r>
    <x v="2"/>
  </r>
  <r>
    <x v="9"/>
  </r>
  <r>
    <x v="48"/>
  </r>
  <r>
    <x v="10"/>
  </r>
  <r>
    <x v="57"/>
  </r>
  <r>
    <x v="19"/>
  </r>
  <r>
    <x v="24"/>
  </r>
  <r>
    <x v="10"/>
  </r>
  <r>
    <x v="138"/>
  </r>
  <r>
    <x v="169"/>
  </r>
  <r>
    <x v="123"/>
  </r>
  <r>
    <x v="27"/>
  </r>
  <r>
    <x v="10"/>
  </r>
  <r>
    <x v="17"/>
  </r>
  <r>
    <x v="87"/>
  </r>
  <r>
    <x v="87"/>
  </r>
  <r>
    <x v="9"/>
  </r>
  <r>
    <x v="9"/>
  </r>
  <r>
    <x v="9"/>
  </r>
  <r>
    <x v="42"/>
  </r>
  <r>
    <x v="42"/>
  </r>
  <r>
    <x v="0"/>
  </r>
  <r>
    <x v="0"/>
  </r>
  <r>
    <x v="10"/>
  </r>
  <r>
    <x v="10"/>
  </r>
  <r>
    <x v="79"/>
  </r>
  <r>
    <x v="7"/>
  </r>
  <r>
    <x v="14"/>
  </r>
  <r>
    <x v="0"/>
  </r>
  <r>
    <x v="11"/>
  </r>
  <r>
    <x v="14"/>
  </r>
  <r>
    <x v="42"/>
  </r>
  <r>
    <x v="4"/>
  </r>
  <r>
    <x v="1"/>
  </r>
  <r>
    <x v="1"/>
  </r>
  <r>
    <x v="78"/>
  </r>
  <r>
    <x v="12"/>
  </r>
  <r>
    <x v="56"/>
  </r>
  <r>
    <x v="28"/>
  </r>
  <r>
    <x v="28"/>
  </r>
  <r>
    <x v="17"/>
  </r>
  <r>
    <x v="10"/>
  </r>
  <r>
    <x v="12"/>
  </r>
  <r>
    <x v="12"/>
  </r>
  <r>
    <x v="12"/>
  </r>
  <r>
    <x v="2"/>
  </r>
  <r>
    <x v="15"/>
  </r>
  <r>
    <x v="12"/>
  </r>
  <r>
    <x v="10"/>
  </r>
  <r>
    <x v="42"/>
  </r>
  <r>
    <x v="78"/>
  </r>
  <r>
    <x v="45"/>
  </r>
  <r>
    <x v="10"/>
  </r>
  <r>
    <x v="10"/>
  </r>
  <r>
    <x v="10"/>
  </r>
  <r>
    <x v="10"/>
  </r>
  <r>
    <x v="4"/>
  </r>
  <r>
    <x v="12"/>
  </r>
  <r>
    <x v="10"/>
  </r>
  <r>
    <x v="102"/>
  </r>
  <r>
    <x v="4"/>
  </r>
  <r>
    <x v="71"/>
  </r>
  <r>
    <x v="4"/>
  </r>
  <r>
    <x v="78"/>
  </r>
  <r>
    <x v="4"/>
  </r>
  <r>
    <x v="10"/>
  </r>
  <r>
    <x v="37"/>
  </r>
  <r>
    <x v="54"/>
  </r>
  <r>
    <x v="9"/>
  </r>
  <r>
    <x v="10"/>
  </r>
  <r>
    <x v="9"/>
  </r>
  <r>
    <x v="9"/>
  </r>
  <r>
    <x v="131"/>
  </r>
  <r>
    <x v="33"/>
  </r>
  <r>
    <x v="56"/>
  </r>
  <r>
    <x v="63"/>
  </r>
  <r>
    <x v="63"/>
  </r>
  <r>
    <x v="63"/>
  </r>
  <r>
    <x v="56"/>
  </r>
  <r>
    <x v="4"/>
  </r>
  <r>
    <x v="152"/>
  </r>
  <r>
    <x v="30"/>
  </r>
  <r>
    <x v="76"/>
  </r>
  <r>
    <x v="8"/>
  </r>
  <r>
    <x v="47"/>
  </r>
  <r>
    <x v="11"/>
  </r>
  <r>
    <x v="9"/>
  </r>
  <r>
    <x v="9"/>
  </r>
  <r>
    <x v="14"/>
  </r>
  <r>
    <x v="28"/>
  </r>
  <r>
    <x v="16"/>
  </r>
  <r>
    <x v="86"/>
  </r>
  <r>
    <x v="12"/>
  </r>
  <r>
    <x v="10"/>
  </r>
  <r>
    <x v="10"/>
  </r>
  <r>
    <x v="12"/>
  </r>
  <r>
    <x v="0"/>
  </r>
  <r>
    <x v="10"/>
  </r>
  <r>
    <x v="12"/>
  </r>
  <r>
    <x v="152"/>
  </r>
  <r>
    <x v="54"/>
  </r>
  <r>
    <x v="4"/>
  </r>
  <r>
    <x v="10"/>
  </r>
  <r>
    <x v="10"/>
  </r>
  <r>
    <x v="7"/>
  </r>
  <r>
    <x v="4"/>
  </r>
  <r>
    <x v="4"/>
  </r>
  <r>
    <x v="4"/>
  </r>
  <r>
    <x v="78"/>
  </r>
  <r>
    <x v="12"/>
  </r>
  <r>
    <x v="102"/>
  </r>
  <r>
    <x v="22"/>
  </r>
  <r>
    <x v="36"/>
  </r>
  <r>
    <x v="165"/>
  </r>
  <r>
    <x v="165"/>
  </r>
  <r>
    <x v="165"/>
  </r>
  <r>
    <x v="15"/>
  </r>
  <r>
    <x v="14"/>
  </r>
  <r>
    <x v="14"/>
  </r>
  <r>
    <x v="14"/>
  </r>
  <r>
    <x v="10"/>
  </r>
  <r>
    <x v="10"/>
  </r>
  <r>
    <x v="12"/>
  </r>
  <r>
    <x v="56"/>
  </r>
  <r>
    <x v="56"/>
  </r>
  <r>
    <x v="56"/>
  </r>
  <r>
    <x v="149"/>
  </r>
  <r>
    <x v="10"/>
  </r>
  <r>
    <x v="10"/>
  </r>
  <r>
    <x v="152"/>
  </r>
  <r>
    <x v="56"/>
  </r>
  <r>
    <x v="42"/>
  </r>
  <r>
    <x v="170"/>
  </r>
  <r>
    <x v="170"/>
  </r>
  <r>
    <x v="87"/>
  </r>
  <r>
    <x v="87"/>
  </r>
  <r>
    <x v="87"/>
  </r>
  <r>
    <x v="21"/>
  </r>
  <r>
    <x v="80"/>
  </r>
  <r>
    <x v="10"/>
  </r>
  <r>
    <x v="10"/>
  </r>
  <r>
    <x v="10"/>
  </r>
  <r>
    <x v="10"/>
  </r>
  <r>
    <x v="76"/>
  </r>
  <r>
    <x v="76"/>
  </r>
  <r>
    <x v="0"/>
  </r>
  <r>
    <x v="0"/>
  </r>
  <r>
    <x v="0"/>
  </r>
  <r>
    <x v="0"/>
  </r>
  <r>
    <x v="28"/>
  </r>
  <r>
    <x v="28"/>
  </r>
  <r>
    <x v="48"/>
  </r>
  <r>
    <x v="8"/>
  </r>
  <r>
    <x v="8"/>
  </r>
  <r>
    <x v="10"/>
  </r>
  <r>
    <x v="42"/>
  </r>
  <r>
    <x v="2"/>
  </r>
  <r>
    <x v="34"/>
  </r>
  <r>
    <x v="12"/>
  </r>
  <r>
    <x v="16"/>
  </r>
  <r>
    <x v="11"/>
  </r>
  <r>
    <x v="45"/>
  </r>
  <r>
    <x v="45"/>
  </r>
  <r>
    <x v="12"/>
  </r>
  <r>
    <x v="86"/>
  </r>
  <r>
    <x v="11"/>
  </r>
  <r>
    <x v="0"/>
  </r>
  <r>
    <x v="24"/>
  </r>
  <r>
    <x v="9"/>
  </r>
  <r>
    <x v="40"/>
  </r>
  <r>
    <x v="130"/>
  </r>
  <r>
    <x v="0"/>
  </r>
  <r>
    <x v="33"/>
  </r>
  <r>
    <x v="64"/>
  </r>
  <r>
    <x v="12"/>
  </r>
  <r>
    <x v="12"/>
  </r>
  <r>
    <x v="10"/>
  </r>
  <r>
    <x v="127"/>
  </r>
  <r>
    <x v="165"/>
  </r>
  <r>
    <x v="12"/>
  </r>
  <r>
    <x v="12"/>
  </r>
  <r>
    <x v="108"/>
  </r>
  <r>
    <x v="108"/>
  </r>
  <r>
    <x v="4"/>
  </r>
  <r>
    <x v="4"/>
  </r>
  <r>
    <x v="0"/>
  </r>
  <r>
    <x v="16"/>
  </r>
  <r>
    <x v="123"/>
  </r>
  <r>
    <x v="42"/>
  </r>
  <r>
    <x v="25"/>
  </r>
  <r>
    <x v="0"/>
  </r>
  <r>
    <x v="123"/>
  </r>
  <r>
    <x v="22"/>
  </r>
  <r>
    <x v="111"/>
  </r>
  <r>
    <x v="28"/>
  </r>
  <r>
    <x v="2"/>
  </r>
  <r>
    <x v="22"/>
  </r>
  <r>
    <x v="12"/>
  </r>
  <r>
    <x v="165"/>
  </r>
  <r>
    <x v="48"/>
  </r>
  <r>
    <x v="10"/>
  </r>
  <r>
    <x v="25"/>
  </r>
  <r>
    <x v="10"/>
  </r>
  <r>
    <x v="57"/>
  </r>
  <r>
    <x v="57"/>
  </r>
  <r>
    <x v="7"/>
  </r>
  <r>
    <x v="14"/>
  </r>
  <r>
    <x v="14"/>
  </r>
  <r>
    <x v="12"/>
  </r>
  <r>
    <x v="28"/>
  </r>
  <r>
    <x v="14"/>
  </r>
  <r>
    <x v="0"/>
  </r>
  <r>
    <x v="14"/>
  </r>
  <r>
    <x v="19"/>
  </r>
  <r>
    <x v="157"/>
  </r>
  <r>
    <x v="2"/>
  </r>
  <r>
    <x v="2"/>
  </r>
  <r>
    <x v="28"/>
  </r>
  <r>
    <x v="16"/>
  </r>
  <r>
    <x v="14"/>
  </r>
  <r>
    <x v="10"/>
  </r>
  <r>
    <x v="10"/>
  </r>
  <r>
    <x v="25"/>
  </r>
  <r>
    <x v="14"/>
  </r>
  <r>
    <x v="14"/>
  </r>
  <r>
    <x v="14"/>
  </r>
  <r>
    <x v="14"/>
  </r>
  <r>
    <x v="14"/>
  </r>
  <r>
    <x v="123"/>
  </r>
  <r>
    <x v="28"/>
  </r>
  <r>
    <x v="28"/>
  </r>
  <r>
    <x v="28"/>
  </r>
  <r>
    <x v="28"/>
  </r>
  <r>
    <x v="28"/>
  </r>
  <r>
    <x v="28"/>
  </r>
  <r>
    <x v="28"/>
  </r>
  <r>
    <x v="47"/>
  </r>
  <r>
    <x v="47"/>
  </r>
  <r>
    <x v="47"/>
  </r>
  <r>
    <x v="47"/>
  </r>
  <r>
    <x v="47"/>
  </r>
  <r>
    <x v="14"/>
  </r>
  <r>
    <x v="14"/>
  </r>
  <r>
    <x v="12"/>
  </r>
  <r>
    <x v="46"/>
  </r>
  <r>
    <x v="79"/>
  </r>
  <r>
    <x v="77"/>
  </r>
  <r>
    <x v="51"/>
  </r>
  <r>
    <x v="51"/>
  </r>
  <r>
    <x v="63"/>
  </r>
  <r>
    <x v="14"/>
  </r>
  <r>
    <x v="14"/>
  </r>
  <r>
    <x v="0"/>
  </r>
  <r>
    <x v="14"/>
  </r>
  <r>
    <x v="0"/>
  </r>
  <r>
    <x v="14"/>
  </r>
  <r>
    <x v="0"/>
  </r>
  <r>
    <x v="0"/>
  </r>
  <r>
    <x v="14"/>
  </r>
  <r>
    <x v="14"/>
  </r>
  <r>
    <x v="22"/>
  </r>
  <r>
    <x v="22"/>
  </r>
  <r>
    <x v="22"/>
  </r>
  <r>
    <x v="0"/>
  </r>
  <r>
    <x v="63"/>
  </r>
  <r>
    <x v="14"/>
  </r>
  <r>
    <x v="14"/>
  </r>
  <r>
    <x v="14"/>
  </r>
  <r>
    <x v="14"/>
  </r>
  <r>
    <x v="14"/>
  </r>
  <r>
    <x v="14"/>
  </r>
  <r>
    <x v="14"/>
  </r>
  <r>
    <x v="48"/>
  </r>
  <r>
    <x v="0"/>
  </r>
  <r>
    <x v="4"/>
  </r>
  <r>
    <x v="12"/>
  </r>
  <r>
    <x v="12"/>
  </r>
  <r>
    <x v="31"/>
  </r>
  <r>
    <x v="4"/>
  </r>
  <r>
    <x v="47"/>
  </r>
  <r>
    <x v="9"/>
  </r>
  <r>
    <x v="47"/>
  </r>
  <r>
    <x v="77"/>
  </r>
  <r>
    <x v="47"/>
  </r>
  <r>
    <x v="31"/>
  </r>
  <r>
    <x v="31"/>
  </r>
  <r>
    <x v="31"/>
  </r>
  <r>
    <x v="12"/>
  </r>
  <r>
    <x v="31"/>
  </r>
  <r>
    <x v="0"/>
  </r>
  <r>
    <x v="63"/>
  </r>
  <r>
    <x v="63"/>
  </r>
  <r>
    <x v="0"/>
  </r>
  <r>
    <x v="31"/>
  </r>
  <r>
    <x v="12"/>
  </r>
  <r>
    <x v="51"/>
  </r>
  <r>
    <x v="12"/>
  </r>
  <r>
    <x v="12"/>
  </r>
  <r>
    <x v="0"/>
  </r>
  <r>
    <x v="14"/>
  </r>
  <r>
    <x v="14"/>
  </r>
  <r>
    <x v="28"/>
  </r>
  <r>
    <x v="28"/>
  </r>
  <r>
    <x v="28"/>
  </r>
  <r>
    <x v="28"/>
  </r>
  <r>
    <x v="45"/>
  </r>
  <r>
    <x v="19"/>
  </r>
  <r>
    <x v="19"/>
  </r>
  <r>
    <x v="19"/>
  </r>
  <r>
    <x v="51"/>
  </r>
  <r>
    <x v="12"/>
  </r>
  <r>
    <x v="31"/>
  </r>
  <r>
    <x v="68"/>
  </r>
  <r>
    <x v="28"/>
  </r>
  <r>
    <x v="16"/>
  </r>
  <r>
    <x v="16"/>
  </r>
  <r>
    <x v="0"/>
  </r>
  <r>
    <x v="63"/>
  </r>
  <r>
    <x v="14"/>
  </r>
  <r>
    <x v="14"/>
  </r>
  <r>
    <x v="14"/>
  </r>
  <r>
    <x v="14"/>
  </r>
  <r>
    <x v="14"/>
  </r>
  <r>
    <x v="131"/>
  </r>
  <r>
    <x v="131"/>
  </r>
  <r>
    <x v="14"/>
  </r>
  <r>
    <x v="19"/>
  </r>
  <r>
    <x v="31"/>
  </r>
  <r>
    <x v="2"/>
  </r>
  <r>
    <x v="63"/>
  </r>
  <r>
    <x v="31"/>
  </r>
  <r>
    <x v="19"/>
  </r>
  <r>
    <x v="19"/>
  </r>
  <r>
    <x v="19"/>
  </r>
  <r>
    <x v="9"/>
  </r>
  <r>
    <x v="31"/>
  </r>
  <r>
    <x v="10"/>
  </r>
  <r>
    <x v="152"/>
  </r>
  <r>
    <x v="10"/>
  </r>
  <r>
    <x v="10"/>
  </r>
  <r>
    <x v="9"/>
  </r>
  <r>
    <x v="9"/>
  </r>
  <r>
    <x v="9"/>
  </r>
  <r>
    <x v="31"/>
  </r>
  <r>
    <x v="19"/>
  </r>
  <r>
    <x v="19"/>
  </r>
  <r>
    <x v="31"/>
  </r>
  <r>
    <x v="51"/>
  </r>
  <r>
    <x v="51"/>
  </r>
  <r>
    <x v="64"/>
  </r>
  <r>
    <x v="64"/>
  </r>
  <r>
    <x v="131"/>
  </r>
  <r>
    <x v="131"/>
  </r>
  <r>
    <x v="0"/>
  </r>
  <r>
    <x v="0"/>
  </r>
  <r>
    <x v="12"/>
  </r>
  <r>
    <x v="25"/>
  </r>
  <r>
    <x v="16"/>
  </r>
  <r>
    <x v="25"/>
  </r>
  <r>
    <x v="45"/>
  </r>
  <r>
    <x v="45"/>
  </r>
  <r>
    <x v="45"/>
  </r>
  <r>
    <x v="51"/>
  </r>
  <r>
    <x v="51"/>
  </r>
  <r>
    <x v="51"/>
  </r>
  <r>
    <x v="51"/>
  </r>
  <r>
    <x v="51"/>
  </r>
  <r>
    <x v="102"/>
  </r>
  <r>
    <x v="48"/>
  </r>
  <r>
    <x v="28"/>
  </r>
  <r>
    <x v="31"/>
  </r>
  <r>
    <x v="31"/>
  </r>
  <r>
    <x v="0"/>
  </r>
  <r>
    <x v="45"/>
  </r>
  <r>
    <x v="24"/>
  </r>
  <r>
    <x v="45"/>
  </r>
  <r>
    <x v="51"/>
  </r>
  <r>
    <x v="45"/>
  </r>
  <r>
    <x v="51"/>
  </r>
  <r>
    <x v="9"/>
  </r>
  <r>
    <x v="71"/>
  </r>
  <r>
    <x v="123"/>
  </r>
  <r>
    <x v="123"/>
  </r>
  <r>
    <x v="63"/>
  </r>
  <r>
    <x v="63"/>
  </r>
  <r>
    <x v="0"/>
  </r>
  <r>
    <x v="11"/>
  </r>
  <r>
    <x v="11"/>
  </r>
  <r>
    <x v="11"/>
  </r>
  <r>
    <x v="48"/>
  </r>
  <r>
    <x v="48"/>
  </r>
  <r>
    <x v="48"/>
  </r>
  <r>
    <x v="48"/>
  </r>
  <r>
    <x v="48"/>
  </r>
  <r>
    <x v="48"/>
  </r>
  <r>
    <x v="12"/>
  </r>
  <r>
    <x v="14"/>
  </r>
  <r>
    <x v="51"/>
  </r>
  <r>
    <x v="51"/>
  </r>
  <r>
    <x v="51"/>
  </r>
  <r>
    <x v="51"/>
  </r>
  <r>
    <x v="28"/>
  </r>
  <r>
    <x v="28"/>
  </r>
  <r>
    <x v="45"/>
  </r>
  <r>
    <x v="45"/>
  </r>
  <r>
    <x v="31"/>
  </r>
  <r>
    <x v="19"/>
  </r>
  <r>
    <x v="31"/>
  </r>
  <r>
    <x v="11"/>
  </r>
  <r>
    <x v="0"/>
  </r>
  <r>
    <x v="2"/>
  </r>
  <r>
    <x v="2"/>
  </r>
  <r>
    <x v="2"/>
  </r>
  <r>
    <x v="2"/>
  </r>
  <r>
    <x v="0"/>
  </r>
  <r>
    <x v="0"/>
  </r>
  <r>
    <x v="123"/>
  </r>
  <r>
    <x v="123"/>
  </r>
  <r>
    <x v="123"/>
  </r>
  <r>
    <x v="123"/>
  </r>
  <r>
    <x v="50"/>
  </r>
  <r>
    <x v="50"/>
  </r>
  <r>
    <x v="48"/>
  </r>
  <r>
    <x v="48"/>
  </r>
  <r>
    <x v="48"/>
  </r>
  <r>
    <x v="48"/>
  </r>
  <r>
    <x v="160"/>
  </r>
  <r>
    <x v="45"/>
  </r>
  <r>
    <x v="11"/>
  </r>
  <r>
    <x v="15"/>
  </r>
  <r>
    <x v="15"/>
  </r>
  <r>
    <x v="11"/>
  </r>
  <r>
    <x v="16"/>
  </r>
  <r>
    <x v="16"/>
  </r>
  <r>
    <x v="17"/>
  </r>
  <r>
    <x v="17"/>
  </r>
  <r>
    <x v="17"/>
  </r>
  <r>
    <x v="14"/>
  </r>
  <r>
    <x v="28"/>
  </r>
  <r>
    <x v="11"/>
  </r>
  <r>
    <x v="12"/>
  </r>
  <r>
    <x v="12"/>
  </r>
  <r>
    <x v="47"/>
  </r>
  <r>
    <x v="12"/>
  </r>
  <r>
    <x v="12"/>
  </r>
  <r>
    <x v="47"/>
  </r>
  <r>
    <x v="51"/>
  </r>
  <r>
    <x v="51"/>
  </r>
  <r>
    <x v="11"/>
  </r>
  <r>
    <x v="15"/>
  </r>
  <r>
    <x v="11"/>
  </r>
  <r>
    <x v="15"/>
  </r>
  <r>
    <x v="15"/>
  </r>
  <r>
    <x v="11"/>
  </r>
  <r>
    <x v="2"/>
  </r>
  <r>
    <x v="2"/>
  </r>
  <r>
    <x v="2"/>
  </r>
  <r>
    <x v="2"/>
  </r>
  <r>
    <x v="2"/>
  </r>
  <r>
    <x v="2"/>
  </r>
  <r>
    <x v="2"/>
  </r>
  <r>
    <x v="4"/>
  </r>
  <r>
    <x v="4"/>
  </r>
  <r>
    <x v="4"/>
  </r>
  <r>
    <x v="4"/>
  </r>
  <r>
    <x v="47"/>
  </r>
  <r>
    <x v="47"/>
  </r>
  <r>
    <x v="0"/>
  </r>
  <r>
    <x v="11"/>
  </r>
  <r>
    <x v="12"/>
  </r>
  <r>
    <x v="12"/>
  </r>
  <r>
    <x v="47"/>
  </r>
  <r>
    <x v="47"/>
  </r>
  <r>
    <x v="47"/>
  </r>
  <r>
    <x v="2"/>
  </r>
  <r>
    <x v="2"/>
  </r>
  <r>
    <x v="2"/>
  </r>
  <r>
    <x v="12"/>
  </r>
  <r>
    <x v="12"/>
  </r>
  <r>
    <x v="12"/>
  </r>
  <r>
    <x v="19"/>
  </r>
  <r>
    <x v="16"/>
  </r>
  <r>
    <x v="12"/>
  </r>
  <r>
    <x v="12"/>
  </r>
  <r>
    <x v="68"/>
  </r>
  <r>
    <x v="25"/>
  </r>
  <r>
    <x v="15"/>
  </r>
  <r>
    <x v="15"/>
  </r>
  <r>
    <x v="4"/>
  </r>
  <r>
    <x v="11"/>
  </r>
  <r>
    <x v="11"/>
  </r>
  <r>
    <x v="11"/>
  </r>
  <r>
    <x v="15"/>
  </r>
  <r>
    <x v="56"/>
  </r>
  <r>
    <x v="42"/>
  </r>
  <r>
    <x v="76"/>
  </r>
  <r>
    <x v="45"/>
  </r>
  <r>
    <x v="1"/>
  </r>
  <r>
    <x v="1"/>
  </r>
  <r>
    <x v="10"/>
  </r>
  <r>
    <x v="19"/>
  </r>
  <r>
    <x v="50"/>
  </r>
  <r>
    <x v="50"/>
  </r>
  <r>
    <x v="12"/>
  </r>
  <r>
    <x v="50"/>
  </r>
  <r>
    <x v="28"/>
  </r>
  <r>
    <x v="28"/>
  </r>
  <r>
    <x v="28"/>
  </r>
  <r>
    <x v="28"/>
  </r>
  <r>
    <x v="28"/>
  </r>
  <r>
    <x v="28"/>
  </r>
  <r>
    <x v="28"/>
  </r>
  <r>
    <x v="131"/>
  </r>
  <r>
    <x v="131"/>
  </r>
  <r>
    <x v="12"/>
  </r>
  <r>
    <x v="0"/>
  </r>
  <r>
    <x v="0"/>
  </r>
  <r>
    <x v="238"/>
  </r>
  <r>
    <x v="12"/>
  </r>
  <r>
    <x v="138"/>
  </r>
  <r>
    <x v="50"/>
  </r>
  <r>
    <x v="0"/>
  </r>
  <r>
    <x v="50"/>
  </r>
  <r>
    <x v="14"/>
  </r>
  <r>
    <x v="12"/>
  </r>
  <r>
    <x v="19"/>
  </r>
  <r>
    <x v="50"/>
  </r>
  <r>
    <x v="50"/>
  </r>
  <r>
    <x v="50"/>
  </r>
  <r>
    <x v="31"/>
  </r>
  <r>
    <x v="28"/>
  </r>
  <r>
    <x v="28"/>
  </r>
  <r>
    <x v="12"/>
  </r>
  <r>
    <x v="47"/>
  </r>
  <r>
    <x v="17"/>
  </r>
  <r>
    <x v="47"/>
  </r>
  <r>
    <x v="47"/>
  </r>
  <r>
    <x v="47"/>
  </r>
  <r>
    <x v="50"/>
  </r>
  <r>
    <x v="50"/>
  </r>
  <r>
    <x v="50"/>
  </r>
  <r>
    <x v="0"/>
  </r>
  <r>
    <x v="2"/>
  </r>
  <r>
    <x v="0"/>
  </r>
  <r>
    <x v="0"/>
  </r>
  <r>
    <x v="0"/>
  </r>
  <r>
    <x v="28"/>
  </r>
  <r>
    <x v="28"/>
  </r>
  <r>
    <x v="12"/>
  </r>
  <r>
    <x v="15"/>
  </r>
  <r>
    <x v="11"/>
  </r>
  <r>
    <x v="15"/>
  </r>
  <r>
    <x v="15"/>
  </r>
  <r>
    <x v="28"/>
  </r>
  <r>
    <x v="28"/>
  </r>
  <r>
    <x v="28"/>
  </r>
  <r>
    <x v="28"/>
  </r>
  <r>
    <x v="28"/>
  </r>
  <r>
    <x v="28"/>
  </r>
  <r>
    <x v="28"/>
  </r>
  <r>
    <x v="28"/>
  </r>
  <r>
    <x v="12"/>
  </r>
  <r>
    <x v="0"/>
  </r>
  <r>
    <x v="4"/>
  </r>
  <r>
    <x v="4"/>
  </r>
  <r>
    <x v="47"/>
  </r>
  <r>
    <x v="15"/>
  </r>
  <r>
    <x v="24"/>
  </r>
  <r>
    <x v="15"/>
  </r>
  <r>
    <x v="15"/>
  </r>
  <r>
    <x v="24"/>
  </r>
  <r>
    <x v="0"/>
  </r>
  <r>
    <x v="0"/>
  </r>
  <r>
    <x v="0"/>
  </r>
  <r>
    <x v="24"/>
  </r>
  <r>
    <x v="15"/>
  </r>
  <r>
    <x v="57"/>
  </r>
  <r>
    <x v="28"/>
  </r>
  <r>
    <x v="28"/>
  </r>
  <r>
    <x v="29"/>
  </r>
  <r>
    <x v="29"/>
  </r>
  <r>
    <x v="24"/>
  </r>
  <r>
    <x v="15"/>
  </r>
  <r>
    <x v="28"/>
  </r>
  <r>
    <x v="0"/>
  </r>
  <r>
    <x v="26"/>
  </r>
  <r>
    <x v="26"/>
  </r>
  <r>
    <x v="17"/>
  </r>
  <r>
    <x v="92"/>
  </r>
  <r>
    <x v="92"/>
  </r>
  <r>
    <x v="92"/>
  </r>
  <r>
    <x v="17"/>
  </r>
  <r>
    <x v="51"/>
  </r>
  <r>
    <x v="51"/>
  </r>
  <r>
    <x v="51"/>
  </r>
  <r>
    <x v="51"/>
  </r>
  <r>
    <x v="29"/>
  </r>
  <r>
    <x v="29"/>
  </r>
  <r>
    <x v="48"/>
  </r>
  <r>
    <x v="2"/>
  </r>
  <r>
    <x v="2"/>
  </r>
  <r>
    <x v="2"/>
  </r>
  <r>
    <x v="2"/>
  </r>
  <r>
    <x v="24"/>
  </r>
  <r>
    <x v="15"/>
  </r>
  <r>
    <x v="24"/>
  </r>
  <r>
    <x v="57"/>
  </r>
  <r>
    <x v="29"/>
  </r>
  <r>
    <x v="14"/>
  </r>
  <r>
    <x v="14"/>
  </r>
  <r>
    <x v="2"/>
  </r>
  <r>
    <x v="14"/>
  </r>
  <r>
    <x v="89"/>
  </r>
  <r>
    <x v="10"/>
  </r>
  <r>
    <x v="24"/>
  </r>
  <r>
    <x v="19"/>
  </r>
  <r>
    <x v="19"/>
  </r>
  <r>
    <x v="19"/>
  </r>
  <r>
    <x v="57"/>
  </r>
  <r>
    <x v="2"/>
  </r>
  <r>
    <x v="2"/>
  </r>
  <r>
    <x v="57"/>
  </r>
  <r>
    <x v="57"/>
  </r>
  <r>
    <x v="57"/>
  </r>
  <r>
    <x v="2"/>
  </r>
  <r>
    <x v="57"/>
  </r>
  <r>
    <x v="2"/>
  </r>
  <r>
    <x v="4"/>
  </r>
  <r>
    <x v="45"/>
  </r>
  <r>
    <x v="7"/>
  </r>
  <r>
    <x v="138"/>
  </r>
  <r>
    <x v="2"/>
  </r>
  <r>
    <x v="152"/>
  </r>
  <r>
    <x v="152"/>
  </r>
  <r>
    <x v="12"/>
  </r>
  <r>
    <x v="12"/>
  </r>
  <r>
    <x v="12"/>
  </r>
  <r>
    <x v="12"/>
  </r>
  <r>
    <x v="57"/>
  </r>
  <r>
    <x v="87"/>
  </r>
  <r>
    <x v="12"/>
  </r>
  <r>
    <x v="152"/>
  </r>
  <r>
    <x v="152"/>
  </r>
  <r>
    <x v="12"/>
  </r>
  <r>
    <x v="12"/>
  </r>
  <r>
    <x v="12"/>
  </r>
  <r>
    <x v="12"/>
  </r>
  <r>
    <x v="57"/>
  </r>
  <r>
    <x v="12"/>
  </r>
  <r>
    <x v="4"/>
  </r>
  <r>
    <x v="0"/>
  </r>
  <r>
    <x v="57"/>
  </r>
  <r>
    <x v="15"/>
  </r>
  <r>
    <x v="4"/>
  </r>
  <r>
    <x v="15"/>
  </r>
  <r>
    <x v="4"/>
  </r>
  <r>
    <x v="26"/>
  </r>
  <r>
    <x v="57"/>
  </r>
  <r>
    <x v="57"/>
  </r>
  <r>
    <x v="57"/>
  </r>
  <r>
    <x v="57"/>
  </r>
  <r>
    <x v="26"/>
  </r>
  <r>
    <x v="26"/>
  </r>
  <r>
    <x v="17"/>
  </r>
  <r>
    <x v="19"/>
  </r>
  <r>
    <x v="47"/>
  </r>
  <r>
    <x v="47"/>
  </r>
  <r>
    <x v="0"/>
  </r>
  <r>
    <x v="31"/>
  </r>
  <r>
    <x v="31"/>
  </r>
  <r>
    <x v="31"/>
  </r>
  <r>
    <x v="19"/>
  </r>
  <r>
    <x v="19"/>
  </r>
  <r>
    <x v="12"/>
  </r>
  <r>
    <x v="47"/>
  </r>
  <r>
    <x v="47"/>
  </r>
  <r>
    <x v="4"/>
  </r>
  <r>
    <x v="4"/>
  </r>
  <r>
    <x v="14"/>
  </r>
  <r>
    <x v="14"/>
  </r>
  <r>
    <x v="0"/>
  </r>
  <r>
    <x v="47"/>
  </r>
  <r>
    <x v="17"/>
  </r>
  <r>
    <x v="0"/>
  </r>
  <r>
    <x v="0"/>
  </r>
  <r>
    <x v="0"/>
  </r>
  <r>
    <x v="19"/>
  </r>
  <r>
    <x v="112"/>
  </r>
  <r>
    <x v="19"/>
  </r>
  <r>
    <x v="11"/>
  </r>
  <r>
    <x v="11"/>
  </r>
  <r>
    <x v="152"/>
  </r>
  <r>
    <x v="19"/>
  </r>
  <r>
    <x v="19"/>
  </r>
  <r>
    <x v="152"/>
  </r>
  <r>
    <x v="152"/>
  </r>
  <r>
    <x v="12"/>
  </r>
  <r>
    <x v="0"/>
  </r>
  <r>
    <x v="0"/>
  </r>
  <r>
    <x v="0"/>
  </r>
  <r>
    <x v="56"/>
  </r>
  <r>
    <x v="123"/>
  </r>
  <r>
    <x v="17"/>
  </r>
  <r>
    <x v="12"/>
  </r>
  <r>
    <x v="15"/>
  </r>
  <r>
    <x v="19"/>
  </r>
  <r>
    <x v="57"/>
  </r>
  <r>
    <x v="57"/>
  </r>
  <r>
    <x v="0"/>
  </r>
  <r>
    <x v="12"/>
  </r>
  <r>
    <x v="152"/>
  </r>
  <r>
    <x v="4"/>
  </r>
  <r>
    <x v="19"/>
  </r>
  <r>
    <x v="19"/>
  </r>
  <r>
    <x v="12"/>
  </r>
  <r>
    <x v="7"/>
  </r>
  <r>
    <x v="0"/>
  </r>
  <r>
    <x v="0"/>
  </r>
  <r>
    <x v="0"/>
  </r>
  <r>
    <x v="12"/>
  </r>
  <r>
    <x v="12"/>
  </r>
  <r>
    <x v="12"/>
  </r>
  <r>
    <x v="0"/>
  </r>
  <r>
    <x v="56"/>
  </r>
  <r>
    <x v="62"/>
  </r>
  <r>
    <x v="131"/>
  </r>
  <r>
    <x v="19"/>
  </r>
  <r>
    <x v="87"/>
  </r>
  <r>
    <x v="0"/>
  </r>
  <r>
    <x v="46"/>
  </r>
  <r>
    <x v="47"/>
  </r>
  <r>
    <x v="0"/>
  </r>
  <r>
    <x v="12"/>
  </r>
  <r>
    <x v="24"/>
  </r>
  <r>
    <x v="0"/>
  </r>
  <r>
    <x v="0"/>
  </r>
  <r>
    <x v="2"/>
  </r>
  <r>
    <x v="21"/>
  </r>
  <r>
    <x v="141"/>
  </r>
  <r>
    <x v="2"/>
  </r>
  <r>
    <x v="29"/>
  </r>
  <r>
    <x v="47"/>
  </r>
  <r>
    <x v="19"/>
  </r>
  <r>
    <x v="0"/>
  </r>
  <r>
    <x v="0"/>
  </r>
  <r>
    <x v="39"/>
  </r>
  <r>
    <x v="0"/>
  </r>
  <r>
    <x v="19"/>
  </r>
  <r>
    <x v="152"/>
  </r>
  <r>
    <x v="78"/>
  </r>
  <r>
    <x v="1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9"/>
  </r>
  <r>
    <x v="11"/>
  </r>
  <r>
    <x v="11"/>
  </r>
  <r>
    <x v="11"/>
  </r>
  <r>
    <x v="11"/>
  </r>
  <r>
    <x v="10"/>
  </r>
  <r>
    <x v="10"/>
  </r>
  <r>
    <x v="42"/>
  </r>
  <r>
    <x v="0"/>
  </r>
  <r>
    <x v="0"/>
  </r>
  <r>
    <x v="70"/>
  </r>
  <r>
    <x v="2"/>
  </r>
  <r>
    <x v="0"/>
  </r>
  <r>
    <x v="0"/>
  </r>
  <r>
    <x v="16"/>
  </r>
  <r>
    <x v="16"/>
  </r>
  <r>
    <x v="0"/>
  </r>
  <r>
    <x v="86"/>
  </r>
  <r>
    <x v="86"/>
  </r>
  <r>
    <x v="0"/>
  </r>
  <r>
    <x v="0"/>
  </r>
  <r>
    <x v="0"/>
  </r>
  <r>
    <x v="37"/>
  </r>
  <r>
    <x v="47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8"/>
  </r>
  <r>
    <x v="42"/>
  </r>
  <r>
    <x v="42"/>
  </r>
  <r>
    <x v="47"/>
  </r>
  <r>
    <x v="47"/>
  </r>
  <r>
    <x v="47"/>
  </r>
  <r>
    <x v="19"/>
  </r>
  <r>
    <x v="1"/>
  </r>
  <r>
    <x v="4"/>
  </r>
  <r>
    <x v="240"/>
  </r>
  <r>
    <x v="63"/>
  </r>
  <r>
    <x v="63"/>
  </r>
  <r>
    <x v="19"/>
  </r>
  <r>
    <x v="9"/>
  </r>
  <r>
    <x v="9"/>
  </r>
  <r>
    <x v="9"/>
  </r>
  <r>
    <x v="11"/>
  </r>
  <r>
    <x v="4"/>
  </r>
  <r>
    <x v="4"/>
  </r>
  <r>
    <x v="12"/>
  </r>
  <r>
    <x v="72"/>
  </r>
  <r>
    <x v="11"/>
  </r>
  <r>
    <x v="10"/>
  </r>
  <r>
    <x v="123"/>
  </r>
  <r>
    <x v="31"/>
  </r>
  <r>
    <x v="9"/>
  </r>
  <r>
    <x v="45"/>
  </r>
  <r>
    <x v="77"/>
  </r>
  <r>
    <x v="71"/>
  </r>
  <r>
    <x v="71"/>
  </r>
  <r>
    <x v="48"/>
  </r>
  <r>
    <x v="48"/>
  </r>
  <r>
    <x v="77"/>
  </r>
  <r>
    <x v="42"/>
  </r>
  <r>
    <x v="12"/>
  </r>
  <r>
    <x v="56"/>
  </r>
  <r>
    <x v="12"/>
  </r>
  <r>
    <x v="0"/>
  </r>
  <r>
    <x v="0"/>
  </r>
  <r>
    <x v="0"/>
  </r>
  <r>
    <x v="62"/>
  </r>
  <r>
    <x v="9"/>
  </r>
  <r>
    <x v="19"/>
  </r>
  <r>
    <x v="19"/>
  </r>
  <r>
    <x v="19"/>
  </r>
  <r>
    <x v="19"/>
  </r>
  <r>
    <x v="56"/>
  </r>
  <r>
    <x v="9"/>
  </r>
  <r>
    <x v="11"/>
  </r>
  <r>
    <x v="11"/>
  </r>
  <r>
    <x v="11"/>
  </r>
  <r>
    <x v="11"/>
  </r>
  <r>
    <x v="12"/>
  </r>
  <r>
    <x v="0"/>
  </r>
  <r>
    <x v="0"/>
  </r>
  <r>
    <x v="31"/>
  </r>
  <r>
    <x v="31"/>
  </r>
  <r>
    <x v="12"/>
  </r>
  <r>
    <x v="12"/>
  </r>
  <r>
    <x v="12"/>
  </r>
  <r>
    <x v="15"/>
  </r>
  <r>
    <x v="15"/>
  </r>
  <r>
    <x v="9"/>
  </r>
  <r>
    <x v="9"/>
  </r>
  <r>
    <x v="9"/>
  </r>
  <r>
    <x v="12"/>
  </r>
  <r>
    <x v="12"/>
  </r>
  <r>
    <x v="1"/>
  </r>
  <r>
    <x v="1"/>
  </r>
  <r>
    <x v="0"/>
  </r>
  <r>
    <x v="7"/>
  </r>
  <r>
    <x v="31"/>
  </r>
  <r>
    <x v="12"/>
  </r>
  <r>
    <x v="10"/>
  </r>
  <r>
    <x v="0"/>
  </r>
  <r>
    <x v="29"/>
  </r>
  <r>
    <x v="31"/>
  </r>
  <r>
    <x v="19"/>
  </r>
  <r>
    <x v="19"/>
  </r>
  <r>
    <x v="19"/>
  </r>
  <r>
    <x v="19"/>
  </r>
  <r>
    <x v="11"/>
  </r>
  <r>
    <x v="11"/>
  </r>
  <r>
    <x v="15"/>
  </r>
  <r>
    <x v="84"/>
  </r>
  <r>
    <x v="56"/>
  </r>
  <r>
    <x v="56"/>
  </r>
  <r>
    <x v="12"/>
  </r>
  <r>
    <x v="56"/>
  </r>
  <r>
    <x v="56"/>
  </r>
  <r>
    <x v="56"/>
  </r>
  <r>
    <x v="111"/>
  </r>
  <r>
    <x v="19"/>
  </r>
  <r>
    <x v="19"/>
  </r>
  <r>
    <x v="0"/>
  </r>
  <r>
    <x v="0"/>
  </r>
  <r>
    <x v="12"/>
  </r>
  <r>
    <x v="0"/>
  </r>
  <r>
    <x v="0"/>
  </r>
  <r>
    <x v="12"/>
  </r>
  <r>
    <x v="12"/>
  </r>
  <r>
    <x v="9"/>
  </r>
  <r>
    <x v="9"/>
  </r>
  <r>
    <x v="19"/>
  </r>
  <r>
    <x v="16"/>
  </r>
  <r>
    <x v="9"/>
  </r>
  <r>
    <x v="123"/>
  </r>
  <r>
    <x v="14"/>
  </r>
  <r>
    <x v="2"/>
  </r>
  <r>
    <x v="2"/>
  </r>
  <r>
    <x v="0"/>
  </r>
  <r>
    <x v="0"/>
  </r>
  <r>
    <x v="0"/>
  </r>
  <r>
    <x v="0"/>
  </r>
  <r>
    <x v="0"/>
  </r>
  <r>
    <x v="0"/>
  </r>
  <r>
    <x v="0"/>
  </r>
  <r>
    <x v="14"/>
  </r>
  <r>
    <x v="14"/>
  </r>
  <r>
    <x v="11"/>
  </r>
  <r>
    <x v="0"/>
  </r>
  <r>
    <x v="10"/>
  </r>
  <r>
    <x v="14"/>
  </r>
  <r>
    <x v="14"/>
  </r>
  <r>
    <x v="14"/>
  </r>
  <r>
    <x v="0"/>
  </r>
  <r>
    <x v="0"/>
  </r>
  <r>
    <x v="14"/>
  </r>
  <r>
    <x v="14"/>
  </r>
  <r>
    <x v="14"/>
  </r>
  <r>
    <x v="7"/>
  </r>
  <r>
    <x v="14"/>
  </r>
  <r>
    <x v="9"/>
  </r>
  <r>
    <x v="9"/>
  </r>
  <r>
    <x v="9"/>
  </r>
  <r>
    <x v="9"/>
  </r>
  <r>
    <x v="24"/>
  </r>
  <r>
    <x v="9"/>
  </r>
  <r>
    <x v="0"/>
  </r>
  <r>
    <x v="0"/>
  </r>
  <r>
    <x v="9"/>
  </r>
  <r>
    <x v="9"/>
  </r>
  <r>
    <x v="0"/>
  </r>
  <r>
    <x v="0"/>
  </r>
  <r>
    <x v="0"/>
  </r>
  <r>
    <x v="0"/>
  </r>
  <r>
    <x v="0"/>
  </r>
  <r>
    <x v="0"/>
  </r>
  <r>
    <x v="7"/>
  </r>
  <r>
    <x v="37"/>
  </r>
  <r>
    <x v="92"/>
  </r>
  <r>
    <x v="16"/>
  </r>
  <r>
    <x v="19"/>
  </r>
  <r>
    <x v="78"/>
  </r>
  <r>
    <x v="10"/>
  </r>
  <r>
    <x v="0"/>
  </r>
  <r>
    <x v="0"/>
  </r>
  <r>
    <x v="0"/>
  </r>
  <r>
    <x v="0"/>
  </r>
  <r>
    <x v="0"/>
  </r>
  <r>
    <x v="0"/>
  </r>
  <r>
    <x v="11"/>
  </r>
  <r>
    <x v="0"/>
  </r>
  <r>
    <x v="11"/>
  </r>
  <r>
    <x v="9"/>
  </r>
  <r>
    <x v="9"/>
  </r>
  <r>
    <x v="9"/>
  </r>
  <r>
    <x v="9"/>
  </r>
  <r>
    <x v="23"/>
  </r>
  <r>
    <x v="114"/>
  </r>
  <r>
    <x v="14"/>
  </r>
  <r>
    <x v="14"/>
  </r>
  <r>
    <x v="14"/>
  </r>
  <r>
    <x v="14"/>
  </r>
  <r>
    <x v="28"/>
  </r>
  <r>
    <x v="28"/>
  </r>
  <r>
    <x v="28"/>
  </r>
  <r>
    <x v="28"/>
  </r>
  <r>
    <x v="16"/>
  </r>
  <r>
    <x v="9"/>
  </r>
  <r>
    <x v="9"/>
  </r>
  <r>
    <x v="9"/>
  </r>
  <r>
    <x v="123"/>
  </r>
  <r>
    <x v="54"/>
  </r>
  <r>
    <x v="56"/>
  </r>
  <r>
    <x v="7"/>
  </r>
  <r>
    <x v="68"/>
  </r>
  <r>
    <x v="22"/>
  </r>
  <r>
    <x v="37"/>
  </r>
  <r>
    <x v="16"/>
  </r>
  <r>
    <x v="16"/>
  </r>
  <r>
    <x v="12"/>
  </r>
  <r>
    <x v="12"/>
  </r>
  <r>
    <x v="1"/>
  </r>
  <r>
    <x v="1"/>
  </r>
  <r>
    <x v="16"/>
  </r>
  <r>
    <x v="8"/>
  </r>
  <r>
    <x v="19"/>
  </r>
  <r>
    <x v="1"/>
  </r>
  <r>
    <x v="53"/>
  </r>
  <r>
    <x v="28"/>
  </r>
  <r>
    <x v="22"/>
  </r>
  <r>
    <x v="22"/>
  </r>
  <r>
    <x v="22"/>
  </r>
  <r>
    <x v="22"/>
  </r>
  <r>
    <x v="22"/>
  </r>
  <r>
    <x v="22"/>
  </r>
  <r>
    <x v="17"/>
  </r>
  <r>
    <x v="37"/>
  </r>
  <r>
    <x v="71"/>
  </r>
  <r>
    <x v="71"/>
  </r>
  <r>
    <x v="71"/>
  </r>
  <r>
    <x v="71"/>
  </r>
  <r>
    <x v="12"/>
  </r>
  <r>
    <x v="71"/>
  </r>
  <r>
    <x v="71"/>
  </r>
  <r>
    <x v="71"/>
  </r>
  <r>
    <x v="57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53"/>
  </r>
  <r>
    <x v="4"/>
  </r>
  <r>
    <x v="160"/>
  </r>
  <r>
    <x v="12"/>
  </r>
  <r>
    <x v="57"/>
  </r>
  <r>
    <x v="12"/>
  </r>
  <r>
    <x v="12"/>
  </r>
  <r>
    <x v="28"/>
  </r>
  <r>
    <x v="56"/>
  </r>
  <r>
    <x v="56"/>
  </r>
  <r>
    <x v="56"/>
  </r>
  <r>
    <x v="48"/>
  </r>
  <r>
    <x v="10"/>
  </r>
  <r>
    <x v="7"/>
  </r>
  <r>
    <x v="1"/>
  </r>
  <r>
    <x v="6"/>
  </r>
  <r>
    <x v="14"/>
  </r>
  <r>
    <x v="14"/>
  </r>
  <r>
    <x v="57"/>
  </r>
  <r>
    <x v="57"/>
  </r>
  <r>
    <x v="57"/>
  </r>
  <r>
    <x v="19"/>
  </r>
  <r>
    <x v="53"/>
  </r>
  <r>
    <x v="53"/>
  </r>
  <r>
    <x v="12"/>
  </r>
  <r>
    <x v="100"/>
  </r>
  <r>
    <x v="3"/>
  </r>
  <r>
    <x v="123"/>
  </r>
  <r>
    <x v="71"/>
  </r>
  <r>
    <x v="71"/>
  </r>
  <r>
    <x v="160"/>
  </r>
  <r>
    <x v="91"/>
  </r>
  <r>
    <x v="14"/>
  </r>
  <r>
    <x v="1"/>
  </r>
  <r>
    <x v="4"/>
  </r>
  <r>
    <x v="6"/>
  </r>
  <r>
    <x v="19"/>
  </r>
  <r>
    <x v="11"/>
  </r>
  <r>
    <x v="42"/>
  </r>
  <r>
    <x v="4"/>
  </r>
  <r>
    <x v="86"/>
  </r>
  <r>
    <x v="4"/>
  </r>
  <r>
    <x v="11"/>
  </r>
  <r>
    <x v="68"/>
  </r>
  <r>
    <x v="63"/>
  </r>
  <r>
    <x v="45"/>
  </r>
  <r>
    <x v="9"/>
  </r>
  <r>
    <x v="6"/>
  </r>
  <r>
    <x v="59"/>
  </r>
  <r>
    <x v="6"/>
  </r>
  <r>
    <x v="6"/>
  </r>
  <r>
    <x v="6"/>
  </r>
  <r>
    <x v="7"/>
  </r>
  <r>
    <x v="25"/>
  </r>
  <r>
    <x v="25"/>
  </r>
  <r>
    <x v="10"/>
  </r>
  <r>
    <x v="10"/>
  </r>
  <r>
    <x v="45"/>
  </r>
  <r>
    <x v="45"/>
  </r>
  <r>
    <x v="1"/>
  </r>
  <r>
    <x v="91"/>
  </r>
  <r>
    <x v="28"/>
  </r>
  <r>
    <x v="42"/>
  </r>
  <r>
    <x v="42"/>
  </r>
  <r>
    <x v="42"/>
  </r>
  <r>
    <x v="42"/>
  </r>
  <r>
    <x v="24"/>
  </r>
  <r>
    <x v="9"/>
  </r>
  <r>
    <x v="9"/>
  </r>
  <r>
    <x v="14"/>
  </r>
  <r>
    <x v="42"/>
  </r>
  <r>
    <x v="42"/>
  </r>
  <r>
    <x v="42"/>
  </r>
  <r>
    <x v="6"/>
  </r>
  <r>
    <x v="19"/>
  </r>
  <r>
    <x v="19"/>
  </r>
  <r>
    <x v="57"/>
  </r>
  <r>
    <x v="22"/>
  </r>
  <r>
    <x v="1"/>
  </r>
  <r>
    <x v="1"/>
  </r>
  <r>
    <x v="1"/>
  </r>
  <r>
    <x v="63"/>
  </r>
  <r>
    <x v="57"/>
  </r>
  <r>
    <x v="57"/>
  </r>
  <r>
    <x v="56"/>
  </r>
  <r>
    <x v="56"/>
  </r>
  <r>
    <x v="10"/>
  </r>
  <r>
    <x v="11"/>
  </r>
  <r>
    <x v="16"/>
  </r>
  <r>
    <x v="19"/>
  </r>
  <r>
    <x v="4"/>
  </r>
  <r>
    <x v="9"/>
  </r>
  <r>
    <x v="10"/>
  </r>
  <r>
    <x v="4"/>
  </r>
  <r>
    <x v="19"/>
  </r>
  <r>
    <x v="12"/>
  </r>
  <r>
    <x v="12"/>
  </r>
  <r>
    <x v="12"/>
  </r>
  <r>
    <x v="12"/>
  </r>
  <r>
    <x v="2"/>
  </r>
  <r>
    <x v="24"/>
  </r>
  <r>
    <x v="152"/>
  </r>
  <r>
    <x v="7"/>
  </r>
  <r>
    <x v="10"/>
  </r>
  <r>
    <x v="16"/>
  </r>
  <r>
    <x v="16"/>
  </r>
  <r>
    <x v="16"/>
  </r>
  <r>
    <x v="16"/>
  </r>
  <r>
    <x v="8"/>
  </r>
  <r>
    <x v="8"/>
  </r>
  <r>
    <x v="8"/>
  </r>
  <r>
    <x v="4"/>
  </r>
  <r>
    <x v="4"/>
  </r>
  <r>
    <x v="142"/>
  </r>
  <r>
    <x v="16"/>
  </r>
  <r>
    <x v="16"/>
  </r>
  <r>
    <x v="6"/>
  </r>
  <r>
    <x v="160"/>
  </r>
  <r>
    <x v="0"/>
  </r>
  <r>
    <x v="0"/>
  </r>
  <r>
    <x v="37"/>
  </r>
  <r>
    <x v="37"/>
  </r>
  <r>
    <x v="152"/>
  </r>
  <r>
    <x v="152"/>
  </r>
  <r>
    <x v="123"/>
  </r>
  <r>
    <x v="123"/>
  </r>
  <r>
    <x v="17"/>
  </r>
  <r>
    <x v="56"/>
  </r>
  <r>
    <x v="7"/>
  </r>
  <r>
    <x v="14"/>
  </r>
  <r>
    <x v="32"/>
  </r>
  <r>
    <x v="32"/>
  </r>
  <r>
    <x v="32"/>
  </r>
  <r>
    <x v="17"/>
  </r>
  <r>
    <x v="17"/>
  </r>
  <r>
    <x v="0"/>
  </r>
  <r>
    <x v="0"/>
  </r>
  <r>
    <x v="0"/>
  </r>
  <r>
    <x v="16"/>
  </r>
  <r>
    <x v="14"/>
  </r>
  <r>
    <x v="32"/>
  </r>
  <r>
    <x v="37"/>
  </r>
  <r>
    <x v="37"/>
  </r>
  <r>
    <x v="37"/>
  </r>
  <r>
    <x v="29"/>
  </r>
  <r>
    <x v="71"/>
  </r>
  <r>
    <x v="37"/>
  </r>
  <r>
    <x v="37"/>
  </r>
  <r>
    <x v="152"/>
  </r>
  <r>
    <x v="152"/>
  </r>
  <r>
    <x v="152"/>
  </r>
  <r>
    <x v="152"/>
  </r>
  <r>
    <x v="152"/>
  </r>
  <r>
    <x v="1"/>
  </r>
  <r>
    <x v="27"/>
  </r>
  <r>
    <x v="27"/>
  </r>
  <r>
    <x v="1"/>
  </r>
  <r>
    <x v="1"/>
  </r>
  <r>
    <x v="7"/>
  </r>
  <r>
    <x v="14"/>
  </r>
  <r>
    <x v="152"/>
  </r>
  <r>
    <x v="86"/>
  </r>
  <r>
    <x v="2"/>
  </r>
  <r>
    <x v="14"/>
  </r>
  <r>
    <x v="152"/>
  </r>
  <r>
    <x v="4"/>
  </r>
  <r>
    <x v="28"/>
  </r>
  <r>
    <x v="28"/>
  </r>
  <r>
    <x v="28"/>
  </r>
  <r>
    <x v="28"/>
  </r>
  <r>
    <x v="2"/>
  </r>
  <r>
    <x v="4"/>
  </r>
  <r>
    <x v="4"/>
  </r>
  <r>
    <x v="4"/>
  </r>
  <r>
    <x v="17"/>
  </r>
  <r>
    <x v="17"/>
  </r>
  <r>
    <x v="21"/>
  </r>
  <r>
    <x v="21"/>
  </r>
  <r>
    <x v="21"/>
  </r>
  <r>
    <x v="1"/>
  </r>
  <r>
    <x v="16"/>
  </r>
  <r>
    <x v="10"/>
  </r>
  <r>
    <x v="1"/>
  </r>
  <r>
    <x v="81"/>
  </r>
  <r>
    <x v="42"/>
  </r>
  <r>
    <x v="12"/>
  </r>
  <r>
    <x v="52"/>
  </r>
  <r>
    <x v="52"/>
  </r>
  <r>
    <x v="10"/>
  </r>
  <r>
    <x v="152"/>
  </r>
  <r>
    <x v="12"/>
  </r>
  <r>
    <x v="0"/>
  </r>
  <r>
    <x v="0"/>
  </r>
  <r>
    <x v="36"/>
  </r>
  <r>
    <x v="12"/>
  </r>
  <r>
    <x v="63"/>
  </r>
  <r>
    <x v="12"/>
  </r>
  <r>
    <x v="12"/>
  </r>
  <r>
    <x v="12"/>
  </r>
  <r>
    <x v="63"/>
  </r>
  <r>
    <x v="63"/>
  </r>
  <r>
    <x v="63"/>
  </r>
  <r>
    <x v="152"/>
  </r>
  <r>
    <x v="28"/>
  </r>
  <r>
    <x v="12"/>
  </r>
  <r>
    <x v="12"/>
  </r>
  <r>
    <x v="21"/>
  </r>
  <r>
    <x v="0"/>
  </r>
  <r>
    <x v="0"/>
  </r>
  <r>
    <x v="0"/>
  </r>
  <r>
    <x v="152"/>
  </r>
  <r>
    <x v="152"/>
  </r>
  <r>
    <x v="37"/>
  </r>
  <r>
    <x v="19"/>
  </r>
  <r>
    <x v="28"/>
  </r>
  <r>
    <x v="147"/>
  </r>
  <r>
    <x v="147"/>
  </r>
  <r>
    <x v="14"/>
  </r>
  <r>
    <x v="147"/>
  </r>
  <r>
    <x v="14"/>
  </r>
  <r>
    <x v="28"/>
  </r>
  <r>
    <x v="28"/>
  </r>
  <r>
    <x v="28"/>
  </r>
  <r>
    <x v="28"/>
  </r>
  <r>
    <x v="28"/>
  </r>
  <r>
    <x v="28"/>
  </r>
  <r>
    <x v="14"/>
  </r>
  <r>
    <x v="147"/>
  </r>
  <r>
    <x v="28"/>
  </r>
  <r>
    <x v="63"/>
  </r>
  <r>
    <x v="54"/>
  </r>
  <r>
    <x v="54"/>
  </r>
  <r>
    <x v="54"/>
  </r>
  <r>
    <x v="54"/>
  </r>
  <r>
    <x v="57"/>
  </r>
  <r>
    <x v="32"/>
  </r>
  <r>
    <x v="11"/>
  </r>
  <r>
    <x v="123"/>
  </r>
  <r>
    <x v="0"/>
  </r>
  <r>
    <x v="0"/>
  </r>
  <r>
    <x v="0"/>
  </r>
  <r>
    <x v="24"/>
  </r>
  <r>
    <x v="152"/>
  </r>
  <r>
    <x v="131"/>
  </r>
  <r>
    <x v="7"/>
  </r>
  <r>
    <x v="4"/>
  </r>
  <r>
    <x v="19"/>
  </r>
  <r>
    <x v="19"/>
  </r>
  <r>
    <x v="19"/>
  </r>
  <r>
    <x v="19"/>
  </r>
  <r>
    <x v="19"/>
  </r>
  <r>
    <x v="19"/>
  </r>
  <r>
    <x v="1"/>
  </r>
  <r>
    <x v="19"/>
  </r>
  <r>
    <x v="11"/>
  </r>
  <r>
    <x v="11"/>
  </r>
  <r>
    <x v="11"/>
  </r>
  <r>
    <x v="14"/>
  </r>
  <r>
    <x v="28"/>
  </r>
  <r>
    <x v="14"/>
  </r>
  <r>
    <x v="42"/>
  </r>
  <r>
    <x v="152"/>
  </r>
  <r>
    <x v="27"/>
  </r>
  <r>
    <x v="28"/>
  </r>
  <r>
    <x v="143"/>
  </r>
  <r>
    <x v="143"/>
  </r>
  <r>
    <x v="24"/>
  </r>
  <r>
    <x v="24"/>
  </r>
  <r>
    <x v="11"/>
  </r>
  <r>
    <x v="19"/>
  </r>
  <r>
    <x v="19"/>
  </r>
  <r>
    <x v="11"/>
  </r>
  <r>
    <x v="2"/>
  </r>
  <r>
    <x v="11"/>
  </r>
  <r>
    <x v="11"/>
  </r>
  <r>
    <x v="123"/>
  </r>
  <r>
    <x v="149"/>
  </r>
  <r>
    <x v="28"/>
  </r>
  <r>
    <x v="28"/>
  </r>
  <r>
    <x v="21"/>
  </r>
  <r>
    <x v="0"/>
  </r>
  <r>
    <x v="2"/>
  </r>
  <r>
    <x v="2"/>
  </r>
  <r>
    <x v="2"/>
  </r>
  <r>
    <x v="17"/>
  </r>
  <r>
    <x v="123"/>
  </r>
  <r>
    <x v="123"/>
  </r>
  <r>
    <x v="123"/>
  </r>
  <r>
    <x v="123"/>
  </r>
  <r>
    <x v="152"/>
  </r>
  <r>
    <x v="112"/>
  </r>
  <r>
    <x v="48"/>
  </r>
  <r>
    <x v="17"/>
  </r>
  <r>
    <x v="21"/>
  </r>
  <r>
    <x v="12"/>
  </r>
  <r>
    <x v="14"/>
  </r>
  <r>
    <x v="10"/>
  </r>
  <r>
    <x v="87"/>
  </r>
  <r>
    <x v="21"/>
  </r>
  <r>
    <x v="22"/>
  </r>
  <r>
    <x v="16"/>
  </r>
  <r>
    <x v="123"/>
  </r>
  <r>
    <x v="17"/>
  </r>
  <r>
    <x v="17"/>
  </r>
  <r>
    <x v="162"/>
  </r>
  <r>
    <x v="112"/>
  </r>
  <r>
    <x v="19"/>
  </r>
  <r>
    <x v="56"/>
  </r>
  <r>
    <x v="56"/>
  </r>
  <r>
    <x v="19"/>
  </r>
  <r>
    <x v="19"/>
  </r>
  <r>
    <x v="19"/>
  </r>
  <r>
    <x v="19"/>
  </r>
  <r>
    <x v="11"/>
  </r>
  <r>
    <x v="56"/>
  </r>
  <r>
    <x v="4"/>
  </r>
  <r>
    <x v="77"/>
  </r>
  <r>
    <x v="14"/>
  </r>
  <r>
    <x v="14"/>
  </r>
  <r>
    <x v="14"/>
  </r>
  <r>
    <x v="14"/>
  </r>
  <r>
    <x v="56"/>
  </r>
  <r>
    <x v="56"/>
  </r>
  <r>
    <x v="56"/>
  </r>
  <r>
    <x v="56"/>
  </r>
  <r>
    <x v="68"/>
  </r>
  <r>
    <x v="14"/>
  </r>
  <r>
    <x v="14"/>
  </r>
  <r>
    <x v="57"/>
  </r>
  <r>
    <x v="27"/>
  </r>
  <r>
    <x v="28"/>
  </r>
  <r>
    <x v="28"/>
  </r>
  <r>
    <x v="56"/>
  </r>
  <r>
    <x v="71"/>
  </r>
  <r>
    <x v="14"/>
  </r>
  <r>
    <x v="14"/>
  </r>
  <r>
    <x v="12"/>
  </r>
  <r>
    <x v="14"/>
  </r>
  <r>
    <x v="14"/>
  </r>
  <r>
    <x v="57"/>
  </r>
  <r>
    <x v="57"/>
  </r>
  <r>
    <x v="14"/>
  </r>
  <r>
    <x v="14"/>
  </r>
  <r>
    <x v="14"/>
  </r>
  <r>
    <x v="29"/>
  </r>
  <r>
    <x v="14"/>
  </r>
  <r>
    <x v="14"/>
  </r>
  <r>
    <x v="14"/>
  </r>
  <r>
    <x v="24"/>
  </r>
  <r>
    <x v="4"/>
  </r>
  <r>
    <x v="2"/>
  </r>
  <r>
    <x v="12"/>
  </r>
  <r>
    <x v="71"/>
  </r>
  <r>
    <x v="24"/>
  </r>
  <r>
    <x v="7"/>
  </r>
  <r>
    <x v="9"/>
  </r>
  <r>
    <x v="79"/>
  </r>
  <r>
    <x v="14"/>
  </r>
  <r>
    <x v="14"/>
  </r>
  <r>
    <x v="14"/>
  </r>
  <r>
    <x v="14"/>
  </r>
  <r>
    <x v="14"/>
  </r>
  <r>
    <x v="14"/>
  </r>
  <r>
    <x v="4"/>
  </r>
  <r>
    <x v="14"/>
  </r>
  <r>
    <x v="11"/>
  </r>
  <r>
    <x v="68"/>
  </r>
  <r>
    <x v="22"/>
  </r>
  <r>
    <x v="22"/>
  </r>
  <r>
    <x v="31"/>
  </r>
  <r>
    <x v="76"/>
  </r>
  <r>
    <x v="16"/>
  </r>
  <r>
    <x v="48"/>
  </r>
  <r>
    <x v="14"/>
  </r>
  <r>
    <x v="75"/>
  </r>
  <r>
    <x v="42"/>
  </r>
  <r>
    <x v="59"/>
  </r>
  <r>
    <x v="76"/>
  </r>
  <r>
    <x v="19"/>
  </r>
  <r>
    <x v="11"/>
  </r>
  <r>
    <x v="11"/>
  </r>
  <r>
    <x v="11"/>
  </r>
  <r>
    <x v="19"/>
  </r>
  <r>
    <x v="14"/>
  </r>
  <r>
    <x v="14"/>
  </r>
  <r>
    <x v="14"/>
  </r>
  <r>
    <x v="14"/>
  </r>
  <r>
    <x v="22"/>
  </r>
  <r>
    <x v="22"/>
  </r>
  <r>
    <x v="152"/>
  </r>
  <r>
    <x v="57"/>
  </r>
  <r>
    <x v="71"/>
  </r>
  <r>
    <x v="71"/>
  </r>
  <r>
    <x v="71"/>
  </r>
  <r>
    <x v="71"/>
  </r>
  <r>
    <x v="7"/>
  </r>
  <r>
    <x v="71"/>
  </r>
  <r>
    <x v="24"/>
  </r>
  <r>
    <x v="19"/>
  </r>
  <r>
    <x v="19"/>
  </r>
  <r>
    <x v="19"/>
  </r>
  <r>
    <x v="19"/>
  </r>
  <r>
    <x v="16"/>
  </r>
  <r>
    <x v="22"/>
  </r>
  <r>
    <x v="22"/>
  </r>
  <r>
    <x v="53"/>
  </r>
  <r>
    <x v="14"/>
  </r>
  <r>
    <x v="9"/>
  </r>
  <r>
    <x v="123"/>
  </r>
  <r>
    <x v="123"/>
  </r>
  <r>
    <x v="16"/>
  </r>
  <r>
    <x v="28"/>
  </r>
  <r>
    <x v="123"/>
  </r>
  <r>
    <x v="22"/>
  </r>
  <r>
    <x v="22"/>
  </r>
  <r>
    <x v="22"/>
  </r>
  <r>
    <x v="22"/>
  </r>
  <r>
    <x v="29"/>
  </r>
  <r>
    <x v="22"/>
  </r>
  <r>
    <x v="71"/>
  </r>
  <r>
    <x v="71"/>
  </r>
  <r>
    <x v="71"/>
  </r>
  <r>
    <x v="8"/>
  </r>
  <r>
    <x v="56"/>
  </r>
  <r>
    <x v="56"/>
  </r>
  <r>
    <x v="56"/>
  </r>
  <r>
    <x v="56"/>
  </r>
  <r>
    <x v="56"/>
  </r>
  <r>
    <x v="22"/>
  </r>
  <r>
    <x v="71"/>
  </r>
  <r>
    <x v="71"/>
  </r>
  <r>
    <x v="28"/>
  </r>
  <r>
    <x v="71"/>
  </r>
  <r>
    <x v="57"/>
  </r>
  <r>
    <x v="29"/>
  </r>
  <r>
    <x v="29"/>
  </r>
  <r>
    <x v="29"/>
  </r>
  <r>
    <x v="45"/>
  </r>
  <r>
    <x v="123"/>
  </r>
  <r>
    <x v="123"/>
  </r>
  <r>
    <x v="71"/>
  </r>
  <r>
    <x v="71"/>
  </r>
  <r>
    <x v="71"/>
  </r>
  <r>
    <x v="123"/>
  </r>
  <r>
    <x v="31"/>
  </r>
  <r>
    <x v="31"/>
  </r>
  <r>
    <x v="7"/>
  </r>
  <r>
    <x v="29"/>
  </r>
  <r>
    <x v="71"/>
  </r>
  <r>
    <x v="16"/>
  </r>
  <r>
    <x v="28"/>
  </r>
  <r>
    <x v="14"/>
  </r>
  <r>
    <x v="126"/>
  </r>
  <r>
    <x v="123"/>
  </r>
  <r>
    <x v="8"/>
  </r>
  <r>
    <x v="8"/>
  </r>
  <r>
    <x v="8"/>
  </r>
  <r>
    <x v="71"/>
  </r>
  <r>
    <x v="71"/>
  </r>
  <r>
    <x v="57"/>
  </r>
  <r>
    <x v="16"/>
  </r>
  <r>
    <x v="16"/>
  </r>
  <r>
    <x v="10"/>
  </r>
  <r>
    <x v="16"/>
  </r>
  <r>
    <x v="63"/>
  </r>
  <r>
    <x v="4"/>
  </r>
  <r>
    <x v="0"/>
  </r>
  <r>
    <x v="53"/>
  </r>
  <r>
    <x v="16"/>
  </r>
  <r>
    <x v="4"/>
  </r>
  <r>
    <x v="19"/>
  </r>
  <r>
    <x v="12"/>
  </r>
  <r>
    <x v="163"/>
  </r>
  <r>
    <x v="24"/>
  </r>
  <r>
    <x v="42"/>
  </r>
  <r>
    <x v="19"/>
  </r>
  <r>
    <x v="87"/>
  </r>
  <r>
    <x v="86"/>
  </r>
  <r>
    <x v="12"/>
  </r>
  <r>
    <x v="175"/>
  </r>
  <r>
    <x v="29"/>
  </r>
  <r>
    <x v="71"/>
  </r>
  <r>
    <x v="123"/>
  </r>
  <r>
    <x v="14"/>
  </r>
  <r>
    <x v="123"/>
  </r>
  <r>
    <x v="28"/>
  </r>
  <r>
    <x v="28"/>
  </r>
  <r>
    <x v="28"/>
  </r>
  <r>
    <x v="28"/>
  </r>
  <r>
    <x v="28"/>
  </r>
  <r>
    <x v="22"/>
  </r>
  <r>
    <x v="22"/>
  </r>
  <r>
    <x v="45"/>
  </r>
  <r>
    <x v="21"/>
  </r>
  <r>
    <x v="16"/>
  </r>
  <r>
    <x v="42"/>
  </r>
  <r>
    <x v="42"/>
  </r>
  <r>
    <x v="57"/>
  </r>
  <r>
    <x v="145"/>
  </r>
  <r>
    <x v="16"/>
  </r>
  <r>
    <x v="16"/>
  </r>
  <r>
    <x v="22"/>
  </r>
  <r>
    <x v="22"/>
  </r>
  <r>
    <x v="57"/>
  </r>
  <r>
    <x v="2"/>
  </r>
  <r>
    <x v="9"/>
  </r>
  <r>
    <x v="9"/>
  </r>
  <r>
    <x v="9"/>
  </r>
  <r>
    <x v="71"/>
  </r>
  <r>
    <x v="71"/>
  </r>
  <r>
    <x v="71"/>
  </r>
  <r>
    <x v="71"/>
  </r>
  <r>
    <x v="9"/>
  </r>
  <r>
    <x v="9"/>
  </r>
  <r>
    <x v="9"/>
  </r>
  <r>
    <x v="57"/>
  </r>
  <r>
    <x v="4"/>
  </r>
  <r>
    <x v="4"/>
  </r>
  <r>
    <x v="4"/>
  </r>
  <r>
    <x v="71"/>
  </r>
  <r>
    <x v="7"/>
  </r>
  <r>
    <x v="71"/>
  </r>
  <r>
    <x v="71"/>
  </r>
  <r>
    <x v="19"/>
  </r>
  <r>
    <x v="9"/>
  </r>
  <r>
    <x v="9"/>
  </r>
  <r>
    <x v="71"/>
  </r>
  <r>
    <x v="71"/>
  </r>
  <r>
    <x v="71"/>
  </r>
  <r>
    <x v="16"/>
  </r>
  <r>
    <x v="22"/>
  </r>
  <r>
    <x v="22"/>
  </r>
  <r>
    <x v="0"/>
  </r>
  <r>
    <x v="0"/>
  </r>
  <r>
    <x v="16"/>
  </r>
  <r>
    <x v="22"/>
  </r>
  <r>
    <x v="33"/>
  </r>
  <r>
    <x v="53"/>
  </r>
  <r>
    <x v="33"/>
  </r>
  <r>
    <x v="24"/>
  </r>
  <r>
    <x v="14"/>
  </r>
  <r>
    <x v="14"/>
  </r>
  <r>
    <x v="14"/>
  </r>
  <r>
    <x v="53"/>
  </r>
  <r>
    <x v="53"/>
  </r>
  <r>
    <x v="48"/>
  </r>
  <r>
    <x v="48"/>
  </r>
  <r>
    <x v="53"/>
  </r>
  <r>
    <x v="53"/>
  </r>
  <r>
    <x v="14"/>
  </r>
  <r>
    <x v="14"/>
  </r>
  <r>
    <x v="12"/>
  </r>
  <r>
    <x v="12"/>
  </r>
  <r>
    <x v="71"/>
  </r>
  <r>
    <x v="71"/>
  </r>
  <r>
    <x v="71"/>
  </r>
  <r>
    <x v="4"/>
  </r>
  <r>
    <x v="14"/>
  </r>
  <r>
    <x v="12"/>
  </r>
  <r>
    <x v="16"/>
  </r>
  <r>
    <x v="14"/>
  </r>
  <r>
    <x v="4"/>
  </r>
  <r>
    <x v="123"/>
  </r>
  <r>
    <x v="2"/>
  </r>
  <r>
    <x v="2"/>
  </r>
  <r>
    <x v="14"/>
  </r>
  <r>
    <x v="14"/>
  </r>
  <r>
    <x v="14"/>
  </r>
  <r>
    <x v="14"/>
  </r>
  <r>
    <x v="14"/>
  </r>
  <r>
    <x v="53"/>
  </r>
  <r>
    <x v="14"/>
  </r>
  <r>
    <x v="0"/>
  </r>
  <r>
    <x v="0"/>
  </r>
  <r>
    <x v="8"/>
  </r>
  <r>
    <x v="141"/>
  </r>
  <r>
    <x v="141"/>
  </r>
  <r>
    <x v="71"/>
  </r>
  <r>
    <x v="17"/>
  </r>
  <r>
    <x v="17"/>
  </r>
  <r>
    <x v="53"/>
  </r>
  <r>
    <x v="14"/>
  </r>
  <r>
    <x v="4"/>
  </r>
  <r>
    <x v="4"/>
  </r>
  <r>
    <x v="4"/>
  </r>
  <r>
    <x v="4"/>
  </r>
  <r>
    <x v="141"/>
  </r>
  <r>
    <x v="141"/>
  </r>
  <r>
    <x v="141"/>
  </r>
  <r>
    <x v="12"/>
  </r>
  <r>
    <x v="53"/>
  </r>
  <r>
    <x v="12"/>
  </r>
  <r>
    <x v="12"/>
  </r>
  <r>
    <x v="141"/>
  </r>
  <r>
    <x v="27"/>
  </r>
  <r>
    <x v="27"/>
  </r>
  <r>
    <x v="27"/>
  </r>
  <r>
    <x v="17"/>
  </r>
  <r>
    <x v="17"/>
  </r>
  <r>
    <x v="19"/>
  </r>
  <r>
    <x v="27"/>
  </r>
  <r>
    <x v="27"/>
  </r>
  <r>
    <x v="27"/>
  </r>
  <r>
    <x v="17"/>
  </r>
  <r>
    <x v="17"/>
  </r>
  <r>
    <x v="17"/>
  </r>
  <r>
    <x v="17"/>
  </r>
  <r>
    <x v="17"/>
  </r>
  <r>
    <x v="17"/>
  </r>
  <r>
    <x v="53"/>
  </r>
  <r>
    <x v="27"/>
  </r>
  <r>
    <x v="123"/>
  </r>
  <r>
    <x v="123"/>
  </r>
  <r>
    <x v="79"/>
  </r>
  <r>
    <x v="16"/>
  </r>
  <r>
    <x v="141"/>
  </r>
  <r>
    <x v="141"/>
  </r>
  <r>
    <x v="141"/>
  </r>
  <r>
    <x v="141"/>
  </r>
  <r>
    <x v="141"/>
  </r>
  <r>
    <x v="7"/>
  </r>
  <r>
    <x v="4"/>
  </r>
  <r>
    <x v="4"/>
  </r>
  <r>
    <x v="79"/>
  </r>
  <r>
    <x v="169"/>
  </r>
  <r>
    <x v="169"/>
  </r>
  <r>
    <x v="22"/>
  </r>
  <r>
    <x v="22"/>
  </r>
  <r>
    <x v="141"/>
  </r>
  <r>
    <x v="141"/>
  </r>
  <r>
    <x v="63"/>
  </r>
  <r>
    <x v="63"/>
  </r>
  <r>
    <x v="141"/>
  </r>
  <r>
    <x v="141"/>
  </r>
  <r>
    <x v="28"/>
  </r>
  <r>
    <x v="28"/>
  </r>
  <r>
    <x v="53"/>
  </r>
  <r>
    <x v="53"/>
  </r>
  <r>
    <x v="28"/>
  </r>
  <r>
    <x v="3"/>
  </r>
  <r>
    <x v="56"/>
  </r>
  <r>
    <x v="28"/>
  </r>
  <r>
    <x v="7"/>
  </r>
  <r>
    <x v="7"/>
  </r>
  <r>
    <x v="22"/>
  </r>
  <r>
    <x v="25"/>
  </r>
  <r>
    <x v="14"/>
  </r>
  <r>
    <x v="45"/>
  </r>
  <r>
    <x v="0"/>
  </r>
  <r>
    <x v="0"/>
  </r>
  <r>
    <x v="0"/>
  </r>
  <r>
    <x v="51"/>
  </r>
  <r>
    <x v="14"/>
  </r>
  <r>
    <x v="12"/>
  </r>
  <r>
    <x v="19"/>
  </r>
  <r>
    <x v="4"/>
  </r>
  <r>
    <x v="138"/>
  </r>
  <r>
    <x v="48"/>
  </r>
  <r>
    <x v="0"/>
  </r>
  <r>
    <x v="155"/>
  </r>
  <r>
    <x v="17"/>
  </r>
  <r>
    <x v="16"/>
  </r>
  <r>
    <x v="152"/>
  </r>
  <r>
    <x v="48"/>
  </r>
  <r>
    <x v="48"/>
  </r>
  <r>
    <x v="59"/>
  </r>
  <r>
    <x v="48"/>
  </r>
  <r>
    <x v="123"/>
  </r>
  <r>
    <x v="123"/>
  </r>
  <r>
    <x v="123"/>
  </r>
  <r>
    <x v="123"/>
  </r>
  <r>
    <x v="123"/>
  </r>
  <r>
    <x v="12"/>
  </r>
  <r>
    <x v="7"/>
  </r>
  <r>
    <x v="16"/>
  </r>
  <r>
    <x v="6"/>
  </r>
  <r>
    <x v="6"/>
  </r>
  <r>
    <x v="23"/>
  </r>
  <r>
    <x v="23"/>
  </r>
  <r>
    <x v="45"/>
  </r>
  <r>
    <x v="7"/>
  </r>
  <r>
    <x v="7"/>
  </r>
  <r>
    <x v="16"/>
  </r>
  <r>
    <x v="16"/>
  </r>
  <r>
    <x v="16"/>
  </r>
  <r>
    <x v="16"/>
  </r>
  <r>
    <x v="2"/>
  </r>
  <r>
    <x v="0"/>
  </r>
  <r>
    <x v="17"/>
  </r>
  <r>
    <x v="16"/>
  </r>
  <r>
    <x v="16"/>
  </r>
  <r>
    <x v="0"/>
  </r>
  <r>
    <x v="16"/>
  </r>
  <r>
    <x v="16"/>
  </r>
  <r>
    <x v="123"/>
  </r>
  <r>
    <x v="165"/>
  </r>
  <r>
    <x v="0"/>
  </r>
  <r>
    <x v="10"/>
  </r>
  <r>
    <x v="10"/>
  </r>
  <r>
    <x v="37"/>
  </r>
  <r>
    <x v="37"/>
  </r>
  <r>
    <x v="19"/>
  </r>
  <r>
    <x v="19"/>
  </r>
  <r>
    <x v="28"/>
  </r>
  <r>
    <x v="37"/>
  </r>
  <r>
    <x v="28"/>
  </r>
  <r>
    <x v="45"/>
  </r>
  <r>
    <x v="45"/>
  </r>
  <r>
    <x v="7"/>
  </r>
  <r>
    <x v="19"/>
  </r>
  <r>
    <x v="4"/>
  </r>
  <r>
    <x v="14"/>
  </r>
  <r>
    <x v="71"/>
  </r>
  <r>
    <x v="71"/>
  </r>
  <r>
    <x v="14"/>
  </r>
  <r>
    <x v="52"/>
  </r>
  <r>
    <x v="17"/>
  </r>
  <r>
    <x v="8"/>
  </r>
  <r>
    <x v="175"/>
  </r>
  <r>
    <x v="45"/>
  </r>
  <r>
    <x v="7"/>
  </r>
  <r>
    <x v="16"/>
  </r>
  <r>
    <x v="249"/>
  </r>
  <r>
    <x v="249"/>
  </r>
  <r>
    <x v="249"/>
  </r>
  <r>
    <x v="249"/>
  </r>
  <r>
    <x v="249"/>
  </r>
  <r>
    <x v="249"/>
  </r>
  <r>
    <x v="123"/>
  </r>
  <r>
    <x v="37"/>
  </r>
  <r>
    <x v="138"/>
  </r>
  <r>
    <x v="138"/>
  </r>
  <r>
    <x v="28"/>
  </r>
  <r>
    <x v="169"/>
  </r>
  <r>
    <x v="169"/>
  </r>
  <r>
    <x v="169"/>
  </r>
  <r>
    <x v="12"/>
  </r>
  <r>
    <x v="19"/>
  </r>
  <r>
    <x v="10"/>
  </r>
  <r>
    <x v="19"/>
  </r>
  <r>
    <x v="19"/>
  </r>
  <r>
    <x v="12"/>
  </r>
  <r>
    <x v="63"/>
  </r>
  <r>
    <x v="4"/>
  </r>
  <r>
    <x v="48"/>
  </r>
  <r>
    <x v="0"/>
  </r>
  <r>
    <x v="33"/>
  </r>
  <r>
    <x v="17"/>
  </r>
  <r>
    <x v="17"/>
  </r>
  <r>
    <x v="17"/>
  </r>
  <r>
    <x v="17"/>
  </r>
  <r>
    <x v="17"/>
  </r>
  <r>
    <x v="14"/>
  </r>
  <r>
    <x v="25"/>
  </r>
  <r>
    <x v="56"/>
  </r>
  <r>
    <x v="14"/>
  </r>
  <r>
    <x v="165"/>
  </r>
  <r>
    <x v="4"/>
  </r>
  <r>
    <x v="7"/>
  </r>
  <r>
    <x v="80"/>
  </r>
  <r>
    <x v="19"/>
  </r>
  <r>
    <x v="78"/>
  </r>
  <r>
    <x v="57"/>
  </r>
  <r>
    <x v="7"/>
  </r>
  <r>
    <x v="28"/>
  </r>
  <r>
    <x v="7"/>
  </r>
  <r>
    <x v="55"/>
  </r>
  <r>
    <x v="7"/>
  </r>
  <r>
    <x v="4"/>
  </r>
  <r>
    <x v="25"/>
  </r>
  <r>
    <x v="79"/>
  </r>
  <r>
    <x v="4"/>
  </r>
  <r>
    <x v="4"/>
  </r>
  <r>
    <x v="4"/>
  </r>
  <r>
    <x v="42"/>
  </r>
  <r>
    <x v="87"/>
  </r>
  <r>
    <x v="7"/>
  </r>
  <r>
    <x v="7"/>
  </r>
  <r>
    <x v="7"/>
  </r>
  <r>
    <x v="9"/>
  </r>
  <r>
    <x v="12"/>
  </r>
  <r>
    <x v="12"/>
  </r>
  <r>
    <x v="56"/>
  </r>
  <r>
    <x v="56"/>
  </r>
  <r>
    <x v="7"/>
  </r>
  <r>
    <x v="12"/>
  </r>
  <r>
    <x v="7"/>
  </r>
  <r>
    <x v="29"/>
  </r>
  <r>
    <x v="42"/>
  </r>
  <r>
    <x v="40"/>
  </r>
  <r>
    <x v="4"/>
  </r>
  <r>
    <x v="40"/>
  </r>
  <r>
    <x v="45"/>
  </r>
  <r>
    <x v="7"/>
  </r>
  <r>
    <x v="36"/>
  </r>
  <r>
    <x v="36"/>
  </r>
  <r>
    <x v="36"/>
  </r>
  <r>
    <x v="8"/>
  </r>
  <r>
    <x v="0"/>
  </r>
  <r>
    <x v="34"/>
  </r>
  <r>
    <x v="9"/>
  </r>
  <r>
    <x v="0"/>
  </r>
  <r>
    <x v="12"/>
  </r>
  <r>
    <x v="28"/>
  </r>
  <r>
    <x v="28"/>
  </r>
  <r>
    <x v="45"/>
  </r>
  <r>
    <x v="42"/>
  </r>
  <r>
    <x v="4"/>
  </r>
  <r>
    <x v="12"/>
  </r>
  <r>
    <x v="42"/>
  </r>
  <r>
    <x v="21"/>
  </r>
  <r>
    <x v="9"/>
  </r>
  <r>
    <x v="2"/>
  </r>
  <r>
    <x v="46"/>
  </r>
  <r>
    <x v="46"/>
  </r>
  <r>
    <x v="0"/>
  </r>
  <r>
    <x v="9"/>
  </r>
  <r>
    <x v="0"/>
  </r>
  <r>
    <x v="21"/>
  </r>
  <r>
    <x v="7"/>
  </r>
  <r>
    <x v="34"/>
  </r>
  <r>
    <x v="30"/>
  </r>
  <r>
    <x v="26"/>
  </r>
  <r>
    <x v="2"/>
  </r>
  <r>
    <x v="0"/>
  </r>
  <r>
    <x v="26"/>
  </r>
  <r>
    <x v="2"/>
  </r>
  <r>
    <x v="2"/>
  </r>
  <r>
    <x v="0"/>
  </r>
  <r>
    <x v="12"/>
  </r>
  <r>
    <x v="12"/>
  </r>
  <r>
    <x v="45"/>
  </r>
  <r>
    <x v="14"/>
  </r>
  <r>
    <x v="120"/>
  </r>
  <r>
    <x v="37"/>
  </r>
  <r>
    <x v="42"/>
  </r>
  <r>
    <x v="12"/>
  </r>
  <r>
    <x v="12"/>
  </r>
  <r>
    <x v="26"/>
  </r>
  <r>
    <x v="23"/>
  </r>
  <r>
    <x v="2"/>
  </r>
  <r>
    <x v="16"/>
  </r>
  <r>
    <x v="0"/>
  </r>
  <r>
    <x v="4"/>
  </r>
  <r>
    <x v="152"/>
  </r>
  <r>
    <x v="131"/>
  </r>
  <r>
    <x v="30"/>
  </r>
  <r>
    <x v="17"/>
  </r>
  <r>
    <x v="37"/>
  </r>
  <r>
    <x v="42"/>
  </r>
  <r>
    <x v="31"/>
  </r>
  <r>
    <x v="31"/>
  </r>
  <r>
    <x v="157"/>
  </r>
  <r>
    <x v="112"/>
  </r>
  <r>
    <x v="26"/>
  </r>
  <r>
    <x v="10"/>
  </r>
  <r>
    <x v="10"/>
  </r>
  <r>
    <x v="30"/>
  </r>
  <r>
    <x v="26"/>
  </r>
  <r>
    <x v="2"/>
  </r>
  <r>
    <x v="8"/>
  </r>
  <r>
    <x v="163"/>
  </r>
  <r>
    <x v="91"/>
  </r>
  <r>
    <x v="21"/>
  </r>
  <r>
    <x v="12"/>
  </r>
  <r>
    <x v="4"/>
  </r>
  <r>
    <x v="26"/>
  </r>
  <r>
    <x v="26"/>
  </r>
  <r>
    <x v="64"/>
  </r>
  <r>
    <x v="16"/>
  </r>
  <r>
    <x v="25"/>
  </r>
  <r>
    <x v="22"/>
  </r>
  <r>
    <x v="6"/>
  </r>
  <r>
    <x v="37"/>
  </r>
  <r>
    <x v="10"/>
  </r>
  <r>
    <x v="21"/>
  </r>
  <r>
    <x v="14"/>
  </r>
  <r>
    <x v="138"/>
  </r>
  <r>
    <x v="11"/>
  </r>
  <r>
    <x v="4"/>
  </r>
  <r>
    <x v="28"/>
  </r>
  <r>
    <x v="17"/>
  </r>
  <r>
    <x v="9"/>
  </r>
  <r>
    <x v="19"/>
  </r>
  <r>
    <x v="16"/>
  </r>
  <r>
    <x v="34"/>
  </r>
  <r>
    <x v="49"/>
  </r>
  <r>
    <x v="1"/>
  </r>
  <r>
    <x v="0"/>
  </r>
  <r>
    <x v="25"/>
  </r>
  <r>
    <x v="4"/>
  </r>
  <r>
    <x v="3"/>
  </r>
  <r>
    <x v="16"/>
  </r>
  <r>
    <x v="14"/>
  </r>
  <r>
    <x v="115"/>
  </r>
  <r>
    <x v="34"/>
  </r>
  <r>
    <x v="14"/>
  </r>
  <r>
    <x v="33"/>
  </r>
  <r>
    <x v="34"/>
  </r>
  <r>
    <x v="0"/>
  </r>
  <r>
    <x v="79"/>
  </r>
  <r>
    <x v="22"/>
  </r>
  <r>
    <x v="22"/>
  </r>
  <r>
    <x v="28"/>
  </r>
  <r>
    <x v="78"/>
  </r>
  <r>
    <x v="78"/>
  </r>
  <r>
    <x v="37"/>
  </r>
  <r>
    <x v="28"/>
  </r>
  <r>
    <x v="68"/>
  </r>
  <r>
    <x v="42"/>
  </r>
  <r>
    <x v="0"/>
  </r>
  <r>
    <x v="10"/>
  </r>
  <r>
    <x v="2"/>
  </r>
  <r>
    <x v="12"/>
  </r>
  <r>
    <x v="37"/>
  </r>
  <r>
    <x v="28"/>
  </r>
  <r>
    <x v="4"/>
  </r>
  <r>
    <x v="10"/>
  </r>
  <r>
    <x v="31"/>
  </r>
  <r>
    <x v="0"/>
  </r>
  <r>
    <x v="28"/>
  </r>
  <r>
    <x v="174"/>
  </r>
  <r>
    <x v="0"/>
  </r>
  <r>
    <x v="2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45"/>
  </r>
  <r>
    <x v="12"/>
  </r>
  <r>
    <x v="45"/>
  </r>
  <r>
    <x v="45"/>
  </r>
  <r>
    <x v="45"/>
  </r>
  <r>
    <x v="29"/>
  </r>
  <r>
    <x v="29"/>
  </r>
  <r>
    <x v="29"/>
  </r>
  <r>
    <x v="45"/>
  </r>
  <r>
    <x v="17"/>
  </r>
  <r>
    <x v="17"/>
  </r>
  <r>
    <x v="45"/>
  </r>
  <r>
    <x v="7"/>
  </r>
  <r>
    <x v="45"/>
  </r>
  <r>
    <x v="45"/>
  </r>
  <r>
    <x v="12"/>
  </r>
  <r>
    <x v="12"/>
  </r>
  <r>
    <x v="12"/>
  </r>
  <r>
    <x v="14"/>
  </r>
  <r>
    <x v="31"/>
  </r>
  <r>
    <x v="0"/>
  </r>
  <r>
    <x v="122"/>
  </r>
  <r>
    <x v="9"/>
  </r>
  <r>
    <x v="53"/>
  </r>
  <r>
    <x v="53"/>
  </r>
  <r>
    <x v="23"/>
  </r>
  <r>
    <x v="154"/>
  </r>
  <r>
    <x v="36"/>
  </r>
  <r>
    <x v="23"/>
  </r>
  <r>
    <x v="78"/>
  </r>
  <r>
    <x v="19"/>
  </r>
  <r>
    <x v="10"/>
  </r>
  <r>
    <x v="3"/>
  </r>
  <r>
    <x v="20"/>
  </r>
  <r>
    <x v="123"/>
  </r>
  <r>
    <x v="2"/>
  </r>
  <r>
    <x v="123"/>
  </r>
  <r>
    <x v="123"/>
  </r>
  <r>
    <x v="87"/>
  </r>
  <r>
    <x v="16"/>
  </r>
  <r>
    <x v="36"/>
  </r>
  <r>
    <x v="123"/>
  </r>
  <r>
    <x v="123"/>
  </r>
  <r>
    <x v="28"/>
  </r>
  <r>
    <x v="8"/>
  </r>
  <r>
    <x v="9"/>
  </r>
  <r>
    <x v="4"/>
  </r>
  <r>
    <x v="10"/>
  </r>
  <r>
    <x v="10"/>
  </r>
  <r>
    <x v="10"/>
  </r>
  <r>
    <x v="126"/>
  </r>
  <r>
    <x v="126"/>
  </r>
  <r>
    <x v="57"/>
  </r>
  <r>
    <x v="12"/>
  </r>
  <r>
    <x v="152"/>
  </r>
  <r>
    <x v="3"/>
  </r>
  <r>
    <x v="19"/>
  </r>
  <r>
    <x v="16"/>
  </r>
  <r>
    <x v="57"/>
  </r>
  <r>
    <x v="16"/>
  </r>
  <r>
    <x v="31"/>
  </r>
  <r>
    <x v="14"/>
  </r>
  <r>
    <x v="63"/>
  </r>
  <r>
    <x v="37"/>
  </r>
  <r>
    <x v="165"/>
  </r>
  <r>
    <x v="55"/>
  </r>
  <r>
    <x v="45"/>
  </r>
  <r>
    <x v="123"/>
  </r>
  <r>
    <x v="162"/>
  </r>
  <r>
    <x v="162"/>
  </r>
  <r>
    <x v="12"/>
  </r>
  <r>
    <x v="12"/>
  </r>
  <r>
    <x v="42"/>
  </r>
  <r>
    <x v="9"/>
  </r>
  <r>
    <x v="9"/>
  </r>
  <r>
    <x v="0"/>
  </r>
  <r>
    <x v="45"/>
  </r>
  <r>
    <x v="63"/>
  </r>
  <r>
    <x v="28"/>
  </r>
  <r>
    <x v="12"/>
  </r>
  <r>
    <x v="28"/>
  </r>
  <r>
    <x v="19"/>
  </r>
  <r>
    <x v="0"/>
  </r>
  <r>
    <x v="0"/>
  </r>
  <r>
    <x v="4"/>
  </r>
  <r>
    <x v="19"/>
  </r>
  <r>
    <x v="71"/>
  </r>
  <r>
    <x v="53"/>
  </r>
  <r>
    <x v="10"/>
  </r>
  <r>
    <x v="12"/>
  </r>
  <r>
    <x v="39"/>
  </r>
  <r>
    <x v="79"/>
  </r>
  <r>
    <x v="28"/>
  </r>
  <r>
    <x v="9"/>
  </r>
  <r>
    <x v="12"/>
  </r>
  <r>
    <x v="12"/>
  </r>
  <r>
    <x v="4"/>
  </r>
  <r>
    <x v="42"/>
  </r>
  <r>
    <x v="28"/>
  </r>
  <r>
    <x v="16"/>
  </r>
  <r>
    <x v="24"/>
  </r>
  <r>
    <x v="16"/>
  </r>
  <r>
    <x v="166"/>
  </r>
  <r>
    <x v="12"/>
  </r>
  <r>
    <x v="56"/>
  </r>
  <r>
    <x v="2"/>
  </r>
  <r>
    <x v="42"/>
  </r>
  <r>
    <x v="12"/>
  </r>
  <r>
    <x v="51"/>
  </r>
  <r>
    <x v="76"/>
  </r>
  <r>
    <x v="12"/>
  </r>
  <r>
    <x v="34"/>
  </r>
  <r>
    <x v="4"/>
  </r>
  <r>
    <x v="10"/>
  </r>
  <r>
    <x v="2"/>
  </r>
  <r>
    <x v="57"/>
  </r>
  <r>
    <x v="42"/>
  </r>
  <r>
    <x v="4"/>
  </r>
  <r>
    <x v="71"/>
  </r>
  <r>
    <x v="4"/>
  </r>
  <r>
    <x v="42"/>
  </r>
  <r>
    <x v="2"/>
  </r>
  <r>
    <x v="0"/>
  </r>
  <r>
    <x v="7"/>
  </r>
  <r>
    <x v="1"/>
  </r>
  <r>
    <x v="22"/>
  </r>
  <r>
    <x v="48"/>
  </r>
  <r>
    <x v="14"/>
  </r>
  <r>
    <x v="14"/>
  </r>
  <r>
    <x v="14"/>
  </r>
  <r>
    <x v="14"/>
  </r>
  <r>
    <x v="0"/>
  </r>
  <r>
    <x v="0"/>
  </r>
  <r>
    <x v="0"/>
  </r>
  <r>
    <x v="48"/>
  </r>
  <r>
    <x v="39"/>
  </r>
  <r>
    <x v="39"/>
  </r>
  <r>
    <x v="22"/>
  </r>
  <r>
    <x v="22"/>
  </r>
  <r>
    <x v="12"/>
  </r>
  <r>
    <x v="10"/>
  </r>
  <r>
    <x v="10"/>
  </r>
  <r>
    <x v="16"/>
  </r>
  <r>
    <x v="1"/>
  </r>
  <r>
    <x v="1"/>
  </r>
  <r>
    <x v="12"/>
  </r>
  <r>
    <x v="4"/>
  </r>
  <r>
    <x v="63"/>
  </r>
  <r>
    <x v="12"/>
  </r>
  <r>
    <x v="71"/>
  </r>
  <r>
    <x v="4"/>
  </r>
  <r>
    <x v="28"/>
  </r>
  <r>
    <x v="9"/>
  </r>
  <r>
    <x v="42"/>
  </r>
  <r>
    <x v="19"/>
  </r>
  <r>
    <x v="10"/>
  </r>
  <r>
    <x v="10"/>
  </r>
  <r>
    <x v="48"/>
  </r>
  <r>
    <x v="10"/>
  </r>
  <r>
    <x v="9"/>
  </r>
  <r>
    <x v="24"/>
  </r>
  <r>
    <x v="28"/>
  </r>
  <r>
    <x v="37"/>
  </r>
  <r>
    <x v="14"/>
  </r>
  <r>
    <x v="123"/>
  </r>
  <r>
    <x v="4"/>
  </r>
  <r>
    <x v="14"/>
  </r>
  <r>
    <x v="6"/>
  </r>
  <r>
    <x v="123"/>
  </r>
  <r>
    <x v="28"/>
  </r>
  <r>
    <x v="0"/>
  </r>
  <r>
    <x v="123"/>
  </r>
  <r>
    <x v="12"/>
  </r>
  <r>
    <x v="12"/>
  </r>
  <r>
    <x v="12"/>
  </r>
  <r>
    <x v="48"/>
  </r>
  <r>
    <x v="63"/>
  </r>
  <r>
    <x v="14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102"/>
  </r>
  <r>
    <x v="0"/>
  </r>
  <r>
    <x v="123"/>
  </r>
  <r>
    <x v="152"/>
  </r>
  <r>
    <x v="56"/>
  </r>
  <r>
    <x v="27"/>
  </r>
  <r>
    <x v="57"/>
  </r>
  <r>
    <x v="9"/>
  </r>
  <r>
    <x v="9"/>
  </r>
  <r>
    <x v="71"/>
  </r>
  <r>
    <x v="87"/>
  </r>
  <r>
    <x v="48"/>
  </r>
  <r>
    <x v="48"/>
  </r>
  <r>
    <x v="15"/>
  </r>
  <r>
    <x v="2"/>
  </r>
  <r>
    <x v="16"/>
  </r>
  <r>
    <x v="31"/>
  </r>
  <r>
    <x v="56"/>
  </r>
  <r>
    <x v="9"/>
  </r>
  <r>
    <x v="4"/>
  </r>
  <r>
    <x v="10"/>
  </r>
  <r>
    <x v="4"/>
  </r>
  <r>
    <x v="19"/>
  </r>
  <r>
    <x v="19"/>
  </r>
  <r>
    <x v="19"/>
  </r>
  <r>
    <x v="19"/>
  </r>
  <r>
    <x v="24"/>
  </r>
  <r>
    <x v="24"/>
  </r>
  <r>
    <x v="24"/>
  </r>
  <r>
    <x v="24"/>
  </r>
  <r>
    <x v="24"/>
  </r>
  <r>
    <x v="16"/>
  </r>
  <r>
    <x v="16"/>
  </r>
  <r>
    <x v="16"/>
  </r>
  <r>
    <x v="24"/>
  </r>
  <r>
    <x v="29"/>
  </r>
  <r>
    <x v="24"/>
  </r>
  <r>
    <x v="21"/>
  </r>
  <r>
    <x v="21"/>
  </r>
  <r>
    <x v="21"/>
  </r>
  <r>
    <x v="57"/>
  </r>
  <r>
    <x v="57"/>
  </r>
  <r>
    <x v="57"/>
  </r>
  <r>
    <x v="24"/>
  </r>
  <r>
    <x v="16"/>
  </r>
  <r>
    <x v="16"/>
  </r>
  <r>
    <x v="14"/>
  </r>
  <r>
    <x v="14"/>
  </r>
  <r>
    <x v="1"/>
  </r>
  <r>
    <x v="10"/>
  </r>
  <r>
    <x v="22"/>
  </r>
  <r>
    <x v="19"/>
  </r>
  <r>
    <x v="16"/>
  </r>
  <r>
    <x v="14"/>
  </r>
  <r>
    <x v="12"/>
  </r>
  <r>
    <x v="14"/>
  </r>
  <r>
    <x v="45"/>
  </r>
  <r>
    <x v="22"/>
  </r>
  <r>
    <x v="19"/>
  </r>
  <r>
    <x v="19"/>
  </r>
  <r>
    <x v="19"/>
  </r>
  <r>
    <x v="16"/>
  </r>
  <r>
    <x v="16"/>
  </r>
  <r>
    <x v="16"/>
  </r>
  <r>
    <x v="16"/>
  </r>
  <r>
    <x v="14"/>
  </r>
  <r>
    <x v="14"/>
  </r>
  <r>
    <x v="14"/>
  </r>
  <r>
    <x v="24"/>
  </r>
  <r>
    <x v="24"/>
  </r>
  <r>
    <x v="24"/>
  </r>
  <r>
    <x v="45"/>
  </r>
  <r>
    <x v="45"/>
  </r>
  <r>
    <x v="45"/>
  </r>
  <r>
    <x v="45"/>
  </r>
  <r>
    <x v="10"/>
  </r>
  <r>
    <x v="12"/>
  </r>
  <r>
    <x v="4"/>
  </r>
  <r>
    <x v="24"/>
  </r>
  <r>
    <x v="28"/>
  </r>
  <r>
    <x v="28"/>
  </r>
  <r>
    <x v="4"/>
  </r>
  <r>
    <x v="115"/>
  </r>
  <r>
    <x v="45"/>
  </r>
  <r>
    <x v="24"/>
  </r>
  <r>
    <x v="19"/>
  </r>
  <r>
    <x v="16"/>
  </r>
  <r>
    <x v="16"/>
  </r>
  <r>
    <x v="16"/>
  </r>
  <r>
    <x v="16"/>
  </r>
  <r>
    <x v="10"/>
  </r>
  <r>
    <x v="10"/>
  </r>
  <r>
    <x v="10"/>
  </r>
  <r>
    <x v="10"/>
  </r>
  <r>
    <x v="64"/>
  </r>
  <r>
    <x v="16"/>
  </r>
  <r>
    <x v="16"/>
  </r>
  <r>
    <x v="16"/>
  </r>
  <r>
    <x v="16"/>
  </r>
  <r>
    <x v="16"/>
  </r>
  <r>
    <x v="24"/>
  </r>
  <r>
    <x v="24"/>
  </r>
  <r>
    <x v="24"/>
  </r>
  <r>
    <x v="31"/>
  </r>
  <r>
    <x v="0"/>
  </r>
  <r>
    <x v="14"/>
  </r>
  <r>
    <x v="77"/>
  </r>
  <r>
    <x v="14"/>
  </r>
  <r>
    <x v="14"/>
  </r>
  <r>
    <x v="29"/>
  </r>
  <r>
    <x v="28"/>
  </r>
  <r>
    <x v="28"/>
  </r>
  <r>
    <x v="31"/>
  </r>
  <r>
    <x v="24"/>
  </r>
  <r>
    <x v="14"/>
  </r>
  <r>
    <x v="14"/>
  </r>
  <r>
    <x v="24"/>
  </r>
  <r>
    <x v="0"/>
  </r>
  <r>
    <x v="0"/>
  </r>
  <r>
    <x v="16"/>
  </r>
  <r>
    <x v="16"/>
  </r>
  <r>
    <x v="16"/>
  </r>
  <r>
    <x v="63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4"/>
  </r>
  <r>
    <x v="0"/>
  </r>
  <r>
    <x v="0"/>
  </r>
  <r>
    <x v="0"/>
  </r>
  <r>
    <x v="0"/>
  </r>
  <r>
    <x v="0"/>
  </r>
  <r>
    <x v="29"/>
  </r>
  <r>
    <x v="29"/>
  </r>
  <r>
    <x v="16"/>
  </r>
  <r>
    <x v="16"/>
  </r>
  <r>
    <x v="16"/>
  </r>
  <r>
    <x v="16"/>
  </r>
  <r>
    <x v="16"/>
  </r>
  <r>
    <x v="19"/>
  </r>
  <r>
    <x v="24"/>
  </r>
  <r>
    <x v="14"/>
  </r>
  <r>
    <x v="14"/>
  </r>
  <r>
    <x v="14"/>
  </r>
  <r>
    <x v="24"/>
  </r>
  <r>
    <x v="24"/>
  </r>
  <r>
    <x v="24"/>
  </r>
  <r>
    <x v="152"/>
  </r>
  <r>
    <x v="152"/>
  </r>
  <r>
    <x v="152"/>
  </r>
  <r>
    <x v="152"/>
  </r>
  <r>
    <x v="152"/>
  </r>
  <r>
    <x v="14"/>
  </r>
  <r>
    <x v="56"/>
  </r>
  <r>
    <x v="56"/>
  </r>
  <r>
    <x v="56"/>
  </r>
  <r>
    <x v="56"/>
  </r>
  <r>
    <x v="19"/>
  </r>
  <r>
    <x v="19"/>
  </r>
  <r>
    <x v="86"/>
  </r>
  <r>
    <x v="14"/>
  </r>
  <r>
    <x v="19"/>
  </r>
  <r>
    <x v="54"/>
  </r>
  <r>
    <x v="54"/>
  </r>
  <r>
    <x v="54"/>
  </r>
  <r>
    <x v="54"/>
  </r>
  <r>
    <x v="54"/>
  </r>
  <r>
    <x v="56"/>
  </r>
  <r>
    <x v="56"/>
  </r>
  <r>
    <x v="56"/>
  </r>
  <r>
    <x v="16"/>
  </r>
  <r>
    <x v="16"/>
  </r>
  <r>
    <x v="11"/>
  </r>
  <r>
    <x v="55"/>
  </r>
  <r>
    <x v="54"/>
  </r>
  <r>
    <x v="54"/>
  </r>
  <r>
    <x v="54"/>
  </r>
  <r>
    <x v="54"/>
  </r>
  <r>
    <x v="54"/>
  </r>
  <r>
    <x v="24"/>
  </r>
  <r>
    <x v="24"/>
  </r>
  <r>
    <x v="9"/>
  </r>
  <r>
    <x v="9"/>
  </r>
  <r>
    <x v="160"/>
  </r>
  <r>
    <x v="56"/>
  </r>
  <r>
    <x v="160"/>
  </r>
  <r>
    <x v="160"/>
  </r>
  <r>
    <x v="37"/>
  </r>
  <r>
    <x v="42"/>
  </r>
  <r>
    <x v="42"/>
  </r>
  <r>
    <x v="54"/>
  </r>
  <r>
    <x v="160"/>
  </r>
  <r>
    <x v="160"/>
  </r>
  <r>
    <x v="46"/>
  </r>
  <r>
    <x v="12"/>
  </r>
  <r>
    <x v="12"/>
  </r>
  <r>
    <x v="12"/>
  </r>
  <r>
    <x v="12"/>
  </r>
  <r>
    <x v="160"/>
  </r>
  <r>
    <x v="11"/>
  </r>
  <r>
    <x v="11"/>
  </r>
  <r>
    <x v="12"/>
  </r>
  <r>
    <x v="15"/>
  </r>
  <r>
    <x v="9"/>
  </r>
  <r>
    <x v="53"/>
  </r>
  <r>
    <x v="14"/>
  </r>
  <r>
    <x v="14"/>
  </r>
  <r>
    <x v="28"/>
  </r>
  <r>
    <x v="56"/>
  </r>
  <r>
    <x v="16"/>
  </r>
  <r>
    <x v="1"/>
  </r>
  <r>
    <x v="10"/>
  </r>
  <r>
    <x v="4"/>
  </r>
  <r>
    <x v="56"/>
  </r>
  <r>
    <x v="25"/>
  </r>
  <r>
    <x v="16"/>
  </r>
  <r>
    <x v="16"/>
  </r>
  <r>
    <x v="16"/>
  </r>
  <r>
    <x v="16"/>
  </r>
  <r>
    <x v="16"/>
  </r>
  <r>
    <x v="9"/>
  </r>
  <r>
    <x v="1"/>
  </r>
  <r>
    <x v="1"/>
  </r>
  <r>
    <x v="45"/>
  </r>
  <r>
    <x v="45"/>
  </r>
  <r>
    <x v="45"/>
  </r>
  <r>
    <x v="45"/>
  </r>
  <r>
    <x v="45"/>
  </r>
  <r>
    <x v="45"/>
  </r>
  <r>
    <x v="45"/>
  </r>
  <r>
    <x v="45"/>
  </r>
  <r>
    <x v="123"/>
  </r>
  <r>
    <x v="123"/>
  </r>
  <r>
    <x v="123"/>
  </r>
  <r>
    <x v="28"/>
  </r>
  <r>
    <x v="16"/>
  </r>
  <r>
    <x v="16"/>
  </r>
  <r>
    <x v="42"/>
  </r>
  <r>
    <x v="1"/>
  </r>
  <r>
    <x v="1"/>
  </r>
  <r>
    <x v="19"/>
  </r>
  <r>
    <x v="12"/>
  </r>
  <r>
    <x v="12"/>
  </r>
  <r>
    <x v="12"/>
  </r>
  <r>
    <x v="12"/>
  </r>
  <r>
    <x v="12"/>
  </r>
  <r>
    <x v="28"/>
  </r>
  <r>
    <x v="28"/>
  </r>
  <r>
    <x v="12"/>
  </r>
  <r>
    <x v="24"/>
  </r>
  <r>
    <x v="24"/>
  </r>
  <r>
    <x v="24"/>
  </r>
  <r>
    <x v="1"/>
  </r>
  <r>
    <x v="6"/>
  </r>
  <r>
    <x v="55"/>
  </r>
  <r>
    <x v="11"/>
  </r>
  <r>
    <x v="28"/>
  </r>
  <r>
    <x v="7"/>
  </r>
  <r>
    <x v="160"/>
  </r>
  <r>
    <x v="14"/>
  </r>
  <r>
    <x v="4"/>
  </r>
  <r>
    <x v="14"/>
  </r>
  <r>
    <x v="14"/>
  </r>
  <r>
    <x v="14"/>
  </r>
  <r>
    <x v="16"/>
  </r>
  <r>
    <x v="28"/>
  </r>
  <r>
    <x v="42"/>
  </r>
  <r>
    <x v="42"/>
  </r>
  <r>
    <x v="1"/>
  </r>
  <r>
    <x v="160"/>
  </r>
  <r>
    <x v="71"/>
  </r>
  <r>
    <x v="22"/>
  </r>
  <r>
    <x v="79"/>
  </r>
  <r>
    <x v="78"/>
  </r>
  <r>
    <x v="6"/>
  </r>
  <r>
    <x v="55"/>
  </r>
  <r>
    <x v="15"/>
  </r>
  <r>
    <x v="16"/>
  </r>
  <r>
    <x v="2"/>
  </r>
  <r>
    <x v="16"/>
  </r>
  <r>
    <x v="14"/>
  </r>
  <r>
    <x v="14"/>
  </r>
  <r>
    <x v="14"/>
  </r>
  <r>
    <x v="42"/>
  </r>
  <r>
    <x v="37"/>
  </r>
  <r>
    <x v="19"/>
  </r>
  <r>
    <x v="19"/>
  </r>
  <r>
    <x v="1"/>
  </r>
  <r>
    <x v="1"/>
  </r>
  <r>
    <x v="1"/>
  </r>
  <r>
    <x v="1"/>
  </r>
  <r>
    <x v="1"/>
  </r>
  <r>
    <x v="28"/>
  </r>
  <r>
    <x v="16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25"/>
  </r>
  <r>
    <x v="25"/>
  </r>
  <r>
    <x v="28"/>
  </r>
  <r>
    <x v="4"/>
  </r>
  <r>
    <x v="4"/>
  </r>
  <r>
    <x v="12"/>
  </r>
  <r>
    <x v="42"/>
  </r>
  <r>
    <x v="42"/>
  </r>
  <r>
    <x v="19"/>
  </r>
  <r>
    <x v="19"/>
  </r>
  <r>
    <x v="123"/>
  </r>
  <r>
    <x v="24"/>
  </r>
  <r>
    <x v="88"/>
  </r>
  <r>
    <x v="42"/>
  </r>
  <r>
    <x v="42"/>
  </r>
  <r>
    <x v="160"/>
  </r>
  <r>
    <x v="9"/>
  </r>
  <r>
    <x v="9"/>
  </r>
  <r>
    <x v="160"/>
  </r>
  <r>
    <x v="160"/>
  </r>
  <r>
    <x v="160"/>
  </r>
  <r>
    <x v="4"/>
  </r>
  <r>
    <x v="21"/>
  </r>
  <r>
    <x v="21"/>
  </r>
  <r>
    <x v="14"/>
  </r>
  <r>
    <x v="100"/>
  </r>
  <r>
    <x v="86"/>
  </r>
  <r>
    <x v="12"/>
  </r>
  <r>
    <x v="11"/>
  </r>
  <r>
    <x v="9"/>
  </r>
  <r>
    <x v="21"/>
  </r>
  <r>
    <x v="21"/>
  </r>
  <r>
    <x v="1"/>
  </r>
  <r>
    <x v="4"/>
  </r>
  <r>
    <x v="14"/>
  </r>
  <r>
    <x v="0"/>
  </r>
  <r>
    <x v="63"/>
  </r>
  <r>
    <x v="25"/>
  </r>
  <r>
    <x v="54"/>
  </r>
  <r>
    <x v="16"/>
  </r>
  <r>
    <x v="123"/>
  </r>
  <r>
    <x v="123"/>
  </r>
  <r>
    <x v="123"/>
  </r>
  <r>
    <x v="42"/>
  </r>
  <r>
    <x v="16"/>
  </r>
  <r>
    <x v="36"/>
  </r>
  <r>
    <x v="0"/>
  </r>
  <r>
    <x v="11"/>
  </r>
  <r>
    <x v="0"/>
  </r>
  <r>
    <x v="7"/>
  </r>
  <r>
    <x v="19"/>
  </r>
  <r>
    <x v="0"/>
  </r>
  <r>
    <x v="12"/>
  </r>
  <r>
    <x v="71"/>
  </r>
  <r>
    <x v="71"/>
  </r>
  <r>
    <x v="21"/>
  </r>
  <r>
    <x v="10"/>
  </r>
  <r>
    <x v="16"/>
  </r>
  <r>
    <x v="16"/>
  </r>
  <r>
    <x v="16"/>
  </r>
  <r>
    <x v="16"/>
  </r>
  <r>
    <x v="0"/>
  </r>
  <r>
    <x v="0"/>
  </r>
  <r>
    <x v="19"/>
  </r>
  <r>
    <x v="0"/>
  </r>
  <r>
    <x v="0"/>
  </r>
  <r>
    <x v="4"/>
  </r>
  <r>
    <x v="15"/>
  </r>
  <r>
    <x v="12"/>
  </r>
  <r>
    <x v="12"/>
  </r>
  <r>
    <x v="12"/>
  </r>
  <r>
    <x v="16"/>
  </r>
  <r>
    <x v="4"/>
  </r>
  <r>
    <x v="141"/>
  </r>
  <r>
    <x v="141"/>
  </r>
  <r>
    <x v="19"/>
  </r>
  <r>
    <x v="19"/>
  </r>
  <r>
    <x v="144"/>
  </r>
  <r>
    <x v="144"/>
  </r>
  <r>
    <x v="144"/>
  </r>
  <r>
    <x v="7"/>
  </r>
  <r>
    <x v="28"/>
  </r>
  <r>
    <x v="1"/>
  </r>
  <r>
    <x v="128"/>
  </r>
  <r>
    <x v="48"/>
  </r>
  <r>
    <x v="22"/>
  </r>
  <r>
    <x v="22"/>
  </r>
  <r>
    <x v="22"/>
  </r>
  <r>
    <x v="37"/>
  </r>
  <r>
    <x v="37"/>
  </r>
  <r>
    <x v="141"/>
  </r>
  <r>
    <x v="63"/>
  </r>
  <r>
    <x v="12"/>
  </r>
  <r>
    <x v="63"/>
  </r>
  <r>
    <x v="19"/>
  </r>
  <r>
    <x v="45"/>
  </r>
  <r>
    <x v="0"/>
  </r>
  <r>
    <x v="0"/>
  </r>
  <r>
    <x v="0"/>
  </r>
  <r>
    <x v="0"/>
  </r>
  <r>
    <x v="0"/>
  </r>
  <r>
    <x v="141"/>
  </r>
  <r>
    <x v="37"/>
  </r>
  <r>
    <x v="37"/>
  </r>
  <r>
    <x v="12"/>
  </r>
  <r>
    <x v="0"/>
  </r>
  <r>
    <x v="0"/>
  </r>
  <r>
    <x v="0"/>
  </r>
  <r>
    <x v="9"/>
  </r>
  <r>
    <x v="9"/>
  </r>
  <r>
    <x v="144"/>
  </r>
  <r>
    <x v="144"/>
  </r>
  <r>
    <x v="144"/>
  </r>
  <r>
    <x v="4"/>
  </r>
  <r>
    <x v="10"/>
  </r>
  <r>
    <x v="25"/>
  </r>
  <r>
    <x v="76"/>
  </r>
  <r>
    <x v="2"/>
  </r>
  <r>
    <x v="108"/>
  </r>
  <r>
    <x v="48"/>
  </r>
  <r>
    <x v="48"/>
  </r>
  <r>
    <x v="19"/>
  </r>
  <r>
    <x v="144"/>
  </r>
  <r>
    <x v="4"/>
  </r>
  <r>
    <x v="45"/>
  </r>
  <r>
    <x v="45"/>
  </r>
  <r>
    <x v="12"/>
  </r>
  <r>
    <x v="7"/>
  </r>
  <r>
    <x v="4"/>
  </r>
  <r>
    <x v="37"/>
  </r>
  <r>
    <x v="16"/>
  </r>
  <r>
    <x v="16"/>
  </r>
  <r>
    <x v="16"/>
  </r>
  <r>
    <x v="16"/>
  </r>
  <r>
    <x v="16"/>
  </r>
  <r>
    <x v="12"/>
  </r>
  <r>
    <x v="141"/>
  </r>
  <r>
    <x v="141"/>
  </r>
  <r>
    <x v="141"/>
  </r>
  <r>
    <x v="16"/>
  </r>
  <r>
    <x v="28"/>
  </r>
  <r>
    <x v="0"/>
  </r>
  <r>
    <x v="19"/>
  </r>
  <r>
    <x v="141"/>
  </r>
  <r>
    <x v="0"/>
  </r>
  <r>
    <x v="112"/>
  </r>
  <r>
    <x v="100"/>
  </r>
  <r>
    <x v="10"/>
  </r>
  <r>
    <x v="4"/>
  </r>
  <r>
    <x v="10"/>
  </r>
  <r>
    <x v="11"/>
  </r>
  <r>
    <x v="1"/>
  </r>
  <r>
    <x v="4"/>
  </r>
  <r>
    <x v="10"/>
  </r>
  <r>
    <x v="12"/>
  </r>
  <r>
    <x v="12"/>
  </r>
  <r>
    <x v="37"/>
  </r>
  <r>
    <x v="19"/>
  </r>
  <r>
    <x v="19"/>
  </r>
  <r>
    <x v="162"/>
  </r>
  <r>
    <x v="162"/>
  </r>
  <r>
    <x v="19"/>
  </r>
  <r>
    <x v="162"/>
  </r>
  <r>
    <x v="0"/>
  </r>
  <r>
    <x v="0"/>
  </r>
  <r>
    <x v="45"/>
  </r>
  <r>
    <x v="12"/>
  </r>
  <r>
    <x v="37"/>
  </r>
  <r>
    <x v="12"/>
  </r>
  <r>
    <x v="19"/>
  </r>
  <r>
    <x v="19"/>
  </r>
  <r>
    <x v="51"/>
  </r>
  <r>
    <x v="155"/>
  </r>
  <r>
    <x v="50"/>
  </r>
  <r>
    <x v="50"/>
  </r>
  <r>
    <x v="50"/>
  </r>
  <r>
    <x v="165"/>
  </r>
  <r>
    <x v="48"/>
  </r>
  <r>
    <x v="48"/>
  </r>
  <r>
    <x v="155"/>
  </r>
  <r>
    <x v="10"/>
  </r>
  <r>
    <x v="180"/>
  </r>
  <r>
    <x v="180"/>
  </r>
  <r>
    <x v="7"/>
  </r>
  <r>
    <x v="4"/>
  </r>
  <r>
    <x v="22"/>
  </r>
  <r>
    <x v="22"/>
  </r>
  <r>
    <x v="22"/>
  </r>
  <r>
    <x v="22"/>
  </r>
  <r>
    <x v="22"/>
  </r>
  <r>
    <x v="22"/>
  </r>
  <r>
    <x v="16"/>
  </r>
  <r>
    <x v="108"/>
  </r>
  <r>
    <x v="28"/>
  </r>
  <r>
    <x v="22"/>
  </r>
  <r>
    <x v="12"/>
  </r>
  <r>
    <x v="4"/>
  </r>
  <r>
    <x v="4"/>
  </r>
  <r>
    <x v="2"/>
  </r>
  <r>
    <x v="77"/>
  </r>
  <r>
    <x v="28"/>
  </r>
  <r>
    <x v="12"/>
  </r>
  <r>
    <x v="4"/>
  </r>
  <r>
    <x v="77"/>
  </r>
  <r>
    <x v="84"/>
  </r>
  <r>
    <x v="9"/>
  </r>
  <r>
    <x v="7"/>
  </r>
  <r>
    <x v="6"/>
  </r>
  <r>
    <x v="242"/>
  </r>
  <r>
    <x v="16"/>
  </r>
  <r>
    <x v="126"/>
  </r>
  <r>
    <x v="7"/>
  </r>
  <r>
    <x v="7"/>
  </r>
  <r>
    <x v="7"/>
  </r>
  <r>
    <x v="7"/>
  </r>
  <r>
    <x v="7"/>
  </r>
  <r>
    <x v="37"/>
  </r>
  <r>
    <x v="37"/>
  </r>
  <r>
    <x v="10"/>
  </r>
  <r>
    <x v="166"/>
  </r>
  <r>
    <x v="166"/>
  </r>
  <r>
    <x v="123"/>
  </r>
  <r>
    <x v="29"/>
  </r>
  <r>
    <x v="57"/>
  </r>
  <r>
    <x v="57"/>
  </r>
  <r>
    <x v="57"/>
  </r>
  <r>
    <x v="57"/>
  </r>
  <r>
    <x v="12"/>
  </r>
  <r>
    <x v="12"/>
  </r>
  <r>
    <x v="123"/>
  </r>
  <r>
    <x v="47"/>
  </r>
  <r>
    <x v="71"/>
  </r>
  <r>
    <x v="16"/>
  </r>
  <r>
    <x v="16"/>
  </r>
  <r>
    <x v="16"/>
  </r>
  <r>
    <x v="28"/>
  </r>
  <r>
    <x v="7"/>
  </r>
  <r>
    <x v="6"/>
  </r>
  <r>
    <x v="6"/>
  </r>
  <r>
    <x v="45"/>
  </r>
  <r>
    <x v="42"/>
  </r>
  <r>
    <x v="7"/>
  </r>
  <r>
    <x v="7"/>
  </r>
  <r>
    <x v="162"/>
  </r>
  <r>
    <x v="162"/>
  </r>
  <r>
    <x v="162"/>
  </r>
  <r>
    <x v="162"/>
  </r>
  <r>
    <x v="162"/>
  </r>
  <r>
    <x v="162"/>
  </r>
  <r>
    <x v="7"/>
  </r>
  <r>
    <x v="1"/>
  </r>
  <r>
    <x v="1"/>
  </r>
  <r>
    <x v="1"/>
  </r>
  <r>
    <x v="7"/>
  </r>
  <r>
    <x v="48"/>
  </r>
  <r>
    <x v="57"/>
  </r>
  <r>
    <x v="7"/>
  </r>
  <r>
    <x v="57"/>
  </r>
  <r>
    <x v="28"/>
  </r>
  <r>
    <x v="42"/>
  </r>
  <r>
    <x v="42"/>
  </r>
  <r>
    <x v="76"/>
  </r>
  <r>
    <x v="6"/>
  </r>
  <r>
    <x v="37"/>
  </r>
  <r>
    <x v="28"/>
  </r>
  <r>
    <x v="28"/>
  </r>
  <r>
    <x v="77"/>
  </r>
  <r>
    <x v="10"/>
  </r>
  <r>
    <x v="10"/>
  </r>
  <r>
    <x v="7"/>
  </r>
  <r>
    <x v="138"/>
  </r>
  <r>
    <x v="42"/>
  </r>
  <r>
    <x v="0"/>
  </r>
  <r>
    <x v="12"/>
  </r>
  <r>
    <x v="57"/>
  </r>
  <r>
    <x v="57"/>
  </r>
  <r>
    <x v="64"/>
  </r>
  <r>
    <x v="37"/>
  </r>
  <r>
    <x v="42"/>
  </r>
  <r>
    <x v="12"/>
  </r>
  <r>
    <x v="7"/>
  </r>
  <r>
    <x v="12"/>
  </r>
  <r>
    <x v="12"/>
  </r>
  <r>
    <x v="12"/>
  </r>
  <r>
    <x v="12"/>
  </r>
  <r>
    <x v="42"/>
  </r>
  <r>
    <x v="42"/>
  </r>
  <r>
    <x v="123"/>
  </r>
  <r>
    <x v="37"/>
  </r>
  <r>
    <x v="12"/>
  </r>
  <r>
    <x v="37"/>
  </r>
  <r>
    <x v="162"/>
  </r>
  <r>
    <x v="37"/>
  </r>
  <r>
    <x v="37"/>
  </r>
  <r>
    <x v="7"/>
  </r>
  <r>
    <x v="37"/>
  </r>
  <r>
    <x v="7"/>
  </r>
  <r>
    <x v="51"/>
  </r>
  <r>
    <x v="7"/>
  </r>
  <r>
    <x v="37"/>
  </r>
  <r>
    <x v="7"/>
  </r>
  <r>
    <x v="12"/>
  </r>
  <r>
    <x v="6"/>
  </r>
  <r>
    <x v="1"/>
  </r>
  <r>
    <x v="28"/>
  </r>
  <r>
    <x v="28"/>
  </r>
  <r>
    <x v="28"/>
  </r>
  <r>
    <x v="12"/>
  </r>
  <r>
    <x v="12"/>
  </r>
  <r>
    <x v="12"/>
  </r>
  <r>
    <x v="1"/>
  </r>
  <r>
    <x v="1"/>
  </r>
  <r>
    <x v="12"/>
  </r>
  <r>
    <x v="162"/>
  </r>
  <r>
    <x v="162"/>
  </r>
  <r>
    <x v="162"/>
  </r>
  <r>
    <x v="37"/>
  </r>
  <r>
    <x v="28"/>
  </r>
  <r>
    <x v="14"/>
  </r>
  <r>
    <x v="28"/>
  </r>
  <r>
    <x v="45"/>
  </r>
  <r>
    <x v="71"/>
  </r>
  <r>
    <x v="42"/>
  </r>
  <r>
    <x v="45"/>
  </r>
  <r>
    <x v="45"/>
  </r>
  <r>
    <x v="57"/>
  </r>
  <r>
    <x v="57"/>
  </r>
  <r>
    <x v="57"/>
  </r>
  <r>
    <x v="42"/>
  </r>
  <r>
    <x v="123"/>
  </r>
  <r>
    <x v="123"/>
  </r>
  <r>
    <x v="42"/>
  </r>
  <r>
    <x v="28"/>
  </r>
  <r>
    <x v="28"/>
  </r>
  <r>
    <x v="7"/>
  </r>
  <r>
    <x v="28"/>
  </r>
  <r>
    <x v="12"/>
  </r>
  <r>
    <x v="28"/>
  </r>
  <r>
    <x v="12"/>
  </r>
  <r>
    <x v="42"/>
  </r>
  <r>
    <x v="19"/>
  </r>
  <r>
    <x v="42"/>
  </r>
  <r>
    <x v="57"/>
  </r>
  <r>
    <x v="57"/>
  </r>
  <r>
    <x v="42"/>
  </r>
  <r>
    <x v="11"/>
  </r>
  <r>
    <x v="42"/>
  </r>
  <r>
    <x v="57"/>
  </r>
  <r>
    <x v="57"/>
  </r>
  <r>
    <x v="126"/>
  </r>
  <r>
    <x v="57"/>
  </r>
  <r>
    <x v="36"/>
  </r>
  <r>
    <x v="112"/>
  </r>
  <r>
    <x v="37"/>
  </r>
  <r>
    <x v="42"/>
  </r>
  <r>
    <x v="123"/>
  </r>
  <r>
    <x v="123"/>
  </r>
  <r>
    <x v="42"/>
  </r>
  <r>
    <x v="37"/>
  </r>
  <r>
    <x v="37"/>
  </r>
  <r>
    <x v="123"/>
  </r>
  <r>
    <x v="123"/>
  </r>
  <r>
    <x v="42"/>
  </r>
  <r>
    <x v="42"/>
  </r>
  <r>
    <x v="16"/>
  </r>
  <r>
    <x v="16"/>
  </r>
  <r>
    <x v="162"/>
  </r>
  <r>
    <x v="162"/>
  </r>
  <r>
    <x v="7"/>
  </r>
  <r>
    <x v="7"/>
  </r>
  <r>
    <x v="6"/>
  </r>
  <r>
    <x v="123"/>
  </r>
  <r>
    <x v="16"/>
  </r>
  <r>
    <x v="16"/>
  </r>
  <r>
    <x v="16"/>
  </r>
  <r>
    <x v="7"/>
  </r>
  <r>
    <x v="7"/>
  </r>
  <r>
    <x v="57"/>
  </r>
  <r>
    <x v="1"/>
  </r>
  <r>
    <x v="42"/>
  </r>
  <r>
    <x v="152"/>
  </r>
  <r>
    <x v="57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0"/>
  </r>
  <r>
    <x v="23"/>
  </r>
  <r>
    <x v="1"/>
  </r>
  <r>
    <x v="9"/>
  </r>
  <r>
    <x v="0"/>
  </r>
  <r>
    <x v="4"/>
  </r>
  <r>
    <x v="0"/>
  </r>
  <r>
    <x v="17"/>
  </r>
  <r>
    <x v="5"/>
  </r>
  <r>
    <x v="22"/>
  </r>
  <r>
    <x v="0"/>
  </r>
  <r>
    <x v="21"/>
  </r>
  <r>
    <x v="1"/>
  </r>
  <r>
    <x v="12"/>
  </r>
  <r>
    <x v="7"/>
  </r>
  <r>
    <x v="28"/>
  </r>
  <r>
    <x v="11"/>
  </r>
  <r>
    <x v="16"/>
  </r>
  <r>
    <x v="9"/>
  </r>
  <r>
    <x v="9"/>
  </r>
  <r>
    <x v="9"/>
  </r>
  <r>
    <x v="42"/>
  </r>
  <r>
    <x v="4"/>
  </r>
  <r>
    <x v="0"/>
  </r>
  <r>
    <x v="55"/>
  </r>
  <r>
    <x v="55"/>
  </r>
  <r>
    <x v="9"/>
  </r>
  <r>
    <x v="9"/>
  </r>
  <r>
    <x v="55"/>
  </r>
  <r>
    <x v="6"/>
  </r>
  <r>
    <x v="49"/>
  </r>
  <r>
    <x v="6"/>
  </r>
  <r>
    <x v="49"/>
  </r>
  <r>
    <x v="49"/>
  </r>
  <r>
    <x v="49"/>
  </r>
  <r>
    <x v="49"/>
  </r>
  <r>
    <x v="22"/>
  </r>
  <r>
    <x v="49"/>
  </r>
  <r>
    <x v="12"/>
  </r>
  <r>
    <x v="16"/>
  </r>
  <r>
    <x v="16"/>
  </r>
  <r>
    <x v="17"/>
  </r>
  <r>
    <x v="17"/>
  </r>
  <r>
    <x v="16"/>
  </r>
  <r>
    <x v="21"/>
  </r>
  <r>
    <x v="1"/>
  </r>
  <r>
    <x v="8"/>
  </r>
  <r>
    <x v="8"/>
  </r>
  <r>
    <x v="8"/>
  </r>
  <r>
    <x v="8"/>
  </r>
  <r>
    <x v="49"/>
  </r>
  <r>
    <x v="49"/>
  </r>
  <r>
    <x v="22"/>
  </r>
  <r>
    <x v="39"/>
  </r>
  <r>
    <x v="14"/>
  </r>
  <r>
    <x v="14"/>
  </r>
  <r>
    <x v="12"/>
  </r>
  <r>
    <x v="12"/>
  </r>
  <r>
    <x v="12"/>
  </r>
  <r>
    <x v="12"/>
  </r>
  <r>
    <x v="9"/>
  </r>
  <r>
    <x v="9"/>
  </r>
  <r>
    <x v="28"/>
  </r>
  <r>
    <x v="52"/>
  </r>
  <r>
    <x v="52"/>
  </r>
  <r>
    <x v="22"/>
  </r>
  <r>
    <x v="21"/>
  </r>
  <r>
    <x v="19"/>
  </r>
  <r>
    <x v="10"/>
  </r>
  <r>
    <x v="10"/>
  </r>
  <r>
    <x v="10"/>
  </r>
  <r>
    <x v="8"/>
  </r>
  <r>
    <x v="55"/>
  </r>
  <r>
    <x v="16"/>
  </r>
  <r>
    <x v="16"/>
  </r>
  <r>
    <x v="32"/>
  </r>
  <r>
    <x v="55"/>
  </r>
  <r>
    <x v="17"/>
  </r>
  <r>
    <x v="17"/>
  </r>
  <r>
    <x v="17"/>
  </r>
  <r>
    <x v="32"/>
  </r>
  <r>
    <x v="32"/>
  </r>
  <r>
    <x v="32"/>
  </r>
  <r>
    <x v="64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8"/>
  </r>
  <r>
    <x v="8"/>
  </r>
  <r>
    <x v="115"/>
  </r>
  <r>
    <x v="115"/>
  </r>
  <r>
    <x v="14"/>
  </r>
  <r>
    <x v="49"/>
  </r>
  <r>
    <x v="14"/>
  </r>
  <r>
    <x v="12"/>
  </r>
  <r>
    <x v="30"/>
  </r>
  <r>
    <x v="9"/>
  </r>
  <r>
    <x v="9"/>
  </r>
  <r>
    <x v="14"/>
  </r>
  <r>
    <x v="14"/>
  </r>
  <r>
    <x v="14"/>
  </r>
  <r>
    <x v="14"/>
  </r>
  <r>
    <x v="14"/>
  </r>
  <r>
    <x v="21"/>
  </r>
  <r>
    <x v="21"/>
  </r>
  <r>
    <x v="21"/>
  </r>
  <r>
    <x v="21"/>
  </r>
  <r>
    <x v="21"/>
  </r>
  <r>
    <x v="21"/>
  </r>
  <r>
    <x v="21"/>
  </r>
  <r>
    <x v="12"/>
  </r>
  <r>
    <x v="30"/>
  </r>
  <r>
    <x v="17"/>
  </r>
  <r>
    <x v="17"/>
  </r>
  <r>
    <x v="17"/>
  </r>
  <r>
    <x v="33"/>
  </r>
  <r>
    <x v="33"/>
  </r>
  <r>
    <x v="33"/>
  </r>
  <r>
    <x v="28"/>
  </r>
  <r>
    <x v="67"/>
  </r>
  <r>
    <x v="67"/>
  </r>
  <r>
    <x v="14"/>
  </r>
  <r>
    <x v="14"/>
  </r>
  <r>
    <x v="14"/>
  </r>
  <r>
    <x v="8"/>
  </r>
  <r>
    <x v="17"/>
  </r>
  <r>
    <x v="17"/>
  </r>
  <r>
    <x v="17"/>
  </r>
  <r>
    <x v="17"/>
  </r>
  <r>
    <x v="17"/>
  </r>
  <r>
    <x v="17"/>
  </r>
  <r>
    <x v="64"/>
  </r>
  <r>
    <x v="55"/>
  </r>
  <r>
    <x v="55"/>
  </r>
  <r>
    <x v="55"/>
  </r>
  <r>
    <x v="10"/>
  </r>
  <r>
    <x v="10"/>
  </r>
  <r>
    <x v="22"/>
  </r>
  <r>
    <x v="68"/>
  </r>
  <r>
    <x v="68"/>
  </r>
  <r>
    <x v="68"/>
  </r>
  <r>
    <x v="68"/>
  </r>
  <r>
    <x v="11"/>
  </r>
  <r>
    <x v="4"/>
  </r>
  <r>
    <x v="4"/>
  </r>
  <r>
    <x v="4"/>
  </r>
  <r>
    <x v="22"/>
  </r>
  <r>
    <x v="55"/>
  </r>
  <r>
    <x v="55"/>
  </r>
  <r>
    <x v="55"/>
  </r>
  <r>
    <x v="55"/>
  </r>
  <r>
    <x v="14"/>
  </r>
  <r>
    <x v="14"/>
  </r>
  <r>
    <x v="12"/>
  </r>
  <r>
    <x v="12"/>
  </r>
  <r>
    <x v="12"/>
  </r>
  <r>
    <x v="22"/>
  </r>
  <r>
    <x v="37"/>
  </r>
  <r>
    <x v="37"/>
  </r>
  <r>
    <x v="9"/>
  </r>
  <r>
    <x v="9"/>
  </r>
  <r>
    <x v="21"/>
  </r>
  <r>
    <x v="49"/>
  </r>
  <r>
    <x v="49"/>
  </r>
  <r>
    <x v="49"/>
  </r>
  <r>
    <x v="17"/>
  </r>
  <r>
    <x v="17"/>
  </r>
  <r>
    <x v="21"/>
  </r>
  <r>
    <x v="10"/>
  </r>
  <r>
    <x v="10"/>
  </r>
  <r>
    <x v="6"/>
  </r>
  <r>
    <x v="21"/>
  </r>
  <r>
    <x v="21"/>
  </r>
  <r>
    <x v="21"/>
  </r>
  <r>
    <x v="21"/>
  </r>
  <r>
    <x v="21"/>
  </r>
  <r>
    <x v="22"/>
  </r>
  <r>
    <x v="14"/>
  </r>
  <r>
    <x v="55"/>
  </r>
  <r>
    <x v="8"/>
  </r>
  <r>
    <x v="9"/>
  </r>
  <r>
    <x v="10"/>
  </r>
  <r>
    <x v="4"/>
  </r>
  <r>
    <x v="16"/>
  </r>
  <r>
    <x v="16"/>
  </r>
  <r>
    <x v="16"/>
  </r>
  <r>
    <x v="0"/>
  </r>
  <r>
    <x v="37"/>
  </r>
  <r>
    <x v="49"/>
  </r>
  <r>
    <x v="49"/>
  </r>
  <r>
    <x v="7"/>
  </r>
  <r>
    <x v="10"/>
  </r>
  <r>
    <x v="4"/>
  </r>
  <r>
    <x v="4"/>
  </r>
  <r>
    <x v="12"/>
  </r>
  <r>
    <x v="4"/>
  </r>
  <r>
    <x v="6"/>
  </r>
  <r>
    <x v="9"/>
  </r>
  <r>
    <x v="112"/>
  </r>
  <r>
    <x v="4"/>
  </r>
  <r>
    <x v="31"/>
  </r>
  <r>
    <x v="31"/>
  </r>
  <r>
    <x v="9"/>
  </r>
  <r>
    <x v="12"/>
  </r>
  <r>
    <x v="9"/>
  </r>
  <r>
    <x v="9"/>
  </r>
  <r>
    <x v="11"/>
  </r>
  <r>
    <x v="22"/>
  </r>
  <r>
    <x v="17"/>
  </r>
  <r>
    <x v="17"/>
  </r>
  <r>
    <x v="31"/>
  </r>
  <r>
    <x v="4"/>
  </r>
  <r>
    <x v="21"/>
  </r>
  <r>
    <x v="12"/>
  </r>
  <r>
    <x v="4"/>
  </r>
  <r>
    <x v="12"/>
  </r>
  <r>
    <x v="14"/>
  </r>
  <r>
    <x v="49"/>
  </r>
  <r>
    <x v="39"/>
  </r>
  <r>
    <x v="23"/>
  </r>
  <r>
    <x v="4"/>
  </r>
  <r>
    <x v="21"/>
  </r>
  <r>
    <x v="12"/>
  </r>
  <r>
    <x v="10"/>
  </r>
  <r>
    <x v="10"/>
  </r>
  <r>
    <x v="70"/>
  </r>
  <r>
    <x v="11"/>
  </r>
  <r>
    <x v="10"/>
  </r>
  <r>
    <x v="21"/>
  </r>
  <r>
    <x v="1"/>
  </r>
  <r>
    <x v="23"/>
  </r>
  <r>
    <x v="8"/>
  </r>
  <r>
    <x v="11"/>
  </r>
  <r>
    <x v="0"/>
  </r>
  <r>
    <x v="0"/>
  </r>
  <r>
    <x v="0"/>
  </r>
  <r>
    <x v="4"/>
  </r>
  <r>
    <x v="12"/>
  </r>
  <r>
    <x v="0"/>
  </r>
  <r>
    <x v="0"/>
  </r>
  <r>
    <x v="0"/>
  </r>
  <r>
    <x v="0"/>
  </r>
  <r>
    <x v="12"/>
  </r>
  <r>
    <x v="12"/>
  </r>
  <r>
    <x v="28"/>
  </r>
  <r>
    <x v="21"/>
  </r>
  <r>
    <x v="69"/>
  </r>
  <r>
    <x v="34"/>
  </r>
  <r>
    <x v="4"/>
  </r>
  <r>
    <x v="53"/>
  </r>
  <r>
    <x v="17"/>
  </r>
  <r>
    <x v="7"/>
  </r>
  <r>
    <x v="0"/>
  </r>
  <r>
    <x v="9"/>
  </r>
  <r>
    <x v="9"/>
  </r>
  <r>
    <x v="4"/>
  </r>
  <r>
    <x v="4"/>
  </r>
  <r>
    <x v="4"/>
  </r>
  <r>
    <x v="4"/>
  </r>
  <r>
    <x v="12"/>
  </r>
  <r>
    <x v="14"/>
  </r>
  <r>
    <x v="28"/>
  </r>
  <r>
    <x v="28"/>
  </r>
  <r>
    <x v="33"/>
  </r>
  <r>
    <x v="28"/>
  </r>
  <r>
    <x v="33"/>
  </r>
  <r>
    <x v="28"/>
  </r>
  <r>
    <x v="4"/>
  </r>
  <r>
    <x v="17"/>
  </r>
  <r>
    <x v="45"/>
  </r>
  <r>
    <x v="4"/>
  </r>
  <r>
    <x v="10"/>
  </r>
  <r>
    <x v="4"/>
  </r>
  <r>
    <x v="4"/>
  </r>
  <r>
    <x v="10"/>
  </r>
  <r>
    <x v="4"/>
  </r>
  <r>
    <x v="28"/>
  </r>
  <r>
    <x v="21"/>
  </r>
  <r>
    <x v="4"/>
  </r>
  <r>
    <x v="4"/>
  </r>
  <r>
    <x v="57"/>
  </r>
  <r>
    <x v="10"/>
  </r>
  <r>
    <x v="4"/>
  </r>
  <r>
    <x v="16"/>
  </r>
  <r>
    <x v="2"/>
  </r>
  <r>
    <x v="0"/>
  </r>
  <r>
    <x v="14"/>
  </r>
  <r>
    <x v="12"/>
  </r>
  <r>
    <x v="49"/>
  </r>
  <r>
    <x v="12"/>
  </r>
  <r>
    <x v="49"/>
  </r>
  <r>
    <x v="16"/>
  </r>
  <r>
    <x v="33"/>
  </r>
  <r>
    <x v="15"/>
  </r>
  <r>
    <x v="0"/>
  </r>
  <r>
    <x v="0"/>
  </r>
  <r>
    <x v="0"/>
  </r>
  <r>
    <x v="12"/>
  </r>
  <r>
    <x v="0"/>
  </r>
  <r>
    <x v="4"/>
  </r>
  <r>
    <x v="11"/>
  </r>
  <r>
    <x v="46"/>
  </r>
  <r>
    <x v="46"/>
  </r>
  <r>
    <x v="46"/>
  </r>
  <r>
    <x v="17"/>
  </r>
  <r>
    <x v="4"/>
  </r>
  <r>
    <x v="37"/>
  </r>
  <r>
    <x v="0"/>
  </r>
  <r>
    <x v="31"/>
  </r>
  <r>
    <x v="21"/>
  </r>
  <r>
    <x v="11"/>
  </r>
  <r>
    <x v="12"/>
  </r>
  <r>
    <x v="4"/>
  </r>
  <r>
    <x v="42"/>
  </r>
  <r>
    <x v="42"/>
  </r>
  <r>
    <x v="6"/>
  </r>
  <r>
    <x v="10"/>
  </r>
  <r>
    <x v="39"/>
  </r>
  <r>
    <x v="2"/>
  </r>
  <r>
    <x v="17"/>
  </r>
  <r>
    <x v="33"/>
  </r>
  <r>
    <x v="4"/>
  </r>
  <r>
    <x v="30"/>
  </r>
  <r>
    <x v="0"/>
  </r>
  <r>
    <x v="15"/>
  </r>
  <r>
    <x v="34"/>
  </r>
  <r>
    <x v="4"/>
  </r>
  <r>
    <x v="10"/>
  </r>
  <r>
    <x v="10"/>
  </r>
  <r>
    <x v="10"/>
  </r>
  <r>
    <x v="10"/>
  </r>
  <r>
    <x v="0"/>
  </r>
  <r>
    <x v="0"/>
  </r>
  <r>
    <x v="10"/>
  </r>
  <r>
    <x v="22"/>
  </r>
  <r>
    <x v="0"/>
  </r>
  <r>
    <x v="53"/>
  </r>
  <r>
    <x v="2"/>
  </r>
  <r>
    <x v="0"/>
  </r>
  <r>
    <x v="0"/>
  </r>
  <r>
    <x v="0"/>
  </r>
  <r>
    <x v="68"/>
  </r>
  <r>
    <x v="37"/>
  </r>
  <r>
    <x v="16"/>
  </r>
  <r>
    <x v="14"/>
  </r>
  <r>
    <x v="10"/>
  </r>
  <r>
    <x v="14"/>
  </r>
  <r>
    <x v="0"/>
  </r>
  <r>
    <x v="53"/>
  </r>
  <r>
    <x v="53"/>
  </r>
  <r>
    <x v="1"/>
  </r>
  <r>
    <x v="0"/>
  </r>
  <r>
    <x v="0"/>
  </r>
  <r>
    <x v="0"/>
  </r>
  <r>
    <x v="9"/>
  </r>
  <r>
    <x v="9"/>
  </r>
  <r>
    <x v="64"/>
  </r>
  <r>
    <x v="12"/>
  </r>
  <r>
    <x v="14"/>
  </r>
  <r>
    <x v="24"/>
  </r>
  <r>
    <x v="2"/>
  </r>
  <r>
    <x v="14"/>
  </r>
  <r>
    <x v="12"/>
  </r>
  <r>
    <x v="33"/>
  </r>
  <r>
    <x v="12"/>
  </r>
  <r>
    <x v="10"/>
  </r>
  <r>
    <x v="2"/>
  </r>
  <r>
    <x v="4"/>
  </r>
  <r>
    <x v="17"/>
  </r>
  <r>
    <x v="17"/>
  </r>
  <r>
    <x v="45"/>
  </r>
  <r>
    <x v="251"/>
  </r>
  <r>
    <x v="24"/>
  </r>
  <r>
    <x v="64"/>
  </r>
  <r>
    <x v="12"/>
  </r>
  <r>
    <x v="8"/>
  </r>
  <r>
    <x v="8"/>
  </r>
  <r>
    <x v="11"/>
  </r>
  <r>
    <x v="53"/>
  </r>
  <r>
    <x v="42"/>
  </r>
  <r>
    <x v="17"/>
  </r>
  <r>
    <x v="22"/>
  </r>
  <r>
    <x v="0"/>
  </r>
  <r>
    <x v="14"/>
  </r>
  <r>
    <x v="56"/>
  </r>
  <r>
    <x v="4"/>
  </r>
  <r>
    <x v="24"/>
  </r>
  <r>
    <x v="16"/>
  </r>
  <r>
    <x v="58"/>
  </r>
  <r>
    <x v="10"/>
  </r>
  <r>
    <x v="45"/>
  </r>
  <r>
    <x v="45"/>
  </r>
  <r>
    <x v="58"/>
  </r>
  <r>
    <x v="7"/>
  </r>
  <r>
    <x v="7"/>
  </r>
  <r>
    <x v="14"/>
  </r>
  <r>
    <x v="15"/>
  </r>
  <r>
    <x v="28"/>
  </r>
  <r>
    <x v="4"/>
  </r>
  <r>
    <x v="17"/>
  </r>
  <r>
    <x v="17"/>
  </r>
  <r>
    <x v="4"/>
  </r>
  <r>
    <x v="9"/>
  </r>
  <r>
    <x v="34"/>
  </r>
  <r>
    <x v="14"/>
  </r>
  <r>
    <x v="14"/>
  </r>
  <r>
    <x v="14"/>
  </r>
  <r>
    <x v="14"/>
  </r>
  <r>
    <x v="32"/>
  </r>
  <r>
    <x v="10"/>
  </r>
  <r>
    <x v="8"/>
  </r>
  <r>
    <x v="14"/>
  </r>
  <r>
    <x v="10"/>
  </r>
  <r>
    <x v="10"/>
  </r>
  <r>
    <x v="72"/>
  </r>
  <r>
    <x v="72"/>
  </r>
  <r>
    <x v="72"/>
  </r>
  <r>
    <x v="55"/>
  </r>
  <r>
    <x v="14"/>
  </r>
  <r>
    <x v="8"/>
  </r>
  <r>
    <x v="12"/>
  </r>
  <r>
    <x v="11"/>
  </r>
  <r>
    <x v="34"/>
  </r>
  <r>
    <x v="19"/>
  </r>
  <r>
    <x v="19"/>
  </r>
  <r>
    <x v="4"/>
  </r>
  <r>
    <x v="86"/>
  </r>
  <r>
    <x v="64"/>
  </r>
  <r>
    <x v="12"/>
  </r>
  <r>
    <x v="0"/>
  </r>
  <r>
    <x v="14"/>
  </r>
  <r>
    <x v="12"/>
  </r>
  <r>
    <x v="37"/>
  </r>
  <r>
    <x v="130"/>
  </r>
  <r>
    <x v="10"/>
  </r>
  <r>
    <x v="24"/>
  </r>
  <r>
    <x v="17"/>
  </r>
  <r>
    <x v="10"/>
  </r>
  <r>
    <x v="0"/>
  </r>
  <r>
    <x v="4"/>
  </r>
  <r>
    <x v="4"/>
  </r>
  <r>
    <x v="6"/>
  </r>
  <r>
    <x v="9"/>
  </r>
  <r>
    <x v="0"/>
  </r>
  <r>
    <x v="12"/>
  </r>
  <r>
    <x v="12"/>
  </r>
  <r>
    <x v="12"/>
  </r>
  <r>
    <x v="4"/>
  </r>
  <r>
    <x v="73"/>
  </r>
  <r>
    <x v="87"/>
  </r>
  <r>
    <x v="24"/>
  </r>
  <r>
    <x v="8"/>
  </r>
  <r>
    <x v="16"/>
  </r>
  <r>
    <x v="28"/>
  </r>
  <r>
    <x v="14"/>
  </r>
  <r>
    <x v="53"/>
  </r>
  <r>
    <x v="43"/>
  </r>
  <r>
    <x v="7"/>
  </r>
  <r>
    <x v="7"/>
  </r>
  <r>
    <x v="34"/>
  </r>
  <r>
    <x v="53"/>
  </r>
  <r>
    <x v="15"/>
  </r>
  <r>
    <x v="0"/>
  </r>
  <r>
    <x v="76"/>
  </r>
  <r>
    <x v="22"/>
  </r>
  <r>
    <x v="53"/>
  </r>
  <r>
    <x v="4"/>
  </r>
  <r>
    <x v="22"/>
  </r>
  <r>
    <x v="12"/>
  </r>
  <r>
    <x v="53"/>
  </r>
  <r>
    <x v="12"/>
  </r>
  <r>
    <x v="12"/>
  </r>
  <r>
    <x v="39"/>
  </r>
  <r>
    <x v="39"/>
  </r>
  <r>
    <x v="39"/>
  </r>
  <r>
    <x v="39"/>
  </r>
  <r>
    <x v="4"/>
  </r>
  <r>
    <x v="21"/>
  </r>
  <r>
    <x v="14"/>
  </r>
  <r>
    <x v="4"/>
  </r>
  <r>
    <x v="42"/>
  </r>
  <r>
    <x v="22"/>
  </r>
  <r>
    <x v="0"/>
  </r>
  <r>
    <x v="7"/>
  </r>
  <r>
    <x v="11"/>
  </r>
  <r>
    <x v="11"/>
  </r>
  <r>
    <x v="12"/>
  </r>
  <r>
    <x v="28"/>
  </r>
  <r>
    <x v="11"/>
  </r>
  <r>
    <x v="4"/>
  </r>
  <r>
    <x v="4"/>
  </r>
  <r>
    <x v="9"/>
  </r>
  <r>
    <x v="28"/>
  </r>
  <r>
    <x v="14"/>
  </r>
  <r>
    <x v="28"/>
  </r>
  <r>
    <x v="285"/>
  </r>
  <r>
    <x v="19"/>
  </r>
  <r>
    <x v="53"/>
  </r>
  <r>
    <x v="2"/>
  </r>
  <r>
    <x v="31"/>
  </r>
  <r>
    <x v="0"/>
  </r>
  <r>
    <x v="1"/>
  </r>
  <r>
    <x v="21"/>
  </r>
  <r>
    <x v="4"/>
  </r>
  <r>
    <x v="31"/>
  </r>
  <r>
    <x v="0"/>
  </r>
  <r>
    <x v="37"/>
  </r>
  <r>
    <x v="9"/>
  </r>
  <r>
    <x v="53"/>
  </r>
  <r>
    <x v="7"/>
  </r>
  <r>
    <x v="73"/>
  </r>
  <r>
    <x v="42"/>
  </r>
  <r>
    <x v="56"/>
  </r>
  <r>
    <x v="6"/>
  </r>
  <r>
    <x v="0"/>
  </r>
  <r>
    <x v="9"/>
  </r>
  <r>
    <x v="0"/>
  </r>
  <r>
    <x v="4"/>
  </r>
  <r>
    <x v="39"/>
  </r>
  <r>
    <x v="9"/>
  </r>
  <r>
    <x v="4"/>
  </r>
  <r>
    <x v="14"/>
  </r>
  <r>
    <x v="8"/>
  </r>
  <r>
    <x v="74"/>
  </r>
  <r>
    <x v="74"/>
  </r>
  <r>
    <x v="58"/>
  </r>
  <r>
    <x v="74"/>
  </r>
  <r>
    <x v="58"/>
  </r>
  <r>
    <x v="74"/>
  </r>
  <r>
    <x v="58"/>
  </r>
  <r>
    <x v="74"/>
  </r>
  <r>
    <x v="58"/>
  </r>
  <r>
    <x v="74"/>
  </r>
  <r>
    <x v="39"/>
  </r>
  <r>
    <x v="12"/>
  </r>
  <r>
    <x v="17"/>
  </r>
  <r>
    <x v="12"/>
  </r>
  <r>
    <x v="12"/>
  </r>
  <r>
    <x v="8"/>
  </r>
  <r>
    <x v="8"/>
  </r>
  <r>
    <x v="8"/>
  </r>
  <r>
    <x v="41"/>
  </r>
  <r>
    <x v="16"/>
  </r>
  <r>
    <x v="12"/>
  </r>
  <r>
    <x v="12"/>
  </r>
  <r>
    <x v="24"/>
  </r>
  <r>
    <x v="12"/>
  </r>
  <r>
    <x v="12"/>
  </r>
  <r>
    <x v="28"/>
  </r>
  <r>
    <x v="17"/>
  </r>
  <r>
    <x v="37"/>
  </r>
  <r>
    <x v="17"/>
  </r>
  <r>
    <x v="17"/>
  </r>
  <r>
    <x v="17"/>
  </r>
  <r>
    <x v="12"/>
  </r>
  <r>
    <x v="246"/>
  </r>
  <r>
    <x v="246"/>
  </r>
  <r>
    <x v="17"/>
  </r>
  <r>
    <x v="14"/>
  </r>
  <r>
    <x v="14"/>
  </r>
  <r>
    <x v="12"/>
  </r>
  <r>
    <x v="14"/>
  </r>
  <r>
    <x v="224"/>
  </r>
  <r>
    <x v="7"/>
  </r>
  <r>
    <x v="7"/>
  </r>
  <r>
    <x v="12"/>
  </r>
  <r>
    <x v="28"/>
  </r>
  <r>
    <x v="28"/>
  </r>
  <r>
    <x v="42"/>
  </r>
  <r>
    <x v="0"/>
  </r>
  <r>
    <x v="7"/>
  </r>
  <r>
    <x v="0"/>
  </r>
  <r>
    <x v="16"/>
  </r>
  <r>
    <x v="157"/>
  </r>
  <r>
    <x v="157"/>
  </r>
  <r>
    <x v="12"/>
  </r>
  <r>
    <x v="12"/>
  </r>
  <r>
    <x v="2"/>
  </r>
  <r>
    <x v="52"/>
  </r>
  <r>
    <x v="24"/>
  </r>
  <r>
    <x v="115"/>
  </r>
  <r>
    <x v="28"/>
  </r>
  <r>
    <x v="0"/>
  </r>
  <r>
    <x v="0"/>
  </r>
  <r>
    <x v="0"/>
  </r>
  <r>
    <x v="10"/>
  </r>
  <r>
    <x v="28"/>
  </r>
  <r>
    <x v="0"/>
  </r>
  <r>
    <x v="28"/>
  </r>
  <r>
    <x v="28"/>
  </r>
  <r>
    <x v="11"/>
  </r>
  <r>
    <x v="17"/>
  </r>
  <r>
    <x v="17"/>
  </r>
  <r>
    <x v="17"/>
  </r>
  <r>
    <x v="17"/>
  </r>
  <r>
    <x v="14"/>
  </r>
  <r>
    <x v="0"/>
  </r>
  <r>
    <x v="62"/>
  </r>
  <r>
    <x v="55"/>
  </r>
  <r>
    <x v="76"/>
  </r>
  <r>
    <x v="22"/>
  </r>
  <r>
    <x v="41"/>
  </r>
  <r>
    <x v="22"/>
  </r>
  <r>
    <x v="12"/>
  </r>
  <r>
    <x v="66"/>
  </r>
  <r>
    <x v="12"/>
  </r>
  <r>
    <x v="0"/>
  </r>
  <r>
    <x v="0"/>
  </r>
  <r>
    <x v="72"/>
  </r>
  <r>
    <x v="16"/>
  </r>
  <r>
    <x v="14"/>
  </r>
  <r>
    <x v="37"/>
  </r>
  <r>
    <x v="49"/>
  </r>
  <r>
    <x v="24"/>
  </r>
  <r>
    <x v="16"/>
  </r>
  <r>
    <x v="16"/>
  </r>
  <r>
    <x v="28"/>
  </r>
  <r>
    <x v="0"/>
  </r>
  <r>
    <x v="0"/>
  </r>
  <r>
    <x v="0"/>
  </r>
  <r>
    <x v="0"/>
  </r>
  <r>
    <x v="0"/>
  </r>
  <r>
    <x v="17"/>
  </r>
  <r>
    <x v="14"/>
  </r>
  <r>
    <x v="14"/>
  </r>
  <r>
    <x v="0"/>
  </r>
  <r>
    <x v="193"/>
  </r>
  <r>
    <x v="75"/>
  </r>
  <r>
    <x v="86"/>
  </r>
  <r>
    <x v="25"/>
  </r>
  <r>
    <x v="77"/>
  </r>
  <r>
    <x v="45"/>
  </r>
  <r>
    <x v="45"/>
  </r>
  <r>
    <x v="9"/>
  </r>
  <r>
    <x v="22"/>
  </r>
  <r>
    <x v="8"/>
  </r>
  <r>
    <x v="14"/>
  </r>
  <r>
    <x v="14"/>
  </r>
  <r>
    <x v="12"/>
  </r>
  <r>
    <x v="55"/>
  </r>
  <r>
    <x v="55"/>
  </r>
  <r>
    <x v="55"/>
  </r>
  <r>
    <x v="17"/>
  </r>
  <r>
    <x v="6"/>
  </r>
  <r>
    <x v="17"/>
  </r>
  <r>
    <x v="17"/>
  </r>
  <r>
    <x v="17"/>
  </r>
  <r>
    <x v="58"/>
  </r>
  <r>
    <x v="17"/>
  </r>
  <r>
    <x v="21"/>
  </r>
  <r>
    <x v="0"/>
  </r>
  <r>
    <x v="12"/>
  </r>
  <r>
    <x v="55"/>
  </r>
  <r>
    <x v="55"/>
  </r>
  <r>
    <x v="55"/>
  </r>
  <r>
    <x v="66"/>
  </r>
  <r>
    <x v="49"/>
  </r>
  <r>
    <x v="49"/>
  </r>
  <r>
    <x v="21"/>
  </r>
  <r>
    <x v="21"/>
  </r>
  <r>
    <x v="12"/>
  </r>
  <r>
    <x v="12"/>
  </r>
  <r>
    <x v="21"/>
  </r>
  <r>
    <x v="44"/>
  </r>
  <r>
    <x v="21"/>
  </r>
  <r>
    <x v="21"/>
  </r>
  <r>
    <x v="16"/>
  </r>
  <r>
    <x v="41"/>
  </r>
  <r>
    <x v="37"/>
  </r>
  <r>
    <x v="17"/>
  </r>
  <r>
    <x v="37"/>
  </r>
  <r>
    <x v="28"/>
  </r>
  <r>
    <x v="28"/>
  </r>
  <r>
    <x v="224"/>
  </r>
  <r>
    <x v="0"/>
  </r>
  <r>
    <x v="0"/>
  </r>
  <r>
    <x v="28"/>
  </r>
  <r>
    <x v="12"/>
  </r>
  <r>
    <x v="10"/>
  </r>
  <r>
    <x v="24"/>
  </r>
  <r>
    <x v="37"/>
  </r>
  <r>
    <x v="12"/>
  </r>
  <r>
    <x v="12"/>
  </r>
  <r>
    <x v="0"/>
  </r>
  <r>
    <x v="4"/>
  </r>
  <r>
    <x v="39"/>
  </r>
  <r>
    <x v="21"/>
  </r>
  <r>
    <x v="21"/>
  </r>
  <r>
    <x v="12"/>
  </r>
  <r>
    <x v="11"/>
  </r>
  <r>
    <x v="10"/>
  </r>
  <r>
    <x v="24"/>
  </r>
  <r>
    <x v="10"/>
  </r>
  <r>
    <x v="42"/>
  </r>
  <r>
    <x v="10"/>
  </r>
  <r>
    <x v="8"/>
  </r>
  <r>
    <x v="40"/>
  </r>
  <r>
    <x v="4"/>
  </r>
  <r>
    <x v="11"/>
  </r>
  <r>
    <x v="4"/>
  </r>
  <r>
    <x v="0"/>
  </r>
  <r>
    <x v="7"/>
  </r>
  <r>
    <x v="4"/>
  </r>
  <r>
    <x v="10"/>
  </r>
  <r>
    <x v="4"/>
  </r>
  <r>
    <x v="4"/>
  </r>
  <r>
    <x v="2"/>
  </r>
  <r>
    <x v="45"/>
  </r>
  <r>
    <x v="0"/>
  </r>
  <r>
    <x v="4"/>
  </r>
  <r>
    <x v="12"/>
  </r>
  <r>
    <x v="4"/>
  </r>
  <r>
    <x v="28"/>
  </r>
  <r>
    <x v="45"/>
  </r>
  <r>
    <x v="8"/>
  </r>
  <r>
    <x v="9"/>
  </r>
  <r>
    <x v="0"/>
  </r>
  <r>
    <x v="11"/>
  </r>
  <r>
    <x v="4"/>
  </r>
  <r>
    <x v="62"/>
  </r>
  <r>
    <x v="12"/>
  </r>
  <r>
    <x v="11"/>
  </r>
  <r>
    <x v="21"/>
  </r>
  <r>
    <x v="7"/>
  </r>
  <r>
    <x v="7"/>
  </r>
  <r>
    <x v="10"/>
  </r>
  <r>
    <x v="15"/>
  </r>
  <r>
    <x v="12"/>
  </r>
  <r>
    <x v="4"/>
  </r>
  <r>
    <x v="4"/>
  </r>
  <r>
    <x v="4"/>
  </r>
  <r>
    <x v="55"/>
  </r>
  <r>
    <x v="12"/>
  </r>
  <r>
    <x v="14"/>
  </r>
  <r>
    <x v="52"/>
  </r>
  <r>
    <x v="7"/>
  </r>
  <r>
    <x v="53"/>
  </r>
  <r>
    <x v="12"/>
  </r>
  <r>
    <x v="7"/>
  </r>
  <r>
    <x v="33"/>
  </r>
  <r>
    <x v="7"/>
  </r>
  <r>
    <x v="6"/>
  </r>
  <r>
    <x v="2"/>
  </r>
  <r>
    <x v="16"/>
  </r>
  <r>
    <x v="19"/>
  </r>
  <r>
    <x v="43"/>
  </r>
  <r>
    <x v="4"/>
  </r>
  <r>
    <x v="0"/>
  </r>
  <r>
    <x v="0"/>
  </r>
  <r>
    <x v="0"/>
  </r>
  <r>
    <x v="42"/>
  </r>
  <r>
    <x v="2"/>
  </r>
  <r>
    <x v="4"/>
  </r>
  <r>
    <x v="14"/>
  </r>
  <r>
    <x v="10"/>
  </r>
  <r>
    <x v="4"/>
  </r>
  <r>
    <x v="4"/>
  </r>
  <r>
    <x v="4"/>
  </r>
  <r>
    <x v="16"/>
  </r>
  <r>
    <x v="7"/>
  </r>
  <r>
    <x v="0"/>
  </r>
  <r>
    <x v="45"/>
  </r>
  <r>
    <x v="45"/>
  </r>
  <r>
    <x v="10"/>
  </r>
  <r>
    <x v="24"/>
  </r>
  <r>
    <x v="0"/>
  </r>
  <r>
    <x v="37"/>
  </r>
  <r>
    <x v="8"/>
  </r>
  <r>
    <x v="8"/>
  </r>
  <r>
    <x v="9"/>
  </r>
  <r>
    <x v="8"/>
  </r>
  <r>
    <x v="53"/>
  </r>
  <r>
    <x v="2"/>
  </r>
  <r>
    <x v="4"/>
  </r>
  <r>
    <x v="4"/>
  </r>
  <r>
    <x v="28"/>
  </r>
  <r>
    <x v="9"/>
  </r>
  <r>
    <x v="11"/>
  </r>
  <r>
    <x v="10"/>
  </r>
  <r>
    <x v="24"/>
  </r>
  <r>
    <x v="24"/>
  </r>
  <r>
    <x v="11"/>
  </r>
  <r>
    <x v="16"/>
  </r>
  <r>
    <x v="45"/>
  </r>
  <r>
    <x v="30"/>
  </r>
  <r>
    <x v="8"/>
  </r>
  <r>
    <x v="31"/>
  </r>
  <r>
    <x v="31"/>
  </r>
  <r>
    <x v="31"/>
  </r>
  <r>
    <x v="31"/>
  </r>
  <r>
    <x v="30"/>
  </r>
  <r>
    <x v="44"/>
  </r>
  <r>
    <x v="31"/>
  </r>
  <r>
    <x v="53"/>
  </r>
  <r>
    <x v="48"/>
  </r>
  <r>
    <x v="14"/>
  </r>
  <r>
    <x v="24"/>
  </r>
  <r>
    <x v="17"/>
  </r>
  <r>
    <x v="11"/>
  </r>
  <r>
    <x v="33"/>
  </r>
  <r>
    <x v="0"/>
  </r>
  <r>
    <x v="53"/>
  </r>
  <r>
    <x v="24"/>
  </r>
  <r>
    <x v="11"/>
  </r>
  <r>
    <x v="0"/>
  </r>
  <r>
    <x v="4"/>
  </r>
  <r>
    <x v="12"/>
  </r>
  <r>
    <x v="16"/>
  </r>
  <r>
    <x v="0"/>
  </r>
  <r>
    <x v="37"/>
  </r>
  <r>
    <x v="0"/>
  </r>
  <r>
    <x v="37"/>
  </r>
  <r>
    <x v="55"/>
  </r>
  <r>
    <x v="12"/>
  </r>
  <r>
    <x v="17"/>
  </r>
  <r>
    <x v="43"/>
  </r>
  <r>
    <x v="0"/>
  </r>
  <r>
    <x v="0"/>
  </r>
  <r>
    <x v="0"/>
  </r>
  <r>
    <x v="26"/>
  </r>
  <r>
    <x v="17"/>
  </r>
  <r>
    <x v="44"/>
  </r>
  <r>
    <x v="17"/>
  </r>
  <r>
    <x v="17"/>
  </r>
  <r>
    <x v="17"/>
  </r>
  <r>
    <x v="26"/>
  </r>
  <r>
    <x v="14"/>
  </r>
  <r>
    <x v="10"/>
  </r>
  <r>
    <x v="48"/>
  </r>
  <r>
    <x v="4"/>
  </r>
  <r>
    <x v="1"/>
  </r>
  <r>
    <x v="4"/>
  </r>
  <r>
    <x v="130"/>
  </r>
  <r>
    <x v="11"/>
  </r>
  <r>
    <x v="6"/>
  </r>
  <r>
    <x v="48"/>
  </r>
  <r>
    <x v="0"/>
  </r>
  <r>
    <x v="81"/>
  </r>
  <r>
    <x v="25"/>
  </r>
  <r>
    <x v="25"/>
  </r>
  <r>
    <x v="25"/>
  </r>
  <r>
    <x v="25"/>
  </r>
  <r>
    <x v="76"/>
  </r>
  <r>
    <x v="76"/>
  </r>
  <r>
    <x v="93"/>
  </r>
  <r>
    <x v="93"/>
  </r>
  <r>
    <x v="81"/>
  </r>
  <r>
    <x v="81"/>
  </r>
  <r>
    <x v="81"/>
  </r>
  <r>
    <x v="81"/>
  </r>
  <r>
    <x v="81"/>
  </r>
  <r>
    <x v="81"/>
  </r>
  <r>
    <x v="81"/>
  </r>
  <r>
    <x v="0"/>
  </r>
  <r>
    <x v="14"/>
  </r>
  <r>
    <x v="86"/>
  </r>
  <r>
    <x v="7"/>
  </r>
  <r>
    <x v="78"/>
  </r>
  <r>
    <x v="31"/>
  </r>
  <r>
    <x v="25"/>
  </r>
  <r>
    <x v="17"/>
  </r>
  <r>
    <x v="80"/>
  </r>
  <r>
    <x v="78"/>
  </r>
  <r>
    <x v="78"/>
  </r>
  <r>
    <x v="1"/>
  </r>
  <r>
    <x v="48"/>
  </r>
  <r>
    <x v="78"/>
  </r>
  <r>
    <x v="48"/>
  </r>
  <r>
    <x v="48"/>
  </r>
  <r>
    <x v="27"/>
  </r>
  <r>
    <x v="27"/>
  </r>
  <r>
    <x v="48"/>
  </r>
  <r>
    <x v="78"/>
  </r>
  <r>
    <x v="48"/>
  </r>
  <r>
    <x v="48"/>
  </r>
  <r>
    <x v="11"/>
  </r>
  <r>
    <x v="142"/>
  </r>
  <r>
    <x v="29"/>
  </r>
  <r>
    <x v="142"/>
  </r>
  <r>
    <x v="89"/>
  </r>
  <r>
    <x v="8"/>
  </r>
  <r>
    <x v="10"/>
  </r>
  <r>
    <x v="10"/>
  </r>
  <r>
    <x v="25"/>
  </r>
  <r>
    <x v="25"/>
  </r>
  <r>
    <x v="25"/>
  </r>
  <r>
    <x v="25"/>
  </r>
  <r>
    <x v="25"/>
  </r>
  <r>
    <x v="1"/>
  </r>
  <r>
    <x v="89"/>
  </r>
  <r>
    <x v="0"/>
  </r>
  <r>
    <x v="7"/>
  </r>
  <r>
    <x v="89"/>
  </r>
  <r>
    <x v="56"/>
  </r>
  <r>
    <x v="22"/>
  </r>
  <r>
    <x v="78"/>
  </r>
  <r>
    <x v="78"/>
  </r>
  <r>
    <x v="0"/>
  </r>
  <r>
    <x v="78"/>
  </r>
  <r>
    <x v="78"/>
  </r>
  <r>
    <x v="78"/>
  </r>
  <r>
    <x v="78"/>
  </r>
  <r>
    <x v="86"/>
  </r>
  <r>
    <x v="86"/>
  </r>
  <r>
    <x v="48"/>
  </r>
  <r>
    <x v="56"/>
  </r>
  <r>
    <x v="56"/>
  </r>
  <r>
    <x v="48"/>
  </r>
  <r>
    <x v="29"/>
  </r>
  <r>
    <x v="29"/>
  </r>
  <r>
    <x v="93"/>
  </r>
  <r>
    <x v="93"/>
  </r>
  <r>
    <x v="93"/>
  </r>
  <r>
    <x v="14"/>
  </r>
  <r>
    <x v="2"/>
  </r>
  <r>
    <x v="2"/>
  </r>
  <r>
    <x v="2"/>
  </r>
  <r>
    <x v="2"/>
  </r>
  <r>
    <x v="2"/>
  </r>
  <r>
    <x v="2"/>
  </r>
  <r>
    <x v="28"/>
  </r>
  <r>
    <x v="28"/>
  </r>
  <r>
    <x v="2"/>
  </r>
  <r>
    <x v="2"/>
  </r>
  <r>
    <x v="2"/>
  </r>
  <r>
    <x v="2"/>
  </r>
  <r>
    <x v="2"/>
  </r>
  <r>
    <x v="2"/>
  </r>
  <r>
    <x v="2"/>
  </r>
  <r>
    <x v="2"/>
  </r>
  <r>
    <x v="10"/>
  </r>
  <r>
    <x v="10"/>
  </r>
  <r>
    <x v="25"/>
  </r>
  <r>
    <x v="25"/>
  </r>
  <r>
    <x v="25"/>
  </r>
  <r>
    <x v="12"/>
  </r>
  <r>
    <x v="86"/>
  </r>
  <r>
    <x v="86"/>
  </r>
  <r>
    <x v="86"/>
  </r>
  <r>
    <x v="86"/>
  </r>
  <r>
    <x v="10"/>
  </r>
  <r>
    <x v="10"/>
  </r>
  <r>
    <x v="10"/>
  </r>
  <r>
    <x v="25"/>
  </r>
  <r>
    <x v="10"/>
  </r>
  <r>
    <x v="12"/>
  </r>
  <r>
    <x v="10"/>
  </r>
  <r>
    <x v="10"/>
  </r>
  <r>
    <x v="10"/>
  </r>
  <r>
    <x v="48"/>
  </r>
  <r>
    <x v="48"/>
  </r>
  <r>
    <x v="48"/>
  </r>
  <r>
    <x v="48"/>
  </r>
  <r>
    <x v="48"/>
  </r>
  <r>
    <x v="48"/>
  </r>
  <r>
    <x v="1"/>
  </r>
  <r>
    <x v="1"/>
  </r>
  <r>
    <x v="1"/>
  </r>
  <r>
    <x v="1"/>
  </r>
  <r>
    <x v="1"/>
  </r>
  <r>
    <x v="82"/>
  </r>
  <r>
    <x v="1"/>
  </r>
  <r>
    <x v="82"/>
  </r>
  <r>
    <x v="48"/>
  </r>
  <r>
    <x v="82"/>
  </r>
  <r>
    <x v="48"/>
  </r>
  <r>
    <x v="48"/>
  </r>
  <r>
    <x v="4"/>
  </r>
  <r>
    <x v="4"/>
  </r>
  <r>
    <x v="72"/>
  </r>
  <r>
    <x v="72"/>
  </r>
  <r>
    <x v="87"/>
  </r>
  <r>
    <x v="87"/>
  </r>
  <r>
    <x v="87"/>
  </r>
  <r>
    <x v="87"/>
  </r>
  <r>
    <x v="87"/>
  </r>
  <r>
    <x v="87"/>
  </r>
  <r>
    <x v="87"/>
  </r>
  <r>
    <x v="87"/>
  </r>
  <r>
    <x v="143"/>
  </r>
  <r>
    <x v="143"/>
  </r>
  <r>
    <x v="143"/>
  </r>
  <r>
    <x v="143"/>
  </r>
  <r>
    <x v="143"/>
  </r>
  <r>
    <x v="143"/>
  </r>
  <r>
    <x v="81"/>
  </r>
  <r>
    <x v="81"/>
  </r>
  <r>
    <x v="8"/>
  </r>
  <r>
    <x v="25"/>
  </r>
  <r>
    <x v="6"/>
  </r>
  <r>
    <x v="117"/>
  </r>
  <r>
    <x v="6"/>
  </r>
  <r>
    <x v="48"/>
  </r>
  <r>
    <x v="48"/>
  </r>
  <r>
    <x v="72"/>
  </r>
  <r>
    <x v="10"/>
  </r>
  <r>
    <x v="10"/>
  </r>
  <r>
    <x v="10"/>
  </r>
  <r>
    <x v="110"/>
  </r>
  <r>
    <x v="122"/>
  </r>
  <r>
    <x v="59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7"/>
  </r>
  <r>
    <x v="48"/>
  </r>
  <r>
    <x v="48"/>
  </r>
  <r>
    <x v="217"/>
  </r>
  <r>
    <x v="31"/>
  </r>
  <r>
    <x v="4"/>
  </r>
  <r>
    <x v="29"/>
  </r>
  <r>
    <x v="29"/>
  </r>
  <r>
    <x v="0"/>
  </r>
  <r>
    <x v="10"/>
  </r>
  <r>
    <x v="10"/>
  </r>
  <r>
    <x v="10"/>
  </r>
  <r>
    <x v="10"/>
  </r>
  <r>
    <x v="10"/>
  </r>
  <r>
    <x v="121"/>
  </r>
  <r>
    <x v="37"/>
  </r>
  <r>
    <x v="37"/>
  </r>
  <r>
    <x v="37"/>
  </r>
  <r>
    <x v="37"/>
  </r>
  <r>
    <x v="37"/>
  </r>
  <r>
    <x v="10"/>
  </r>
  <r>
    <x v="10"/>
  </r>
  <r>
    <x v="10"/>
  </r>
  <r>
    <x v="48"/>
  </r>
  <r>
    <x v="48"/>
  </r>
  <r>
    <x v="10"/>
  </r>
  <r>
    <x v="10"/>
  </r>
  <r>
    <x v="10"/>
  </r>
  <r>
    <x v="45"/>
  </r>
  <r>
    <x v="45"/>
  </r>
  <r>
    <x v="45"/>
  </r>
  <r>
    <x v="10"/>
  </r>
  <r>
    <x v="10"/>
  </r>
  <r>
    <x v="10"/>
  </r>
  <r>
    <x v="204"/>
  </r>
  <r>
    <x v="10"/>
  </r>
  <r>
    <x v="10"/>
  </r>
  <r>
    <x v="204"/>
  </r>
  <r>
    <x v="44"/>
  </r>
  <r>
    <x v="79"/>
  </r>
  <r>
    <x v="79"/>
  </r>
  <r>
    <x v="56"/>
  </r>
  <r>
    <x v="56"/>
  </r>
  <r>
    <x v="10"/>
  </r>
  <r>
    <x v="57"/>
  </r>
  <r>
    <x v="57"/>
  </r>
  <r>
    <x v="10"/>
  </r>
  <r>
    <x v="10"/>
  </r>
  <r>
    <x v="10"/>
  </r>
  <r>
    <x v="10"/>
  </r>
  <r>
    <x v="2"/>
  </r>
  <r>
    <x v="20"/>
  </r>
  <r>
    <x v="48"/>
  </r>
  <r>
    <x v="48"/>
  </r>
  <r>
    <x v="10"/>
  </r>
  <r>
    <x v="10"/>
  </r>
  <r>
    <x v="10"/>
  </r>
  <r>
    <x v="10"/>
  </r>
  <r>
    <x v="10"/>
  </r>
  <r>
    <x v="57"/>
  </r>
  <r>
    <x v="79"/>
  </r>
  <r>
    <x v="79"/>
  </r>
  <r>
    <x v="79"/>
  </r>
  <r>
    <x v="79"/>
  </r>
  <r>
    <x v="2"/>
  </r>
  <r>
    <x v="2"/>
  </r>
  <r>
    <x v="31"/>
  </r>
  <r>
    <x v="31"/>
  </r>
  <r>
    <x v="31"/>
  </r>
  <r>
    <x v="31"/>
  </r>
  <r>
    <x v="79"/>
  </r>
  <r>
    <x v="79"/>
  </r>
  <r>
    <x v="57"/>
  </r>
  <r>
    <x v="79"/>
  </r>
  <r>
    <x v="79"/>
  </r>
  <r>
    <x v="79"/>
  </r>
  <r>
    <x v="79"/>
  </r>
  <r>
    <x v="106"/>
  </r>
  <r>
    <x v="106"/>
  </r>
  <r>
    <x v="31"/>
  </r>
  <r>
    <x v="0"/>
  </r>
  <r>
    <x v="10"/>
  </r>
  <r>
    <x v="10"/>
  </r>
  <r>
    <x v="10"/>
  </r>
  <r>
    <x v="2"/>
  </r>
  <r>
    <x v="2"/>
  </r>
  <r>
    <x v="2"/>
  </r>
  <r>
    <x v="2"/>
  </r>
  <r>
    <x v="79"/>
  </r>
  <r>
    <x v="0"/>
  </r>
  <r>
    <x v="0"/>
  </r>
  <r>
    <x v="156"/>
  </r>
  <r>
    <x v="2"/>
  </r>
  <r>
    <x v="2"/>
  </r>
  <r>
    <x v="24"/>
  </r>
  <r>
    <x v="57"/>
  </r>
  <r>
    <x v="57"/>
  </r>
  <r>
    <x v="229"/>
  </r>
  <r>
    <x v="57"/>
  </r>
  <r>
    <x v="57"/>
  </r>
  <r>
    <x v="57"/>
  </r>
  <r>
    <x v="57"/>
  </r>
  <r>
    <x v="57"/>
  </r>
  <r>
    <x v="57"/>
  </r>
  <r>
    <x v="62"/>
  </r>
  <r>
    <x v="62"/>
  </r>
  <r>
    <x v="62"/>
  </r>
  <r>
    <x v="62"/>
  </r>
  <r>
    <x v="62"/>
  </r>
  <r>
    <x v="57"/>
  </r>
  <r>
    <x v="57"/>
  </r>
  <r>
    <x v="57"/>
  </r>
  <r>
    <x v="62"/>
  </r>
  <r>
    <x v="62"/>
  </r>
  <r>
    <x v="62"/>
  </r>
  <r>
    <x v="57"/>
  </r>
  <r>
    <x v="57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103"/>
  </r>
  <r>
    <x v="103"/>
  </r>
  <r>
    <x v="81"/>
  </r>
  <r>
    <x v="57"/>
  </r>
  <r>
    <x v="64"/>
  </r>
  <r>
    <x v="64"/>
  </r>
  <r>
    <x v="27"/>
  </r>
  <r>
    <x v="57"/>
  </r>
  <r>
    <x v="57"/>
  </r>
  <r>
    <x v="57"/>
  </r>
  <r>
    <x v="27"/>
  </r>
  <r>
    <x v="64"/>
  </r>
  <r>
    <x v="103"/>
  </r>
  <r>
    <x v="81"/>
  </r>
  <r>
    <x v="79"/>
  </r>
  <r>
    <x v="79"/>
  </r>
  <r>
    <x v="79"/>
  </r>
  <r>
    <x v="79"/>
  </r>
  <r>
    <x v="79"/>
  </r>
  <r>
    <x v="79"/>
  </r>
  <r>
    <x v="0"/>
  </r>
  <r>
    <x v="0"/>
  </r>
  <r>
    <x v="0"/>
  </r>
  <r>
    <x v="0"/>
  </r>
  <r>
    <x v="0"/>
  </r>
  <r>
    <x v="2"/>
  </r>
  <r>
    <x v="2"/>
  </r>
  <r>
    <x v="8"/>
  </r>
  <r>
    <x v="28"/>
  </r>
  <r>
    <x v="41"/>
  </r>
  <r>
    <x v="113"/>
  </r>
  <r>
    <x v="135"/>
  </r>
  <r>
    <x v="2"/>
  </r>
  <r>
    <x v="2"/>
  </r>
  <r>
    <x v="2"/>
  </r>
  <r>
    <x v="2"/>
  </r>
  <r>
    <x v="17"/>
  </r>
  <r>
    <x v="14"/>
  </r>
  <r>
    <x v="17"/>
  </r>
  <r>
    <x v="78"/>
  </r>
  <r>
    <x v="2"/>
  </r>
  <r>
    <x v="10"/>
  </r>
  <r>
    <x v="17"/>
  </r>
  <r>
    <x v="28"/>
  </r>
  <r>
    <x v="10"/>
  </r>
  <r>
    <x v="37"/>
  </r>
  <r>
    <x v="56"/>
  </r>
  <r>
    <x v="83"/>
  </r>
  <r>
    <x v="8"/>
  </r>
  <r>
    <x v="48"/>
  </r>
  <r>
    <x v="154"/>
  </r>
  <r>
    <x v="79"/>
  </r>
  <r>
    <x v="17"/>
  </r>
  <r>
    <x v="64"/>
  </r>
  <r>
    <x v="78"/>
  </r>
  <r>
    <x v="78"/>
  </r>
  <r>
    <x v="82"/>
  </r>
  <r>
    <x v="48"/>
  </r>
  <r>
    <x v="2"/>
  </r>
  <r>
    <x v="10"/>
  </r>
  <r>
    <x v="32"/>
  </r>
  <r>
    <x v="12"/>
  </r>
  <r>
    <x v="34"/>
  </r>
  <r>
    <x v="127"/>
  </r>
  <r>
    <x v="230"/>
  </r>
  <r>
    <x v="230"/>
  </r>
  <r>
    <x v="114"/>
  </r>
  <r>
    <x v="28"/>
  </r>
  <r>
    <x v="217"/>
  </r>
  <r>
    <x v="217"/>
  </r>
  <r>
    <x v="17"/>
  </r>
  <r>
    <x v="6"/>
  </r>
  <r>
    <x v="55"/>
  </r>
  <r>
    <x v="55"/>
  </r>
  <r>
    <x v="24"/>
  </r>
  <r>
    <x v="17"/>
  </r>
  <r>
    <x v="217"/>
  </r>
  <r>
    <x v="217"/>
  </r>
  <r>
    <x v="2"/>
  </r>
  <r>
    <x v="217"/>
  </r>
  <r>
    <x v="81"/>
  </r>
  <r>
    <x v="202"/>
  </r>
  <r>
    <x v="10"/>
  </r>
  <r>
    <x v="31"/>
  </r>
  <r>
    <x v="31"/>
  </r>
  <r>
    <x v="31"/>
  </r>
  <r>
    <x v="31"/>
  </r>
  <r>
    <x v="87"/>
  </r>
  <r>
    <x v="204"/>
  </r>
  <r>
    <x v="115"/>
  </r>
  <r>
    <x v="86"/>
  </r>
  <r>
    <x v="48"/>
  </r>
  <r>
    <x v="42"/>
  </r>
  <r>
    <x v="198"/>
  </r>
  <r>
    <x v="42"/>
  </r>
  <r>
    <x v="48"/>
  </r>
  <r>
    <x v="3"/>
  </r>
  <r>
    <x v="100"/>
  </r>
  <r>
    <x v="12"/>
  </r>
  <r>
    <x v="2"/>
  </r>
  <r>
    <x v="42"/>
  </r>
  <r>
    <x v="42"/>
  </r>
  <r>
    <x v="42"/>
  </r>
  <r>
    <x v="128"/>
  </r>
  <r>
    <x v="48"/>
  </r>
  <r>
    <x v="2"/>
  </r>
  <r>
    <x v="128"/>
  </r>
  <r>
    <x v="372"/>
  </r>
  <r>
    <x v="42"/>
  </r>
  <r>
    <x v="48"/>
  </r>
  <r>
    <x v="102"/>
  </r>
  <r>
    <x v="87"/>
  </r>
  <r>
    <x v="170"/>
  </r>
  <r>
    <x v="10"/>
  </r>
  <r>
    <x v="42"/>
  </r>
  <r>
    <x v="48"/>
  </r>
  <r>
    <x v="42"/>
  </r>
  <r>
    <x v="29"/>
  </r>
  <r>
    <x v="92"/>
  </r>
  <r>
    <x v="86"/>
  </r>
  <r>
    <x v="86"/>
  </r>
  <r>
    <x v="86"/>
  </r>
  <r>
    <x v="228"/>
  </r>
  <r>
    <x v="86"/>
  </r>
  <r>
    <x v="45"/>
  </r>
  <r>
    <x v="86"/>
  </r>
  <r>
    <x v="2"/>
  </r>
  <r>
    <x v="86"/>
  </r>
  <r>
    <x v="86"/>
  </r>
  <r>
    <x v="71"/>
  </r>
  <r>
    <x v="71"/>
  </r>
  <r>
    <x v="44"/>
  </r>
  <r>
    <x v="2"/>
  </r>
  <r>
    <x v="2"/>
  </r>
  <r>
    <x v="2"/>
  </r>
  <r>
    <x v="37"/>
  </r>
  <r>
    <x v="64"/>
  </r>
  <r>
    <x v="64"/>
  </r>
  <r>
    <x v="78"/>
  </r>
  <r>
    <x v="106"/>
  </r>
  <r>
    <x v="56"/>
  </r>
  <r>
    <x v="78"/>
  </r>
  <r>
    <x v="204"/>
  </r>
  <r>
    <x v="81"/>
  </r>
  <r>
    <x v="143"/>
  </r>
  <r>
    <x v="78"/>
  </r>
  <r>
    <x v="78"/>
  </r>
  <r>
    <x v="78"/>
  </r>
  <r>
    <x v="204"/>
  </r>
  <r>
    <x v="1"/>
  </r>
  <r>
    <x v="37"/>
  </r>
  <r>
    <x v="78"/>
  </r>
  <r>
    <x v="48"/>
  </r>
  <r>
    <x v="31"/>
  </r>
  <r>
    <x v="55"/>
  </r>
  <r>
    <x v="55"/>
  </r>
  <r>
    <x v="8"/>
  </r>
  <r>
    <x v="23"/>
  </r>
  <r>
    <x v="37"/>
  </r>
  <r>
    <x v="0"/>
  </r>
  <r>
    <x v="27"/>
  </r>
  <r>
    <x v="27"/>
  </r>
  <r>
    <x v="57"/>
  </r>
  <r>
    <x v="45"/>
  </r>
  <r>
    <x v="0"/>
  </r>
  <r>
    <x v="37"/>
  </r>
  <r>
    <x v="37"/>
  </r>
  <r>
    <x v="37"/>
  </r>
  <r>
    <x v="2"/>
  </r>
  <r>
    <x v="34"/>
  </r>
  <r>
    <x v="37"/>
  </r>
  <r>
    <x v="17"/>
  </r>
  <r>
    <x v="57"/>
  </r>
  <r>
    <x v="81"/>
  </r>
  <r>
    <x v="57"/>
  </r>
  <r>
    <x v="57"/>
  </r>
  <r>
    <x v="6"/>
  </r>
  <r>
    <x v="21"/>
  </r>
  <r>
    <x v="156"/>
  </r>
  <r>
    <x v="37"/>
  </r>
  <r>
    <x v="37"/>
  </r>
  <r>
    <x v="87"/>
  </r>
  <r>
    <x v="87"/>
  </r>
  <r>
    <x v="14"/>
  </r>
  <r>
    <x v="81"/>
  </r>
  <r>
    <x v="87"/>
  </r>
  <r>
    <x v="84"/>
  </r>
  <r>
    <x v="84"/>
  </r>
  <r>
    <x v="45"/>
  </r>
  <r>
    <x v="84"/>
  </r>
  <r>
    <x v="48"/>
  </r>
  <r>
    <x v="48"/>
  </r>
  <r>
    <x v="48"/>
  </r>
  <r>
    <x v="48"/>
  </r>
  <r>
    <x v="87"/>
  </r>
  <r>
    <x v="78"/>
  </r>
  <r>
    <x v="14"/>
  </r>
  <r>
    <x v="48"/>
  </r>
  <r>
    <x v="48"/>
  </r>
  <r>
    <x v="48"/>
  </r>
  <r>
    <x v="48"/>
  </r>
  <r>
    <x v="14"/>
  </r>
  <r>
    <x v="48"/>
  </r>
  <r>
    <x v="59"/>
  </r>
  <r>
    <x v="55"/>
  </r>
  <r>
    <x v="12"/>
  </r>
  <r>
    <x v="106"/>
  </r>
  <r>
    <x v="26"/>
  </r>
  <r>
    <x v="28"/>
  </r>
  <r>
    <x v="28"/>
  </r>
  <r>
    <x v="28"/>
  </r>
  <r>
    <x v="82"/>
  </r>
  <r>
    <x v="113"/>
  </r>
  <r>
    <x v="0"/>
  </r>
  <r>
    <x v="0"/>
  </r>
  <r>
    <x v="6"/>
  </r>
  <r>
    <x v="6"/>
  </r>
  <r>
    <x v="6"/>
  </r>
  <r>
    <x v="49"/>
  </r>
  <r>
    <x v="49"/>
  </r>
  <r>
    <x v="61"/>
  </r>
  <r>
    <x v="35"/>
  </r>
  <r>
    <x v="14"/>
  </r>
  <r>
    <x v="79"/>
  </r>
  <r>
    <x v="14"/>
  </r>
  <r>
    <x v="59"/>
  </r>
  <r>
    <x v="50"/>
  </r>
  <r>
    <x v="133"/>
  </r>
  <r>
    <x v="94"/>
  </r>
  <r>
    <x v="71"/>
  </r>
  <r>
    <x v="10"/>
  </r>
  <r>
    <x v="71"/>
  </r>
  <r>
    <x v="78"/>
  </r>
  <r>
    <x v="12"/>
  </r>
  <r>
    <x v="10"/>
  </r>
  <r>
    <x v="72"/>
  </r>
  <r>
    <x v="44"/>
  </r>
  <r>
    <x v="81"/>
  </r>
  <r>
    <x v="82"/>
  </r>
  <r>
    <x v="82"/>
  </r>
  <r>
    <x v="6"/>
  </r>
  <r>
    <x v="113"/>
  </r>
  <r>
    <x v="6"/>
  </r>
  <r>
    <x v="0"/>
  </r>
  <r>
    <x v="28"/>
  </r>
  <r>
    <x v="57"/>
  </r>
  <r>
    <x v="28"/>
  </r>
  <r>
    <x v="57"/>
  </r>
  <r>
    <x v="57"/>
  </r>
  <r>
    <x v="57"/>
  </r>
  <r>
    <x v="28"/>
  </r>
  <r>
    <x v="57"/>
  </r>
  <r>
    <x v="57"/>
  </r>
  <r>
    <x v="28"/>
  </r>
  <r>
    <x v="0"/>
  </r>
  <r>
    <x v="0"/>
  </r>
  <r>
    <x v="20"/>
  </r>
  <r>
    <x v="20"/>
  </r>
  <r>
    <x v="0"/>
  </r>
  <r>
    <x v="98"/>
  </r>
  <r>
    <x v="0"/>
  </r>
  <r>
    <x v="0"/>
  </r>
  <r>
    <x v="0"/>
  </r>
  <r>
    <x v="103"/>
  </r>
  <r>
    <x v="103"/>
  </r>
  <r>
    <x v="82"/>
  </r>
  <r>
    <x v="24"/>
  </r>
  <r>
    <x v="24"/>
  </r>
  <r>
    <x v="82"/>
  </r>
  <r>
    <x v="0"/>
  </r>
  <r>
    <x v="0"/>
  </r>
  <r>
    <x v="24"/>
  </r>
  <r>
    <x v="0"/>
  </r>
  <r>
    <x v="10"/>
  </r>
  <r>
    <x v="37"/>
  </r>
  <r>
    <x v="106"/>
  </r>
  <r>
    <x v="68"/>
  </r>
  <r>
    <x v="68"/>
  </r>
  <r>
    <x v="68"/>
  </r>
  <r>
    <x v="68"/>
  </r>
  <r>
    <x v="68"/>
  </r>
  <r>
    <x v="68"/>
  </r>
  <r>
    <x v="4"/>
  </r>
  <r>
    <x v="31"/>
  </r>
  <r>
    <x v="31"/>
  </r>
  <r>
    <x v="48"/>
  </r>
  <r>
    <x v="89"/>
  </r>
  <r>
    <x v="10"/>
  </r>
  <r>
    <x v="10"/>
  </r>
  <r>
    <x v="10"/>
  </r>
  <r>
    <x v="81"/>
  </r>
  <r>
    <x v="48"/>
  </r>
  <r>
    <x v="48"/>
  </r>
  <r>
    <x v="48"/>
  </r>
  <r>
    <x v="48"/>
  </r>
  <r>
    <x v="117"/>
  </r>
  <r>
    <x v="109"/>
  </r>
  <r>
    <x v="93"/>
  </r>
  <r>
    <x v="93"/>
  </r>
  <r>
    <x v="20"/>
  </r>
  <r>
    <x v="48"/>
  </r>
  <r>
    <x v="3"/>
  </r>
  <r>
    <x v="81"/>
  </r>
  <r>
    <x v="29"/>
  </r>
  <r>
    <x v="75"/>
  </r>
  <r>
    <x v="79"/>
  </r>
  <r>
    <x v="25"/>
  </r>
  <r>
    <x v="79"/>
  </r>
  <r>
    <x v="79"/>
  </r>
  <r>
    <x v="48"/>
  </r>
  <r>
    <x v="48"/>
  </r>
  <r>
    <x v="25"/>
  </r>
  <r>
    <x v="48"/>
  </r>
  <r>
    <x v="204"/>
  </r>
  <r>
    <x v="25"/>
  </r>
  <r>
    <x v="25"/>
  </r>
  <r>
    <x v="117"/>
  </r>
  <r>
    <x v="25"/>
  </r>
  <r>
    <x v="117"/>
  </r>
  <r>
    <x v="117"/>
  </r>
  <r>
    <x v="25"/>
  </r>
  <r>
    <x v="25"/>
  </r>
  <r>
    <x v="25"/>
  </r>
  <r>
    <x v="25"/>
  </r>
  <r>
    <x v="25"/>
  </r>
  <r>
    <x v="76"/>
  </r>
  <r>
    <x v="76"/>
  </r>
  <r>
    <x v="104"/>
  </r>
  <r>
    <x v="104"/>
  </r>
  <r>
    <x v="30"/>
  </r>
  <r>
    <x v="102"/>
  </r>
  <r>
    <x v="48"/>
  </r>
  <r>
    <x v="25"/>
  </r>
  <r>
    <x v="25"/>
  </r>
  <r>
    <x v="48"/>
  </r>
  <r>
    <x v="11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88"/>
  </r>
  <r>
    <x v="102"/>
  </r>
  <r>
    <x v="25"/>
  </r>
  <r>
    <x v="25"/>
  </r>
  <r>
    <x v="25"/>
  </r>
  <r>
    <x v="25"/>
  </r>
  <r>
    <x v="121"/>
  </r>
  <r>
    <x v="121"/>
  </r>
  <r>
    <x v="121"/>
  </r>
  <r>
    <x v="7"/>
  </r>
  <r>
    <x v="17"/>
  </r>
  <r>
    <x v="25"/>
  </r>
  <r>
    <x v="25"/>
  </r>
  <r>
    <x v="25"/>
  </r>
  <r>
    <x v="25"/>
  </r>
  <r>
    <x v="48"/>
  </r>
  <r>
    <x v="25"/>
  </r>
  <r>
    <x v="76"/>
  </r>
  <r>
    <x v="48"/>
  </r>
  <r>
    <x v="59"/>
  </r>
  <r>
    <x v="201"/>
  </r>
  <r>
    <x v="48"/>
  </r>
  <r>
    <x v="233"/>
  </r>
  <r>
    <x v="82"/>
  </r>
  <r>
    <x v="25"/>
  </r>
  <r>
    <x v="25"/>
  </r>
  <r>
    <x v="48"/>
  </r>
  <r>
    <x v="205"/>
  </r>
  <r>
    <x v="48"/>
  </r>
  <r>
    <x v="82"/>
  </r>
  <r>
    <x v="70"/>
  </r>
  <r>
    <x v="48"/>
  </r>
  <r>
    <x v="48"/>
  </r>
  <r>
    <x v="48"/>
  </r>
  <r>
    <x v="48"/>
  </r>
  <r>
    <x v="48"/>
  </r>
  <r>
    <x v="81"/>
  </r>
  <r>
    <x v="81"/>
  </r>
  <r>
    <x v="81"/>
  </r>
  <r>
    <x v="81"/>
  </r>
  <r>
    <x v="81"/>
  </r>
  <r>
    <x v="81"/>
  </r>
  <r>
    <x v="100"/>
  </r>
  <r>
    <x v="100"/>
  </r>
  <r>
    <x v="100"/>
  </r>
  <r>
    <x v="100"/>
  </r>
  <r>
    <x v="25"/>
  </r>
  <r>
    <x v="25"/>
  </r>
  <r>
    <x v="25"/>
  </r>
  <r>
    <x v="25"/>
  </r>
  <r>
    <x v="25"/>
  </r>
  <r>
    <x v="25"/>
  </r>
  <r>
    <x v="76"/>
  </r>
  <r>
    <x v="25"/>
  </r>
  <r>
    <x v="76"/>
  </r>
  <r>
    <x v="48"/>
  </r>
  <r>
    <x v="25"/>
  </r>
  <r>
    <x v="25"/>
  </r>
  <r>
    <x v="12"/>
  </r>
  <r>
    <x v="25"/>
  </r>
  <r>
    <x v="25"/>
  </r>
  <r>
    <x v="102"/>
  </r>
  <r>
    <x v="25"/>
  </r>
  <r>
    <x v="72"/>
  </r>
  <r>
    <x v="72"/>
  </r>
  <r>
    <x v="25"/>
  </r>
  <r>
    <x v="25"/>
  </r>
  <r>
    <x v="25"/>
  </r>
  <r>
    <x v="28"/>
  </r>
  <r>
    <x v="105"/>
  </r>
  <r>
    <x v="25"/>
  </r>
  <r>
    <x v="72"/>
  </r>
  <r>
    <x v="72"/>
  </r>
  <r>
    <x v="25"/>
  </r>
  <r>
    <x v="72"/>
  </r>
  <r>
    <x v="72"/>
  </r>
  <r>
    <x v="72"/>
  </r>
  <r>
    <x v="52"/>
  </r>
  <r>
    <x v="25"/>
  </r>
  <r>
    <x v="25"/>
  </r>
  <r>
    <x v="72"/>
  </r>
  <r>
    <x v="25"/>
  </r>
  <r>
    <x v="219"/>
  </r>
  <r>
    <x v="0"/>
  </r>
  <r>
    <x v="83"/>
  </r>
  <r>
    <x v="48"/>
  </r>
  <r>
    <x v="108"/>
  </r>
  <r>
    <x v="68"/>
  </r>
  <r>
    <x v="77"/>
  </r>
  <r>
    <x v="4"/>
  </r>
  <r>
    <x v="99"/>
  </r>
  <r>
    <x v="99"/>
  </r>
  <r>
    <x v="79"/>
  </r>
  <r>
    <x v="79"/>
  </r>
  <r>
    <x v="79"/>
  </r>
  <r>
    <x v="79"/>
  </r>
  <r>
    <x v="79"/>
  </r>
  <r>
    <x v="85"/>
  </r>
  <r>
    <x v="76"/>
  </r>
  <r>
    <x v="85"/>
  </r>
  <r>
    <x v="76"/>
  </r>
  <r>
    <x v="76"/>
  </r>
  <r>
    <x v="111"/>
  </r>
  <r>
    <x v="90"/>
  </r>
  <r>
    <x v="79"/>
  </r>
  <r>
    <x v="86"/>
  </r>
  <r>
    <x v="85"/>
  </r>
  <r>
    <x v="78"/>
  </r>
  <r>
    <x v="25"/>
  </r>
  <r>
    <x v="25"/>
  </r>
  <r>
    <x v="25"/>
  </r>
  <r>
    <x v="48"/>
  </r>
  <r>
    <x v="48"/>
  </r>
  <r>
    <x v="48"/>
  </r>
  <r>
    <x v="25"/>
  </r>
  <r>
    <x v="102"/>
  </r>
  <r>
    <x v="102"/>
  </r>
  <r>
    <x v="52"/>
  </r>
  <r>
    <x v="25"/>
  </r>
  <r>
    <x v="72"/>
  </r>
  <r>
    <x v="78"/>
  </r>
  <r>
    <x v="104"/>
  </r>
  <r>
    <x v="25"/>
  </r>
  <r>
    <x v="25"/>
  </r>
  <r>
    <x v="72"/>
  </r>
  <r>
    <x v="72"/>
  </r>
  <r>
    <x v="102"/>
  </r>
  <r>
    <x v="25"/>
  </r>
  <r>
    <x v="76"/>
  </r>
  <r>
    <x v="76"/>
  </r>
  <r>
    <x v="102"/>
  </r>
  <r>
    <x v="76"/>
  </r>
  <r>
    <x v="76"/>
  </r>
  <r>
    <x v="102"/>
  </r>
  <r>
    <x v="72"/>
  </r>
  <r>
    <x v="25"/>
  </r>
  <r>
    <x v="82"/>
  </r>
  <r>
    <x v="82"/>
  </r>
  <r>
    <x v="113"/>
  </r>
  <r>
    <x v="102"/>
  </r>
  <r>
    <x v="76"/>
  </r>
  <r>
    <x v="25"/>
  </r>
  <r>
    <x v="102"/>
  </r>
  <r>
    <x v="25"/>
  </r>
  <r>
    <x v="25"/>
  </r>
  <r>
    <x v="76"/>
  </r>
  <r>
    <x v="76"/>
  </r>
  <r>
    <x v="76"/>
  </r>
  <r>
    <x v="25"/>
  </r>
  <r>
    <x v="78"/>
  </r>
  <r>
    <x v="78"/>
  </r>
  <r>
    <x v="78"/>
  </r>
  <r>
    <x v="25"/>
  </r>
  <r>
    <x v="78"/>
  </r>
  <r>
    <x v="25"/>
  </r>
  <r>
    <x v="25"/>
  </r>
  <r>
    <x v="72"/>
  </r>
  <r>
    <x v="0"/>
  </r>
  <r>
    <x v="82"/>
  </r>
  <r>
    <x v="0"/>
  </r>
  <r>
    <x v="0"/>
  </r>
  <r>
    <x v="0"/>
  </r>
  <r>
    <x v="4"/>
  </r>
  <r>
    <x v="25"/>
  </r>
  <r>
    <x v="25"/>
  </r>
  <r>
    <x v="110"/>
  </r>
  <r>
    <x v="25"/>
  </r>
  <r>
    <x v="72"/>
  </r>
  <r>
    <x v="25"/>
  </r>
  <r>
    <x v="72"/>
  </r>
  <r>
    <x v="25"/>
  </r>
  <r>
    <x v="72"/>
  </r>
  <r>
    <x v="25"/>
  </r>
  <r>
    <x v="25"/>
  </r>
  <r>
    <x v="72"/>
  </r>
  <r>
    <x v="82"/>
  </r>
  <r>
    <x v="72"/>
  </r>
  <r>
    <x v="25"/>
  </r>
  <r>
    <x v="25"/>
  </r>
  <r>
    <x v="102"/>
  </r>
  <r>
    <x v="25"/>
  </r>
  <r>
    <x v="25"/>
  </r>
  <r>
    <x v="102"/>
  </r>
  <r>
    <x v="82"/>
  </r>
  <r>
    <x v="72"/>
  </r>
  <r>
    <x v="72"/>
  </r>
  <r>
    <x v="72"/>
  </r>
  <r>
    <x v="25"/>
  </r>
  <r>
    <x v="25"/>
  </r>
  <r>
    <x v="25"/>
  </r>
  <r>
    <x v="102"/>
  </r>
  <r>
    <x v="25"/>
  </r>
  <r>
    <x v="198"/>
  </r>
  <r>
    <x v="25"/>
  </r>
  <r>
    <x v="25"/>
  </r>
  <r>
    <x v="25"/>
  </r>
  <r>
    <x v="25"/>
  </r>
  <r>
    <x v="25"/>
  </r>
  <r>
    <x v="25"/>
  </r>
  <r>
    <x v="25"/>
  </r>
  <r>
    <x v="72"/>
  </r>
  <r>
    <x v="25"/>
  </r>
  <r>
    <x v="72"/>
  </r>
  <r>
    <x v="72"/>
  </r>
  <r>
    <x v="25"/>
  </r>
  <r>
    <x v="102"/>
  </r>
  <r>
    <x v="76"/>
  </r>
  <r>
    <x v="25"/>
  </r>
  <r>
    <x v="76"/>
  </r>
  <r>
    <x v="25"/>
  </r>
  <r>
    <x v="72"/>
  </r>
  <r>
    <x v="76"/>
  </r>
  <r>
    <x v="72"/>
  </r>
  <r>
    <x v="25"/>
  </r>
  <r>
    <x v="25"/>
  </r>
  <r>
    <x v="102"/>
  </r>
  <r>
    <x v="25"/>
  </r>
  <r>
    <x v="25"/>
  </r>
  <r>
    <x v="25"/>
  </r>
  <r>
    <x v="72"/>
  </r>
  <r>
    <x v="25"/>
  </r>
  <r>
    <x v="25"/>
  </r>
  <r>
    <x v="102"/>
  </r>
  <r>
    <x v="102"/>
  </r>
  <r>
    <x v="102"/>
  </r>
  <r>
    <x v="102"/>
  </r>
  <r>
    <x v="102"/>
  </r>
  <r>
    <x v="25"/>
  </r>
  <r>
    <x v="25"/>
  </r>
  <r>
    <x v="94"/>
  </r>
  <r>
    <x v="102"/>
  </r>
  <r>
    <x v="25"/>
  </r>
  <r>
    <x v="72"/>
  </r>
  <r>
    <x v="25"/>
  </r>
  <r>
    <x v="102"/>
  </r>
  <r>
    <x v="72"/>
  </r>
  <r>
    <x v="25"/>
  </r>
  <r>
    <x v="78"/>
  </r>
  <r>
    <x v="78"/>
  </r>
  <r>
    <x v="78"/>
  </r>
  <r>
    <x v="80"/>
  </r>
  <r>
    <x v="121"/>
  </r>
  <r>
    <x v="100"/>
  </r>
  <r>
    <x v="96"/>
  </r>
  <r>
    <x v="29"/>
  </r>
  <r>
    <x v="29"/>
  </r>
  <r>
    <x v="75"/>
  </r>
  <r>
    <x v="75"/>
  </r>
  <r>
    <x v="76"/>
  </r>
  <r>
    <x v="81"/>
  </r>
  <r>
    <x v="76"/>
  </r>
  <r>
    <x v="75"/>
  </r>
  <r>
    <x v="93"/>
  </r>
  <r>
    <x v="48"/>
  </r>
  <r>
    <x v="78"/>
  </r>
  <r>
    <x v="99"/>
  </r>
  <r>
    <x v="78"/>
  </r>
  <r>
    <x v="99"/>
  </r>
  <r>
    <x v="81"/>
  </r>
  <r>
    <x v="81"/>
  </r>
  <r>
    <x v="81"/>
  </r>
  <r>
    <x v="142"/>
  </r>
  <r>
    <x v="142"/>
  </r>
  <r>
    <x v="77"/>
  </r>
  <r>
    <x v="219"/>
  </r>
  <r>
    <x v="78"/>
  </r>
  <r>
    <x v="103"/>
  </r>
  <r>
    <x v="29"/>
  </r>
  <r>
    <x v="100"/>
  </r>
  <r>
    <x v="90"/>
  </r>
  <r>
    <x v="90"/>
  </r>
  <r>
    <x v="25"/>
  </r>
  <r>
    <x v="29"/>
  </r>
  <r>
    <x v="77"/>
  </r>
  <r>
    <x v="30"/>
  </r>
  <r>
    <x v="78"/>
  </r>
  <r>
    <x v="78"/>
  </r>
  <r>
    <x v="86"/>
  </r>
  <r>
    <x v="216"/>
  </r>
  <r>
    <x v="78"/>
  </r>
  <r>
    <x v="7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25"/>
  </r>
  <r>
    <x v="76"/>
  </r>
  <r>
    <x v="94"/>
  </r>
  <r>
    <x v="72"/>
  </r>
  <r>
    <x v="48"/>
  </r>
  <r>
    <x v="48"/>
  </r>
  <r>
    <x v="25"/>
  </r>
  <r>
    <x v="76"/>
  </r>
  <r>
    <x v="25"/>
  </r>
  <r>
    <x v="76"/>
  </r>
  <r>
    <x v="25"/>
  </r>
  <r>
    <x v="25"/>
  </r>
  <r>
    <x v="25"/>
  </r>
  <r>
    <x v="25"/>
  </r>
  <r>
    <x v="25"/>
  </r>
  <r>
    <x v="72"/>
  </r>
  <r>
    <x v="82"/>
  </r>
  <r>
    <x v="102"/>
  </r>
  <r>
    <x v="102"/>
  </r>
  <r>
    <x v="102"/>
  </r>
  <r>
    <x v="25"/>
  </r>
  <r>
    <x v="72"/>
  </r>
  <r>
    <x v="48"/>
  </r>
  <r>
    <x v="108"/>
  </r>
  <r>
    <x v="76"/>
  </r>
  <r>
    <x v="76"/>
  </r>
  <r>
    <x v="25"/>
  </r>
  <r>
    <x v="25"/>
  </r>
  <r>
    <x v="85"/>
  </r>
  <r>
    <x v="108"/>
  </r>
  <r>
    <x v="25"/>
  </r>
  <r>
    <x v="25"/>
  </r>
  <r>
    <x v="10"/>
  </r>
  <r>
    <x v="105"/>
  </r>
  <r>
    <x v="25"/>
  </r>
  <r>
    <x v="82"/>
  </r>
  <r>
    <x v="48"/>
  </r>
  <r>
    <x v="48"/>
  </r>
  <r>
    <x v="76"/>
  </r>
  <r>
    <x v="76"/>
  </r>
  <r>
    <x v="76"/>
  </r>
  <r>
    <x v="31"/>
  </r>
  <r>
    <x v="31"/>
  </r>
  <r>
    <x v="31"/>
  </r>
  <r>
    <x v="100"/>
  </r>
  <r>
    <x v="48"/>
  </r>
  <r>
    <x v="82"/>
  </r>
  <r>
    <x v="93"/>
  </r>
  <r>
    <x v="93"/>
  </r>
  <r>
    <x v="93"/>
  </r>
  <r>
    <x v="120"/>
  </r>
  <r>
    <x v="48"/>
  </r>
  <r>
    <x v="55"/>
  </r>
  <r>
    <x v="31"/>
  </r>
  <r>
    <x v="93"/>
  </r>
  <r>
    <x v="97"/>
  </r>
  <r>
    <x v="25"/>
  </r>
  <r>
    <x v="25"/>
  </r>
  <r>
    <x v="76"/>
  </r>
  <r>
    <x v="25"/>
  </r>
  <r>
    <x v="12"/>
  </r>
  <r>
    <x v="122"/>
  </r>
  <r>
    <x v="25"/>
  </r>
  <r>
    <x v="25"/>
  </r>
  <r>
    <x v="25"/>
  </r>
  <r>
    <x v="76"/>
  </r>
  <r>
    <x v="25"/>
  </r>
  <r>
    <x v="25"/>
  </r>
  <r>
    <x v="25"/>
  </r>
  <r>
    <x v="25"/>
  </r>
  <r>
    <x v="105"/>
  </r>
  <r>
    <x v="199"/>
  </r>
  <r>
    <x v="85"/>
  </r>
  <r>
    <x v="72"/>
  </r>
  <r>
    <x v="72"/>
  </r>
  <r>
    <x v="108"/>
  </r>
  <r>
    <x v="25"/>
  </r>
  <r>
    <x v="72"/>
  </r>
  <r>
    <x v="25"/>
  </r>
  <r>
    <x v="25"/>
  </r>
  <r>
    <x v="117"/>
  </r>
  <r>
    <x v="72"/>
  </r>
  <r>
    <x v="108"/>
  </r>
  <r>
    <x v="25"/>
  </r>
  <r>
    <x v="25"/>
  </r>
  <r>
    <x v="72"/>
  </r>
  <r>
    <x v="72"/>
  </r>
  <r>
    <x v="117"/>
  </r>
  <r>
    <x v="100"/>
  </r>
  <r>
    <x v="48"/>
  </r>
  <r>
    <x v="55"/>
  </r>
  <r>
    <x v="55"/>
  </r>
  <r>
    <x v="27"/>
  </r>
  <r>
    <x v="6"/>
  </r>
  <r>
    <x v="27"/>
  </r>
  <r>
    <x v="88"/>
  </r>
  <r>
    <x v="114"/>
  </r>
  <r>
    <x v="83"/>
  </r>
  <r>
    <x v="31"/>
  </r>
  <r>
    <x v="94"/>
  </r>
  <r>
    <x v="72"/>
  </r>
  <r>
    <x v="25"/>
  </r>
  <r>
    <x v="122"/>
  </r>
  <r>
    <x v="85"/>
  </r>
  <r>
    <x v="25"/>
  </r>
  <r>
    <x v="48"/>
  </r>
  <r>
    <x v="31"/>
  </r>
  <r>
    <x v="25"/>
  </r>
  <r>
    <x v="100"/>
  </r>
  <r>
    <x v="100"/>
  </r>
  <r>
    <x v="48"/>
  </r>
  <r>
    <x v="7"/>
  </r>
  <r>
    <x v="48"/>
  </r>
  <r>
    <x v="48"/>
  </r>
  <r>
    <x v="15"/>
  </r>
  <r>
    <x v="79"/>
  </r>
  <r>
    <x v="25"/>
  </r>
  <r>
    <x v="25"/>
  </r>
  <r>
    <x v="25"/>
  </r>
  <r>
    <x v="25"/>
  </r>
  <r>
    <x v="48"/>
  </r>
  <r>
    <x v="42"/>
  </r>
  <r>
    <x v="89"/>
  </r>
  <r>
    <x v="75"/>
  </r>
  <r>
    <x v="81"/>
  </r>
  <r>
    <x v="81"/>
  </r>
  <r>
    <x v="80"/>
  </r>
  <r>
    <x v="80"/>
  </r>
  <r>
    <x v="80"/>
  </r>
  <r>
    <x v="7"/>
  </r>
  <r>
    <x v="7"/>
  </r>
  <r>
    <x v="7"/>
  </r>
  <r>
    <x v="78"/>
  </r>
  <r>
    <x v="7"/>
  </r>
  <r>
    <x v="7"/>
  </r>
  <r>
    <x v="7"/>
  </r>
  <r>
    <x v="76"/>
  </r>
  <r>
    <x v="48"/>
  </r>
  <r>
    <x v="3"/>
  </r>
  <r>
    <x v="48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72"/>
  </r>
  <r>
    <x v="48"/>
  </r>
  <r>
    <x v="63"/>
  </r>
  <r>
    <x v="29"/>
  </r>
  <r>
    <x v="0"/>
  </r>
  <r>
    <x v="103"/>
  </r>
  <r>
    <x v="31"/>
  </r>
  <r>
    <x v="31"/>
  </r>
  <r>
    <x v="31"/>
  </r>
  <r>
    <x v="48"/>
  </r>
  <r>
    <x v="93"/>
  </r>
  <r>
    <x v="78"/>
  </r>
  <r>
    <x v="94"/>
  </r>
  <r>
    <x v="25"/>
  </r>
  <r>
    <x v="93"/>
  </r>
  <r>
    <x v="34"/>
  </r>
  <r>
    <x v="217"/>
  </r>
  <r>
    <x v="94"/>
  </r>
  <r>
    <x v="93"/>
  </r>
  <r>
    <x v="76"/>
  </r>
  <r>
    <x v="76"/>
  </r>
  <r>
    <x v="96"/>
  </r>
  <r>
    <x v="72"/>
  </r>
  <r>
    <x v="76"/>
  </r>
  <r>
    <x v="48"/>
  </r>
  <r>
    <x v="94"/>
  </r>
  <r>
    <x v="76"/>
  </r>
  <r>
    <x v="93"/>
  </r>
  <r>
    <x v="12"/>
  </r>
  <r>
    <x v="93"/>
  </r>
  <r>
    <x v="93"/>
  </r>
  <r>
    <x v="29"/>
  </r>
  <r>
    <x v="93"/>
  </r>
  <r>
    <x v="113"/>
  </r>
  <r>
    <x v="25"/>
  </r>
  <r>
    <x v="25"/>
  </r>
  <r>
    <x v="113"/>
  </r>
  <r>
    <x v="76"/>
  </r>
  <r>
    <x v="76"/>
  </r>
  <r>
    <x v="93"/>
  </r>
  <r>
    <x v="231"/>
  </r>
  <r>
    <x v="25"/>
  </r>
  <r>
    <x v="76"/>
  </r>
  <r>
    <x v="76"/>
  </r>
  <r>
    <x v="76"/>
  </r>
  <r>
    <x v="76"/>
  </r>
  <r>
    <x v="76"/>
  </r>
  <r>
    <x v="113"/>
  </r>
  <r>
    <x v="198"/>
  </r>
  <r>
    <x v="76"/>
  </r>
  <r>
    <x v="76"/>
  </r>
  <r>
    <x v="76"/>
  </r>
  <r>
    <x v="117"/>
  </r>
  <r>
    <x v="76"/>
  </r>
  <r>
    <x v="76"/>
  </r>
  <r>
    <x v="76"/>
  </r>
  <r>
    <x v="12"/>
  </r>
  <r>
    <x v="75"/>
  </r>
  <r>
    <x v="30"/>
  </r>
  <r>
    <x v="76"/>
  </r>
  <r>
    <x v="20"/>
  </r>
  <r>
    <x v="76"/>
  </r>
  <r>
    <x v="10"/>
  </r>
  <r>
    <x v="78"/>
  </r>
  <r>
    <x v="12"/>
  </r>
  <r>
    <x v="76"/>
  </r>
  <r>
    <x v="76"/>
  </r>
  <r>
    <x v="76"/>
  </r>
  <r>
    <x v="76"/>
  </r>
  <r>
    <x v="76"/>
  </r>
  <r>
    <x v="78"/>
  </r>
  <r>
    <x v="78"/>
  </r>
  <r>
    <x v="232"/>
  </r>
  <r>
    <x v="76"/>
  </r>
  <r>
    <x v="232"/>
  </r>
  <r>
    <x v="93"/>
  </r>
  <r>
    <x v="93"/>
  </r>
  <r>
    <x v="108"/>
  </r>
  <r>
    <x v="108"/>
  </r>
  <r>
    <x v="217"/>
  </r>
  <r>
    <x v="217"/>
  </r>
  <r>
    <x v="217"/>
  </r>
  <r>
    <x v="217"/>
  </r>
  <r>
    <x v="217"/>
  </r>
  <r>
    <x v="93"/>
  </r>
  <r>
    <x v="93"/>
  </r>
  <r>
    <x v="78"/>
  </r>
  <r>
    <x v="78"/>
  </r>
  <r>
    <x v="78"/>
  </r>
  <r>
    <x v="82"/>
  </r>
  <r>
    <x v="82"/>
  </r>
  <r>
    <x v="82"/>
  </r>
  <r>
    <x v="76"/>
  </r>
  <r>
    <x v="78"/>
  </r>
  <r>
    <x v="76"/>
  </r>
  <r>
    <x v="78"/>
  </r>
  <r>
    <x v="78"/>
  </r>
  <r>
    <x v="76"/>
  </r>
  <r>
    <x v="76"/>
  </r>
  <r>
    <x v="76"/>
  </r>
  <r>
    <x v="29"/>
  </r>
  <r>
    <x v="29"/>
  </r>
  <r>
    <x v="29"/>
  </r>
  <r>
    <x v="117"/>
  </r>
  <r>
    <x v="415"/>
  </r>
  <r>
    <x v="12"/>
  </r>
  <r>
    <x v="22"/>
  </r>
  <r>
    <x v="81"/>
  </r>
  <r>
    <x v="81"/>
  </r>
  <r>
    <x v="48"/>
  </r>
  <r>
    <x v="48"/>
  </r>
  <r>
    <x v="48"/>
  </r>
  <r>
    <x v="48"/>
  </r>
  <r>
    <x v="48"/>
  </r>
  <r>
    <x v="79"/>
  </r>
  <r>
    <x v="0"/>
  </r>
  <r>
    <x v="0"/>
  </r>
  <r>
    <x v="0"/>
  </r>
  <r>
    <x v="0"/>
  </r>
  <r>
    <x v="173"/>
  </r>
  <r>
    <x v="112"/>
  </r>
  <r>
    <x v="173"/>
  </r>
  <r>
    <x v="14"/>
  </r>
  <r>
    <x v="31"/>
  </r>
  <r>
    <x v="31"/>
  </r>
  <r>
    <x v="31"/>
  </r>
  <r>
    <x v="31"/>
  </r>
  <r>
    <x v="91"/>
  </r>
  <r>
    <x v="82"/>
  </r>
  <r>
    <x v="4"/>
  </r>
  <r>
    <x v="114"/>
  </r>
  <r>
    <x v="44"/>
  </r>
  <r>
    <x v="48"/>
  </r>
  <r>
    <x v="37"/>
  </r>
  <r>
    <x v="154"/>
  </r>
  <r>
    <x v="37"/>
  </r>
  <r>
    <x v="42"/>
  </r>
  <r>
    <x v="154"/>
  </r>
  <r>
    <x v="37"/>
  </r>
  <r>
    <x v="12"/>
  </r>
  <r>
    <x v="71"/>
  </r>
  <r>
    <x v="29"/>
  </r>
  <r>
    <x v="48"/>
  </r>
  <r>
    <x v="12"/>
  </r>
  <r>
    <x v="12"/>
  </r>
  <r>
    <x v="48"/>
  </r>
  <r>
    <x v="48"/>
  </r>
  <r>
    <x v="123"/>
  </r>
  <r>
    <x v="87"/>
  </r>
  <r>
    <x v="87"/>
  </r>
  <r>
    <x v="87"/>
  </r>
  <r>
    <x v="111"/>
  </r>
  <r>
    <x v="25"/>
  </r>
  <r>
    <x v="25"/>
  </r>
  <r>
    <x v="42"/>
  </r>
  <r>
    <x v="196"/>
  </r>
  <r>
    <x v="25"/>
  </r>
  <r>
    <x v="173"/>
  </r>
  <r>
    <x v="52"/>
  </r>
  <r>
    <x v="52"/>
  </r>
  <r>
    <x v="64"/>
  </r>
  <r>
    <x v="81"/>
  </r>
  <r>
    <x v="48"/>
  </r>
  <r>
    <x v="7"/>
  </r>
  <r>
    <x v="196"/>
  </r>
  <r>
    <x v="7"/>
  </r>
  <r>
    <x v="7"/>
  </r>
  <r>
    <x v="196"/>
  </r>
  <r>
    <x v="25"/>
  </r>
  <r>
    <x v="12"/>
  </r>
  <r>
    <x v="12"/>
  </r>
  <r>
    <x v="76"/>
  </r>
  <r>
    <x v="48"/>
  </r>
  <r>
    <x v="12"/>
  </r>
  <r>
    <x v="12"/>
  </r>
  <r>
    <x v="12"/>
  </r>
  <r>
    <x v="77"/>
  </r>
  <r>
    <x v="77"/>
  </r>
  <r>
    <x v="17"/>
  </r>
  <r>
    <x v="0"/>
  </r>
  <r>
    <x v="87"/>
  </r>
  <r>
    <x v="48"/>
  </r>
  <r>
    <x v="28"/>
  </r>
  <r>
    <x v="48"/>
  </r>
  <r>
    <x v="20"/>
  </r>
  <r>
    <x v="56"/>
  </r>
  <r>
    <x v="56"/>
  </r>
  <r>
    <x v="76"/>
  </r>
  <r>
    <x v="86"/>
  </r>
  <r>
    <x v="10"/>
  </r>
  <r>
    <x v="50"/>
  </r>
  <r>
    <x v="42"/>
  </r>
  <r>
    <x v="10"/>
  </r>
  <r>
    <x v="42"/>
  </r>
  <r>
    <x v="10"/>
  </r>
  <r>
    <x v="48"/>
  </r>
  <r>
    <x v="48"/>
  </r>
  <r>
    <x v="72"/>
  </r>
  <r>
    <x v="78"/>
  </r>
  <r>
    <x v="72"/>
  </r>
  <r>
    <x v="35"/>
  </r>
  <r>
    <x v="125"/>
  </r>
  <r>
    <x v="46"/>
  </r>
  <r>
    <x v="127"/>
  </r>
  <r>
    <x v="10"/>
  </r>
  <r>
    <x v="25"/>
  </r>
  <r>
    <x v="48"/>
  </r>
  <r>
    <x v="48"/>
  </r>
  <r>
    <x v="81"/>
  </r>
  <r>
    <x v="81"/>
  </r>
  <r>
    <x v="78"/>
  </r>
  <r>
    <x v="14"/>
  </r>
  <r>
    <x v="93"/>
  </r>
  <r>
    <x v="3"/>
  </r>
  <r>
    <x v="3"/>
  </r>
  <r>
    <x v="81"/>
  </r>
  <r>
    <x v="22"/>
  </r>
  <r>
    <x v="81"/>
  </r>
  <r>
    <x v="3"/>
  </r>
  <r>
    <x v="45"/>
  </r>
  <r>
    <x v="14"/>
  </r>
  <r>
    <x v="81"/>
  </r>
  <r>
    <x v="12"/>
  </r>
  <r>
    <x v="14"/>
  </r>
  <r>
    <x v="99"/>
  </r>
  <r>
    <x v="82"/>
  </r>
  <r>
    <x v="194"/>
  </r>
  <r>
    <x v="6"/>
  </r>
  <r>
    <x v="17"/>
  </r>
  <r>
    <x v="17"/>
  </r>
  <r>
    <x v="142"/>
  </r>
  <r>
    <x v="29"/>
  </r>
  <r>
    <x v="14"/>
  </r>
  <r>
    <x v="48"/>
  </r>
  <r>
    <x v="71"/>
  </r>
  <r>
    <x v="90"/>
  </r>
  <r>
    <x v="40"/>
  </r>
  <r>
    <x v="17"/>
  </r>
  <r>
    <x v="0"/>
  </r>
  <r>
    <x v="81"/>
  </r>
  <r>
    <x v="81"/>
  </r>
  <r>
    <x v="236"/>
  </r>
  <r>
    <x v="7"/>
  </r>
  <r>
    <x v="122"/>
  </r>
  <r>
    <x v="78"/>
  </r>
  <r>
    <x v="96"/>
  </r>
  <r>
    <x v="26"/>
  </r>
  <r>
    <x v="71"/>
  </r>
  <r>
    <x v="126"/>
  </r>
  <r>
    <x v="50"/>
  </r>
  <r>
    <x v="50"/>
  </r>
  <r>
    <x v="1"/>
  </r>
  <r>
    <x v="50"/>
  </r>
  <r>
    <x v="82"/>
  </r>
  <r>
    <x v="200"/>
  </r>
  <r>
    <x v="200"/>
  </r>
  <r>
    <x v="97"/>
  </r>
  <r>
    <x v="44"/>
  </r>
  <r>
    <x v="44"/>
  </r>
  <r>
    <x v="26"/>
  </r>
  <r>
    <x v="45"/>
  </r>
  <r>
    <x v="0"/>
  </r>
  <r>
    <x v="14"/>
  </r>
  <r>
    <x v="234"/>
  </r>
  <r>
    <x v="234"/>
  </r>
  <r>
    <x v="234"/>
  </r>
  <r>
    <x v="142"/>
  </r>
  <r>
    <x v="59"/>
  </r>
  <r>
    <x v="81"/>
  </r>
  <r>
    <x v="14"/>
  </r>
  <r>
    <x v="14"/>
  </r>
  <r>
    <x v="71"/>
  </r>
  <r>
    <x v="17"/>
  </r>
  <r>
    <x v="17"/>
  </r>
  <r>
    <x v="14"/>
  </r>
  <r>
    <x v="12"/>
  </r>
  <r>
    <x v="55"/>
  </r>
  <r>
    <x v="236"/>
  </r>
  <r>
    <x v="8"/>
  </r>
  <r>
    <x v="25"/>
  </r>
  <r>
    <x v="25"/>
  </r>
  <r>
    <x v="0"/>
  </r>
  <r>
    <x v="0"/>
  </r>
  <r>
    <x v="25"/>
  </r>
  <r>
    <x v="25"/>
  </r>
  <r>
    <x v="48"/>
  </r>
  <r>
    <x v="11"/>
  </r>
  <r>
    <x v="14"/>
  </r>
  <r>
    <x v="99"/>
  </r>
  <r>
    <x v="81"/>
  </r>
  <r>
    <x v="81"/>
  </r>
  <r>
    <x v="81"/>
  </r>
  <r>
    <x v="235"/>
  </r>
  <r>
    <x v="235"/>
  </r>
  <r>
    <x v="235"/>
  </r>
  <r>
    <x v="219"/>
  </r>
  <r>
    <x v="235"/>
  </r>
  <r>
    <x v="71"/>
  </r>
  <r>
    <x v="71"/>
  </r>
  <r>
    <x v="71"/>
  </r>
  <r>
    <x v="90"/>
  </r>
  <r>
    <x v="29"/>
  </r>
  <r>
    <x v="29"/>
  </r>
  <r>
    <x v="71"/>
  </r>
  <r>
    <x v="71"/>
  </r>
  <r>
    <x v="21"/>
  </r>
  <r>
    <x v="44"/>
  </r>
  <r>
    <x v="91"/>
  </r>
  <r>
    <x v="201"/>
  </r>
  <r>
    <x v="21"/>
  </r>
  <r>
    <x v="106"/>
  </r>
  <r>
    <x v="25"/>
  </r>
  <r>
    <x v="56"/>
  </r>
  <r>
    <x v="236"/>
  </r>
  <r>
    <x v="25"/>
  </r>
  <r>
    <x v="25"/>
  </r>
  <r>
    <x v="236"/>
  </r>
  <r>
    <x v="25"/>
  </r>
  <r>
    <x v="25"/>
  </r>
  <r>
    <x v="7"/>
  </r>
  <r>
    <x v="7"/>
  </r>
  <r>
    <x v="48"/>
  </r>
  <r>
    <x v="10"/>
  </r>
  <r>
    <x v="35"/>
  </r>
  <r>
    <x v="10"/>
  </r>
  <r>
    <x v="10"/>
  </r>
  <r>
    <x v="52"/>
  </r>
  <r>
    <x v="77"/>
  </r>
  <r>
    <x v="99"/>
  </r>
  <r>
    <x v="103"/>
  </r>
  <r>
    <x v="78"/>
  </r>
  <r>
    <x v="10"/>
  </r>
  <r>
    <x v="59"/>
  </r>
  <r>
    <x v="78"/>
  </r>
  <r>
    <x v="25"/>
  </r>
  <r>
    <x v="25"/>
  </r>
  <r>
    <x v="25"/>
  </r>
  <r>
    <x v="25"/>
  </r>
  <r>
    <x v="6"/>
  </r>
  <r>
    <x v="25"/>
  </r>
  <r>
    <x v="76"/>
  </r>
  <r>
    <x v="56"/>
  </r>
  <r>
    <x v="76"/>
  </r>
  <r>
    <x v="78"/>
  </r>
  <r>
    <x v="28"/>
  </r>
  <r>
    <x v="28"/>
  </r>
  <r>
    <x v="28"/>
  </r>
  <r>
    <x v="10"/>
  </r>
  <r>
    <x v="48"/>
  </r>
  <r>
    <x v="77"/>
  </r>
  <r>
    <x v="25"/>
  </r>
  <r>
    <x v="25"/>
  </r>
  <r>
    <x v="25"/>
  </r>
  <r>
    <x v="25"/>
  </r>
  <r>
    <x v="25"/>
  </r>
  <r>
    <x v="81"/>
  </r>
  <r>
    <x v="4"/>
  </r>
  <r>
    <x v="4"/>
  </r>
  <r>
    <x v="0"/>
  </r>
  <r>
    <x v="2"/>
  </r>
  <r>
    <x v="18"/>
  </r>
  <r>
    <x v="2"/>
  </r>
  <r>
    <x v="187"/>
  </r>
  <r>
    <x v="0"/>
  </r>
  <r>
    <x v="72"/>
  </r>
  <r>
    <x v="12"/>
  </r>
  <r>
    <x v="18"/>
  </r>
  <r>
    <x v="30"/>
  </r>
  <r>
    <x v="0"/>
  </r>
  <r>
    <x v="0"/>
  </r>
  <r>
    <x v="0"/>
  </r>
  <r>
    <x v="408"/>
  </r>
  <r>
    <x v="264"/>
  </r>
  <r>
    <x v="78"/>
  </r>
  <r>
    <x v="79"/>
  </r>
  <r>
    <x v="10"/>
  </r>
  <r>
    <x v="199"/>
  </r>
  <r>
    <x v="37"/>
  </r>
  <r>
    <x v="12"/>
  </r>
  <r>
    <x v="12"/>
  </r>
  <r>
    <x v="14"/>
  </r>
  <r>
    <x v="0"/>
  </r>
  <r>
    <x v="0"/>
  </r>
  <r>
    <x v="32"/>
  </r>
  <r>
    <x v="48"/>
  </r>
  <r>
    <x v="313"/>
  </r>
  <r>
    <x v="76"/>
  </r>
  <r>
    <x v="71"/>
  </r>
  <r>
    <x v="71"/>
  </r>
  <r>
    <x v="71"/>
  </r>
  <r>
    <x v="71"/>
  </r>
  <r>
    <x v="188"/>
  </r>
  <r>
    <x v="188"/>
  </r>
  <r>
    <x v="57"/>
  </r>
  <r>
    <x v="57"/>
  </r>
  <r>
    <x v="42"/>
  </r>
  <r>
    <x v="42"/>
  </r>
  <r>
    <x v="42"/>
  </r>
  <r>
    <x v="78"/>
  </r>
  <r>
    <x v="111"/>
  </r>
  <r>
    <x v="94"/>
  </r>
  <r>
    <x v="9"/>
  </r>
  <r>
    <x v="9"/>
  </r>
  <r>
    <x v="45"/>
  </r>
  <r>
    <x v="45"/>
  </r>
  <r>
    <x v="45"/>
  </r>
  <r>
    <x v="45"/>
  </r>
  <r>
    <x v="76"/>
  </r>
  <r>
    <x v="76"/>
  </r>
  <r>
    <x v="76"/>
  </r>
  <r>
    <x v="48"/>
  </r>
  <r>
    <x v="94"/>
  </r>
  <r>
    <x v="94"/>
  </r>
  <r>
    <x v="119"/>
  </r>
  <r>
    <x v="48"/>
  </r>
  <r>
    <x v="36"/>
  </r>
  <r>
    <x v="9"/>
  </r>
  <r>
    <x v="9"/>
  </r>
  <r>
    <x v="48"/>
  </r>
  <r>
    <x v="48"/>
  </r>
  <r>
    <x v="9"/>
  </r>
  <r>
    <x v="9"/>
  </r>
  <r>
    <x v="9"/>
  </r>
  <r>
    <x v="9"/>
  </r>
  <r>
    <x v="9"/>
  </r>
  <r>
    <x v="30"/>
  </r>
  <r>
    <x v="12"/>
  </r>
  <r>
    <x v="12"/>
  </r>
  <r>
    <x v="30"/>
  </r>
  <r>
    <x v="30"/>
  </r>
  <r>
    <x v="30"/>
  </r>
  <r>
    <x v="81"/>
  </r>
  <r>
    <x v="81"/>
  </r>
  <r>
    <x v="81"/>
  </r>
  <r>
    <x v="112"/>
  </r>
  <r>
    <x v="112"/>
  </r>
  <r>
    <x v="82"/>
  </r>
  <r>
    <x v="82"/>
  </r>
  <r>
    <x v="3"/>
  </r>
  <r>
    <x v="111"/>
  </r>
  <r>
    <x v="111"/>
  </r>
  <r>
    <x v="230"/>
  </r>
  <r>
    <x v="108"/>
  </r>
  <r>
    <x v="230"/>
  </r>
  <r>
    <x v="230"/>
  </r>
  <r>
    <x v="108"/>
  </r>
  <r>
    <x v="108"/>
  </r>
  <r>
    <x v="25"/>
  </r>
  <r>
    <x v="25"/>
  </r>
  <r>
    <x v="72"/>
  </r>
  <r>
    <x v="72"/>
  </r>
  <r>
    <x v="72"/>
  </r>
  <r>
    <x v="200"/>
  </r>
  <r>
    <x v="72"/>
  </r>
  <r>
    <x v="72"/>
  </r>
  <r>
    <x v="10"/>
  </r>
  <r>
    <x v="75"/>
  </r>
  <r>
    <x v="227"/>
  </r>
  <r>
    <x v="93"/>
  </r>
  <r>
    <x v="117"/>
  </r>
  <r>
    <x v="112"/>
  </r>
  <r>
    <x v="227"/>
  </r>
  <r>
    <x v="36"/>
  </r>
  <r>
    <x v="115"/>
  </r>
  <r>
    <x v="25"/>
  </r>
  <r>
    <x v="72"/>
  </r>
  <r>
    <x v="25"/>
  </r>
  <r>
    <x v="72"/>
  </r>
  <r>
    <x v="82"/>
  </r>
  <r>
    <x v="3"/>
  </r>
  <r>
    <x v="3"/>
  </r>
  <r>
    <x v="29"/>
  </r>
  <r>
    <x v="230"/>
  </r>
  <r>
    <x v="230"/>
  </r>
  <r>
    <x v="25"/>
  </r>
  <r>
    <x v="25"/>
  </r>
  <r>
    <x v="25"/>
  </r>
  <r>
    <x v="76"/>
  </r>
  <r>
    <x v="25"/>
  </r>
  <r>
    <x v="86"/>
  </r>
  <r>
    <x v="72"/>
  </r>
  <r>
    <x v="48"/>
  </r>
  <r>
    <x v="78"/>
  </r>
  <r>
    <x v="77"/>
  </r>
  <r>
    <x v="77"/>
  </r>
  <r>
    <x v="25"/>
  </r>
  <r>
    <x v="25"/>
  </r>
  <r>
    <x v="25"/>
  </r>
  <r>
    <x v="25"/>
  </r>
  <r>
    <x v="25"/>
  </r>
  <r>
    <x v="82"/>
  </r>
  <r>
    <x v="72"/>
  </r>
  <r>
    <x v="72"/>
  </r>
  <r>
    <x v="25"/>
  </r>
  <r>
    <x v="93"/>
  </r>
  <r>
    <x v="78"/>
  </r>
  <r>
    <x v="78"/>
  </r>
  <r>
    <x v="78"/>
  </r>
  <r>
    <x v="78"/>
  </r>
  <r>
    <x v="93"/>
  </r>
  <r>
    <x v="93"/>
  </r>
  <r>
    <x v="93"/>
  </r>
  <r>
    <x v="93"/>
  </r>
  <r>
    <x v="78"/>
  </r>
  <r>
    <x v="78"/>
  </r>
  <r>
    <x v="78"/>
  </r>
  <r>
    <x v="78"/>
  </r>
  <r>
    <x v="78"/>
  </r>
  <r>
    <x v="25"/>
  </r>
  <r>
    <x v="75"/>
  </r>
  <r>
    <x v="78"/>
  </r>
  <r>
    <x v="25"/>
  </r>
  <r>
    <x v="25"/>
  </r>
  <r>
    <x v="25"/>
  </r>
  <r>
    <x v="105"/>
  </r>
  <r>
    <x v="14"/>
  </r>
  <r>
    <x v="14"/>
  </r>
  <r>
    <x v="94"/>
  </r>
  <r>
    <x v="7"/>
  </r>
  <r>
    <x v="7"/>
  </r>
  <r>
    <x v="7"/>
  </r>
  <r>
    <x v="10"/>
  </r>
  <r>
    <x v="10"/>
  </r>
  <r>
    <x v="7"/>
  </r>
  <r>
    <x v="7"/>
  </r>
  <r>
    <x v="14"/>
  </r>
  <r>
    <x v="48"/>
  </r>
  <r>
    <x v="48"/>
  </r>
  <r>
    <x v="80"/>
  </r>
  <r>
    <x v="25"/>
  </r>
  <r>
    <x v="25"/>
  </r>
  <r>
    <x v="14"/>
  </r>
  <r>
    <x v="78"/>
  </r>
  <r>
    <x v="14"/>
  </r>
  <r>
    <x v="25"/>
  </r>
  <r>
    <x v="80"/>
  </r>
  <r>
    <x v="80"/>
  </r>
  <r>
    <x v="131"/>
  </r>
  <r>
    <x v="22"/>
  </r>
  <r>
    <x v="48"/>
  </r>
  <r>
    <x v="31"/>
  </r>
  <r>
    <x v="88"/>
  </r>
  <r>
    <x v="31"/>
  </r>
  <r>
    <x v="97"/>
  </r>
  <r>
    <x v="41"/>
  </r>
  <r>
    <x v="31"/>
  </r>
  <r>
    <x v="31"/>
  </r>
  <r>
    <x v="59"/>
  </r>
  <r>
    <x v="154"/>
  </r>
  <r>
    <x v="154"/>
  </r>
  <r>
    <x v="154"/>
  </r>
  <r>
    <x v="3"/>
  </r>
  <r>
    <x v="48"/>
  </r>
  <r>
    <x v="12"/>
  </r>
  <r>
    <x v="12"/>
  </r>
  <r>
    <x v="97"/>
  </r>
  <r>
    <x v="78"/>
  </r>
  <r>
    <x v="25"/>
  </r>
  <r>
    <x v="25"/>
  </r>
  <r>
    <x v="93"/>
  </r>
  <r>
    <x v="93"/>
  </r>
  <r>
    <x v="25"/>
  </r>
  <r>
    <x v="10"/>
  </r>
  <r>
    <x v="96"/>
  </r>
  <r>
    <x v="96"/>
  </r>
  <r>
    <x v="76"/>
  </r>
  <r>
    <x v="76"/>
  </r>
  <r>
    <x v="25"/>
  </r>
  <r>
    <x v="76"/>
  </r>
  <r>
    <x v="416"/>
  </r>
  <r>
    <x v="0"/>
  </r>
  <r>
    <x v="76"/>
  </r>
  <r>
    <x v="76"/>
  </r>
  <r>
    <x v="93"/>
  </r>
  <r>
    <x v="93"/>
  </r>
  <r>
    <x v="12"/>
  </r>
  <r>
    <x v="72"/>
  </r>
  <r>
    <x v="93"/>
  </r>
  <r>
    <x v="12"/>
  </r>
  <r>
    <x v="34"/>
  </r>
  <r>
    <x v="142"/>
  </r>
  <r>
    <x v="25"/>
  </r>
  <r>
    <x v="48"/>
  </r>
  <r>
    <x v="76"/>
  </r>
  <r>
    <x v="76"/>
  </r>
  <r>
    <x v="157"/>
  </r>
  <r>
    <x v="231"/>
  </r>
  <r>
    <x v="76"/>
  </r>
  <r>
    <x v="76"/>
  </r>
  <r>
    <x v="76"/>
  </r>
  <r>
    <x v="76"/>
  </r>
  <r>
    <x v="76"/>
  </r>
  <r>
    <x v="76"/>
  </r>
  <r>
    <x v="76"/>
  </r>
  <r>
    <x v="113"/>
  </r>
  <r>
    <x v="25"/>
  </r>
  <r>
    <x v="75"/>
  </r>
  <r>
    <x v="76"/>
  </r>
  <r>
    <x v="76"/>
  </r>
  <r>
    <x v="117"/>
  </r>
  <r>
    <x v="82"/>
  </r>
  <r>
    <x v="12"/>
  </r>
  <r>
    <x v="0"/>
  </r>
  <r>
    <x v="0"/>
  </r>
  <r>
    <x v="87"/>
  </r>
  <r>
    <x v="25"/>
  </r>
  <r>
    <x v="25"/>
  </r>
  <r>
    <x v="196"/>
  </r>
  <r>
    <x v="196"/>
  </r>
  <r>
    <x v="25"/>
  </r>
  <r>
    <x v="25"/>
  </r>
  <r>
    <x v="64"/>
  </r>
  <r>
    <x v="28"/>
  </r>
  <r>
    <x v="3"/>
  </r>
  <r>
    <x v="28"/>
  </r>
  <r>
    <x v="196"/>
  </r>
  <r>
    <x v="31"/>
  </r>
  <r>
    <x v="31"/>
  </r>
  <r>
    <x v="7"/>
  </r>
  <r>
    <x v="10"/>
  </r>
  <r>
    <x v="12"/>
  </r>
  <r>
    <x v="12"/>
  </r>
  <r>
    <x v="77"/>
  </r>
  <r>
    <x v="90"/>
  </r>
  <r>
    <x v="48"/>
  </r>
  <r>
    <x v="0"/>
  </r>
  <r>
    <x v="87"/>
  </r>
  <r>
    <x v="28"/>
  </r>
  <r>
    <x v="28"/>
  </r>
  <r>
    <x v="28"/>
  </r>
  <r>
    <x v="28"/>
  </r>
  <r>
    <x v="20"/>
  </r>
  <r>
    <x v="0"/>
  </r>
  <r>
    <x v="76"/>
  </r>
  <r>
    <x v="0"/>
  </r>
  <r>
    <x v="86"/>
  </r>
  <r>
    <x v="86"/>
  </r>
  <r>
    <x v="45"/>
  </r>
  <r>
    <x v="0"/>
  </r>
  <r>
    <x v="0"/>
  </r>
  <r>
    <x v="44"/>
  </r>
  <r>
    <x v="12"/>
  </r>
  <r>
    <x v="14"/>
  </r>
  <r>
    <x v="10"/>
  </r>
  <r>
    <x v="45"/>
  </r>
  <r>
    <x v="17"/>
  </r>
  <r>
    <x v="12"/>
  </r>
  <r>
    <x v="50"/>
  </r>
  <r>
    <x v="50"/>
  </r>
  <r>
    <x v="10"/>
  </r>
  <r>
    <x v="48"/>
  </r>
  <r>
    <x v="48"/>
  </r>
  <r>
    <x v="48"/>
  </r>
  <r>
    <x v="37"/>
  </r>
  <r>
    <x v="48"/>
  </r>
  <r>
    <x v="17"/>
  </r>
  <r>
    <x v="130"/>
  </r>
  <r>
    <x v="10"/>
  </r>
  <r>
    <x v="10"/>
  </r>
  <r>
    <x v="17"/>
  </r>
  <r>
    <x v="56"/>
  </r>
  <r>
    <x v="48"/>
  </r>
  <r>
    <x v="22"/>
  </r>
  <r>
    <x v="86"/>
  </r>
  <r>
    <x v="7"/>
  </r>
  <r>
    <x v="103"/>
  </r>
  <r>
    <x v="103"/>
  </r>
  <r>
    <x v="20"/>
  </r>
  <r>
    <x v="56"/>
  </r>
  <r>
    <x v="25"/>
  </r>
  <r>
    <x v="76"/>
  </r>
  <r>
    <x v="25"/>
  </r>
  <r>
    <x v="217"/>
  </r>
  <r>
    <x v="217"/>
  </r>
  <r>
    <x v="76"/>
  </r>
  <r>
    <x v="76"/>
  </r>
  <r>
    <x v="25"/>
  </r>
  <r>
    <x v="23"/>
  </r>
  <r>
    <x v="117"/>
  </r>
  <r>
    <x v="23"/>
  </r>
  <r>
    <x v="23"/>
  </r>
  <r>
    <x v="23"/>
  </r>
  <r>
    <x v="23"/>
  </r>
  <r>
    <x v="23"/>
  </r>
  <r>
    <x v="23"/>
  </r>
  <r>
    <x v="0"/>
  </r>
  <r>
    <x v="0"/>
  </r>
  <r>
    <x v="23"/>
  </r>
  <r>
    <x v="23"/>
  </r>
  <r>
    <x v="87"/>
  </r>
  <r>
    <x v="86"/>
  </r>
  <r>
    <x v="87"/>
  </r>
  <r>
    <x v="9"/>
  </r>
  <r>
    <x v="9"/>
  </r>
  <r>
    <x v="78"/>
  </r>
  <r>
    <x v="86"/>
  </r>
  <r>
    <x v="115"/>
  </r>
  <r>
    <x v="115"/>
  </r>
  <r>
    <x v="115"/>
  </r>
  <r>
    <x v="48"/>
  </r>
  <r>
    <x v="10"/>
  </r>
  <r>
    <x v="63"/>
  </r>
  <r>
    <x v="71"/>
  </r>
  <r>
    <x v="48"/>
  </r>
  <r>
    <x v="71"/>
  </r>
  <r>
    <x v="48"/>
  </r>
  <r>
    <x v="82"/>
  </r>
  <r>
    <x v="12"/>
  </r>
  <r>
    <x v="48"/>
  </r>
  <r>
    <x v="12"/>
  </r>
  <r>
    <x v="42"/>
  </r>
  <r>
    <x v="42"/>
  </r>
  <r>
    <x v="42"/>
  </r>
  <r>
    <x v="0"/>
  </r>
  <r>
    <x v="0"/>
  </r>
  <r>
    <x v="0"/>
  </r>
  <r>
    <x v="0"/>
  </r>
  <r>
    <x v="151"/>
  </r>
  <r>
    <x v="48"/>
  </r>
  <r>
    <x v="48"/>
  </r>
  <r>
    <x v="25"/>
  </r>
  <r>
    <x v="81"/>
  </r>
  <r>
    <x v="83"/>
  </r>
  <r>
    <x v="83"/>
  </r>
  <r>
    <x v="0"/>
  </r>
  <r>
    <x v="129"/>
  </r>
  <r>
    <x v="36"/>
  </r>
  <r>
    <x v="30"/>
  </r>
  <r>
    <x v="79"/>
  </r>
  <r>
    <x v="45"/>
  </r>
  <r>
    <x v="77"/>
  </r>
  <r>
    <x v="48"/>
  </r>
  <r>
    <x v="42"/>
  </r>
  <r>
    <x v="42"/>
  </r>
  <r>
    <x v="42"/>
  </r>
  <r>
    <x v="79"/>
  </r>
  <r>
    <x v="42"/>
  </r>
  <r>
    <x v="42"/>
  </r>
  <r>
    <x v="42"/>
  </r>
  <r>
    <x v="42"/>
  </r>
  <r>
    <x v="10"/>
  </r>
  <r>
    <x v="10"/>
  </r>
  <r>
    <x v="10"/>
  </r>
  <r>
    <x v="10"/>
  </r>
  <r>
    <x v="48"/>
  </r>
  <r>
    <x v="48"/>
  </r>
  <r>
    <x v="50"/>
  </r>
  <r>
    <x v="1"/>
  </r>
  <r>
    <x v="12"/>
  </r>
  <r>
    <x v="63"/>
  </r>
  <r>
    <x v="63"/>
  </r>
  <r>
    <x v="63"/>
  </r>
  <r>
    <x v="96"/>
  </r>
  <r>
    <x v="50"/>
  </r>
  <r>
    <x v="44"/>
  </r>
  <r>
    <x v="2"/>
  </r>
  <r>
    <x v="10"/>
  </r>
  <r>
    <x v="42"/>
  </r>
  <r>
    <x v="93"/>
  </r>
  <r>
    <x v="78"/>
  </r>
  <r>
    <x v="93"/>
  </r>
  <r>
    <x v="93"/>
  </r>
  <r>
    <x v="93"/>
  </r>
  <r>
    <x v="93"/>
  </r>
  <r>
    <x v="42"/>
  </r>
  <r>
    <x v="82"/>
  </r>
  <r>
    <x v="82"/>
  </r>
  <r>
    <x v="93"/>
  </r>
  <r>
    <x v="42"/>
  </r>
  <r>
    <x v="96"/>
  </r>
  <r>
    <x v="48"/>
  </r>
  <r>
    <x v="48"/>
  </r>
  <r>
    <x v="78"/>
  </r>
  <r>
    <x v="42"/>
  </r>
  <r>
    <x v="217"/>
  </r>
  <r>
    <x v="42"/>
  </r>
  <r>
    <x v="112"/>
  </r>
  <r>
    <x v="217"/>
  </r>
  <r>
    <x v="48"/>
  </r>
  <r>
    <x v="76"/>
  </r>
  <r>
    <x v="76"/>
  </r>
  <r>
    <x v="25"/>
  </r>
  <r>
    <x v="25"/>
  </r>
  <r>
    <x v="25"/>
  </r>
  <r>
    <x v="76"/>
  </r>
  <r>
    <x v="103"/>
  </r>
  <r>
    <x v="103"/>
  </r>
  <r>
    <x v="103"/>
  </r>
  <r>
    <x v="105"/>
  </r>
  <r>
    <x v="0"/>
  </r>
  <r>
    <x v="72"/>
  </r>
  <r>
    <x v="14"/>
  </r>
  <r>
    <x v="103"/>
  </r>
  <r>
    <x v="103"/>
  </r>
  <r>
    <x v="2"/>
  </r>
  <r>
    <x v="105"/>
  </r>
  <r>
    <x v="103"/>
  </r>
  <r>
    <x v="11"/>
  </r>
  <r>
    <x v="76"/>
  </r>
  <r>
    <x v="76"/>
  </r>
  <r>
    <x v="83"/>
  </r>
  <r>
    <x v="87"/>
  </r>
  <r>
    <x v="129"/>
  </r>
  <r>
    <x v="83"/>
  </r>
  <r>
    <x v="30"/>
  </r>
  <r>
    <x v="83"/>
  </r>
  <r>
    <x v="48"/>
  </r>
  <r>
    <x v="29"/>
  </r>
  <r>
    <x v="29"/>
  </r>
  <r>
    <x v="25"/>
  </r>
  <r>
    <x v="59"/>
  </r>
  <r>
    <x v="14"/>
  </r>
  <r>
    <x v="30"/>
  </r>
  <r>
    <x v="48"/>
  </r>
  <r>
    <x v="72"/>
  </r>
  <r>
    <x v="93"/>
  </r>
  <r>
    <x v="339"/>
  </r>
  <r>
    <x v="14"/>
  </r>
  <r>
    <x v="50"/>
  </r>
  <r>
    <x v="14"/>
  </r>
  <r>
    <x v="339"/>
  </r>
  <r>
    <x v="14"/>
  </r>
  <r>
    <x v="217"/>
  </r>
  <r>
    <x v="10"/>
  </r>
  <r>
    <x v="50"/>
  </r>
  <r>
    <x v="10"/>
  </r>
  <r>
    <x v="50"/>
  </r>
  <r>
    <x v="217"/>
  </r>
  <r>
    <x v="10"/>
  </r>
  <r>
    <x v="25"/>
  </r>
  <r>
    <x v="25"/>
  </r>
  <r>
    <x v="48"/>
  </r>
  <r>
    <x v="188"/>
  </r>
  <r>
    <x v="37"/>
  </r>
  <r>
    <x v="37"/>
  </r>
  <r>
    <x v="0"/>
  </r>
  <r>
    <x v="117"/>
  </r>
  <r>
    <x v="25"/>
  </r>
  <r>
    <x v="105"/>
  </r>
  <r>
    <x v="105"/>
  </r>
  <r>
    <x v="105"/>
  </r>
  <r>
    <x v="76"/>
  </r>
  <r>
    <x v="35"/>
  </r>
  <r>
    <x v="105"/>
  </r>
  <r>
    <x v="105"/>
  </r>
  <r>
    <x v="78"/>
  </r>
  <r>
    <x v="105"/>
  </r>
  <r>
    <x v="105"/>
  </r>
  <r>
    <x v="105"/>
  </r>
  <r>
    <x v="25"/>
  </r>
  <r>
    <x v="25"/>
  </r>
  <r>
    <x v="105"/>
  </r>
  <r>
    <x v="72"/>
  </r>
  <r>
    <x v="72"/>
  </r>
  <r>
    <x v="72"/>
  </r>
  <r>
    <x v="10"/>
  </r>
  <r>
    <x v="10"/>
  </r>
  <r>
    <x v="12"/>
  </r>
  <r>
    <x v="12"/>
  </r>
  <r>
    <x v="12"/>
  </r>
  <r>
    <x v="12"/>
  </r>
  <r>
    <x v="12"/>
  </r>
  <r>
    <x v="12"/>
  </r>
  <r>
    <x v="113"/>
  </r>
  <r>
    <x v="24"/>
  </r>
  <r>
    <x v="24"/>
  </r>
  <r>
    <x v="111"/>
  </r>
  <r>
    <x v="25"/>
  </r>
  <r>
    <x v="35"/>
  </r>
  <r>
    <x v="86"/>
  </r>
  <r>
    <x v="86"/>
  </r>
  <r>
    <x v="0"/>
  </r>
  <r>
    <x v="103"/>
  </r>
  <r>
    <x v="35"/>
  </r>
  <r>
    <x v="4"/>
  </r>
  <r>
    <x v="35"/>
  </r>
  <r>
    <x v="76"/>
  </r>
  <r>
    <x v="71"/>
  </r>
  <r>
    <x v="0"/>
  </r>
  <r>
    <x v="71"/>
  </r>
  <r>
    <x v="91"/>
  </r>
  <r>
    <x v="103"/>
  </r>
  <r>
    <x v="23"/>
  </r>
  <r>
    <x v="103"/>
  </r>
  <r>
    <x v="25"/>
  </r>
  <r>
    <x v="28"/>
  </r>
  <r>
    <x v="28"/>
  </r>
  <r>
    <x v="103"/>
  </r>
  <r>
    <x v="0"/>
  </r>
  <r>
    <x v="0"/>
  </r>
  <r>
    <x v="25"/>
  </r>
  <r>
    <x v="23"/>
  </r>
  <r>
    <x v="103"/>
  </r>
  <r>
    <x v="103"/>
  </r>
  <r>
    <x v="23"/>
  </r>
  <r>
    <x v="25"/>
  </r>
  <r>
    <x v="25"/>
  </r>
  <r>
    <x v="99"/>
  </r>
  <r>
    <x v="45"/>
  </r>
  <r>
    <x v="45"/>
  </r>
  <r>
    <x v="93"/>
  </r>
  <r>
    <x v="93"/>
  </r>
  <r>
    <x v="93"/>
  </r>
  <r>
    <x v="93"/>
  </r>
  <r>
    <x v="93"/>
  </r>
  <r>
    <x v="93"/>
  </r>
  <r>
    <x v="93"/>
  </r>
  <r>
    <x v="0"/>
  </r>
  <r>
    <x v="25"/>
  </r>
  <r>
    <x v="25"/>
  </r>
  <r>
    <x v="25"/>
  </r>
  <r>
    <x v="25"/>
  </r>
  <r>
    <x v="25"/>
  </r>
  <r>
    <x v="10"/>
  </r>
  <r>
    <x v="10"/>
  </r>
  <r>
    <x v="25"/>
  </r>
  <r>
    <x v="10"/>
  </r>
  <r>
    <x v="10"/>
  </r>
  <r>
    <x v="25"/>
  </r>
  <r>
    <x v="25"/>
  </r>
  <r>
    <x v="25"/>
  </r>
  <r>
    <x v="117"/>
  </r>
  <r>
    <x v="25"/>
  </r>
  <r>
    <x v="81"/>
  </r>
  <r>
    <x v="55"/>
  </r>
  <r>
    <x v="64"/>
  </r>
  <r>
    <x v="81"/>
  </r>
  <r>
    <x v="22"/>
  </r>
  <r>
    <x v="25"/>
  </r>
  <r>
    <x v="12"/>
  </r>
  <r>
    <x v="22"/>
  </r>
  <r>
    <x v="22"/>
  </r>
  <r>
    <x v="22"/>
  </r>
  <r>
    <x v="12"/>
  </r>
  <r>
    <x v="10"/>
  </r>
  <r>
    <x v="79"/>
  </r>
  <r>
    <x v="48"/>
  </r>
  <r>
    <x v="64"/>
  </r>
  <r>
    <x v="122"/>
  </r>
  <r>
    <x v="71"/>
  </r>
  <r>
    <x v="6"/>
  </r>
  <r>
    <x v="14"/>
  </r>
  <r>
    <x v="10"/>
  </r>
  <r>
    <x v="0"/>
  </r>
  <r>
    <x v="78"/>
  </r>
  <r>
    <x v="2"/>
  </r>
  <r>
    <x v="193"/>
  </r>
  <r>
    <x v="31"/>
  </r>
  <r>
    <x v="10"/>
  </r>
  <r>
    <x v="23"/>
  </r>
  <r>
    <x v="173"/>
  </r>
  <r>
    <x v="14"/>
  </r>
  <r>
    <x v="82"/>
  </r>
  <r>
    <x v="10"/>
  </r>
  <r>
    <x v="10"/>
  </r>
  <r>
    <x v="25"/>
  </r>
  <r>
    <x v="31"/>
  </r>
  <r>
    <x v="25"/>
  </r>
  <r>
    <x v="81"/>
  </r>
  <r>
    <x v="31"/>
  </r>
  <r>
    <x v="31"/>
  </r>
  <r>
    <x v="31"/>
  </r>
  <r>
    <x v="25"/>
  </r>
  <r>
    <x v="25"/>
  </r>
  <r>
    <x v="0"/>
  </r>
  <r>
    <x v="25"/>
  </r>
  <r>
    <x v="112"/>
  </r>
  <r>
    <x v="25"/>
  </r>
  <r>
    <x v="25"/>
  </r>
  <r>
    <x v="78"/>
  </r>
  <r>
    <x v="48"/>
  </r>
  <r>
    <x v="31"/>
  </r>
  <r>
    <x v="0"/>
  </r>
  <r>
    <x v="112"/>
  </r>
  <r>
    <x v="25"/>
  </r>
  <r>
    <x v="25"/>
  </r>
  <r>
    <x v="25"/>
  </r>
  <r>
    <x v="25"/>
  </r>
  <r>
    <x v="25"/>
  </r>
  <r>
    <x v="25"/>
  </r>
  <r>
    <x v="25"/>
  </r>
  <r>
    <x v="63"/>
  </r>
  <r>
    <x v="0"/>
  </r>
  <r>
    <x v="25"/>
  </r>
  <r>
    <x v="133"/>
  </r>
  <r>
    <x v="25"/>
  </r>
  <r>
    <x v="25"/>
  </r>
  <r>
    <x v="25"/>
  </r>
  <r>
    <x v="25"/>
  </r>
  <r>
    <x v="76"/>
  </r>
  <r>
    <x v="79"/>
  </r>
  <r>
    <x v="25"/>
  </r>
  <r>
    <x v="76"/>
  </r>
  <r>
    <x v="0"/>
  </r>
  <r>
    <x v="25"/>
  </r>
  <r>
    <x v="25"/>
  </r>
  <r>
    <x v="25"/>
  </r>
  <r>
    <x v="25"/>
  </r>
  <r>
    <x v="25"/>
  </r>
  <r>
    <x v="15"/>
  </r>
  <r>
    <x v="25"/>
  </r>
  <r>
    <x v="25"/>
  </r>
  <r>
    <x v="25"/>
  </r>
  <r>
    <x v="12"/>
  </r>
  <r>
    <x v="25"/>
  </r>
  <r>
    <x v="25"/>
  </r>
  <r>
    <x v="25"/>
  </r>
  <r>
    <x v="0"/>
  </r>
  <r>
    <x v="82"/>
  </r>
  <r>
    <x v="25"/>
  </r>
  <r>
    <x v="0"/>
  </r>
  <r>
    <x v="25"/>
  </r>
  <r>
    <x v="0"/>
  </r>
  <r>
    <x v="0"/>
  </r>
  <r>
    <x v="79"/>
  </r>
  <r>
    <x v="25"/>
  </r>
  <r>
    <x v="182"/>
  </r>
  <r>
    <x v="0"/>
  </r>
  <r>
    <x v="25"/>
  </r>
  <r>
    <x v="79"/>
  </r>
  <r>
    <x v="25"/>
  </r>
  <r>
    <x v="111"/>
  </r>
  <r>
    <x v="111"/>
  </r>
  <r>
    <x v="111"/>
  </r>
  <r>
    <x v="34"/>
  </r>
  <r>
    <x v="0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91"/>
  </r>
  <r>
    <x v="91"/>
  </r>
  <r>
    <x v="25"/>
  </r>
  <r>
    <x v="25"/>
  </r>
  <r>
    <x v="25"/>
  </r>
  <r>
    <x v="24"/>
  </r>
  <r>
    <x v="25"/>
  </r>
  <r>
    <x v="25"/>
  </r>
  <r>
    <x v="25"/>
  </r>
  <r>
    <x v="25"/>
  </r>
  <r>
    <x v="25"/>
  </r>
  <r>
    <x v="25"/>
  </r>
  <r>
    <x v="0"/>
  </r>
  <r>
    <x v="25"/>
  </r>
  <r>
    <x v="63"/>
  </r>
  <r>
    <x v="23"/>
  </r>
  <r>
    <x v="25"/>
  </r>
  <r>
    <x v="25"/>
  </r>
  <r>
    <x v="25"/>
  </r>
  <r>
    <x v="318"/>
  </r>
  <r>
    <x v="99"/>
  </r>
  <r>
    <x v="25"/>
  </r>
  <r>
    <x v="25"/>
  </r>
  <r>
    <x v="111"/>
  </r>
  <r>
    <x v="111"/>
  </r>
  <r>
    <x v="23"/>
  </r>
  <r>
    <x v="103"/>
  </r>
  <r>
    <x v="76"/>
  </r>
  <r>
    <x v="2"/>
  </r>
  <r>
    <x v="31"/>
  </r>
  <r>
    <x v="31"/>
  </r>
  <r>
    <x v="82"/>
  </r>
  <r>
    <x v="79"/>
  </r>
  <r>
    <x v="79"/>
  </r>
  <r>
    <x v="79"/>
  </r>
  <r>
    <x v="79"/>
  </r>
  <r>
    <x v="93"/>
  </r>
  <r>
    <x v="93"/>
  </r>
  <r>
    <x v="25"/>
  </r>
  <r>
    <x v="25"/>
  </r>
  <r>
    <x v="25"/>
  </r>
  <r>
    <x v="25"/>
  </r>
  <r>
    <x v="76"/>
  </r>
  <r>
    <x v="30"/>
  </r>
  <r>
    <x v="30"/>
  </r>
  <r>
    <x v="30"/>
  </r>
  <r>
    <x v="85"/>
  </r>
  <r>
    <x v="25"/>
  </r>
  <r>
    <x v="25"/>
  </r>
  <r>
    <x v="25"/>
  </r>
  <r>
    <x v="25"/>
  </r>
  <r>
    <x v="25"/>
  </r>
  <r>
    <x v="25"/>
  </r>
  <r>
    <x v="25"/>
  </r>
  <r>
    <x v="91"/>
  </r>
  <r>
    <x v="111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79"/>
  </r>
  <r>
    <x v="48"/>
  </r>
  <r>
    <x v="78"/>
  </r>
  <r>
    <x v="76"/>
  </r>
  <r>
    <x v="76"/>
  </r>
  <r>
    <x v="78"/>
  </r>
  <r>
    <x v="78"/>
  </r>
  <r>
    <x v="76"/>
  </r>
  <r>
    <x v="78"/>
  </r>
  <r>
    <x v="78"/>
  </r>
  <r>
    <x v="78"/>
  </r>
  <r>
    <x v="78"/>
  </r>
  <r>
    <x v="78"/>
  </r>
  <r>
    <x v="78"/>
  </r>
  <r>
    <x v="78"/>
  </r>
  <r>
    <x v="48"/>
  </r>
  <r>
    <x v="76"/>
  </r>
  <r>
    <x v="82"/>
  </r>
  <r>
    <x v="83"/>
  </r>
  <r>
    <x v="25"/>
  </r>
  <r>
    <x v="0"/>
  </r>
  <r>
    <x v="93"/>
  </r>
  <r>
    <x v="42"/>
  </r>
  <r>
    <x v="82"/>
  </r>
  <r>
    <x v="48"/>
  </r>
  <r>
    <x v="29"/>
  </r>
  <r>
    <x v="29"/>
  </r>
  <r>
    <x v="99"/>
  </r>
  <r>
    <x v="82"/>
  </r>
  <r>
    <x v="14"/>
  </r>
  <r>
    <x v="48"/>
  </r>
  <r>
    <x v="14"/>
  </r>
  <r>
    <x v="22"/>
  </r>
  <r>
    <x v="216"/>
  </r>
  <r>
    <x v="216"/>
  </r>
  <r>
    <x v="72"/>
  </r>
  <r>
    <x v="25"/>
  </r>
  <r>
    <x v="25"/>
  </r>
  <r>
    <x v="6"/>
  </r>
  <r>
    <x v="30"/>
  </r>
  <r>
    <x v="0"/>
  </r>
  <r>
    <x v="96"/>
  </r>
  <r>
    <x v="111"/>
  </r>
  <r>
    <x v="72"/>
  </r>
  <r>
    <x v="50"/>
  </r>
  <r>
    <x v="86"/>
  </r>
  <r>
    <x v="183"/>
  </r>
  <r>
    <x v="106"/>
  </r>
  <r>
    <x v="82"/>
  </r>
  <r>
    <x v="48"/>
  </r>
  <r>
    <x v="25"/>
  </r>
  <r>
    <x v="78"/>
  </r>
  <r>
    <x v="99"/>
  </r>
  <r>
    <x v="85"/>
  </r>
  <r>
    <x v="0"/>
  </r>
  <r>
    <x v="52"/>
  </r>
  <r>
    <x v="219"/>
  </r>
  <r>
    <x v="48"/>
  </r>
  <r>
    <x v="0"/>
  </r>
  <r>
    <x v="0"/>
  </r>
  <r>
    <x v="10"/>
  </r>
  <r>
    <x v="10"/>
  </r>
  <r>
    <x v="10"/>
  </r>
  <r>
    <x v="10"/>
  </r>
  <r>
    <x v="10"/>
  </r>
  <r>
    <x v="10"/>
  </r>
  <r>
    <x v="10"/>
  </r>
  <r>
    <x v="118"/>
  </r>
  <r>
    <x v="14"/>
  </r>
  <r>
    <x v="0"/>
  </r>
  <r>
    <x v="17"/>
  </r>
  <r>
    <x v="45"/>
  </r>
  <r>
    <x v="17"/>
  </r>
  <r>
    <x v="86"/>
  </r>
  <r>
    <x v="99"/>
  </r>
  <r>
    <x v="85"/>
  </r>
  <r>
    <x v="1"/>
  </r>
  <r>
    <x v="78"/>
  </r>
  <r>
    <x v="23"/>
  </r>
  <r>
    <x v="20"/>
  </r>
  <r>
    <x v="20"/>
  </r>
  <r>
    <x v="20"/>
  </r>
  <r>
    <x v="21"/>
  </r>
  <r>
    <x v="59"/>
  </r>
  <r>
    <x v="23"/>
  </r>
  <r>
    <x v="59"/>
  </r>
  <r>
    <x v="127"/>
  </r>
  <r>
    <x v="127"/>
  </r>
  <r>
    <x v="59"/>
  </r>
  <r>
    <x v="25"/>
  </r>
  <r>
    <x v="80"/>
  </r>
  <r>
    <x v="80"/>
  </r>
  <r>
    <x v="80"/>
  </r>
  <r>
    <x v="128"/>
  </r>
  <r>
    <x v="128"/>
  </r>
  <r>
    <x v="128"/>
  </r>
  <r>
    <x v="128"/>
  </r>
  <r>
    <x v="82"/>
  </r>
  <r>
    <x v="128"/>
  </r>
  <r>
    <x v="128"/>
  </r>
  <r>
    <x v="81"/>
  </r>
  <r>
    <x v="81"/>
  </r>
  <r>
    <x v="81"/>
  </r>
  <r>
    <x v="112"/>
  </r>
  <r>
    <x v="81"/>
  </r>
  <r>
    <x v="78"/>
  </r>
  <r>
    <x v="2"/>
  </r>
  <r>
    <x v="0"/>
  </r>
  <r>
    <x v="0"/>
  </r>
  <r>
    <x v="0"/>
  </r>
  <r>
    <x v="25"/>
  </r>
  <r>
    <x v="36"/>
  </r>
  <r>
    <x v="78"/>
  </r>
  <r>
    <x v="72"/>
  </r>
  <r>
    <x v="105"/>
  </r>
  <r>
    <x v="57"/>
  </r>
  <r>
    <x v="25"/>
  </r>
  <r>
    <x v="111"/>
  </r>
  <r>
    <x v="23"/>
  </r>
  <r>
    <x v="23"/>
  </r>
  <r>
    <x v="23"/>
  </r>
  <r>
    <x v="12"/>
  </r>
  <r>
    <x v="111"/>
  </r>
  <r>
    <x v="0"/>
  </r>
  <r>
    <x v="23"/>
  </r>
  <r>
    <x v="76"/>
  </r>
  <r>
    <x v="111"/>
  </r>
  <r>
    <x v="23"/>
  </r>
  <r>
    <x v="14"/>
  </r>
  <r>
    <x v="14"/>
  </r>
  <r>
    <x v="23"/>
  </r>
  <r>
    <x v="25"/>
  </r>
  <r>
    <x v="111"/>
  </r>
  <r>
    <x v="111"/>
  </r>
  <r>
    <x v="25"/>
  </r>
  <r>
    <x v="149"/>
  </r>
  <r>
    <x v="25"/>
  </r>
  <r>
    <x v="25"/>
  </r>
  <r>
    <x v="25"/>
  </r>
  <r>
    <x v="25"/>
  </r>
  <r>
    <x v="25"/>
  </r>
  <r>
    <x v="111"/>
  </r>
  <r>
    <x v="25"/>
  </r>
  <r>
    <x v="25"/>
  </r>
  <r>
    <x v="12"/>
  </r>
  <r>
    <x v="72"/>
  </r>
  <r>
    <x v="25"/>
  </r>
  <r>
    <x v="25"/>
  </r>
  <r>
    <x v="25"/>
  </r>
  <r>
    <x v="25"/>
  </r>
  <r>
    <x v="36"/>
  </r>
  <r>
    <x v="72"/>
  </r>
  <r>
    <x v="25"/>
  </r>
  <r>
    <x v="25"/>
  </r>
  <r>
    <x v="25"/>
  </r>
  <r>
    <x v="23"/>
  </r>
  <r>
    <x v="78"/>
  </r>
  <r>
    <x v="78"/>
  </r>
  <r>
    <x v="117"/>
  </r>
  <r>
    <x v="16"/>
  </r>
  <r>
    <x v="130"/>
  </r>
  <r>
    <x v="28"/>
  </r>
  <r>
    <x v="14"/>
  </r>
  <r>
    <x v="14"/>
  </r>
  <r>
    <x v="36"/>
  </r>
  <r>
    <x v="79"/>
  </r>
  <r>
    <x v="76"/>
  </r>
  <r>
    <x v="81"/>
  </r>
  <r>
    <x v="25"/>
  </r>
  <r>
    <x v="105"/>
  </r>
  <r>
    <x v="124"/>
  </r>
  <r>
    <x v="10"/>
  </r>
  <r>
    <x v="0"/>
  </r>
  <r>
    <x v="72"/>
  </r>
  <r>
    <x v="56"/>
  </r>
  <r>
    <x v="72"/>
  </r>
  <r>
    <x v="3"/>
  </r>
  <r>
    <x v="72"/>
  </r>
  <r>
    <x v="72"/>
  </r>
  <r>
    <x v="72"/>
  </r>
  <r>
    <x v="229"/>
  </r>
  <r>
    <x v="36"/>
  </r>
  <r>
    <x v="0"/>
  </r>
  <r>
    <x v="93"/>
  </r>
  <r>
    <x v="93"/>
  </r>
  <r>
    <x v="93"/>
  </r>
  <r>
    <x v="93"/>
  </r>
  <r>
    <x v="93"/>
  </r>
  <r>
    <x v="28"/>
  </r>
  <r>
    <x v="0"/>
  </r>
  <r>
    <x v="78"/>
  </r>
  <r>
    <x v="78"/>
  </r>
  <r>
    <x v="78"/>
  </r>
  <r>
    <x v="78"/>
  </r>
  <r>
    <x v="78"/>
  </r>
  <r>
    <x v="78"/>
  </r>
  <r>
    <x v="14"/>
  </r>
  <r>
    <x v="55"/>
  </r>
  <r>
    <x v="2"/>
  </r>
  <r>
    <x v="0"/>
  </r>
  <r>
    <x v="0"/>
  </r>
  <r>
    <x v="15"/>
  </r>
  <r>
    <x v="35"/>
  </r>
  <r>
    <x v="182"/>
  </r>
  <r>
    <x v="91"/>
  </r>
  <r>
    <x v="64"/>
  </r>
  <r>
    <x v="14"/>
  </r>
  <r>
    <x v="93"/>
  </r>
  <r>
    <x v="203"/>
  </r>
  <r>
    <x v="203"/>
  </r>
  <r>
    <x v="203"/>
  </r>
  <r>
    <x v="203"/>
  </r>
  <r>
    <x v="203"/>
  </r>
  <r>
    <x v="203"/>
  </r>
  <r>
    <x v="25"/>
  </r>
  <r>
    <x v="2"/>
  </r>
  <r>
    <x v="31"/>
  </r>
  <r>
    <x v="48"/>
  </r>
  <r>
    <x v="0"/>
  </r>
  <r>
    <x v="80"/>
  </r>
  <r>
    <x v="76"/>
  </r>
  <r>
    <x v="78"/>
  </r>
  <r>
    <x v="0"/>
  </r>
  <r>
    <x v="44"/>
  </r>
  <r>
    <x v="188"/>
  </r>
  <r>
    <x v="2"/>
  </r>
  <r>
    <x v="204"/>
  </r>
  <r>
    <x v="204"/>
  </r>
  <r>
    <x v="10"/>
  </r>
  <r>
    <x v="10"/>
  </r>
  <r>
    <x v="10"/>
  </r>
  <r>
    <x v="10"/>
  </r>
  <r>
    <x v="188"/>
  </r>
  <r>
    <x v="82"/>
  </r>
  <r>
    <x v="122"/>
  </r>
  <r>
    <x v="121"/>
  </r>
  <r>
    <x v="82"/>
  </r>
  <r>
    <x v="287"/>
  </r>
  <r>
    <x v="30"/>
  </r>
  <r>
    <x v="102"/>
  </r>
  <r>
    <x v="30"/>
  </r>
  <r>
    <x v="30"/>
  </r>
  <r>
    <x v="72"/>
  </r>
  <r>
    <x v="3"/>
  </r>
  <r>
    <x v="30"/>
  </r>
  <r>
    <x v="59"/>
  </r>
  <r>
    <x v="216"/>
  </r>
  <r>
    <x v="30"/>
  </r>
  <r>
    <x v="3"/>
  </r>
  <r>
    <x v="23"/>
  </r>
  <r>
    <x v="31"/>
  </r>
  <r>
    <x v="218"/>
  </r>
  <r>
    <x v="72"/>
  </r>
  <r>
    <x v="82"/>
  </r>
  <r>
    <x v="25"/>
  </r>
  <r>
    <x v="31"/>
  </r>
  <r>
    <x v="59"/>
  </r>
  <r>
    <x v="25"/>
  </r>
  <r>
    <x v="85"/>
  </r>
  <r>
    <x v="154"/>
  </r>
  <r>
    <x v="41"/>
  </r>
  <r>
    <x v="154"/>
  </r>
  <r>
    <x v="83"/>
  </r>
  <r>
    <x v="25"/>
  </r>
  <r>
    <x v="82"/>
  </r>
  <r>
    <x v="25"/>
  </r>
  <r>
    <x v="25"/>
  </r>
  <r>
    <x v="36"/>
  </r>
  <r>
    <x v="59"/>
  </r>
  <r>
    <x v="10"/>
  </r>
  <r>
    <x v="25"/>
  </r>
  <r>
    <x v="102"/>
  </r>
  <r>
    <x v="104"/>
  </r>
  <r>
    <x v="25"/>
  </r>
  <r>
    <x v="102"/>
  </r>
  <r>
    <x v="25"/>
  </r>
  <r>
    <x v="25"/>
  </r>
  <r>
    <x v="95"/>
  </r>
  <r>
    <x v="6"/>
  </r>
  <r>
    <x v="46"/>
  </r>
  <r>
    <x v="199"/>
  </r>
  <r>
    <x v="132"/>
  </r>
  <r>
    <x v="102"/>
  </r>
  <r>
    <x v="6"/>
  </r>
  <r>
    <x v="36"/>
  </r>
  <r>
    <x v="87"/>
  </r>
  <r>
    <x v="87"/>
  </r>
  <r>
    <x v="2"/>
  </r>
  <r>
    <x v="87"/>
  </r>
  <r>
    <x v="87"/>
  </r>
  <r>
    <x v="76"/>
  </r>
  <r>
    <x v="87"/>
  </r>
  <r>
    <x v="36"/>
  </r>
  <r>
    <x v="37"/>
  </r>
  <r>
    <x v="14"/>
  </r>
  <r>
    <x v="8"/>
  </r>
  <r>
    <x v="37"/>
  </r>
  <r>
    <x v="17"/>
  </r>
  <r>
    <x v="17"/>
  </r>
  <r>
    <x v="0"/>
  </r>
  <r>
    <x v="10"/>
  </r>
  <r>
    <x v="115"/>
  </r>
  <r>
    <x v="8"/>
  </r>
  <r>
    <x v="9"/>
  </r>
  <r>
    <x v="14"/>
  </r>
  <r>
    <x v="9"/>
  </r>
  <r>
    <x v="10"/>
  </r>
  <r>
    <x v="0"/>
  </r>
  <r>
    <x v="9"/>
  </r>
  <r>
    <x v="0"/>
  </r>
  <r>
    <x v="4"/>
  </r>
  <r>
    <x v="37"/>
  </r>
  <r>
    <x v="37"/>
  </r>
  <r>
    <x v="74"/>
  </r>
  <r>
    <x v="15"/>
  </r>
  <r>
    <x v="53"/>
  </r>
  <r>
    <x v="28"/>
  </r>
  <r>
    <x v="40"/>
  </r>
  <r>
    <x v="58"/>
  </r>
  <r>
    <x v="7"/>
  </r>
  <r>
    <x v="9"/>
  </r>
  <r>
    <x v="0"/>
  </r>
  <r>
    <x v="6"/>
  </r>
  <r>
    <x v="6"/>
  </r>
  <r>
    <x v="16"/>
  </r>
  <r>
    <x v="11"/>
  </r>
  <r>
    <x v="14"/>
  </r>
  <r>
    <x v="17"/>
  </r>
  <r>
    <x v="28"/>
  </r>
  <r>
    <x v="10"/>
  </r>
  <r>
    <x v="11"/>
  </r>
  <r>
    <x v="14"/>
  </r>
  <r>
    <x v="62"/>
  </r>
  <r>
    <x v="10"/>
  </r>
  <r>
    <x v="16"/>
  </r>
  <r>
    <x v="17"/>
  </r>
  <r>
    <x v="37"/>
  </r>
  <r>
    <x v="24"/>
  </r>
  <r>
    <x v="14"/>
  </r>
  <r>
    <x v="40"/>
  </r>
  <r>
    <x v="17"/>
  </r>
  <r>
    <x v="52"/>
  </r>
  <r>
    <x v="11"/>
  </r>
  <r>
    <x v="55"/>
  </r>
  <r>
    <x v="55"/>
  </r>
  <r>
    <x v="10"/>
  </r>
  <r>
    <x v="55"/>
  </r>
  <r>
    <x v="55"/>
  </r>
  <r>
    <x v="17"/>
  </r>
  <r>
    <x v="11"/>
  </r>
  <r>
    <x v="45"/>
  </r>
  <r>
    <x v="1"/>
  </r>
  <r>
    <x v="4"/>
  </r>
  <r>
    <x v="9"/>
  </r>
  <r>
    <x v="0"/>
  </r>
  <r>
    <x v="28"/>
  </r>
  <r>
    <x v="45"/>
  </r>
  <r>
    <x v="39"/>
  </r>
  <r>
    <x v="39"/>
  </r>
  <r>
    <x v="14"/>
  </r>
  <r>
    <x v="0"/>
  </r>
  <r>
    <x v="39"/>
  </r>
  <r>
    <x v="16"/>
  </r>
  <r>
    <x v="9"/>
  </r>
  <r>
    <x v="2"/>
  </r>
  <r>
    <x v="2"/>
  </r>
  <r>
    <x v="40"/>
  </r>
  <r>
    <x v="24"/>
  </r>
  <r>
    <x v="8"/>
  </r>
  <r>
    <x v="37"/>
  </r>
  <r>
    <x v="53"/>
  </r>
  <r>
    <x v="28"/>
  </r>
  <r>
    <x v="28"/>
  </r>
  <r>
    <x v="28"/>
  </r>
  <r>
    <x v="28"/>
  </r>
  <r>
    <x v="28"/>
  </r>
  <r>
    <x v="4"/>
  </r>
  <r>
    <x v="10"/>
  </r>
  <r>
    <x v="11"/>
  </r>
  <r>
    <x v="222"/>
  </r>
  <r>
    <x v="12"/>
  </r>
  <r>
    <x v="12"/>
  </r>
  <r>
    <x v="12"/>
  </r>
  <r>
    <x v="0"/>
  </r>
  <r>
    <x v="6"/>
  </r>
  <r>
    <x v="17"/>
  </r>
  <r>
    <x v="37"/>
  </r>
  <r>
    <x v="21"/>
  </r>
  <r>
    <x v="28"/>
  </r>
  <r>
    <x v="106"/>
  </r>
  <r>
    <x v="0"/>
  </r>
  <r>
    <x v="17"/>
  </r>
  <r>
    <x v="0"/>
  </r>
  <r>
    <x v="21"/>
  </r>
  <r>
    <x v="64"/>
  </r>
  <r>
    <x v="222"/>
  </r>
  <r>
    <x v="143"/>
  </r>
  <r>
    <x v="4"/>
  </r>
  <r>
    <x v="55"/>
  </r>
  <r>
    <x v="33"/>
  </r>
  <r>
    <x v="17"/>
  </r>
  <r>
    <x v="17"/>
  </r>
  <r>
    <x v="12"/>
  </r>
  <r>
    <x v="4"/>
  </r>
  <r>
    <x v="0"/>
  </r>
  <r>
    <x v="17"/>
  </r>
  <r>
    <x v="34"/>
  </r>
  <r>
    <x v="4"/>
  </r>
  <r>
    <x v="40"/>
  </r>
  <r>
    <x v="16"/>
  </r>
  <r>
    <x v="40"/>
  </r>
  <r>
    <x v="40"/>
  </r>
  <r>
    <x v="33"/>
  </r>
  <r>
    <x v="40"/>
  </r>
  <r>
    <x v="40"/>
  </r>
  <r>
    <x v="126"/>
  </r>
  <r>
    <x v="10"/>
  </r>
  <r>
    <x v="4"/>
  </r>
  <r>
    <x v="4"/>
  </r>
  <r>
    <x v="10"/>
  </r>
  <r>
    <x v="37"/>
  </r>
  <r>
    <x v="8"/>
  </r>
  <r>
    <x v="17"/>
  </r>
  <r>
    <x v="4"/>
  </r>
  <r>
    <x v="9"/>
  </r>
  <r>
    <x v="9"/>
  </r>
  <r>
    <x v="0"/>
  </r>
  <r>
    <x v="10"/>
  </r>
  <r>
    <x v="12"/>
  </r>
  <r>
    <x v="31"/>
  </r>
  <r>
    <x v="40"/>
  </r>
  <r>
    <x v="52"/>
  </r>
  <r>
    <x v="17"/>
  </r>
  <r>
    <x v="17"/>
  </r>
  <r>
    <x v="37"/>
  </r>
  <r>
    <x v="4"/>
  </r>
  <r>
    <x v="4"/>
  </r>
  <r>
    <x v="37"/>
  </r>
  <r>
    <x v="34"/>
  </r>
  <r>
    <x v="17"/>
  </r>
  <r>
    <x v="53"/>
  </r>
  <r>
    <x v="28"/>
  </r>
  <r>
    <x v="45"/>
  </r>
  <r>
    <x v="14"/>
  </r>
  <r>
    <x v="10"/>
  </r>
  <r>
    <x v="4"/>
  </r>
  <r>
    <x v="4"/>
  </r>
  <r>
    <x v="7"/>
  </r>
  <r>
    <x v="9"/>
  </r>
  <r>
    <x v="9"/>
  </r>
  <r>
    <x v="10"/>
  </r>
  <r>
    <x v="42"/>
  </r>
  <r>
    <x v="10"/>
  </r>
  <r>
    <x v="16"/>
  </r>
  <r>
    <x v="17"/>
  </r>
  <r>
    <x v="45"/>
  </r>
  <r>
    <x v="53"/>
  </r>
  <r>
    <x v="10"/>
  </r>
  <r>
    <x v="10"/>
  </r>
  <r>
    <x v="16"/>
  </r>
  <r>
    <x v="16"/>
  </r>
  <r>
    <x v="16"/>
  </r>
  <r>
    <x v="16"/>
  </r>
  <r>
    <x v="0"/>
  </r>
  <r>
    <x v="14"/>
  </r>
  <r>
    <x v="37"/>
  </r>
  <r>
    <x v="12"/>
  </r>
  <r>
    <x v="12"/>
  </r>
  <r>
    <x v="28"/>
  </r>
  <r>
    <x v="0"/>
  </r>
  <r>
    <x v="0"/>
  </r>
  <r>
    <x v="17"/>
  </r>
  <r>
    <x v="4"/>
  </r>
  <r>
    <x v="28"/>
  </r>
  <r>
    <x v="10"/>
  </r>
  <r>
    <x v="9"/>
  </r>
  <r>
    <x v="4"/>
  </r>
  <r>
    <x v="10"/>
  </r>
  <r>
    <x v="12"/>
  </r>
  <r>
    <x v="48"/>
  </r>
  <r>
    <x v="16"/>
  </r>
  <r>
    <x v="0"/>
  </r>
  <r>
    <x v="31"/>
  </r>
  <r>
    <x v="17"/>
  </r>
  <r>
    <x v="34"/>
  </r>
  <r>
    <x v="0"/>
  </r>
  <r>
    <x v="10"/>
  </r>
  <r>
    <x v="10"/>
  </r>
  <r>
    <x v="0"/>
  </r>
  <r>
    <x v="4"/>
  </r>
  <r>
    <x v="28"/>
  </r>
  <r>
    <x v="10"/>
  </r>
  <r>
    <x v="53"/>
  </r>
  <r>
    <x v="4"/>
  </r>
  <r>
    <x v="4"/>
  </r>
  <r>
    <x v="33"/>
  </r>
  <r>
    <x v="32"/>
  </r>
  <r>
    <x v="48"/>
  </r>
  <r>
    <x v="48"/>
  </r>
  <r>
    <x v="17"/>
  </r>
  <r>
    <x v="17"/>
  </r>
  <r>
    <x v="9"/>
  </r>
  <r>
    <x v="0"/>
  </r>
  <r>
    <x v="0"/>
  </r>
  <r>
    <x v="28"/>
  </r>
  <r>
    <x v="276"/>
  </r>
  <r>
    <x v="53"/>
  </r>
  <r>
    <x v="17"/>
  </r>
  <r>
    <x v="43"/>
  </r>
  <r>
    <x v="28"/>
  </r>
  <r>
    <x v="28"/>
  </r>
  <r>
    <x v="10"/>
  </r>
  <r>
    <x v="12"/>
  </r>
  <r>
    <x v="48"/>
  </r>
  <r>
    <x v="12"/>
  </r>
  <r>
    <x v="4"/>
  </r>
  <r>
    <x v="10"/>
  </r>
  <r>
    <x v="11"/>
  </r>
  <r>
    <x v="37"/>
  </r>
  <r>
    <x v="4"/>
  </r>
  <r>
    <x v="28"/>
  </r>
  <r>
    <x v="17"/>
  </r>
  <r>
    <x v="16"/>
  </r>
  <r>
    <x v="34"/>
  </r>
  <r>
    <x v="34"/>
  </r>
  <r>
    <x v="34"/>
  </r>
  <r>
    <x v="0"/>
  </r>
  <r>
    <x v="39"/>
  </r>
  <r>
    <x v="4"/>
  </r>
  <r>
    <x v="10"/>
  </r>
  <r>
    <x v="14"/>
  </r>
  <r>
    <x v="4"/>
  </r>
  <r>
    <x v="7"/>
  </r>
  <r>
    <x v="0"/>
  </r>
  <r>
    <x v="0"/>
  </r>
  <r>
    <x v="0"/>
  </r>
  <r>
    <x v="16"/>
  </r>
  <r>
    <x v="46"/>
  </r>
  <r>
    <x v="14"/>
  </r>
  <r>
    <x v="28"/>
  </r>
  <r>
    <x v="2"/>
  </r>
  <r>
    <x v="17"/>
  </r>
  <r>
    <x v="14"/>
  </r>
  <r>
    <x v="17"/>
  </r>
  <r>
    <x v="14"/>
  </r>
  <r>
    <x v="81"/>
  </r>
  <r>
    <x v="76"/>
  </r>
  <r>
    <x v="4"/>
  </r>
  <r>
    <x v="4"/>
  </r>
  <r>
    <x v="7"/>
  </r>
  <r>
    <x v="7"/>
  </r>
  <r>
    <x v="10"/>
  </r>
  <r>
    <x v="45"/>
  </r>
  <r>
    <x v="11"/>
  </r>
  <r>
    <x v="9"/>
  </r>
  <r>
    <x v="10"/>
  </r>
  <r>
    <x v="4"/>
  </r>
  <r>
    <x v="0"/>
  </r>
  <r>
    <x v="17"/>
  </r>
  <r>
    <x v="39"/>
  </r>
  <r>
    <x v="10"/>
  </r>
  <r>
    <x v="9"/>
  </r>
  <r>
    <x v="14"/>
  </r>
  <r>
    <x v="10"/>
  </r>
  <r>
    <x v="14"/>
  </r>
  <r>
    <x v="224"/>
  </r>
  <r>
    <x v="10"/>
  </r>
  <r>
    <x v="53"/>
  </r>
  <r>
    <x v="53"/>
  </r>
  <r>
    <x v="63"/>
  </r>
  <r>
    <x v="63"/>
  </r>
  <r>
    <x v="16"/>
  </r>
  <r>
    <x v="11"/>
  </r>
  <r>
    <x v="39"/>
  </r>
  <r>
    <x v="4"/>
  </r>
  <r>
    <x v="4"/>
  </r>
  <r>
    <x v="9"/>
  </r>
  <r>
    <x v="17"/>
  </r>
  <r>
    <x v="32"/>
  </r>
  <r>
    <x v="0"/>
  </r>
  <r>
    <x v="55"/>
  </r>
  <r>
    <x v="28"/>
  </r>
  <r>
    <x v="41"/>
  </r>
  <r>
    <x v="249"/>
  </r>
  <r>
    <x v="14"/>
  </r>
  <r>
    <x v="37"/>
  </r>
  <r>
    <x v="76"/>
  </r>
  <r>
    <x v="22"/>
  </r>
  <r>
    <x v="3"/>
  </r>
  <r>
    <x v="28"/>
  </r>
  <r>
    <x v="14"/>
  </r>
  <r>
    <x v="14"/>
  </r>
  <r>
    <x v="143"/>
  </r>
  <r>
    <x v="143"/>
  </r>
  <r>
    <x v="143"/>
  </r>
  <r>
    <x v="143"/>
  </r>
  <r>
    <x v="57"/>
  </r>
  <r>
    <x v="57"/>
  </r>
  <r>
    <x v="79"/>
  </r>
  <r>
    <x v="14"/>
  </r>
  <r>
    <x v="77"/>
  </r>
  <r>
    <x v="85"/>
  </r>
  <r>
    <x v="12"/>
  </r>
  <r>
    <x v="12"/>
  </r>
  <r>
    <x v="12"/>
  </r>
  <r>
    <x v="48"/>
  </r>
  <r>
    <x v="48"/>
  </r>
  <r>
    <x v="11"/>
  </r>
  <r>
    <x v="0"/>
  </r>
  <r>
    <x v="14"/>
  </r>
  <r>
    <x v="4"/>
  </r>
  <r>
    <x v="18"/>
  </r>
  <r>
    <x v="68"/>
  </r>
  <r>
    <x v="16"/>
  </r>
  <r>
    <x v="16"/>
  </r>
  <r>
    <x v="9"/>
  </r>
  <r>
    <x v="21"/>
  </r>
  <r>
    <x v="2"/>
  </r>
  <r>
    <x v="14"/>
  </r>
  <r>
    <x v="16"/>
  </r>
  <r>
    <x v="2"/>
  </r>
  <r>
    <x v="24"/>
  </r>
  <r>
    <x v="4"/>
  </r>
  <r>
    <x v="68"/>
  </r>
  <r>
    <x v="24"/>
  </r>
  <r>
    <x v="2"/>
  </r>
  <r>
    <x v="31"/>
  </r>
  <r>
    <x v="16"/>
  </r>
  <r>
    <x v="21"/>
  </r>
  <r>
    <x v="10"/>
  </r>
  <r>
    <x v="9"/>
  </r>
  <r>
    <x v="37"/>
  </r>
  <r>
    <x v="7"/>
  </r>
  <r>
    <x v="11"/>
  </r>
  <r>
    <x v="48"/>
  </r>
  <r>
    <x v="48"/>
  </r>
  <r>
    <x v="12"/>
  </r>
  <r>
    <x v="17"/>
  </r>
  <r>
    <x v="17"/>
  </r>
  <r>
    <x v="17"/>
  </r>
  <r>
    <x v="17"/>
  </r>
  <r>
    <x v="12"/>
  </r>
  <r>
    <x v="24"/>
  </r>
  <r>
    <x v="12"/>
  </r>
  <r>
    <x v="24"/>
  </r>
  <r>
    <x v="115"/>
  </r>
  <r>
    <x v="16"/>
  </r>
  <r>
    <x v="12"/>
  </r>
  <r>
    <x v="17"/>
  </r>
  <r>
    <x v="201"/>
  </r>
  <r>
    <x v="53"/>
  </r>
  <r>
    <x v="174"/>
  </r>
  <r>
    <x v="37"/>
  </r>
  <r>
    <x v="7"/>
  </r>
  <r>
    <x v="7"/>
  </r>
  <r>
    <x v="7"/>
  </r>
  <r>
    <x v="12"/>
  </r>
  <r>
    <x v="28"/>
  </r>
  <r>
    <x v="37"/>
  </r>
  <r>
    <x v="21"/>
  </r>
  <r>
    <x v="44"/>
  </r>
  <r>
    <x v="0"/>
  </r>
  <r>
    <x v="115"/>
  </r>
  <r>
    <x v="37"/>
  </r>
  <r>
    <x v="37"/>
  </r>
  <r>
    <x v="14"/>
  </r>
  <r>
    <x v="17"/>
  </r>
  <r>
    <x v="10"/>
  </r>
  <r>
    <x v="10"/>
  </r>
  <r>
    <x v="4"/>
  </r>
  <r>
    <x v="31"/>
  </r>
  <r>
    <x v="10"/>
  </r>
  <r>
    <x v="119"/>
  </r>
  <r>
    <x v="2"/>
  </r>
  <r>
    <x v="16"/>
  </r>
  <r>
    <x v="27"/>
  </r>
  <r>
    <x v="27"/>
  </r>
  <r>
    <x v="14"/>
  </r>
  <r>
    <x v="4"/>
  </r>
  <r>
    <x v="4"/>
  </r>
  <r>
    <x v="12"/>
  </r>
  <r>
    <x v="24"/>
  </r>
  <r>
    <x v="48"/>
  </r>
  <r>
    <x v="37"/>
  </r>
  <r>
    <x v="2"/>
  </r>
  <r>
    <x v="21"/>
  </r>
  <r>
    <x v="21"/>
  </r>
  <r>
    <x v="10"/>
  </r>
  <r>
    <x v="16"/>
  </r>
  <r>
    <x v="8"/>
  </r>
  <r>
    <x v="48"/>
  </r>
  <r>
    <x v="74"/>
  </r>
  <r>
    <x v="74"/>
  </r>
  <r>
    <x v="7"/>
  </r>
  <r>
    <x v="7"/>
  </r>
  <r>
    <x v="6"/>
  </r>
  <r>
    <x v="12"/>
  </r>
  <r>
    <x v="17"/>
  </r>
  <r>
    <x v="64"/>
  </r>
  <r>
    <x v="17"/>
  </r>
  <r>
    <x v="22"/>
  </r>
  <r>
    <x v="28"/>
  </r>
  <r>
    <x v="14"/>
  </r>
  <r>
    <x v="28"/>
  </r>
  <r>
    <x v="53"/>
  </r>
  <r>
    <x v="14"/>
  </r>
  <r>
    <x v="2"/>
  </r>
  <r>
    <x v="37"/>
  </r>
  <r>
    <x v="21"/>
  </r>
  <r>
    <x v="28"/>
  </r>
  <r>
    <x v="0"/>
  </r>
  <r>
    <x v="14"/>
  </r>
  <r>
    <x v="16"/>
  </r>
  <r>
    <x v="12"/>
  </r>
  <r>
    <x v="59"/>
  </r>
  <r>
    <x v="17"/>
  </r>
  <r>
    <x v="48"/>
  </r>
  <r>
    <x v="51"/>
  </r>
  <r>
    <x v="39"/>
  </r>
  <r>
    <x v="10"/>
  </r>
  <r>
    <x v="2"/>
  </r>
  <r>
    <x v="25"/>
  </r>
  <r>
    <x v="10"/>
  </r>
  <r>
    <x v="37"/>
  </r>
  <r>
    <x v="0"/>
  </r>
  <r>
    <x v="4"/>
  </r>
  <r>
    <x v="0"/>
  </r>
  <r>
    <x v="0"/>
  </r>
  <r>
    <x v="2"/>
  </r>
  <r>
    <x v="0"/>
  </r>
  <r>
    <x v="0"/>
  </r>
  <r>
    <x v="49"/>
  </r>
  <r>
    <x v="49"/>
  </r>
  <r>
    <x v="12"/>
  </r>
  <r>
    <x v="0"/>
  </r>
  <r>
    <x v="42"/>
  </r>
  <r>
    <x v="14"/>
  </r>
  <r>
    <x v="16"/>
  </r>
  <r>
    <x v="0"/>
  </r>
  <r>
    <x v="24"/>
  </r>
  <r>
    <x v="11"/>
  </r>
  <r>
    <x v="48"/>
  </r>
  <r>
    <x v="68"/>
  </r>
  <r>
    <x v="27"/>
  </r>
  <r>
    <x v="7"/>
  </r>
  <r>
    <x v="7"/>
  </r>
  <r>
    <x v="7"/>
  </r>
  <r>
    <x v="7"/>
  </r>
  <r>
    <x v="0"/>
  </r>
  <r>
    <x v="14"/>
  </r>
  <r>
    <x v="10"/>
  </r>
  <r>
    <x v="10"/>
  </r>
  <r>
    <x v="91"/>
  </r>
  <r>
    <x v="76"/>
  </r>
  <r>
    <x v="17"/>
  </r>
  <r>
    <x v="68"/>
  </r>
  <r>
    <x v="14"/>
  </r>
  <r>
    <x v="0"/>
  </r>
  <r>
    <x v="71"/>
  </r>
  <r>
    <x v="11"/>
  </r>
  <r>
    <x v="40"/>
  </r>
  <r>
    <x v="17"/>
  </r>
  <r>
    <x v="26"/>
  </r>
  <r>
    <x v="16"/>
  </r>
  <r>
    <x v="37"/>
  </r>
  <r>
    <x v="4"/>
  </r>
  <r>
    <x v="156"/>
  </r>
  <r>
    <x v="12"/>
  </r>
  <r>
    <x v="14"/>
  </r>
  <r>
    <x v="0"/>
  </r>
  <r>
    <x v="37"/>
  </r>
  <r>
    <x v="0"/>
  </r>
  <r>
    <x v="0"/>
  </r>
  <r>
    <x v="37"/>
  </r>
  <r>
    <x v="0"/>
  </r>
  <r>
    <x v="0"/>
  </r>
  <r>
    <x v="0"/>
  </r>
  <r>
    <x v="0"/>
  </r>
  <r>
    <x v="71"/>
  </r>
  <r>
    <x v="0"/>
  </r>
  <r>
    <x v="14"/>
  </r>
  <r>
    <x v="14"/>
  </r>
  <r>
    <x v="14"/>
  </r>
  <r>
    <x v="14"/>
  </r>
  <r>
    <x v="47"/>
  </r>
  <r>
    <x v="0"/>
  </r>
  <r>
    <x v="0"/>
  </r>
  <r>
    <x v="63"/>
  </r>
  <r>
    <x v="63"/>
  </r>
  <r>
    <x v="0"/>
  </r>
  <r>
    <x v="111"/>
  </r>
  <r>
    <x v="192"/>
  </r>
  <r>
    <x v="42"/>
  </r>
  <r>
    <x v="39"/>
  </r>
  <r>
    <x v="8"/>
  </r>
  <r>
    <x v="76"/>
  </r>
  <r>
    <x v="3"/>
  </r>
  <r>
    <x v="37"/>
  </r>
  <r>
    <x v="10"/>
  </r>
  <r>
    <x v="76"/>
  </r>
  <r>
    <x v="7"/>
  </r>
  <r>
    <x v="10"/>
  </r>
  <r>
    <x v="0"/>
  </r>
  <r>
    <x v="7"/>
  </r>
  <r>
    <x v="53"/>
  </r>
  <r>
    <x v="0"/>
  </r>
  <r>
    <x v="16"/>
  </r>
  <r>
    <x v="4"/>
  </r>
  <r>
    <x v="4"/>
  </r>
  <r>
    <x v="21"/>
  </r>
  <r>
    <x v="16"/>
  </r>
  <r>
    <x v="42"/>
  </r>
  <r>
    <x v="123"/>
  </r>
  <r>
    <x v="17"/>
  </r>
  <r>
    <x v="12"/>
  </r>
  <r>
    <x v="14"/>
  </r>
  <r>
    <x v="9"/>
  </r>
  <r>
    <x v="9"/>
  </r>
  <r>
    <x v="21"/>
  </r>
  <r>
    <x v="89"/>
  </r>
  <r>
    <x v="4"/>
  </r>
  <r>
    <x v="39"/>
  </r>
  <r>
    <x v="39"/>
  </r>
  <r>
    <x v="24"/>
  </r>
  <r>
    <x v="24"/>
  </r>
  <r>
    <x v="0"/>
  </r>
  <r>
    <x v="16"/>
  </r>
  <r>
    <x v="4"/>
  </r>
  <r>
    <x v="11"/>
  </r>
  <r>
    <x v="16"/>
  </r>
  <r>
    <x v="29"/>
  </r>
  <r>
    <x v="29"/>
  </r>
  <r>
    <x v="0"/>
  </r>
  <r>
    <x v="115"/>
  </r>
  <r>
    <x v="115"/>
  </r>
  <r>
    <x v="11"/>
  </r>
  <r>
    <x v="16"/>
  </r>
  <r>
    <x v="16"/>
  </r>
  <r>
    <x v="16"/>
  </r>
  <r>
    <x v="16"/>
  </r>
  <r>
    <x v="16"/>
  </r>
  <r>
    <x v="16"/>
  </r>
  <r>
    <x v="0"/>
  </r>
  <r>
    <x v="70"/>
  </r>
  <r>
    <x v="7"/>
  </r>
  <r>
    <x v="2"/>
  </r>
  <r>
    <x v="16"/>
  </r>
  <r>
    <x v="115"/>
  </r>
  <r>
    <x v="11"/>
  </r>
  <r>
    <x v="11"/>
  </r>
  <r>
    <x v="12"/>
  </r>
  <r>
    <x v="11"/>
  </r>
  <r>
    <x v="11"/>
  </r>
  <r>
    <x v="16"/>
  </r>
  <r>
    <x v="16"/>
  </r>
  <r>
    <x v="0"/>
  </r>
  <r>
    <x v="2"/>
  </r>
  <r>
    <x v="10"/>
  </r>
  <r>
    <x v="4"/>
  </r>
  <r>
    <x v="15"/>
  </r>
  <r>
    <x v="45"/>
  </r>
  <r>
    <x v="8"/>
  </r>
  <r>
    <x v="16"/>
  </r>
  <r>
    <x v="22"/>
  </r>
  <r>
    <x v="55"/>
  </r>
  <r>
    <x v="14"/>
  </r>
  <r>
    <x v="16"/>
  </r>
  <r>
    <x v="8"/>
  </r>
  <r>
    <x v="12"/>
  </r>
  <r>
    <x v="24"/>
  </r>
  <r>
    <x v="24"/>
  </r>
  <r>
    <x v="21"/>
  </r>
  <r>
    <x v="19"/>
  </r>
  <r>
    <x v="12"/>
  </r>
  <r>
    <x v="25"/>
  </r>
  <r>
    <x v="4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48"/>
  </r>
  <r>
    <x v="11"/>
  </r>
  <r>
    <x v="11"/>
  </r>
  <r>
    <x v="11"/>
  </r>
  <r>
    <x v="48"/>
  </r>
  <r>
    <x v="11"/>
  </r>
  <r>
    <x v="48"/>
  </r>
  <r>
    <x v="11"/>
  </r>
  <r>
    <x v="48"/>
  </r>
  <r>
    <x v="115"/>
  </r>
  <r>
    <x v="28"/>
  </r>
  <r>
    <x v="28"/>
  </r>
  <r>
    <x v="28"/>
  </r>
  <r>
    <x v="42"/>
  </r>
  <r>
    <x v="8"/>
  </r>
  <r>
    <x v="28"/>
  </r>
  <r>
    <x v="70"/>
  </r>
  <r>
    <x v="70"/>
  </r>
  <r>
    <x v="70"/>
  </r>
  <r>
    <x v="70"/>
  </r>
  <r>
    <x v="53"/>
  </r>
  <r>
    <x v="10"/>
  </r>
  <r>
    <x v="12"/>
  </r>
  <r>
    <x v="11"/>
  </r>
  <r>
    <x v="40"/>
  </r>
  <r>
    <x v="16"/>
  </r>
  <r>
    <x v="0"/>
  </r>
  <r>
    <x v="0"/>
  </r>
  <r>
    <x v="0"/>
  </r>
  <r>
    <x v="0"/>
  </r>
  <r>
    <x v="0"/>
  </r>
  <r>
    <x v="0"/>
  </r>
  <r>
    <x v="0"/>
  </r>
  <r>
    <x v="57"/>
  </r>
  <r>
    <x v="12"/>
  </r>
  <r>
    <x v="33"/>
  </r>
  <r>
    <x v="19"/>
  </r>
  <r>
    <x v="28"/>
  </r>
  <r>
    <x v="24"/>
  </r>
  <r>
    <x v="6"/>
  </r>
  <r>
    <x v="18"/>
  </r>
  <r>
    <x v="53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48"/>
  </r>
  <r>
    <x v="14"/>
  </r>
  <r>
    <x v="8"/>
  </r>
  <r>
    <x v="4"/>
  </r>
  <r>
    <x v="24"/>
  </r>
  <r>
    <x v="22"/>
  </r>
  <r>
    <x v="22"/>
  </r>
  <r>
    <x v="22"/>
  </r>
  <r>
    <x v="4"/>
  </r>
  <r>
    <x v="19"/>
  </r>
  <r>
    <x v="14"/>
  </r>
  <r>
    <x v="4"/>
  </r>
  <r>
    <x v="4"/>
  </r>
  <r>
    <x v="16"/>
  </r>
  <r>
    <x v="16"/>
  </r>
  <r>
    <x v="11"/>
  </r>
  <r>
    <x v="39"/>
  </r>
  <r>
    <x v="76"/>
  </r>
  <r>
    <x v="4"/>
  </r>
  <r>
    <x v="9"/>
  </r>
  <r>
    <x v="16"/>
  </r>
  <r>
    <x v="16"/>
  </r>
  <r>
    <x v="163"/>
  </r>
  <r>
    <x v="39"/>
  </r>
  <r>
    <x v="53"/>
  </r>
  <r>
    <x v="39"/>
  </r>
  <r>
    <x v="39"/>
  </r>
  <r>
    <x v="39"/>
  </r>
  <r>
    <x v="12"/>
  </r>
  <r>
    <x v="11"/>
  </r>
  <r>
    <x v="48"/>
  </r>
  <r>
    <x v="0"/>
  </r>
  <r>
    <x v="0"/>
  </r>
  <r>
    <x v="0"/>
  </r>
  <r>
    <x v="15"/>
  </r>
  <r>
    <x v="21"/>
  </r>
  <r>
    <x v="28"/>
  </r>
  <r>
    <x v="2"/>
  </r>
  <r>
    <x v="28"/>
  </r>
  <r>
    <x v="12"/>
  </r>
  <r>
    <x v="42"/>
  </r>
  <r>
    <x v="10"/>
  </r>
  <r>
    <x v="1"/>
  </r>
  <r>
    <x v="16"/>
  </r>
  <r>
    <x v="143"/>
  </r>
  <r>
    <x v="17"/>
  </r>
  <r>
    <x v="17"/>
  </r>
  <r>
    <x v="17"/>
  </r>
  <r>
    <x v="37"/>
  </r>
  <r>
    <x v="37"/>
  </r>
  <r>
    <x v="37"/>
  </r>
  <r>
    <x v="9"/>
  </r>
  <r>
    <x v="9"/>
  </r>
  <r>
    <x v="9"/>
  </r>
  <r>
    <x v="9"/>
  </r>
  <r>
    <x v="10"/>
  </r>
  <r>
    <x v="10"/>
  </r>
  <r>
    <x v="9"/>
  </r>
  <r>
    <x v="25"/>
  </r>
  <r>
    <x v="9"/>
  </r>
  <r>
    <x v="21"/>
  </r>
  <r>
    <x v="16"/>
  </r>
  <r>
    <x v="11"/>
  </r>
  <r>
    <x v="28"/>
  </r>
  <r>
    <x v="24"/>
  </r>
  <r>
    <x v="39"/>
  </r>
  <r>
    <x v="14"/>
  </r>
  <r>
    <x v="162"/>
  </r>
  <r>
    <x v="9"/>
  </r>
  <r>
    <x v="162"/>
  </r>
  <r>
    <x v="9"/>
  </r>
  <r>
    <x v="9"/>
  </r>
  <r>
    <x v="10"/>
  </r>
  <r>
    <x v="4"/>
  </r>
  <r>
    <x v="4"/>
  </r>
  <r>
    <x v="12"/>
  </r>
  <r>
    <x v="71"/>
  </r>
  <r>
    <x v="42"/>
  </r>
  <r>
    <x v="70"/>
  </r>
  <r>
    <x v="4"/>
  </r>
  <r>
    <x v="0"/>
  </r>
  <r>
    <x v="16"/>
  </r>
  <r>
    <x v="16"/>
  </r>
  <r>
    <x v="16"/>
  </r>
  <r>
    <x v="16"/>
  </r>
  <r>
    <x v="40"/>
  </r>
  <r>
    <x v="4"/>
  </r>
  <r>
    <x v="16"/>
  </r>
  <r>
    <x v="4"/>
  </r>
  <r>
    <x v="42"/>
  </r>
  <r>
    <x v="33"/>
  </r>
  <r>
    <x v="42"/>
  </r>
  <r>
    <x v="42"/>
  </r>
  <r>
    <x v="42"/>
  </r>
  <r>
    <x v="28"/>
  </r>
  <r>
    <x v="28"/>
  </r>
  <r>
    <x v="9"/>
  </r>
  <r>
    <x v="31"/>
  </r>
  <r>
    <x v="36"/>
  </r>
  <r>
    <x v="0"/>
  </r>
  <r>
    <x v="9"/>
  </r>
  <r>
    <x v="9"/>
  </r>
  <r>
    <x v="9"/>
  </r>
  <r>
    <x v="40"/>
  </r>
  <r>
    <x v="21"/>
  </r>
  <r>
    <x v="130"/>
  </r>
  <r>
    <x v="12"/>
  </r>
  <r>
    <x v="4"/>
  </r>
  <r>
    <x v="0"/>
  </r>
  <r>
    <x v="12"/>
  </r>
  <r>
    <x v="12"/>
  </r>
  <r>
    <x v="4"/>
  </r>
  <r>
    <x v="115"/>
  </r>
  <r>
    <x v="9"/>
  </r>
  <r>
    <x v="76"/>
  </r>
  <r>
    <x v="12"/>
  </r>
  <r>
    <x v="115"/>
  </r>
  <r>
    <x v="56"/>
  </r>
  <r>
    <x v="64"/>
  </r>
  <r>
    <x v="59"/>
  </r>
  <r>
    <x v="12"/>
  </r>
  <r>
    <x v="12"/>
  </r>
  <r>
    <x v="12"/>
  </r>
  <r>
    <x v="8"/>
  </r>
  <r>
    <x v="16"/>
  </r>
  <r>
    <x v="14"/>
  </r>
  <r>
    <x v="17"/>
  </r>
  <r>
    <x v="1"/>
  </r>
  <r>
    <x v="11"/>
  </r>
  <r>
    <x v="14"/>
  </r>
  <r>
    <x v="17"/>
  </r>
  <r>
    <x v="9"/>
  </r>
  <r>
    <x v="70"/>
  </r>
  <r>
    <x v="14"/>
  </r>
  <r>
    <x v="7"/>
  </r>
  <r>
    <x v="12"/>
  </r>
  <r>
    <x v="12"/>
  </r>
  <r>
    <x v="1"/>
  </r>
  <r>
    <x v="4"/>
  </r>
  <r>
    <x v="115"/>
  </r>
  <r>
    <x v="1"/>
  </r>
  <r>
    <x v="12"/>
  </r>
  <r>
    <x v="14"/>
  </r>
  <r>
    <x v="4"/>
  </r>
  <r>
    <x v="4"/>
  </r>
  <r>
    <x v="4"/>
  </r>
  <r>
    <x v="4"/>
  </r>
  <r>
    <x v="45"/>
  </r>
  <r>
    <x v="22"/>
  </r>
  <r>
    <x v="12"/>
  </r>
  <r>
    <x v="19"/>
  </r>
  <r>
    <x v="25"/>
  </r>
  <r>
    <x v="12"/>
  </r>
  <r>
    <x v="4"/>
  </r>
  <r>
    <x v="9"/>
  </r>
  <r>
    <x v="9"/>
  </r>
  <r>
    <x v="10"/>
  </r>
  <r>
    <x v="7"/>
  </r>
  <r>
    <x v="14"/>
  </r>
  <r>
    <x v="12"/>
  </r>
  <r>
    <x v="10"/>
  </r>
  <r>
    <x v="55"/>
  </r>
  <r>
    <x v="4"/>
  </r>
  <r>
    <x v="4"/>
  </r>
  <r>
    <x v="12"/>
  </r>
  <r>
    <x v="12"/>
  </r>
  <r>
    <x v="12"/>
  </r>
  <r>
    <x v="14"/>
  </r>
  <r>
    <x v="28"/>
  </r>
  <r>
    <x v="0"/>
  </r>
  <r>
    <x v="0"/>
  </r>
  <r>
    <x v="37"/>
  </r>
  <r>
    <x v="0"/>
  </r>
  <r>
    <x v="37"/>
  </r>
  <r>
    <x v="46"/>
  </r>
  <r>
    <x v="46"/>
  </r>
  <r>
    <x v="46"/>
  </r>
  <r>
    <x v="28"/>
  </r>
  <r>
    <x v="12"/>
  </r>
  <r>
    <x v="9"/>
  </r>
  <r>
    <x v="14"/>
  </r>
  <r>
    <x v="16"/>
  </r>
  <r>
    <x v="1"/>
  </r>
  <r>
    <x v="55"/>
  </r>
  <r>
    <x v="9"/>
  </r>
  <r>
    <x v="11"/>
  </r>
  <r>
    <x v="12"/>
  </r>
  <r>
    <x v="12"/>
  </r>
  <r>
    <x v="12"/>
  </r>
  <r>
    <x v="4"/>
  </r>
  <r>
    <x v="12"/>
  </r>
  <r>
    <x v="0"/>
  </r>
  <r>
    <x v="11"/>
  </r>
  <r>
    <x v="4"/>
  </r>
  <r>
    <x v="4"/>
  </r>
  <r>
    <x v="0"/>
  </r>
  <r>
    <x v="25"/>
  </r>
  <r>
    <x v="11"/>
  </r>
  <r>
    <x v="4"/>
  </r>
  <r>
    <x v="53"/>
  </r>
  <r>
    <x v="10"/>
  </r>
  <r>
    <x v="45"/>
  </r>
  <r>
    <x v="12"/>
  </r>
  <r>
    <x v="8"/>
  </r>
  <r>
    <x v="11"/>
  </r>
  <r>
    <x v="9"/>
  </r>
  <r>
    <x v="27"/>
  </r>
  <r>
    <x v="1"/>
  </r>
  <r>
    <x v="76"/>
  </r>
  <r>
    <x v="11"/>
  </r>
  <r>
    <x v="0"/>
  </r>
  <r>
    <x v="31"/>
  </r>
  <r>
    <x v="11"/>
  </r>
  <r>
    <x v="0"/>
  </r>
  <r>
    <x v="10"/>
  </r>
  <r>
    <x v="55"/>
  </r>
  <r>
    <x v="8"/>
  </r>
  <r>
    <x v="102"/>
  </r>
  <r>
    <x v="4"/>
  </r>
  <r>
    <x v="159"/>
  </r>
  <r>
    <x v="4"/>
  </r>
  <r>
    <x v="1"/>
  </r>
  <r>
    <x v="10"/>
  </r>
  <r>
    <x v="4"/>
  </r>
  <r>
    <x v="28"/>
  </r>
  <r>
    <x v="10"/>
  </r>
  <r>
    <x v="42"/>
  </r>
  <r>
    <x v="6"/>
  </r>
  <r>
    <x v="12"/>
  </r>
  <r>
    <x v="8"/>
  </r>
  <r>
    <x v="14"/>
  </r>
  <r>
    <x v="10"/>
  </r>
  <r>
    <x v="10"/>
  </r>
  <r>
    <x v="12"/>
  </r>
  <r>
    <x v="11"/>
  </r>
  <r>
    <x v="7"/>
  </r>
  <r>
    <x v="4"/>
  </r>
  <r>
    <x v="4"/>
  </r>
  <r>
    <x v="28"/>
  </r>
  <r>
    <x v="4"/>
  </r>
  <r>
    <x v="10"/>
  </r>
  <r>
    <x v="12"/>
  </r>
  <r>
    <x v="12"/>
  </r>
  <r>
    <x v="22"/>
  </r>
  <r>
    <x v="11"/>
  </r>
  <r>
    <x v="4"/>
  </r>
  <r>
    <x v="263"/>
  </r>
  <r>
    <x v="6"/>
  </r>
  <r>
    <x v="12"/>
  </r>
  <r>
    <x v="24"/>
  </r>
  <r>
    <x v="4"/>
  </r>
  <r>
    <x v="12"/>
  </r>
  <r>
    <x v="22"/>
  </r>
  <r>
    <x v="4"/>
  </r>
  <r>
    <x v="4"/>
  </r>
  <r>
    <x v="24"/>
  </r>
  <r>
    <x v="4"/>
  </r>
  <r>
    <x v="12"/>
  </r>
  <r>
    <x v="28"/>
  </r>
  <r>
    <x v="1"/>
  </r>
  <r>
    <x v="4"/>
  </r>
  <r>
    <x v="19"/>
  </r>
  <r>
    <x v="37"/>
  </r>
  <r>
    <x v="14"/>
  </r>
  <r>
    <x v="4"/>
  </r>
  <r>
    <x v="22"/>
  </r>
  <r>
    <x v="2"/>
  </r>
  <r>
    <x v="45"/>
  </r>
  <r>
    <x v="10"/>
  </r>
  <r>
    <x v="9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4"/>
  </r>
  <r>
    <x v="12"/>
  </r>
  <r>
    <x v="14"/>
  </r>
  <r>
    <x v="0"/>
  </r>
  <r>
    <x v="4"/>
  </r>
  <r>
    <x v="12"/>
  </r>
  <r>
    <x v="22"/>
  </r>
  <r>
    <x v="4"/>
  </r>
  <r>
    <x v="22"/>
  </r>
  <r>
    <x v="22"/>
  </r>
  <r>
    <x v="22"/>
  </r>
  <r>
    <x v="22"/>
  </r>
  <r>
    <x v="22"/>
  </r>
  <r>
    <x v="22"/>
  </r>
  <r>
    <x v="22"/>
  </r>
  <r>
    <x v="28"/>
  </r>
  <r>
    <x v="12"/>
  </r>
  <r>
    <x v="10"/>
  </r>
  <r>
    <x v="10"/>
  </r>
  <r>
    <x v="12"/>
  </r>
  <r>
    <x v="42"/>
  </r>
  <r>
    <x v="22"/>
  </r>
  <r>
    <x v="22"/>
  </r>
  <r>
    <x v="22"/>
  </r>
  <r>
    <x v="4"/>
  </r>
  <r>
    <x v="4"/>
  </r>
  <r>
    <x v="2"/>
  </r>
  <r>
    <x v="0"/>
  </r>
  <r>
    <x v="34"/>
  </r>
  <r>
    <x v="34"/>
  </r>
  <r>
    <x v="34"/>
  </r>
  <r>
    <x v="33"/>
  </r>
  <r>
    <x v="33"/>
  </r>
  <r>
    <x v="55"/>
  </r>
  <r>
    <x v="9"/>
  </r>
  <r>
    <x v="10"/>
  </r>
  <r>
    <x v="17"/>
  </r>
  <r>
    <x v="28"/>
  </r>
  <r>
    <x v="28"/>
  </r>
  <r>
    <x v="28"/>
  </r>
  <r>
    <x v="28"/>
  </r>
  <r>
    <x v="28"/>
  </r>
  <r>
    <x v="28"/>
  </r>
  <r>
    <x v="12"/>
  </r>
  <r>
    <x v="4"/>
  </r>
  <r>
    <x v="4"/>
  </r>
  <r>
    <x v="0"/>
  </r>
  <r>
    <x v="1"/>
  </r>
  <r>
    <x v="12"/>
  </r>
  <r>
    <x v="28"/>
  </r>
  <r>
    <x v="4"/>
  </r>
  <r>
    <x v="0"/>
  </r>
  <r>
    <x v="4"/>
  </r>
  <r>
    <x v="1"/>
  </r>
  <r>
    <x v="14"/>
  </r>
  <r>
    <x v="28"/>
  </r>
  <r>
    <x v="28"/>
  </r>
  <r>
    <x v="28"/>
  </r>
  <r>
    <x v="19"/>
  </r>
  <r>
    <x v="31"/>
  </r>
  <r>
    <x v="17"/>
  </r>
  <r>
    <x v="10"/>
  </r>
  <r>
    <x v="16"/>
  </r>
  <r>
    <x v="4"/>
  </r>
  <r>
    <x v="4"/>
  </r>
  <r>
    <x v="4"/>
  </r>
  <r>
    <x v="4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24"/>
  </r>
  <r>
    <x v="21"/>
  </r>
  <r>
    <x v="10"/>
  </r>
  <r>
    <x v="57"/>
  </r>
  <r>
    <x v="28"/>
  </r>
  <r>
    <x v="0"/>
  </r>
  <r>
    <x v="30"/>
  </r>
  <r>
    <x v="31"/>
  </r>
  <r>
    <x v="37"/>
  </r>
  <r>
    <x v="14"/>
  </r>
  <r>
    <x v="12"/>
  </r>
  <r>
    <x v="12"/>
  </r>
  <r>
    <x v="22"/>
  </r>
  <r>
    <x v="0"/>
  </r>
  <r>
    <x v="4"/>
  </r>
  <r>
    <x v="0"/>
  </r>
  <r>
    <x v="30"/>
  </r>
  <r>
    <x v="14"/>
  </r>
  <r>
    <x v="30"/>
  </r>
  <r>
    <x v="9"/>
  </r>
  <r>
    <x v="7"/>
  </r>
  <r>
    <x v="9"/>
  </r>
  <r>
    <x v="11"/>
  </r>
  <r>
    <x v="19"/>
  </r>
  <r>
    <x v="21"/>
  </r>
  <r>
    <x v="4"/>
  </r>
  <r>
    <x v="4"/>
  </r>
  <r>
    <x v="28"/>
  </r>
  <r>
    <x v="204"/>
  </r>
  <r>
    <x v="204"/>
  </r>
  <r>
    <x v="14"/>
  </r>
  <r>
    <x v="0"/>
  </r>
  <r>
    <x v="4"/>
  </r>
  <r>
    <x v="0"/>
  </r>
  <r>
    <x v="4"/>
  </r>
  <r>
    <x v="4"/>
  </r>
  <r>
    <x v="14"/>
  </r>
  <r>
    <x v="0"/>
  </r>
  <r>
    <x v="28"/>
  </r>
  <r>
    <x v="17"/>
  </r>
  <r>
    <x v="7"/>
  </r>
  <r>
    <x v="30"/>
  </r>
  <r>
    <x v="0"/>
  </r>
  <r>
    <x v="19"/>
  </r>
  <r>
    <x v="0"/>
  </r>
  <r>
    <x v="12"/>
  </r>
  <r>
    <x v="7"/>
  </r>
  <r>
    <x v="0"/>
  </r>
  <r>
    <x v="0"/>
  </r>
  <r>
    <x v="30"/>
  </r>
  <r>
    <x v="12"/>
  </r>
  <r>
    <x v="12"/>
  </r>
  <r>
    <x v="126"/>
  </r>
  <r>
    <x v="14"/>
  </r>
  <r>
    <x v="0"/>
  </r>
  <r>
    <x v="21"/>
  </r>
  <r>
    <x v="12"/>
  </r>
  <r>
    <x v="12"/>
  </r>
  <r>
    <x v="9"/>
  </r>
  <r>
    <x v="11"/>
  </r>
  <r>
    <x v="30"/>
  </r>
  <r>
    <x v="17"/>
  </r>
  <r>
    <x v="8"/>
  </r>
  <r>
    <x v="4"/>
  </r>
  <r>
    <x v="12"/>
  </r>
  <r>
    <x v="12"/>
  </r>
  <r>
    <x v="25"/>
  </r>
  <r>
    <x v="0"/>
  </r>
  <r>
    <x v="12"/>
  </r>
  <r>
    <x v="12"/>
  </r>
  <r>
    <x v="12"/>
  </r>
  <r>
    <x v="28"/>
  </r>
  <r>
    <x v="59"/>
  </r>
  <r>
    <x v="9"/>
  </r>
  <r>
    <x v="42"/>
  </r>
  <r>
    <x v="12"/>
  </r>
  <r>
    <x v="162"/>
  </r>
  <r>
    <x v="11"/>
  </r>
  <r>
    <x v="4"/>
  </r>
  <r>
    <x v="4"/>
  </r>
  <r>
    <x v="22"/>
  </r>
  <r>
    <x v="10"/>
  </r>
  <r>
    <x v="2"/>
  </r>
  <r>
    <x v="4"/>
  </r>
  <r>
    <x v="4"/>
  </r>
  <r>
    <x v="0"/>
  </r>
  <r>
    <x v="57"/>
  </r>
  <r>
    <x v="10"/>
  </r>
  <r>
    <x v="10"/>
  </r>
  <r>
    <x v="1"/>
  </r>
  <r>
    <x v="19"/>
  </r>
  <r>
    <x v="11"/>
  </r>
  <r>
    <x v="11"/>
  </r>
  <r>
    <x v="32"/>
  </r>
  <r>
    <x v="19"/>
  </r>
  <r>
    <x v="37"/>
  </r>
  <r>
    <x v="14"/>
  </r>
  <r>
    <x v="0"/>
  </r>
  <r>
    <x v="10"/>
  </r>
  <r>
    <x v="0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4"/>
  </r>
  <r>
    <x v="2"/>
  </r>
  <r>
    <x v="10"/>
  </r>
  <r>
    <x v="8"/>
  </r>
  <r>
    <x v="0"/>
  </r>
  <r>
    <x v="9"/>
  </r>
  <r>
    <x v="9"/>
  </r>
  <r>
    <x v="4"/>
  </r>
  <r>
    <x v="4"/>
  </r>
  <r>
    <x v="9"/>
  </r>
  <r>
    <x v="14"/>
  </r>
  <r>
    <x v="10"/>
  </r>
  <r>
    <x v="24"/>
  </r>
  <r>
    <x v="33"/>
  </r>
  <r>
    <x v="21"/>
  </r>
  <r>
    <x v="10"/>
  </r>
  <r>
    <x v="130"/>
  </r>
  <r>
    <x v="130"/>
  </r>
  <r>
    <x v="12"/>
  </r>
  <r>
    <x v="55"/>
  </r>
  <r>
    <x v="19"/>
  </r>
  <r>
    <x v="4"/>
  </r>
  <r>
    <x v="30"/>
  </r>
  <r>
    <x v="1"/>
  </r>
  <r>
    <x v="0"/>
  </r>
  <r>
    <x v="22"/>
  </r>
  <r>
    <x v="39"/>
  </r>
  <r>
    <x v="0"/>
  </r>
  <r>
    <x v="29"/>
  </r>
  <r>
    <x v="0"/>
  </r>
  <r>
    <x v="8"/>
  </r>
  <r>
    <x v="10"/>
  </r>
  <r>
    <x v="4"/>
  </r>
  <r>
    <x v="4"/>
  </r>
  <r>
    <x v="4"/>
  </r>
  <r>
    <x v="4"/>
  </r>
  <r>
    <x v="19"/>
  </r>
  <r>
    <x v="22"/>
  </r>
  <r>
    <x v="1"/>
  </r>
  <r>
    <x v="19"/>
  </r>
  <r>
    <x v="0"/>
  </r>
  <r>
    <x v="11"/>
  </r>
  <r>
    <x v="12"/>
  </r>
  <r>
    <x v="10"/>
  </r>
  <r>
    <x v="0"/>
  </r>
  <r>
    <x v="0"/>
  </r>
  <r>
    <x v="28"/>
  </r>
  <r>
    <x v="0"/>
  </r>
  <r>
    <x v="42"/>
  </r>
  <r>
    <x v="10"/>
  </r>
  <r>
    <x v="8"/>
  </r>
  <r>
    <x v="162"/>
  </r>
  <r>
    <x v="4"/>
  </r>
  <r>
    <x v="12"/>
  </r>
  <r>
    <x v="12"/>
  </r>
  <r>
    <x v="33"/>
  </r>
  <r>
    <x v="9"/>
  </r>
  <r>
    <x v="33"/>
  </r>
  <r>
    <x v="14"/>
  </r>
  <r>
    <x v="10"/>
  </r>
  <r>
    <x v="162"/>
  </r>
  <r>
    <x v="53"/>
  </r>
  <r>
    <x v="53"/>
  </r>
  <r>
    <x v="9"/>
  </r>
  <r>
    <x v="42"/>
  </r>
  <r>
    <x v="4"/>
  </r>
  <r>
    <x v="2"/>
  </r>
  <r>
    <x v="12"/>
  </r>
  <r>
    <x v="39"/>
  </r>
  <r>
    <x v="12"/>
  </r>
  <r>
    <x v="42"/>
  </r>
  <r>
    <x v="21"/>
  </r>
  <r>
    <x v="33"/>
  </r>
  <r>
    <x v="9"/>
  </r>
  <r>
    <x v="4"/>
  </r>
  <r>
    <x v="14"/>
  </r>
  <r>
    <x v="31"/>
  </r>
  <r>
    <x v="162"/>
  </r>
  <r>
    <x v="10"/>
  </r>
  <r>
    <x v="12"/>
  </r>
  <r>
    <x v="42"/>
  </r>
  <r>
    <x v="199"/>
  </r>
  <r>
    <x v="6"/>
  </r>
  <r>
    <x v="12"/>
  </r>
  <r>
    <x v="14"/>
  </r>
  <r>
    <x v="30"/>
  </r>
  <r>
    <x v="30"/>
  </r>
  <r>
    <x v="30"/>
  </r>
  <r>
    <x v="28"/>
  </r>
  <r>
    <x v="28"/>
  </r>
  <r>
    <x v="28"/>
  </r>
  <r>
    <x v="28"/>
  </r>
  <r>
    <x v="37"/>
  </r>
  <r>
    <x v="0"/>
  </r>
  <r>
    <x v="0"/>
  </r>
  <r>
    <x v="24"/>
  </r>
  <r>
    <x v="162"/>
  </r>
  <r>
    <x v="162"/>
  </r>
  <r>
    <x v="162"/>
  </r>
  <r>
    <x v="30"/>
  </r>
  <r>
    <x v="33"/>
  </r>
  <r>
    <x v="33"/>
  </r>
  <r>
    <x v="33"/>
  </r>
  <r>
    <x v="33"/>
  </r>
  <r>
    <x v="39"/>
  </r>
  <r>
    <x v="14"/>
  </r>
  <r>
    <x v="33"/>
  </r>
  <r>
    <x v="162"/>
  </r>
  <r>
    <x v="39"/>
  </r>
  <r>
    <x v="39"/>
  </r>
  <r>
    <x v="9"/>
  </r>
  <r>
    <x v="4"/>
  </r>
  <r>
    <x v="0"/>
  </r>
  <r>
    <x v="33"/>
  </r>
  <r>
    <x v="7"/>
  </r>
  <r>
    <x v="0"/>
  </r>
  <r>
    <x v="33"/>
  </r>
  <r>
    <x v="4"/>
  </r>
  <r>
    <x v="166"/>
  </r>
  <r>
    <x v="12"/>
  </r>
  <r>
    <x v="69"/>
  </r>
  <r>
    <x v="11"/>
  </r>
  <r>
    <x v="14"/>
  </r>
  <r>
    <x v="75"/>
  </r>
  <r>
    <x v="14"/>
  </r>
  <r>
    <x v="7"/>
  </r>
  <r>
    <x v="4"/>
  </r>
  <r>
    <x v="4"/>
  </r>
  <r>
    <x v="5"/>
  </r>
  <r>
    <x v="159"/>
  </r>
  <r>
    <x v="29"/>
  </r>
  <r>
    <x v="53"/>
  </r>
  <r>
    <x v="10"/>
  </r>
  <r>
    <x v="21"/>
  </r>
  <r>
    <x v="11"/>
  </r>
  <r>
    <x v="28"/>
  </r>
  <r>
    <x v="4"/>
  </r>
  <r>
    <x v="64"/>
  </r>
  <r>
    <x v="14"/>
  </r>
  <r>
    <x v="0"/>
  </r>
  <r>
    <x v="21"/>
  </r>
  <r>
    <x v="12"/>
  </r>
  <r>
    <x v="28"/>
  </r>
  <r>
    <x v="0"/>
  </r>
  <r>
    <x v="0"/>
  </r>
  <r>
    <x v="15"/>
  </r>
  <r>
    <x v="130"/>
  </r>
  <r>
    <x v="42"/>
  </r>
  <r>
    <x v="4"/>
  </r>
  <r>
    <x v="31"/>
  </r>
  <r>
    <x v="21"/>
  </r>
  <r>
    <x v="2"/>
  </r>
  <r>
    <x v="12"/>
  </r>
  <r>
    <x v="130"/>
  </r>
  <r>
    <x v="4"/>
  </r>
  <r>
    <x v="1"/>
  </r>
  <r>
    <x v="4"/>
  </r>
  <r>
    <x v="21"/>
  </r>
  <r>
    <x v="48"/>
  </r>
  <r>
    <x v="12"/>
  </r>
  <r>
    <x v="28"/>
  </r>
  <r>
    <x v="8"/>
  </r>
  <r>
    <x v="12"/>
  </r>
  <r>
    <x v="9"/>
  </r>
  <r>
    <x v="12"/>
  </r>
  <r>
    <x v="75"/>
  </r>
  <r>
    <x v="4"/>
  </r>
  <r>
    <x v="17"/>
  </r>
  <r>
    <x v="0"/>
  </r>
  <r>
    <x v="6"/>
  </r>
  <r>
    <x v="4"/>
  </r>
  <r>
    <x v="12"/>
  </r>
  <r>
    <x v="48"/>
  </r>
  <r>
    <x v="12"/>
  </r>
  <r>
    <x v="37"/>
  </r>
  <r>
    <x v="17"/>
  </r>
  <r>
    <x v="0"/>
  </r>
  <r>
    <x v="1"/>
  </r>
  <r>
    <x v="4"/>
  </r>
  <r>
    <x v="28"/>
  </r>
  <r>
    <x v="10"/>
  </r>
  <r>
    <x v="10"/>
  </r>
  <r>
    <x v="1"/>
  </r>
  <r>
    <x v="17"/>
  </r>
  <r>
    <x v="28"/>
  </r>
  <r>
    <x v="12"/>
  </r>
  <r>
    <x v="8"/>
  </r>
  <r>
    <x v="159"/>
  </r>
  <r>
    <x v="12"/>
  </r>
  <r>
    <x v="30"/>
  </r>
  <r>
    <x v="22"/>
  </r>
  <r>
    <x v="10"/>
  </r>
  <r>
    <x v="33"/>
  </r>
  <r>
    <x v="1"/>
  </r>
  <r>
    <x v="0"/>
  </r>
  <r>
    <x v="0"/>
  </r>
  <r>
    <x v="22"/>
  </r>
  <r>
    <x v="0"/>
  </r>
  <r>
    <x v="24"/>
  </r>
  <r>
    <x v="14"/>
  </r>
  <r>
    <x v="24"/>
  </r>
  <r>
    <x v="17"/>
  </r>
  <r>
    <x v="12"/>
  </r>
  <r>
    <x v="12"/>
  </r>
  <r>
    <x v="8"/>
  </r>
  <r>
    <x v="0"/>
  </r>
  <r>
    <x v="1"/>
  </r>
  <r>
    <x v="28"/>
  </r>
  <r>
    <x v="0"/>
  </r>
  <r>
    <x v="57"/>
  </r>
  <r>
    <x v="10"/>
  </r>
  <r>
    <x v="10"/>
  </r>
  <r>
    <x v="53"/>
  </r>
  <r>
    <x v="40"/>
  </r>
  <r>
    <x v="4"/>
  </r>
  <r>
    <x v="9"/>
  </r>
  <r>
    <x v="21"/>
  </r>
  <r>
    <x v="0"/>
  </r>
  <r>
    <x v="4"/>
  </r>
  <r>
    <x v="6"/>
  </r>
  <r>
    <x v="9"/>
  </r>
  <r>
    <x v="9"/>
  </r>
  <r>
    <x v="12"/>
  </r>
  <r>
    <x v="6"/>
  </r>
  <r>
    <x v="24"/>
  </r>
  <r>
    <x v="128"/>
  </r>
  <r>
    <x v="42"/>
  </r>
  <r>
    <x v="0"/>
  </r>
  <r>
    <x v="31"/>
  </r>
  <r>
    <x v="143"/>
  </r>
  <r>
    <x v="32"/>
  </r>
  <r>
    <x v="34"/>
  </r>
  <r>
    <x v="123"/>
  </r>
  <r>
    <x v="24"/>
  </r>
  <r>
    <x v="10"/>
  </r>
  <r>
    <x v="48"/>
  </r>
  <r>
    <x v="13"/>
  </r>
  <r>
    <x v="55"/>
  </r>
  <r>
    <x v="55"/>
  </r>
  <r>
    <x v="9"/>
  </r>
  <r>
    <x v="31"/>
  </r>
  <r>
    <x v="12"/>
  </r>
  <r>
    <x v="4"/>
  </r>
  <r>
    <x v="12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114"/>
  </r>
  <r>
    <x v="14"/>
  </r>
  <r>
    <x v="24"/>
  </r>
  <r>
    <x v="53"/>
  </r>
  <r>
    <x v="12"/>
  </r>
  <r>
    <x v="29"/>
  </r>
  <r>
    <x v="14"/>
  </r>
  <r>
    <x v="7"/>
  </r>
  <r>
    <x v="1"/>
  </r>
  <r>
    <x v="2"/>
  </r>
  <r>
    <x v="53"/>
  </r>
  <r>
    <x v="39"/>
  </r>
  <r>
    <x v="0"/>
  </r>
  <r>
    <x v="21"/>
  </r>
  <r>
    <x v="10"/>
  </r>
  <r>
    <x v="0"/>
  </r>
  <r>
    <x v="0"/>
  </r>
  <r>
    <x v="53"/>
  </r>
  <r>
    <x v="14"/>
  </r>
  <r>
    <x v="19"/>
  </r>
  <r>
    <x v="57"/>
  </r>
  <r>
    <x v="30"/>
  </r>
  <r>
    <x v="30"/>
  </r>
  <r>
    <x v="36"/>
  </r>
  <r>
    <x v="42"/>
  </r>
  <r>
    <x v="28"/>
  </r>
  <r>
    <x v="75"/>
  </r>
  <r>
    <x v="26"/>
  </r>
  <r>
    <x v="10"/>
  </r>
  <r>
    <x v="17"/>
  </r>
  <r>
    <x v="123"/>
  </r>
  <r>
    <x v="1"/>
  </r>
  <r>
    <x v="75"/>
  </r>
  <r>
    <x v="9"/>
  </r>
  <r>
    <x v="37"/>
  </r>
  <r>
    <x v="4"/>
  </r>
  <r>
    <x v="12"/>
  </r>
  <r>
    <x v="2"/>
  </r>
  <r>
    <x v="12"/>
  </r>
  <r>
    <x v="22"/>
  </r>
  <r>
    <x v="0"/>
  </r>
  <r>
    <x v="22"/>
  </r>
  <r>
    <x v="56"/>
  </r>
  <r>
    <x v="56"/>
  </r>
  <r>
    <x v="56"/>
  </r>
  <r>
    <x v="56"/>
  </r>
  <r>
    <x v="12"/>
  </r>
  <r>
    <x v="0"/>
  </r>
  <r>
    <x v="0"/>
  </r>
  <r>
    <x v="22"/>
  </r>
  <r>
    <x v="169"/>
  </r>
  <r>
    <x v="17"/>
  </r>
  <r>
    <x v="17"/>
  </r>
  <r>
    <x v="37"/>
  </r>
  <r>
    <x v="11"/>
  </r>
  <r>
    <x v="14"/>
  </r>
  <r>
    <x v="40"/>
  </r>
  <r>
    <x v="22"/>
  </r>
  <r>
    <x v="14"/>
  </r>
  <r>
    <x v="14"/>
  </r>
  <r>
    <x v="6"/>
  </r>
  <r>
    <x v="4"/>
  </r>
  <r>
    <x v="9"/>
  </r>
  <r>
    <x v="10"/>
  </r>
  <r>
    <x v="45"/>
  </r>
  <r>
    <x v="4"/>
  </r>
  <r>
    <x v="2"/>
  </r>
  <r>
    <x v="10"/>
  </r>
  <r>
    <x v="27"/>
  </r>
  <r>
    <x v="27"/>
  </r>
  <r>
    <x v="19"/>
  </r>
  <r>
    <x v="19"/>
  </r>
  <r>
    <x v="4"/>
  </r>
  <r>
    <x v="4"/>
  </r>
  <r>
    <x v="0"/>
  </r>
  <r>
    <x v="4"/>
  </r>
  <r>
    <x v="28"/>
  </r>
  <r>
    <x v="4"/>
  </r>
  <r>
    <x v="0"/>
  </r>
  <r>
    <x v="0"/>
  </r>
  <r>
    <x v="0"/>
  </r>
  <r>
    <x v="42"/>
  </r>
  <r>
    <x v="42"/>
  </r>
  <r>
    <x v="22"/>
  </r>
  <r>
    <x v="0"/>
  </r>
  <r>
    <x v="0"/>
  </r>
  <r>
    <x v="33"/>
  </r>
  <r>
    <x v="4"/>
  </r>
  <r>
    <x v="2"/>
  </r>
  <r>
    <x v="4"/>
  </r>
  <r>
    <x v="14"/>
  </r>
  <r>
    <x v="42"/>
  </r>
  <r>
    <x v="10"/>
  </r>
  <r>
    <x v="37"/>
  </r>
  <r>
    <x v="0"/>
  </r>
  <r>
    <x v="28"/>
  </r>
  <r>
    <x v="0"/>
  </r>
  <r>
    <x v="0"/>
  </r>
  <r>
    <x v="0"/>
  </r>
  <r>
    <x v="2"/>
  </r>
  <r>
    <x v="2"/>
  </r>
  <r>
    <x v="22"/>
  </r>
  <r>
    <x v="7"/>
  </r>
  <r>
    <x v="17"/>
  </r>
  <r>
    <x v="17"/>
  </r>
  <r>
    <x v="17"/>
  </r>
  <r>
    <x v="16"/>
  </r>
  <r>
    <x v="4"/>
  </r>
  <r>
    <x v="17"/>
  </r>
  <r>
    <x v="4"/>
  </r>
  <r>
    <x v="12"/>
  </r>
  <r>
    <x v="0"/>
  </r>
  <r>
    <x v="163"/>
  </r>
  <r>
    <x v="12"/>
  </r>
  <r>
    <x v="21"/>
  </r>
  <r>
    <x v="0"/>
  </r>
  <r>
    <x v="57"/>
  </r>
  <r>
    <x v="11"/>
  </r>
  <r>
    <x v="12"/>
  </r>
  <r>
    <x v="28"/>
  </r>
  <r>
    <x v="0"/>
  </r>
  <r>
    <x v="0"/>
  </r>
  <r>
    <x v="24"/>
  </r>
  <r>
    <x v="6"/>
  </r>
  <r>
    <x v="26"/>
  </r>
  <r>
    <x v="46"/>
  </r>
  <r>
    <x v="4"/>
  </r>
  <r>
    <x v="130"/>
  </r>
  <r>
    <x v="1"/>
  </r>
  <r>
    <x v="10"/>
  </r>
  <r>
    <x v="0"/>
  </r>
  <r>
    <x v="4"/>
  </r>
  <r>
    <x v="2"/>
  </r>
  <r>
    <x v="2"/>
  </r>
  <r>
    <x v="17"/>
  </r>
  <r>
    <x v="17"/>
  </r>
  <r>
    <x v="108"/>
  </r>
  <r>
    <x v="11"/>
  </r>
  <r>
    <x v="48"/>
  </r>
  <r>
    <x v="87"/>
  </r>
  <r>
    <x v="11"/>
  </r>
  <r>
    <x v="48"/>
  </r>
  <r>
    <x v="48"/>
  </r>
  <r>
    <x v="11"/>
  </r>
  <r>
    <x v="11"/>
  </r>
  <r>
    <x v="28"/>
  </r>
  <r>
    <x v="11"/>
  </r>
  <r>
    <x v="4"/>
  </r>
  <r>
    <x v="14"/>
  </r>
  <r>
    <x v="17"/>
  </r>
  <r>
    <x v="14"/>
  </r>
  <r>
    <x v="10"/>
  </r>
  <r>
    <x v="14"/>
  </r>
  <r>
    <x v="42"/>
  </r>
  <r>
    <x v="9"/>
  </r>
  <r>
    <x v="0"/>
  </r>
  <r>
    <x v="10"/>
  </r>
  <r>
    <x v="10"/>
  </r>
  <r>
    <x v="10"/>
  </r>
  <r>
    <x v="22"/>
  </r>
  <r>
    <x v="14"/>
  </r>
  <r>
    <x v="14"/>
  </r>
  <r>
    <x v="14"/>
  </r>
  <r>
    <x v="18"/>
  </r>
  <r>
    <x v="37"/>
  </r>
  <r>
    <x v="111"/>
  </r>
  <r>
    <x v="21"/>
  </r>
  <r>
    <x v="87"/>
  </r>
  <r>
    <x v="9"/>
  </r>
  <r>
    <x v="10"/>
  </r>
  <r>
    <x v="11"/>
  </r>
  <r>
    <x v="11"/>
  </r>
  <r>
    <x v="17"/>
  </r>
  <r>
    <x v="14"/>
  </r>
  <r>
    <x v="21"/>
  </r>
  <r>
    <x v="2"/>
  </r>
  <r>
    <x v="12"/>
  </r>
  <r>
    <x v="12"/>
  </r>
  <r>
    <x v="12"/>
  </r>
  <r>
    <x v="36"/>
  </r>
  <r>
    <x v="0"/>
  </r>
  <r>
    <x v="48"/>
  </r>
  <r>
    <x v="28"/>
  </r>
  <r>
    <x v="12"/>
  </r>
  <r>
    <x v="14"/>
  </r>
  <r>
    <x v="14"/>
  </r>
  <r>
    <x v="11"/>
  </r>
  <r>
    <x v="115"/>
  </r>
  <r>
    <x v="14"/>
  </r>
  <r>
    <x v="14"/>
  </r>
  <r>
    <x v="14"/>
  </r>
  <r>
    <x v="14"/>
  </r>
  <r>
    <x v="48"/>
  </r>
  <r>
    <x v="1"/>
  </r>
  <r>
    <x v="6"/>
  </r>
  <r>
    <x v="9"/>
  </r>
  <r>
    <x v="42"/>
  </r>
  <r>
    <x v="43"/>
  </r>
  <r>
    <x v="208"/>
  </r>
  <r>
    <x v="8"/>
  </r>
  <r>
    <x v="14"/>
  </r>
  <r>
    <x v="9"/>
  </r>
  <r>
    <x v="14"/>
  </r>
  <r>
    <x v="8"/>
  </r>
  <r>
    <x v="14"/>
  </r>
  <r>
    <x v="11"/>
  </r>
  <r>
    <x v="14"/>
  </r>
  <r>
    <x v="10"/>
  </r>
  <r>
    <x v="9"/>
  </r>
  <r>
    <x v="11"/>
  </r>
  <r>
    <x v="26"/>
  </r>
  <r>
    <x v="37"/>
  </r>
  <r>
    <x v="10"/>
  </r>
  <r>
    <x v="10"/>
  </r>
  <r>
    <x v="11"/>
  </r>
  <r>
    <x v="21"/>
  </r>
  <r>
    <x v="21"/>
  </r>
  <r>
    <x v="223"/>
  </r>
  <r>
    <x v="61"/>
  </r>
  <r>
    <x v="6"/>
  </r>
  <r>
    <x v="17"/>
  </r>
  <r>
    <x v="37"/>
  </r>
  <r>
    <x v="4"/>
  </r>
  <r>
    <x v="43"/>
  </r>
  <r>
    <x v="43"/>
  </r>
  <r>
    <x v="0"/>
  </r>
  <r>
    <x v="17"/>
  </r>
  <r>
    <x v="11"/>
  </r>
  <r>
    <x v="6"/>
  </r>
  <r>
    <x v="111"/>
  </r>
  <r>
    <x v="132"/>
  </r>
  <r>
    <x v="17"/>
  </r>
  <r>
    <x v="37"/>
  </r>
  <r>
    <x v="14"/>
  </r>
  <r>
    <x v="44"/>
  </r>
  <r>
    <x v="11"/>
  </r>
  <r>
    <x v="32"/>
  </r>
  <r>
    <x v="53"/>
  </r>
  <r>
    <x v="0"/>
  </r>
  <r>
    <x v="26"/>
  </r>
  <r>
    <x v="26"/>
  </r>
  <r>
    <x v="14"/>
  </r>
  <r>
    <x v="115"/>
  </r>
  <r>
    <x v="24"/>
  </r>
  <r>
    <x v="10"/>
  </r>
  <r>
    <x v="26"/>
  </r>
  <r>
    <x v="14"/>
  </r>
  <r>
    <x v="14"/>
  </r>
  <r>
    <x v="6"/>
  </r>
  <r>
    <x v="6"/>
  </r>
  <r>
    <x v="8"/>
  </r>
  <r>
    <x v="12"/>
  </r>
  <r>
    <x v="217"/>
  </r>
  <r>
    <x v="12"/>
  </r>
  <r>
    <x v="12"/>
  </r>
  <r>
    <x v="12"/>
  </r>
  <r>
    <x v="12"/>
  </r>
  <r>
    <x v="12"/>
  </r>
  <r>
    <x v="12"/>
  </r>
  <r>
    <x v="12"/>
  </r>
  <r>
    <x v="12"/>
  </r>
  <r>
    <x v="17"/>
  </r>
  <r>
    <x v="9"/>
  </r>
  <r>
    <x v="2"/>
  </r>
  <r>
    <x v="2"/>
  </r>
  <r>
    <x v="2"/>
  </r>
  <r>
    <x v="2"/>
  </r>
  <r>
    <x v="17"/>
  </r>
  <r>
    <x v="17"/>
  </r>
  <r>
    <x v="37"/>
  </r>
  <r>
    <x v="7"/>
  </r>
  <r>
    <x v="22"/>
  </r>
  <r>
    <x v="122"/>
  </r>
  <r>
    <x v="122"/>
  </r>
  <r>
    <x v="132"/>
  </r>
  <r>
    <x v="132"/>
  </r>
  <r>
    <x v="115"/>
  </r>
  <r>
    <x v="115"/>
  </r>
  <r>
    <x v="115"/>
  </r>
  <r>
    <x v="115"/>
  </r>
  <r>
    <x v="115"/>
  </r>
  <r>
    <x v="28"/>
  </r>
  <r>
    <x v="28"/>
  </r>
  <r>
    <x v="28"/>
  </r>
  <r>
    <x v="9"/>
  </r>
  <r>
    <x v="37"/>
  </r>
  <r>
    <x v="46"/>
  </r>
  <r>
    <x v="115"/>
  </r>
  <r>
    <x v="14"/>
  </r>
  <r>
    <x v="2"/>
  </r>
  <r>
    <x v="6"/>
  </r>
  <r>
    <x v="12"/>
  </r>
  <r>
    <x v="17"/>
  </r>
  <r>
    <x v="115"/>
  </r>
  <r>
    <x v="10"/>
  </r>
  <r>
    <x v="11"/>
  </r>
  <r>
    <x v="115"/>
  </r>
  <r>
    <x v="26"/>
  </r>
  <r>
    <x v="7"/>
  </r>
  <r>
    <x v="0"/>
  </r>
  <r>
    <x v="7"/>
  </r>
  <r>
    <x v="115"/>
  </r>
  <r>
    <x v="39"/>
  </r>
  <r>
    <x v="14"/>
  </r>
  <r>
    <x v="37"/>
  </r>
  <r>
    <x v="26"/>
  </r>
  <r>
    <x v="7"/>
  </r>
  <r>
    <x v="37"/>
  </r>
  <r>
    <x v="37"/>
  </r>
  <r>
    <x v="14"/>
  </r>
  <r>
    <x v="46"/>
  </r>
  <r>
    <x v="24"/>
  </r>
  <r>
    <x v="31"/>
  </r>
  <r>
    <x v="7"/>
  </r>
  <r>
    <x v="26"/>
  </r>
  <r>
    <x v="10"/>
  </r>
  <r>
    <x v="8"/>
  </r>
  <r>
    <x v="24"/>
  </r>
  <r>
    <x v="0"/>
  </r>
  <r>
    <x v="6"/>
  </r>
  <r>
    <x v="10"/>
  </r>
  <r>
    <x v="49"/>
  </r>
  <r>
    <x v="22"/>
  </r>
  <r>
    <x v="11"/>
  </r>
  <r>
    <x v="71"/>
  </r>
  <r>
    <x v="37"/>
  </r>
  <r>
    <x v="4"/>
  </r>
  <r>
    <x v="14"/>
  </r>
  <r>
    <x v="10"/>
  </r>
  <r>
    <x v="12"/>
  </r>
  <r>
    <x v="12"/>
  </r>
  <r>
    <x v="26"/>
  </r>
  <r>
    <x v="37"/>
  </r>
  <r>
    <x v="2"/>
  </r>
  <r>
    <x v="10"/>
  </r>
  <r>
    <x v="115"/>
  </r>
  <r>
    <x v="46"/>
  </r>
  <r>
    <x v="10"/>
  </r>
  <r>
    <x v="11"/>
  </r>
  <r>
    <x v="115"/>
  </r>
  <r>
    <x v="0"/>
  </r>
  <r>
    <x v="6"/>
  </r>
  <r>
    <x v="61"/>
  </r>
  <r>
    <x v="10"/>
  </r>
  <r>
    <x v="28"/>
  </r>
  <r>
    <x v="16"/>
  </r>
  <r>
    <x v="0"/>
  </r>
  <r>
    <x v="14"/>
  </r>
  <r>
    <x v="6"/>
  </r>
  <r>
    <x v="0"/>
  </r>
  <r>
    <x v="17"/>
  </r>
  <r>
    <x v="2"/>
  </r>
  <r>
    <x v="2"/>
  </r>
  <r>
    <x v="2"/>
  </r>
  <r>
    <x v="12"/>
  </r>
  <r>
    <x v="52"/>
  </r>
  <r>
    <x v="14"/>
  </r>
  <r>
    <x v="11"/>
  </r>
  <r>
    <x v="14"/>
  </r>
  <r>
    <x v="42"/>
  </r>
  <r>
    <x v="17"/>
  </r>
  <r>
    <x v="3"/>
  </r>
  <r>
    <x v="9"/>
  </r>
  <r>
    <x v="24"/>
  </r>
  <r>
    <x v="0"/>
  </r>
  <r>
    <x v="28"/>
  </r>
  <r>
    <x v="26"/>
  </r>
  <r>
    <x v="0"/>
  </r>
  <r>
    <x v="0"/>
  </r>
  <r>
    <x v="37"/>
  </r>
  <r>
    <x v="9"/>
  </r>
  <r>
    <x v="9"/>
  </r>
  <r>
    <x v="24"/>
  </r>
  <r>
    <x v="66"/>
  </r>
  <r>
    <x v="28"/>
  </r>
  <r>
    <x v="31"/>
  </r>
  <r>
    <x v="11"/>
  </r>
  <r>
    <x v="0"/>
  </r>
  <r>
    <x v="28"/>
  </r>
  <r>
    <x v="15"/>
  </r>
  <r>
    <x v="17"/>
  </r>
  <r>
    <x v="46"/>
  </r>
  <r>
    <x v="49"/>
  </r>
  <r>
    <x v="17"/>
  </r>
  <r>
    <x v="0"/>
  </r>
  <r>
    <x v="0"/>
  </r>
  <r>
    <x v="24"/>
  </r>
  <r>
    <x v="12"/>
  </r>
  <r>
    <x v="9"/>
  </r>
  <r>
    <x v="9"/>
  </r>
  <r>
    <x v="14"/>
  </r>
  <r>
    <x v="0"/>
  </r>
  <r>
    <x v="17"/>
  </r>
  <r>
    <x v="17"/>
  </r>
  <r>
    <x v="47"/>
  </r>
  <r>
    <x v="9"/>
  </r>
  <r>
    <x v="9"/>
  </r>
  <r>
    <x v="77"/>
  </r>
  <r>
    <x v="17"/>
  </r>
  <r>
    <x v="9"/>
  </r>
  <r>
    <x v="28"/>
  </r>
  <r>
    <x v="10"/>
  </r>
  <r>
    <x v="17"/>
  </r>
  <r>
    <x v="17"/>
  </r>
  <r>
    <x v="11"/>
  </r>
  <r>
    <x v="40"/>
  </r>
  <r>
    <x v="14"/>
  </r>
  <r>
    <x v="0"/>
  </r>
  <r>
    <x v="14"/>
  </r>
  <r>
    <x v="9"/>
  </r>
  <r>
    <x v="7"/>
  </r>
  <r>
    <x v="10"/>
  </r>
  <r>
    <x v="10"/>
  </r>
  <r>
    <x v="64"/>
  </r>
  <r>
    <x v="64"/>
  </r>
  <r>
    <x v="12"/>
  </r>
  <r>
    <x v="12"/>
  </r>
  <r>
    <x v="12"/>
  </r>
  <r>
    <x v="0"/>
  </r>
  <r>
    <x v="0"/>
  </r>
  <r>
    <x v="0"/>
  </r>
  <r>
    <x v="0"/>
  </r>
  <r>
    <x v="0"/>
  </r>
  <r>
    <x v="0"/>
  </r>
  <r>
    <x v="0"/>
  </r>
  <r>
    <x v="57"/>
  </r>
  <r>
    <x v="57"/>
  </r>
  <r>
    <x v="57"/>
  </r>
  <r>
    <x v="57"/>
  </r>
  <r>
    <x v="57"/>
  </r>
  <r>
    <x v="17"/>
  </r>
  <r>
    <x v="57"/>
  </r>
  <r>
    <x v="7"/>
  </r>
  <r>
    <x v="29"/>
  </r>
  <r>
    <x v="63"/>
  </r>
  <r>
    <x v="2"/>
  </r>
  <r>
    <x v="25"/>
  </r>
  <r>
    <x v="42"/>
  </r>
  <r>
    <x v="100"/>
  </r>
  <r>
    <x v="25"/>
  </r>
  <r>
    <x v="83"/>
  </r>
  <r>
    <x v="8"/>
  </r>
  <r>
    <x v="10"/>
  </r>
  <r>
    <x v="2"/>
  </r>
  <r>
    <x v="17"/>
  </r>
  <r>
    <x v="17"/>
  </r>
  <r>
    <x v="34"/>
  </r>
  <r>
    <x v="45"/>
  </r>
  <r>
    <x v="0"/>
  </r>
  <r>
    <x v="4"/>
  </r>
  <r>
    <x v="16"/>
  </r>
  <r>
    <x v="22"/>
  </r>
  <r>
    <x v="12"/>
  </r>
  <r>
    <x v="102"/>
  </r>
  <r>
    <x v="51"/>
  </r>
  <r>
    <x v="4"/>
  </r>
  <r>
    <x v="76"/>
  </r>
  <r>
    <x v="14"/>
  </r>
  <r>
    <x v="14"/>
  </r>
  <r>
    <x v="16"/>
  </r>
  <r>
    <x v="16"/>
  </r>
  <r>
    <x v="16"/>
  </r>
  <r>
    <x v="14"/>
  </r>
  <r>
    <x v="91"/>
  </r>
  <r>
    <x v="6"/>
  </r>
  <r>
    <x v="21"/>
  </r>
  <r>
    <x v="21"/>
  </r>
  <r>
    <x v="21"/>
  </r>
  <r>
    <x v="119"/>
  </r>
  <r>
    <x v="119"/>
  </r>
  <r>
    <x v="132"/>
  </r>
  <r>
    <x v="50"/>
  </r>
  <r>
    <x v="2"/>
  </r>
  <r>
    <x v="10"/>
  </r>
  <r>
    <x v="37"/>
  </r>
  <r>
    <x v="17"/>
  </r>
  <r>
    <x v="17"/>
  </r>
  <r>
    <x v="21"/>
  </r>
  <r>
    <x v="9"/>
  </r>
  <r>
    <x v="26"/>
  </r>
  <r>
    <x v="83"/>
  </r>
  <r>
    <x v="83"/>
  </r>
  <r>
    <x v="83"/>
  </r>
  <r>
    <x v="83"/>
  </r>
  <r>
    <x v="83"/>
  </r>
  <r>
    <x v="4"/>
  </r>
  <r>
    <x v="9"/>
  </r>
  <r>
    <x v="9"/>
  </r>
  <r>
    <x v="48"/>
  </r>
  <r>
    <x v="9"/>
  </r>
  <r>
    <x v="7"/>
  </r>
  <r>
    <x v="115"/>
  </r>
  <r>
    <x v="11"/>
  </r>
  <r>
    <x v="21"/>
  </r>
  <r>
    <x v="21"/>
  </r>
  <r>
    <x v="10"/>
  </r>
  <r>
    <x v="14"/>
  </r>
  <r>
    <x v="28"/>
  </r>
  <r>
    <x v="17"/>
  </r>
  <r>
    <x v="0"/>
  </r>
  <r>
    <x v="0"/>
  </r>
  <r>
    <x v="17"/>
  </r>
  <r>
    <x v="7"/>
  </r>
  <r>
    <x v="7"/>
  </r>
  <r>
    <x v="177"/>
  </r>
  <r>
    <x v="48"/>
  </r>
  <r>
    <x v="78"/>
  </r>
  <r>
    <x v="118"/>
  </r>
  <r>
    <x v="25"/>
  </r>
  <r>
    <x v="76"/>
  </r>
  <r>
    <x v="37"/>
  </r>
  <r>
    <x v="14"/>
  </r>
  <r>
    <x v="48"/>
  </r>
  <r>
    <x v="48"/>
  </r>
  <r>
    <x v="12"/>
  </r>
  <r>
    <x v="8"/>
  </r>
  <r>
    <x v="9"/>
  </r>
  <r>
    <x v="9"/>
  </r>
  <r>
    <x v="9"/>
  </r>
  <r>
    <x v="10"/>
  </r>
  <r>
    <x v="28"/>
  </r>
  <r>
    <x v="9"/>
  </r>
  <r>
    <x v="10"/>
  </r>
  <r>
    <x v="9"/>
  </r>
  <r>
    <x v="4"/>
  </r>
  <r>
    <x v="48"/>
  </r>
  <r>
    <x v="17"/>
  </r>
  <r>
    <x v="130"/>
  </r>
  <r>
    <x v="130"/>
  </r>
  <r>
    <x v="10"/>
  </r>
  <r>
    <x v="10"/>
  </r>
  <r>
    <x v="17"/>
  </r>
  <r>
    <x v="193"/>
  </r>
  <r>
    <x v="9"/>
  </r>
  <r>
    <x v="10"/>
  </r>
  <r>
    <x v="21"/>
  </r>
  <r>
    <x v="10"/>
  </r>
  <r>
    <x v="11"/>
  </r>
  <r>
    <x v="55"/>
  </r>
  <r>
    <x v="9"/>
  </r>
  <r>
    <x v="9"/>
  </r>
  <r>
    <x v="9"/>
  </r>
  <r>
    <x v="12"/>
  </r>
  <r>
    <x v="21"/>
  </r>
  <r>
    <x v="42"/>
  </r>
  <r>
    <x v="115"/>
  </r>
  <r>
    <x v="115"/>
  </r>
  <r>
    <x v="12"/>
  </r>
  <r>
    <x v="24"/>
  </r>
  <r>
    <x v="24"/>
  </r>
  <r>
    <x v="30"/>
  </r>
  <r>
    <x v="0"/>
  </r>
  <r>
    <x v="4"/>
  </r>
  <r>
    <x v="32"/>
  </r>
  <r>
    <x v="21"/>
  </r>
  <r>
    <x v="17"/>
  </r>
  <r>
    <x v="47"/>
  </r>
  <r>
    <x v="2"/>
  </r>
  <r>
    <x v="4"/>
  </r>
  <r>
    <x v="14"/>
  </r>
  <r>
    <x v="14"/>
  </r>
  <r>
    <x v="111"/>
  </r>
  <r>
    <x v="24"/>
  </r>
  <r>
    <x v="48"/>
  </r>
  <r>
    <x v="7"/>
  </r>
  <r>
    <x v="26"/>
  </r>
  <r>
    <x v="26"/>
  </r>
  <r>
    <x v="21"/>
  </r>
  <r>
    <x v="201"/>
  </r>
  <r>
    <x v="29"/>
  </r>
  <r>
    <x v="78"/>
  </r>
  <r>
    <x v="22"/>
  </r>
  <r>
    <x v="60"/>
  </r>
  <r>
    <x v="77"/>
  </r>
  <r>
    <x v="7"/>
  </r>
  <r>
    <x v="7"/>
  </r>
  <r>
    <x v="7"/>
  </r>
  <r>
    <x v="9"/>
  </r>
  <r>
    <x v="115"/>
  </r>
  <r>
    <x v="12"/>
  </r>
  <r>
    <x v="16"/>
  </r>
  <r>
    <x v="115"/>
  </r>
  <r>
    <x v="32"/>
  </r>
  <r>
    <x v="28"/>
  </r>
  <r>
    <x v="28"/>
  </r>
  <r>
    <x v="24"/>
  </r>
  <r>
    <x v="42"/>
  </r>
  <r>
    <x v="0"/>
  </r>
  <r>
    <x v="19"/>
  </r>
  <r>
    <x v="37"/>
  </r>
  <r>
    <x v="14"/>
  </r>
  <r>
    <x v="14"/>
  </r>
  <r>
    <x v="10"/>
  </r>
  <r>
    <x v="14"/>
  </r>
  <r>
    <x v="31"/>
  </r>
  <r>
    <x v="21"/>
  </r>
  <r>
    <x v="87"/>
  </r>
  <r>
    <x v="9"/>
  </r>
  <r>
    <x v="25"/>
  </r>
  <r>
    <x v="52"/>
  </r>
  <r>
    <x v="10"/>
  </r>
  <r>
    <x v="10"/>
  </r>
  <r>
    <x v="10"/>
  </r>
  <r>
    <x v="10"/>
  </r>
  <r>
    <x v="10"/>
  </r>
  <r>
    <x v="32"/>
  </r>
  <r>
    <x v="122"/>
  </r>
  <r>
    <x v="2"/>
  </r>
  <r>
    <x v="11"/>
  </r>
  <r>
    <x v="11"/>
  </r>
  <r>
    <x v="11"/>
  </r>
  <r>
    <x v="11"/>
  </r>
  <r>
    <x v="11"/>
  </r>
  <r>
    <x v="31"/>
  </r>
  <r>
    <x v="37"/>
  </r>
  <r>
    <x v="10"/>
  </r>
  <r>
    <x v="37"/>
  </r>
  <r>
    <x v="37"/>
  </r>
  <r>
    <x v="37"/>
  </r>
  <r>
    <x v="10"/>
  </r>
  <r>
    <x v="10"/>
  </r>
  <r>
    <x v="17"/>
  </r>
  <r>
    <x v="17"/>
  </r>
  <r>
    <x v="17"/>
  </r>
  <r>
    <x v="10"/>
  </r>
  <r>
    <x v="10"/>
  </r>
  <r>
    <x v="10"/>
  </r>
  <r>
    <x v="42"/>
  </r>
  <r>
    <x v="85"/>
  </r>
  <r>
    <x v="77"/>
  </r>
  <r>
    <x v="25"/>
  </r>
  <r>
    <x v="53"/>
  </r>
  <r>
    <x v="6"/>
  </r>
  <r>
    <x v="6"/>
  </r>
  <r>
    <x v="60"/>
  </r>
  <r>
    <x v="48"/>
  </r>
  <r>
    <x v="244"/>
  </r>
  <r>
    <x v="17"/>
  </r>
  <r>
    <x v="17"/>
  </r>
  <r>
    <x v="17"/>
  </r>
  <r>
    <x v="240"/>
  </r>
  <r>
    <x v="2"/>
  </r>
  <r>
    <x v="2"/>
  </r>
  <r>
    <x v="27"/>
  </r>
  <r>
    <x v="22"/>
  </r>
  <r>
    <x v="11"/>
  </r>
  <r>
    <x v="25"/>
  </r>
  <r>
    <x v="25"/>
  </r>
  <r>
    <x v="21"/>
  </r>
  <r>
    <x v="10"/>
  </r>
  <r>
    <x v="28"/>
  </r>
  <r>
    <x v="48"/>
  </r>
  <r>
    <x v="63"/>
  </r>
  <r>
    <x v="28"/>
  </r>
  <r>
    <x v="28"/>
  </r>
  <r>
    <x v="28"/>
  </r>
  <r>
    <x v="193"/>
  </r>
  <r>
    <x v="28"/>
  </r>
  <r>
    <x v="115"/>
  </r>
  <r>
    <x v="14"/>
  </r>
  <r>
    <x v="12"/>
  </r>
  <r>
    <x v="12"/>
  </r>
  <r>
    <x v="48"/>
  </r>
  <r>
    <x v="14"/>
  </r>
  <r>
    <x v="14"/>
  </r>
  <r>
    <x v="22"/>
  </r>
  <r>
    <x v="28"/>
  </r>
  <r>
    <x v="22"/>
  </r>
  <r>
    <x v="177"/>
  </r>
  <r>
    <x v="22"/>
  </r>
  <r>
    <x v="42"/>
  </r>
  <r>
    <x v="11"/>
  </r>
  <r>
    <x v="10"/>
  </r>
  <r>
    <x v="3"/>
  </r>
  <r>
    <x v="17"/>
  </r>
  <r>
    <x v="55"/>
  </r>
  <r>
    <x v="115"/>
  </r>
  <r>
    <x v="37"/>
  </r>
  <r>
    <x v="37"/>
  </r>
  <r>
    <x v="21"/>
  </r>
  <r>
    <x v="0"/>
  </r>
  <r>
    <x v="14"/>
  </r>
  <r>
    <x v="22"/>
  </r>
  <r>
    <x v="6"/>
  </r>
  <r>
    <x v="132"/>
  </r>
  <r>
    <x v="34"/>
  </r>
  <r>
    <x v="12"/>
  </r>
  <r>
    <x v="111"/>
  </r>
  <r>
    <x v="18"/>
  </r>
  <r>
    <x v="24"/>
  </r>
  <r>
    <x v="14"/>
  </r>
  <r>
    <x v="14"/>
  </r>
  <r>
    <x v="64"/>
  </r>
  <r>
    <x v="49"/>
  </r>
  <r>
    <x v="49"/>
  </r>
  <r>
    <x v="16"/>
  </r>
  <r>
    <x v="12"/>
  </r>
  <r>
    <x v="12"/>
  </r>
  <r>
    <x v="14"/>
  </r>
  <r>
    <x v="14"/>
  </r>
  <r>
    <x v="14"/>
  </r>
  <r>
    <x v="24"/>
  </r>
  <r>
    <x v="28"/>
  </r>
  <r>
    <x v="37"/>
  </r>
  <r>
    <x v="12"/>
  </r>
  <r>
    <x v="27"/>
  </r>
  <r>
    <x v="4"/>
  </r>
  <r>
    <x v="223"/>
  </r>
  <r>
    <x v="223"/>
  </r>
  <r>
    <x v="223"/>
  </r>
  <r>
    <x v="42"/>
  </r>
  <r>
    <x v="64"/>
  </r>
  <r>
    <x v="28"/>
  </r>
  <r>
    <x v="28"/>
  </r>
  <r>
    <x v="152"/>
  </r>
  <r>
    <x v="16"/>
  </r>
  <r>
    <x v="0"/>
  </r>
  <r>
    <x v="48"/>
  </r>
  <r>
    <x v="31"/>
  </r>
  <r>
    <x v="12"/>
  </r>
  <r>
    <x v="12"/>
  </r>
  <r>
    <x v="55"/>
  </r>
  <r>
    <x v="111"/>
  </r>
  <r>
    <x v="22"/>
  </r>
  <r>
    <x v="14"/>
  </r>
  <r>
    <x v="0"/>
  </r>
  <r>
    <x v="42"/>
  </r>
  <r>
    <x v="42"/>
  </r>
  <r>
    <x v="31"/>
  </r>
  <r>
    <x v="45"/>
  </r>
  <r>
    <x v="37"/>
  </r>
  <r>
    <x v="22"/>
  </r>
  <r>
    <x v="8"/>
  </r>
  <r>
    <x v="0"/>
  </r>
  <r>
    <x v="7"/>
  </r>
  <r>
    <x v="14"/>
  </r>
  <r>
    <x v="37"/>
  </r>
  <r>
    <x v="0"/>
  </r>
  <r>
    <x v="45"/>
  </r>
  <r>
    <x v="9"/>
  </r>
  <r>
    <x v="28"/>
  </r>
  <r>
    <x v="28"/>
  </r>
  <r>
    <x v="53"/>
  </r>
  <r>
    <x v="12"/>
  </r>
  <r>
    <x v="14"/>
  </r>
  <r>
    <x v="14"/>
  </r>
  <r>
    <x v="130"/>
  </r>
  <r>
    <x v="22"/>
  </r>
  <r>
    <x v="22"/>
  </r>
  <r>
    <x v="45"/>
  </r>
  <r>
    <x v="78"/>
  </r>
  <r>
    <x v="22"/>
  </r>
  <r>
    <x v="42"/>
  </r>
  <r>
    <x v="1"/>
  </r>
  <r>
    <x v="1"/>
  </r>
  <r>
    <x v="42"/>
  </r>
  <r>
    <x v="10"/>
  </r>
  <r>
    <x v="24"/>
  </r>
  <r>
    <x v="32"/>
  </r>
  <r>
    <x v="42"/>
  </r>
  <r>
    <x v="0"/>
  </r>
  <r>
    <x v="0"/>
  </r>
  <r>
    <x v="22"/>
  </r>
  <r>
    <x v="40"/>
  </r>
  <r>
    <x v="171"/>
  </r>
  <r>
    <x v="171"/>
  </r>
  <r>
    <x v="46"/>
  </r>
  <r>
    <x v="22"/>
  </r>
  <r>
    <x v="115"/>
  </r>
  <r>
    <x v="115"/>
  </r>
  <r>
    <x v="64"/>
  </r>
  <r>
    <x v="16"/>
  </r>
  <r>
    <x v="4"/>
  </r>
  <r>
    <x v="42"/>
  </r>
  <r>
    <x v="7"/>
  </r>
  <r>
    <x v="47"/>
  </r>
  <r>
    <x v="47"/>
  </r>
  <r>
    <x v="87"/>
  </r>
  <r>
    <x v="14"/>
  </r>
  <r>
    <x v="51"/>
  </r>
  <r>
    <x v="17"/>
  </r>
  <r>
    <x v="17"/>
  </r>
  <r>
    <x v="17"/>
  </r>
  <r>
    <x v="14"/>
  </r>
  <r>
    <x v="17"/>
  </r>
  <r>
    <x v="2"/>
  </r>
  <r>
    <x v="0"/>
  </r>
  <r>
    <x v="2"/>
  </r>
  <r>
    <x v="0"/>
  </r>
  <r>
    <x v="0"/>
  </r>
  <r>
    <x v="14"/>
  </r>
  <r>
    <x v="12"/>
  </r>
  <r>
    <x v="22"/>
  </r>
  <r>
    <x v="51"/>
  </r>
  <r>
    <x v="10"/>
  </r>
  <r>
    <x v="12"/>
  </r>
  <r>
    <x v="21"/>
  </r>
  <r>
    <x v="21"/>
  </r>
  <r>
    <x v="28"/>
  </r>
  <r>
    <x v="1"/>
  </r>
  <r>
    <x v="12"/>
  </r>
  <r>
    <x v="12"/>
  </r>
  <r>
    <x v="12"/>
  </r>
  <r>
    <x v="92"/>
  </r>
  <r>
    <x v="28"/>
  </r>
  <r>
    <x v="28"/>
  </r>
  <r>
    <x v="24"/>
  </r>
  <r>
    <x v="37"/>
  </r>
  <r>
    <x v="42"/>
  </r>
  <r>
    <x v="12"/>
  </r>
  <r>
    <x v="12"/>
  </r>
  <r>
    <x v="25"/>
  </r>
  <r>
    <x v="24"/>
  </r>
  <r>
    <x v="8"/>
  </r>
  <r>
    <x v="14"/>
  </r>
  <r>
    <x v="42"/>
  </r>
  <r>
    <x v="72"/>
  </r>
  <r>
    <x v="0"/>
  </r>
  <r>
    <x v="131"/>
  </r>
  <r>
    <x v="22"/>
  </r>
  <r>
    <x v="11"/>
  </r>
  <r>
    <x v="22"/>
  </r>
  <r>
    <x v="14"/>
  </r>
  <r>
    <x v="11"/>
  </r>
  <r>
    <x v="48"/>
  </r>
  <r>
    <x v="48"/>
  </r>
  <r>
    <x v="62"/>
  </r>
  <r>
    <x v="48"/>
  </r>
  <r>
    <x v="71"/>
  </r>
  <r>
    <x v="11"/>
  </r>
  <r>
    <x v="28"/>
  </r>
  <r>
    <x v="11"/>
  </r>
  <r>
    <x v="118"/>
  </r>
  <r>
    <x v="12"/>
  </r>
  <r>
    <x v="142"/>
  </r>
  <r>
    <x v="40"/>
  </r>
  <r>
    <x v="21"/>
  </r>
  <r>
    <x v="40"/>
  </r>
  <r>
    <x v="17"/>
  </r>
  <r>
    <x v="14"/>
  </r>
  <r>
    <x v="21"/>
  </r>
  <r>
    <x v="14"/>
  </r>
  <r>
    <x v="45"/>
  </r>
  <r>
    <x v="17"/>
  </r>
  <r>
    <x v="16"/>
  </r>
  <r>
    <x v="14"/>
  </r>
  <r>
    <x v="71"/>
  </r>
  <r>
    <x v="71"/>
  </r>
  <r>
    <x v="71"/>
  </r>
  <r>
    <x v="71"/>
  </r>
  <r>
    <x v="71"/>
  </r>
  <r>
    <x v="31"/>
  </r>
  <r>
    <x v="62"/>
  </r>
  <r>
    <x v="62"/>
  </r>
  <r>
    <x v="62"/>
  </r>
  <r>
    <x v="14"/>
  </r>
  <r>
    <x v="14"/>
  </r>
  <r>
    <x v="16"/>
  </r>
  <r>
    <x v="16"/>
  </r>
  <r>
    <x v="26"/>
  </r>
  <r>
    <x v="10"/>
  </r>
  <r>
    <x v="11"/>
  </r>
  <r>
    <x v="28"/>
  </r>
  <r>
    <x v="71"/>
  </r>
  <r>
    <x v="16"/>
  </r>
  <r>
    <x v="16"/>
  </r>
  <r>
    <x v="14"/>
  </r>
  <r>
    <x v="16"/>
  </r>
  <r>
    <x v="14"/>
  </r>
  <r>
    <x v="16"/>
  </r>
  <r>
    <x v="16"/>
  </r>
  <r>
    <x v="16"/>
  </r>
  <r>
    <x v="14"/>
  </r>
  <r>
    <x v="16"/>
  </r>
  <r>
    <x v="142"/>
  </r>
  <r>
    <x v="142"/>
  </r>
  <r>
    <x v="14"/>
  </r>
  <r>
    <x v="22"/>
  </r>
  <r>
    <x v="22"/>
  </r>
  <r>
    <x v="22"/>
  </r>
  <r>
    <x v="14"/>
  </r>
  <r>
    <x v="16"/>
  </r>
  <r>
    <x v="16"/>
  </r>
  <r>
    <x v="14"/>
  </r>
  <r>
    <x v="37"/>
  </r>
  <r>
    <x v="37"/>
  </r>
  <r>
    <x v="45"/>
  </r>
  <r>
    <x v="46"/>
  </r>
  <r>
    <x v="17"/>
  </r>
  <r>
    <x v="17"/>
  </r>
  <r>
    <x v="17"/>
  </r>
  <r>
    <x v="14"/>
  </r>
  <r>
    <x v="10"/>
  </r>
  <r>
    <x v="17"/>
  </r>
  <r>
    <x v="9"/>
  </r>
  <r>
    <x v="11"/>
  </r>
  <r>
    <x v="7"/>
  </r>
  <r>
    <x v="0"/>
  </r>
  <r>
    <x v="0"/>
  </r>
  <r>
    <x v="0"/>
  </r>
  <r>
    <x v="0"/>
  </r>
  <r>
    <x v="12"/>
  </r>
  <r>
    <x v="12"/>
  </r>
  <r>
    <x v="22"/>
  </r>
  <r>
    <x v="14"/>
  </r>
  <r>
    <x v="14"/>
  </r>
  <r>
    <x v="14"/>
  </r>
  <r>
    <x v="14"/>
  </r>
  <r>
    <x v="71"/>
  </r>
  <r>
    <x v="10"/>
  </r>
  <r>
    <x v="10"/>
  </r>
  <r>
    <x v="12"/>
  </r>
  <r>
    <x v="10"/>
  </r>
  <r>
    <x v="21"/>
  </r>
  <r>
    <x v="37"/>
  </r>
  <r>
    <x v="60"/>
  </r>
  <r>
    <x v="48"/>
  </r>
  <r>
    <x v="132"/>
  </r>
  <r>
    <x v="28"/>
  </r>
  <r>
    <x v="10"/>
  </r>
  <r>
    <x v="10"/>
  </r>
  <r>
    <x v="12"/>
  </r>
  <r>
    <x v="131"/>
  </r>
  <r>
    <x v="52"/>
  </r>
  <r>
    <x v="14"/>
  </r>
  <r>
    <x v="37"/>
  </r>
  <r>
    <x v="37"/>
  </r>
  <r>
    <x v="71"/>
  </r>
  <r>
    <x v="12"/>
  </r>
  <r>
    <x v="10"/>
  </r>
  <r>
    <x v="11"/>
  </r>
  <r>
    <x v="17"/>
  </r>
  <r>
    <x v="11"/>
  </r>
  <r>
    <x v="30"/>
  </r>
  <r>
    <x v="30"/>
  </r>
  <r>
    <x v="27"/>
  </r>
  <r>
    <x v="53"/>
  </r>
  <r>
    <x v="53"/>
  </r>
  <r>
    <x v="6"/>
  </r>
  <r>
    <x v="171"/>
  </r>
  <r>
    <x v="76"/>
  </r>
  <r>
    <x v="76"/>
  </r>
  <r>
    <x v="24"/>
  </r>
  <r>
    <x v="7"/>
  </r>
  <r>
    <x v="14"/>
  </r>
  <r>
    <x v="21"/>
  </r>
  <r>
    <x v="187"/>
  </r>
  <r>
    <x v="74"/>
  </r>
  <r>
    <x v="16"/>
  </r>
  <r>
    <x v="22"/>
  </r>
  <r>
    <x v="42"/>
  </r>
  <r>
    <x v="12"/>
  </r>
  <r>
    <x v="12"/>
  </r>
  <r>
    <x v="3"/>
  </r>
  <r>
    <x v="3"/>
  </r>
  <r>
    <x v="14"/>
  </r>
  <r>
    <x v="32"/>
  </r>
  <r>
    <x v="33"/>
  </r>
  <r>
    <x v="16"/>
  </r>
  <r>
    <x v="31"/>
  </r>
  <r>
    <x v="60"/>
  </r>
  <r>
    <x v="17"/>
  </r>
  <r>
    <x v="77"/>
  </r>
  <r>
    <x v="0"/>
  </r>
  <r>
    <x v="14"/>
  </r>
  <r>
    <x v="21"/>
  </r>
  <r>
    <x v="14"/>
  </r>
  <r>
    <x v="41"/>
  </r>
  <r>
    <x v="50"/>
  </r>
  <r>
    <x v="14"/>
  </r>
  <r>
    <x v="46"/>
  </r>
  <r>
    <x v="12"/>
  </r>
  <r>
    <x v="12"/>
  </r>
  <r>
    <x v="12"/>
  </r>
  <r>
    <x v="12"/>
  </r>
  <r>
    <x v="12"/>
  </r>
  <r>
    <x v="12"/>
  </r>
  <r>
    <x v="0"/>
  </r>
  <r>
    <x v="7"/>
  </r>
  <r>
    <x v="0"/>
  </r>
  <r>
    <x v="48"/>
  </r>
  <r>
    <x v="48"/>
  </r>
  <r>
    <x v="48"/>
  </r>
  <r>
    <x v="27"/>
  </r>
  <r>
    <x v="27"/>
  </r>
  <r>
    <x v="14"/>
  </r>
  <r>
    <x v="14"/>
  </r>
  <r>
    <x v="14"/>
  </r>
  <r>
    <x v="14"/>
  </r>
  <r>
    <x v="14"/>
  </r>
  <r>
    <x v="14"/>
  </r>
  <r>
    <x v="56"/>
  </r>
  <r>
    <x v="114"/>
  </r>
  <r>
    <x v="37"/>
  </r>
  <r>
    <x v="12"/>
  </r>
  <r>
    <x v="12"/>
  </r>
  <r>
    <x v="12"/>
  </r>
  <r>
    <x v="25"/>
  </r>
  <r>
    <x v="48"/>
  </r>
  <r>
    <x v="28"/>
  </r>
  <r>
    <x v="14"/>
  </r>
  <r>
    <x v="24"/>
  </r>
  <r>
    <x v="21"/>
  </r>
  <r>
    <x v="115"/>
  </r>
  <r>
    <x v="28"/>
  </r>
  <r>
    <x v="17"/>
  </r>
  <r>
    <x v="17"/>
  </r>
  <r>
    <x v="14"/>
  </r>
  <r>
    <x v="28"/>
  </r>
  <r>
    <x v="7"/>
  </r>
  <r>
    <x v="115"/>
  </r>
  <r>
    <x v="14"/>
  </r>
  <r>
    <x v="0"/>
  </r>
  <r>
    <x v="48"/>
  </r>
  <r>
    <x v="2"/>
  </r>
  <r>
    <x v="2"/>
  </r>
  <r>
    <x v="10"/>
  </r>
  <r>
    <x v="11"/>
  </r>
  <r>
    <x v="120"/>
  </r>
  <r>
    <x v="48"/>
  </r>
  <r>
    <x v="21"/>
  </r>
  <r>
    <x v="48"/>
  </r>
  <r>
    <x v="48"/>
  </r>
  <r>
    <x v="48"/>
  </r>
  <r>
    <x v="48"/>
  </r>
  <r>
    <x v="48"/>
  </r>
  <r>
    <x v="48"/>
  </r>
  <r>
    <x v="9"/>
  </r>
  <r>
    <x v="6"/>
  </r>
  <r>
    <x v="17"/>
  </r>
  <r>
    <x v="17"/>
  </r>
  <r>
    <x v="17"/>
  </r>
  <r>
    <x v="12"/>
  </r>
  <r>
    <x v="0"/>
  </r>
  <r>
    <x v="12"/>
  </r>
  <r>
    <x v="34"/>
  </r>
  <r>
    <x v="21"/>
  </r>
  <r>
    <x v="21"/>
  </r>
  <r>
    <x v="27"/>
  </r>
  <r>
    <x v="42"/>
  </r>
  <r>
    <x v="0"/>
  </r>
  <r>
    <x v="60"/>
  </r>
  <r>
    <x v="60"/>
  </r>
  <r>
    <x v="0"/>
  </r>
  <r>
    <x v="0"/>
  </r>
  <r>
    <x v="47"/>
  </r>
  <r>
    <x v="14"/>
  </r>
  <r>
    <x v="111"/>
  </r>
  <r>
    <x v="7"/>
  </r>
  <r>
    <x v="7"/>
  </r>
  <r>
    <x v="10"/>
  </r>
  <r>
    <x v="14"/>
  </r>
  <r>
    <x v="0"/>
  </r>
  <r>
    <x v="0"/>
  </r>
  <r>
    <x v="2"/>
  </r>
  <r>
    <x v="12"/>
  </r>
  <r>
    <x v="61"/>
  </r>
  <r>
    <x v="64"/>
  </r>
  <r>
    <x v="17"/>
  </r>
  <r>
    <x v="53"/>
  </r>
  <r>
    <x v="17"/>
  </r>
  <r>
    <x v="0"/>
  </r>
  <r>
    <x v="24"/>
  </r>
  <r>
    <x v="60"/>
  </r>
  <r>
    <x v="28"/>
  </r>
  <r>
    <x v="0"/>
  </r>
  <r>
    <x v="9"/>
  </r>
  <r>
    <x v="6"/>
  </r>
  <r>
    <x v="12"/>
  </r>
  <r>
    <x v="51"/>
  </r>
  <r>
    <x v="22"/>
  </r>
  <r>
    <x v="28"/>
  </r>
  <r>
    <x v="45"/>
  </r>
  <r>
    <x v="131"/>
  </r>
  <r>
    <x v="131"/>
  </r>
  <r>
    <x v="57"/>
  </r>
  <r>
    <x v="14"/>
  </r>
  <r>
    <x v="14"/>
  </r>
  <r>
    <x v="14"/>
  </r>
  <r>
    <x v="7"/>
  </r>
  <r>
    <x v="46"/>
  </r>
  <r>
    <x v="0"/>
  </r>
  <r>
    <x v="11"/>
  </r>
  <r>
    <x v="119"/>
  </r>
  <r>
    <x v="12"/>
  </r>
  <r>
    <x v="12"/>
  </r>
  <r>
    <x v="112"/>
  </r>
  <r>
    <x v="11"/>
  </r>
  <r>
    <x v="11"/>
  </r>
  <r>
    <x v="76"/>
  </r>
  <r>
    <x v="87"/>
  </r>
  <r>
    <x v="9"/>
  </r>
  <r>
    <x v="14"/>
  </r>
  <r>
    <x v="40"/>
  </r>
  <r>
    <x v="22"/>
  </r>
  <r>
    <x v="22"/>
  </r>
  <r>
    <x v="22"/>
  </r>
  <r>
    <x v="22"/>
  </r>
  <r>
    <x v="10"/>
  </r>
  <r>
    <x v="9"/>
  </r>
  <r>
    <x v="9"/>
  </r>
  <r>
    <x v="14"/>
  </r>
  <r>
    <x v="22"/>
  </r>
  <r>
    <x v="22"/>
  </r>
  <r>
    <x v="11"/>
  </r>
  <r>
    <x v="2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28"/>
  </r>
  <r>
    <x v="28"/>
  </r>
  <r>
    <x v="48"/>
  </r>
  <r>
    <x v="11"/>
  </r>
  <r>
    <x v="11"/>
  </r>
  <r>
    <x v="60"/>
  </r>
  <r>
    <x v="42"/>
  </r>
  <r>
    <x v="14"/>
  </r>
  <r>
    <x v="12"/>
  </r>
  <r>
    <x v="7"/>
  </r>
  <r>
    <x v="11"/>
  </r>
  <r>
    <x v="37"/>
  </r>
  <r>
    <x v="0"/>
  </r>
  <r>
    <x v="115"/>
  </r>
  <r>
    <x v="2"/>
  </r>
  <r>
    <x v="47"/>
  </r>
  <r>
    <x v="0"/>
  </r>
  <r>
    <x v="0"/>
  </r>
  <r>
    <x v="37"/>
  </r>
  <r>
    <x v="48"/>
  </r>
  <r>
    <x v="63"/>
  </r>
  <r>
    <x v="115"/>
  </r>
  <r>
    <x v="29"/>
  </r>
  <r>
    <x v="14"/>
  </r>
  <r>
    <x v="17"/>
  </r>
  <r>
    <x v="17"/>
  </r>
  <r>
    <x v="0"/>
  </r>
  <r>
    <x v="11"/>
  </r>
  <r>
    <x v="115"/>
  </r>
  <r>
    <x v="48"/>
  </r>
  <r>
    <x v="48"/>
  </r>
  <r>
    <x v="48"/>
  </r>
  <r>
    <x v="9"/>
  </r>
  <r>
    <x v="14"/>
  </r>
  <r>
    <x v="14"/>
  </r>
  <r>
    <x v="14"/>
  </r>
  <r>
    <x v="17"/>
  </r>
  <r>
    <x v="48"/>
  </r>
  <r>
    <x v="184"/>
  </r>
  <r>
    <x v="2"/>
  </r>
  <r>
    <x v="184"/>
  </r>
  <r>
    <x v="42"/>
  </r>
  <r>
    <x v="131"/>
  </r>
  <r>
    <x v="14"/>
  </r>
  <r>
    <x v="14"/>
  </r>
  <r>
    <x v="31"/>
  </r>
  <r>
    <x v="17"/>
  </r>
  <r>
    <x v="17"/>
  </r>
  <r>
    <x v="41"/>
  </r>
  <r>
    <x v="10"/>
  </r>
  <r>
    <x v="26"/>
  </r>
  <r>
    <x v="45"/>
  </r>
  <r>
    <x v="14"/>
  </r>
  <r>
    <x v="115"/>
  </r>
  <r>
    <x v="115"/>
  </r>
  <r>
    <x v="115"/>
  </r>
  <r>
    <x v="17"/>
  </r>
  <r>
    <x v="61"/>
  </r>
  <r>
    <x v="61"/>
  </r>
  <r>
    <x v="41"/>
  </r>
  <r>
    <x v="9"/>
  </r>
  <r>
    <x v="0"/>
  </r>
  <r>
    <x v="37"/>
  </r>
  <r>
    <x v="10"/>
  </r>
  <r>
    <x v="10"/>
  </r>
  <r>
    <x v="21"/>
  </r>
  <r>
    <x v="6"/>
  </r>
  <r>
    <x v="22"/>
  </r>
  <r>
    <x v="24"/>
  </r>
  <r>
    <x v="14"/>
  </r>
  <r>
    <x v="7"/>
  </r>
  <r>
    <x v="24"/>
  </r>
  <r>
    <x v="14"/>
  </r>
  <r>
    <x v="7"/>
  </r>
  <r>
    <x v="7"/>
  </r>
  <r>
    <x v="224"/>
  </r>
  <r>
    <x v="28"/>
  </r>
  <r>
    <x v="28"/>
  </r>
  <r>
    <x v="28"/>
  </r>
  <r>
    <x v="17"/>
  </r>
  <r>
    <x v="7"/>
  </r>
  <r>
    <x v="17"/>
  </r>
  <r>
    <x v="10"/>
  </r>
  <r>
    <x v="10"/>
  </r>
  <r>
    <x v="17"/>
  </r>
  <r>
    <x v="37"/>
  </r>
  <r>
    <x v="49"/>
  </r>
  <r>
    <x v="55"/>
  </r>
  <r>
    <x v="37"/>
  </r>
  <r>
    <x v="42"/>
  </r>
  <r>
    <x v="6"/>
  </r>
  <r>
    <x v="37"/>
  </r>
  <r>
    <x v="55"/>
  </r>
  <r>
    <x v="37"/>
  </r>
  <r>
    <x v="55"/>
  </r>
  <r>
    <x v="37"/>
  </r>
  <r>
    <x v="55"/>
  </r>
  <r>
    <x v="55"/>
  </r>
  <r>
    <x v="14"/>
  </r>
  <r>
    <x v="17"/>
  </r>
  <r>
    <x v="17"/>
  </r>
  <r>
    <x v="17"/>
  </r>
  <r>
    <x v="17"/>
  </r>
  <r>
    <x v="37"/>
  </r>
  <r>
    <x v="111"/>
  </r>
  <r>
    <x v="16"/>
  </r>
  <r>
    <x v="24"/>
  </r>
  <r>
    <x v="48"/>
  </r>
  <r>
    <x v="10"/>
  </r>
  <r>
    <x v="12"/>
  </r>
  <r>
    <x v="43"/>
  </r>
  <r>
    <x v="57"/>
  </r>
  <r>
    <x v="14"/>
  </r>
  <r>
    <x v="76"/>
  </r>
  <r>
    <x v="130"/>
  </r>
  <r>
    <x v="130"/>
  </r>
  <r>
    <x v="64"/>
  </r>
  <r>
    <x v="37"/>
  </r>
  <r>
    <x v="10"/>
  </r>
  <r>
    <x v="37"/>
  </r>
  <r>
    <x v="22"/>
  </r>
  <r>
    <x v="2"/>
  </r>
  <r>
    <x v="21"/>
  </r>
  <r>
    <x v="14"/>
  </r>
  <r>
    <x v="0"/>
  </r>
  <r>
    <x v="29"/>
  </r>
  <r>
    <x v="29"/>
  </r>
  <r>
    <x v="76"/>
  </r>
  <r>
    <x v="17"/>
  </r>
  <r>
    <x v="0"/>
  </r>
  <r>
    <x v="60"/>
  </r>
  <r>
    <x v="60"/>
  </r>
  <r>
    <x v="0"/>
  </r>
  <r>
    <x v="0"/>
  </r>
  <r>
    <x v="10"/>
  </r>
  <r>
    <x v="28"/>
  </r>
  <r>
    <x v="28"/>
  </r>
  <r>
    <x v="28"/>
  </r>
  <r>
    <x v="11"/>
  </r>
  <r>
    <x v="11"/>
  </r>
  <r>
    <x v="11"/>
  </r>
  <r>
    <x v="21"/>
  </r>
  <r>
    <x v="14"/>
  </r>
  <r>
    <x v="14"/>
  </r>
  <r>
    <x v="16"/>
  </r>
  <r>
    <x v="0"/>
  </r>
  <r>
    <x v="24"/>
  </r>
  <r>
    <x v="22"/>
  </r>
  <r>
    <x v="10"/>
  </r>
  <r>
    <x v="1"/>
  </r>
  <r>
    <x v="41"/>
  </r>
  <r>
    <x v="12"/>
  </r>
  <r>
    <x v="0"/>
  </r>
  <r>
    <x v="119"/>
  </r>
  <r>
    <x v="16"/>
  </r>
  <r>
    <x v="45"/>
  </r>
  <r>
    <x v="37"/>
  </r>
  <r>
    <x v="2"/>
  </r>
  <r>
    <x v="51"/>
  </r>
  <r>
    <x v="51"/>
  </r>
  <r>
    <x v="28"/>
  </r>
  <r>
    <x v="21"/>
  </r>
  <r>
    <x v="32"/>
  </r>
  <r>
    <x v="246"/>
  </r>
  <r>
    <x v="26"/>
  </r>
  <r>
    <x v="14"/>
  </r>
  <r>
    <x v="246"/>
  </r>
  <r>
    <x v="246"/>
  </r>
  <r>
    <x v="247"/>
  </r>
  <r>
    <x v="42"/>
  </r>
  <r>
    <x v="24"/>
  </r>
  <r>
    <x v="48"/>
  </r>
  <r>
    <x v="24"/>
  </r>
  <r>
    <x v="10"/>
  </r>
  <r>
    <x v="14"/>
  </r>
  <r>
    <x v="10"/>
  </r>
  <r>
    <x v="22"/>
  </r>
  <r>
    <x v="2"/>
  </r>
  <r>
    <x v="47"/>
  </r>
  <r>
    <x v="4"/>
  </r>
  <r>
    <x v="0"/>
  </r>
  <r>
    <x v="4"/>
  </r>
  <r>
    <x v="4"/>
  </r>
  <r>
    <x v="52"/>
  </r>
  <r>
    <x v="28"/>
  </r>
  <r>
    <x v="14"/>
  </r>
  <r>
    <x v="87"/>
  </r>
  <r>
    <x v="17"/>
  </r>
  <r>
    <x v="2"/>
  </r>
  <r>
    <x v="64"/>
  </r>
  <r>
    <x v="11"/>
  </r>
  <r>
    <x v="14"/>
  </r>
  <r>
    <x v="4"/>
  </r>
  <r>
    <x v="17"/>
  </r>
  <r>
    <x v="132"/>
  </r>
  <r>
    <x v="7"/>
  </r>
  <r>
    <x v="36"/>
  </r>
  <r>
    <x v="3"/>
  </r>
  <r>
    <x v="3"/>
  </r>
  <r>
    <x v="3"/>
  </r>
  <r>
    <x v="165"/>
  </r>
  <r>
    <x v="26"/>
  </r>
  <r>
    <x v="55"/>
  </r>
  <r>
    <x v="2"/>
  </r>
  <r>
    <x v="37"/>
  </r>
  <r>
    <x v="6"/>
  </r>
  <r>
    <x v="37"/>
  </r>
  <r>
    <x v="115"/>
  </r>
  <r>
    <x v="14"/>
  </r>
  <r>
    <x v="49"/>
  </r>
  <r>
    <x v="14"/>
  </r>
  <r>
    <x v="6"/>
  </r>
  <r>
    <x v="57"/>
  </r>
  <r>
    <x v="64"/>
  </r>
  <r>
    <x v="64"/>
  </r>
  <r>
    <x v="14"/>
  </r>
  <r>
    <x v="14"/>
  </r>
  <r>
    <x v="17"/>
  </r>
  <r>
    <x v="24"/>
  </r>
  <r>
    <x v="24"/>
  </r>
  <r>
    <x v="9"/>
  </r>
  <r>
    <x v="31"/>
  </r>
  <r>
    <x v="10"/>
  </r>
  <r>
    <x v="115"/>
  </r>
  <r>
    <x v="76"/>
  </r>
  <r>
    <x v="11"/>
  </r>
  <r>
    <x v="47"/>
  </r>
  <r>
    <x v="11"/>
  </r>
  <r>
    <x v="12"/>
  </r>
  <r>
    <x v="61"/>
  </r>
  <r>
    <x v="61"/>
  </r>
  <r>
    <x v="33"/>
  </r>
  <r>
    <x v="14"/>
  </r>
  <r>
    <x v="14"/>
  </r>
  <r>
    <x v="17"/>
  </r>
  <r>
    <x v="11"/>
  </r>
  <r>
    <x v="14"/>
  </r>
  <r>
    <x v="115"/>
  </r>
  <r>
    <x v="0"/>
  </r>
  <r>
    <x v="9"/>
  </r>
  <r>
    <x v="14"/>
  </r>
  <r>
    <x v="14"/>
  </r>
  <r>
    <x v="14"/>
  </r>
  <r>
    <x v="37"/>
  </r>
  <r>
    <x v="45"/>
  </r>
  <r>
    <x v="22"/>
  </r>
  <r>
    <x v="17"/>
  </r>
  <r>
    <x v="55"/>
  </r>
  <r>
    <x v="37"/>
  </r>
  <r>
    <x v="24"/>
  </r>
  <r>
    <x v="12"/>
  </r>
  <r>
    <x v="28"/>
  </r>
  <r>
    <x v="24"/>
  </r>
  <r>
    <x v="17"/>
  </r>
  <r>
    <x v="17"/>
  </r>
  <r>
    <x v="17"/>
  </r>
  <r>
    <x v="17"/>
  </r>
  <r>
    <x v="14"/>
  </r>
  <r>
    <x v="58"/>
  </r>
  <r>
    <x v="58"/>
  </r>
  <r>
    <x v="58"/>
  </r>
  <r>
    <x v="58"/>
  </r>
  <r>
    <x v="58"/>
  </r>
  <r>
    <x v="16"/>
  </r>
  <r>
    <x v="16"/>
  </r>
  <r>
    <x v="64"/>
  </r>
  <r>
    <x v="6"/>
  </r>
  <r>
    <x v="64"/>
  </r>
  <r>
    <x v="17"/>
  </r>
  <r>
    <x v="14"/>
  </r>
  <r>
    <x v="14"/>
  </r>
  <r>
    <x v="2"/>
  </r>
  <r>
    <x v="115"/>
  </r>
  <r>
    <x v="31"/>
  </r>
  <r>
    <x v="17"/>
  </r>
  <r>
    <x v="2"/>
  </r>
  <r>
    <x v="17"/>
  </r>
  <r>
    <x v="17"/>
  </r>
  <r>
    <x v="11"/>
  </r>
  <r>
    <x v="24"/>
  </r>
  <r>
    <x v="56"/>
  </r>
  <r>
    <x v="22"/>
  </r>
  <r>
    <x v="37"/>
  </r>
  <r>
    <x v="10"/>
  </r>
  <r>
    <x v="143"/>
  </r>
  <r>
    <x v="143"/>
  </r>
  <r>
    <x v="14"/>
  </r>
  <r>
    <x v="14"/>
  </r>
  <r>
    <x v="21"/>
  </r>
  <r>
    <x v="31"/>
  </r>
  <r>
    <x v="115"/>
  </r>
  <r>
    <x v="17"/>
  </r>
  <r>
    <x v="45"/>
  </r>
  <r>
    <x v="14"/>
  </r>
  <r>
    <x v="6"/>
  </r>
  <r>
    <x v="7"/>
  </r>
  <r>
    <x v="14"/>
  </r>
  <r>
    <x v="9"/>
  </r>
  <r>
    <x v="12"/>
  </r>
  <r>
    <x v="37"/>
  </r>
  <r>
    <x v="31"/>
  </r>
  <r>
    <x v="48"/>
  </r>
  <r>
    <x v="22"/>
  </r>
  <r>
    <x v="22"/>
  </r>
  <r>
    <x v="0"/>
  </r>
  <r>
    <x v="42"/>
  </r>
  <r>
    <x v="37"/>
  </r>
  <r>
    <x v="40"/>
  </r>
  <r>
    <x v="15"/>
  </r>
  <r>
    <x v="24"/>
  </r>
  <r>
    <x v="10"/>
  </r>
  <r>
    <x v="10"/>
  </r>
  <r>
    <x v="9"/>
  </r>
  <r>
    <x v="26"/>
  </r>
  <r>
    <x v="42"/>
  </r>
  <r>
    <x v="14"/>
  </r>
  <r>
    <x v="9"/>
  </r>
  <r>
    <x v="42"/>
  </r>
  <r>
    <x v="49"/>
  </r>
  <r>
    <x v="12"/>
  </r>
  <r>
    <x v="12"/>
  </r>
  <r>
    <x v="24"/>
  </r>
  <r>
    <x v="12"/>
  </r>
  <r>
    <x v="37"/>
  </r>
  <r>
    <x v="31"/>
  </r>
  <r>
    <x v="4"/>
  </r>
  <r>
    <x v="4"/>
  </r>
  <r>
    <x v="12"/>
  </r>
  <r>
    <x v="91"/>
  </r>
  <r>
    <x v="150"/>
  </r>
  <r>
    <x v="2"/>
  </r>
  <r>
    <x v="14"/>
  </r>
  <r>
    <x v="49"/>
  </r>
  <r>
    <x v="48"/>
  </r>
  <r>
    <x v="28"/>
  </r>
  <r>
    <x v="28"/>
  </r>
  <r>
    <x v="14"/>
  </r>
  <r>
    <x v="32"/>
  </r>
  <r>
    <x v="32"/>
  </r>
  <r>
    <x v="32"/>
  </r>
  <r>
    <x v="16"/>
  </r>
  <r>
    <x v="40"/>
  </r>
  <r>
    <x v="24"/>
  </r>
  <r>
    <x v="7"/>
  </r>
  <r>
    <x v="115"/>
  </r>
  <r>
    <x v="0"/>
  </r>
  <r>
    <x v="14"/>
  </r>
  <r>
    <x v="14"/>
  </r>
  <r>
    <x v="21"/>
  </r>
  <r>
    <x v="46"/>
  </r>
  <r>
    <x v="0"/>
  </r>
  <r>
    <x v="46"/>
  </r>
  <r>
    <x v="14"/>
  </r>
  <r>
    <x v="28"/>
  </r>
  <r>
    <x v="28"/>
  </r>
  <r>
    <x v="10"/>
  </r>
  <r>
    <x v="10"/>
  </r>
  <r>
    <x v="14"/>
  </r>
  <r>
    <x v="47"/>
  </r>
  <r>
    <x v="64"/>
  </r>
  <r>
    <x v="115"/>
  </r>
  <r>
    <x v="0"/>
  </r>
  <r>
    <x v="6"/>
  </r>
  <r>
    <x v="6"/>
  </r>
  <r>
    <x v="52"/>
  </r>
  <r>
    <x v="49"/>
  </r>
  <r>
    <x v="14"/>
  </r>
  <r>
    <x v="41"/>
  </r>
  <r>
    <x v="14"/>
  </r>
  <r>
    <x v="24"/>
  </r>
  <r>
    <x v="24"/>
  </r>
  <r>
    <x v="24"/>
  </r>
  <r>
    <x v="24"/>
  </r>
  <r>
    <x v="33"/>
  </r>
  <r>
    <x v="48"/>
  </r>
  <r>
    <x v="48"/>
  </r>
  <r>
    <x v="264"/>
  </r>
  <r>
    <x v="14"/>
  </r>
  <r>
    <x v="11"/>
  </r>
  <r>
    <x v="28"/>
  </r>
  <r>
    <x v="11"/>
  </r>
  <r>
    <x v="28"/>
  </r>
  <r>
    <x v="12"/>
  </r>
  <r>
    <x v="14"/>
  </r>
  <r>
    <x v="28"/>
  </r>
  <r>
    <x v="11"/>
  </r>
  <r>
    <x v="11"/>
  </r>
  <r>
    <x v="12"/>
  </r>
  <r>
    <x v="11"/>
  </r>
  <r>
    <x v="11"/>
  </r>
  <r>
    <x v="21"/>
  </r>
  <r>
    <x v="42"/>
  </r>
  <r>
    <x v="63"/>
  </r>
  <r>
    <x v="63"/>
  </r>
  <r>
    <x v="63"/>
  </r>
  <r>
    <x v="63"/>
  </r>
  <r>
    <x v="8"/>
  </r>
  <r>
    <x v="55"/>
  </r>
  <r>
    <x v="55"/>
  </r>
  <r>
    <x v="28"/>
  </r>
  <r>
    <x v="115"/>
  </r>
  <r>
    <x v="46"/>
  </r>
  <r>
    <x v="28"/>
  </r>
  <r>
    <x v="14"/>
  </r>
  <r>
    <x v="0"/>
  </r>
  <r>
    <x v="25"/>
  </r>
  <r>
    <x v="76"/>
  </r>
  <r>
    <x v="26"/>
  </r>
  <r>
    <x v="10"/>
  </r>
  <r>
    <x v="26"/>
  </r>
  <r>
    <x v="37"/>
  </r>
  <r>
    <x v="37"/>
  </r>
  <r>
    <x v="37"/>
  </r>
  <r>
    <x v="10"/>
  </r>
  <r>
    <x v="4"/>
  </r>
  <r>
    <x v="26"/>
  </r>
  <r>
    <x v="26"/>
  </r>
  <r>
    <x v="14"/>
  </r>
  <r>
    <x v="2"/>
  </r>
  <r>
    <x v="14"/>
  </r>
  <r>
    <x v="10"/>
  </r>
  <r>
    <x v="115"/>
  </r>
  <r>
    <x v="26"/>
  </r>
  <r>
    <x v="8"/>
  </r>
  <r>
    <x v="8"/>
  </r>
  <r>
    <x v="14"/>
  </r>
  <r>
    <x v="48"/>
  </r>
  <r>
    <x v="76"/>
  </r>
  <r>
    <x v="2"/>
  </r>
  <r>
    <x v="10"/>
  </r>
  <r>
    <x v="2"/>
  </r>
  <r>
    <x v="7"/>
  </r>
  <r>
    <x v="12"/>
  </r>
  <r>
    <x v="40"/>
  </r>
  <r>
    <x v="26"/>
  </r>
  <r>
    <x v="2"/>
  </r>
  <r>
    <x v="2"/>
  </r>
  <r>
    <x v="37"/>
  </r>
  <r>
    <x v="21"/>
  </r>
  <r>
    <x v="14"/>
  </r>
  <r>
    <x v="0"/>
  </r>
  <r>
    <x v="0"/>
  </r>
  <r>
    <x v="0"/>
  </r>
  <r>
    <x v="0"/>
  </r>
  <r>
    <x v="0"/>
  </r>
  <r>
    <x v="10"/>
  </r>
  <r>
    <x v="14"/>
  </r>
  <r>
    <x v="17"/>
  </r>
  <r>
    <x v="14"/>
  </r>
  <r>
    <x v="414"/>
  </r>
  <r>
    <x v="10"/>
  </r>
  <r>
    <x v="53"/>
  </r>
  <r>
    <x v="14"/>
  </r>
  <r>
    <x v="22"/>
  </r>
  <r>
    <x v="31"/>
  </r>
  <r>
    <x v="25"/>
  </r>
  <r>
    <x v="25"/>
  </r>
  <r>
    <x v="25"/>
  </r>
  <r>
    <x v="70"/>
  </r>
  <r>
    <x v="223"/>
  </r>
  <r>
    <x v="21"/>
  </r>
  <r>
    <x v="42"/>
  </r>
  <r>
    <x v="14"/>
  </r>
  <r>
    <x v="53"/>
  </r>
  <r>
    <x v="0"/>
  </r>
  <r>
    <x v="37"/>
  </r>
  <r>
    <x v="37"/>
  </r>
  <r>
    <x v="2"/>
  </r>
  <r>
    <x v="10"/>
  </r>
  <r>
    <x v="14"/>
  </r>
  <r>
    <x v="22"/>
  </r>
  <r>
    <x v="43"/>
  </r>
  <r>
    <x v="21"/>
  </r>
  <r>
    <x v="25"/>
  </r>
  <r>
    <x v="14"/>
  </r>
  <r>
    <x v="4"/>
  </r>
  <r>
    <x v="24"/>
  </r>
  <r>
    <x v="28"/>
  </r>
  <r>
    <x v="14"/>
  </r>
  <r>
    <x v="10"/>
  </r>
  <r>
    <x v="0"/>
  </r>
  <r>
    <x v="0"/>
  </r>
  <r>
    <x v="19"/>
  </r>
  <r>
    <x v="11"/>
  </r>
  <r>
    <x v="17"/>
  </r>
  <r>
    <x v="40"/>
  </r>
  <r>
    <x v="39"/>
  </r>
  <r>
    <x v="0"/>
  </r>
  <r>
    <x v="0"/>
  </r>
  <r>
    <x v="165"/>
  </r>
  <r>
    <x v="7"/>
  </r>
  <r>
    <x v="40"/>
  </r>
  <r>
    <x v="21"/>
  </r>
  <r>
    <x v="12"/>
  </r>
  <r>
    <x v="42"/>
  </r>
  <r>
    <x v="40"/>
  </r>
  <r>
    <x v="4"/>
  </r>
  <r>
    <x v="0"/>
  </r>
  <r>
    <x v="11"/>
  </r>
  <r>
    <x v="4"/>
  </r>
  <r>
    <x v="32"/>
  </r>
  <r>
    <x v="143"/>
  </r>
  <r>
    <x v="7"/>
  </r>
  <r>
    <x v="27"/>
  </r>
  <r>
    <x v="14"/>
  </r>
  <r>
    <x v="17"/>
  </r>
  <r>
    <x v="17"/>
  </r>
  <r>
    <x v="17"/>
  </r>
  <r>
    <x v="53"/>
  </r>
  <r>
    <x v="53"/>
  </r>
  <r>
    <x v="17"/>
  </r>
  <r>
    <x v="17"/>
  </r>
  <r>
    <x v="17"/>
  </r>
  <r>
    <x v="17"/>
  </r>
  <r>
    <x v="32"/>
  </r>
  <r>
    <x v="31"/>
  </r>
  <r>
    <x v="31"/>
  </r>
  <r>
    <x v="246"/>
  </r>
  <r>
    <x v="14"/>
  </r>
  <r>
    <x v="246"/>
  </r>
  <r>
    <x v="31"/>
  </r>
  <r>
    <x v="37"/>
  </r>
  <r>
    <x v="49"/>
  </r>
  <r>
    <x v="4"/>
  </r>
  <r>
    <x v="31"/>
  </r>
  <r>
    <x v="62"/>
  </r>
  <r>
    <x v="62"/>
  </r>
  <r>
    <x v="43"/>
  </r>
  <r>
    <x v="17"/>
  </r>
  <r>
    <x v="69"/>
  </r>
  <r>
    <x v="28"/>
  </r>
  <r>
    <x v="14"/>
  </r>
  <r>
    <x v="14"/>
  </r>
  <r>
    <x v="14"/>
  </r>
  <r>
    <x v="14"/>
  </r>
  <r>
    <x v="187"/>
  </r>
  <r>
    <x v="11"/>
  </r>
  <r>
    <x v="11"/>
  </r>
  <r>
    <x v="14"/>
  </r>
  <r>
    <x v="132"/>
  </r>
  <r>
    <x v="10"/>
  </r>
  <r>
    <x v="37"/>
  </r>
  <r>
    <x v="22"/>
  </r>
  <r>
    <x v="10"/>
  </r>
  <r>
    <x v="40"/>
  </r>
  <r>
    <x v="14"/>
  </r>
  <r>
    <x v="2"/>
  </r>
  <r>
    <x v="48"/>
  </r>
  <r>
    <x v="7"/>
  </r>
  <r>
    <x v="14"/>
  </r>
  <r>
    <x v="26"/>
  </r>
  <r>
    <x v="26"/>
  </r>
  <r>
    <x v="9"/>
  </r>
  <r>
    <x v="22"/>
  </r>
  <r>
    <x v="22"/>
  </r>
  <r>
    <x v="0"/>
  </r>
  <r>
    <x v="0"/>
  </r>
  <r>
    <x v="0"/>
  </r>
  <r>
    <x v="77"/>
  </r>
  <r>
    <x v="10"/>
  </r>
  <r>
    <x v="14"/>
  </r>
  <r>
    <x v="25"/>
  </r>
  <r>
    <x v="26"/>
  </r>
  <r>
    <x v="7"/>
  </r>
  <r>
    <x v="6"/>
  </r>
  <r>
    <x v="14"/>
  </r>
  <r>
    <x v="115"/>
  </r>
  <r>
    <x v="4"/>
  </r>
  <r>
    <x v="4"/>
  </r>
  <r>
    <x v="1"/>
  </r>
  <r>
    <x v="1"/>
  </r>
  <r>
    <x v="1"/>
  </r>
  <r>
    <x v="7"/>
  </r>
  <r>
    <x v="76"/>
  </r>
  <r>
    <x v="76"/>
  </r>
  <r>
    <x v="22"/>
  </r>
  <r>
    <x v="119"/>
  </r>
  <r>
    <x v="4"/>
  </r>
  <r>
    <x v="4"/>
  </r>
  <r>
    <x v="40"/>
  </r>
  <r>
    <x v="10"/>
  </r>
  <r>
    <x v="55"/>
  </r>
  <r>
    <x v="48"/>
  </r>
  <r>
    <x v="10"/>
  </r>
  <r>
    <x v="4"/>
  </r>
  <r>
    <x v="28"/>
  </r>
  <r>
    <x v="28"/>
  </r>
  <r>
    <x v="4"/>
  </r>
  <r>
    <x v="4"/>
  </r>
  <r>
    <x v="62"/>
  </r>
  <r>
    <x v="39"/>
  </r>
  <r>
    <x v="45"/>
  </r>
  <r>
    <x v="55"/>
  </r>
  <r>
    <x v="4"/>
  </r>
  <r>
    <x v="7"/>
  </r>
  <r>
    <x v="16"/>
  </r>
  <r>
    <x v="115"/>
  </r>
  <r>
    <x v="32"/>
  </r>
  <r>
    <x v="39"/>
  </r>
  <r>
    <x v="40"/>
  </r>
  <r>
    <x v="115"/>
  </r>
  <r>
    <x v="17"/>
  </r>
  <r>
    <x v="37"/>
  </r>
  <r>
    <x v="4"/>
  </r>
  <r>
    <x v="14"/>
  </r>
  <r>
    <x v="4"/>
  </r>
  <r>
    <x v="2"/>
  </r>
  <r>
    <x v="9"/>
  </r>
  <r>
    <x v="9"/>
  </r>
  <r>
    <x v="37"/>
  </r>
  <r>
    <x v="14"/>
  </r>
  <r>
    <x v="21"/>
  </r>
  <r>
    <x v="17"/>
  </r>
  <r>
    <x v="22"/>
  </r>
  <r>
    <x v="37"/>
  </r>
  <r>
    <x v="22"/>
  </r>
  <r>
    <x v="11"/>
  </r>
  <r>
    <x v="49"/>
  </r>
  <r>
    <x v="37"/>
  </r>
  <r>
    <x v="94"/>
  </r>
  <r>
    <x v="2"/>
  </r>
  <r>
    <x v="2"/>
  </r>
  <r>
    <x v="2"/>
  </r>
  <r>
    <x v="88"/>
  </r>
  <r>
    <x v="4"/>
  </r>
  <r>
    <x v="62"/>
  </r>
  <r>
    <x v="14"/>
  </r>
  <r>
    <x v="90"/>
  </r>
  <r>
    <x v="17"/>
  </r>
  <r>
    <x v="115"/>
  </r>
  <r>
    <x v="28"/>
  </r>
  <r>
    <x v="21"/>
  </r>
  <r>
    <x v="2"/>
  </r>
  <r>
    <x v="17"/>
  </r>
  <r>
    <x v="87"/>
  </r>
  <r>
    <x v="8"/>
  </r>
  <r>
    <x v="16"/>
  </r>
  <r>
    <x v="16"/>
  </r>
  <r>
    <x v="11"/>
  </r>
  <r>
    <x v="115"/>
  </r>
  <r>
    <x v="14"/>
  </r>
  <r>
    <x v="14"/>
  </r>
  <r>
    <x v="10"/>
  </r>
  <r>
    <x v="43"/>
  </r>
  <r>
    <x v="28"/>
  </r>
  <r>
    <x v="21"/>
  </r>
  <r>
    <x v="0"/>
  </r>
  <r>
    <x v="1"/>
  </r>
  <r>
    <x v="16"/>
  </r>
  <r>
    <x v="37"/>
  </r>
  <r>
    <x v="21"/>
  </r>
  <r>
    <x v="8"/>
  </r>
  <r>
    <x v="2"/>
  </r>
  <r>
    <x v="14"/>
  </r>
  <r>
    <x v="12"/>
  </r>
  <r>
    <x v="12"/>
  </r>
  <r>
    <x v="45"/>
  </r>
  <r>
    <x v="11"/>
  </r>
  <r>
    <x v="4"/>
  </r>
  <r>
    <x v="14"/>
  </r>
  <r>
    <x v="115"/>
  </r>
  <r>
    <x v="2"/>
  </r>
  <r>
    <x v="48"/>
  </r>
  <r>
    <x v="12"/>
  </r>
  <r>
    <x v="14"/>
  </r>
  <r>
    <x v="9"/>
  </r>
  <r>
    <x v="115"/>
  </r>
  <r>
    <x v="115"/>
  </r>
  <r>
    <x v="28"/>
  </r>
  <r>
    <x v="10"/>
  </r>
  <r>
    <x v="174"/>
  </r>
  <r>
    <x v="39"/>
  </r>
  <r>
    <x v="0"/>
  </r>
  <r>
    <x v="2"/>
  </r>
  <r>
    <x v="55"/>
  </r>
  <r>
    <x v="0"/>
  </r>
  <r>
    <x v="0"/>
  </r>
  <r>
    <x v="11"/>
  </r>
  <r>
    <x v="11"/>
  </r>
  <r>
    <x v="14"/>
  </r>
  <r>
    <x v="7"/>
  </r>
  <r>
    <x v="7"/>
  </r>
  <r>
    <x v="7"/>
  </r>
  <r>
    <x v="7"/>
  </r>
  <r>
    <x v="44"/>
  </r>
  <r>
    <x v="64"/>
  </r>
  <r>
    <x v="22"/>
  </r>
  <r>
    <x v="76"/>
  </r>
  <r>
    <x v="48"/>
  </r>
  <r>
    <x v="48"/>
  </r>
  <r>
    <x v="48"/>
  </r>
  <r>
    <x v="40"/>
  </r>
  <r>
    <x v="1"/>
  </r>
  <r>
    <x v="174"/>
  </r>
  <r>
    <x v="174"/>
  </r>
  <r>
    <x v="28"/>
  </r>
  <r>
    <x v="11"/>
  </r>
  <r>
    <x v="115"/>
  </r>
  <r>
    <x v="0"/>
  </r>
  <r>
    <x v="14"/>
  </r>
  <r>
    <x v="14"/>
  </r>
  <r>
    <x v="7"/>
  </r>
  <r>
    <x v="24"/>
  </r>
  <r>
    <x v="14"/>
  </r>
  <r>
    <x v="14"/>
  </r>
  <r>
    <x v="14"/>
  </r>
  <r>
    <x v="14"/>
  </r>
  <r>
    <x v="24"/>
  </r>
  <r>
    <x v="2"/>
  </r>
  <r>
    <x v="28"/>
  </r>
  <r>
    <x v="8"/>
  </r>
  <r>
    <x v="28"/>
  </r>
  <r>
    <x v="59"/>
  </r>
  <r>
    <x v="130"/>
  </r>
  <r>
    <x v="14"/>
  </r>
  <r>
    <x v="0"/>
  </r>
  <r>
    <x v="14"/>
  </r>
  <r>
    <x v="8"/>
  </r>
  <r>
    <x v="64"/>
  </r>
  <r>
    <x v="7"/>
  </r>
  <r>
    <x v="12"/>
  </r>
  <r>
    <x v="17"/>
  </r>
  <r>
    <x v="17"/>
  </r>
  <r>
    <x v="28"/>
  </r>
  <r>
    <x v="28"/>
  </r>
  <r>
    <x v="21"/>
  </r>
  <r>
    <x v="12"/>
  </r>
  <r>
    <x v="68"/>
  </r>
  <r>
    <x v="15"/>
  </r>
  <r>
    <x v="2"/>
  </r>
  <r>
    <x v="31"/>
  </r>
  <r>
    <x v="2"/>
  </r>
  <r>
    <x v="24"/>
  </r>
  <r>
    <x v="27"/>
  </r>
  <r>
    <x v="48"/>
  </r>
  <r>
    <x v="111"/>
  </r>
  <r>
    <x v="25"/>
  </r>
  <r>
    <x v="25"/>
  </r>
  <r>
    <x v="72"/>
  </r>
  <r>
    <x v="72"/>
  </r>
  <r>
    <x v="72"/>
  </r>
  <r>
    <x v="72"/>
  </r>
  <r>
    <x v="34"/>
  </r>
  <r>
    <x v="25"/>
  </r>
  <r>
    <x v="25"/>
  </r>
  <r>
    <x v="25"/>
  </r>
  <r>
    <x v="25"/>
  </r>
  <r>
    <x v="25"/>
  </r>
  <r>
    <x v="199"/>
  </r>
  <r>
    <x v="25"/>
  </r>
  <r>
    <x v="94"/>
  </r>
  <r>
    <x v="72"/>
  </r>
  <r>
    <x v="25"/>
  </r>
  <r>
    <x v="105"/>
  </r>
  <r>
    <x v="72"/>
  </r>
  <r>
    <x v="72"/>
  </r>
  <r>
    <x v="128"/>
  </r>
  <r>
    <x v="128"/>
  </r>
  <r>
    <x v="25"/>
  </r>
  <r>
    <x v="57"/>
  </r>
  <r>
    <x v="76"/>
  </r>
  <r>
    <x v="10"/>
  </r>
  <r>
    <x v="10"/>
  </r>
  <r>
    <x v="10"/>
  </r>
  <r>
    <x v="76"/>
  </r>
  <r>
    <x v="22"/>
  </r>
  <r>
    <x v="22"/>
  </r>
  <r>
    <x v="76"/>
  </r>
  <r>
    <x v="71"/>
  </r>
  <r>
    <x v="25"/>
  </r>
  <r>
    <x v="25"/>
  </r>
  <r>
    <x v="12"/>
  </r>
  <r>
    <x v="22"/>
  </r>
  <r>
    <x v="71"/>
  </r>
  <r>
    <x v="25"/>
  </r>
  <r>
    <x v="78"/>
  </r>
  <r>
    <x v="25"/>
  </r>
  <r>
    <x v="24"/>
  </r>
  <r>
    <x v="26"/>
  </r>
  <r>
    <x v="26"/>
  </r>
  <r>
    <x v="25"/>
  </r>
  <r>
    <x v="25"/>
  </r>
  <r>
    <x v="71"/>
  </r>
  <r>
    <x v="12"/>
  </r>
  <r>
    <x v="25"/>
  </r>
  <r>
    <x v="81"/>
  </r>
  <r>
    <x v="6"/>
  </r>
  <r>
    <x v="81"/>
  </r>
  <r>
    <x v="205"/>
  </r>
  <r>
    <x v="29"/>
  </r>
  <r>
    <x v="76"/>
  </r>
  <r>
    <x v="76"/>
  </r>
  <r>
    <x v="76"/>
  </r>
  <r>
    <x v="76"/>
  </r>
  <r>
    <x v="76"/>
  </r>
  <r>
    <x v="87"/>
  </r>
  <r>
    <x v="87"/>
  </r>
  <r>
    <x v="25"/>
  </r>
  <r>
    <x v="128"/>
  </r>
  <r>
    <x v="57"/>
  </r>
  <r>
    <x v="76"/>
  </r>
  <r>
    <x v="63"/>
  </r>
  <r>
    <x v="22"/>
  </r>
  <r>
    <x v="22"/>
  </r>
  <r>
    <x v="76"/>
  </r>
  <r>
    <x v="76"/>
  </r>
  <r>
    <x v="57"/>
  </r>
  <r>
    <x v="57"/>
  </r>
  <r>
    <x v="57"/>
  </r>
  <r>
    <x v="57"/>
  </r>
  <r>
    <x v="76"/>
  </r>
  <r>
    <x v="76"/>
  </r>
  <r>
    <x v="76"/>
  </r>
  <r>
    <x v="76"/>
  </r>
  <r>
    <x v="76"/>
  </r>
  <r>
    <x v="76"/>
  </r>
  <r>
    <x v="10"/>
  </r>
  <r>
    <x v="34"/>
  </r>
  <r>
    <x v="12"/>
  </r>
  <r>
    <x v="57"/>
  </r>
  <r>
    <x v="10"/>
  </r>
  <r>
    <x v="113"/>
  </r>
  <r>
    <x v="81"/>
  </r>
  <r>
    <x v="81"/>
  </r>
  <r>
    <x v="29"/>
  </r>
  <r>
    <x v="29"/>
  </r>
  <r>
    <x v="56"/>
  </r>
  <r>
    <x v="56"/>
  </r>
  <r>
    <x v="56"/>
  </r>
  <r>
    <x v="0"/>
  </r>
  <r>
    <x v="72"/>
  </r>
  <r>
    <x v="25"/>
  </r>
  <r>
    <x v="25"/>
  </r>
  <r>
    <x v="208"/>
  </r>
  <r>
    <x v="208"/>
  </r>
  <r>
    <x v="264"/>
  </r>
  <r>
    <x v="388"/>
  </r>
  <r>
    <x v="0"/>
  </r>
  <r>
    <x v="48"/>
  </r>
  <r>
    <x v="78"/>
  </r>
  <r>
    <x v="76"/>
  </r>
  <r>
    <x v="188"/>
  </r>
  <r>
    <x v="188"/>
  </r>
  <r>
    <x v="25"/>
  </r>
  <r>
    <x v="118"/>
  </r>
  <r>
    <x v="76"/>
  </r>
  <r>
    <x v="76"/>
  </r>
  <r>
    <x v="25"/>
  </r>
  <r>
    <x v="76"/>
  </r>
  <r>
    <x v="76"/>
  </r>
  <r>
    <x v="63"/>
  </r>
  <r>
    <x v="76"/>
  </r>
  <r>
    <x v="76"/>
  </r>
  <r>
    <x v="76"/>
  </r>
  <r>
    <x v="76"/>
  </r>
  <r>
    <x v="76"/>
  </r>
  <r>
    <x v="76"/>
  </r>
  <r>
    <x v="72"/>
  </r>
  <r>
    <x v="94"/>
  </r>
  <r>
    <x v="78"/>
  </r>
  <r>
    <x v="78"/>
  </r>
  <r>
    <x v="96"/>
  </r>
  <r>
    <x v="111"/>
  </r>
  <r>
    <x v="0"/>
  </r>
  <r>
    <x v="0"/>
  </r>
  <r>
    <x v="82"/>
  </r>
  <r>
    <x v="82"/>
  </r>
  <r>
    <x v="21"/>
  </r>
  <r>
    <x v="100"/>
  </r>
  <r>
    <x v="97"/>
  </r>
  <r>
    <x v="25"/>
  </r>
  <r>
    <x v="25"/>
  </r>
  <r>
    <x v="25"/>
  </r>
  <r>
    <x v="25"/>
  </r>
  <r>
    <x v="78"/>
  </r>
  <r>
    <x v="12"/>
  </r>
  <r>
    <x v="36"/>
  </r>
  <r>
    <x v="63"/>
  </r>
  <r>
    <x v="63"/>
  </r>
  <r>
    <x v="63"/>
  </r>
  <r>
    <x v="63"/>
  </r>
  <r>
    <x v="77"/>
  </r>
  <r>
    <x v="77"/>
  </r>
  <r>
    <x v="46"/>
  </r>
  <r>
    <x v="21"/>
  </r>
  <r>
    <x v="48"/>
  </r>
  <r>
    <x v="72"/>
  </r>
  <r>
    <x v="87"/>
  </r>
  <r>
    <x v="82"/>
  </r>
  <r>
    <x v="87"/>
  </r>
  <r>
    <x v="82"/>
  </r>
  <r>
    <x v="110"/>
  </r>
  <r>
    <x v="14"/>
  </r>
  <r>
    <x v="14"/>
  </r>
  <r>
    <x v="76"/>
  </r>
  <r>
    <x v="113"/>
  </r>
  <r>
    <x v="113"/>
  </r>
  <r>
    <x v="48"/>
  </r>
  <r>
    <x v="113"/>
  </r>
  <r>
    <x v="76"/>
  </r>
  <r>
    <x v="48"/>
  </r>
  <r>
    <x v="4"/>
  </r>
  <r>
    <x v="37"/>
  </r>
  <r>
    <x v="37"/>
  </r>
  <r>
    <x v="72"/>
  </r>
  <r>
    <x v="7"/>
  </r>
  <r>
    <x v="0"/>
  </r>
  <r>
    <x v="27"/>
  </r>
  <r>
    <x v="25"/>
  </r>
  <r>
    <x v="25"/>
  </r>
  <r>
    <x v="10"/>
  </r>
  <r>
    <x v="10"/>
  </r>
  <r>
    <x v="87"/>
  </r>
  <r>
    <x v="199"/>
  </r>
  <r>
    <x v="55"/>
  </r>
  <r>
    <x v="25"/>
  </r>
  <r>
    <x v="82"/>
  </r>
  <r>
    <x v="25"/>
  </r>
  <r>
    <x v="82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72"/>
  </r>
  <r>
    <x v="72"/>
  </r>
  <r>
    <x v="57"/>
  </r>
  <r>
    <x v="72"/>
  </r>
  <r>
    <x v="72"/>
  </r>
  <r>
    <x v="25"/>
  </r>
  <r>
    <x v="25"/>
  </r>
  <r>
    <x v="76"/>
  </r>
  <r>
    <x v="76"/>
  </r>
  <r>
    <x v="72"/>
  </r>
  <r>
    <x v="72"/>
  </r>
  <r>
    <x v="72"/>
  </r>
  <r>
    <x v="72"/>
  </r>
  <r>
    <x v="25"/>
  </r>
  <r>
    <x v="25"/>
  </r>
  <r>
    <x v="25"/>
  </r>
  <r>
    <x v="14"/>
  </r>
  <r>
    <x v="76"/>
  </r>
  <r>
    <x v="76"/>
  </r>
  <r>
    <x v="82"/>
  </r>
  <r>
    <x v="0"/>
  </r>
  <r>
    <x v="57"/>
  </r>
  <r>
    <x v="96"/>
  </r>
  <r>
    <x v="108"/>
  </r>
  <r>
    <x v="82"/>
  </r>
  <r>
    <x v="82"/>
  </r>
  <r>
    <x v="108"/>
  </r>
  <r>
    <x v="82"/>
  </r>
  <r>
    <x v="72"/>
  </r>
  <r>
    <x v="82"/>
  </r>
  <r>
    <x v="72"/>
  </r>
  <r>
    <x v="27"/>
  </r>
  <r>
    <x v="57"/>
  </r>
  <r>
    <x v="82"/>
  </r>
  <r>
    <x v="0"/>
  </r>
  <r>
    <x v="0"/>
  </r>
  <r>
    <x v="0"/>
  </r>
  <r>
    <x v="0"/>
  </r>
  <r>
    <x v="25"/>
  </r>
  <r>
    <x v="25"/>
  </r>
  <r>
    <x v="25"/>
  </r>
  <r>
    <x v="29"/>
  </r>
  <r>
    <x v="79"/>
  </r>
  <r>
    <x v="25"/>
  </r>
  <r>
    <x v="37"/>
  </r>
  <r>
    <x v="2"/>
  </r>
  <r>
    <x v="0"/>
  </r>
  <r>
    <x v="0"/>
  </r>
  <r>
    <x v="0"/>
  </r>
  <r>
    <x v="57"/>
  </r>
  <r>
    <x v="25"/>
  </r>
  <r>
    <x v="25"/>
  </r>
  <r>
    <x v="25"/>
  </r>
  <r>
    <x v="25"/>
  </r>
  <r>
    <x v="216"/>
  </r>
  <r>
    <x v="157"/>
  </r>
  <r>
    <x v="82"/>
  </r>
  <r>
    <x v="76"/>
  </r>
  <r>
    <x v="25"/>
  </r>
  <r>
    <x v="72"/>
  </r>
  <r>
    <x v="25"/>
  </r>
  <r>
    <x v="25"/>
  </r>
  <r>
    <x v="72"/>
  </r>
  <r>
    <x v="76"/>
  </r>
  <r>
    <x v="25"/>
  </r>
  <r>
    <x v="25"/>
  </r>
  <r>
    <x v="25"/>
  </r>
  <r>
    <x v="76"/>
  </r>
  <r>
    <x v="76"/>
  </r>
  <r>
    <x v="72"/>
  </r>
  <r>
    <x v="143"/>
  </r>
  <r>
    <x v="72"/>
  </r>
  <r>
    <x v="25"/>
  </r>
  <r>
    <x v="42"/>
  </r>
  <r>
    <x v="12"/>
  </r>
  <r>
    <x v="72"/>
  </r>
  <r>
    <x v="25"/>
  </r>
  <r>
    <x v="82"/>
  </r>
  <r>
    <x v="79"/>
  </r>
  <r>
    <x v="79"/>
  </r>
  <r>
    <x v="79"/>
  </r>
  <r>
    <x v="128"/>
  </r>
  <r>
    <x v="102"/>
  </r>
  <r>
    <x v="27"/>
  </r>
  <r>
    <x v="27"/>
  </r>
  <r>
    <x v="32"/>
  </r>
  <r>
    <x v="32"/>
  </r>
  <r>
    <x v="25"/>
  </r>
  <r>
    <x v="63"/>
  </r>
  <r>
    <x v="56"/>
  </r>
  <r>
    <x v="25"/>
  </r>
  <r>
    <x v="56"/>
  </r>
  <r>
    <x v="56"/>
  </r>
  <r>
    <x v="16"/>
  </r>
  <r>
    <x v="16"/>
  </r>
  <r>
    <x v="27"/>
  </r>
  <r>
    <x v="82"/>
  </r>
  <r>
    <x v="72"/>
  </r>
  <r>
    <x v="25"/>
  </r>
  <r>
    <x v="25"/>
  </r>
  <r>
    <x v="31"/>
  </r>
  <r>
    <x v="31"/>
  </r>
  <r>
    <x v="31"/>
  </r>
  <r>
    <x v="155"/>
  </r>
  <r>
    <x v="155"/>
  </r>
  <r>
    <x v="25"/>
  </r>
  <r>
    <x v="10"/>
  </r>
  <r>
    <x v="76"/>
  </r>
  <r>
    <x v="30"/>
  </r>
  <r>
    <x v="76"/>
  </r>
  <r>
    <x v="83"/>
  </r>
  <r>
    <x v="56"/>
  </r>
  <r>
    <x v="56"/>
  </r>
  <r>
    <x v="56"/>
  </r>
  <r>
    <x v="56"/>
  </r>
  <r>
    <x v="56"/>
  </r>
  <r>
    <x v="56"/>
  </r>
  <r>
    <x v="25"/>
  </r>
  <r>
    <x v="82"/>
  </r>
  <r>
    <x v="25"/>
  </r>
  <r>
    <x v="75"/>
  </r>
  <r>
    <x v="0"/>
  </r>
  <r>
    <x v="105"/>
  </r>
  <r>
    <x v="76"/>
  </r>
  <r>
    <x v="117"/>
  </r>
  <r>
    <x v="76"/>
  </r>
  <r>
    <x v="72"/>
  </r>
  <r>
    <x v="76"/>
  </r>
  <r>
    <x v="76"/>
  </r>
  <r>
    <x v="76"/>
  </r>
  <r>
    <x v="324"/>
  </r>
  <r>
    <x v="324"/>
  </r>
  <r>
    <x v="324"/>
  </r>
  <r>
    <x v="82"/>
  </r>
  <r>
    <x v="70"/>
  </r>
  <r>
    <x v="85"/>
  </r>
  <r>
    <x v="85"/>
  </r>
  <r>
    <x v="85"/>
  </r>
  <r>
    <x v="27"/>
  </r>
  <r>
    <x v="27"/>
  </r>
  <r>
    <x v="27"/>
  </r>
  <r>
    <x v="72"/>
  </r>
  <r>
    <x v="87"/>
  </r>
  <r>
    <x v="25"/>
  </r>
  <r>
    <x v="110"/>
  </r>
  <r>
    <x v="76"/>
  </r>
  <r>
    <x v="87"/>
  </r>
  <r>
    <x v="16"/>
  </r>
  <r>
    <x v="83"/>
  </r>
  <r>
    <x v="100"/>
  </r>
  <r>
    <x v="210"/>
  </r>
  <r>
    <x v="24"/>
  </r>
  <r>
    <x v="82"/>
  </r>
  <r>
    <x v="83"/>
  </r>
  <r>
    <x v="111"/>
  </r>
  <r>
    <x v="25"/>
  </r>
  <r>
    <x v="210"/>
  </r>
  <r>
    <x v="30"/>
  </r>
  <r>
    <x v="48"/>
  </r>
  <r>
    <x v="83"/>
  </r>
  <r>
    <x v="83"/>
  </r>
  <r>
    <x v="17"/>
  </r>
  <r>
    <x v="182"/>
  </r>
  <r>
    <x v="182"/>
  </r>
  <r>
    <x v="6"/>
  </r>
  <r>
    <x v="155"/>
  </r>
  <r>
    <x v="31"/>
  </r>
  <r>
    <x v="218"/>
  </r>
  <r>
    <x v="83"/>
  </r>
  <r>
    <x v="82"/>
  </r>
  <r>
    <x v="31"/>
  </r>
  <r>
    <x v="154"/>
  </r>
  <r>
    <x v="76"/>
  </r>
  <r>
    <x v="57"/>
  </r>
  <r>
    <x v="57"/>
  </r>
  <r>
    <x v="79"/>
  </r>
  <r>
    <x v="25"/>
  </r>
  <r>
    <x v="111"/>
  </r>
  <r>
    <x v="10"/>
  </r>
  <r>
    <x v="10"/>
  </r>
  <r>
    <x v="10"/>
  </r>
  <r>
    <x v="10"/>
  </r>
  <r>
    <x v="0"/>
  </r>
  <r>
    <x v="0"/>
  </r>
  <r>
    <x v="59"/>
  </r>
  <r>
    <x v="31"/>
  </r>
  <r>
    <x v="31"/>
  </r>
  <r>
    <x v="2"/>
  </r>
  <r>
    <x v="3"/>
  </r>
  <r>
    <x v="76"/>
  </r>
  <r>
    <x v="76"/>
  </r>
  <r>
    <x v="14"/>
  </r>
  <r>
    <x v="21"/>
  </r>
  <r>
    <x v="76"/>
  </r>
  <r>
    <x v="229"/>
  </r>
  <r>
    <x v="124"/>
  </r>
  <r>
    <x v="124"/>
  </r>
  <r>
    <x v="124"/>
  </r>
  <r>
    <x v="124"/>
  </r>
  <r>
    <x v="25"/>
  </r>
  <r>
    <x v="25"/>
  </r>
  <r>
    <x v="25"/>
  </r>
  <r>
    <x v="25"/>
  </r>
  <r>
    <x v="25"/>
  </r>
  <r>
    <x v="25"/>
  </r>
  <r>
    <x v="76"/>
  </r>
  <r>
    <x v="3"/>
  </r>
  <r>
    <x v="25"/>
  </r>
  <r>
    <x v="25"/>
  </r>
  <r>
    <x v="56"/>
  </r>
  <r>
    <x v="32"/>
  </r>
  <r>
    <x v="56"/>
  </r>
  <r>
    <x v="10"/>
  </r>
  <r>
    <x v="28"/>
  </r>
  <r>
    <x v="86"/>
  </r>
  <r>
    <x v="25"/>
  </r>
  <r>
    <x v="29"/>
  </r>
  <r>
    <x v="29"/>
  </r>
  <r>
    <x v="7"/>
  </r>
  <r>
    <x v="327"/>
  </r>
  <r>
    <x v="327"/>
  </r>
  <r>
    <x v="42"/>
  </r>
  <r>
    <x v="48"/>
  </r>
  <r>
    <x v="83"/>
  </r>
  <r>
    <x v="31"/>
  </r>
  <r>
    <x v="118"/>
  </r>
  <r>
    <x v="23"/>
  </r>
  <r>
    <x v="204"/>
  </r>
  <r>
    <x v="97"/>
  </r>
  <r>
    <x v="96"/>
  </r>
  <r>
    <x v="89"/>
  </r>
  <r>
    <x v="59"/>
  </r>
  <r>
    <x v="14"/>
  </r>
  <r>
    <x v="82"/>
  </r>
  <r>
    <x v="68"/>
  </r>
  <r>
    <x v="114"/>
  </r>
  <r>
    <x v="68"/>
  </r>
  <r>
    <x v="68"/>
  </r>
  <r>
    <x v="83"/>
  </r>
  <r>
    <x v="83"/>
  </r>
  <r>
    <x v="216"/>
  </r>
  <r>
    <x v="216"/>
  </r>
  <r>
    <x v="83"/>
  </r>
  <r>
    <x v="48"/>
  </r>
  <r>
    <x v="10"/>
  </r>
  <r>
    <x v="10"/>
  </r>
  <r>
    <x v="10"/>
  </r>
  <r>
    <x v="117"/>
  </r>
  <r>
    <x v="71"/>
  </r>
  <r>
    <x v="112"/>
  </r>
  <r>
    <x v="142"/>
  </r>
  <r>
    <x v="81"/>
  </r>
  <r>
    <x v="182"/>
  </r>
  <r>
    <x v="204"/>
  </r>
  <r>
    <x v="44"/>
  </r>
  <r>
    <x v="44"/>
  </r>
  <r>
    <x v="331"/>
  </r>
  <r>
    <x v="417"/>
  </r>
  <r>
    <x v="21"/>
  </r>
  <r>
    <x v="21"/>
  </r>
  <r>
    <x v="31"/>
  </r>
  <r>
    <x v="55"/>
  </r>
  <r>
    <x v="85"/>
  </r>
  <r>
    <x v="204"/>
  </r>
  <r>
    <x v="22"/>
  </r>
  <r>
    <x v="22"/>
  </r>
  <r>
    <x v="93"/>
  </r>
  <r>
    <x v="42"/>
  </r>
  <r>
    <x v="12"/>
  </r>
  <r>
    <x v="78"/>
  </r>
  <r>
    <x v="86"/>
  </r>
  <r>
    <x v="63"/>
  </r>
  <r>
    <x v="204"/>
  </r>
  <r>
    <x v="27"/>
  </r>
  <r>
    <x v="173"/>
  </r>
  <r>
    <x v="173"/>
  </r>
  <r>
    <x v="329"/>
  </r>
  <r>
    <x v="204"/>
  </r>
  <r>
    <x v="35"/>
  </r>
  <r>
    <x v="85"/>
  </r>
  <r>
    <x v="79"/>
  </r>
  <r>
    <x v="79"/>
  </r>
  <r>
    <x v="22"/>
  </r>
  <r>
    <x v="85"/>
  </r>
  <r>
    <x v="105"/>
  </r>
  <r>
    <x v="82"/>
  </r>
  <r>
    <x v="126"/>
  </r>
  <r>
    <x v="136"/>
  </r>
  <r>
    <x v="70"/>
  </r>
  <r>
    <x v="70"/>
  </r>
  <r>
    <x v="126"/>
  </r>
  <r>
    <x v="177"/>
  </r>
  <r>
    <x v="93"/>
  </r>
  <r>
    <x v="177"/>
  </r>
  <r>
    <x v="177"/>
  </r>
  <r>
    <x v="177"/>
  </r>
  <r>
    <x v="177"/>
  </r>
  <r>
    <x v="20"/>
  </r>
  <r>
    <x v="201"/>
  </r>
  <r>
    <x v="10"/>
  </r>
  <r>
    <x v="25"/>
  </r>
  <r>
    <x v="10"/>
  </r>
  <r>
    <x v="10"/>
  </r>
  <r>
    <x v="82"/>
  </r>
  <r>
    <x v="7"/>
  </r>
  <r>
    <x v="3"/>
  </r>
  <r>
    <x v="82"/>
  </r>
  <r>
    <x v="36"/>
  </r>
  <r>
    <x v="142"/>
  </r>
  <r>
    <x v="63"/>
  </r>
  <r>
    <x v="23"/>
  </r>
  <r>
    <x v="126"/>
  </r>
  <r>
    <x v="126"/>
  </r>
  <r>
    <x v="182"/>
  </r>
  <r>
    <x v="82"/>
  </r>
  <r>
    <x v="119"/>
  </r>
  <r>
    <x v="10"/>
  </r>
  <r>
    <x v="14"/>
  </r>
  <r>
    <x v="14"/>
  </r>
  <r>
    <x v="14"/>
  </r>
  <r>
    <x v="76"/>
  </r>
  <r>
    <x v="29"/>
  </r>
  <r>
    <x v="25"/>
  </r>
  <r>
    <x v="25"/>
  </r>
  <r>
    <x v="25"/>
  </r>
  <r>
    <x v="25"/>
  </r>
  <r>
    <x v="82"/>
  </r>
  <r>
    <x v="25"/>
  </r>
  <r>
    <x v="32"/>
  </r>
  <r>
    <x v="32"/>
  </r>
  <r>
    <x v="25"/>
  </r>
  <r>
    <x v="76"/>
  </r>
  <r>
    <x v="32"/>
  </r>
  <r>
    <x v="82"/>
  </r>
  <r>
    <x v="14"/>
  </r>
  <r>
    <x v="218"/>
  </r>
  <r>
    <x v="14"/>
  </r>
  <r>
    <x v="76"/>
  </r>
  <r>
    <x v="76"/>
  </r>
  <r>
    <x v="76"/>
  </r>
  <r>
    <x v="76"/>
  </r>
  <r>
    <x v="25"/>
  </r>
  <r>
    <x v="76"/>
  </r>
  <r>
    <x v="25"/>
  </r>
  <r>
    <x v="85"/>
  </r>
  <r>
    <x v="85"/>
  </r>
  <r>
    <x v="22"/>
  </r>
  <r>
    <x v="10"/>
  </r>
  <r>
    <x v="10"/>
  </r>
  <r>
    <x v="10"/>
  </r>
  <r>
    <x v="78"/>
  </r>
  <r>
    <x v="78"/>
  </r>
  <r>
    <x v="70"/>
  </r>
  <r>
    <x v="56"/>
  </r>
  <r>
    <x v="56"/>
  </r>
  <r>
    <x v="56"/>
  </r>
  <r>
    <x v="48"/>
  </r>
  <r>
    <x v="78"/>
  </r>
  <r>
    <x v="10"/>
  </r>
  <r>
    <x v="10"/>
  </r>
  <r>
    <x v="2"/>
  </r>
  <r>
    <x v="82"/>
  </r>
  <r>
    <x v="119"/>
  </r>
  <r>
    <x v="25"/>
  </r>
  <r>
    <x v="25"/>
  </r>
  <r>
    <x v="100"/>
  </r>
  <r>
    <x v="82"/>
  </r>
  <r>
    <x v="31"/>
  </r>
  <r>
    <x v="321"/>
  </r>
  <r>
    <x v="41"/>
  </r>
  <r>
    <x v="76"/>
  </r>
  <r>
    <x v="76"/>
  </r>
  <r>
    <x v="76"/>
  </r>
  <r>
    <x v="102"/>
  </r>
  <r>
    <x v="102"/>
  </r>
  <r>
    <x v="113"/>
  </r>
  <r>
    <x v="48"/>
  </r>
  <r>
    <x v="31"/>
  </r>
  <r>
    <x v="127"/>
  </r>
  <r>
    <x v="134"/>
  </r>
  <r>
    <x v="216"/>
  </r>
  <r>
    <x v="93"/>
  </r>
  <r>
    <x v="93"/>
  </r>
  <r>
    <x v="82"/>
  </r>
  <r>
    <x v="71"/>
  </r>
  <r>
    <x v="25"/>
  </r>
  <r>
    <x v="111"/>
  </r>
  <r>
    <x v="76"/>
  </r>
  <r>
    <x v="93"/>
  </r>
  <r>
    <x v="93"/>
  </r>
  <r>
    <x v="64"/>
  </r>
  <r>
    <x v="93"/>
  </r>
  <r>
    <x v="99"/>
  </r>
  <r>
    <x v="37"/>
  </r>
  <r>
    <x v="10"/>
  </r>
  <r>
    <x v="3"/>
  </r>
  <r>
    <x v="7"/>
  </r>
  <r>
    <x v="87"/>
  </r>
  <r>
    <x v="25"/>
  </r>
  <r>
    <x v="85"/>
  </r>
  <r>
    <x v="25"/>
  </r>
  <r>
    <x v="10"/>
  </r>
  <r>
    <x v="10"/>
  </r>
  <r>
    <x v="10"/>
  </r>
  <r>
    <x v="115"/>
  </r>
  <r>
    <x v="83"/>
  </r>
  <r>
    <x v="79"/>
  </r>
  <r>
    <x v="24"/>
  </r>
  <r>
    <x v="133"/>
  </r>
  <r>
    <x v="218"/>
  </r>
  <r>
    <x v="133"/>
  </r>
  <r>
    <x v="113"/>
  </r>
  <r>
    <x v="133"/>
  </r>
  <r>
    <x v="32"/>
  </r>
  <r>
    <x v="133"/>
  </r>
  <r>
    <x v="113"/>
  </r>
  <r>
    <x v="133"/>
  </r>
  <r>
    <x v="133"/>
  </r>
  <r>
    <x v="133"/>
  </r>
  <r>
    <x v="14"/>
  </r>
  <r>
    <x v="25"/>
  </r>
  <r>
    <x v="82"/>
  </r>
  <r>
    <x v="216"/>
  </r>
  <r>
    <x v="216"/>
  </r>
  <r>
    <x v="216"/>
  </r>
  <r>
    <x v="86"/>
  </r>
  <r>
    <x v="86"/>
  </r>
  <r>
    <x v="79"/>
  </r>
  <r>
    <x v="7"/>
  </r>
  <r>
    <x v="83"/>
  </r>
  <r>
    <x v="14"/>
  </r>
  <r>
    <x v="133"/>
  </r>
  <r>
    <x v="127"/>
  </r>
  <r>
    <x v="322"/>
  </r>
  <r>
    <x v="20"/>
  </r>
  <r>
    <x v="14"/>
  </r>
  <r>
    <x v="31"/>
  </r>
  <r>
    <x v="24"/>
  </r>
  <r>
    <x v="122"/>
  </r>
  <r>
    <x v="85"/>
  </r>
  <r>
    <x v="82"/>
  </r>
  <r>
    <x v="99"/>
  </r>
  <r>
    <x v="99"/>
  </r>
  <r>
    <x v="82"/>
  </r>
  <r>
    <x v="85"/>
  </r>
  <r>
    <x v="6"/>
  </r>
  <r>
    <x v="216"/>
  </r>
  <r>
    <x v="83"/>
  </r>
  <r>
    <x v="93"/>
  </r>
  <r>
    <x v="102"/>
  </r>
  <r>
    <x v="6"/>
  </r>
  <r>
    <x v="126"/>
  </r>
  <r>
    <x v="82"/>
  </r>
  <r>
    <x v="208"/>
  </r>
  <r>
    <x v="42"/>
  </r>
  <r>
    <x v="23"/>
  </r>
  <r>
    <x v="91"/>
  </r>
  <r>
    <x v="168"/>
  </r>
  <r>
    <x v="3"/>
  </r>
  <r>
    <x v="83"/>
  </r>
  <r>
    <x v="155"/>
  </r>
  <r>
    <x v="10"/>
  </r>
  <r>
    <x v="10"/>
  </r>
  <r>
    <x v="10"/>
  </r>
  <r>
    <x v="182"/>
  </r>
  <r>
    <x v="76"/>
  </r>
  <r>
    <x v="76"/>
  </r>
  <r>
    <x v="76"/>
  </r>
  <r>
    <x v="76"/>
  </r>
  <r>
    <x v="94"/>
  </r>
  <r>
    <x v="82"/>
  </r>
  <r>
    <x v="10"/>
  </r>
  <r>
    <x v="10"/>
  </r>
  <r>
    <x v="24"/>
  </r>
  <r>
    <x v="91"/>
  </r>
  <r>
    <x v="296"/>
  </r>
  <r>
    <x v="14"/>
  </r>
  <r>
    <x v="212"/>
  </r>
  <r>
    <x v="100"/>
  </r>
  <r>
    <x v="212"/>
  </r>
  <r>
    <x v="102"/>
  </r>
  <r>
    <x v="82"/>
  </r>
  <r>
    <x v="28"/>
  </r>
  <r>
    <x v="14"/>
  </r>
  <r>
    <x v="154"/>
  </r>
  <r>
    <x v="154"/>
  </r>
  <r>
    <x v="48"/>
  </r>
  <r>
    <x v="48"/>
  </r>
  <r>
    <x v="44"/>
  </r>
  <r>
    <x v="12"/>
  </r>
  <r>
    <x v="10"/>
  </r>
  <r>
    <x v="10"/>
  </r>
  <r>
    <x v="12"/>
  </r>
  <r>
    <x v="25"/>
  </r>
  <r>
    <x v="76"/>
  </r>
  <r>
    <x v="45"/>
  </r>
  <r>
    <x v="76"/>
  </r>
  <r>
    <x v="76"/>
  </r>
  <r>
    <x v="86"/>
  </r>
  <r>
    <x v="25"/>
  </r>
  <r>
    <x v="36"/>
  </r>
  <r>
    <x v="36"/>
  </r>
  <r>
    <x v="86"/>
  </r>
  <r>
    <x v="10"/>
  </r>
  <r>
    <x v="10"/>
  </r>
  <r>
    <x v="10"/>
  </r>
  <r>
    <x v="10"/>
  </r>
  <r>
    <x v="12"/>
  </r>
  <r>
    <x v="24"/>
  </r>
  <r>
    <x v="37"/>
  </r>
  <r>
    <x v="48"/>
  </r>
  <r>
    <x v="121"/>
  </r>
  <r>
    <x v="24"/>
  </r>
  <r>
    <x v="82"/>
  </r>
  <r>
    <x v="24"/>
  </r>
  <r>
    <x v="73"/>
  </r>
  <r>
    <x v="31"/>
  </r>
  <r>
    <x v="394"/>
  </r>
  <r>
    <x v="102"/>
  </r>
  <r>
    <x v="31"/>
  </r>
  <r>
    <x v="82"/>
  </r>
  <r>
    <x v="82"/>
  </r>
  <r>
    <x v="73"/>
  </r>
  <r>
    <x v="25"/>
  </r>
  <r>
    <x v="25"/>
  </r>
  <r>
    <x v="82"/>
  </r>
  <r>
    <x v="31"/>
  </r>
  <r>
    <x v="103"/>
  </r>
  <r>
    <x v="78"/>
  </r>
  <r>
    <x v="24"/>
  </r>
  <r>
    <x v="18"/>
  </r>
  <r>
    <x v="44"/>
  </r>
  <r>
    <x v="164"/>
  </r>
  <r>
    <x v="31"/>
  </r>
  <r>
    <x v="94"/>
  </r>
  <r>
    <x v="10"/>
  </r>
  <r>
    <x v="36"/>
  </r>
  <r>
    <x v="46"/>
  </r>
  <r>
    <x v="29"/>
  </r>
  <r>
    <x v="82"/>
  </r>
  <r>
    <x v="24"/>
  </r>
  <r>
    <x v="82"/>
  </r>
  <r>
    <x v="3"/>
  </r>
  <r>
    <x v="24"/>
  </r>
  <r>
    <x v="48"/>
  </r>
  <r>
    <x v="48"/>
  </r>
  <r>
    <x v="82"/>
  </r>
  <r>
    <x v="155"/>
  </r>
  <r>
    <x v="36"/>
  </r>
  <r>
    <x v="36"/>
  </r>
  <r>
    <x v="25"/>
  </r>
  <r>
    <x v="12"/>
  </r>
  <r>
    <x v="12"/>
  </r>
  <r>
    <x v="12"/>
  </r>
  <r>
    <x v="12"/>
  </r>
  <r>
    <x v="83"/>
  </r>
  <r>
    <x v="24"/>
  </r>
  <r>
    <x v="24"/>
  </r>
  <r>
    <x v="86"/>
  </r>
  <r>
    <x v="86"/>
  </r>
  <r>
    <x v="86"/>
  </r>
  <r>
    <x v="72"/>
  </r>
  <r>
    <x v="14"/>
  </r>
  <r>
    <x v="0"/>
  </r>
  <r>
    <x v="111"/>
  </r>
  <r>
    <x v="25"/>
  </r>
  <r>
    <x v="78"/>
  </r>
  <r>
    <x v="78"/>
  </r>
  <r>
    <x v="48"/>
  </r>
  <r>
    <x v="24"/>
  </r>
  <r>
    <x v="76"/>
  </r>
  <r>
    <x v="10"/>
  </r>
  <r>
    <x v="10"/>
  </r>
  <r>
    <x v="10"/>
  </r>
  <r>
    <x v="17"/>
  </r>
  <r>
    <x v="10"/>
  </r>
  <r>
    <x v="182"/>
  </r>
  <r>
    <x v="97"/>
  </r>
  <r>
    <x v="10"/>
  </r>
  <r>
    <x v="10"/>
  </r>
  <r>
    <x v="12"/>
  </r>
  <r>
    <x v="82"/>
  </r>
  <r>
    <x v="10"/>
  </r>
  <r>
    <x v="10"/>
  </r>
  <r>
    <x v="10"/>
  </r>
  <r>
    <x v="204"/>
  </r>
  <r>
    <x v="22"/>
  </r>
  <r>
    <x v="22"/>
  </r>
  <r>
    <x v="22"/>
  </r>
  <r>
    <x v="45"/>
  </r>
  <r>
    <x v="45"/>
  </r>
  <r>
    <x v="48"/>
  </r>
  <r>
    <x v="196"/>
  </r>
  <r>
    <x v="76"/>
  </r>
  <r>
    <x v="29"/>
  </r>
  <r>
    <x v="29"/>
  </r>
  <r>
    <x v="29"/>
  </r>
  <r>
    <x v="29"/>
  </r>
  <r>
    <x v="52"/>
  </r>
  <r>
    <x v="29"/>
  </r>
  <r>
    <x v="25"/>
  </r>
  <r>
    <x v="25"/>
  </r>
  <r>
    <x v="25"/>
  </r>
  <r>
    <x v="25"/>
  </r>
  <r>
    <x v="25"/>
  </r>
  <r>
    <x v="12"/>
  </r>
  <r>
    <x v="12"/>
  </r>
  <r>
    <x v="12"/>
  </r>
  <r>
    <x v="12"/>
  </r>
  <r>
    <x v="12"/>
  </r>
  <r>
    <x v="29"/>
  </r>
  <r>
    <x v="12"/>
  </r>
  <r>
    <x v="7"/>
  </r>
  <r>
    <x v="72"/>
  </r>
  <r>
    <x v="25"/>
  </r>
  <r>
    <x v="48"/>
  </r>
  <r>
    <x v="12"/>
  </r>
  <r>
    <x v="25"/>
  </r>
  <r>
    <x v="25"/>
  </r>
  <r>
    <x v="25"/>
  </r>
  <r>
    <x v="25"/>
  </r>
  <r>
    <x v="25"/>
  </r>
  <r>
    <x v="25"/>
  </r>
  <r>
    <x v="25"/>
  </r>
  <r>
    <x v="25"/>
  </r>
  <r>
    <x v="93"/>
  </r>
  <r>
    <x v="31"/>
  </r>
  <r>
    <x v="31"/>
  </r>
  <r>
    <x v="6"/>
  </r>
  <r>
    <x v="31"/>
  </r>
  <r>
    <x v="25"/>
  </r>
  <r>
    <x v="0"/>
  </r>
  <r>
    <x v="48"/>
  </r>
  <r>
    <x v="111"/>
  </r>
  <r>
    <x v="4"/>
  </r>
  <r>
    <x v="55"/>
  </r>
  <r>
    <x v="212"/>
  </r>
  <r>
    <x v="54"/>
  </r>
  <r>
    <x v="25"/>
  </r>
  <r>
    <x v="82"/>
  </r>
  <r>
    <x v="76"/>
  </r>
  <r>
    <x v="76"/>
  </r>
  <r>
    <x v="418"/>
  </r>
  <r>
    <x v="46"/>
  </r>
  <r>
    <x v="85"/>
  </r>
  <r>
    <x v="294"/>
  </r>
  <r>
    <x v="419"/>
  </r>
  <r>
    <x v="32"/>
  </r>
  <r>
    <x v="327"/>
  </r>
  <r>
    <x v="25"/>
  </r>
  <r>
    <x v="25"/>
  </r>
  <r>
    <x v="25"/>
  </r>
  <r>
    <x v="25"/>
  </r>
  <r>
    <x v="113"/>
  </r>
  <r>
    <x v="29"/>
  </r>
  <r>
    <x v="104"/>
  </r>
  <r>
    <x v="25"/>
  </r>
  <r>
    <x v="113"/>
  </r>
  <r>
    <x v="133"/>
  </r>
  <r>
    <x v="104"/>
  </r>
  <r>
    <x v="157"/>
  </r>
  <r>
    <x v="157"/>
  </r>
  <r>
    <x v="129"/>
  </r>
  <r>
    <x v="129"/>
  </r>
  <r>
    <x v="271"/>
  </r>
  <r>
    <x v="271"/>
  </r>
  <r>
    <x v="133"/>
  </r>
  <r>
    <x v="21"/>
  </r>
  <r>
    <x v="25"/>
  </r>
  <r>
    <x v="420"/>
  </r>
  <r>
    <x v="113"/>
  </r>
  <r>
    <x v="25"/>
  </r>
  <r>
    <x v="113"/>
  </r>
  <r>
    <x v="108"/>
  </r>
  <r>
    <x v="129"/>
  </r>
  <r>
    <x v="129"/>
  </r>
  <r>
    <x v="129"/>
  </r>
  <r>
    <x v="129"/>
  </r>
  <r>
    <x v="129"/>
  </r>
  <r>
    <x v="129"/>
  </r>
  <r>
    <x v="129"/>
  </r>
  <r>
    <x v="212"/>
  </r>
  <r>
    <x v="129"/>
  </r>
  <r>
    <x v="129"/>
  </r>
  <r>
    <x v="129"/>
  </r>
  <r>
    <x v="129"/>
  </r>
  <r>
    <x v="129"/>
  </r>
  <r>
    <x v="34"/>
  </r>
  <r>
    <x v="129"/>
  </r>
  <r>
    <x v="129"/>
  </r>
  <r>
    <x v="167"/>
  </r>
  <r>
    <x v="49"/>
  </r>
  <r>
    <x v="129"/>
  </r>
  <r>
    <x v="129"/>
  </r>
  <r>
    <x v="129"/>
  </r>
  <r>
    <x v="129"/>
  </r>
  <r>
    <x v="67"/>
  </r>
  <r>
    <x v="95"/>
  </r>
  <r>
    <x v="421"/>
  </r>
  <r>
    <x v="37"/>
  </r>
  <r>
    <x v="25"/>
  </r>
  <r>
    <x v="76"/>
  </r>
  <r>
    <x v="204"/>
  </r>
  <r>
    <x v="67"/>
  </r>
  <r>
    <x v="422"/>
  </r>
  <r>
    <x v="384"/>
  </r>
  <r>
    <x v="167"/>
  </r>
  <r>
    <x v="7"/>
  </r>
  <r>
    <x v="167"/>
  </r>
  <r>
    <x v="288"/>
  </r>
  <r>
    <x v="2"/>
  </r>
  <r>
    <x v="7"/>
  </r>
  <r>
    <x v="21"/>
  </r>
  <r>
    <x v="7"/>
  </r>
  <r>
    <x v="78"/>
  </r>
  <r>
    <x v="81"/>
  </r>
  <r>
    <x v="21"/>
  </r>
  <r>
    <x v="36"/>
  </r>
  <r>
    <x v="36"/>
  </r>
  <r>
    <x v="7"/>
  </r>
  <r>
    <x v="102"/>
  </r>
  <r>
    <x v="102"/>
  </r>
  <r>
    <x v="102"/>
  </r>
  <r>
    <x v="76"/>
  </r>
  <r>
    <x v="102"/>
  </r>
  <r>
    <x v="12"/>
  </r>
  <r>
    <x v="102"/>
  </r>
  <r>
    <x v="102"/>
  </r>
  <r>
    <x v="102"/>
  </r>
  <r>
    <x v="102"/>
  </r>
  <r>
    <x v="102"/>
  </r>
  <r>
    <x v="158"/>
  </r>
  <r>
    <x v="158"/>
  </r>
  <r>
    <x v="102"/>
  </r>
  <r>
    <x v="370"/>
  </r>
  <r>
    <x v="102"/>
  </r>
  <r>
    <x v="158"/>
  </r>
  <r>
    <x v="370"/>
  </r>
  <r>
    <x v="370"/>
  </r>
  <r>
    <x v="300"/>
  </r>
  <r>
    <x v="100"/>
  </r>
  <r>
    <x v="125"/>
  </r>
  <r>
    <x v="125"/>
  </r>
  <r>
    <x v="158"/>
  </r>
  <r>
    <x v="21"/>
  </r>
  <r>
    <x v="370"/>
  </r>
  <r>
    <x v="167"/>
  </r>
  <r>
    <x v="167"/>
  </r>
  <r>
    <x v="167"/>
  </r>
  <r>
    <x v="63"/>
  </r>
  <r>
    <x v="111"/>
  </r>
  <r>
    <x v="81"/>
  </r>
  <r>
    <x v="112"/>
  </r>
  <r>
    <x v="112"/>
  </r>
  <r>
    <x v="116"/>
  </r>
  <r>
    <x v="78"/>
  </r>
  <r>
    <x v="81"/>
  </r>
  <r>
    <x v="112"/>
  </r>
  <r>
    <x v="48"/>
  </r>
  <r>
    <x v="16"/>
  </r>
  <r>
    <x v="25"/>
  </r>
  <r>
    <x v="25"/>
  </r>
  <r>
    <x v="120"/>
  </r>
  <r>
    <x v="31"/>
  </r>
  <r>
    <x v="31"/>
  </r>
  <r>
    <x v="31"/>
  </r>
  <r>
    <x v="76"/>
  </r>
  <r>
    <x v="76"/>
  </r>
  <r>
    <x v="76"/>
  </r>
  <r>
    <x v="94"/>
  </r>
  <r>
    <x v="76"/>
  </r>
  <r>
    <x v="25"/>
  </r>
  <r>
    <x v="25"/>
  </r>
  <r>
    <x v="76"/>
  </r>
  <r>
    <x v="10"/>
  </r>
  <r>
    <x v="0"/>
  </r>
  <r>
    <x v="31"/>
  </r>
  <r>
    <x v="15"/>
  </r>
  <r>
    <x v="31"/>
  </r>
  <r>
    <x v="76"/>
  </r>
  <r>
    <x v="6"/>
  </r>
  <r>
    <x v="6"/>
  </r>
  <r>
    <x v="204"/>
  </r>
  <r>
    <x v="83"/>
  </r>
  <r>
    <x v="108"/>
  </r>
  <r>
    <x v="112"/>
  </r>
  <r>
    <x v="30"/>
  </r>
  <r>
    <x v="85"/>
  </r>
  <r>
    <x v="25"/>
  </r>
  <r>
    <x v="24"/>
  </r>
  <r>
    <x v="81"/>
  </r>
  <r>
    <x v="25"/>
  </r>
  <r>
    <x v="25"/>
  </r>
  <r>
    <x v="25"/>
  </r>
  <r>
    <x v="25"/>
  </r>
  <r>
    <x v="25"/>
  </r>
  <r>
    <x v="25"/>
  </r>
  <r>
    <x v="25"/>
  </r>
  <r>
    <x v="25"/>
  </r>
  <r>
    <x v="21"/>
  </r>
  <r>
    <x v="76"/>
  </r>
  <r>
    <x v="25"/>
  </r>
  <r>
    <x v="180"/>
  </r>
  <r>
    <x v="76"/>
  </r>
  <r>
    <x v="76"/>
  </r>
  <r>
    <x v="88"/>
  </r>
  <r>
    <x v="25"/>
  </r>
  <r>
    <x v="23"/>
  </r>
  <r>
    <x v="25"/>
  </r>
  <r>
    <x v="118"/>
  </r>
  <r>
    <x v="71"/>
  </r>
  <r>
    <x v="0"/>
  </r>
  <r>
    <x v="25"/>
  </r>
  <r>
    <x v="25"/>
  </r>
  <r>
    <x v="23"/>
  </r>
  <r>
    <x v="24"/>
  </r>
  <r>
    <x v="122"/>
  </r>
  <r>
    <x v="25"/>
  </r>
  <r>
    <x v="25"/>
  </r>
  <r>
    <x v="44"/>
  </r>
  <r>
    <x v="75"/>
  </r>
  <r>
    <x v="25"/>
  </r>
  <r>
    <x v="25"/>
  </r>
  <r>
    <x v="56"/>
  </r>
  <r>
    <x v="72"/>
  </r>
  <r>
    <x v="72"/>
  </r>
  <r>
    <x v="103"/>
  </r>
  <r>
    <x v="108"/>
  </r>
  <r>
    <x v="22"/>
  </r>
  <r>
    <x v="22"/>
  </r>
  <r>
    <x v="4"/>
  </r>
  <r>
    <x v="0"/>
  </r>
  <r>
    <x v="76"/>
  </r>
  <r>
    <x v="4"/>
  </r>
  <r>
    <x v="70"/>
  </r>
  <r>
    <x v="82"/>
  </r>
  <r>
    <x v="48"/>
  </r>
  <r>
    <x v="388"/>
  </r>
  <r>
    <x v="93"/>
  </r>
  <r>
    <x v="93"/>
  </r>
  <r>
    <x v="117"/>
  </r>
  <r>
    <x v="9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13"/>
  </r>
  <r>
    <x v="108"/>
  </r>
  <r>
    <x v="235"/>
  </r>
  <r>
    <x v="94"/>
  </r>
  <r>
    <x v="40"/>
  </r>
  <r>
    <x v="17"/>
  </r>
  <r>
    <x v="17"/>
  </r>
  <r>
    <x v="108"/>
  </r>
  <r>
    <x v="14"/>
  </r>
  <r>
    <x v="171"/>
  </r>
  <r>
    <x v="62"/>
  </r>
  <r>
    <x v="55"/>
  </r>
  <r>
    <x v="11"/>
  </r>
  <r>
    <x v="28"/>
  </r>
  <r>
    <x v="26"/>
  </r>
  <r>
    <x v="14"/>
  </r>
  <r>
    <x v="31"/>
  </r>
  <r>
    <x v="31"/>
  </r>
  <r>
    <x v="17"/>
  </r>
  <r>
    <x v="17"/>
  </r>
  <r>
    <x v="14"/>
  </r>
  <r>
    <x v="25"/>
  </r>
  <r>
    <x v="64"/>
  </r>
  <r>
    <x v="48"/>
  </r>
  <r>
    <x v="9"/>
  </r>
  <r>
    <x v="33"/>
  </r>
  <r>
    <x v="33"/>
  </r>
  <r>
    <x v="102"/>
  </r>
  <r>
    <x v="205"/>
  </r>
  <r>
    <x v="48"/>
  </r>
  <r>
    <x v="15"/>
  </r>
  <r>
    <x v="15"/>
  </r>
  <r>
    <x v="10"/>
  </r>
  <r>
    <x v="45"/>
  </r>
  <r>
    <x v="14"/>
  </r>
  <r>
    <x v="48"/>
  </r>
  <r>
    <x v="131"/>
  </r>
  <r>
    <x v="87"/>
  </r>
  <r>
    <x v="123"/>
  </r>
  <r>
    <x v="14"/>
  </r>
  <r>
    <x v="14"/>
  </r>
  <r>
    <x v="52"/>
  </r>
  <r>
    <x v="28"/>
  </r>
  <r>
    <x v="14"/>
  </r>
  <r>
    <x v="14"/>
  </r>
  <r>
    <x v="14"/>
  </r>
  <r>
    <x v="32"/>
  </r>
  <r>
    <x v="32"/>
  </r>
  <r>
    <x v="17"/>
  </r>
  <r>
    <x v="62"/>
  </r>
  <r>
    <x v="60"/>
  </r>
  <r>
    <x v="60"/>
  </r>
  <r>
    <x v="14"/>
  </r>
  <r>
    <x v="0"/>
  </r>
  <r>
    <x v="0"/>
  </r>
  <r>
    <x v="37"/>
  </r>
  <r>
    <x v="40"/>
  </r>
  <r>
    <x v="28"/>
  </r>
  <r>
    <x v="14"/>
  </r>
  <r>
    <x v="17"/>
  </r>
  <r>
    <x v="12"/>
  </r>
  <r>
    <x v="62"/>
  </r>
  <r>
    <x v="16"/>
  </r>
  <r>
    <x v="12"/>
  </r>
  <r>
    <x v="40"/>
  </r>
  <r>
    <x v="16"/>
  </r>
  <r>
    <x v="12"/>
  </r>
  <r>
    <x v="0"/>
  </r>
  <r>
    <x v="12"/>
  </r>
  <r>
    <x v="16"/>
  </r>
  <r>
    <x v="62"/>
  </r>
  <r>
    <x v="62"/>
  </r>
  <r>
    <x v="14"/>
  </r>
  <r>
    <x v="108"/>
  </r>
  <r>
    <x v="201"/>
  </r>
  <r>
    <x v="249"/>
  </r>
  <r>
    <x v="171"/>
  </r>
  <r>
    <x v="171"/>
  </r>
  <r>
    <x v="10"/>
  </r>
  <r>
    <x v="34"/>
  </r>
  <r>
    <x v="34"/>
  </r>
  <r>
    <x v="10"/>
  </r>
  <r>
    <x v="0"/>
  </r>
  <r>
    <x v="0"/>
  </r>
  <r>
    <x v="171"/>
  </r>
  <r>
    <x v="14"/>
  </r>
  <r>
    <x v="56"/>
  </r>
  <r>
    <x v="56"/>
  </r>
  <r>
    <x v="56"/>
  </r>
  <r>
    <x v="57"/>
  </r>
  <r>
    <x v="57"/>
  </r>
  <r>
    <x v="57"/>
  </r>
  <r>
    <x v="74"/>
  </r>
  <r>
    <x v="74"/>
  </r>
  <r>
    <x v="74"/>
  </r>
  <r>
    <x v="174"/>
  </r>
  <r>
    <x v="174"/>
  </r>
  <r>
    <x v="174"/>
  </r>
  <r>
    <x v="174"/>
  </r>
  <r>
    <x v="3"/>
  </r>
  <r>
    <x v="130"/>
  </r>
  <r>
    <x v="39"/>
  </r>
  <r>
    <x v="127"/>
  </r>
  <r>
    <x v="17"/>
  </r>
  <r>
    <x v="22"/>
  </r>
  <r>
    <x v="22"/>
  </r>
  <r>
    <x v="0"/>
  </r>
  <r>
    <x v="48"/>
  </r>
  <r>
    <x v="48"/>
  </r>
  <r>
    <x v="10"/>
  </r>
  <r>
    <x v="14"/>
  </r>
  <r>
    <x v="14"/>
  </r>
  <r>
    <x v="0"/>
  </r>
  <r>
    <x v="141"/>
  </r>
  <r>
    <x v="141"/>
  </r>
  <r>
    <x v="1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0"/>
  </r>
  <r>
    <x v="12"/>
  </r>
  <r>
    <x v="91"/>
  </r>
  <r>
    <x v="76"/>
  </r>
  <r>
    <x v="76"/>
  </r>
  <r>
    <x v="25"/>
  </r>
  <r>
    <x v="0"/>
  </r>
  <r>
    <x v="48"/>
  </r>
  <r>
    <x v="14"/>
  </r>
  <r>
    <x v="48"/>
  </r>
  <r>
    <x v="48"/>
  </r>
  <r>
    <x v="48"/>
  </r>
  <r>
    <x v="48"/>
  </r>
  <r>
    <x v="17"/>
  </r>
  <r>
    <x v="45"/>
  </r>
  <r>
    <x v="40"/>
  </r>
  <r>
    <x v="0"/>
  </r>
  <r>
    <x v="0"/>
  </r>
  <r>
    <x v="48"/>
  </r>
  <r>
    <x v="30"/>
  </r>
  <r>
    <x v="30"/>
  </r>
  <r>
    <x v="30"/>
  </r>
  <r>
    <x v="48"/>
  </r>
  <r>
    <x v="17"/>
  </r>
  <r>
    <x v="23"/>
  </r>
  <r>
    <x v="23"/>
  </r>
  <r>
    <x v="77"/>
  </r>
  <r>
    <x v="77"/>
  </r>
  <r>
    <x v="48"/>
  </r>
  <r>
    <x v="122"/>
  </r>
  <r>
    <x v="48"/>
  </r>
  <r>
    <x v="157"/>
  </r>
  <r>
    <x v="10"/>
  </r>
  <r>
    <x v="24"/>
  </r>
  <r>
    <x v="4"/>
  </r>
  <r>
    <x v="4"/>
  </r>
  <r>
    <x v="0"/>
  </r>
  <r>
    <x v="0"/>
  </r>
  <r>
    <x v="0"/>
  </r>
  <r>
    <x v="6"/>
  </r>
  <r>
    <x v="6"/>
  </r>
  <r>
    <x v="6"/>
  </r>
  <r>
    <x v="77"/>
  </r>
  <r>
    <x v="28"/>
  </r>
  <r>
    <x v="28"/>
  </r>
  <r>
    <x v="48"/>
  </r>
  <r>
    <x v="14"/>
  </r>
  <r>
    <x v="12"/>
  </r>
  <r>
    <x v="12"/>
  </r>
  <r>
    <x v="12"/>
  </r>
  <r>
    <x v="14"/>
  </r>
  <r>
    <x v="12"/>
  </r>
  <r>
    <x v="12"/>
  </r>
  <r>
    <x v="12"/>
  </r>
  <r>
    <x v="12"/>
  </r>
  <r>
    <x v="12"/>
  </r>
  <r>
    <x v="12"/>
  </r>
  <r>
    <x v="48"/>
  </r>
  <r>
    <x v="119"/>
  </r>
  <r>
    <x v="26"/>
  </r>
  <r>
    <x v="37"/>
  </r>
  <r>
    <x v="9"/>
  </r>
  <r>
    <x v="12"/>
  </r>
  <r>
    <x v="12"/>
  </r>
  <r>
    <x v="30"/>
  </r>
  <r>
    <x v="30"/>
  </r>
  <r>
    <x v="22"/>
  </r>
  <r>
    <x v="77"/>
  </r>
  <r>
    <x v="48"/>
  </r>
  <r>
    <x v="4"/>
  </r>
  <r>
    <x v="12"/>
  </r>
  <r>
    <x v="12"/>
  </r>
  <r>
    <x v="12"/>
  </r>
  <r>
    <x v="12"/>
  </r>
  <r>
    <x v="12"/>
  </r>
  <r>
    <x v="48"/>
  </r>
  <r>
    <x v="41"/>
  </r>
  <r>
    <x v="28"/>
  </r>
  <r>
    <x v="423"/>
  </r>
  <r>
    <x v="31"/>
  </r>
  <r>
    <x v="331"/>
  </r>
  <r>
    <x v="28"/>
  </r>
  <r>
    <x v="41"/>
  </r>
  <r>
    <x v="40"/>
  </r>
  <r>
    <x v="240"/>
  </r>
  <r>
    <x v="3"/>
  </r>
  <r>
    <x v="130"/>
  </r>
  <r>
    <x v="81"/>
  </r>
  <r>
    <x v="76"/>
  </r>
  <r>
    <x v="157"/>
  </r>
  <r>
    <x v="40"/>
  </r>
  <r>
    <x v="14"/>
  </r>
  <r>
    <x v="14"/>
  </r>
  <r>
    <x v="249"/>
  </r>
  <r>
    <x v="46"/>
  </r>
  <r>
    <x v="46"/>
  </r>
  <r>
    <x v="14"/>
  </r>
  <r>
    <x v="48"/>
  </r>
  <r>
    <x v="126"/>
  </r>
  <r>
    <x v="10"/>
  </r>
  <r>
    <x v="79"/>
  </r>
  <r>
    <x v="48"/>
  </r>
  <r>
    <x v="48"/>
  </r>
  <r>
    <x v="48"/>
  </r>
  <r>
    <x v="59"/>
  </r>
  <r>
    <x v="64"/>
  </r>
  <r>
    <x v="59"/>
  </r>
  <r>
    <x v="59"/>
  </r>
  <r>
    <x v="88"/>
  </r>
  <r>
    <x v="132"/>
  </r>
  <r>
    <x v="46"/>
  </r>
  <r>
    <x v="46"/>
  </r>
  <r>
    <x v="46"/>
  </r>
  <r>
    <x v="46"/>
  </r>
  <r>
    <x v="46"/>
  </r>
  <r>
    <x v="12"/>
  </r>
  <r>
    <x v="12"/>
  </r>
  <r>
    <x v="204"/>
  </r>
  <r>
    <x v="48"/>
  </r>
  <r>
    <x v="48"/>
  </r>
  <r>
    <x v="28"/>
  </r>
  <r>
    <x v="28"/>
  </r>
  <r>
    <x v="108"/>
  </r>
  <r>
    <x v="48"/>
  </r>
  <r>
    <x v="94"/>
  </r>
  <r>
    <x v="48"/>
  </r>
  <r>
    <x v="28"/>
  </r>
  <r>
    <x v="48"/>
  </r>
  <r>
    <x v="48"/>
  </r>
  <r>
    <x v="48"/>
  </r>
  <r>
    <x v="77"/>
  </r>
  <r>
    <x v="48"/>
  </r>
  <r>
    <x v="4"/>
  </r>
  <r>
    <x v="4"/>
  </r>
  <r>
    <x v="48"/>
  </r>
  <r>
    <x v="286"/>
  </r>
  <r>
    <x v="286"/>
  </r>
  <r>
    <x v="82"/>
  </r>
  <r>
    <x v="17"/>
  </r>
  <r>
    <x v="48"/>
  </r>
  <r>
    <x v="48"/>
  </r>
  <r>
    <x v="131"/>
  </r>
  <r>
    <x v="29"/>
  </r>
  <r>
    <x v="76"/>
  </r>
  <r>
    <x v="72"/>
  </r>
  <r>
    <x v="72"/>
  </r>
  <r>
    <x v="48"/>
  </r>
  <r>
    <x v="48"/>
  </r>
  <r>
    <x v="42"/>
  </r>
  <r>
    <x v="3"/>
  </r>
  <r>
    <x v="54"/>
  </r>
  <r>
    <x v="48"/>
  </r>
  <r>
    <x v="288"/>
  </r>
  <r>
    <x v="133"/>
  </r>
  <r>
    <x v="133"/>
  </r>
  <r>
    <x v="424"/>
  </r>
  <r>
    <x v="229"/>
  </r>
  <r>
    <x v="25"/>
  </r>
  <r>
    <x v="25"/>
  </r>
  <r>
    <x v="294"/>
  </r>
  <r>
    <x v="2"/>
  </r>
  <r>
    <x v="78"/>
  </r>
  <r>
    <x v="78"/>
  </r>
  <r>
    <x v="78"/>
  </r>
  <r>
    <x v="78"/>
  </r>
  <r>
    <x v="78"/>
  </r>
  <r>
    <x v="0"/>
  </r>
  <r>
    <x v="3"/>
  </r>
  <r>
    <x v="6"/>
  </r>
  <r>
    <x v="76"/>
  </r>
  <r>
    <x v="76"/>
  </r>
  <r>
    <x v="76"/>
  </r>
  <r>
    <x v="76"/>
  </r>
  <r>
    <x v="154"/>
  </r>
  <r>
    <x v="222"/>
  </r>
  <r>
    <x v="222"/>
  </r>
  <r>
    <x v="21"/>
  </r>
  <r>
    <x v="21"/>
  </r>
  <r>
    <x v="161"/>
  </r>
  <r>
    <x v="245"/>
  </r>
  <r>
    <x v="43"/>
  </r>
  <r>
    <x v="315"/>
  </r>
  <r>
    <x v="109"/>
  </r>
  <r>
    <x v="109"/>
  </r>
  <r>
    <x v="198"/>
  </r>
  <r>
    <x v="70"/>
  </r>
  <r>
    <x v="198"/>
  </r>
  <r>
    <x v="103"/>
  </r>
  <r>
    <x v="57"/>
  </r>
  <r>
    <x v="103"/>
  </r>
  <r>
    <x v="103"/>
  </r>
  <r>
    <x v="103"/>
  </r>
  <r>
    <x v="82"/>
  </r>
  <r>
    <x v="82"/>
  </r>
  <r>
    <x v="103"/>
  </r>
  <r>
    <x v="103"/>
  </r>
  <r>
    <x v="103"/>
  </r>
  <r>
    <x v="158"/>
  </r>
  <r>
    <x v="158"/>
  </r>
  <r>
    <x v="158"/>
  </r>
  <r>
    <x v="103"/>
  </r>
  <r>
    <x v="78"/>
  </r>
  <r>
    <x v="82"/>
  </r>
  <r>
    <x v="6"/>
  </r>
  <r>
    <x v="48"/>
  </r>
  <r>
    <x v="3"/>
  </r>
  <r>
    <x v="425"/>
  </r>
  <r>
    <x v="64"/>
  </r>
  <r>
    <x v="265"/>
  </r>
  <r>
    <x v="3"/>
  </r>
  <r>
    <x v="55"/>
  </r>
  <r>
    <x v="137"/>
  </r>
  <r>
    <x v="167"/>
  </r>
  <r>
    <x v="352"/>
  </r>
  <r>
    <x v="352"/>
  </r>
  <r>
    <x v="306"/>
  </r>
  <r>
    <x v="76"/>
  </r>
  <r>
    <x v="31"/>
  </r>
  <r>
    <x v="59"/>
  </r>
  <r>
    <x v="59"/>
  </r>
  <r>
    <x v="81"/>
  </r>
  <r>
    <x v="10"/>
  </r>
  <r>
    <x v="238"/>
  </r>
  <r>
    <x v="208"/>
  </r>
  <r>
    <x v="31"/>
  </r>
  <r>
    <x v="31"/>
  </r>
  <r>
    <x v="238"/>
  </r>
  <r>
    <x v="426"/>
  </r>
  <r>
    <x v="356"/>
  </r>
  <r>
    <x v="84"/>
  </r>
  <r>
    <x v="218"/>
  </r>
  <r>
    <x v="427"/>
  </r>
  <r>
    <x v="428"/>
  </r>
  <r>
    <x v="429"/>
  </r>
  <r>
    <x v="268"/>
  </r>
  <r>
    <x v="124"/>
  </r>
  <r>
    <x v="124"/>
  </r>
  <r>
    <x v="124"/>
  </r>
  <r>
    <x v="124"/>
  </r>
  <r>
    <x v="124"/>
  </r>
  <r>
    <x v="124"/>
  </r>
  <r>
    <x v="124"/>
  </r>
  <r>
    <x v="83"/>
  </r>
  <r>
    <x v="227"/>
  </r>
  <r>
    <x v="326"/>
  </r>
  <r>
    <x v="59"/>
  </r>
  <r>
    <x v="114"/>
  </r>
  <r>
    <x v="114"/>
  </r>
  <r>
    <x v="21"/>
  </r>
  <r>
    <x v="198"/>
  </r>
  <r>
    <x v="198"/>
  </r>
  <r>
    <x v="253"/>
  </r>
  <r>
    <x v="253"/>
  </r>
  <r>
    <x v="253"/>
  </r>
  <r>
    <x v="253"/>
  </r>
  <r>
    <x v="10"/>
  </r>
  <r>
    <x v="253"/>
  </r>
  <r>
    <x v="88"/>
  </r>
  <r>
    <x v="88"/>
  </r>
  <r>
    <x v="205"/>
  </r>
  <r>
    <x v="10"/>
  </r>
  <r>
    <x v="205"/>
  </r>
  <r>
    <x v="145"/>
  </r>
  <r>
    <x v="10"/>
  </r>
  <r>
    <x v="362"/>
  </r>
  <r>
    <x v="82"/>
  </r>
  <r>
    <x v="205"/>
  </r>
  <r>
    <x v="265"/>
  </r>
  <r>
    <x v="359"/>
  </r>
  <r>
    <x v="430"/>
  </r>
  <r>
    <x v="76"/>
  </r>
  <r>
    <x v="76"/>
  </r>
  <r>
    <x v="76"/>
  </r>
  <r>
    <x v="59"/>
  </r>
  <r>
    <x v="224"/>
  </r>
  <r>
    <x v="76"/>
  </r>
  <r>
    <x v="76"/>
  </r>
  <r>
    <x v="76"/>
  </r>
  <r>
    <x v="76"/>
  </r>
  <r>
    <x v="76"/>
  </r>
  <r>
    <x v="76"/>
  </r>
  <r>
    <x v="76"/>
  </r>
  <r>
    <x v="272"/>
  </r>
  <r>
    <x v="17"/>
  </r>
  <r>
    <x v="63"/>
  </r>
  <r>
    <x v="25"/>
  </r>
  <r>
    <x v="76"/>
  </r>
  <r>
    <x v="25"/>
  </r>
  <r>
    <x v="76"/>
  </r>
  <r>
    <x v="76"/>
  </r>
  <r>
    <x v="25"/>
  </r>
  <r>
    <x v="25"/>
  </r>
  <r>
    <x v="25"/>
  </r>
  <r>
    <x v="25"/>
  </r>
  <r>
    <x v="76"/>
  </r>
  <r>
    <x v="76"/>
  </r>
  <r>
    <x v="76"/>
  </r>
  <r>
    <x v="125"/>
  </r>
  <r>
    <x v="155"/>
  </r>
  <r>
    <x v="76"/>
  </r>
  <r>
    <x v="155"/>
  </r>
  <r>
    <x v="155"/>
  </r>
  <r>
    <x v="155"/>
  </r>
  <r>
    <x v="155"/>
  </r>
  <r>
    <x v="82"/>
  </r>
  <r>
    <x v="155"/>
  </r>
  <r>
    <x v="155"/>
  </r>
  <r>
    <x v="14"/>
  </r>
  <r>
    <x v="155"/>
  </r>
  <r>
    <x v="44"/>
  </r>
  <r>
    <x v="64"/>
  </r>
  <r>
    <x v="155"/>
  </r>
  <r>
    <x v="348"/>
  </r>
  <r>
    <x v="29"/>
  </r>
  <r>
    <x v="29"/>
  </r>
  <r>
    <x v="6"/>
  </r>
  <r>
    <x v="82"/>
  </r>
  <r>
    <x v="21"/>
  </r>
  <r>
    <x v="76"/>
  </r>
  <r>
    <x v="113"/>
  </r>
  <r>
    <x v="76"/>
  </r>
  <r>
    <x v="25"/>
  </r>
  <r>
    <x v="76"/>
  </r>
  <r>
    <x v="76"/>
  </r>
  <r>
    <x v="76"/>
  </r>
  <r>
    <x v="20"/>
  </r>
  <r>
    <x v="76"/>
  </r>
  <r>
    <x v="113"/>
  </r>
  <r>
    <x v="113"/>
  </r>
  <r>
    <x v="113"/>
  </r>
  <r>
    <x v="113"/>
  </r>
  <r>
    <x v="326"/>
  </r>
  <r>
    <x v="104"/>
  </r>
  <r>
    <x v="104"/>
  </r>
  <r>
    <x v="104"/>
  </r>
  <r>
    <x v="108"/>
  </r>
  <r>
    <x v="25"/>
  </r>
  <r>
    <x v="113"/>
  </r>
  <r>
    <x v="133"/>
  </r>
  <r>
    <x v="133"/>
  </r>
  <r>
    <x v="133"/>
  </r>
  <r>
    <x v="10"/>
  </r>
  <r>
    <x v="354"/>
  </r>
  <r>
    <x v="381"/>
  </r>
  <r>
    <x v="64"/>
  </r>
  <r>
    <x v="296"/>
  </r>
  <r>
    <x v="70"/>
  </r>
  <r>
    <x v="70"/>
  </r>
  <r>
    <x v="31"/>
  </r>
  <r>
    <x v="70"/>
  </r>
  <r>
    <x v="294"/>
  </r>
  <r>
    <x v="57"/>
  </r>
  <r>
    <x v="76"/>
  </r>
  <r>
    <x v="76"/>
  </r>
  <r>
    <x v="76"/>
  </r>
  <r>
    <x v="31"/>
  </r>
  <r>
    <x v="265"/>
  </r>
  <r>
    <x v="431"/>
  </r>
  <r>
    <x v="353"/>
  </r>
  <r>
    <x v="32"/>
  </r>
  <r>
    <x v="90"/>
  </r>
  <r>
    <x v="432"/>
  </r>
  <r>
    <x v="82"/>
  </r>
  <r>
    <x v="385"/>
  </r>
  <r>
    <x v="160"/>
  </r>
  <r>
    <x v="144"/>
  </r>
  <r>
    <x v="433"/>
  </r>
  <r>
    <x v="299"/>
  </r>
  <r>
    <x v="54"/>
  </r>
  <r>
    <x v="204"/>
  </r>
  <r>
    <x v="434"/>
  </r>
  <r>
    <x v="82"/>
  </r>
  <r>
    <x v="364"/>
  </r>
  <r>
    <x v="242"/>
  </r>
  <r>
    <x v="76"/>
  </r>
  <r>
    <x v="46"/>
  </r>
  <r>
    <x v="144"/>
  </r>
  <r>
    <x v="59"/>
  </r>
  <r>
    <x v="31"/>
  </r>
  <r>
    <x v="31"/>
  </r>
  <r>
    <x v="31"/>
  </r>
  <r>
    <x v="122"/>
  </r>
  <r>
    <x v="122"/>
  </r>
  <r>
    <x v="111"/>
  </r>
  <r>
    <x v="155"/>
  </r>
  <r>
    <x v="82"/>
  </r>
  <r>
    <x v="25"/>
  </r>
  <r>
    <x v="48"/>
  </r>
  <r>
    <x v="81"/>
  </r>
  <r>
    <x v="155"/>
  </r>
  <r>
    <x v="128"/>
  </r>
  <r>
    <x v="370"/>
  </r>
  <r>
    <x v="154"/>
  </r>
  <r>
    <x v="86"/>
  </r>
  <r>
    <x v="80"/>
  </r>
  <r>
    <x v="34"/>
  </r>
  <r>
    <x v="40"/>
  </r>
  <r>
    <x v="236"/>
  </r>
  <r>
    <x v="154"/>
  </r>
  <r>
    <x v="192"/>
  </r>
  <r>
    <x v="100"/>
  </r>
  <r>
    <x v="100"/>
  </r>
  <r>
    <x v="100"/>
  </r>
  <r>
    <x v="370"/>
  </r>
  <r>
    <x v="370"/>
  </r>
  <r>
    <x v="370"/>
  </r>
  <r>
    <x v="70"/>
  </r>
  <r>
    <x v="20"/>
  </r>
  <r>
    <x v="21"/>
  </r>
  <r>
    <x v="82"/>
  </r>
  <r>
    <x v="370"/>
  </r>
  <r>
    <x v="72"/>
  </r>
  <r>
    <x v="167"/>
  </r>
  <r>
    <x v="167"/>
  </r>
  <r>
    <x v="167"/>
  </r>
  <r>
    <x v="27"/>
  </r>
  <r>
    <x v="259"/>
  </r>
  <r>
    <x v="211"/>
  </r>
  <r>
    <x v="435"/>
  </r>
  <r>
    <x v="60"/>
  </r>
  <r>
    <x v="380"/>
  </r>
  <r>
    <x v="436"/>
  </r>
  <r>
    <x v="380"/>
  </r>
  <r>
    <x v="27"/>
  </r>
  <r>
    <x v="437"/>
  </r>
  <r>
    <x v="70"/>
  </r>
  <r>
    <x v="438"/>
  </r>
  <r>
    <x v="25"/>
  </r>
  <r>
    <x v="75"/>
  </r>
  <r>
    <x v="29"/>
  </r>
  <r>
    <x v="93"/>
  </r>
  <r>
    <x v="93"/>
  </r>
  <r>
    <x v="93"/>
  </r>
  <r>
    <x v="36"/>
  </r>
  <r>
    <x v="93"/>
  </r>
  <r>
    <x v="117"/>
  </r>
  <r>
    <x v="10"/>
  </r>
  <r>
    <x v="12"/>
  </r>
  <r>
    <x v="12"/>
  </r>
  <r>
    <x v="93"/>
  </r>
  <r>
    <x v="93"/>
  </r>
  <r>
    <x v="29"/>
  </r>
  <r>
    <x v="29"/>
  </r>
  <r>
    <x v="76"/>
  </r>
  <r>
    <x v="36"/>
  </r>
  <r>
    <x v="29"/>
  </r>
  <r>
    <x v="94"/>
  </r>
  <r>
    <x v="229"/>
  </r>
  <r>
    <x v="136"/>
  </r>
  <r>
    <x v="85"/>
  </r>
  <r>
    <x v="29"/>
  </r>
  <r>
    <x v="142"/>
  </r>
  <r>
    <x v="24"/>
  </r>
  <r>
    <x v="29"/>
  </r>
  <r>
    <x v="29"/>
  </r>
  <r>
    <x v="29"/>
  </r>
  <r>
    <x v="29"/>
  </r>
  <r>
    <x v="29"/>
  </r>
  <r>
    <x v="29"/>
  </r>
  <r>
    <x v="35"/>
  </r>
  <r>
    <x v="78"/>
  </r>
  <r>
    <x v="29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94"/>
  </r>
  <r>
    <x v="72"/>
  </r>
  <r>
    <x v="82"/>
  </r>
  <r>
    <x v="82"/>
  </r>
  <r>
    <x v="25"/>
  </r>
  <r>
    <x v="25"/>
  </r>
  <r>
    <x v="28"/>
  </r>
  <r>
    <x v="23"/>
  </r>
  <r>
    <x v="115"/>
  </r>
  <r>
    <x v="76"/>
  </r>
  <r>
    <x v="76"/>
  </r>
  <r>
    <x v="76"/>
  </r>
  <r>
    <x v="75"/>
  </r>
  <r>
    <x v="12"/>
  </r>
  <r>
    <x v="75"/>
  </r>
  <r>
    <x v="75"/>
  </r>
  <r>
    <x v="76"/>
  </r>
  <r>
    <x v="76"/>
  </r>
  <r>
    <x v="76"/>
  </r>
  <r>
    <x v="76"/>
  </r>
  <r>
    <x v="76"/>
  </r>
  <r>
    <x v="12"/>
  </r>
  <r>
    <x v="12"/>
  </r>
  <r>
    <x v="50"/>
  </r>
  <r>
    <x v="59"/>
  </r>
  <r>
    <x v="25"/>
  </r>
  <r>
    <x v="27"/>
  </r>
  <r>
    <x v="25"/>
  </r>
  <r>
    <x v="25"/>
  </r>
  <r>
    <x v="27"/>
  </r>
  <r>
    <x v="25"/>
  </r>
  <r>
    <x v="24"/>
  </r>
  <r>
    <x v="82"/>
  </r>
  <r>
    <x v="133"/>
  </r>
  <r>
    <x v="439"/>
  </r>
  <r>
    <x v="133"/>
  </r>
  <r>
    <x v="2"/>
  </r>
  <r>
    <x v="2"/>
  </r>
  <r>
    <x v="25"/>
  </r>
  <r>
    <x v="113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81"/>
  </r>
  <r>
    <x v="82"/>
  </r>
  <r>
    <x v="81"/>
  </r>
  <r>
    <x v="81"/>
  </r>
  <r>
    <x v="82"/>
  </r>
  <r>
    <x v="82"/>
  </r>
  <r>
    <x v="81"/>
  </r>
  <r>
    <x v="81"/>
  </r>
  <r>
    <x v="81"/>
  </r>
  <r>
    <x v="25"/>
  </r>
  <r>
    <x v="25"/>
  </r>
  <r>
    <x v="93"/>
  </r>
  <r>
    <x v="78"/>
  </r>
  <r>
    <x v="93"/>
  </r>
  <r>
    <x v="76"/>
  </r>
  <r>
    <x v="126"/>
  </r>
  <r>
    <x v="25"/>
  </r>
  <r>
    <x v="25"/>
  </r>
  <r>
    <x v="25"/>
  </r>
  <r>
    <x v="25"/>
  </r>
  <r>
    <x v="25"/>
  </r>
  <r>
    <x v="25"/>
  </r>
  <r>
    <x v="48"/>
  </r>
  <r>
    <x v="25"/>
  </r>
  <r>
    <x v="25"/>
  </r>
  <r>
    <x v="10"/>
  </r>
  <r>
    <x v="82"/>
  </r>
  <r>
    <x v="76"/>
  </r>
  <r>
    <x v="76"/>
  </r>
  <r>
    <x v="71"/>
  </r>
  <r>
    <x v="71"/>
  </r>
  <r>
    <x v="0"/>
  </r>
  <r>
    <x v="25"/>
  </r>
  <r>
    <x v="29"/>
  </r>
  <r>
    <x v="29"/>
  </r>
  <r>
    <x v="25"/>
  </r>
  <r>
    <x v="77"/>
  </r>
  <r>
    <x v="25"/>
  </r>
  <r>
    <x v="102"/>
  </r>
  <r>
    <x v="31"/>
  </r>
  <r>
    <x v="31"/>
  </r>
  <r>
    <x v="204"/>
  </r>
  <r>
    <x v="72"/>
  </r>
  <r>
    <x v="76"/>
  </r>
  <r>
    <x v="76"/>
  </r>
  <r>
    <x v="218"/>
  </r>
  <r>
    <x v="85"/>
  </r>
  <r>
    <x v="76"/>
  </r>
  <r>
    <x v="81"/>
  </r>
  <r>
    <x v="155"/>
  </r>
  <r>
    <x v="155"/>
  </r>
  <r>
    <x v="155"/>
  </r>
  <r>
    <x v="155"/>
  </r>
  <r>
    <x v="83"/>
  </r>
  <r>
    <x v="275"/>
  </r>
  <r>
    <x v="83"/>
  </r>
  <r>
    <x v="76"/>
  </r>
  <r>
    <x v="12"/>
  </r>
  <r>
    <x v="25"/>
  </r>
  <r>
    <x v="25"/>
  </r>
  <r>
    <x v="374"/>
  </r>
  <r>
    <x v="83"/>
  </r>
  <r>
    <x v="100"/>
  </r>
  <r>
    <x v="29"/>
  </r>
  <r>
    <x v="29"/>
  </r>
  <r>
    <x v="29"/>
  </r>
  <r>
    <x v="93"/>
  </r>
  <r>
    <x v="25"/>
  </r>
  <r>
    <x v="25"/>
  </r>
  <r>
    <x v="72"/>
  </r>
  <r>
    <x v="76"/>
  </r>
  <r>
    <x v="27"/>
  </r>
  <r>
    <x v="27"/>
  </r>
  <r>
    <x v="46"/>
  </r>
  <r>
    <x v="25"/>
  </r>
  <r>
    <x v="27"/>
  </r>
  <r>
    <x v="208"/>
  </r>
  <r>
    <x v="78"/>
  </r>
  <r>
    <x v="27"/>
  </r>
  <r>
    <x v="27"/>
  </r>
  <r>
    <x v="27"/>
  </r>
  <r>
    <x v="27"/>
  </r>
  <r>
    <x v="27"/>
  </r>
  <r>
    <x v="27"/>
  </r>
  <r>
    <x v="27"/>
  </r>
  <r>
    <x v="52"/>
  </r>
  <r>
    <x v="440"/>
  </r>
  <r>
    <x v="441"/>
  </r>
  <r>
    <x v="76"/>
  </r>
  <r>
    <x v="59"/>
  </r>
  <r>
    <x v="253"/>
  </r>
  <r>
    <x v="442"/>
  </r>
  <r>
    <x v="60"/>
  </r>
  <r>
    <x v="59"/>
  </r>
  <r>
    <x v="24"/>
  </r>
  <r>
    <x v="42"/>
  </r>
  <r>
    <x v="59"/>
  </r>
  <r>
    <x v="70"/>
  </r>
  <r>
    <x v="443"/>
  </r>
  <r>
    <x v="76"/>
  </r>
  <r>
    <x v="76"/>
  </r>
  <r>
    <x v="76"/>
  </r>
  <r>
    <x v="76"/>
  </r>
  <r>
    <x v="105"/>
  </r>
  <r>
    <x v="6"/>
  </r>
  <r>
    <x v="6"/>
  </r>
  <r>
    <x v="59"/>
  </r>
  <r>
    <x v="82"/>
  </r>
  <r>
    <x v="82"/>
  </r>
  <r>
    <x v="444"/>
  </r>
  <r>
    <x v="6"/>
  </r>
  <r>
    <x v="59"/>
  </r>
  <r>
    <x v="6"/>
  </r>
  <r>
    <x v="29"/>
  </r>
  <r>
    <x v="380"/>
  </r>
  <r>
    <x v="445"/>
  </r>
  <r>
    <x v="446"/>
  </r>
  <r>
    <x v="447"/>
  </r>
  <r>
    <x v="46"/>
  </r>
  <r>
    <x v="76"/>
  </r>
  <r>
    <x v="46"/>
  </r>
  <r>
    <x v="448"/>
  </r>
  <r>
    <x v="59"/>
  </r>
  <r>
    <x v="211"/>
  </r>
  <r>
    <x v="449"/>
  </r>
  <r>
    <x v="296"/>
  </r>
  <r>
    <x v="265"/>
  </r>
  <r>
    <x v="296"/>
  </r>
  <r>
    <x v="329"/>
  </r>
  <r>
    <x v="380"/>
  </r>
  <r>
    <x v="450"/>
  </r>
  <r>
    <x v="451"/>
  </r>
  <r>
    <x v="452"/>
  </r>
  <r>
    <x v="384"/>
  </r>
  <r>
    <x v="384"/>
  </r>
  <r>
    <x v="380"/>
  </r>
  <r>
    <x v="365"/>
  </r>
  <r>
    <x v="331"/>
  </r>
  <r>
    <x v="59"/>
  </r>
  <r>
    <x v="205"/>
  </r>
  <r>
    <x v="6"/>
  </r>
  <r>
    <x v="76"/>
  </r>
  <r>
    <x v="76"/>
  </r>
  <r>
    <x v="265"/>
  </r>
  <r>
    <x v="132"/>
  </r>
  <r>
    <x v="368"/>
  </r>
  <r>
    <x v="82"/>
  </r>
  <r>
    <x v="42"/>
  </r>
  <r>
    <x v="265"/>
  </r>
  <r>
    <x v="2"/>
  </r>
  <r>
    <x v="2"/>
  </r>
  <r>
    <x v="2"/>
  </r>
  <r>
    <x v="2"/>
  </r>
  <r>
    <x v="380"/>
  </r>
  <r>
    <x v="380"/>
  </r>
  <r>
    <x v="380"/>
  </r>
  <r>
    <x v="2"/>
  </r>
  <r>
    <x v="2"/>
  </r>
  <r>
    <x v="76"/>
  </r>
  <r>
    <x v="453"/>
  </r>
  <r>
    <x v="42"/>
  </r>
  <r>
    <x v="54"/>
  </r>
  <r>
    <x v="82"/>
  </r>
  <r>
    <x v="82"/>
  </r>
  <r>
    <x v="94"/>
  </r>
  <r>
    <x v="25"/>
  </r>
  <r>
    <x v="25"/>
  </r>
  <r>
    <x v="25"/>
  </r>
  <r>
    <x v="82"/>
  </r>
  <r>
    <x v="72"/>
  </r>
  <r>
    <x v="14"/>
  </r>
  <r>
    <x v="25"/>
  </r>
  <r>
    <x v="25"/>
  </r>
  <r>
    <x v="25"/>
  </r>
  <r>
    <x v="25"/>
  </r>
  <r>
    <x v="76"/>
  </r>
  <r>
    <x v="76"/>
  </r>
  <r>
    <x v="81"/>
  </r>
  <r>
    <x v="112"/>
  </r>
  <r>
    <x v="3"/>
  </r>
  <r>
    <x v="30"/>
  </r>
  <r>
    <x v="128"/>
  </r>
  <r>
    <x v="128"/>
  </r>
  <r>
    <x v="128"/>
  </r>
  <r>
    <x v="128"/>
  </r>
  <r>
    <x v="128"/>
  </r>
  <r>
    <x v="128"/>
  </r>
  <r>
    <x v="113"/>
  </r>
  <r>
    <x v="108"/>
  </r>
  <r>
    <x v="306"/>
  </r>
  <r>
    <x v="89"/>
  </r>
  <r>
    <x v="454"/>
  </r>
  <r>
    <x v="118"/>
  </r>
  <r>
    <x v="75"/>
  </r>
  <r>
    <x v="118"/>
  </r>
  <r>
    <x v="229"/>
  </r>
  <r>
    <x v="118"/>
  </r>
  <r>
    <x v="44"/>
  </r>
  <r>
    <x v="232"/>
  </r>
  <r>
    <x v="381"/>
  </r>
  <r>
    <x v="29"/>
  </r>
  <r>
    <x v="352"/>
  </r>
  <r>
    <x v="30"/>
  </r>
  <r>
    <x v="381"/>
  </r>
  <r>
    <x v="76"/>
  </r>
  <r>
    <x v="82"/>
  </r>
  <r>
    <x v="76"/>
  </r>
  <r>
    <x v="307"/>
  </r>
  <r>
    <x v="128"/>
  </r>
  <r>
    <x v="128"/>
  </r>
  <r>
    <x v="455"/>
  </r>
  <r>
    <x v="307"/>
  </r>
  <r>
    <x v="103"/>
  </r>
  <r>
    <x v="177"/>
  </r>
  <r>
    <x v="177"/>
  </r>
  <r>
    <x v="177"/>
  </r>
  <r>
    <x v="265"/>
  </r>
  <r>
    <x v="75"/>
  </r>
  <r>
    <x v="101"/>
  </r>
  <r>
    <x v="290"/>
  </r>
  <r>
    <x v="290"/>
  </r>
  <r>
    <x v="46"/>
  </r>
  <r>
    <x v="98"/>
  </r>
  <r>
    <x v="76"/>
  </r>
  <r>
    <x v="108"/>
  </r>
  <r>
    <x v="85"/>
  </r>
  <r>
    <x v="155"/>
  </r>
  <r>
    <x v="133"/>
  </r>
  <r>
    <x v="133"/>
  </r>
  <r>
    <x v="133"/>
  </r>
  <r>
    <x v="35"/>
  </r>
  <r>
    <x v="35"/>
  </r>
  <r>
    <x v="328"/>
  </r>
  <r>
    <x v="76"/>
  </r>
  <r>
    <x v="75"/>
  </r>
  <r>
    <x v="133"/>
  </r>
  <r>
    <x v="75"/>
  </r>
  <r>
    <x v="381"/>
  </r>
  <r>
    <x v="24"/>
  </r>
  <r>
    <x v="104"/>
  </r>
  <r>
    <x v="104"/>
  </r>
  <r>
    <x v="6"/>
  </r>
  <r>
    <x v="6"/>
  </r>
  <r>
    <x v="6"/>
  </r>
  <r>
    <x v="6"/>
  </r>
  <r>
    <x v="6"/>
  </r>
  <r>
    <x v="46"/>
  </r>
  <r>
    <x v="311"/>
  </r>
  <r>
    <x v="46"/>
  </r>
  <r>
    <x v="70"/>
  </r>
  <r>
    <x v="456"/>
  </r>
  <r>
    <x v="48"/>
  </r>
  <r>
    <x v="457"/>
  </r>
  <r>
    <x v="81"/>
  </r>
  <r>
    <x v="9"/>
  </r>
  <r>
    <x v="157"/>
  </r>
  <r>
    <x v="157"/>
  </r>
  <r>
    <x v="31"/>
  </r>
  <r>
    <x v="157"/>
  </r>
  <r>
    <x v="157"/>
  </r>
  <r>
    <x v="83"/>
  </r>
  <r>
    <x v="83"/>
  </r>
  <r>
    <x v="314"/>
  </r>
  <r>
    <x v="25"/>
  </r>
  <r>
    <x v="34"/>
  </r>
  <r>
    <x v="314"/>
  </r>
  <r>
    <x v="314"/>
  </r>
  <r>
    <x v="35"/>
  </r>
  <r>
    <x v="314"/>
  </r>
  <r>
    <x v="314"/>
  </r>
  <r>
    <x v="314"/>
  </r>
  <r>
    <x v="314"/>
  </r>
  <r>
    <x v="60"/>
  </r>
  <r>
    <x v="314"/>
  </r>
  <r>
    <x v="314"/>
  </r>
  <r>
    <x v="314"/>
  </r>
  <r>
    <x v="124"/>
  </r>
  <r>
    <x v="63"/>
  </r>
  <r>
    <x v="108"/>
  </r>
  <r>
    <x v="78"/>
  </r>
  <r>
    <x v="63"/>
  </r>
  <r>
    <x v="311"/>
  </r>
  <r>
    <x v="63"/>
  </r>
  <r>
    <x v="2"/>
  </r>
  <r>
    <x v="458"/>
  </r>
  <r>
    <x v="52"/>
  </r>
  <r>
    <x v="111"/>
  </r>
  <r>
    <x v="83"/>
  </r>
  <r>
    <x v="70"/>
  </r>
  <r>
    <x v="31"/>
  </r>
  <r>
    <x v="31"/>
  </r>
  <r>
    <x v="31"/>
  </r>
  <r>
    <x v="31"/>
  </r>
  <r>
    <x v="31"/>
  </r>
  <r>
    <x v="31"/>
  </r>
  <r>
    <x v="76"/>
  </r>
  <r>
    <x v="76"/>
  </r>
  <r>
    <x v="76"/>
  </r>
  <r>
    <x v="76"/>
  </r>
  <r>
    <x v="91"/>
  </r>
  <r>
    <x v="31"/>
  </r>
  <r>
    <x v="91"/>
  </r>
  <r>
    <x v="122"/>
  </r>
  <r>
    <x v="316"/>
  </r>
  <r>
    <x v="59"/>
  </r>
  <r>
    <x v="59"/>
  </r>
  <r>
    <x v="81"/>
  </r>
  <r>
    <x v="81"/>
  </r>
  <r>
    <x v="459"/>
  </r>
  <r>
    <x v="130"/>
  </r>
  <r>
    <x v="314"/>
  </r>
  <r>
    <x v="314"/>
  </r>
  <r>
    <x v="314"/>
  </r>
  <r>
    <x v="314"/>
  </r>
  <r>
    <x v="314"/>
  </r>
  <r>
    <x v="60"/>
  </r>
  <r>
    <x v="14"/>
  </r>
  <r>
    <x v="14"/>
  </r>
  <r>
    <x v="14"/>
  </r>
  <r>
    <x v="14"/>
  </r>
  <r>
    <x v="14"/>
  </r>
  <r>
    <x v="14"/>
  </r>
  <r>
    <x v="117"/>
  </r>
  <r>
    <x v="14"/>
  </r>
  <r>
    <x v="82"/>
  </r>
  <r>
    <x v="14"/>
  </r>
  <r>
    <x v="14"/>
  </r>
  <r>
    <x v="14"/>
  </r>
  <r>
    <x v="14"/>
  </r>
  <r>
    <x v="354"/>
  </r>
  <r>
    <x v="76"/>
  </r>
  <r>
    <x v="460"/>
  </r>
  <r>
    <x v="14"/>
  </r>
  <r>
    <x v="76"/>
  </r>
  <r>
    <x v="292"/>
  </r>
  <r>
    <x v="175"/>
  </r>
  <r>
    <x v="86"/>
  </r>
  <r>
    <x v="86"/>
  </r>
  <r>
    <x v="71"/>
  </r>
  <r>
    <x v="71"/>
  </r>
  <r>
    <x v="71"/>
  </r>
  <r>
    <x v="252"/>
  </r>
  <r>
    <x v="461"/>
  </r>
  <r>
    <x v="396"/>
  </r>
  <r>
    <x v="25"/>
  </r>
  <r>
    <x v="9"/>
  </r>
  <r>
    <x v="175"/>
  </r>
  <r>
    <x v="175"/>
  </r>
  <r>
    <x v="175"/>
  </r>
  <r>
    <x v="9"/>
  </r>
  <r>
    <x v="175"/>
  </r>
  <r>
    <x v="175"/>
  </r>
  <r>
    <x v="10"/>
  </r>
  <r>
    <x v="221"/>
  </r>
  <r>
    <x v="221"/>
  </r>
  <r>
    <x v="76"/>
  </r>
  <r>
    <x v="76"/>
  </r>
  <r>
    <x v="76"/>
  </r>
  <r>
    <x v="76"/>
  </r>
  <r>
    <x v="76"/>
  </r>
  <r>
    <x v="76"/>
  </r>
  <r>
    <x v="14"/>
  </r>
  <r>
    <x v="0"/>
  </r>
  <r>
    <x v="129"/>
  </r>
  <r>
    <x v="22"/>
  </r>
  <r>
    <x v="103"/>
  </r>
  <r>
    <x v="26"/>
  </r>
  <r>
    <x v="82"/>
  </r>
  <r>
    <x v="49"/>
  </r>
  <r>
    <x v="424"/>
  </r>
  <r>
    <x v="462"/>
  </r>
  <r>
    <x v="463"/>
  </r>
  <r>
    <x v="463"/>
  </r>
  <r>
    <x v="184"/>
  </r>
  <r>
    <x v="42"/>
  </r>
  <r>
    <x v="26"/>
  </r>
  <r>
    <x v="0"/>
  </r>
  <r>
    <x v="227"/>
  </r>
  <r>
    <x v="10"/>
  </r>
  <r>
    <x v="10"/>
  </r>
  <r>
    <x v="22"/>
  </r>
  <r>
    <x v="10"/>
  </r>
  <r>
    <x v="23"/>
  </r>
  <r>
    <x v="23"/>
  </r>
  <r>
    <x v="23"/>
  </r>
  <r>
    <x v="23"/>
  </r>
  <r>
    <x v="245"/>
  </r>
  <r>
    <x v="31"/>
  </r>
  <r>
    <x v="31"/>
  </r>
  <r>
    <x v="31"/>
  </r>
  <r>
    <x v="31"/>
  </r>
  <r>
    <x v="31"/>
  </r>
  <r>
    <x v="31"/>
  </r>
  <r>
    <x v="31"/>
  </r>
  <r>
    <x v="21"/>
  </r>
  <r>
    <x v="341"/>
  </r>
  <r>
    <x v="25"/>
  </r>
  <r>
    <x v="88"/>
  </r>
  <r>
    <x v="31"/>
  </r>
  <r>
    <x v="42"/>
  </r>
  <r>
    <x v="152"/>
  </r>
  <r>
    <x v="464"/>
  </r>
  <r>
    <x v="12"/>
  </r>
  <r>
    <x v="465"/>
  </r>
  <r>
    <x v="12"/>
  </r>
  <r>
    <x v="0"/>
  </r>
  <r>
    <x v="36"/>
  </r>
  <r>
    <x v="68"/>
  </r>
  <r>
    <x v="36"/>
  </r>
  <r>
    <x v="114"/>
  </r>
  <r>
    <x v="31"/>
  </r>
  <r>
    <x v="31"/>
  </r>
  <r>
    <x v="300"/>
  </r>
  <r>
    <x v="82"/>
  </r>
  <r>
    <x v="81"/>
  </r>
  <r>
    <x v="81"/>
  </r>
  <r>
    <x v="48"/>
  </r>
  <r>
    <x v="424"/>
  </r>
  <r>
    <x v="35"/>
  </r>
  <r>
    <x v="238"/>
  </r>
  <r>
    <x v="253"/>
  </r>
  <r>
    <x v="253"/>
  </r>
  <r>
    <x v="253"/>
  </r>
  <r>
    <x v="83"/>
  </r>
  <r>
    <x v="119"/>
  </r>
  <r>
    <x v="112"/>
  </r>
  <r>
    <x v="175"/>
  </r>
  <r>
    <x v="175"/>
  </r>
  <r>
    <x v="10"/>
  </r>
  <r>
    <x v="10"/>
  </r>
  <r>
    <x v="221"/>
  </r>
  <r>
    <x v="10"/>
  </r>
  <r>
    <x v="221"/>
  </r>
  <r>
    <x v="33"/>
  </r>
  <r>
    <x v="76"/>
  </r>
  <r>
    <x v="45"/>
  </r>
  <r>
    <x v="48"/>
  </r>
  <r>
    <x v="175"/>
  </r>
  <r>
    <x v="466"/>
  </r>
  <r>
    <x v="175"/>
  </r>
  <r>
    <x v="175"/>
  </r>
  <r>
    <x v="158"/>
  </r>
  <r>
    <x v="175"/>
  </r>
  <r>
    <x v="29"/>
  </r>
  <r>
    <x v="10"/>
  </r>
  <r>
    <x v="158"/>
  </r>
  <r>
    <x v="116"/>
  </r>
  <r>
    <x v="86"/>
  </r>
  <r>
    <x v="344"/>
  </r>
  <r>
    <x v="343"/>
  </r>
  <r>
    <x v="343"/>
  </r>
  <r>
    <x v="81"/>
  </r>
  <r>
    <x v="81"/>
  </r>
  <r>
    <x v="112"/>
  </r>
  <r>
    <x v="112"/>
  </r>
  <r>
    <x v="112"/>
  </r>
  <r>
    <x v="112"/>
  </r>
  <r>
    <x v="112"/>
  </r>
  <r>
    <x v="111"/>
  </r>
  <r>
    <x v="354"/>
  </r>
  <r>
    <x v="112"/>
  </r>
  <r>
    <x v="467"/>
  </r>
  <r>
    <x v="192"/>
  </r>
  <r>
    <x v="345"/>
  </r>
  <r>
    <x v="388"/>
  </r>
  <r>
    <x v="468"/>
  </r>
  <r>
    <x v="148"/>
  </r>
  <r>
    <x v="148"/>
  </r>
  <r>
    <x v="469"/>
  </r>
  <r>
    <x v="345"/>
  </r>
  <r>
    <x v="192"/>
  </r>
  <r>
    <x v="192"/>
  </r>
  <r>
    <x v="470"/>
  </r>
  <r>
    <x v="471"/>
  </r>
  <r>
    <x v="46"/>
  </r>
  <r>
    <x v="346"/>
  </r>
  <r>
    <x v="82"/>
  </r>
  <r>
    <x v="346"/>
  </r>
  <r>
    <x v="261"/>
  </r>
  <r>
    <x v="347"/>
  </r>
  <r>
    <x v="347"/>
  </r>
  <r>
    <x v="365"/>
  </r>
  <r>
    <x v="60"/>
  </r>
  <r>
    <x v="76"/>
  </r>
  <r>
    <x v="76"/>
  </r>
  <r>
    <x v="25"/>
  </r>
  <r>
    <x v="75"/>
  </r>
  <r>
    <x v="472"/>
  </r>
  <r>
    <x v="75"/>
  </r>
  <r>
    <x v="155"/>
  </r>
  <r>
    <x v="155"/>
  </r>
  <r>
    <x v="155"/>
  </r>
  <r>
    <x v="4"/>
  </r>
  <r>
    <x v="3"/>
  </r>
  <r>
    <x v="31"/>
  </r>
  <r>
    <x v="121"/>
  </r>
  <r>
    <x v="121"/>
  </r>
  <r>
    <x v="83"/>
  </r>
  <r>
    <x v="25"/>
  </r>
  <r>
    <x v="82"/>
  </r>
  <r>
    <x v="100"/>
  </r>
  <r>
    <x v="78"/>
  </r>
  <r>
    <x v="83"/>
  </r>
  <r>
    <x v="83"/>
  </r>
  <r>
    <x v="83"/>
  </r>
  <r>
    <x v="288"/>
  </r>
  <r>
    <x v="212"/>
  </r>
  <r>
    <x v="102"/>
  </r>
  <r>
    <x v="6"/>
  </r>
  <r>
    <x v="102"/>
  </r>
  <r>
    <x v="25"/>
  </r>
  <r>
    <x v="6"/>
  </r>
  <r>
    <x v="295"/>
  </r>
  <r>
    <x v="121"/>
  </r>
  <r>
    <x v="25"/>
  </r>
  <r>
    <x v="319"/>
  </r>
  <r>
    <x v="68"/>
  </r>
  <r>
    <x v="86"/>
  </r>
  <r>
    <x v="212"/>
  </r>
  <r>
    <x v="2"/>
  </r>
  <r>
    <x v="121"/>
  </r>
  <r>
    <x v="6"/>
  </r>
  <r>
    <x v="102"/>
  </r>
  <r>
    <x v="31"/>
  </r>
  <r>
    <x v="48"/>
  </r>
  <r>
    <x v="48"/>
  </r>
  <r>
    <x v="25"/>
  </r>
  <r>
    <x v="182"/>
  </r>
  <r>
    <x v="100"/>
  </r>
  <r>
    <x v="90"/>
  </r>
  <r>
    <x v="212"/>
  </r>
  <r>
    <x v="82"/>
  </r>
  <r>
    <x v="100"/>
  </r>
  <r>
    <x v="25"/>
  </r>
  <r>
    <x v="76"/>
  </r>
  <r>
    <x v="76"/>
  </r>
  <r>
    <x v="25"/>
  </r>
  <r>
    <x v="82"/>
  </r>
  <r>
    <x v="72"/>
  </r>
  <r>
    <x v="72"/>
  </r>
  <r>
    <x v="72"/>
  </r>
  <r>
    <x v="119"/>
  </r>
  <r>
    <x v="102"/>
  </r>
  <r>
    <x v="25"/>
  </r>
  <r>
    <x v="94"/>
  </r>
  <r>
    <x v="76"/>
  </r>
  <r>
    <x v="25"/>
  </r>
  <r>
    <x v="17"/>
  </r>
  <r>
    <x v="10"/>
  </r>
  <r>
    <x v="10"/>
  </r>
  <r>
    <x v="102"/>
  </r>
  <r>
    <x v="82"/>
  </r>
  <r>
    <x v="25"/>
  </r>
  <r>
    <x v="122"/>
  </r>
  <r>
    <x v="20"/>
  </r>
  <r>
    <x v="88"/>
  </r>
  <r>
    <x v="24"/>
  </r>
  <r>
    <x v="10"/>
  </r>
  <r>
    <x v="82"/>
  </r>
  <r>
    <x v="82"/>
  </r>
  <r>
    <x v="10"/>
  </r>
  <r>
    <x v="331"/>
  </r>
  <r>
    <x v="75"/>
  </r>
  <r>
    <x v="133"/>
  </r>
  <r>
    <x v="133"/>
  </r>
  <r>
    <x v="133"/>
  </r>
  <r>
    <x v="72"/>
  </r>
  <r>
    <x v="86"/>
  </r>
  <r>
    <x v="86"/>
  </r>
  <r>
    <x v="86"/>
  </r>
  <r>
    <x v="86"/>
  </r>
  <r>
    <x v="86"/>
  </r>
  <r>
    <x v="48"/>
  </r>
  <r>
    <x v="78"/>
  </r>
  <r>
    <x v="25"/>
  </r>
  <r>
    <x v="113"/>
  </r>
  <r>
    <x v="76"/>
  </r>
  <r>
    <x v="14"/>
  </r>
  <r>
    <x v="14"/>
  </r>
  <r>
    <x v="14"/>
  </r>
  <r>
    <x v="25"/>
  </r>
  <r>
    <x v="72"/>
  </r>
  <r>
    <x v="105"/>
  </r>
  <r>
    <x v="14"/>
  </r>
  <r>
    <x v="78"/>
  </r>
  <r>
    <x v="76"/>
  </r>
  <r>
    <x v="208"/>
  </r>
  <r>
    <x v="198"/>
  </r>
  <r>
    <x v="25"/>
  </r>
  <r>
    <x v="82"/>
  </r>
  <r>
    <x v="82"/>
  </r>
  <r>
    <x v="20"/>
  </r>
  <r>
    <x v="20"/>
  </r>
  <r>
    <x v="29"/>
  </r>
  <r>
    <x v="29"/>
  </r>
  <r>
    <x v="20"/>
  </r>
  <r>
    <x v="20"/>
  </r>
  <r>
    <x v="48"/>
  </r>
  <r>
    <x v="34"/>
  </r>
  <r>
    <x v="99"/>
  </r>
  <r>
    <x v="48"/>
  </r>
  <r>
    <x v="78"/>
  </r>
  <r>
    <x v="12"/>
  </r>
  <r>
    <x v="72"/>
  </r>
  <r>
    <x v="72"/>
  </r>
  <r>
    <x v="25"/>
  </r>
  <r>
    <x v="25"/>
  </r>
  <r>
    <x v="78"/>
  </r>
  <r>
    <x v="78"/>
  </r>
  <r>
    <x v="63"/>
  </r>
  <r>
    <x v="227"/>
  </r>
  <r>
    <x v="227"/>
  </r>
  <r>
    <x v="227"/>
  </r>
  <r>
    <x v="227"/>
  </r>
  <r>
    <x v="77"/>
  </r>
  <r>
    <x v="77"/>
  </r>
  <r>
    <x v="10"/>
  </r>
  <r>
    <x v="99"/>
  </r>
  <r>
    <x v="81"/>
  </r>
  <r>
    <x v="94"/>
  </r>
  <r>
    <x v="30"/>
  </r>
  <r>
    <x v="12"/>
  </r>
  <r>
    <x v="3"/>
  </r>
  <r>
    <x v="63"/>
  </r>
  <r>
    <x v="117"/>
  </r>
  <r>
    <x v="99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41"/>
  </r>
  <r>
    <x v="14"/>
  </r>
  <r>
    <x v="39"/>
  </r>
  <r>
    <x v="14"/>
  </r>
  <r>
    <x v="53"/>
  </r>
  <r>
    <x v="11"/>
  </r>
  <r>
    <x v="11"/>
  </r>
  <r>
    <x v="24"/>
  </r>
  <r>
    <x v="24"/>
  </r>
  <r>
    <x v="51"/>
  </r>
  <r>
    <x v="51"/>
  </r>
  <r>
    <x v="126"/>
  </r>
  <r>
    <x v="126"/>
  </r>
  <r>
    <x v="126"/>
  </r>
  <r>
    <x v="126"/>
  </r>
  <r>
    <x v="126"/>
  </r>
  <r>
    <x v="126"/>
  </r>
  <r>
    <x v="10"/>
  </r>
  <r>
    <x v="33"/>
  </r>
  <r>
    <x v="10"/>
  </r>
  <r>
    <x v="10"/>
  </r>
  <r>
    <x v="10"/>
  </r>
  <r>
    <x v="10"/>
  </r>
  <r>
    <x v="10"/>
  </r>
  <r>
    <x v="10"/>
  </r>
  <r>
    <x v="10"/>
  </r>
  <r>
    <x v="10"/>
  </r>
  <r>
    <x v="86"/>
  </r>
  <r>
    <x v="10"/>
  </r>
  <r>
    <x v="53"/>
  </r>
  <r>
    <x v="126"/>
  </r>
  <r>
    <x v="126"/>
  </r>
  <r>
    <x v="240"/>
  </r>
  <r>
    <x v="10"/>
  </r>
  <r>
    <x v="60"/>
  </r>
  <r>
    <x v="36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10"/>
  </r>
  <r>
    <x v="10"/>
  </r>
  <r>
    <x v="31"/>
  </r>
  <r>
    <x v="10"/>
  </r>
  <r>
    <x v="10"/>
  </r>
  <r>
    <x v="31"/>
  </r>
  <r>
    <x v="71"/>
  </r>
  <r>
    <x v="71"/>
  </r>
  <r>
    <x v="71"/>
  </r>
  <r>
    <x v="78"/>
  </r>
  <r>
    <x v="56"/>
  </r>
  <r>
    <x v="3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13"/>
  </r>
  <r>
    <x v="132"/>
  </r>
  <r>
    <x v="16"/>
  </r>
  <r>
    <x v="132"/>
  </r>
  <r>
    <x v="130"/>
  </r>
  <r>
    <x v="0"/>
  </r>
  <r>
    <x v="0"/>
  </r>
  <r>
    <x v="0"/>
  </r>
  <r>
    <x v="0"/>
  </r>
  <r>
    <x v="11"/>
  </r>
  <r>
    <x v="48"/>
  </r>
  <r>
    <x v="42"/>
  </r>
  <r>
    <x v="146"/>
  </r>
  <r>
    <x v="146"/>
  </r>
  <r>
    <x v="123"/>
  </r>
  <r>
    <x v="0"/>
  </r>
  <r>
    <x v="0"/>
  </r>
  <r>
    <x v="42"/>
  </r>
  <r>
    <x v="42"/>
  </r>
  <r>
    <x v="22"/>
  </r>
  <r>
    <x v="27"/>
  </r>
  <r>
    <x v="22"/>
  </r>
  <r>
    <x v="30"/>
  </r>
  <r>
    <x v="30"/>
  </r>
  <r>
    <x v="55"/>
  </r>
  <r>
    <x v="22"/>
  </r>
  <r>
    <x v="55"/>
  </r>
  <r>
    <x v="76"/>
  </r>
  <r>
    <x v="64"/>
  </r>
  <r>
    <x v="0"/>
  </r>
  <r>
    <x v="26"/>
  </r>
  <r>
    <x v="42"/>
  </r>
  <r>
    <x v="87"/>
  </r>
  <r>
    <x v="87"/>
  </r>
  <r>
    <x v="42"/>
  </r>
  <r>
    <x v="42"/>
  </r>
  <r>
    <x v="42"/>
  </r>
  <r>
    <x v="42"/>
  </r>
  <r>
    <x v="42"/>
  </r>
  <r>
    <x v="45"/>
  </r>
  <r>
    <x v="45"/>
  </r>
  <r>
    <x v="51"/>
  </r>
  <r>
    <x v="42"/>
  </r>
  <r>
    <x v="0"/>
  </r>
  <r>
    <x v="0"/>
  </r>
  <r>
    <x v="0"/>
  </r>
  <r>
    <x v="4"/>
  </r>
  <r>
    <x v="165"/>
  </r>
  <r>
    <x v="14"/>
  </r>
  <r>
    <x v="142"/>
  </r>
  <r>
    <x v="150"/>
  </r>
  <r>
    <x v="77"/>
  </r>
  <r>
    <x v="22"/>
  </r>
  <r>
    <x v="77"/>
  </r>
  <r>
    <x v="1"/>
  </r>
  <r>
    <x v="77"/>
  </r>
  <r>
    <x v="77"/>
  </r>
  <r>
    <x v="4"/>
  </r>
  <r>
    <x v="16"/>
  </r>
  <r>
    <x v="16"/>
  </r>
  <r>
    <x v="16"/>
  </r>
  <r>
    <x v="0"/>
  </r>
  <r>
    <x v="16"/>
  </r>
  <r>
    <x v="1"/>
  </r>
  <r>
    <x v="12"/>
  </r>
  <r>
    <x v="12"/>
  </r>
  <r>
    <x v="1"/>
  </r>
  <r>
    <x v="72"/>
  </r>
  <r>
    <x v="16"/>
  </r>
  <r>
    <x v="262"/>
  </r>
  <r>
    <x v="4"/>
  </r>
  <r>
    <x v="10"/>
  </r>
  <r>
    <x v="4"/>
  </r>
  <r>
    <x v="42"/>
  </r>
  <r>
    <x v="42"/>
  </r>
  <r>
    <x v="48"/>
  </r>
  <r>
    <x v="37"/>
  </r>
  <r>
    <x v="42"/>
  </r>
  <r>
    <x v="37"/>
  </r>
  <r>
    <x v="16"/>
  </r>
  <r>
    <x v="251"/>
  </r>
  <r>
    <x v="251"/>
  </r>
  <r>
    <x v="77"/>
  </r>
  <r>
    <x v="251"/>
  </r>
  <r>
    <x v="10"/>
  </r>
  <r>
    <x v="48"/>
  </r>
  <r>
    <x v="53"/>
  </r>
  <r>
    <x v="4"/>
  </r>
  <r>
    <x v="4"/>
  </r>
  <r>
    <x v="16"/>
  </r>
  <r>
    <x v="14"/>
  </r>
  <r>
    <x v="152"/>
  </r>
  <r>
    <x v="7"/>
  </r>
  <r>
    <x v="7"/>
  </r>
  <r>
    <x v="7"/>
  </r>
  <r>
    <x v="7"/>
  </r>
  <r>
    <x v="50"/>
  </r>
  <r>
    <x v="0"/>
  </r>
  <r>
    <x v="0"/>
  </r>
  <r>
    <x v="16"/>
  </r>
  <r>
    <x v="123"/>
  </r>
  <r>
    <x v="16"/>
  </r>
  <r>
    <x v="28"/>
  </r>
  <r>
    <x v="52"/>
  </r>
  <r>
    <x v="28"/>
  </r>
  <r>
    <x v="28"/>
  </r>
  <r>
    <x v="40"/>
  </r>
  <r>
    <x v="28"/>
  </r>
  <r>
    <x v="28"/>
  </r>
  <r>
    <x v="40"/>
  </r>
  <r>
    <x v="40"/>
  </r>
  <r>
    <x v="40"/>
  </r>
  <r>
    <x v="40"/>
  </r>
  <r>
    <x v="108"/>
  </r>
  <r>
    <x v="108"/>
  </r>
  <r>
    <x v="123"/>
  </r>
  <r>
    <x v="123"/>
  </r>
  <r>
    <x v="123"/>
  </r>
  <r>
    <x v="1"/>
  </r>
  <r>
    <x v="123"/>
  </r>
  <r>
    <x v="14"/>
  </r>
  <r>
    <x v="14"/>
  </r>
  <r>
    <x v="14"/>
  </r>
  <r>
    <x v="14"/>
  </r>
  <r>
    <x v="10"/>
  </r>
  <r>
    <x v="7"/>
  </r>
  <r>
    <x v="6"/>
  </r>
  <r>
    <x v="7"/>
  </r>
  <r>
    <x v="7"/>
  </r>
  <r>
    <x v="7"/>
  </r>
  <r>
    <x v="87"/>
  </r>
  <r>
    <x v="7"/>
  </r>
  <r>
    <x v="7"/>
  </r>
  <r>
    <x v="7"/>
  </r>
  <r>
    <x v="7"/>
  </r>
  <r>
    <x v="12"/>
  </r>
  <r>
    <x v="7"/>
  </r>
  <r>
    <x v="12"/>
  </r>
  <r>
    <x v="12"/>
  </r>
  <r>
    <x v="7"/>
  </r>
  <r>
    <x v="48"/>
  </r>
  <r>
    <x v="7"/>
  </r>
  <r>
    <x v="7"/>
  </r>
  <r>
    <x v="7"/>
  </r>
  <r>
    <x v="7"/>
  </r>
  <r>
    <x v="7"/>
  </r>
  <r>
    <x v="7"/>
  </r>
  <r>
    <x v="7"/>
  </r>
  <r>
    <x v="7"/>
  </r>
  <r>
    <x v="7"/>
  </r>
  <r>
    <x v="10"/>
  </r>
  <r>
    <x v="10"/>
  </r>
  <r>
    <x v="30"/>
  </r>
  <r>
    <x v="10"/>
  </r>
  <r>
    <x v="9"/>
  </r>
  <r>
    <x v="12"/>
  </r>
  <r>
    <x v="12"/>
  </r>
  <r>
    <x v="12"/>
  </r>
  <r>
    <x v="12"/>
  </r>
  <r>
    <x v="0"/>
  </r>
  <r>
    <x v="12"/>
  </r>
  <r>
    <x v="12"/>
  </r>
  <r>
    <x v="12"/>
  </r>
  <r>
    <x v="16"/>
  </r>
  <r>
    <x v="36"/>
  </r>
  <r>
    <x v="12"/>
  </r>
  <r>
    <x v="12"/>
  </r>
  <r>
    <x v="36"/>
  </r>
  <r>
    <x v="36"/>
  </r>
  <r>
    <x v="36"/>
  </r>
  <r>
    <x v="36"/>
  </r>
  <r>
    <x v="36"/>
  </r>
  <r>
    <x v="36"/>
  </r>
  <r>
    <x v="16"/>
  </r>
  <r>
    <x v="16"/>
  </r>
  <r>
    <x v="4"/>
  </r>
  <r>
    <x v="1"/>
  </r>
  <r>
    <x v="1"/>
  </r>
  <r>
    <x v="1"/>
  </r>
  <r>
    <x v="1"/>
  </r>
  <r>
    <x v="1"/>
  </r>
  <r>
    <x v="11"/>
  </r>
  <r>
    <x v="2"/>
  </r>
  <r>
    <x v="10"/>
  </r>
  <r>
    <x v="77"/>
  </r>
  <r>
    <x v="36"/>
  </r>
  <r>
    <x v="36"/>
  </r>
  <r>
    <x v="36"/>
  </r>
  <r>
    <x v="36"/>
  </r>
  <r>
    <x v="36"/>
  </r>
  <r>
    <x v="12"/>
  </r>
  <r>
    <x v="36"/>
  </r>
  <r>
    <x v="78"/>
  </r>
  <r>
    <x v="36"/>
  </r>
  <r>
    <x v="11"/>
  </r>
  <r>
    <x v="36"/>
  </r>
  <r>
    <x v="36"/>
  </r>
  <r>
    <x v="36"/>
  </r>
  <r>
    <x v="10"/>
  </r>
  <r>
    <x v="78"/>
  </r>
  <r>
    <x v="56"/>
  </r>
  <r>
    <x v="56"/>
  </r>
  <r>
    <x v="78"/>
  </r>
  <r>
    <x v="45"/>
  </r>
  <r>
    <x v="78"/>
  </r>
  <r>
    <x v="78"/>
  </r>
  <r>
    <x v="78"/>
  </r>
  <r>
    <x v="78"/>
  </r>
  <r>
    <x v="78"/>
  </r>
  <r>
    <x v="45"/>
  </r>
  <r>
    <x v="10"/>
  </r>
  <r>
    <x v="53"/>
  </r>
  <r>
    <x v="72"/>
  </r>
  <r>
    <x v="45"/>
  </r>
  <r>
    <x v="29"/>
  </r>
  <r>
    <x v="33"/>
  </r>
  <r>
    <x v="3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55"/>
  </r>
  <r>
    <x v="10"/>
  </r>
  <r>
    <x v="29"/>
  </r>
  <r>
    <x v="19"/>
  </r>
  <r>
    <x v="43"/>
  </r>
  <r>
    <x v="12"/>
  </r>
  <r>
    <x v="43"/>
  </r>
  <r>
    <x v="0"/>
  </r>
  <r>
    <x v="27"/>
  </r>
  <r>
    <x v="27"/>
  </r>
  <r>
    <x v="27"/>
  </r>
  <r>
    <x v="27"/>
  </r>
  <r>
    <x v="27"/>
  </r>
  <r>
    <x v="27"/>
  </r>
  <r>
    <x v="27"/>
  </r>
  <r>
    <x v="25"/>
  </r>
  <r>
    <x v="123"/>
  </r>
  <r>
    <x v="126"/>
  </r>
  <r>
    <x v="126"/>
  </r>
  <r>
    <x v="126"/>
  </r>
  <r>
    <x v="138"/>
  </r>
  <r>
    <x v="0"/>
  </r>
  <r>
    <x v="48"/>
  </r>
  <r>
    <x v="26"/>
  </r>
  <r>
    <x v="0"/>
  </r>
  <r>
    <x v="0"/>
  </r>
  <r>
    <x v="0"/>
  </r>
  <r>
    <x v="9"/>
  </r>
  <r>
    <x v="115"/>
  </r>
  <r>
    <x v="0"/>
  </r>
  <r>
    <x v="0"/>
  </r>
  <r>
    <x v="0"/>
  </r>
  <r>
    <x v="16"/>
  </r>
  <r>
    <x v="8"/>
  </r>
  <r>
    <x v="16"/>
  </r>
  <r>
    <x v="10"/>
  </r>
  <r>
    <x v="123"/>
  </r>
  <r>
    <x v="10"/>
  </r>
  <r>
    <x v="1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0"/>
  </r>
  <r>
    <x v="4"/>
  </r>
  <r>
    <x v="188"/>
  </r>
  <r>
    <x v="123"/>
  </r>
  <r>
    <x v="123"/>
  </r>
  <r>
    <x v="16"/>
  </r>
  <r>
    <x v="55"/>
  </r>
  <r>
    <x v="123"/>
  </r>
  <r>
    <x v="24"/>
  </r>
  <r>
    <x v="2"/>
  </r>
  <r>
    <x v="10"/>
  </r>
  <r>
    <x v="60"/>
  </r>
  <r>
    <x v="49"/>
  </r>
  <r>
    <x v="46"/>
  </r>
  <r>
    <x v="91"/>
  </r>
  <r>
    <x v="21"/>
  </r>
  <r>
    <x v="9"/>
  </r>
  <r>
    <x v="14"/>
  </r>
  <r>
    <x v="9"/>
  </r>
  <r>
    <x v="14"/>
  </r>
  <r>
    <x v="23"/>
  </r>
  <r>
    <x v="42"/>
  </r>
  <r>
    <x v="17"/>
  </r>
  <r>
    <x v="17"/>
  </r>
  <r>
    <x v="4"/>
  </r>
  <r>
    <x v="10"/>
  </r>
  <r>
    <x v="87"/>
  </r>
  <r>
    <x v="144"/>
  </r>
  <r>
    <x v="1"/>
  </r>
  <r>
    <x v="9"/>
  </r>
  <r>
    <x v="57"/>
  </r>
  <r>
    <x v="76"/>
  </r>
  <r>
    <x v="25"/>
  </r>
  <r>
    <x v="10"/>
  </r>
  <r>
    <x v="10"/>
  </r>
  <r>
    <x v="10"/>
  </r>
  <r>
    <x v="10"/>
  </r>
  <r>
    <x v="4"/>
  </r>
  <r>
    <x v="9"/>
  </r>
  <r>
    <x v="4"/>
  </r>
  <r>
    <x v="4"/>
  </r>
  <r>
    <x v="4"/>
  </r>
  <r>
    <x v="9"/>
  </r>
  <r>
    <x v="49"/>
  </r>
  <r>
    <x v="4"/>
  </r>
  <r>
    <x v="10"/>
  </r>
  <r>
    <x v="4"/>
  </r>
  <r>
    <x v="10"/>
  </r>
  <r>
    <x v="4"/>
  </r>
  <r>
    <x v="10"/>
  </r>
  <r>
    <x v="10"/>
  </r>
  <r>
    <x v="10"/>
  </r>
  <r>
    <x v="10"/>
  </r>
  <r>
    <x v="0"/>
  </r>
  <r>
    <x v="0"/>
  </r>
  <r>
    <x v="0"/>
  </r>
  <r>
    <x v="32"/>
  </r>
  <r>
    <x v="26"/>
  </r>
  <r>
    <x v="71"/>
  </r>
  <r>
    <x v="32"/>
  </r>
  <r>
    <x v="0"/>
  </r>
  <r>
    <x v="108"/>
  </r>
  <r>
    <x v="0"/>
  </r>
  <r>
    <x v="0"/>
  </r>
  <r>
    <x v="138"/>
  </r>
  <r>
    <x v="48"/>
  </r>
  <r>
    <x v="150"/>
  </r>
  <r>
    <x v="131"/>
  </r>
  <r>
    <x v="14"/>
  </r>
  <r>
    <x v="23"/>
  </r>
  <r>
    <x v="0"/>
  </r>
  <r>
    <x v="4"/>
  </r>
  <r>
    <x v="30"/>
  </r>
  <r>
    <x v="7"/>
  </r>
  <r>
    <x v="10"/>
  </r>
  <r>
    <x v="30"/>
  </r>
  <r>
    <x v="22"/>
  </r>
  <r>
    <x v="57"/>
  </r>
  <r>
    <x v="126"/>
  </r>
  <r>
    <x v="11"/>
  </r>
  <r>
    <x v="57"/>
  </r>
  <r>
    <x v="71"/>
  </r>
  <r>
    <x v="16"/>
  </r>
  <r>
    <x v="10"/>
  </r>
  <r>
    <x v="10"/>
  </r>
  <r>
    <x v="0"/>
  </r>
  <r>
    <x v="42"/>
  </r>
  <r>
    <x v="4"/>
  </r>
  <r>
    <x v="12"/>
  </r>
  <r>
    <x v="12"/>
  </r>
  <r>
    <x v="12"/>
  </r>
  <r>
    <x v="138"/>
  </r>
  <r>
    <x v="12"/>
  </r>
  <r>
    <x v="12"/>
  </r>
  <r>
    <x v="23"/>
  </r>
  <r>
    <x v="12"/>
  </r>
  <r>
    <x v="165"/>
  </r>
  <r>
    <x v="165"/>
  </r>
  <r>
    <x v="56"/>
  </r>
  <r>
    <x v="37"/>
  </r>
  <r>
    <x v="42"/>
  </r>
  <r>
    <x v="42"/>
  </r>
  <r>
    <x v="10"/>
  </r>
  <r>
    <x v="10"/>
  </r>
  <r>
    <x v="19"/>
  </r>
  <r>
    <x v="19"/>
  </r>
  <r>
    <x v="39"/>
  </r>
  <r>
    <x v="10"/>
  </r>
  <r>
    <x v="17"/>
  </r>
  <r>
    <x v="17"/>
  </r>
  <r>
    <x v="45"/>
  </r>
  <r>
    <x v="19"/>
  </r>
  <r>
    <x v="39"/>
  </r>
  <r>
    <x v="10"/>
  </r>
  <r>
    <x v="10"/>
  </r>
  <r>
    <x v="8"/>
  </r>
  <r>
    <x v="8"/>
  </r>
  <r>
    <x v="112"/>
  </r>
  <r>
    <x v="12"/>
  </r>
  <r>
    <x v="24"/>
  </r>
  <r>
    <x v="6"/>
  </r>
  <r>
    <x v="39"/>
  </r>
  <r>
    <x v="48"/>
  </r>
  <r>
    <x v="10"/>
  </r>
  <r>
    <x v="11"/>
  </r>
  <r>
    <x v="26"/>
  </r>
  <r>
    <x v="0"/>
  </r>
  <r>
    <x v="24"/>
  </r>
  <r>
    <x v="12"/>
  </r>
  <r>
    <x v="34"/>
  </r>
  <r>
    <x v="132"/>
  </r>
  <r>
    <x v="34"/>
  </r>
  <r>
    <x v="112"/>
  </r>
  <r>
    <x v="10"/>
  </r>
  <r>
    <x v="10"/>
  </r>
  <r>
    <x v="12"/>
  </r>
  <r>
    <x v="10"/>
  </r>
  <r>
    <x v="57"/>
  </r>
  <r>
    <x v="10"/>
  </r>
  <r>
    <x v="22"/>
  </r>
  <r>
    <x v="22"/>
  </r>
  <r>
    <x v="12"/>
  </r>
  <r>
    <x v="21"/>
  </r>
  <r>
    <x v="12"/>
  </r>
  <r>
    <x v="56"/>
  </r>
  <r>
    <x v="22"/>
  </r>
  <r>
    <x v="12"/>
  </r>
  <r>
    <x v="12"/>
  </r>
  <r>
    <x v="12"/>
  </r>
  <r>
    <x v="12"/>
  </r>
  <r>
    <x v="7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12"/>
  </r>
  <r>
    <x v="12"/>
  </r>
  <r>
    <x v="12"/>
  </r>
  <r>
    <x v="12"/>
  </r>
  <r>
    <x v="12"/>
  </r>
  <r>
    <x v="12"/>
  </r>
  <r>
    <x v="12"/>
  </r>
  <r>
    <x v="16"/>
  </r>
  <r>
    <x v="12"/>
  </r>
  <r>
    <x v="12"/>
  </r>
  <r>
    <x v="12"/>
  </r>
  <r>
    <x v="12"/>
  </r>
  <r>
    <x v="12"/>
  </r>
  <r>
    <x v="12"/>
  </r>
  <r>
    <x v="12"/>
  </r>
  <r>
    <x v="29"/>
  </r>
  <r>
    <x v="8"/>
  </r>
  <r>
    <x v="12"/>
  </r>
  <r>
    <x v="12"/>
  </r>
  <r>
    <x v="12"/>
  </r>
  <r>
    <x v="131"/>
  </r>
  <r>
    <x v="31"/>
  </r>
  <r>
    <x v="12"/>
  </r>
  <r>
    <x v="25"/>
  </r>
  <r>
    <x v="131"/>
  </r>
  <r>
    <x v="24"/>
  </r>
  <r>
    <x v="175"/>
  </r>
  <r>
    <x v="0"/>
  </r>
  <r>
    <x v="0"/>
  </r>
  <r>
    <x v="34"/>
  </r>
  <r>
    <x v="0"/>
  </r>
  <r>
    <x v="0"/>
  </r>
  <r>
    <x v="9"/>
  </r>
  <r>
    <x v="6"/>
  </r>
  <r>
    <x v="9"/>
  </r>
  <r>
    <x v="18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12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123"/>
  </r>
  <r>
    <x v="123"/>
  </r>
  <r>
    <x v="2"/>
  </r>
  <r>
    <x v="129"/>
  </r>
  <r>
    <x v="129"/>
  </r>
  <r>
    <x v="0"/>
  </r>
  <r>
    <x v="0"/>
  </r>
  <r>
    <x v="115"/>
  </r>
  <r>
    <x v="10"/>
  </r>
  <r>
    <x v="0"/>
  </r>
  <r>
    <x v="40"/>
  </r>
  <r>
    <x v="0"/>
  </r>
  <r>
    <x v="22"/>
  </r>
  <r>
    <x v="11"/>
  </r>
  <r>
    <x v="1"/>
  </r>
  <r>
    <x v="14"/>
  </r>
  <r>
    <x v="1"/>
  </r>
  <r>
    <x v="1"/>
  </r>
  <r>
    <x v="123"/>
  </r>
  <r>
    <x v="123"/>
  </r>
  <r>
    <x v="123"/>
  </r>
  <r>
    <x v="1"/>
  </r>
  <r>
    <x v="1"/>
  </r>
  <r>
    <x v="80"/>
  </r>
  <r>
    <x v="56"/>
  </r>
  <r>
    <x v="48"/>
  </r>
  <r>
    <x v="10"/>
  </r>
  <r>
    <x v="10"/>
  </r>
  <r>
    <x v="16"/>
  </r>
  <r>
    <x v="21"/>
  </r>
  <r>
    <x v="0"/>
  </r>
  <r>
    <x v="31"/>
  </r>
  <r>
    <x v="9"/>
  </r>
  <r>
    <x v="0"/>
  </r>
  <r>
    <x v="0"/>
  </r>
  <r>
    <x v="0"/>
  </r>
  <r>
    <x v="4"/>
  </r>
  <r>
    <x v="0"/>
  </r>
  <r>
    <x v="0"/>
  </r>
  <r>
    <x v="0"/>
  </r>
  <r>
    <x v="12"/>
  </r>
  <r>
    <x v="0"/>
  </r>
  <r>
    <x v="31"/>
  </r>
  <r>
    <x v="31"/>
  </r>
  <r>
    <x v="31"/>
  </r>
  <r>
    <x v="76"/>
  </r>
  <r>
    <x v="53"/>
  </r>
  <r>
    <x v="10"/>
  </r>
  <r>
    <x v="64"/>
  </r>
  <r>
    <x v="36"/>
  </r>
  <r>
    <x v="19"/>
  </r>
  <r>
    <x v="19"/>
  </r>
  <r>
    <x v="36"/>
  </r>
  <r>
    <x v="36"/>
  </r>
  <r>
    <x v="36"/>
  </r>
  <r>
    <x v="36"/>
  </r>
  <r>
    <x v="36"/>
  </r>
  <r>
    <x v="12"/>
  </r>
  <r>
    <x v="36"/>
  </r>
  <r>
    <x v="36"/>
  </r>
  <r>
    <x v="0"/>
  </r>
  <r>
    <x v="71"/>
  </r>
  <r>
    <x v="71"/>
  </r>
  <r>
    <x v="87"/>
  </r>
  <r>
    <x v="87"/>
  </r>
  <r>
    <x v="71"/>
  </r>
  <r>
    <x v="87"/>
  </r>
  <r>
    <x v="10"/>
  </r>
  <r>
    <x v="87"/>
  </r>
  <r>
    <x v="87"/>
  </r>
  <r>
    <x v="87"/>
  </r>
  <r>
    <x v="87"/>
  </r>
  <r>
    <x v="87"/>
  </r>
  <r>
    <x v="87"/>
  </r>
  <r>
    <x v="138"/>
  </r>
  <r>
    <x v="138"/>
  </r>
  <r>
    <x v="138"/>
  </r>
  <r>
    <x v="138"/>
  </r>
  <r>
    <x v="77"/>
  </r>
  <r>
    <x v="14"/>
  </r>
  <r>
    <x v="115"/>
  </r>
  <r>
    <x v="19"/>
  </r>
  <r>
    <x v="51"/>
  </r>
  <r>
    <x v="165"/>
  </r>
  <r>
    <x v="87"/>
  </r>
  <r>
    <x v="4"/>
  </r>
  <r>
    <x v="87"/>
  </r>
  <r>
    <x v="79"/>
  </r>
  <r>
    <x v="45"/>
  </r>
  <r>
    <x v="14"/>
  </r>
  <r>
    <x v="87"/>
  </r>
  <r>
    <x v="16"/>
  </r>
  <r>
    <x v="16"/>
  </r>
  <r>
    <x v="4"/>
  </r>
  <r>
    <x v="8"/>
  </r>
  <r>
    <x v="126"/>
  </r>
  <r>
    <x v="3"/>
  </r>
  <r>
    <x v="183"/>
  </r>
  <r>
    <x v="123"/>
  </r>
  <r>
    <x v="123"/>
  </r>
  <r>
    <x v="25"/>
  </r>
  <r>
    <x v="10"/>
  </r>
  <r>
    <x v="12"/>
  </r>
  <r>
    <x v="36"/>
  </r>
  <r>
    <x v="36"/>
  </r>
  <r>
    <x v="16"/>
  </r>
  <r>
    <x v="56"/>
  </r>
  <r>
    <x v="69"/>
  </r>
  <r>
    <x v="69"/>
  </r>
  <r>
    <x v="0"/>
  </r>
  <r>
    <x v="69"/>
  </r>
  <r>
    <x v="69"/>
  </r>
  <r>
    <x v="69"/>
  </r>
  <r>
    <x v="24"/>
  </r>
  <r>
    <x v="165"/>
  </r>
  <r>
    <x v="165"/>
  </r>
  <r>
    <x v="10"/>
  </r>
  <r>
    <x v="115"/>
  </r>
  <r>
    <x v="4"/>
  </r>
  <r>
    <x v="40"/>
  </r>
  <r>
    <x v="6"/>
  </r>
  <r>
    <x v="0"/>
  </r>
  <r>
    <x v="40"/>
  </r>
  <r>
    <x v="130"/>
  </r>
  <r>
    <x v="166"/>
  </r>
  <r>
    <x v="130"/>
  </r>
  <r>
    <x v="12"/>
  </r>
  <r>
    <x v="166"/>
  </r>
  <r>
    <x v="166"/>
  </r>
  <r>
    <x v="14"/>
  </r>
  <r>
    <x v="14"/>
  </r>
  <r>
    <x v="115"/>
  </r>
  <r>
    <x v="16"/>
  </r>
  <r>
    <x v="45"/>
  </r>
  <r>
    <x v="45"/>
  </r>
  <r>
    <x v="45"/>
  </r>
  <r>
    <x v="16"/>
  </r>
  <r>
    <x v="0"/>
  </r>
  <r>
    <x v="0"/>
  </r>
  <r>
    <x v="16"/>
  </r>
  <r>
    <x v="0"/>
  </r>
  <r>
    <x v="33"/>
  </r>
  <r>
    <x v="33"/>
  </r>
  <r>
    <x v="12"/>
  </r>
  <r>
    <x v="12"/>
  </r>
  <r>
    <x v="63"/>
  </r>
  <r>
    <x v="12"/>
  </r>
  <r>
    <x v="12"/>
  </r>
  <r>
    <x v="7"/>
  </r>
  <r>
    <x v="7"/>
  </r>
  <r>
    <x v="7"/>
  </r>
  <r>
    <x v="7"/>
  </r>
  <r>
    <x v="7"/>
  </r>
  <r>
    <x v="7"/>
  </r>
  <r>
    <x v="7"/>
  </r>
  <r>
    <x v="7"/>
  </r>
  <r>
    <x v="96"/>
  </r>
  <r>
    <x v="12"/>
  </r>
  <r>
    <x v="55"/>
  </r>
  <r>
    <x v="4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21"/>
  </r>
  <r>
    <x v="9"/>
  </r>
  <r>
    <x v="4"/>
  </r>
  <r>
    <x v="29"/>
  </r>
  <r>
    <x v="123"/>
  </r>
  <r>
    <x v="10"/>
  </r>
  <r>
    <x v="59"/>
  </r>
  <r>
    <x v="45"/>
  </r>
  <r>
    <x v="28"/>
  </r>
  <r>
    <x v="46"/>
  </r>
  <r>
    <x v="4"/>
  </r>
  <r>
    <x v="28"/>
  </r>
  <r>
    <x v="12"/>
  </r>
  <r>
    <x v="12"/>
  </r>
  <r>
    <x v="12"/>
  </r>
  <r>
    <x v="12"/>
  </r>
  <r>
    <x v="12"/>
  </r>
  <r>
    <x v="12"/>
  </r>
  <r>
    <x v="10"/>
  </r>
  <r>
    <x v="12"/>
  </r>
  <r>
    <x v="86"/>
  </r>
  <r>
    <x v="86"/>
  </r>
  <r>
    <x v="10"/>
  </r>
  <r>
    <x v="4"/>
  </r>
  <r>
    <x v="42"/>
  </r>
  <r>
    <x v="126"/>
  </r>
  <r>
    <x v="42"/>
  </r>
  <r>
    <x v="42"/>
  </r>
  <r>
    <x v="42"/>
  </r>
  <r>
    <x v="11"/>
  </r>
  <r>
    <x v="80"/>
  </r>
  <r>
    <x v="87"/>
  </r>
  <r>
    <x v="12"/>
  </r>
  <r>
    <x v="77"/>
  </r>
  <r>
    <x v="12"/>
  </r>
  <r>
    <x v="77"/>
  </r>
  <r>
    <x v="77"/>
  </r>
  <r>
    <x v="48"/>
  </r>
  <r>
    <x v="12"/>
  </r>
  <r>
    <x v="2"/>
  </r>
  <r>
    <x v="86"/>
  </r>
  <r>
    <x v="12"/>
  </r>
  <r>
    <x v="12"/>
  </r>
  <r>
    <x v="86"/>
  </r>
  <r>
    <x v="12"/>
  </r>
  <r>
    <x v="24"/>
  </r>
  <r>
    <x v="24"/>
  </r>
  <r>
    <x v="24"/>
  </r>
  <r>
    <x v="24"/>
  </r>
  <r>
    <x v="10"/>
  </r>
  <r>
    <x v="10"/>
  </r>
  <r>
    <x v="113"/>
  </r>
  <r>
    <x v="10"/>
  </r>
  <r>
    <x v="12"/>
  </r>
  <r>
    <x v="10"/>
  </r>
  <r>
    <x v="10"/>
  </r>
  <r>
    <x v="4"/>
  </r>
  <r>
    <x v="0"/>
  </r>
  <r>
    <x v="0"/>
  </r>
  <r>
    <x v="56"/>
  </r>
  <r>
    <x v="56"/>
  </r>
  <r>
    <x v="0"/>
  </r>
  <r>
    <x v="0"/>
  </r>
  <r>
    <x v="0"/>
  </r>
  <r>
    <x v="56"/>
  </r>
  <r>
    <x v="56"/>
  </r>
  <r>
    <x v="77"/>
  </r>
  <r>
    <x v="14"/>
  </r>
  <r>
    <x v="14"/>
  </r>
  <r>
    <x v="162"/>
  </r>
  <r>
    <x v="7"/>
  </r>
  <r>
    <x v="162"/>
  </r>
  <r>
    <x v="7"/>
  </r>
  <r>
    <x v="36"/>
  </r>
  <r>
    <x v="10"/>
  </r>
  <r>
    <x v="45"/>
  </r>
  <r>
    <x v="45"/>
  </r>
  <r>
    <x v="15"/>
  </r>
  <r>
    <x v="267"/>
  </r>
  <r>
    <x v="267"/>
  </r>
  <r>
    <x v="138"/>
  </r>
  <r>
    <x v="138"/>
  </r>
  <r>
    <x v="138"/>
  </r>
  <r>
    <x v="48"/>
  </r>
  <r>
    <x v="138"/>
  </r>
  <r>
    <x v="4"/>
  </r>
  <r>
    <x v="42"/>
  </r>
  <r>
    <x v="10"/>
  </r>
  <r>
    <x v="10"/>
  </r>
  <r>
    <x v="42"/>
  </r>
  <r>
    <x v="10"/>
  </r>
  <r>
    <x v="33"/>
  </r>
  <r>
    <x v="39"/>
  </r>
  <r>
    <x v="78"/>
  </r>
  <r>
    <x v="78"/>
  </r>
  <r>
    <x v="12"/>
  </r>
  <r>
    <x v="12"/>
  </r>
  <r>
    <x v="12"/>
  </r>
  <r>
    <x v="81"/>
  </r>
  <r>
    <x v="53"/>
  </r>
  <r>
    <x v="12"/>
  </r>
  <r>
    <x v="25"/>
  </r>
  <r>
    <x v="87"/>
  </r>
  <r>
    <x v="87"/>
  </r>
  <r>
    <x v="87"/>
  </r>
  <r>
    <x v="79"/>
  </r>
  <r>
    <x v="12"/>
  </r>
  <r>
    <x v="25"/>
  </r>
  <r>
    <x v="79"/>
  </r>
  <r>
    <x v="79"/>
  </r>
  <r>
    <x v="79"/>
  </r>
  <r>
    <x v="79"/>
  </r>
  <r>
    <x v="154"/>
  </r>
  <r>
    <x v="10"/>
  </r>
  <r>
    <x v="25"/>
  </r>
  <r>
    <x v="10"/>
  </r>
  <r>
    <x v="175"/>
  </r>
  <r>
    <x v="175"/>
  </r>
  <r>
    <x v="7"/>
  </r>
  <r>
    <x v="7"/>
  </r>
  <r>
    <x v="7"/>
  </r>
  <r>
    <x v="7"/>
  </r>
  <r>
    <x v="7"/>
  </r>
  <r>
    <x v="7"/>
  </r>
  <r>
    <x v="86"/>
  </r>
  <r>
    <x v="86"/>
  </r>
  <r>
    <x v="86"/>
  </r>
  <r>
    <x v="86"/>
  </r>
  <r>
    <x v="86"/>
  </r>
  <r>
    <x v="86"/>
  </r>
  <r>
    <x v="86"/>
  </r>
  <r>
    <x v="4"/>
  </r>
  <r>
    <x v="4"/>
  </r>
  <r>
    <x v="183"/>
  </r>
  <r>
    <x v="183"/>
  </r>
  <r>
    <x v="12"/>
  </r>
  <r>
    <x v="138"/>
  </r>
  <r>
    <x v="138"/>
  </r>
  <r>
    <x v="138"/>
  </r>
  <r>
    <x v="138"/>
  </r>
  <r>
    <x v="138"/>
  </r>
  <r>
    <x v="138"/>
  </r>
  <r>
    <x v="42"/>
  </r>
  <r>
    <x v="12"/>
  </r>
  <r>
    <x v="12"/>
  </r>
  <r>
    <x v="12"/>
  </r>
  <r>
    <x v="45"/>
  </r>
  <r>
    <x v="10"/>
  </r>
  <r>
    <x v="10"/>
  </r>
  <r>
    <x v="10"/>
  </r>
  <r>
    <x v="10"/>
  </r>
  <r>
    <x v="10"/>
  </r>
  <r>
    <x v="12"/>
  </r>
  <r>
    <x v="12"/>
  </r>
  <r>
    <x v="25"/>
  </r>
  <r>
    <x v="50"/>
  </r>
  <r>
    <x v="217"/>
  </r>
  <r>
    <x v="59"/>
  </r>
  <r>
    <x v="4"/>
  </r>
  <r>
    <x v="63"/>
  </r>
  <r>
    <x v="0"/>
  </r>
  <r>
    <x v="217"/>
  </r>
  <r>
    <x v="279"/>
  </r>
  <r>
    <x v="279"/>
  </r>
  <r>
    <x v="279"/>
  </r>
  <r>
    <x v="279"/>
  </r>
  <r>
    <x v="279"/>
  </r>
  <r>
    <x v="279"/>
  </r>
  <r>
    <x v="45"/>
  </r>
  <r>
    <x v="112"/>
  </r>
  <r>
    <x v="207"/>
  </r>
  <r>
    <x v="9"/>
  </r>
  <r>
    <x v="126"/>
  </r>
  <r>
    <x v="28"/>
  </r>
  <r>
    <x v="28"/>
  </r>
  <r>
    <x v="42"/>
  </r>
  <r>
    <x v="42"/>
  </r>
  <r>
    <x v="42"/>
  </r>
  <r>
    <x v="77"/>
  </r>
  <r>
    <x v="77"/>
  </r>
  <r>
    <x v="77"/>
  </r>
  <r>
    <x v="77"/>
  </r>
  <r>
    <x v="77"/>
  </r>
  <r>
    <x v="123"/>
  </r>
  <r>
    <x v="77"/>
  </r>
  <r>
    <x v="32"/>
  </r>
  <r>
    <x v="71"/>
  </r>
  <r>
    <x v="138"/>
  </r>
  <r>
    <x v="86"/>
  </r>
  <r>
    <x v="138"/>
  </r>
  <r>
    <x v="86"/>
  </r>
  <r>
    <x v="81"/>
  </r>
  <r>
    <x v="17"/>
  </r>
  <r>
    <x v="115"/>
  </r>
  <r>
    <x v="48"/>
  </r>
  <r>
    <x v="36"/>
  </r>
  <r>
    <x v="36"/>
  </r>
  <r>
    <x v="36"/>
  </r>
  <r>
    <x v="41"/>
  </r>
  <r>
    <x v="10"/>
  </r>
  <r>
    <x v="115"/>
  </r>
  <r>
    <x v="108"/>
  </r>
  <r>
    <x v="115"/>
  </r>
  <r>
    <x v="86"/>
  </r>
  <r>
    <x v="115"/>
  </r>
  <r>
    <x v="4"/>
  </r>
  <r>
    <x v="4"/>
  </r>
  <r>
    <x v="4"/>
  </r>
  <r>
    <x v="16"/>
  </r>
  <r>
    <x v="105"/>
  </r>
  <r>
    <x v="76"/>
  </r>
  <r>
    <x v="76"/>
  </r>
  <r>
    <x v="76"/>
  </r>
  <r>
    <x v="16"/>
  </r>
  <r>
    <x v="14"/>
  </r>
  <r>
    <x v="76"/>
  </r>
  <r>
    <x v="12"/>
  </r>
  <r>
    <x v="3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12"/>
  </r>
  <r>
    <x v="75"/>
  </r>
  <r>
    <x v="50"/>
  </r>
  <r>
    <x v="42"/>
  </r>
  <r>
    <x v="42"/>
  </r>
  <r>
    <x v="50"/>
  </r>
  <r>
    <x v="50"/>
  </r>
  <r>
    <x v="50"/>
  </r>
  <r>
    <x v="50"/>
  </r>
  <r>
    <x v="12"/>
  </r>
  <r>
    <x v="50"/>
  </r>
  <r>
    <x v="50"/>
  </r>
  <r>
    <x v="50"/>
  </r>
  <r>
    <x v="50"/>
  </r>
  <r>
    <x v="50"/>
  </r>
  <r>
    <x v="42"/>
  </r>
  <r>
    <x v="50"/>
  </r>
  <r>
    <x v="50"/>
  </r>
  <r>
    <x v="50"/>
  </r>
  <r>
    <x v="50"/>
  </r>
  <r>
    <x v="50"/>
  </r>
  <r>
    <x v="50"/>
  </r>
  <r>
    <x v="50"/>
  </r>
  <r>
    <x v="63"/>
  </r>
  <r>
    <x v="50"/>
  </r>
  <r>
    <x v="50"/>
  </r>
  <r>
    <x v="36"/>
  </r>
  <r>
    <x v="36"/>
  </r>
  <r>
    <x v="50"/>
  </r>
  <r>
    <x v="50"/>
  </r>
  <r>
    <x v="50"/>
  </r>
  <r>
    <x v="42"/>
  </r>
  <r>
    <x v="50"/>
  </r>
  <r>
    <x v="50"/>
  </r>
  <r>
    <x v="81"/>
  </r>
  <r>
    <x v="50"/>
  </r>
  <r>
    <x v="42"/>
  </r>
  <r>
    <x v="50"/>
  </r>
  <r>
    <x v="50"/>
  </r>
  <r>
    <x v="152"/>
  </r>
  <r>
    <x v="10"/>
  </r>
  <r>
    <x v="201"/>
  </r>
  <r>
    <x v="9"/>
  </r>
  <r>
    <x v="9"/>
  </r>
  <r>
    <x v="9"/>
  </r>
  <r>
    <x v="33"/>
  </r>
  <r>
    <x v="28"/>
  </r>
  <r>
    <x v="28"/>
  </r>
  <r>
    <x v="28"/>
  </r>
  <r>
    <x v="165"/>
  </r>
  <r>
    <x v="10"/>
  </r>
  <r>
    <x v="10"/>
  </r>
  <r>
    <x v="10"/>
  </r>
  <r>
    <x v="10"/>
  </r>
  <r>
    <x v="10"/>
  </r>
  <r>
    <x v="10"/>
  </r>
  <r>
    <x v="4"/>
  </r>
  <r>
    <x v="123"/>
  </r>
  <r>
    <x v="279"/>
  </r>
  <r>
    <x v="4"/>
  </r>
  <r>
    <x v="4"/>
  </r>
  <r>
    <x v="4"/>
  </r>
  <r>
    <x v="4"/>
  </r>
  <r>
    <x v="280"/>
  </r>
  <r>
    <x v="45"/>
  </r>
  <r>
    <x v="50"/>
  </r>
  <r>
    <x v="33"/>
  </r>
  <r>
    <x v="280"/>
  </r>
  <r>
    <x v="142"/>
  </r>
  <r>
    <x v="142"/>
  </r>
  <r>
    <x v="142"/>
  </r>
  <r>
    <x v="142"/>
  </r>
  <r>
    <x v="142"/>
  </r>
  <r>
    <x v="12"/>
  </r>
  <r>
    <x v="12"/>
  </r>
  <r>
    <x v="12"/>
  </r>
  <r>
    <x v="12"/>
  </r>
  <r>
    <x v="45"/>
  </r>
  <r>
    <x v="9"/>
  </r>
  <r>
    <x v="7"/>
  </r>
  <r>
    <x v="7"/>
  </r>
  <r>
    <x v="7"/>
  </r>
  <r>
    <x v="7"/>
  </r>
  <r>
    <x v="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13"/>
  </r>
  <r>
    <x v="113"/>
  </r>
  <r>
    <x v="81"/>
  </r>
  <r>
    <x v="113"/>
  </r>
  <r>
    <x v="113"/>
  </r>
  <r>
    <x v="144"/>
  </r>
  <r>
    <x v="144"/>
  </r>
  <r>
    <x v="48"/>
  </r>
  <r>
    <x v="144"/>
  </r>
  <r>
    <x v="144"/>
  </r>
  <r>
    <x v="72"/>
  </r>
  <r>
    <x v="10"/>
  </r>
  <r>
    <x v="9"/>
  </r>
  <r>
    <x v="37"/>
  </r>
  <r>
    <x v="165"/>
  </r>
  <r>
    <x v="138"/>
  </r>
  <r>
    <x v="16"/>
  </r>
  <r>
    <x v="10"/>
  </r>
  <r>
    <x v="10"/>
  </r>
  <r>
    <x v="123"/>
  </r>
  <r>
    <x v="48"/>
  </r>
  <r>
    <x v="205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3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8"/>
  </r>
  <r>
    <x v="28"/>
  </r>
  <r>
    <x v="36"/>
  </r>
  <r>
    <x v="36"/>
  </r>
  <r>
    <x v="36"/>
  </r>
  <r>
    <x v="36"/>
  </r>
  <r>
    <x v="36"/>
  </r>
  <r>
    <x v="12"/>
  </r>
  <r>
    <x v="12"/>
  </r>
  <r>
    <x v="36"/>
  </r>
  <r>
    <x v="36"/>
  </r>
  <r>
    <x v="12"/>
  </r>
  <r>
    <x v="36"/>
  </r>
  <r>
    <x v="36"/>
  </r>
  <r>
    <x v="36"/>
  </r>
  <r>
    <x v="36"/>
  </r>
  <r>
    <x v="36"/>
  </r>
  <r>
    <x v="36"/>
  </r>
  <r>
    <x v="12"/>
  </r>
  <r>
    <x v="36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00"/>
  </r>
  <r>
    <x v="100"/>
  </r>
  <r>
    <x v="12"/>
  </r>
  <r>
    <x v="165"/>
  </r>
  <r>
    <x v="165"/>
  </r>
  <r>
    <x v="7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7"/>
  </r>
  <r>
    <x v="12"/>
  </r>
  <r>
    <x v="12"/>
  </r>
  <r>
    <x v="17"/>
  </r>
  <r>
    <x v="12"/>
  </r>
  <r>
    <x v="4"/>
  </r>
  <r>
    <x v="4"/>
  </r>
  <r>
    <x v="123"/>
  </r>
  <r>
    <x v="23"/>
  </r>
  <r>
    <x v="77"/>
  </r>
  <r>
    <x v="77"/>
  </r>
  <r>
    <x v="77"/>
  </r>
  <r>
    <x v="10"/>
  </r>
  <r>
    <x v="36"/>
  </r>
  <r>
    <x v="36"/>
  </r>
  <r>
    <x v="72"/>
  </r>
  <r>
    <x v="36"/>
  </r>
  <r>
    <x v="14"/>
  </r>
  <r>
    <x v="12"/>
  </r>
  <r>
    <x v="36"/>
  </r>
  <r>
    <x v="36"/>
  </r>
  <r>
    <x v="11"/>
  </r>
  <r>
    <x v="171"/>
  </r>
  <r>
    <x v="77"/>
  </r>
  <r>
    <x v="11"/>
  </r>
  <r>
    <x v="14"/>
  </r>
  <r>
    <x v="32"/>
  </r>
  <r>
    <x v="37"/>
  </r>
  <r>
    <x v="34"/>
  </r>
  <r>
    <x v="3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3"/>
  </r>
  <r>
    <x v="10"/>
  </r>
  <r>
    <x v="10"/>
  </r>
  <r>
    <x v="10"/>
  </r>
  <r>
    <x v="31"/>
  </r>
  <r>
    <x v="48"/>
  </r>
  <r>
    <x v="4"/>
  </r>
  <r>
    <x v="4"/>
  </r>
  <r>
    <x v="112"/>
  </r>
  <r>
    <x v="113"/>
  </r>
  <r>
    <x v="113"/>
  </r>
  <r>
    <x v="113"/>
  </r>
  <r>
    <x v="80"/>
  </r>
  <r>
    <x v="4"/>
  </r>
  <r>
    <x v="4"/>
  </r>
  <r>
    <x v="4"/>
  </r>
  <r>
    <x v="76"/>
  </r>
  <r>
    <x v="12"/>
  </r>
  <r>
    <x v="12"/>
  </r>
  <r>
    <x v="12"/>
  </r>
  <r>
    <x v="12"/>
  </r>
  <r>
    <x v="163"/>
  </r>
  <r>
    <x v="14"/>
  </r>
  <r>
    <x v="139"/>
  </r>
  <r>
    <x v="78"/>
  </r>
  <r>
    <x v="78"/>
  </r>
  <r>
    <x v="78"/>
  </r>
  <r>
    <x v="139"/>
  </r>
  <r>
    <x v="78"/>
  </r>
  <r>
    <x v="78"/>
  </r>
  <r>
    <x v="78"/>
  </r>
  <r>
    <x v="78"/>
  </r>
  <r>
    <x v="78"/>
  </r>
  <r>
    <x v="78"/>
  </r>
  <r>
    <x v="78"/>
  </r>
  <r>
    <x v="36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"/>
  </r>
  <r>
    <x v="4"/>
  </r>
  <r>
    <x v="4"/>
  </r>
  <r>
    <x v="4"/>
  </r>
  <r>
    <x v="4"/>
  </r>
  <r>
    <x v="4"/>
  </r>
  <r>
    <x v="4"/>
  </r>
  <r>
    <x v="113"/>
  </r>
  <r>
    <x v="115"/>
  </r>
  <r>
    <x v="50"/>
  </r>
  <r>
    <x v="50"/>
  </r>
  <r>
    <x v="10"/>
  </r>
  <r>
    <x v="37"/>
  </r>
  <r>
    <x v="37"/>
  </r>
  <r>
    <x v="10"/>
  </r>
  <r>
    <x v="10"/>
  </r>
  <r>
    <x v="75"/>
  </r>
  <r>
    <x v="10"/>
  </r>
  <r>
    <x v="10"/>
  </r>
  <r>
    <x v="10"/>
  </r>
  <r>
    <x v="10"/>
  </r>
  <r>
    <x v="10"/>
  </r>
  <r>
    <x v="10"/>
  </r>
  <r>
    <x v="10"/>
  </r>
  <r>
    <x v="10"/>
  </r>
  <r>
    <x v="24"/>
  </r>
  <r>
    <x v="24"/>
  </r>
  <r>
    <x v="2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10"/>
  </r>
  <r>
    <x v="10"/>
  </r>
  <r>
    <x v="0"/>
  </r>
  <r>
    <x v="55"/>
  </r>
  <r>
    <x v="76"/>
  </r>
  <r>
    <x v="77"/>
  </r>
  <r>
    <x v="21"/>
  </r>
  <r>
    <x v="126"/>
  </r>
  <r>
    <x v="21"/>
  </r>
  <r>
    <x v="1"/>
  </r>
  <r>
    <x v="12"/>
  </r>
  <r>
    <x v="126"/>
  </r>
  <r>
    <x v="126"/>
  </r>
  <r>
    <x v="126"/>
  </r>
  <r>
    <x v="78"/>
  </r>
  <r>
    <x v="0"/>
  </r>
  <r>
    <x v="113"/>
  </r>
  <r>
    <x v="113"/>
  </r>
  <r>
    <x v="78"/>
  </r>
  <r>
    <x v="113"/>
  </r>
  <r>
    <x v="104"/>
  </r>
  <r>
    <x v="104"/>
  </r>
  <r>
    <x v="126"/>
  </r>
  <r>
    <x v="115"/>
  </r>
  <r>
    <x v="71"/>
  </r>
  <r>
    <x v="11"/>
  </r>
  <r>
    <x v="126"/>
  </r>
  <r>
    <x v="126"/>
  </r>
  <r>
    <x v="126"/>
  </r>
  <r>
    <x v="10"/>
  </r>
  <r>
    <x v="10"/>
  </r>
  <r>
    <x v="10"/>
  </r>
  <r>
    <x v="10"/>
  </r>
  <r>
    <x v="10"/>
  </r>
  <r>
    <x v="23"/>
  </r>
  <r>
    <x v="23"/>
  </r>
  <r>
    <x v="0"/>
  </r>
  <r>
    <x v="23"/>
  </r>
  <r>
    <x v="130"/>
  </r>
  <r>
    <x v="78"/>
  </r>
  <r>
    <x v="10"/>
  </r>
  <r>
    <x v="78"/>
  </r>
  <r>
    <x v="0"/>
  </r>
  <r>
    <x v="12"/>
  </r>
  <r>
    <x v="207"/>
  </r>
  <r>
    <x v="12"/>
  </r>
  <r>
    <x v="30"/>
  </r>
  <r>
    <x v="12"/>
  </r>
  <r>
    <x v="12"/>
  </r>
  <r>
    <x v="12"/>
  </r>
  <r>
    <x v="78"/>
  </r>
  <r>
    <x v="31"/>
  </r>
  <r>
    <x v="10"/>
  </r>
  <r>
    <x v="10"/>
  </r>
  <r>
    <x v="78"/>
  </r>
  <r>
    <x v="10"/>
  </r>
  <r>
    <x v="10"/>
  </r>
  <r>
    <x v="21"/>
  </r>
  <r>
    <x v="14"/>
  </r>
  <r>
    <x v="16"/>
  </r>
  <r>
    <x v="81"/>
  </r>
  <r>
    <x v="81"/>
  </r>
  <r>
    <x v="0"/>
  </r>
  <r>
    <x v="10"/>
  </r>
  <r>
    <x v="10"/>
  </r>
  <r>
    <x v="10"/>
  </r>
  <r>
    <x v="17"/>
  </r>
  <r>
    <x v="155"/>
  </r>
  <r>
    <x v="48"/>
  </r>
  <r>
    <x v="72"/>
  </r>
  <r>
    <x v="146"/>
  </r>
  <r>
    <x v="146"/>
  </r>
  <r>
    <x v="78"/>
  </r>
  <r>
    <x v="131"/>
  </r>
  <r>
    <x v="131"/>
  </r>
  <r>
    <x v="57"/>
  </r>
  <r>
    <x v="60"/>
  </r>
  <r>
    <x v="138"/>
  </r>
  <r>
    <x v="45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42"/>
  </r>
  <r>
    <x v="10"/>
  </r>
  <r>
    <x v="10"/>
  </r>
  <r>
    <x v="10"/>
  </r>
  <r>
    <x v="10"/>
  </r>
  <r>
    <x v="12"/>
  </r>
  <r>
    <x v="112"/>
  </r>
  <r>
    <x v="36"/>
  </r>
  <r>
    <x v="28"/>
  </r>
  <r>
    <x v="36"/>
  </r>
  <r>
    <x v="22"/>
  </r>
  <r>
    <x v="22"/>
  </r>
  <r>
    <x v="78"/>
  </r>
  <r>
    <x v="36"/>
  </r>
  <r>
    <x v="36"/>
  </r>
  <r>
    <x v="10"/>
  </r>
  <r>
    <x v="141"/>
  </r>
  <r>
    <x v="78"/>
  </r>
  <r>
    <x v="36"/>
  </r>
  <r>
    <x v="12"/>
  </r>
  <r>
    <x v="12"/>
  </r>
  <r>
    <x v="22"/>
  </r>
  <r>
    <x v="12"/>
  </r>
  <r>
    <x v="22"/>
  </r>
  <r>
    <x v="12"/>
  </r>
  <r>
    <x v="76"/>
  </r>
  <r>
    <x v="12"/>
  </r>
  <r>
    <x v="0"/>
  </r>
  <r>
    <x v="0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8"/>
  </r>
  <r>
    <x v="24"/>
  </r>
  <r>
    <x v="21"/>
  </r>
  <r>
    <x v="24"/>
  </r>
  <r>
    <x v="24"/>
  </r>
  <r>
    <x v="52"/>
  </r>
  <r>
    <x v="24"/>
  </r>
  <r>
    <x v="12"/>
  </r>
  <r>
    <x v="165"/>
  </r>
  <r>
    <x v="72"/>
  </r>
  <r>
    <x v="217"/>
  </r>
  <r>
    <x v="29"/>
  </r>
  <r>
    <x v="217"/>
  </r>
  <r>
    <x v="217"/>
  </r>
  <r>
    <x v="217"/>
  </r>
  <r>
    <x v="48"/>
  </r>
  <r>
    <x v="48"/>
  </r>
  <r>
    <x v="48"/>
  </r>
  <r>
    <x v="184"/>
  </r>
  <r>
    <x v="48"/>
  </r>
  <r>
    <x v="104"/>
  </r>
  <r>
    <x v="199"/>
  </r>
  <r>
    <x v="27"/>
  </r>
  <r>
    <x v="102"/>
  </r>
  <r>
    <x v="25"/>
  </r>
  <r>
    <x v="76"/>
  </r>
  <r>
    <x v="76"/>
  </r>
  <r>
    <x v="76"/>
  </r>
  <r>
    <x v="0"/>
  </r>
  <r>
    <x v="62"/>
  </r>
  <r>
    <x v="4"/>
  </r>
  <r>
    <x v="4"/>
  </r>
  <r>
    <x v="4"/>
  </r>
  <r>
    <x v="76"/>
  </r>
  <r>
    <x v="30"/>
  </r>
  <r>
    <x v="75"/>
  </r>
  <r>
    <x v="240"/>
  </r>
  <r>
    <x v="35"/>
  </r>
  <r>
    <x v="12"/>
  </r>
  <r>
    <x v="75"/>
  </r>
  <r>
    <x v="72"/>
  </r>
  <r>
    <x v="72"/>
  </r>
  <r>
    <x v="85"/>
  </r>
  <r>
    <x v="12"/>
  </r>
  <r>
    <x v="139"/>
  </r>
  <r>
    <x v="139"/>
  </r>
  <r>
    <x v="139"/>
  </r>
  <r>
    <x v="139"/>
  </r>
  <r>
    <x v="139"/>
  </r>
  <r>
    <x v="139"/>
  </r>
  <r>
    <x v="139"/>
  </r>
  <r>
    <x v="217"/>
  </r>
  <r>
    <x v="217"/>
  </r>
  <r>
    <x v="31"/>
  </r>
  <r>
    <x v="217"/>
  </r>
  <r>
    <x v="34"/>
  </r>
  <r>
    <x v="34"/>
  </r>
  <r>
    <x v="217"/>
  </r>
  <r>
    <x v="144"/>
  </r>
  <r>
    <x v="144"/>
  </r>
  <r>
    <x v="144"/>
  </r>
  <r>
    <x v="48"/>
  </r>
  <r>
    <x v="10"/>
  </r>
  <r>
    <x v="123"/>
  </r>
  <r>
    <x v="36"/>
  </r>
  <r>
    <x v="36"/>
  </r>
  <r>
    <x v="10"/>
  </r>
  <r>
    <x v="7"/>
  </r>
  <r>
    <x v="251"/>
  </r>
  <r>
    <x v="10"/>
  </r>
  <r>
    <x v="76"/>
  </r>
  <r>
    <x v="10"/>
  </r>
  <r>
    <x v="8"/>
  </r>
  <r>
    <x v="12"/>
  </r>
  <r>
    <x v="89"/>
  </r>
  <r>
    <x v="10"/>
  </r>
  <r>
    <x v="36"/>
  </r>
  <r>
    <x v="89"/>
  </r>
  <r>
    <x v="36"/>
  </r>
  <r>
    <x v="89"/>
  </r>
  <r>
    <x v="36"/>
  </r>
  <r>
    <x v="89"/>
  </r>
  <r>
    <x v="89"/>
  </r>
  <r>
    <x v="36"/>
  </r>
  <r>
    <x v="19"/>
  </r>
  <r>
    <x v="4"/>
  </r>
  <r>
    <x v="4"/>
  </r>
  <r>
    <x v="12"/>
  </r>
  <r>
    <x v="4"/>
  </r>
  <r>
    <x v="10"/>
  </r>
  <r>
    <x v="4"/>
  </r>
  <r>
    <x v="48"/>
  </r>
  <r>
    <x v="57"/>
  </r>
  <r>
    <x v="87"/>
  </r>
  <r>
    <x v="29"/>
  </r>
  <r>
    <x v="29"/>
  </r>
  <r>
    <x v="45"/>
  </r>
  <r>
    <x v="123"/>
  </r>
  <r>
    <x v="123"/>
  </r>
  <r>
    <x v="123"/>
  </r>
  <r>
    <x v="123"/>
  </r>
  <r>
    <x v="123"/>
  </r>
  <r>
    <x v="123"/>
  </r>
  <r>
    <x v="123"/>
  </r>
  <r>
    <x v="123"/>
  </r>
  <r>
    <x v="72"/>
  </r>
  <r>
    <x v="123"/>
  </r>
  <r>
    <x v="123"/>
  </r>
  <r>
    <x v="123"/>
  </r>
  <r>
    <x v="123"/>
  </r>
  <r>
    <x v="123"/>
  </r>
  <r>
    <x v="123"/>
  </r>
  <r>
    <x v="123"/>
  </r>
  <r>
    <x v="12"/>
  </r>
  <r>
    <x v="162"/>
  </r>
  <r>
    <x v="45"/>
  </r>
  <r>
    <x v="16"/>
  </r>
  <r>
    <x v="6"/>
  </r>
  <r>
    <x v="16"/>
  </r>
  <r>
    <x v="36"/>
  </r>
  <r>
    <x v="33"/>
  </r>
  <r>
    <x v="36"/>
  </r>
  <r>
    <x v="36"/>
  </r>
  <r>
    <x v="36"/>
  </r>
  <r>
    <x v="10"/>
  </r>
  <r>
    <x v="36"/>
  </r>
  <r>
    <x v="36"/>
  </r>
  <r>
    <x v="12"/>
  </r>
  <r>
    <x v="36"/>
  </r>
  <r>
    <x v="36"/>
  </r>
  <r>
    <x v="36"/>
  </r>
  <r>
    <x v="28"/>
  </r>
  <r>
    <x v="36"/>
  </r>
  <r>
    <x v="36"/>
  </r>
  <r>
    <x v="36"/>
  </r>
  <r>
    <x v="36"/>
  </r>
  <r>
    <x v="12"/>
  </r>
  <r>
    <x v="0"/>
  </r>
  <r>
    <x v="281"/>
  </r>
  <r>
    <x v="26"/>
  </r>
  <r>
    <x v="4"/>
  </r>
  <r>
    <x v="152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8"/>
  </r>
  <r>
    <x v="83"/>
  </r>
  <r>
    <x v="28"/>
  </r>
  <r>
    <x v="8"/>
  </r>
  <r>
    <x v="42"/>
  </r>
  <r>
    <x v="152"/>
  </r>
  <r>
    <x v="42"/>
  </r>
  <r>
    <x v="42"/>
  </r>
  <r>
    <x v="42"/>
  </r>
  <r>
    <x v="42"/>
  </r>
  <r>
    <x v="12"/>
  </r>
  <r>
    <x v="42"/>
  </r>
  <r>
    <x v="42"/>
  </r>
  <r>
    <x v="48"/>
  </r>
  <r>
    <x v="48"/>
  </r>
  <r>
    <x v="25"/>
  </r>
  <r>
    <x v="0"/>
  </r>
  <r>
    <x v="10"/>
  </r>
  <r>
    <x v="10"/>
  </r>
  <r>
    <x v="10"/>
  </r>
  <r>
    <x v="10"/>
  </r>
  <r>
    <x v="10"/>
  </r>
  <r>
    <x v="10"/>
  </r>
  <r>
    <x v="56"/>
  </r>
  <r>
    <x v="16"/>
  </r>
  <r>
    <x v="56"/>
  </r>
  <r>
    <x v="16"/>
  </r>
  <r>
    <x v="113"/>
  </r>
  <r>
    <x v="14"/>
  </r>
  <r>
    <x v="113"/>
  </r>
  <r>
    <x v="27"/>
  </r>
  <r>
    <x v="10"/>
  </r>
  <r>
    <x v="10"/>
  </r>
  <r>
    <x v="10"/>
  </r>
  <r>
    <x v="10"/>
  </r>
  <r>
    <x v="14"/>
  </r>
  <r>
    <x v="16"/>
  </r>
  <r>
    <x v="14"/>
  </r>
  <r>
    <x v="148"/>
  </r>
  <r>
    <x v="12"/>
  </r>
  <r>
    <x v="55"/>
  </r>
  <r>
    <x v="2"/>
  </r>
  <r>
    <x v="2"/>
  </r>
  <r>
    <x v="11"/>
  </r>
  <r>
    <x v="14"/>
  </r>
  <r>
    <x v="31"/>
  </r>
  <r>
    <x v="48"/>
  </r>
  <r>
    <x v="234"/>
  </r>
  <r>
    <x v="76"/>
  </r>
  <r>
    <x v="76"/>
  </r>
  <r>
    <x v="21"/>
  </r>
  <r>
    <x v="21"/>
  </r>
  <r>
    <x v="12"/>
  </r>
  <r>
    <x v="126"/>
  </r>
  <r>
    <x v="126"/>
  </r>
  <r>
    <x v="31"/>
  </r>
  <r>
    <x v="78"/>
  </r>
  <r>
    <x v="93"/>
  </r>
  <r>
    <x v="100"/>
  </r>
  <r>
    <x v="76"/>
  </r>
  <r>
    <x v="48"/>
  </r>
  <r>
    <x v="152"/>
  </r>
  <r>
    <x v="26"/>
  </r>
  <r>
    <x v="49"/>
  </r>
  <r>
    <x v="4"/>
  </r>
  <r>
    <x v="31"/>
  </r>
  <r>
    <x v="31"/>
  </r>
  <r>
    <x v="3"/>
  </r>
  <r>
    <x v="104"/>
  </r>
  <r>
    <x v="31"/>
  </r>
  <r>
    <x v="14"/>
  </r>
  <r>
    <x v="4"/>
  </r>
  <r>
    <x v="0"/>
  </r>
  <r>
    <x v="57"/>
  </r>
  <r>
    <x v="10"/>
  </r>
  <r>
    <x v="10"/>
  </r>
  <r>
    <x v="35"/>
  </r>
  <r>
    <x v="10"/>
  </r>
  <r>
    <x v="152"/>
  </r>
  <r>
    <x v="3"/>
  </r>
  <r>
    <x v="3"/>
  </r>
  <r>
    <x v="3"/>
  </r>
  <r>
    <x v="3"/>
  </r>
  <r>
    <x v="28"/>
  </r>
  <r>
    <x v="28"/>
  </r>
  <r>
    <x v="2"/>
  </r>
  <r>
    <x v="115"/>
  </r>
  <r>
    <x v="45"/>
  </r>
  <r>
    <x v="10"/>
  </r>
  <r>
    <x v="10"/>
  </r>
  <r>
    <x v="10"/>
  </r>
  <r>
    <x v="10"/>
  </r>
  <r>
    <x v="10"/>
  </r>
  <r>
    <x v="10"/>
  </r>
  <r>
    <x v="10"/>
  </r>
  <r>
    <x v="0"/>
  </r>
  <r>
    <x v="12"/>
  </r>
  <r>
    <x v="24"/>
  </r>
  <r>
    <x v="48"/>
  </r>
  <r>
    <x v="10"/>
  </r>
  <r>
    <x v="12"/>
  </r>
  <r>
    <x v="123"/>
  </r>
  <r>
    <x v="123"/>
  </r>
  <r>
    <x v="123"/>
  </r>
  <r>
    <x v="42"/>
  </r>
  <r>
    <x v="11"/>
  </r>
  <r>
    <x v="11"/>
  </r>
  <r>
    <x v="12"/>
  </r>
  <r>
    <x v="17"/>
  </r>
  <r>
    <x v="123"/>
  </r>
  <r>
    <x v="123"/>
  </r>
  <r>
    <x v="76"/>
  </r>
  <r>
    <x v="42"/>
  </r>
  <r>
    <x v="28"/>
  </r>
  <r>
    <x v="28"/>
  </r>
  <r>
    <x v="28"/>
  </r>
  <r>
    <x v="71"/>
  </r>
  <r>
    <x v="127"/>
  </r>
  <r>
    <x v="20"/>
  </r>
  <r>
    <x v="10"/>
  </r>
  <r>
    <x v="10"/>
  </r>
  <r>
    <x v="199"/>
  </r>
  <r>
    <x v="2"/>
  </r>
  <r>
    <x v="173"/>
  </r>
  <r>
    <x v="4"/>
  </r>
  <r>
    <x v="10"/>
  </r>
  <r>
    <x v="17"/>
  </r>
  <r>
    <x v="138"/>
  </r>
  <r>
    <x v="10"/>
  </r>
  <r>
    <x v="70"/>
  </r>
  <r>
    <x v="31"/>
  </r>
  <r>
    <x v="76"/>
  </r>
  <r>
    <x v="4"/>
  </r>
  <r>
    <x v="56"/>
  </r>
  <r>
    <x v="10"/>
  </r>
  <r>
    <x v="10"/>
  </r>
  <r>
    <x v="87"/>
  </r>
  <r>
    <x v="24"/>
  </r>
  <r>
    <x v="1"/>
  </r>
  <r>
    <x v="29"/>
  </r>
  <r>
    <x v="10"/>
  </r>
  <r>
    <x v="123"/>
  </r>
  <r>
    <x v="10"/>
  </r>
  <r>
    <x v="10"/>
  </r>
  <r>
    <x v="10"/>
  </r>
  <r>
    <x v="34"/>
  </r>
  <r>
    <x v="16"/>
  </r>
  <r>
    <x v="16"/>
  </r>
  <r>
    <x v="16"/>
  </r>
  <r>
    <x v="4"/>
  </r>
  <r>
    <x v="4"/>
  </r>
  <r>
    <x v="152"/>
  </r>
  <r>
    <x v="152"/>
  </r>
  <r>
    <x v="19"/>
  </r>
  <r>
    <x v="9"/>
  </r>
  <r>
    <x v="31"/>
  </r>
  <r>
    <x v="12"/>
  </r>
  <r>
    <x v="10"/>
  </r>
  <r>
    <x v="12"/>
  </r>
  <r>
    <x v="63"/>
  </r>
  <r>
    <x v="7"/>
  </r>
  <r>
    <x v="7"/>
  </r>
  <r>
    <x v="16"/>
  </r>
  <r>
    <x v="16"/>
  </r>
  <r>
    <x v="16"/>
  </r>
  <r>
    <x v="16"/>
  </r>
  <r>
    <x v="123"/>
  </r>
  <r>
    <x v="123"/>
  </r>
  <r>
    <x v="16"/>
  </r>
  <r>
    <x v="16"/>
  </r>
  <r>
    <x v="4"/>
  </r>
  <r>
    <x v="4"/>
  </r>
  <r>
    <x v="4"/>
  </r>
  <r>
    <x v="4"/>
  </r>
  <r>
    <x v="16"/>
  </r>
  <r>
    <x v="16"/>
  </r>
  <r>
    <x v="4"/>
  </r>
  <r>
    <x v="4"/>
  </r>
  <r>
    <x v="16"/>
  </r>
  <r>
    <x v="16"/>
  </r>
  <r>
    <x v="123"/>
  </r>
  <r>
    <x v="123"/>
  </r>
  <r>
    <x v="4"/>
  </r>
  <r>
    <x v="21"/>
  </r>
  <r>
    <x v="123"/>
  </r>
  <r>
    <x v="123"/>
  </r>
  <r>
    <x v="16"/>
  </r>
  <r>
    <x v="16"/>
  </r>
  <r>
    <x v="16"/>
  </r>
  <r>
    <x v="4"/>
  </r>
  <r>
    <x v="240"/>
  </r>
  <r>
    <x v="123"/>
  </r>
  <r>
    <x v="4"/>
  </r>
  <r>
    <x v="12"/>
  </r>
  <r>
    <x v="22"/>
  </r>
  <r>
    <x v="79"/>
  </r>
  <r>
    <x v="123"/>
  </r>
  <r>
    <x v="123"/>
  </r>
  <r>
    <x v="123"/>
  </r>
  <r>
    <x v="12"/>
  </r>
  <r>
    <x v="4"/>
  </r>
  <r>
    <x v="12"/>
  </r>
  <r>
    <x v="12"/>
  </r>
  <r>
    <x v="12"/>
  </r>
  <r>
    <x v="4"/>
  </r>
  <r>
    <x v="4"/>
  </r>
  <r>
    <x v="87"/>
  </r>
  <r>
    <x v="10"/>
  </r>
  <r>
    <x v="10"/>
  </r>
  <r>
    <x v="10"/>
  </r>
  <r>
    <x v="12"/>
  </r>
  <r>
    <x v="10"/>
  </r>
  <r>
    <x v="17"/>
  </r>
  <r>
    <x v="19"/>
  </r>
  <r>
    <x v="42"/>
  </r>
  <r>
    <x v="12"/>
  </r>
  <r>
    <x v="42"/>
  </r>
  <r>
    <x v="160"/>
  </r>
  <r>
    <x v="10"/>
  </r>
  <r>
    <x v="10"/>
  </r>
  <r>
    <x v="10"/>
  </r>
  <r>
    <x v="10"/>
  </r>
  <r>
    <x v="10"/>
  </r>
  <r>
    <x v="10"/>
  </r>
  <r>
    <x v="123"/>
  </r>
  <r>
    <x v="84"/>
  </r>
  <r>
    <x v="16"/>
  </r>
  <r>
    <x v="28"/>
  </r>
  <r>
    <x v="28"/>
  </r>
  <r>
    <x v="28"/>
  </r>
  <r>
    <x v="28"/>
  </r>
  <r>
    <x v="19"/>
  </r>
  <r>
    <x v="160"/>
  </r>
  <r>
    <x v="152"/>
  </r>
  <r>
    <x v="10"/>
  </r>
  <r>
    <x v="25"/>
  </r>
  <r>
    <x v="160"/>
  </r>
  <r>
    <x v="123"/>
  </r>
  <r>
    <x v="71"/>
  </r>
  <r>
    <x v="0"/>
  </r>
  <r>
    <x v="11"/>
  </r>
  <r>
    <x v="17"/>
  </r>
  <r>
    <x v="28"/>
  </r>
  <r>
    <x v="10"/>
  </r>
  <r>
    <x v="50"/>
  </r>
  <r>
    <x v="138"/>
  </r>
  <r>
    <x v="10"/>
  </r>
  <r>
    <x v="89"/>
  </r>
  <r>
    <x v="42"/>
  </r>
  <r>
    <x v="42"/>
  </r>
  <r>
    <x v="24"/>
  </r>
  <r>
    <x v="24"/>
  </r>
  <r>
    <x v="4"/>
  </r>
  <r>
    <x v="123"/>
  </r>
  <r>
    <x v="57"/>
  </r>
  <r>
    <x v="12"/>
  </r>
  <r>
    <x v="14"/>
  </r>
  <r>
    <x v="12"/>
  </r>
  <r>
    <x v="115"/>
  </r>
  <r>
    <x v="63"/>
  </r>
  <r>
    <x v="72"/>
  </r>
  <r>
    <x v="123"/>
  </r>
  <r>
    <x v="123"/>
  </r>
  <r>
    <x v="123"/>
  </r>
  <r>
    <x v="4"/>
  </r>
  <r>
    <x v="4"/>
  </r>
  <r>
    <x v="4"/>
  </r>
  <r>
    <x v="149"/>
  </r>
  <r>
    <x v="149"/>
  </r>
  <r>
    <x v="149"/>
  </r>
  <r>
    <x v="149"/>
  </r>
  <r>
    <x v="78"/>
  </r>
  <r>
    <x v="123"/>
  </r>
  <r>
    <x v="123"/>
  </r>
  <r>
    <x v="165"/>
  </r>
  <r>
    <x v="0"/>
  </r>
  <r>
    <x v="4"/>
  </r>
  <r>
    <x v="150"/>
  </r>
  <r>
    <x v="14"/>
  </r>
  <r>
    <x v="14"/>
  </r>
  <r>
    <x v="141"/>
  </r>
  <r>
    <x v="25"/>
  </r>
  <r>
    <x v="10"/>
  </r>
  <r>
    <x v="48"/>
  </r>
  <r>
    <x v="63"/>
  </r>
  <r>
    <x v="63"/>
  </r>
  <r>
    <x v="63"/>
  </r>
  <r>
    <x v="63"/>
  </r>
  <r>
    <x v="12"/>
  </r>
  <r>
    <x v="76"/>
  </r>
  <r>
    <x v="28"/>
  </r>
  <r>
    <x v="138"/>
  </r>
  <r>
    <x v="138"/>
  </r>
  <r>
    <x v="1"/>
  </r>
  <r>
    <x v="4"/>
  </r>
  <r>
    <x v="4"/>
  </r>
  <r>
    <x v="72"/>
  </r>
  <r>
    <x v="4"/>
  </r>
  <r>
    <x v="138"/>
  </r>
  <r>
    <x v="10"/>
  </r>
  <r>
    <x v="10"/>
  </r>
  <r>
    <x v="10"/>
  </r>
  <r>
    <x v="10"/>
  </r>
  <r>
    <x v="144"/>
  </r>
  <r>
    <x v="10"/>
  </r>
  <r>
    <x v="10"/>
  </r>
  <r>
    <x v="10"/>
  </r>
  <r>
    <x v="10"/>
  </r>
  <r>
    <x v="10"/>
  </r>
  <r>
    <x v="10"/>
  </r>
  <r>
    <x v="7"/>
  </r>
  <r>
    <x v="7"/>
  </r>
  <r>
    <x v="16"/>
  </r>
  <r>
    <x v="16"/>
  </r>
  <r>
    <x v="16"/>
  </r>
  <r>
    <x v="16"/>
  </r>
  <r>
    <x v="16"/>
  </r>
  <r>
    <x v="123"/>
  </r>
  <r>
    <x v="123"/>
  </r>
  <r>
    <x v="123"/>
  </r>
  <r>
    <x v="152"/>
  </r>
  <r>
    <x v="152"/>
  </r>
  <r>
    <x v="152"/>
  </r>
  <r>
    <x v="123"/>
  </r>
  <r>
    <x v="123"/>
  </r>
  <r>
    <x v="123"/>
  </r>
  <r>
    <x v="123"/>
  </r>
  <r>
    <x v="48"/>
  </r>
  <r>
    <x v="10"/>
  </r>
  <r>
    <x v="1"/>
  </r>
  <r>
    <x v="1"/>
  </r>
  <r>
    <x v="1"/>
  </r>
  <r>
    <x v="1"/>
  </r>
  <r>
    <x v="1"/>
  </r>
  <r>
    <x v="1"/>
  </r>
  <r>
    <x v="7"/>
  </r>
  <r>
    <x v="7"/>
  </r>
  <r>
    <x v="7"/>
  </r>
  <r>
    <x v="1"/>
  </r>
  <r>
    <x v="1"/>
  </r>
  <r>
    <x v="1"/>
  </r>
  <r>
    <x v="1"/>
  </r>
  <r>
    <x v="1"/>
  </r>
  <r>
    <x v="1"/>
  </r>
  <r>
    <x v="10"/>
  </r>
  <r>
    <x v="10"/>
  </r>
  <r>
    <x v="10"/>
  </r>
  <r>
    <x v="10"/>
  </r>
  <r>
    <x v="10"/>
  </r>
  <r>
    <x v="10"/>
  </r>
  <r>
    <x v="1"/>
  </r>
  <r>
    <x v="1"/>
  </r>
  <r>
    <x v="10"/>
  </r>
  <r>
    <x v="10"/>
  </r>
  <r>
    <x v="34"/>
  </r>
  <r>
    <x v="12"/>
  </r>
  <r>
    <x v="10"/>
  </r>
  <r>
    <x v="10"/>
  </r>
  <r>
    <x v="138"/>
  </r>
  <r>
    <x v="138"/>
  </r>
  <r>
    <x v="138"/>
  </r>
  <r>
    <x v="138"/>
  </r>
  <r>
    <x v="138"/>
  </r>
  <r>
    <x v="50"/>
  </r>
  <r>
    <x v="138"/>
  </r>
  <r>
    <x v="138"/>
  </r>
  <r>
    <x v="138"/>
  </r>
  <r>
    <x v="138"/>
  </r>
  <r>
    <x v="138"/>
  </r>
  <r>
    <x v="138"/>
  </r>
  <r>
    <x v="10"/>
  </r>
  <r>
    <x v="10"/>
  </r>
  <r>
    <x v="10"/>
  </r>
  <r>
    <x v="10"/>
  </r>
  <r>
    <x v="10"/>
  </r>
  <r>
    <x v="10"/>
  </r>
  <r>
    <x v="10"/>
  </r>
  <r>
    <x v="240"/>
  </r>
  <r>
    <x v="4"/>
  </r>
  <r>
    <x v="4"/>
  </r>
  <r>
    <x v="4"/>
  </r>
  <r>
    <x v="4"/>
  </r>
  <r>
    <x v="4"/>
  </r>
  <r>
    <x v="123"/>
  </r>
  <r>
    <x v="123"/>
  </r>
  <r>
    <x v="123"/>
  </r>
  <r>
    <x v="123"/>
  </r>
  <r>
    <x v="138"/>
  </r>
  <r>
    <x v="138"/>
  </r>
  <r>
    <x v="138"/>
  </r>
  <r>
    <x v="123"/>
  </r>
  <r>
    <x v="123"/>
  </r>
  <r>
    <x v="1"/>
  </r>
  <r>
    <x v="1"/>
  </r>
  <r>
    <x v="138"/>
  </r>
  <r>
    <x v="12"/>
  </r>
  <r>
    <x v="12"/>
  </r>
  <r>
    <x v="63"/>
  </r>
  <r>
    <x v="1"/>
  </r>
  <r>
    <x v="42"/>
  </r>
  <r>
    <x v="16"/>
  </r>
  <r>
    <x v="71"/>
  </r>
  <r>
    <x v="51"/>
  </r>
  <r>
    <x v="25"/>
  </r>
  <r>
    <x v="138"/>
  </r>
  <r>
    <x v="4"/>
  </r>
  <r>
    <x v="28"/>
  </r>
  <r>
    <x v="7"/>
  </r>
  <r>
    <x v="48"/>
  </r>
  <r>
    <x v="0"/>
  </r>
  <r>
    <x v="0"/>
  </r>
  <r>
    <x v="0"/>
  </r>
  <r>
    <x v="87"/>
  </r>
  <r>
    <x v="16"/>
  </r>
  <r>
    <x v="48"/>
  </r>
  <r>
    <x v="12"/>
  </r>
  <r>
    <x v="277"/>
  </r>
  <r>
    <x v="4"/>
  </r>
  <r>
    <x v="1"/>
  </r>
  <r>
    <x v="227"/>
  </r>
  <r>
    <x v="45"/>
  </r>
  <r>
    <x v="28"/>
  </r>
  <r>
    <x v="4"/>
  </r>
  <r>
    <x v="4"/>
  </r>
  <r>
    <x v="72"/>
  </r>
  <r>
    <x v="6"/>
  </r>
  <r>
    <x v="76"/>
  </r>
  <r>
    <x v="11"/>
  </r>
  <r>
    <x v="4"/>
  </r>
  <r>
    <x v="76"/>
  </r>
  <r>
    <x v="28"/>
  </r>
  <r>
    <x v="12"/>
  </r>
  <r>
    <x v="12"/>
  </r>
  <r>
    <x v="77"/>
  </r>
  <r>
    <x v="10"/>
  </r>
  <r>
    <x v="77"/>
  </r>
  <r>
    <x v="77"/>
  </r>
  <r>
    <x v="51"/>
  </r>
  <r>
    <x v="3"/>
  </r>
  <r>
    <x v="40"/>
  </r>
  <r>
    <x v="1"/>
  </r>
  <r>
    <x v="188"/>
  </r>
  <r>
    <x v="4"/>
  </r>
  <r>
    <x v="103"/>
  </r>
  <r>
    <x v="16"/>
  </r>
  <r>
    <x v="37"/>
  </r>
  <r>
    <x v="131"/>
  </r>
  <r>
    <x v="241"/>
  </r>
  <r>
    <x v="63"/>
  </r>
  <r>
    <x v="63"/>
  </r>
  <r>
    <x v="7"/>
  </r>
  <r>
    <x v="141"/>
  </r>
  <r>
    <x v="141"/>
  </r>
  <r>
    <x v="141"/>
  </r>
  <r>
    <x v="141"/>
  </r>
  <r>
    <x v="141"/>
  </r>
  <r>
    <x v="141"/>
  </r>
  <r>
    <x v="37"/>
  </r>
  <r>
    <x v="56"/>
  </r>
  <r>
    <x v="12"/>
  </r>
  <r>
    <x v="0"/>
  </r>
  <r>
    <x v="16"/>
  </r>
  <r>
    <x v="10"/>
  </r>
  <r>
    <x v="4"/>
  </r>
  <r>
    <x v="141"/>
  </r>
  <r>
    <x v="0"/>
  </r>
  <r>
    <x v="72"/>
  </r>
  <r>
    <x v="7"/>
  </r>
  <r>
    <x v="141"/>
  </r>
  <r>
    <x v="7"/>
  </r>
  <r>
    <x v="33"/>
  </r>
  <r>
    <x v="76"/>
  </r>
  <r>
    <x v="10"/>
  </r>
  <r>
    <x v="42"/>
  </r>
  <r>
    <x v="42"/>
  </r>
  <r>
    <x v="42"/>
  </r>
  <r>
    <x v="112"/>
  </r>
  <r>
    <x v="12"/>
  </r>
  <r>
    <x v="12"/>
  </r>
  <r>
    <x v="78"/>
  </r>
  <r>
    <x v="78"/>
  </r>
  <r>
    <x v="78"/>
  </r>
  <r>
    <x v="141"/>
  </r>
  <r>
    <x v="141"/>
  </r>
  <r>
    <x v="141"/>
  </r>
  <r>
    <x v="141"/>
  </r>
  <r>
    <x v="152"/>
  </r>
  <r>
    <x v="0"/>
  </r>
  <r>
    <x v="152"/>
  </r>
  <r>
    <x v="152"/>
  </r>
  <r>
    <x v="10"/>
  </r>
  <r>
    <x v="48"/>
  </r>
  <r>
    <x v="4"/>
  </r>
  <r>
    <x v="0"/>
  </r>
  <r>
    <x v="123"/>
  </r>
  <r>
    <x v="7"/>
  </r>
  <r>
    <x v="14"/>
  </r>
  <r>
    <x v="78"/>
  </r>
  <r>
    <x v="4"/>
  </r>
  <r>
    <x v="12"/>
  </r>
  <r>
    <x v="23"/>
  </r>
  <r>
    <x v="76"/>
  </r>
  <r>
    <x v="12"/>
  </r>
  <r>
    <x v="12"/>
  </r>
  <r>
    <x v="87"/>
  </r>
  <r>
    <x v="87"/>
  </r>
  <r>
    <x v="87"/>
  </r>
  <r>
    <x v="55"/>
  </r>
  <r>
    <x v="17"/>
  </r>
  <r>
    <x v="10"/>
  </r>
  <r>
    <x v="10"/>
  </r>
  <r>
    <x v="12"/>
  </r>
  <r>
    <x v="42"/>
  </r>
  <r>
    <x v="42"/>
  </r>
  <r>
    <x v="42"/>
  </r>
  <r>
    <x v="12"/>
  </r>
  <r>
    <x v="79"/>
  </r>
  <r>
    <x v="79"/>
  </r>
  <r>
    <x v="10"/>
  </r>
  <r>
    <x v="12"/>
  </r>
  <r>
    <x v="79"/>
  </r>
  <r>
    <x v="42"/>
  </r>
  <r>
    <x v="138"/>
  </r>
  <r>
    <x v="22"/>
  </r>
  <r>
    <x v="22"/>
  </r>
  <r>
    <x v="10"/>
  </r>
  <r>
    <x v="12"/>
  </r>
  <r>
    <x v="87"/>
  </r>
  <r>
    <x v="0"/>
  </r>
  <r>
    <x v="146"/>
  </r>
  <r>
    <x v="10"/>
  </r>
  <r>
    <x v="12"/>
  </r>
  <r>
    <x v="87"/>
  </r>
  <r>
    <x v="50"/>
  </r>
  <r>
    <x v="42"/>
  </r>
  <r>
    <x v="56"/>
  </r>
  <r>
    <x v="12"/>
  </r>
  <r>
    <x v="71"/>
  </r>
  <r>
    <x v="42"/>
  </r>
  <r>
    <x v="42"/>
  </r>
  <r>
    <x v="42"/>
  </r>
  <r>
    <x v="42"/>
  </r>
  <r>
    <x v="48"/>
  </r>
  <r>
    <x v="0"/>
  </r>
  <r>
    <x v="4"/>
  </r>
  <r>
    <x v="10"/>
  </r>
  <r>
    <x v="12"/>
  </r>
  <r>
    <x v="12"/>
  </r>
  <r>
    <x v="10"/>
  </r>
  <r>
    <x v="77"/>
  </r>
  <r>
    <x v="123"/>
  </r>
  <r>
    <x v="48"/>
  </r>
  <r>
    <x v="123"/>
  </r>
  <r>
    <x v="16"/>
  </r>
  <r>
    <x v="53"/>
  </r>
  <r>
    <x v="0"/>
  </r>
  <r>
    <x v="12"/>
  </r>
  <r>
    <x v="68"/>
  </r>
  <r>
    <x v="0"/>
  </r>
  <r>
    <x v="16"/>
  </r>
  <r>
    <x v="131"/>
  </r>
  <r>
    <x v="81"/>
  </r>
  <r>
    <x v="76"/>
  </r>
  <r>
    <x v="16"/>
  </r>
  <r>
    <x v="28"/>
  </r>
  <r>
    <x v="7"/>
  </r>
  <r>
    <x v="6"/>
  </r>
  <r>
    <x v="22"/>
  </r>
  <r>
    <x v="12"/>
  </r>
  <r>
    <x v="76"/>
  </r>
  <r>
    <x v="9"/>
  </r>
  <r>
    <x v="8"/>
  </r>
  <r>
    <x v="6"/>
  </r>
  <r>
    <x v="4"/>
  </r>
  <r>
    <x v="24"/>
  </r>
  <r>
    <x v="24"/>
  </r>
  <r>
    <x v="14"/>
  </r>
  <r>
    <x v="10"/>
  </r>
  <r>
    <x v="21"/>
  </r>
  <r>
    <x v="4"/>
  </r>
  <r>
    <x v="4"/>
  </r>
  <r>
    <x v="4"/>
  </r>
  <r>
    <x v="4"/>
  </r>
  <r>
    <x v="10"/>
  </r>
  <r>
    <x v="131"/>
  </r>
  <r>
    <x v="7"/>
  </r>
  <r>
    <x v="7"/>
  </r>
  <r>
    <x v="87"/>
  </r>
  <r>
    <x v="4"/>
  </r>
  <r>
    <x v="56"/>
  </r>
  <r>
    <x v="28"/>
  </r>
  <r>
    <x v="12"/>
  </r>
  <r>
    <x v="4"/>
  </r>
  <r>
    <x v="4"/>
  </r>
  <r>
    <x v="123"/>
  </r>
  <r>
    <x v="10"/>
  </r>
  <r>
    <x v="4"/>
  </r>
  <r>
    <x v="4"/>
  </r>
  <r>
    <x v="4"/>
  </r>
  <r>
    <x v="4"/>
  </r>
  <r>
    <x v="4"/>
  </r>
  <r>
    <x v="4"/>
  </r>
  <r>
    <x v="136"/>
  </r>
  <r>
    <x v="22"/>
  </r>
  <r>
    <x v="37"/>
  </r>
  <r>
    <x v="152"/>
  </r>
  <r>
    <x v="12"/>
  </r>
  <r>
    <x v="87"/>
  </r>
  <r>
    <x v="78"/>
  </r>
  <r>
    <x v="9"/>
  </r>
  <r>
    <x v="16"/>
  </r>
  <r>
    <x v="9"/>
  </r>
  <r>
    <x v="224"/>
  </r>
  <r>
    <x v="69"/>
  </r>
  <r>
    <x v="57"/>
  </r>
  <r>
    <x v="28"/>
  </r>
  <r>
    <x v="34"/>
  </r>
  <r>
    <x v="28"/>
  </r>
  <r>
    <x v="12"/>
  </r>
  <r>
    <x v="30"/>
  </r>
  <r>
    <x v="10"/>
  </r>
  <r>
    <x v="0"/>
  </r>
  <r>
    <x v="10"/>
  </r>
  <r>
    <x v="45"/>
  </r>
  <r>
    <x v="123"/>
  </r>
  <r>
    <x v="115"/>
  </r>
  <r>
    <x v="31"/>
  </r>
  <r>
    <x v="16"/>
  </r>
  <r>
    <x v="16"/>
  </r>
  <r>
    <x v="79"/>
  </r>
  <r>
    <x v="17"/>
  </r>
  <r>
    <x v="42"/>
  </r>
  <r>
    <x v="15"/>
  </r>
  <r>
    <x v="10"/>
  </r>
  <r>
    <x v="9"/>
  </r>
  <r>
    <x v="16"/>
  </r>
  <r>
    <x v="9"/>
  </r>
  <r>
    <x v="14"/>
  </r>
  <r>
    <x v="0"/>
  </r>
  <r>
    <x v="55"/>
  </r>
  <r>
    <x v="141"/>
  </r>
  <r>
    <x v="48"/>
  </r>
  <r>
    <x v="7"/>
  </r>
  <r>
    <x v="21"/>
  </r>
  <r>
    <x v="130"/>
  </r>
  <r>
    <x v="0"/>
  </r>
  <r>
    <x v="21"/>
  </r>
  <r>
    <x v="4"/>
  </r>
  <r>
    <x v="68"/>
  </r>
  <r>
    <x v="138"/>
  </r>
  <r>
    <x v="28"/>
  </r>
  <r>
    <x v="17"/>
  </r>
  <r>
    <x v="53"/>
  </r>
  <r>
    <x v="25"/>
  </r>
  <r>
    <x v="26"/>
  </r>
  <r>
    <x v="45"/>
  </r>
  <r>
    <x v="33"/>
  </r>
  <r>
    <x v="2"/>
  </r>
  <r>
    <x v="63"/>
  </r>
  <r>
    <x v="71"/>
  </r>
  <r>
    <x v="63"/>
  </r>
  <r>
    <x v="123"/>
  </r>
  <r>
    <x v="16"/>
  </r>
  <r>
    <x v="68"/>
  </r>
  <r>
    <x v="19"/>
  </r>
  <r>
    <x v="12"/>
  </r>
  <r>
    <x v="12"/>
  </r>
  <r>
    <x v="39"/>
  </r>
  <r>
    <x v="19"/>
  </r>
  <r>
    <x v="4"/>
  </r>
  <r>
    <x v="76"/>
  </r>
  <r>
    <x v="28"/>
  </r>
  <r>
    <x v="4"/>
  </r>
  <r>
    <x v="4"/>
  </r>
  <r>
    <x v="4"/>
  </r>
  <r>
    <x v="4"/>
  </r>
  <r>
    <x v="4"/>
  </r>
  <r>
    <x v="27"/>
  </r>
  <r>
    <x v="4"/>
  </r>
  <r>
    <x v="79"/>
  </r>
  <r>
    <x v="12"/>
  </r>
  <r>
    <x v="12"/>
  </r>
  <r>
    <x v="12"/>
  </r>
  <r>
    <x v="7"/>
  </r>
  <r>
    <x v="48"/>
  </r>
  <r>
    <x v="23"/>
  </r>
  <r>
    <x v="4"/>
  </r>
  <r>
    <x v="10"/>
  </r>
  <r>
    <x v="4"/>
  </r>
  <r>
    <x v="9"/>
  </r>
  <r>
    <x v="0"/>
  </r>
  <r>
    <x v="7"/>
  </r>
  <r>
    <x v="9"/>
  </r>
  <r>
    <x v="9"/>
  </r>
  <r>
    <x v="4"/>
  </r>
  <r>
    <x v="12"/>
  </r>
  <r>
    <x v="87"/>
  </r>
  <r>
    <x v="16"/>
  </r>
  <r>
    <x v="31"/>
  </r>
  <r>
    <x v="4"/>
  </r>
  <r>
    <x v="4"/>
  </r>
  <r>
    <x v="4"/>
  </r>
  <r>
    <x v="4"/>
  </r>
  <r>
    <x v="52"/>
  </r>
  <r>
    <x v="41"/>
  </r>
  <r>
    <x v="1"/>
  </r>
  <r>
    <x v="1"/>
  </r>
  <r>
    <x v="57"/>
  </r>
  <r>
    <x v="12"/>
  </r>
  <r>
    <x v="271"/>
  </r>
  <r>
    <x v="10"/>
  </r>
  <r>
    <x v="11"/>
  </r>
  <r>
    <x v="138"/>
  </r>
  <r>
    <x v="87"/>
  </r>
  <r>
    <x v="10"/>
  </r>
  <r>
    <x v="138"/>
  </r>
  <r>
    <x v="1"/>
  </r>
  <r>
    <x v="152"/>
  </r>
  <r>
    <x v="19"/>
  </r>
  <r>
    <x v="42"/>
  </r>
  <r>
    <x v="2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1"/>
  </r>
  <r>
    <x v="51"/>
  </r>
  <r>
    <x v="51"/>
  </r>
  <r>
    <x v="51"/>
  </r>
  <r>
    <x v="51"/>
  </r>
  <r>
    <x v="51"/>
  </r>
  <r>
    <x v="51"/>
  </r>
  <r>
    <x v="51"/>
  </r>
  <r>
    <x v="24"/>
  </r>
  <r>
    <x v="51"/>
  </r>
  <r>
    <x v="51"/>
  </r>
  <r>
    <x v="51"/>
  </r>
  <r>
    <x v="51"/>
  </r>
  <r>
    <x v="51"/>
  </r>
  <r>
    <x v="51"/>
  </r>
  <r>
    <x v="51"/>
  </r>
  <r>
    <x v="5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6"/>
  </r>
  <r>
    <x v="152"/>
  </r>
  <r>
    <x v="4"/>
  </r>
  <r>
    <x v="4"/>
  </r>
  <r>
    <x v="4"/>
  </r>
  <r>
    <x v="4"/>
  </r>
  <r>
    <x v="4"/>
  </r>
  <r>
    <x v="4"/>
  </r>
  <r>
    <x v="4"/>
  </r>
  <r>
    <x v="123"/>
  </r>
  <r>
    <x v="123"/>
  </r>
  <r>
    <x v="123"/>
  </r>
  <r>
    <x v="123"/>
  </r>
  <r>
    <x v="123"/>
  </r>
  <r>
    <x v="36"/>
  </r>
  <r>
    <x v="78"/>
  </r>
  <r>
    <x v="4"/>
  </r>
  <r>
    <x v="28"/>
  </r>
  <r>
    <x v="12"/>
  </r>
  <r>
    <x v="77"/>
  </r>
  <r>
    <x v="12"/>
  </r>
  <r>
    <x v="12"/>
  </r>
  <r>
    <x v="12"/>
  </r>
  <r>
    <x v="4"/>
  </r>
  <r>
    <x v="10"/>
  </r>
  <r>
    <x v="87"/>
  </r>
  <r>
    <x v="4"/>
  </r>
  <r>
    <x v="4"/>
  </r>
  <r>
    <x v="4"/>
  </r>
  <r>
    <x v="123"/>
  </r>
  <r>
    <x v="123"/>
  </r>
  <r>
    <x v="123"/>
  </r>
  <r>
    <x v="123"/>
  </r>
  <r>
    <x v="4"/>
  </r>
  <r>
    <x v="4"/>
  </r>
  <r>
    <x v="7"/>
  </r>
  <r>
    <x v="123"/>
  </r>
  <r>
    <x v="7"/>
  </r>
  <r>
    <x v="123"/>
  </r>
  <r>
    <x v="123"/>
  </r>
  <r>
    <x v="7"/>
  </r>
  <r>
    <x v="123"/>
  </r>
  <r>
    <x v="123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23"/>
  </r>
  <r>
    <x v="123"/>
  </r>
  <r>
    <x v="123"/>
  </r>
  <r>
    <x v="123"/>
  </r>
  <r>
    <x v="123"/>
  </r>
  <r>
    <x v="123"/>
  </r>
  <r>
    <x v="123"/>
  </r>
  <r>
    <x v="4"/>
  </r>
  <r>
    <x v="4"/>
  </r>
  <r>
    <x v="4"/>
  </r>
  <r>
    <x v="4"/>
  </r>
  <r>
    <x v="4"/>
  </r>
  <r>
    <x v="51"/>
  </r>
  <r>
    <x v="123"/>
  </r>
  <r>
    <x v="123"/>
  </r>
  <r>
    <x v="123"/>
  </r>
  <r>
    <x v="152"/>
  </r>
  <r>
    <x v="123"/>
  </r>
  <r>
    <x v="4"/>
  </r>
  <r>
    <x v="51"/>
  </r>
  <r>
    <x v="51"/>
  </r>
  <r>
    <x v="51"/>
  </r>
  <r>
    <x v="16"/>
  </r>
  <r>
    <x v="51"/>
  </r>
  <r>
    <x v="51"/>
  </r>
  <r>
    <x v="51"/>
  </r>
  <r>
    <x v="4"/>
  </r>
  <r>
    <x v="4"/>
  </r>
  <r>
    <x v="4"/>
  </r>
  <r>
    <x v="4"/>
  </r>
  <r>
    <x v="4"/>
  </r>
  <r>
    <x v="4"/>
  </r>
  <r>
    <x v="4"/>
  </r>
  <r>
    <x v="138"/>
  </r>
  <r>
    <x v="4"/>
  </r>
  <r>
    <x v="4"/>
  </r>
  <r>
    <x v="138"/>
  </r>
  <r>
    <x v="51"/>
  </r>
  <r>
    <x v="51"/>
  </r>
  <r>
    <x v="138"/>
  </r>
  <r>
    <x v="51"/>
  </r>
  <r>
    <x v="51"/>
  </r>
  <r>
    <x v="4"/>
  </r>
  <r>
    <x v="22"/>
  </r>
  <r>
    <x v="4"/>
  </r>
  <r>
    <x v="138"/>
  </r>
  <r>
    <x v="138"/>
  </r>
  <r>
    <x v="4"/>
  </r>
  <r>
    <x v="51"/>
  </r>
  <r>
    <x v="51"/>
  </r>
  <r>
    <x v="51"/>
  </r>
  <r>
    <x v="12"/>
  </r>
  <r>
    <x v="12"/>
  </r>
  <r>
    <x v="14"/>
  </r>
  <r>
    <x v="14"/>
  </r>
  <r>
    <x v="14"/>
  </r>
  <r>
    <x v="14"/>
  </r>
  <r>
    <x v="7"/>
  </r>
  <r>
    <x v="25"/>
  </r>
  <r>
    <x v="24"/>
  </r>
  <r>
    <x v="24"/>
  </r>
  <r>
    <x v="7"/>
  </r>
  <r>
    <x v="77"/>
  </r>
  <r>
    <x v="52"/>
  </r>
  <r>
    <x v="27"/>
  </r>
  <r>
    <x v="135"/>
  </r>
  <r>
    <x v="37"/>
  </r>
  <r>
    <x v="37"/>
  </r>
  <r>
    <x v="37"/>
  </r>
  <r>
    <x v="4"/>
  </r>
  <r>
    <x v="4"/>
  </r>
  <r>
    <x v="4"/>
  </r>
  <r>
    <x v="4"/>
  </r>
  <r>
    <x v="4"/>
  </r>
  <r>
    <x v="4"/>
  </r>
  <r>
    <x v="4"/>
  </r>
  <r>
    <x v="51"/>
  </r>
  <r>
    <x v="37"/>
  </r>
  <r>
    <x v="37"/>
  </r>
  <r>
    <x v="37"/>
  </r>
  <r>
    <x v="12"/>
  </r>
  <r>
    <x v="12"/>
  </r>
  <r>
    <x v="16"/>
  </r>
  <r>
    <x v="16"/>
  </r>
  <r>
    <x v="16"/>
  </r>
  <r>
    <x v="51"/>
  </r>
  <r>
    <x v="7"/>
  </r>
  <r>
    <x v="7"/>
  </r>
  <r>
    <x v="7"/>
  </r>
  <r>
    <x v="7"/>
  </r>
  <r>
    <x v="7"/>
  </r>
  <r>
    <x v="78"/>
  </r>
  <r>
    <x v="78"/>
  </r>
  <r>
    <x v="57"/>
  </r>
  <r>
    <x v="78"/>
  </r>
  <r>
    <x v="42"/>
  </r>
  <r>
    <x v="41"/>
  </r>
  <r>
    <x v="41"/>
  </r>
  <r>
    <x v="41"/>
  </r>
  <r>
    <x v="87"/>
  </r>
  <r>
    <x v="48"/>
  </r>
  <r>
    <x v="12"/>
  </r>
  <r>
    <x v="22"/>
  </r>
  <r>
    <x v="48"/>
  </r>
  <r>
    <x v="139"/>
  </r>
  <r>
    <x v="16"/>
  </r>
  <r>
    <x v="7"/>
  </r>
  <r>
    <x v="7"/>
  </r>
  <r>
    <x v="14"/>
  </r>
  <r>
    <x v="79"/>
  </r>
  <r>
    <x v="79"/>
  </r>
  <r>
    <x v="79"/>
  </r>
  <r>
    <x v="71"/>
  </r>
  <r>
    <x v="86"/>
  </r>
  <r>
    <x v="14"/>
  </r>
  <r>
    <x v="87"/>
  </r>
  <r>
    <x v="152"/>
  </r>
  <r>
    <x v="77"/>
  </r>
  <r>
    <x v="12"/>
  </r>
  <r>
    <x v="12"/>
  </r>
  <r>
    <x v="71"/>
  </r>
  <r>
    <x v="52"/>
  </r>
  <r>
    <x v="52"/>
  </r>
  <r>
    <x v="52"/>
  </r>
  <r>
    <x v="52"/>
  </r>
  <r>
    <x v="52"/>
  </r>
  <r>
    <x v="14"/>
  </r>
  <r>
    <x v="1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7"/>
  </r>
  <r>
    <x v="87"/>
  </r>
  <r>
    <x v="42"/>
  </r>
  <r>
    <x v="87"/>
  </r>
  <r>
    <x v="87"/>
  </r>
  <r>
    <x v="87"/>
  </r>
  <r>
    <x v="87"/>
  </r>
  <r>
    <x v="162"/>
  </r>
  <r>
    <x v="115"/>
  </r>
  <r>
    <x v="115"/>
  </r>
  <r>
    <x v="51"/>
  </r>
  <r>
    <x v="115"/>
  </r>
  <r>
    <x v="115"/>
  </r>
  <r>
    <x v="115"/>
  </r>
  <r>
    <x v="115"/>
  </r>
  <r>
    <x v="115"/>
  </r>
  <r>
    <x v="51"/>
  </r>
  <r>
    <x v="51"/>
  </r>
  <r>
    <x v="114"/>
  </r>
  <r>
    <x v="16"/>
  </r>
  <r>
    <x v="57"/>
  </r>
  <r>
    <x v="53"/>
  </r>
  <r>
    <x v="9"/>
  </r>
  <r>
    <x v="76"/>
  </r>
  <r>
    <x v="9"/>
  </r>
  <r>
    <x v="9"/>
  </r>
  <r>
    <x v="86"/>
  </r>
  <r>
    <x v="86"/>
  </r>
  <r>
    <x v="86"/>
  </r>
  <r>
    <x v="10"/>
  </r>
  <r>
    <x v="10"/>
  </r>
  <r>
    <x v="10"/>
  </r>
  <r>
    <x v="10"/>
  </r>
  <r>
    <x v="10"/>
  </r>
  <r>
    <x v="10"/>
  </r>
  <r>
    <x v="115"/>
  </r>
  <r>
    <x v="115"/>
  </r>
  <r>
    <x v="10"/>
  </r>
  <r>
    <x v="10"/>
  </r>
  <r>
    <x v="10"/>
  </r>
  <r>
    <x v="10"/>
  </r>
  <r>
    <x v="51"/>
  </r>
  <r>
    <x v="51"/>
  </r>
  <r>
    <x v="0"/>
  </r>
  <r>
    <x v="12"/>
  </r>
  <r>
    <x v="12"/>
  </r>
  <r>
    <x v="12"/>
  </r>
  <r>
    <x v="12"/>
  </r>
  <r>
    <x v="12"/>
  </r>
  <r>
    <x v="12"/>
  </r>
  <r>
    <x v="12"/>
  </r>
  <r>
    <x v="12"/>
  </r>
  <r>
    <x v="14"/>
  </r>
  <r>
    <x v="14"/>
  </r>
  <r>
    <x v="14"/>
  </r>
  <r>
    <x v="42"/>
  </r>
  <r>
    <x v="14"/>
  </r>
  <r>
    <x v="14"/>
  </r>
  <r>
    <x v="14"/>
  </r>
  <r>
    <x v="136"/>
  </r>
  <r>
    <x v="14"/>
  </r>
  <r>
    <x v="14"/>
  </r>
  <r>
    <x v="14"/>
  </r>
  <r>
    <x v="165"/>
  </r>
  <r>
    <x v="10"/>
  </r>
  <r>
    <x v="0"/>
  </r>
  <r>
    <x v="10"/>
  </r>
  <r>
    <x v="10"/>
  </r>
  <r>
    <x v="10"/>
  </r>
  <r>
    <x v="10"/>
  </r>
  <r>
    <x v="272"/>
  </r>
  <r>
    <x v="272"/>
  </r>
  <r>
    <x v="22"/>
  </r>
  <r>
    <x v="36"/>
  </r>
  <r>
    <x v="22"/>
  </r>
  <r>
    <x v="22"/>
  </r>
  <r>
    <x v="12"/>
  </r>
  <r>
    <x v="22"/>
  </r>
  <r>
    <x v="10"/>
  </r>
  <r>
    <x v="12"/>
  </r>
  <r>
    <x v="22"/>
  </r>
  <r>
    <x v="12"/>
  </r>
  <r>
    <x v="0"/>
  </r>
  <r>
    <x v="0"/>
  </r>
  <r>
    <x v="22"/>
  </r>
  <r>
    <x v="12"/>
  </r>
  <r>
    <x v="22"/>
  </r>
  <r>
    <x v="22"/>
  </r>
  <r>
    <x v="56"/>
  </r>
  <r>
    <x v="56"/>
  </r>
  <r>
    <x v="56"/>
  </r>
  <r>
    <x v="9"/>
  </r>
  <r>
    <x v="30"/>
  </r>
  <r>
    <x v="9"/>
  </r>
  <r>
    <x v="4"/>
  </r>
  <r>
    <x v="4"/>
  </r>
  <r>
    <x v="11"/>
  </r>
  <r>
    <x v="28"/>
  </r>
  <r>
    <x v="0"/>
  </r>
  <r>
    <x v="3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46"/>
  </r>
  <r>
    <x v="185"/>
  </r>
  <r>
    <x v="71"/>
  </r>
  <r>
    <x v="71"/>
  </r>
  <r>
    <x v="115"/>
  </r>
  <r>
    <x v="33"/>
  </r>
  <r>
    <x v="33"/>
  </r>
  <r>
    <x v="138"/>
  </r>
  <r>
    <x v="33"/>
  </r>
  <r>
    <x v="267"/>
  </r>
  <r>
    <x v="10"/>
  </r>
  <r>
    <x v="267"/>
  </r>
  <r>
    <x v="10"/>
  </r>
  <r>
    <x v="146"/>
  </r>
  <r>
    <x v="14"/>
  </r>
  <r>
    <x v="146"/>
  </r>
  <r>
    <x v="10"/>
  </r>
  <r>
    <x v="10"/>
  </r>
  <r>
    <x v="10"/>
  </r>
  <r>
    <x v="10"/>
  </r>
  <r>
    <x v="10"/>
  </r>
  <r>
    <x v="10"/>
  </r>
  <r>
    <x v="17"/>
  </r>
  <r>
    <x v="10"/>
  </r>
  <r>
    <x v="12"/>
  </r>
  <r>
    <x v="12"/>
  </r>
  <r>
    <x v="14"/>
  </r>
  <r>
    <x v="14"/>
  </r>
  <r>
    <x v="12"/>
  </r>
  <r>
    <x v="36"/>
  </r>
  <r>
    <x v="4"/>
  </r>
  <r>
    <x v="14"/>
  </r>
  <r>
    <x v="36"/>
  </r>
  <r>
    <x v="14"/>
  </r>
  <r>
    <x v="14"/>
  </r>
  <r>
    <x v="12"/>
  </r>
  <r>
    <x v="14"/>
  </r>
  <r>
    <x v="14"/>
  </r>
  <r>
    <x v="12"/>
  </r>
  <r>
    <x v="14"/>
  </r>
  <r>
    <x v="12"/>
  </r>
  <r>
    <x v="14"/>
  </r>
  <r>
    <x v="14"/>
  </r>
  <r>
    <x v="4"/>
  </r>
  <r>
    <x v="81"/>
  </r>
  <r>
    <x v="36"/>
  </r>
  <r>
    <x v="36"/>
  </r>
  <r>
    <x v="33"/>
  </r>
  <r>
    <x v="33"/>
  </r>
  <r>
    <x v="165"/>
  </r>
  <r>
    <x v="10"/>
  </r>
  <r>
    <x v="85"/>
  </r>
  <r>
    <x v="85"/>
  </r>
  <r>
    <x v="128"/>
  </r>
  <r>
    <x v="128"/>
  </r>
  <r>
    <x v="128"/>
  </r>
  <r>
    <x v="12"/>
  </r>
  <r>
    <x v="12"/>
  </r>
  <r>
    <x v="42"/>
  </r>
  <r>
    <x v="86"/>
  </r>
  <r>
    <x v="123"/>
  </r>
  <r>
    <x v="4"/>
  </r>
  <r>
    <x v="45"/>
  </r>
  <r>
    <x v="45"/>
  </r>
  <r>
    <x v="45"/>
  </r>
  <r>
    <x v="10"/>
  </r>
  <r>
    <x v="10"/>
  </r>
  <r>
    <x v="27"/>
  </r>
  <r>
    <x v="10"/>
  </r>
  <r>
    <x v="37"/>
  </r>
  <r>
    <x v="27"/>
  </r>
  <r>
    <x v="10"/>
  </r>
  <r>
    <x v="11"/>
  </r>
  <r>
    <x v="55"/>
  </r>
  <r>
    <x v="72"/>
  </r>
  <r>
    <x v="10"/>
  </r>
  <r>
    <x v="175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59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5"/>
  </r>
  <r>
    <x v="126"/>
  </r>
  <r>
    <x v="4"/>
  </r>
  <r>
    <x v="4"/>
  </r>
  <r>
    <x v="4"/>
  </r>
  <r>
    <x v="4"/>
  </r>
  <r>
    <x v="15"/>
  </r>
  <r>
    <x v="4"/>
  </r>
  <r>
    <x v="4"/>
  </r>
  <r>
    <x v="4"/>
  </r>
  <r>
    <x v="4"/>
  </r>
  <r>
    <x v="4"/>
  </r>
  <r>
    <x v="3"/>
  </r>
  <r>
    <x v="270"/>
  </r>
  <r>
    <x v="6"/>
  </r>
  <r>
    <x v="115"/>
  </r>
  <r>
    <x v="86"/>
  </r>
  <r>
    <x v="138"/>
  </r>
  <r>
    <x v="4"/>
  </r>
  <r>
    <x v="4"/>
  </r>
  <r>
    <x v="138"/>
  </r>
  <r>
    <x v="138"/>
  </r>
  <r>
    <x v="138"/>
  </r>
  <r>
    <x v="138"/>
  </r>
  <r>
    <x v="138"/>
  </r>
  <r>
    <x v="138"/>
  </r>
  <r>
    <x v="154"/>
  </r>
  <r>
    <x v="154"/>
  </r>
  <r>
    <x v="4"/>
  </r>
  <r>
    <x v="3"/>
  </r>
  <r>
    <x v="154"/>
  </r>
  <r>
    <x v="21"/>
  </r>
  <r>
    <x v="9"/>
  </r>
  <r>
    <x v="9"/>
  </r>
  <r>
    <x v="123"/>
  </r>
  <r>
    <x v="123"/>
  </r>
  <r>
    <x v="123"/>
  </r>
  <r>
    <x v="123"/>
  </r>
  <r>
    <x v="123"/>
  </r>
  <r>
    <x v="123"/>
  </r>
  <r>
    <x v="189"/>
  </r>
  <r>
    <x v="123"/>
  </r>
  <r>
    <x v="72"/>
  </r>
  <r>
    <x v="12"/>
  </r>
  <r>
    <x v="12"/>
  </r>
  <r>
    <x v="17"/>
  </r>
  <r>
    <x v="17"/>
  </r>
  <r>
    <x v="10"/>
  </r>
  <r>
    <x v="24"/>
  </r>
  <r>
    <x v="0"/>
  </r>
  <r>
    <x v="24"/>
  </r>
  <r>
    <x v="10"/>
  </r>
  <r>
    <x v="162"/>
  </r>
  <r>
    <x v="168"/>
  </r>
  <r>
    <x v="87"/>
  </r>
  <r>
    <x v="165"/>
  </r>
  <r>
    <x v="36"/>
  </r>
  <r>
    <x v="4"/>
  </r>
  <r>
    <x v="12"/>
  </r>
  <r>
    <x v="12"/>
  </r>
  <r>
    <x v="7"/>
  </r>
  <r>
    <x v="36"/>
  </r>
  <r>
    <x v="36"/>
  </r>
  <r>
    <x v="0"/>
  </r>
  <r>
    <x v="138"/>
  </r>
  <r>
    <x v="80"/>
  </r>
  <r>
    <x v="36"/>
  </r>
  <r>
    <x v="10"/>
  </r>
  <r>
    <x v="152"/>
  </r>
  <r>
    <x v="152"/>
  </r>
  <r>
    <x v="78"/>
  </r>
  <r>
    <x v="78"/>
  </r>
  <r>
    <x v="4"/>
  </r>
  <r>
    <x v="24"/>
  </r>
  <r>
    <x v="24"/>
  </r>
  <r>
    <x v="115"/>
  </r>
  <r>
    <x v="115"/>
  </r>
  <r>
    <x v="15"/>
  </r>
  <r>
    <x v="12"/>
  </r>
  <r>
    <x v="10"/>
  </r>
  <r>
    <x v="48"/>
  </r>
  <r>
    <x v="123"/>
  </r>
  <r>
    <x v="123"/>
  </r>
  <r>
    <x v="40"/>
  </r>
  <r>
    <x v="40"/>
  </r>
  <r>
    <x v="86"/>
  </r>
  <r>
    <x v="126"/>
  </r>
  <r>
    <x v="10"/>
  </r>
  <r>
    <x v="42"/>
  </r>
  <r>
    <x v="42"/>
  </r>
  <r>
    <x v="10"/>
  </r>
  <r>
    <x v="10"/>
  </r>
  <r>
    <x v="14"/>
  </r>
  <r>
    <x v="14"/>
  </r>
  <r>
    <x v="80"/>
  </r>
  <r>
    <x v="1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63"/>
  </r>
  <r>
    <x v="123"/>
  </r>
  <r>
    <x v="123"/>
  </r>
  <r>
    <x v="123"/>
  </r>
  <r>
    <x v="123"/>
  </r>
  <r>
    <x v="68"/>
  </r>
  <r>
    <x v="123"/>
  </r>
  <r>
    <x v="28"/>
  </r>
  <r>
    <x v="4"/>
  </r>
  <r>
    <x v="123"/>
  </r>
  <r>
    <x v="1"/>
  </r>
  <r>
    <x v="28"/>
  </r>
  <r>
    <x v="108"/>
  </r>
  <r>
    <x v="108"/>
  </r>
  <r>
    <x v="9"/>
  </r>
  <r>
    <x v="152"/>
  </r>
  <r>
    <x v="152"/>
  </r>
  <r>
    <x v="108"/>
  </r>
  <r>
    <x v="108"/>
  </r>
  <r>
    <x v="108"/>
  </r>
  <r>
    <x v="10"/>
  </r>
  <r>
    <x v="0"/>
  </r>
  <r>
    <x v="10"/>
  </r>
  <r>
    <x v="24"/>
  </r>
  <r>
    <x v="24"/>
  </r>
  <r>
    <x v="201"/>
  </r>
  <r>
    <x v="28"/>
  </r>
  <r>
    <x v="12"/>
  </r>
  <r>
    <x v="28"/>
  </r>
  <r>
    <x v="28"/>
  </r>
  <r>
    <x v="28"/>
  </r>
  <r>
    <x v="28"/>
  </r>
  <r>
    <x v="28"/>
  </r>
  <r>
    <x v="4"/>
  </r>
  <r>
    <x v="4"/>
  </r>
  <r>
    <x v="123"/>
  </r>
  <r>
    <x v="128"/>
  </r>
  <r>
    <x v="42"/>
  </r>
  <r>
    <x v="42"/>
  </r>
  <r>
    <x v="14"/>
  </r>
  <r>
    <x v="64"/>
  </r>
  <r>
    <x v="17"/>
  </r>
  <r>
    <x v="28"/>
  </r>
  <r>
    <x v="28"/>
  </r>
  <r>
    <x v="14"/>
  </r>
  <r>
    <x v="56"/>
  </r>
  <r>
    <x v="7"/>
  </r>
  <r>
    <x v="7"/>
  </r>
  <r>
    <x v="7"/>
  </r>
  <r>
    <x v="56"/>
  </r>
  <r>
    <x v="56"/>
  </r>
  <r>
    <x v="56"/>
  </r>
  <r>
    <x v="12"/>
  </r>
  <r>
    <x v="12"/>
  </r>
  <r>
    <x v="12"/>
  </r>
  <r>
    <x v="24"/>
  </r>
  <r>
    <x v="24"/>
  </r>
  <r>
    <x v="26"/>
  </r>
  <r>
    <x v="24"/>
  </r>
  <r>
    <x v="9"/>
  </r>
  <r>
    <x v="9"/>
  </r>
  <r>
    <x v="12"/>
  </r>
  <r>
    <x v="12"/>
  </r>
  <r>
    <x v="12"/>
  </r>
  <r>
    <x v="130"/>
  </r>
  <r>
    <x v="10"/>
  </r>
  <r>
    <x v="4"/>
  </r>
  <r>
    <x v="10"/>
  </r>
  <r>
    <x v="4"/>
  </r>
  <r>
    <x v="4"/>
  </r>
  <r>
    <x v="4"/>
  </r>
  <r>
    <x v="138"/>
  </r>
  <r>
    <x v="4"/>
  </r>
  <r>
    <x v="138"/>
  </r>
  <r>
    <x v="4"/>
  </r>
  <r>
    <x v="4"/>
  </r>
  <r>
    <x v="4"/>
  </r>
  <r>
    <x v="4"/>
  </r>
  <r>
    <x v="138"/>
  </r>
  <r>
    <x v="4"/>
  </r>
  <r>
    <x v="4"/>
  </r>
  <r>
    <x v="138"/>
  </r>
  <r>
    <x v="7"/>
  </r>
  <r>
    <x v="4"/>
  </r>
  <r>
    <x v="165"/>
  </r>
  <r>
    <x v="12"/>
  </r>
  <r>
    <x v="165"/>
  </r>
  <r>
    <x v="165"/>
  </r>
  <r>
    <x v="165"/>
  </r>
  <r>
    <x v="165"/>
  </r>
  <r>
    <x v="165"/>
  </r>
  <r>
    <x v="165"/>
  </r>
  <r>
    <x v="165"/>
  </r>
  <r>
    <x v="165"/>
  </r>
  <r>
    <x v="87"/>
  </r>
  <r>
    <x v="144"/>
  </r>
  <r>
    <x v="36"/>
  </r>
  <r>
    <x v="36"/>
  </r>
  <r>
    <x v="10"/>
  </r>
  <r>
    <x v="10"/>
  </r>
  <r>
    <x v="10"/>
  </r>
  <r>
    <x v="10"/>
  </r>
  <r>
    <x v="29"/>
  </r>
  <r>
    <x v="10"/>
  </r>
  <r>
    <x v="33"/>
  </r>
  <r>
    <x v="123"/>
  </r>
  <r>
    <x v="123"/>
  </r>
  <r>
    <x v="10"/>
  </r>
  <r>
    <x v="10"/>
  </r>
  <r>
    <x v="10"/>
  </r>
  <r>
    <x v="10"/>
  </r>
  <r>
    <x v="10"/>
  </r>
  <r>
    <x v="12"/>
  </r>
  <r>
    <x v="10"/>
  </r>
  <r>
    <x v="10"/>
  </r>
  <r>
    <x v="12"/>
  </r>
  <r>
    <x v="78"/>
  </r>
  <r>
    <x v="78"/>
  </r>
  <r>
    <x v="10"/>
  </r>
  <r>
    <x v="0"/>
  </r>
  <r>
    <x v="0"/>
  </r>
  <r>
    <x v="0"/>
  </r>
  <r>
    <x v="9"/>
  </r>
  <r>
    <x v="22"/>
  </r>
  <r>
    <x v="22"/>
  </r>
  <r>
    <x v="4"/>
  </r>
  <r>
    <x v="4"/>
  </r>
  <r>
    <x v="181"/>
  </r>
  <r>
    <x v="22"/>
  </r>
  <r>
    <x v="10"/>
  </r>
  <r>
    <x v="10"/>
  </r>
  <r>
    <x v="138"/>
  </r>
  <r>
    <x v="138"/>
  </r>
  <r>
    <x v="138"/>
  </r>
  <r>
    <x v="138"/>
  </r>
  <r>
    <x v="138"/>
  </r>
  <r>
    <x v="39"/>
  </r>
  <r>
    <x v="17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0"/>
  </r>
  <r>
    <x v="10"/>
  </r>
  <r>
    <x v="10"/>
  </r>
  <r>
    <x v="72"/>
  </r>
  <r>
    <x v="72"/>
  </r>
  <r>
    <x v="25"/>
  </r>
  <r>
    <x v="72"/>
  </r>
  <r>
    <x v="72"/>
  </r>
  <r>
    <x v="72"/>
  </r>
  <r>
    <x v="37"/>
  </r>
  <r>
    <x v="22"/>
  </r>
  <r>
    <x v="28"/>
  </r>
  <r>
    <x v="28"/>
  </r>
  <r>
    <x v="10"/>
  </r>
  <r>
    <x v="24"/>
  </r>
  <r>
    <x v="48"/>
  </r>
  <r>
    <x v="24"/>
  </r>
  <r>
    <x v="48"/>
  </r>
  <r>
    <x v="55"/>
  </r>
  <r>
    <x v="24"/>
  </r>
  <r>
    <x v="114"/>
  </r>
  <r>
    <x v="24"/>
  </r>
  <r>
    <x v="12"/>
  </r>
  <r>
    <x v="10"/>
  </r>
  <r>
    <x v="24"/>
  </r>
  <r>
    <x v="24"/>
  </r>
  <r>
    <x v="24"/>
  </r>
  <r>
    <x v="24"/>
  </r>
  <r>
    <x v="24"/>
  </r>
  <r>
    <x v="24"/>
  </r>
  <r>
    <x v="24"/>
  </r>
  <r>
    <x v="12"/>
  </r>
  <r>
    <x v="17"/>
  </r>
  <r>
    <x v="8"/>
  </r>
  <r>
    <x v="79"/>
  </r>
  <r>
    <x v="1"/>
  </r>
  <r>
    <x v="22"/>
  </r>
  <r>
    <x v="165"/>
  </r>
  <r>
    <x v="22"/>
  </r>
  <r>
    <x v="106"/>
  </r>
  <r>
    <x v="22"/>
  </r>
  <r>
    <x v="64"/>
  </r>
  <r>
    <x v="12"/>
  </r>
  <r>
    <x v="22"/>
  </r>
  <r>
    <x v="34"/>
  </r>
  <r>
    <x v="59"/>
  </r>
  <r>
    <x v="271"/>
  </r>
  <r>
    <x v="28"/>
  </r>
  <r>
    <x v="118"/>
  </r>
  <r>
    <x v="112"/>
  </r>
  <r>
    <x v="17"/>
  </r>
  <r>
    <x v="0"/>
  </r>
  <r>
    <x v="30"/>
  </r>
  <r>
    <x v="45"/>
  </r>
  <r>
    <x v="0"/>
  </r>
  <r>
    <x v="10"/>
  </r>
  <r>
    <x v="64"/>
  </r>
  <r>
    <x v="83"/>
  </r>
  <r>
    <x v="86"/>
  </r>
  <r>
    <x v="123"/>
  </r>
  <r>
    <x v="123"/>
  </r>
  <r>
    <x v="12"/>
  </r>
  <r>
    <x v="36"/>
  </r>
  <r>
    <x v="14"/>
  </r>
  <r>
    <x v="14"/>
  </r>
  <r>
    <x v="114"/>
  </r>
  <r>
    <x v="165"/>
  </r>
  <r>
    <x v="42"/>
  </r>
  <r>
    <x v="52"/>
  </r>
  <r>
    <x v="36"/>
  </r>
  <r>
    <x v="63"/>
  </r>
  <r>
    <x v="57"/>
  </r>
  <r>
    <x v="41"/>
  </r>
  <r>
    <x v="4"/>
  </r>
  <r>
    <x v="4"/>
  </r>
  <r>
    <x v="4"/>
  </r>
  <r>
    <x v="9"/>
  </r>
  <r>
    <x v="9"/>
  </r>
  <r>
    <x v="9"/>
  </r>
  <r>
    <x v="34"/>
  </r>
  <r>
    <x v="9"/>
  </r>
  <r>
    <x v="9"/>
  </r>
  <r>
    <x v="9"/>
  </r>
  <r>
    <x v="9"/>
  </r>
  <r>
    <x v="9"/>
  </r>
  <r>
    <x v="9"/>
  </r>
  <r>
    <x v="34"/>
  </r>
  <r>
    <x v="4"/>
  </r>
  <r>
    <x v="15"/>
  </r>
  <r>
    <x v="4"/>
  </r>
  <r>
    <x v="15"/>
  </r>
  <r>
    <x v="4"/>
  </r>
  <r>
    <x v="9"/>
  </r>
  <r>
    <x v="0"/>
  </r>
  <r>
    <x v="0"/>
  </r>
  <r>
    <x v="0"/>
  </r>
  <r>
    <x v="0"/>
  </r>
  <r>
    <x v="0"/>
  </r>
  <r>
    <x v="165"/>
  </r>
  <r>
    <x v="4"/>
  </r>
  <r>
    <x v="4"/>
  </r>
  <r>
    <x v="4"/>
  </r>
  <r>
    <x v="4"/>
  </r>
  <r>
    <x v="4"/>
  </r>
  <r>
    <x v="4"/>
  </r>
  <r>
    <x v="4"/>
  </r>
  <r>
    <x v="4"/>
  </r>
  <r>
    <x v="28"/>
  </r>
  <r>
    <x v="28"/>
  </r>
  <r>
    <x v="28"/>
  </r>
  <r>
    <x v="28"/>
  </r>
  <r>
    <x v="0"/>
  </r>
  <r>
    <x v="0"/>
  </r>
  <r>
    <x v="7"/>
  </r>
  <r>
    <x v="7"/>
  </r>
  <r>
    <x v="7"/>
  </r>
  <r>
    <x v="7"/>
  </r>
  <r>
    <x v="7"/>
  </r>
  <r>
    <x v="7"/>
  </r>
  <r>
    <x v="7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152"/>
  </r>
  <r>
    <x v="152"/>
  </r>
  <r>
    <x v="78"/>
  </r>
  <r>
    <x v="152"/>
  </r>
  <r>
    <x v="152"/>
  </r>
  <r>
    <x v="152"/>
  </r>
  <r>
    <x v="152"/>
  </r>
  <r>
    <x v="152"/>
  </r>
  <r>
    <x v="152"/>
  </r>
  <r>
    <x v="152"/>
  </r>
  <r>
    <x v="152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52"/>
  </r>
  <r>
    <x v="152"/>
  </r>
  <r>
    <x v="152"/>
  </r>
  <r>
    <x v="152"/>
  </r>
  <r>
    <x v="152"/>
  </r>
  <r>
    <x v="152"/>
  </r>
  <r>
    <x v="70"/>
  </r>
  <r>
    <x v="7"/>
  </r>
  <r>
    <x v="123"/>
  </r>
  <r>
    <x v="184"/>
  </r>
  <r>
    <x v="138"/>
  </r>
  <r>
    <x v="10"/>
  </r>
  <r>
    <x v="184"/>
  </r>
  <r>
    <x v="42"/>
  </r>
  <r>
    <x v="165"/>
  </r>
  <r>
    <x v="0"/>
  </r>
  <r>
    <x v="59"/>
  </r>
  <r>
    <x v="152"/>
  </r>
  <r>
    <x v="78"/>
  </r>
  <r>
    <x v="123"/>
  </r>
  <r>
    <x v="123"/>
  </r>
  <r>
    <x v="14"/>
  </r>
  <r>
    <x v="52"/>
  </r>
  <r>
    <x v="10"/>
  </r>
  <r>
    <x v="10"/>
  </r>
  <r>
    <x v="0"/>
  </r>
  <r>
    <x v="0"/>
  </r>
  <r>
    <x v="0"/>
  </r>
  <r>
    <x v="4"/>
  </r>
  <r>
    <x v="0"/>
  </r>
  <r>
    <x v="0"/>
  </r>
  <r>
    <x v="0"/>
  </r>
  <r>
    <x v="0"/>
  </r>
  <r>
    <x v="28"/>
  </r>
  <r>
    <x v="21"/>
  </r>
  <r>
    <x v="21"/>
  </r>
  <r>
    <x v="14"/>
  </r>
  <r>
    <x v="4"/>
  </r>
  <r>
    <x v="63"/>
  </r>
  <r>
    <x v="53"/>
  </r>
  <r>
    <x v="10"/>
  </r>
  <r>
    <x v="16"/>
  </r>
  <r>
    <x v="16"/>
  </r>
  <r>
    <x v="70"/>
  </r>
  <r>
    <x v="70"/>
  </r>
  <r>
    <x v="4"/>
  </r>
  <r>
    <x v="4"/>
  </r>
  <r>
    <x v="7"/>
  </r>
  <r>
    <x v="7"/>
  </r>
  <r>
    <x v="152"/>
  </r>
  <r>
    <x v="24"/>
  </r>
  <r>
    <x v="53"/>
  </r>
  <r>
    <x v="6"/>
  </r>
  <r>
    <x v="0"/>
  </r>
  <r>
    <x v="70"/>
  </r>
  <r>
    <x v="7"/>
  </r>
  <r>
    <x v="86"/>
  </r>
  <r>
    <x v="4"/>
  </r>
  <r>
    <x v="25"/>
  </r>
  <r>
    <x v="78"/>
  </r>
  <r>
    <x v="78"/>
  </r>
  <r>
    <x v="0"/>
  </r>
  <r>
    <x v="85"/>
  </r>
  <r>
    <x v="28"/>
  </r>
  <r>
    <x v="56"/>
  </r>
  <r>
    <x v="56"/>
  </r>
  <r>
    <x v="160"/>
  </r>
  <r>
    <x v="63"/>
  </r>
  <r>
    <x v="86"/>
  </r>
  <r>
    <x v="10"/>
  </r>
  <r>
    <x v="78"/>
  </r>
  <r>
    <x v="63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0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4"/>
  </r>
  <r>
    <x v="4"/>
  </r>
  <r>
    <x v="57"/>
  </r>
  <r>
    <x v="57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7"/>
  </r>
  <r>
    <x v="7"/>
  </r>
  <r>
    <x v="12"/>
  </r>
  <r>
    <x v="12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0"/>
  </r>
  <r>
    <x v="7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2"/>
  </r>
  <r>
    <x v="36"/>
  </r>
  <r>
    <x v="12"/>
  </r>
  <r>
    <x v="36"/>
  </r>
  <r>
    <x v="36"/>
  </r>
  <r>
    <x v="36"/>
  </r>
  <r>
    <x v="36"/>
  </r>
  <r>
    <x v="36"/>
  </r>
  <r>
    <x v="36"/>
  </r>
  <r>
    <x v="0"/>
  </r>
  <r>
    <x v="63"/>
  </r>
  <r>
    <x v="3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10"/>
  </r>
  <r>
    <x v="10"/>
  </r>
  <r>
    <x v="10"/>
  </r>
  <r>
    <x v="10"/>
  </r>
  <r>
    <x v="10"/>
  </r>
  <r>
    <x v="10"/>
  </r>
  <r>
    <x v="10"/>
  </r>
  <r>
    <x v="28"/>
  </r>
  <r>
    <x v="10"/>
  </r>
  <r>
    <x v="39"/>
  </r>
  <r>
    <x v="45"/>
  </r>
  <r>
    <x v="42"/>
  </r>
  <r>
    <x v="42"/>
  </r>
  <r>
    <x v="42"/>
  </r>
  <r>
    <x v="10"/>
  </r>
  <r>
    <x v="10"/>
  </r>
  <r>
    <x v="10"/>
  </r>
  <r>
    <x v="3"/>
  </r>
  <r>
    <x v="17"/>
  </r>
  <r>
    <x v="111"/>
  </r>
  <r>
    <x v="53"/>
  </r>
  <r>
    <x v="24"/>
  </r>
  <r>
    <x v="24"/>
  </r>
  <r>
    <x v="24"/>
  </r>
  <r>
    <x v="24"/>
  </r>
  <r>
    <x v="24"/>
  </r>
  <r>
    <x v="24"/>
  </r>
  <r>
    <x v="24"/>
  </r>
  <r>
    <x v="10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473"/>
  </r>
  <r>
    <x v="123"/>
  </r>
  <r>
    <x v="115"/>
  </r>
  <r>
    <x v="123"/>
  </r>
  <r>
    <x v="123"/>
  </r>
  <r>
    <x v="123"/>
  </r>
  <r>
    <x v="123"/>
  </r>
  <r>
    <x v="123"/>
  </r>
  <r>
    <x v="123"/>
  </r>
  <r>
    <x v="123"/>
  </r>
  <r>
    <x v="86"/>
  </r>
  <r>
    <x v="86"/>
  </r>
  <r>
    <x v="86"/>
  </r>
  <r>
    <x v="7"/>
  </r>
  <r>
    <x v="86"/>
  </r>
  <r>
    <x v="86"/>
  </r>
  <r>
    <x v="86"/>
  </r>
  <r>
    <x v="0"/>
  </r>
  <r>
    <x v="162"/>
  </r>
  <r>
    <x v="10"/>
  </r>
  <r>
    <x v="10"/>
  </r>
  <r>
    <x v="10"/>
  </r>
  <r>
    <x v="52"/>
  </r>
  <r>
    <x v="6"/>
  </r>
  <r>
    <x v="123"/>
  </r>
  <r>
    <x v="123"/>
  </r>
  <r>
    <x v="123"/>
  </r>
  <r>
    <x v="123"/>
  </r>
  <r>
    <x v="10"/>
  </r>
  <r>
    <x v="10"/>
  </r>
  <r>
    <x v="7"/>
  </r>
  <r>
    <x v="10"/>
  </r>
  <r>
    <x v="12"/>
  </r>
  <r>
    <x v="10"/>
  </r>
  <r>
    <x v="10"/>
  </r>
  <r>
    <x v="10"/>
  </r>
  <r>
    <x v="10"/>
  </r>
  <r>
    <x v="16"/>
  </r>
  <r>
    <x v="10"/>
  </r>
  <r>
    <x v="10"/>
  </r>
  <r>
    <x v="51"/>
  </r>
  <r>
    <x v="51"/>
  </r>
  <r>
    <x v="10"/>
  </r>
  <r>
    <x v="7"/>
  </r>
  <r>
    <x v="123"/>
  </r>
  <r>
    <x v="7"/>
  </r>
  <r>
    <x v="7"/>
  </r>
  <r>
    <x v="10"/>
  </r>
  <r>
    <x v="100"/>
  </r>
  <r>
    <x v="4"/>
  </r>
  <r>
    <x v="10"/>
  </r>
  <r>
    <x v="9"/>
  </r>
  <r>
    <x v="10"/>
  </r>
  <r>
    <x v="10"/>
  </r>
  <r>
    <x v="29"/>
  </r>
  <r>
    <x v="16"/>
  </r>
  <r>
    <x v="12"/>
  </r>
  <r>
    <x v="12"/>
  </r>
  <r>
    <x v="22"/>
  </r>
  <r>
    <x v="163"/>
  </r>
  <r>
    <x v="64"/>
  </r>
  <r>
    <x v="122"/>
  </r>
  <r>
    <x v="4"/>
  </r>
  <r>
    <x v="24"/>
  </r>
  <r>
    <x v="12"/>
  </r>
  <r>
    <x v="24"/>
  </r>
  <r>
    <x v="4"/>
  </r>
  <r>
    <x v="0"/>
  </r>
  <r>
    <x v="14"/>
  </r>
  <r>
    <x v="14"/>
  </r>
  <r>
    <x v="55"/>
  </r>
  <r>
    <x v="4"/>
  </r>
  <r>
    <x v="4"/>
  </r>
  <r>
    <x v="0"/>
  </r>
  <r>
    <x v="86"/>
  </r>
  <r>
    <x v="24"/>
  </r>
  <r>
    <x v="63"/>
  </r>
  <r>
    <x v="14"/>
  </r>
  <r>
    <x v="63"/>
  </r>
  <r>
    <x v="130"/>
  </r>
  <r>
    <x v="175"/>
  </r>
  <r>
    <x v="12"/>
  </r>
  <r>
    <x v="12"/>
  </r>
  <r>
    <x v="12"/>
  </r>
  <r>
    <x v="12"/>
  </r>
  <r>
    <x v="4"/>
  </r>
  <r>
    <x v="4"/>
  </r>
  <r>
    <x v="7"/>
  </r>
  <r>
    <x v="4"/>
  </r>
  <r>
    <x v="4"/>
  </r>
  <r>
    <x v="4"/>
  </r>
  <r>
    <x v="165"/>
  </r>
  <r>
    <x v="77"/>
  </r>
  <r>
    <x v="4"/>
  </r>
  <r>
    <x v="4"/>
  </r>
  <r>
    <x v="4"/>
  </r>
  <r>
    <x v="15"/>
  </r>
  <r>
    <x v="15"/>
  </r>
  <r>
    <x v="15"/>
  </r>
  <r>
    <x v="55"/>
  </r>
  <r>
    <x v="0"/>
  </r>
  <r>
    <x v="0"/>
  </r>
  <r>
    <x v="76"/>
  </r>
  <r>
    <x v="4"/>
  </r>
  <r>
    <x v="24"/>
  </r>
  <r>
    <x v="52"/>
  </r>
  <r>
    <x v="59"/>
  </r>
  <r>
    <x v="10"/>
  </r>
  <r>
    <x v="4"/>
  </r>
  <r>
    <x v="37"/>
  </r>
  <r>
    <x v="9"/>
  </r>
  <r>
    <x v="9"/>
  </r>
  <r>
    <x v="9"/>
  </r>
  <r>
    <x v="9"/>
  </r>
  <r>
    <x v="9"/>
  </r>
  <r>
    <x v="9"/>
  </r>
  <r>
    <x v="12"/>
  </r>
  <r>
    <x v="12"/>
  </r>
  <r>
    <x v="12"/>
  </r>
  <r>
    <x v="12"/>
  </r>
  <r>
    <x v="36"/>
  </r>
  <r>
    <x v="36"/>
  </r>
  <r>
    <x v="36"/>
  </r>
  <r>
    <x v="12"/>
  </r>
  <r>
    <x v="12"/>
  </r>
  <r>
    <x v="12"/>
  </r>
  <r>
    <x v="42"/>
  </r>
  <r>
    <x v="123"/>
  </r>
  <r>
    <x v="77"/>
  </r>
  <r>
    <x v="28"/>
  </r>
  <r>
    <x v="28"/>
  </r>
  <r>
    <x v="0"/>
  </r>
  <r>
    <x v="0"/>
  </r>
  <r>
    <x v="10"/>
  </r>
  <r>
    <x v="10"/>
  </r>
  <r>
    <x v="10"/>
  </r>
  <r>
    <x v="10"/>
  </r>
  <r>
    <x v="10"/>
  </r>
  <r>
    <x v="272"/>
  </r>
  <r>
    <x v="42"/>
  </r>
  <r>
    <x v="12"/>
  </r>
  <r>
    <x v="87"/>
  </r>
  <r>
    <x v="80"/>
  </r>
  <r>
    <x v="0"/>
  </r>
  <r>
    <x v="0"/>
  </r>
  <r>
    <x v="14"/>
  </r>
  <r>
    <x v="11"/>
  </r>
  <r>
    <x v="12"/>
  </r>
  <r>
    <x v="29"/>
  </r>
  <r>
    <x v="46"/>
  </r>
  <r>
    <x v="4"/>
  </r>
  <r>
    <x v="57"/>
  </r>
  <r>
    <x v="52"/>
  </r>
  <r>
    <x v="86"/>
  </r>
  <r>
    <x v="71"/>
  </r>
  <r>
    <x v="71"/>
  </r>
  <r>
    <x v="57"/>
  </r>
  <r>
    <x v="86"/>
  </r>
  <r>
    <x v="86"/>
  </r>
  <r>
    <x v="57"/>
  </r>
  <r>
    <x v="45"/>
  </r>
  <r>
    <x v="17"/>
  </r>
  <r>
    <x v="14"/>
  </r>
  <r>
    <x v="14"/>
  </r>
  <r>
    <x v="10"/>
  </r>
  <r>
    <x v="25"/>
  </r>
  <r>
    <x v="28"/>
  </r>
  <r>
    <x v="0"/>
  </r>
  <r>
    <x v="108"/>
  </r>
  <r>
    <x v="108"/>
  </r>
  <r>
    <x v="24"/>
  </r>
  <r>
    <x v="24"/>
  </r>
  <r>
    <x v="24"/>
  </r>
  <r>
    <x v="25"/>
  </r>
  <r>
    <x v="25"/>
  </r>
  <r>
    <x v="25"/>
  </r>
  <r>
    <x v="138"/>
  </r>
  <r>
    <x v="39"/>
  </r>
  <r>
    <x v="163"/>
  </r>
  <r>
    <x v="4"/>
  </r>
  <r>
    <x v="77"/>
  </r>
  <r>
    <x v="77"/>
  </r>
  <r>
    <x v="17"/>
  </r>
  <r>
    <x v="12"/>
  </r>
  <r>
    <x v="23"/>
  </r>
  <r>
    <x v="56"/>
  </r>
  <r>
    <x v="56"/>
  </r>
  <r>
    <x v="48"/>
  </r>
  <r>
    <x v="12"/>
  </r>
  <r>
    <x v="33"/>
  </r>
  <r>
    <x v="33"/>
  </r>
  <r>
    <x v="81"/>
  </r>
  <r>
    <x v="19"/>
  </r>
  <r>
    <x v="57"/>
  </r>
  <r>
    <x v="57"/>
  </r>
  <r>
    <x v="57"/>
  </r>
  <r>
    <x v="57"/>
  </r>
  <r>
    <x v="79"/>
  </r>
  <r>
    <x v="42"/>
  </r>
  <r>
    <x v="76"/>
  </r>
  <r>
    <x v="107"/>
  </r>
  <r>
    <x v="138"/>
  </r>
  <r>
    <x v="138"/>
  </r>
  <r>
    <x v="28"/>
  </r>
  <r>
    <x v="36"/>
  </r>
  <r>
    <x v="28"/>
  </r>
  <r>
    <x v="28"/>
  </r>
  <r>
    <x v="28"/>
  </r>
  <r>
    <x v="24"/>
  </r>
  <r>
    <x v="28"/>
  </r>
  <r>
    <x v="28"/>
  </r>
  <r>
    <x v="28"/>
  </r>
  <r>
    <x v="12"/>
  </r>
  <r>
    <x v="123"/>
  </r>
  <r>
    <x v="142"/>
  </r>
  <r>
    <x v="10"/>
  </r>
  <r>
    <x v="10"/>
  </r>
  <r>
    <x v="10"/>
  </r>
  <r>
    <x v="10"/>
  </r>
  <r>
    <x v="12"/>
  </r>
  <r>
    <x v="10"/>
  </r>
  <r>
    <x v="87"/>
  </r>
  <r>
    <x v="10"/>
  </r>
  <r>
    <x v="142"/>
  </r>
  <r>
    <x v="4"/>
  </r>
  <r>
    <x v="45"/>
  </r>
  <r>
    <x v="4"/>
  </r>
  <r>
    <x v="4"/>
  </r>
  <r>
    <x v="10"/>
  </r>
  <r>
    <x v="4"/>
  </r>
  <r>
    <x v="4"/>
  </r>
  <r>
    <x v="4"/>
  </r>
  <r>
    <x v="4"/>
  </r>
  <r>
    <x v="24"/>
  </r>
  <r>
    <x v="12"/>
  </r>
  <r>
    <x v="4"/>
  </r>
  <r>
    <x v="4"/>
  </r>
  <r>
    <x v="4"/>
  </r>
  <r>
    <x v="42"/>
  </r>
  <r>
    <x v="42"/>
  </r>
  <r>
    <x v="77"/>
  </r>
  <r>
    <x v="77"/>
  </r>
  <r>
    <x v="87"/>
  </r>
  <r>
    <x v="87"/>
  </r>
  <r>
    <x v="87"/>
  </r>
  <r>
    <x v="19"/>
  </r>
  <r>
    <x v="87"/>
  </r>
  <r>
    <x v="10"/>
  </r>
  <r>
    <x v="87"/>
  </r>
  <r>
    <x v="10"/>
  </r>
  <r>
    <x v="87"/>
  </r>
  <r>
    <x v="87"/>
  </r>
  <r>
    <x v="87"/>
  </r>
  <r>
    <x v="87"/>
  </r>
  <r>
    <x v="175"/>
  </r>
  <r>
    <x v="10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14"/>
  </r>
  <r>
    <x v="122"/>
  </r>
  <r>
    <x v="98"/>
  </r>
  <r>
    <x v="86"/>
  </r>
  <r>
    <x v="25"/>
  </r>
  <r>
    <x v="152"/>
  </r>
  <r>
    <x v="72"/>
  </r>
  <r>
    <x v="123"/>
  </r>
  <r>
    <x v="123"/>
  </r>
  <r>
    <x v="0"/>
  </r>
  <r>
    <x v="25"/>
  </r>
  <r>
    <x v="12"/>
  </r>
  <r>
    <x v="42"/>
  </r>
  <r>
    <x v="42"/>
  </r>
  <r>
    <x v="29"/>
  </r>
  <r>
    <x v="10"/>
  </r>
  <r>
    <x v="138"/>
  </r>
  <r>
    <x v="35"/>
  </r>
  <r>
    <x v="40"/>
  </r>
  <r>
    <x v="42"/>
  </r>
  <r>
    <x v="22"/>
  </r>
  <r>
    <x v="77"/>
  </r>
  <r>
    <x v="4"/>
  </r>
  <r>
    <x v="4"/>
  </r>
  <r>
    <x v="4"/>
  </r>
  <r>
    <x v="4"/>
  </r>
  <r>
    <x v="4"/>
  </r>
  <r>
    <x v="4"/>
  </r>
  <r>
    <x v="87"/>
  </r>
  <r>
    <x v="87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99"/>
  </r>
  <r>
    <x v="4"/>
  </r>
  <r>
    <x v="144"/>
  </r>
  <r>
    <x v="4"/>
  </r>
  <r>
    <x v="36"/>
  </r>
  <r>
    <x v="36"/>
  </r>
  <r>
    <x v="4"/>
  </r>
  <r>
    <x v="4"/>
  </r>
  <r>
    <x v="4"/>
  </r>
  <r>
    <x v="4"/>
  </r>
  <r>
    <x v="4"/>
  </r>
  <r>
    <x v="20"/>
  </r>
  <r>
    <x v="14"/>
  </r>
  <r>
    <x v="115"/>
  </r>
  <r>
    <x v="22"/>
  </r>
  <r>
    <x v="12"/>
  </r>
  <r>
    <x v="22"/>
  </r>
  <r>
    <x v="12"/>
  </r>
  <r>
    <x v="96"/>
  </r>
  <r>
    <x v="7"/>
  </r>
  <r>
    <x v="4"/>
  </r>
  <r>
    <x v="56"/>
  </r>
  <r>
    <x v="29"/>
  </r>
  <r>
    <x v="80"/>
  </r>
  <r>
    <x v="165"/>
  </r>
  <r>
    <x v="36"/>
  </r>
  <r>
    <x v="10"/>
  </r>
  <r>
    <x v="12"/>
  </r>
  <r>
    <x v="115"/>
  </r>
  <r>
    <x v="96"/>
  </r>
  <r>
    <x v="126"/>
  </r>
  <r>
    <x v="39"/>
  </r>
  <r>
    <x v="10"/>
  </r>
  <r>
    <x v="10"/>
  </r>
  <r>
    <x v="10"/>
  </r>
  <r>
    <x v="10"/>
  </r>
  <r>
    <x v="50"/>
  </r>
  <r>
    <x v="50"/>
  </r>
  <r>
    <x v="50"/>
  </r>
  <r>
    <x v="50"/>
  </r>
  <r>
    <x v="50"/>
  </r>
  <r>
    <x v="50"/>
  </r>
  <r>
    <x v="28"/>
  </r>
  <r>
    <x v="4"/>
  </r>
  <r>
    <x v="4"/>
  </r>
  <r>
    <x v="10"/>
  </r>
  <r>
    <x v="115"/>
  </r>
  <r>
    <x v="14"/>
  </r>
  <r>
    <x v="5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10"/>
  </r>
  <r>
    <x v="0"/>
  </r>
  <r>
    <x v="45"/>
  </r>
  <r>
    <x v="123"/>
  </r>
  <r>
    <x v="7"/>
  </r>
  <r>
    <x v="78"/>
  </r>
  <r>
    <x v="78"/>
  </r>
  <r>
    <x v="7"/>
  </r>
  <r>
    <x v="7"/>
  </r>
  <r>
    <x v="78"/>
  </r>
  <r>
    <x v="78"/>
  </r>
  <r>
    <x v="78"/>
  </r>
  <r>
    <x v="32"/>
  </r>
  <r>
    <x v="16"/>
  </r>
  <r>
    <x v="42"/>
  </r>
  <r>
    <x v="9"/>
  </r>
  <r>
    <x v="15"/>
  </r>
  <r>
    <x v="42"/>
  </r>
  <r>
    <x v="42"/>
  </r>
  <r>
    <x v="42"/>
  </r>
  <r>
    <x v="10"/>
  </r>
  <r>
    <x v="16"/>
  </r>
  <r>
    <x v="14"/>
  </r>
  <r>
    <x v="123"/>
  </r>
  <r>
    <x v="123"/>
  </r>
  <r>
    <x v="123"/>
  </r>
  <r>
    <x v="123"/>
  </r>
  <r>
    <x v="123"/>
  </r>
  <r>
    <x v="24"/>
  </r>
  <r>
    <x v="123"/>
  </r>
  <r>
    <x v="123"/>
  </r>
  <r>
    <x v="123"/>
  </r>
  <r>
    <x v="79"/>
  </r>
  <r>
    <x v="42"/>
  </r>
  <r>
    <x v="33"/>
  </r>
  <r>
    <x v="12"/>
  </r>
  <r>
    <x v="12"/>
  </r>
  <r>
    <x v="28"/>
  </r>
  <r>
    <x v="14"/>
  </r>
  <r>
    <x v="12"/>
  </r>
  <r>
    <x v="12"/>
  </r>
  <r>
    <x v="12"/>
  </r>
  <r>
    <x v="23"/>
  </r>
  <r>
    <x v="12"/>
  </r>
  <r>
    <x v="23"/>
  </r>
  <r>
    <x v="12"/>
  </r>
  <r>
    <x v="140"/>
  </r>
  <r>
    <x v="14"/>
  </r>
  <r>
    <x v="14"/>
  </r>
  <r>
    <x v="57"/>
  </r>
  <r>
    <x v="10"/>
  </r>
  <r>
    <x v="10"/>
  </r>
  <r>
    <x v="4"/>
  </r>
  <r>
    <x v="4"/>
  </r>
  <r>
    <x v="4"/>
  </r>
  <r>
    <x v="4"/>
  </r>
  <r>
    <x v="123"/>
  </r>
  <r>
    <x v="123"/>
  </r>
  <r>
    <x v="123"/>
  </r>
  <r>
    <x v="4"/>
  </r>
  <r>
    <x v="4"/>
  </r>
  <r>
    <x v="123"/>
  </r>
  <r>
    <x v="123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4"/>
  </r>
  <r>
    <x v="10"/>
  </r>
  <r>
    <x v="4"/>
  </r>
  <r>
    <x v="4"/>
  </r>
  <r>
    <x v="4"/>
  </r>
  <r>
    <x v="28"/>
  </r>
  <r>
    <x v="16"/>
  </r>
  <r>
    <x v="16"/>
  </r>
  <r>
    <x v="14"/>
  </r>
  <r>
    <x v="23"/>
  </r>
  <r>
    <x v="12"/>
  </r>
  <r>
    <x v="16"/>
  </r>
  <r>
    <x v="52"/>
  </r>
  <r>
    <x v="53"/>
  </r>
  <r>
    <x v="76"/>
  </r>
  <r>
    <x v="7"/>
  </r>
  <r>
    <x v="19"/>
  </r>
  <r>
    <x v="19"/>
  </r>
  <r>
    <x v="33"/>
  </r>
  <r>
    <x v="28"/>
  </r>
  <r>
    <x v="28"/>
  </r>
  <r>
    <x v="128"/>
  </r>
  <r>
    <x v="128"/>
  </r>
  <r>
    <x v="128"/>
  </r>
  <r>
    <x v="128"/>
  </r>
  <r>
    <x v="128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21"/>
  </r>
  <r>
    <x v="25"/>
  </r>
  <r>
    <x v="36"/>
  </r>
  <r>
    <x v="4"/>
  </r>
  <r>
    <x v="4"/>
  </r>
  <r>
    <x v="14"/>
  </r>
  <r>
    <x v="8"/>
  </r>
  <r>
    <x v="17"/>
  </r>
  <r>
    <x v="8"/>
  </r>
  <r>
    <x v="4"/>
  </r>
  <r>
    <x v="6"/>
  </r>
  <r>
    <x v="16"/>
  </r>
  <r>
    <x v="17"/>
  </r>
  <r>
    <x v="126"/>
  </r>
  <r>
    <x v="7"/>
  </r>
  <r>
    <x v="7"/>
  </r>
  <r>
    <x v="48"/>
  </r>
  <r>
    <x v="78"/>
  </r>
  <r>
    <x v="14"/>
  </r>
  <r>
    <x v="16"/>
  </r>
  <r>
    <x v="28"/>
  </r>
  <r>
    <x v="64"/>
  </r>
  <r>
    <x v="115"/>
  </r>
  <r>
    <x v="4"/>
  </r>
  <r>
    <x v="4"/>
  </r>
  <r>
    <x v="4"/>
  </r>
  <r>
    <x v="4"/>
  </r>
  <r>
    <x v="3"/>
  </r>
  <r>
    <x v="10"/>
  </r>
  <r>
    <x v="10"/>
  </r>
  <r>
    <x v="87"/>
  </r>
  <r>
    <x v="42"/>
  </r>
  <r>
    <x v="9"/>
  </r>
  <r>
    <x v="10"/>
  </r>
  <r>
    <x v="52"/>
  </r>
  <r>
    <x v="0"/>
  </r>
  <r>
    <x v="0"/>
  </r>
  <r>
    <x v="0"/>
  </r>
  <r>
    <x v="1"/>
  </r>
  <r>
    <x v="0"/>
  </r>
  <r>
    <x v="31"/>
  </r>
  <r>
    <x v="22"/>
  </r>
  <r>
    <x v="12"/>
  </r>
  <r>
    <x v="0"/>
  </r>
  <r>
    <x v="56"/>
  </r>
  <r>
    <x v="56"/>
  </r>
  <r>
    <x v="33"/>
  </r>
  <r>
    <x v="33"/>
  </r>
  <r>
    <x v="33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10"/>
  </r>
  <r>
    <x v="115"/>
  </r>
  <r>
    <x v="42"/>
  </r>
  <r>
    <x v="0"/>
  </r>
  <r>
    <x v="0"/>
  </r>
  <r>
    <x v="128"/>
  </r>
  <r>
    <x v="0"/>
  </r>
  <r>
    <x v="128"/>
  </r>
  <r>
    <x v="28"/>
  </r>
  <r>
    <x v="33"/>
  </r>
  <r>
    <x v="33"/>
  </r>
  <r>
    <x v="25"/>
  </r>
  <r>
    <x v="0"/>
  </r>
  <r>
    <x v="0"/>
  </r>
  <r>
    <x v="0"/>
  </r>
  <r>
    <x v="0"/>
  </r>
  <r>
    <x v="0"/>
  </r>
  <r>
    <x v="10"/>
  </r>
  <r>
    <x v="33"/>
  </r>
  <r>
    <x v="0"/>
  </r>
  <r>
    <x v="87"/>
  </r>
  <r>
    <x v="36"/>
  </r>
  <r>
    <x v="36"/>
  </r>
  <r>
    <x v="33"/>
  </r>
  <r>
    <x v="33"/>
  </r>
  <r>
    <x v="0"/>
  </r>
  <r>
    <x v="0"/>
  </r>
  <r>
    <x v="0"/>
  </r>
  <r>
    <x v="33"/>
  </r>
  <r>
    <x v="33"/>
  </r>
  <r>
    <x v="33"/>
  </r>
  <r>
    <x v="28"/>
  </r>
  <r>
    <x v="33"/>
  </r>
  <r>
    <x v="0"/>
  </r>
  <r>
    <x v="0"/>
  </r>
  <r>
    <x v="0"/>
  </r>
  <r>
    <x v="0"/>
  </r>
  <r>
    <x v="10"/>
  </r>
  <r>
    <x v="10"/>
  </r>
  <r>
    <x v="10"/>
  </r>
  <r>
    <x v="78"/>
  </r>
  <r>
    <x v="0"/>
  </r>
  <r>
    <x v="0"/>
  </r>
  <r>
    <x v="0"/>
  </r>
  <r>
    <x v="115"/>
  </r>
  <r>
    <x v="115"/>
  </r>
  <r>
    <x v="12"/>
  </r>
  <r>
    <x v="12"/>
  </r>
  <r>
    <x v="123"/>
  </r>
  <r>
    <x v="152"/>
  </r>
  <r>
    <x v="152"/>
  </r>
  <r>
    <x v="152"/>
  </r>
  <r>
    <x v="87"/>
  </r>
  <r>
    <x v="87"/>
  </r>
  <r>
    <x v="88"/>
  </r>
  <r>
    <x v="42"/>
  </r>
  <r>
    <x v="42"/>
  </r>
  <r>
    <x v="42"/>
  </r>
  <r>
    <x v="77"/>
  </r>
  <r>
    <x v="10"/>
  </r>
  <r>
    <x v="155"/>
  </r>
  <r>
    <x v="53"/>
  </r>
  <r>
    <x v="152"/>
  </r>
  <r>
    <x v="36"/>
  </r>
  <r>
    <x v="52"/>
  </r>
  <r>
    <x v="6"/>
  </r>
  <r>
    <x v="16"/>
  </r>
  <r>
    <x v="123"/>
  </r>
  <r>
    <x v="12"/>
  </r>
  <r>
    <x v="56"/>
  </r>
  <r>
    <x v="10"/>
  </r>
  <r>
    <x v="10"/>
  </r>
  <r>
    <x v="4"/>
  </r>
  <r>
    <x v="10"/>
  </r>
  <r>
    <x v="123"/>
  </r>
  <r>
    <x v="123"/>
  </r>
  <r>
    <x v="10"/>
  </r>
  <r>
    <x v="4"/>
  </r>
  <r>
    <x v="10"/>
  </r>
  <r>
    <x v="10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10"/>
  </r>
  <r>
    <x v="10"/>
  </r>
  <r>
    <x v="4"/>
  </r>
  <r>
    <x v="4"/>
  </r>
  <r>
    <x v="10"/>
  </r>
  <r>
    <x v="10"/>
  </r>
  <r>
    <x v="10"/>
  </r>
  <r>
    <x v="6"/>
  </r>
  <r>
    <x v="138"/>
  </r>
  <r>
    <x v="138"/>
  </r>
  <r>
    <x v="138"/>
  </r>
  <r>
    <x v="138"/>
  </r>
  <r>
    <x v="138"/>
  </r>
  <r>
    <x v="138"/>
  </r>
  <r>
    <x v="138"/>
  </r>
  <r>
    <x v="138"/>
  </r>
  <r>
    <x v="4"/>
  </r>
  <r>
    <x v="138"/>
  </r>
  <r>
    <x v="138"/>
  </r>
  <r>
    <x v="138"/>
  </r>
  <r>
    <x v="138"/>
  </r>
  <r>
    <x v="138"/>
  </r>
  <r>
    <x v="24"/>
  </r>
  <r>
    <x v="24"/>
  </r>
  <r>
    <x v="48"/>
  </r>
  <r>
    <x v="163"/>
  </r>
  <r>
    <x v="14"/>
  </r>
  <r>
    <x v="14"/>
  </r>
  <r>
    <x v="12"/>
  </r>
  <r>
    <x v="19"/>
  </r>
  <r>
    <x v="19"/>
  </r>
  <r>
    <x v="22"/>
  </r>
  <r>
    <x v="12"/>
  </r>
  <r>
    <x v="17"/>
  </r>
  <r>
    <x v="63"/>
  </r>
  <r>
    <x v="63"/>
  </r>
  <r>
    <x v="63"/>
  </r>
  <r>
    <x v="4"/>
  </r>
  <r>
    <x v="12"/>
  </r>
  <r>
    <x v="115"/>
  </r>
  <r>
    <x v="12"/>
  </r>
  <r>
    <x v="12"/>
  </r>
  <r>
    <x v="12"/>
  </r>
  <r>
    <x v="12"/>
  </r>
  <r>
    <x v="115"/>
  </r>
  <r>
    <x v="42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4"/>
  </r>
  <r>
    <x v="4"/>
  </r>
  <r>
    <x v="10"/>
  </r>
  <r>
    <x v="10"/>
  </r>
  <r>
    <x v="4"/>
  </r>
  <r>
    <x v="4"/>
  </r>
  <r>
    <x v="57"/>
  </r>
  <r>
    <x v="4"/>
  </r>
  <r>
    <x v="4"/>
  </r>
  <r>
    <x v="10"/>
  </r>
  <r>
    <x v="24"/>
  </r>
  <r>
    <x v="24"/>
  </r>
  <r>
    <x v="24"/>
  </r>
  <r>
    <x v="108"/>
  </r>
  <r>
    <x v="24"/>
  </r>
  <r>
    <x v="24"/>
  </r>
  <r>
    <x v="24"/>
  </r>
  <r>
    <x v="24"/>
  </r>
  <r>
    <x v="14"/>
  </r>
  <r>
    <x v="24"/>
  </r>
  <r>
    <x v="28"/>
  </r>
  <r>
    <x v="2"/>
  </r>
  <r>
    <x v="87"/>
  </r>
  <r>
    <x v="69"/>
  </r>
  <r>
    <x v="69"/>
  </r>
  <r>
    <x v="69"/>
  </r>
  <r>
    <x v="4"/>
  </r>
  <r>
    <x v="4"/>
  </r>
  <r>
    <x v="69"/>
  </r>
  <r>
    <x v="69"/>
  </r>
  <r>
    <x v="69"/>
  </r>
  <r>
    <x v="36"/>
  </r>
  <r>
    <x v="42"/>
  </r>
  <r>
    <x v="10"/>
  </r>
  <r>
    <x v="10"/>
  </r>
  <r>
    <x v="4"/>
  </r>
  <r>
    <x v="12"/>
  </r>
  <r>
    <x v="4"/>
  </r>
  <r>
    <x v="30"/>
  </r>
  <r>
    <x v="12"/>
  </r>
  <r>
    <x v="10"/>
  </r>
  <r>
    <x v="77"/>
  </r>
  <r>
    <x v="10"/>
  </r>
  <r>
    <x v="10"/>
  </r>
  <r>
    <x v="10"/>
  </r>
  <r>
    <x v="115"/>
  </r>
  <r>
    <x v="36"/>
  </r>
  <r>
    <x v="25"/>
  </r>
  <r>
    <x v="59"/>
  </r>
  <r>
    <x v="115"/>
  </r>
  <r>
    <x v="115"/>
  </r>
  <r>
    <x v="138"/>
  </r>
  <r>
    <x v="138"/>
  </r>
  <r>
    <x v="138"/>
  </r>
  <r>
    <x v="52"/>
  </r>
  <r>
    <x v="52"/>
  </r>
  <r>
    <x v="14"/>
  </r>
  <r>
    <x v="14"/>
  </r>
  <r>
    <x v="12"/>
  </r>
  <r>
    <x v="28"/>
  </r>
  <r>
    <x v="28"/>
  </r>
  <r>
    <x v="12"/>
  </r>
  <r>
    <x v="12"/>
  </r>
  <r>
    <x v="6"/>
  </r>
  <r>
    <x v="0"/>
  </r>
  <r>
    <x v="168"/>
  </r>
  <r>
    <x v="36"/>
  </r>
  <r>
    <x v="123"/>
  </r>
  <r>
    <x v="114"/>
  </r>
  <r>
    <x v="42"/>
  </r>
  <r>
    <x v="115"/>
  </r>
  <r>
    <x v="87"/>
  </r>
  <r>
    <x v="10"/>
  </r>
  <r>
    <x v="86"/>
  </r>
  <r>
    <x v="10"/>
  </r>
  <r>
    <x v="12"/>
  </r>
  <r>
    <x v="12"/>
  </r>
  <r>
    <x v="6"/>
  </r>
  <r>
    <x v="12"/>
  </r>
  <r>
    <x v="123"/>
  </r>
  <r>
    <x v="123"/>
  </r>
  <r>
    <x v="14"/>
  </r>
  <r>
    <x v="17"/>
  </r>
  <r>
    <x v="108"/>
  </r>
  <r>
    <x v="30"/>
  </r>
  <r>
    <x v="152"/>
  </r>
  <r>
    <x v="152"/>
  </r>
  <r>
    <x v="152"/>
  </r>
  <r>
    <x v="12"/>
  </r>
  <r>
    <x v="123"/>
  </r>
  <r>
    <x v="123"/>
  </r>
  <r>
    <x v="28"/>
  </r>
  <r>
    <x v="123"/>
  </r>
  <r>
    <x v="123"/>
  </r>
  <r>
    <x v="123"/>
  </r>
  <r>
    <x v="152"/>
  </r>
  <r>
    <x v="152"/>
  </r>
  <r>
    <x v="111"/>
  </r>
  <r>
    <x v="52"/>
  </r>
  <r>
    <x v="37"/>
  </r>
  <r>
    <x v="12"/>
  </r>
  <r>
    <x v="12"/>
  </r>
  <r>
    <x v="12"/>
  </r>
  <r>
    <x v="4"/>
  </r>
  <r>
    <x v="4"/>
  </r>
  <r>
    <x v="4"/>
  </r>
  <r>
    <x v="10"/>
  </r>
  <r>
    <x v="138"/>
  </r>
  <r>
    <x v="138"/>
  </r>
  <r>
    <x v="138"/>
  </r>
  <r>
    <x v="138"/>
  </r>
  <r>
    <x v="138"/>
  </r>
  <r>
    <x v="37"/>
  </r>
  <r>
    <x v="138"/>
  </r>
  <r>
    <x v="138"/>
  </r>
  <r>
    <x v="138"/>
  </r>
  <r>
    <x v="57"/>
  </r>
  <r>
    <x v="57"/>
  </r>
  <r>
    <x v="57"/>
  </r>
  <r>
    <x v="57"/>
  </r>
  <r>
    <x v="123"/>
  </r>
  <r>
    <x v="6"/>
  </r>
  <r>
    <x v="6"/>
  </r>
  <r>
    <x v="6"/>
  </r>
  <r>
    <x v="256"/>
  </r>
  <r>
    <x v="14"/>
  </r>
  <r>
    <x v="14"/>
  </r>
  <r>
    <x v="14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79"/>
  </r>
  <r>
    <x v="57"/>
  </r>
  <r>
    <x v="86"/>
  </r>
  <r>
    <x v="86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75"/>
  </r>
  <r>
    <x v="33"/>
  </r>
  <r>
    <x v="10"/>
  </r>
  <r>
    <x v="33"/>
  </r>
  <r>
    <x v="7"/>
  </r>
  <r>
    <x v="7"/>
  </r>
  <r>
    <x v="7"/>
  </r>
  <r>
    <x v="7"/>
  </r>
  <r>
    <x v="7"/>
  </r>
  <r>
    <x v="7"/>
  </r>
  <r>
    <x v="7"/>
  </r>
  <r>
    <x v="10"/>
  </r>
  <r>
    <x v="51"/>
  </r>
  <r>
    <x v="71"/>
  </r>
  <r>
    <x v="51"/>
  </r>
  <r>
    <x v="48"/>
  </r>
  <r>
    <x v="4"/>
  </r>
  <r>
    <x v="57"/>
  </r>
  <r>
    <x v="76"/>
  </r>
  <r>
    <x v="76"/>
  </r>
  <r>
    <x v="12"/>
  </r>
  <r>
    <x v="22"/>
  </r>
  <r>
    <x v="122"/>
  </r>
  <r>
    <x v="29"/>
  </r>
  <r>
    <x v="29"/>
  </r>
  <r>
    <x v="12"/>
  </r>
  <r>
    <x v="12"/>
  </r>
  <r>
    <x v="201"/>
  </r>
  <r>
    <x v="33"/>
  </r>
  <r>
    <x v="33"/>
  </r>
  <r>
    <x v="33"/>
  </r>
  <r>
    <x v="64"/>
  </r>
  <r>
    <x v="24"/>
  </r>
  <r>
    <x v="4"/>
  </r>
  <r>
    <x v="4"/>
  </r>
  <r>
    <x v="168"/>
  </r>
  <r>
    <x v="168"/>
  </r>
  <r>
    <x v="12"/>
  </r>
  <r>
    <x v="115"/>
  </r>
  <r>
    <x v="10"/>
  </r>
  <r>
    <x v="10"/>
  </r>
  <r>
    <x v="10"/>
  </r>
  <r>
    <x v="36"/>
  </r>
  <r>
    <x v="16"/>
  </r>
  <r>
    <x v="14"/>
  </r>
  <r>
    <x v="6"/>
  </r>
  <r>
    <x v="17"/>
  </r>
  <r>
    <x v="14"/>
  </r>
  <r>
    <x v="10"/>
  </r>
  <r>
    <x v="24"/>
  </r>
  <r>
    <x v="24"/>
  </r>
  <r>
    <x v="152"/>
  </r>
  <r>
    <x v="152"/>
  </r>
  <r>
    <x v="12"/>
  </r>
  <r>
    <x v="33"/>
  </r>
  <r>
    <x v="0"/>
  </r>
  <r>
    <x v="10"/>
  </r>
  <r>
    <x v="10"/>
  </r>
  <r>
    <x v="123"/>
  </r>
  <r>
    <x v="123"/>
  </r>
  <r>
    <x v="36"/>
  </r>
  <r>
    <x v="36"/>
  </r>
  <r>
    <x v="115"/>
  </r>
  <r>
    <x v="10"/>
  </r>
  <r>
    <x v="10"/>
  </r>
  <r>
    <x v="123"/>
  </r>
  <r>
    <x v="17"/>
  </r>
  <r>
    <x v="123"/>
  </r>
  <r>
    <x v="123"/>
  </r>
  <r>
    <x v="408"/>
  </r>
  <r>
    <x v="10"/>
  </r>
  <r>
    <x v="163"/>
  </r>
  <r>
    <x v="408"/>
  </r>
  <r>
    <x v="8"/>
  </r>
  <r>
    <x v="85"/>
  </r>
  <r>
    <x v="8"/>
  </r>
  <r>
    <x v="8"/>
  </r>
  <r>
    <x v="8"/>
  </r>
  <r>
    <x v="164"/>
  </r>
  <r>
    <x v="42"/>
  </r>
  <r>
    <x v="7"/>
  </r>
  <r>
    <x v="12"/>
  </r>
  <r>
    <x v="164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149"/>
  </r>
  <r>
    <x v="149"/>
  </r>
  <r>
    <x v="71"/>
  </r>
  <r>
    <x v="71"/>
  </r>
  <r>
    <x v="71"/>
  </r>
  <r>
    <x v="0"/>
  </r>
  <r>
    <x v="42"/>
  </r>
  <r>
    <x v="71"/>
  </r>
  <r>
    <x v="71"/>
  </r>
  <r>
    <x v="71"/>
  </r>
  <r>
    <x v="12"/>
  </r>
  <r>
    <x v="111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0"/>
  </r>
  <r>
    <x v="79"/>
  </r>
  <r>
    <x v="4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11"/>
  </r>
  <r>
    <x v="0"/>
  </r>
  <r>
    <x v="0"/>
  </r>
  <r>
    <x v="14"/>
  </r>
  <r>
    <x v="12"/>
  </r>
  <r>
    <x v="10"/>
  </r>
  <r>
    <x v="1"/>
  </r>
  <r>
    <x v="42"/>
  </r>
  <r>
    <x v="10"/>
  </r>
  <r>
    <x v="10"/>
  </r>
  <r>
    <x v="10"/>
  </r>
  <r>
    <x v="10"/>
  </r>
  <r>
    <x v="10"/>
  </r>
  <r>
    <x v="7"/>
  </r>
  <r>
    <x v="10"/>
  </r>
  <r>
    <x v="36"/>
  </r>
  <r>
    <x v="6"/>
  </r>
  <r>
    <x v="123"/>
  </r>
  <r>
    <x v="4"/>
  </r>
  <r>
    <x v="10"/>
  </r>
  <r>
    <x v="10"/>
  </r>
  <r>
    <x v="10"/>
  </r>
  <r>
    <x v="10"/>
  </r>
  <r>
    <x v="10"/>
  </r>
  <r>
    <x v="77"/>
  </r>
  <r>
    <x v="77"/>
  </r>
  <r>
    <x v="77"/>
  </r>
  <r>
    <x v="30"/>
  </r>
  <r>
    <x v="30"/>
  </r>
  <r>
    <x v="30"/>
  </r>
  <r>
    <x v="102"/>
  </r>
  <r>
    <x v="14"/>
  </r>
  <r>
    <x v="12"/>
  </r>
  <r>
    <x v="12"/>
  </r>
  <r>
    <x v="22"/>
  </r>
  <r>
    <x v="77"/>
  </r>
  <r>
    <x v="77"/>
  </r>
  <r>
    <x v="123"/>
  </r>
  <r>
    <x v="123"/>
  </r>
  <r>
    <x v="287"/>
  </r>
  <r>
    <x v="7"/>
  </r>
  <r>
    <x v="162"/>
  </r>
  <r>
    <x v="54"/>
  </r>
  <r>
    <x v="114"/>
  </r>
  <r>
    <x v="114"/>
  </r>
  <r>
    <x v="10"/>
  </r>
  <r>
    <x v="10"/>
  </r>
  <r>
    <x v="59"/>
  </r>
  <r>
    <x v="59"/>
  </r>
  <r>
    <x v="162"/>
  </r>
  <r>
    <x v="48"/>
  </r>
  <r>
    <x v="35"/>
  </r>
  <r>
    <x v="76"/>
  </r>
  <r>
    <x v="7"/>
  </r>
  <r>
    <x v="123"/>
  </r>
  <r>
    <x v="4"/>
  </r>
  <r>
    <x v="0"/>
  </r>
  <r>
    <x v="0"/>
  </r>
  <r>
    <x v="0"/>
  </r>
  <r>
    <x v="0"/>
  </r>
  <r>
    <x v="0"/>
  </r>
  <r>
    <x v="0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3"/>
  </r>
  <r>
    <x v="53"/>
  </r>
  <r>
    <x v="53"/>
  </r>
  <r>
    <x v="53"/>
  </r>
  <r>
    <x v="53"/>
  </r>
  <r>
    <x v="53"/>
  </r>
  <r>
    <x v="53"/>
  </r>
  <r>
    <x v="7"/>
  </r>
  <r>
    <x v="7"/>
  </r>
  <r>
    <x v="7"/>
  </r>
  <r>
    <x v="7"/>
  </r>
  <r>
    <x v="7"/>
  </r>
  <r>
    <x v="7"/>
  </r>
  <r>
    <x v="7"/>
  </r>
  <r>
    <x v="7"/>
  </r>
  <r>
    <x v="152"/>
  </r>
  <r>
    <x v="152"/>
  </r>
  <r>
    <x v="53"/>
  </r>
  <r>
    <x v="152"/>
  </r>
  <r>
    <x v="123"/>
  </r>
  <r>
    <x v="123"/>
  </r>
  <r>
    <x v="123"/>
  </r>
  <r>
    <x v="42"/>
  </r>
  <r>
    <x v="10"/>
  </r>
  <r>
    <x v="10"/>
  </r>
  <r>
    <x v="123"/>
  </r>
  <r>
    <x v="123"/>
  </r>
  <r>
    <x v="2"/>
  </r>
  <r>
    <x v="28"/>
  </r>
  <r>
    <x v="28"/>
  </r>
  <r>
    <x v="28"/>
  </r>
  <r>
    <x v="28"/>
  </r>
  <r>
    <x v="16"/>
  </r>
  <r>
    <x v="16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60"/>
  </r>
  <r>
    <x v="60"/>
  </r>
  <r>
    <x v="60"/>
  </r>
  <r>
    <x v="60"/>
  </r>
  <r>
    <x v="60"/>
  </r>
  <r>
    <x v="63"/>
  </r>
  <r>
    <x v="10"/>
  </r>
  <r>
    <x v="0"/>
  </r>
  <r>
    <x v="87"/>
  </r>
  <r>
    <x v="87"/>
  </r>
  <r>
    <x v="0"/>
  </r>
  <r>
    <x v="2"/>
  </r>
  <r>
    <x v="2"/>
  </r>
  <r>
    <x v="2"/>
  </r>
  <r>
    <x v="2"/>
  </r>
  <r>
    <x v="2"/>
  </r>
  <r>
    <x v="2"/>
  </r>
  <r>
    <x v="2"/>
  </r>
  <r>
    <x v="2"/>
  </r>
  <r>
    <x v="10"/>
  </r>
  <r>
    <x v="131"/>
  </r>
  <r>
    <x v="0"/>
  </r>
  <r>
    <x v="28"/>
  </r>
  <r>
    <x v="28"/>
  </r>
  <r>
    <x v="87"/>
  </r>
  <r>
    <x v="79"/>
  </r>
  <r>
    <x v="77"/>
  </r>
  <r>
    <x v="10"/>
  </r>
  <r>
    <x v="45"/>
  </r>
  <r>
    <x v="4"/>
  </r>
  <r>
    <x v="7"/>
  </r>
  <r>
    <x v="7"/>
  </r>
  <r>
    <x v="7"/>
  </r>
  <r>
    <x v="138"/>
  </r>
  <r>
    <x v="0"/>
  </r>
  <r>
    <x v="12"/>
  </r>
  <r>
    <x v="138"/>
  </r>
  <r>
    <x v="108"/>
  </r>
  <r>
    <x v="7"/>
  </r>
  <r>
    <x v="7"/>
  </r>
  <r>
    <x v="7"/>
  </r>
  <r>
    <x v="7"/>
  </r>
  <r>
    <x v="7"/>
  </r>
  <r>
    <x v="2"/>
  </r>
  <r>
    <x v="251"/>
  </r>
  <r>
    <x v="0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152"/>
  </r>
  <r>
    <x v="123"/>
  </r>
  <r>
    <x v="7"/>
  </r>
  <r>
    <x v="7"/>
  </r>
  <r>
    <x v="7"/>
  </r>
  <r>
    <x v="28"/>
  </r>
  <r>
    <x v="14"/>
  </r>
  <r>
    <x v="28"/>
  </r>
  <r>
    <x v="28"/>
  </r>
  <r>
    <x v="4"/>
  </r>
  <r>
    <x v="19"/>
  </r>
  <r>
    <x v="123"/>
  </r>
  <r>
    <x v="25"/>
  </r>
  <r>
    <x v="3"/>
  </r>
  <r>
    <x v="42"/>
  </r>
  <r>
    <x v="7"/>
  </r>
  <r>
    <x v="7"/>
  </r>
  <r>
    <x v="7"/>
  </r>
  <r>
    <x v="7"/>
  </r>
  <r>
    <x v="7"/>
  </r>
  <r>
    <x v="7"/>
  </r>
  <r>
    <x v="7"/>
  </r>
  <r>
    <x v="7"/>
  </r>
  <r>
    <x v="4"/>
  </r>
  <r>
    <x v="4"/>
  </r>
  <r>
    <x v="4"/>
  </r>
  <r>
    <x v="4"/>
  </r>
  <r>
    <x v="123"/>
  </r>
  <r>
    <x v="123"/>
  </r>
  <r>
    <x v="10"/>
  </r>
  <r>
    <x v="0"/>
  </r>
  <r>
    <x v="154"/>
  </r>
  <r>
    <x v="10"/>
  </r>
  <r>
    <x v="10"/>
  </r>
  <r>
    <x v="87"/>
  </r>
  <r>
    <x v="53"/>
  </r>
  <r>
    <x v="53"/>
  </r>
  <r>
    <x v="138"/>
  </r>
  <r>
    <x v="4"/>
  </r>
  <r>
    <x v="10"/>
  </r>
  <r>
    <x v="10"/>
  </r>
  <r>
    <x v="152"/>
  </r>
  <r>
    <x v="152"/>
  </r>
  <r>
    <x v="152"/>
  </r>
  <r>
    <x v="152"/>
  </r>
  <r>
    <x v="42"/>
  </r>
  <r>
    <x v="42"/>
  </r>
  <r>
    <x v="42"/>
  </r>
  <r>
    <x v="42"/>
  </r>
  <r>
    <x v="123"/>
  </r>
  <r>
    <x v="76"/>
  </r>
  <r>
    <x v="123"/>
  </r>
  <r>
    <x v="123"/>
  </r>
  <r>
    <x v="42"/>
  </r>
  <r>
    <x v="19"/>
  </r>
  <r>
    <x v="123"/>
  </r>
  <r>
    <x v="24"/>
  </r>
  <r>
    <x v="42"/>
  </r>
  <r>
    <x v="21"/>
  </r>
  <r>
    <x v="21"/>
  </r>
  <r>
    <x v="24"/>
  </r>
  <r>
    <x v="21"/>
  </r>
  <r>
    <x v="21"/>
  </r>
  <r>
    <x v="165"/>
  </r>
  <r>
    <x v="165"/>
  </r>
  <r>
    <x v="165"/>
  </r>
  <r>
    <x v="87"/>
  </r>
  <r>
    <x v="115"/>
  </r>
  <r>
    <x v="115"/>
  </r>
  <r>
    <x v="79"/>
  </r>
  <r>
    <x v="79"/>
  </r>
  <r>
    <x v="10"/>
  </r>
  <r>
    <x v="80"/>
  </r>
  <r>
    <x v="10"/>
  </r>
  <r>
    <x v="10"/>
  </r>
  <r>
    <x v="26"/>
  </r>
  <r>
    <x v="125"/>
  </r>
  <r>
    <x v="125"/>
  </r>
  <r>
    <x v="12"/>
  </r>
  <r>
    <x v="10"/>
  </r>
  <r>
    <x v="10"/>
  </r>
  <r>
    <x v="10"/>
  </r>
  <r>
    <x v="63"/>
  </r>
  <r>
    <x v="41"/>
  </r>
  <r>
    <x v="41"/>
  </r>
  <r>
    <x v="130"/>
  </r>
  <r>
    <x v="11"/>
  </r>
  <r>
    <x v="7"/>
  </r>
  <r>
    <x v="272"/>
  </r>
  <r>
    <x v="7"/>
  </r>
  <r>
    <x v="36"/>
  </r>
  <r>
    <x v="240"/>
  </r>
  <r>
    <x v="154"/>
  </r>
  <r>
    <x v="154"/>
  </r>
  <r>
    <x v="0"/>
  </r>
  <r>
    <x v="0"/>
  </r>
  <r>
    <x v="56"/>
  </r>
  <r>
    <x v="14"/>
  </r>
  <r>
    <x v="4"/>
  </r>
  <r>
    <x v="4"/>
  </r>
  <r>
    <x v="4"/>
  </r>
  <r>
    <x v="4"/>
  </r>
  <r>
    <x v="21"/>
  </r>
  <r>
    <x v="17"/>
  </r>
  <r>
    <x v="4"/>
  </r>
  <r>
    <x v="4"/>
  </r>
  <r>
    <x v="42"/>
  </r>
  <r>
    <x v="42"/>
  </r>
  <r>
    <x v="42"/>
  </r>
  <r>
    <x v="42"/>
  </r>
  <r>
    <x v="108"/>
  </r>
  <r>
    <x v="4"/>
  </r>
  <r>
    <x v="29"/>
  </r>
  <r>
    <x v="57"/>
  </r>
  <r>
    <x v="0"/>
  </r>
  <r>
    <x v="4"/>
  </r>
  <r>
    <x v="4"/>
  </r>
  <r>
    <x v="138"/>
  </r>
  <r>
    <x v="138"/>
  </r>
  <r>
    <x v="17"/>
  </r>
  <r>
    <x v="78"/>
  </r>
  <r>
    <x v="78"/>
  </r>
  <r>
    <x v="78"/>
  </r>
  <r>
    <x v="78"/>
  </r>
  <r>
    <x v="0"/>
  </r>
  <r>
    <x v="55"/>
  </r>
  <r>
    <x v="138"/>
  </r>
  <r>
    <x v="4"/>
  </r>
  <r>
    <x v="175"/>
  </r>
  <r>
    <x v="0"/>
  </r>
  <r>
    <x v="175"/>
  </r>
  <r>
    <x v="37"/>
  </r>
  <r>
    <x v="175"/>
  </r>
  <r>
    <x v="10"/>
  </r>
  <r>
    <x v="4"/>
  </r>
  <r>
    <x v="17"/>
  </r>
  <r>
    <x v="17"/>
  </r>
  <r>
    <x v="12"/>
  </r>
  <r>
    <x v="12"/>
  </r>
  <r>
    <x v="78"/>
  </r>
  <r>
    <x v="42"/>
  </r>
  <r>
    <x v="12"/>
  </r>
  <r>
    <x v="12"/>
  </r>
  <r>
    <x v="48"/>
  </r>
  <r>
    <x v="48"/>
  </r>
  <r>
    <x v="12"/>
  </r>
  <r>
    <x v="6"/>
  </r>
  <r>
    <x v="6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80"/>
  </r>
  <r>
    <x v="45"/>
  </r>
  <r>
    <x v="80"/>
  </r>
  <r>
    <x v="80"/>
  </r>
  <r>
    <x v="46"/>
  </r>
  <r>
    <x v="31"/>
  </r>
  <r>
    <x v="0"/>
  </r>
  <r>
    <x v="12"/>
  </r>
  <r>
    <x v="12"/>
  </r>
  <r>
    <x v="12"/>
  </r>
  <r>
    <x v="12"/>
  </r>
  <r>
    <x v="80"/>
  </r>
  <r>
    <x v="12"/>
  </r>
  <r>
    <x v="31"/>
  </r>
  <r>
    <x v="55"/>
  </r>
  <r>
    <x v="86"/>
  </r>
  <r>
    <x v="86"/>
  </r>
  <r>
    <x v="163"/>
  </r>
  <r>
    <x v="163"/>
  </r>
  <r>
    <x v="163"/>
  </r>
  <r>
    <x v="25"/>
  </r>
  <r>
    <x v="12"/>
  </r>
  <r>
    <x v="12"/>
  </r>
  <r>
    <x v="0"/>
  </r>
  <r>
    <x v="39"/>
  </r>
  <r>
    <x v="39"/>
  </r>
  <r>
    <x v="8"/>
  </r>
  <r>
    <x v="56"/>
  </r>
  <r>
    <x v="56"/>
  </r>
  <r>
    <x v="56"/>
  </r>
  <r>
    <x v="48"/>
  </r>
  <r>
    <x v="42"/>
  </r>
  <r>
    <x v="80"/>
  </r>
  <r>
    <x v="83"/>
  </r>
  <r>
    <x v="0"/>
  </r>
  <r>
    <x v="12"/>
  </r>
  <r>
    <x v="12"/>
  </r>
  <r>
    <x v="12"/>
  </r>
  <r>
    <x v="0"/>
  </r>
  <r>
    <x v="0"/>
  </r>
  <r>
    <x v="0"/>
  </r>
  <r>
    <x v="0"/>
  </r>
  <r>
    <x v="14"/>
  </r>
  <r>
    <x v="14"/>
  </r>
  <r>
    <x v="78"/>
  </r>
  <r>
    <x v="86"/>
  </r>
  <r>
    <x v="79"/>
  </r>
  <r>
    <x v="4"/>
  </r>
  <r>
    <x v="4"/>
  </r>
  <r>
    <x v="4"/>
  </r>
  <r>
    <x v="9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4"/>
  </r>
  <r>
    <x v="9"/>
  </r>
  <r>
    <x v="55"/>
  </r>
  <r>
    <x v="0"/>
  </r>
  <r>
    <x v="17"/>
  </r>
  <r>
    <x v="17"/>
  </r>
  <r>
    <x v="22"/>
  </r>
  <r>
    <x v="22"/>
  </r>
  <r>
    <x v="12"/>
  </r>
  <r>
    <x v="22"/>
  </r>
  <r>
    <x v="22"/>
  </r>
  <r>
    <x v="22"/>
  </r>
  <r>
    <x v="22"/>
  </r>
  <r>
    <x v="22"/>
  </r>
  <r>
    <x v="115"/>
  </r>
  <r>
    <x v="12"/>
  </r>
  <r>
    <x v="16"/>
  </r>
  <r>
    <x v="16"/>
  </r>
  <r>
    <x v="16"/>
  </r>
  <r>
    <x v="16"/>
  </r>
  <r>
    <x v="16"/>
  </r>
  <r>
    <x v="14"/>
  </r>
  <r>
    <x v="14"/>
  </r>
  <r>
    <x v="16"/>
  </r>
  <r>
    <x v="16"/>
  </r>
  <r>
    <x v="16"/>
  </r>
  <r>
    <x v="16"/>
  </r>
  <r>
    <x v="16"/>
  </r>
  <r>
    <x v="16"/>
  </r>
  <r>
    <x v="16"/>
  </r>
  <r>
    <x v="16"/>
  </r>
  <r>
    <x v="142"/>
  </r>
  <r>
    <x v="142"/>
  </r>
  <r>
    <x v="22"/>
  </r>
  <r>
    <x v="130"/>
  </r>
  <r>
    <x v="130"/>
  </r>
  <r>
    <x v="130"/>
  </r>
  <r>
    <x v="130"/>
  </r>
  <r>
    <x v="142"/>
  </r>
  <r>
    <x v="42"/>
  </r>
  <r>
    <x v="17"/>
  </r>
  <r>
    <x v="48"/>
  </r>
  <r>
    <x v="28"/>
  </r>
  <r>
    <x v="22"/>
  </r>
  <r>
    <x v="22"/>
  </r>
  <r>
    <x v="22"/>
  </r>
  <r>
    <x v="53"/>
  </r>
  <r>
    <x v="22"/>
  </r>
  <r>
    <x v="22"/>
  </r>
  <r>
    <x v="22"/>
  </r>
  <r>
    <x v="22"/>
  </r>
  <r>
    <x v="22"/>
  </r>
  <r>
    <x v="22"/>
  </r>
  <r>
    <x v="22"/>
  </r>
  <r>
    <x v="22"/>
  </r>
  <r>
    <x v="130"/>
  </r>
  <r>
    <x v="130"/>
  </r>
  <r>
    <x v="22"/>
  </r>
  <r>
    <x v="14"/>
  </r>
  <r>
    <x v="10"/>
  </r>
  <r>
    <x v="40"/>
  </r>
  <r>
    <x v="40"/>
  </r>
  <r>
    <x v="71"/>
  </r>
  <r>
    <x v="37"/>
  </r>
  <r>
    <x v="22"/>
  </r>
  <r>
    <x v="22"/>
  </r>
  <r>
    <x v="22"/>
  </r>
  <r>
    <x v="22"/>
  </r>
  <r>
    <x v="22"/>
  </r>
  <r>
    <x v="22"/>
  </r>
  <r>
    <x v="22"/>
  </r>
  <r>
    <x v="22"/>
  </r>
  <r>
    <x v="142"/>
  </r>
  <r>
    <x v="22"/>
  </r>
  <r>
    <x v="22"/>
  </r>
  <r>
    <x v="49"/>
  </r>
  <r>
    <x v="142"/>
  </r>
  <r>
    <x v="49"/>
  </r>
  <r>
    <x v="22"/>
  </r>
  <r>
    <x v="22"/>
  </r>
  <r>
    <x v="22"/>
  </r>
  <r>
    <x v="22"/>
  </r>
  <r>
    <x v="142"/>
  </r>
  <r>
    <x v="142"/>
  </r>
  <r>
    <x v="22"/>
  </r>
  <r>
    <x v="22"/>
  </r>
  <r>
    <x v="22"/>
  </r>
  <r>
    <x v="142"/>
  </r>
  <r>
    <x v="22"/>
  </r>
  <r>
    <x v="142"/>
  </r>
  <r>
    <x v="224"/>
  </r>
  <r>
    <x v="2"/>
  </r>
  <r>
    <x v="16"/>
  </r>
  <r>
    <x v="76"/>
  </r>
  <r>
    <x v="24"/>
  </r>
  <r>
    <x v="29"/>
  </r>
  <r>
    <x v="10"/>
  </r>
  <r>
    <x v="22"/>
  </r>
  <r>
    <x v="7"/>
  </r>
  <r>
    <x v="7"/>
  </r>
  <r>
    <x v="0"/>
  </r>
  <r>
    <x v="0"/>
  </r>
  <r>
    <x v="12"/>
  </r>
  <r>
    <x v="12"/>
  </r>
  <r>
    <x v="12"/>
  </r>
  <r>
    <x v="12"/>
  </r>
  <r>
    <x v="16"/>
  </r>
  <r>
    <x v="16"/>
  </r>
  <r>
    <x v="16"/>
  </r>
  <r>
    <x v="16"/>
  </r>
  <r>
    <x v="16"/>
  </r>
  <r>
    <x v="16"/>
  </r>
  <r>
    <x v="16"/>
  </r>
  <r>
    <x v="16"/>
  </r>
  <r>
    <x v="56"/>
  </r>
  <r>
    <x v="56"/>
  </r>
  <r>
    <x v="56"/>
  </r>
  <r>
    <x v="56"/>
  </r>
  <r>
    <x v="17"/>
  </r>
  <r>
    <x v="17"/>
  </r>
  <r>
    <x v="17"/>
  </r>
  <r>
    <x v="16"/>
  </r>
  <r>
    <x v="14"/>
  </r>
  <r>
    <x v="14"/>
  </r>
  <r>
    <x v="17"/>
  </r>
  <r>
    <x v="14"/>
  </r>
  <r>
    <x v="7"/>
  </r>
  <r>
    <x v="7"/>
  </r>
  <r>
    <x v="56"/>
  </r>
  <r>
    <x v="48"/>
  </r>
  <r>
    <x v="10"/>
  </r>
  <r>
    <x v="10"/>
  </r>
  <r>
    <x v="2"/>
  </r>
  <r>
    <x v="0"/>
  </r>
  <r>
    <x v="0"/>
  </r>
  <r>
    <x v="7"/>
  </r>
  <r>
    <x v="7"/>
  </r>
  <r>
    <x v="17"/>
  </r>
  <r>
    <x v="17"/>
  </r>
  <r>
    <x v="17"/>
  </r>
  <r>
    <x v="17"/>
  </r>
  <r>
    <x v="14"/>
  </r>
  <r>
    <x v="14"/>
  </r>
  <r>
    <x v="0"/>
  </r>
  <r>
    <x v="0"/>
  </r>
  <r>
    <x v="0"/>
  </r>
  <r>
    <x v="0"/>
  </r>
  <r>
    <x v="14"/>
  </r>
  <r>
    <x v="17"/>
  </r>
  <r>
    <x v="17"/>
  </r>
  <r>
    <x v="17"/>
  </r>
  <r>
    <x v="2"/>
  </r>
  <r>
    <x v="2"/>
  </r>
  <r>
    <x v="14"/>
  </r>
  <r>
    <x v="14"/>
  </r>
  <r>
    <x v="11"/>
  </r>
  <r>
    <x v="12"/>
  </r>
  <r>
    <x v="12"/>
  </r>
  <r>
    <x v="12"/>
  </r>
  <r>
    <x v="12"/>
  </r>
  <r>
    <x v="11"/>
  </r>
  <r>
    <x v="61"/>
  </r>
  <r>
    <x v="0"/>
  </r>
  <r>
    <x v="0"/>
  </r>
  <r>
    <x v="0"/>
  </r>
  <r>
    <x v="0"/>
  </r>
  <r>
    <x v="0"/>
  </r>
  <r>
    <x v="0"/>
  </r>
  <r>
    <x v="71"/>
  </r>
  <r>
    <x v="0"/>
  </r>
  <r>
    <x v="14"/>
  </r>
  <r>
    <x v="0"/>
  </r>
  <r>
    <x v="0"/>
  </r>
  <r>
    <x v="0"/>
  </r>
  <r>
    <x v="0"/>
  </r>
  <r>
    <x v="55"/>
  </r>
  <r>
    <x v="78"/>
  </r>
  <r>
    <x v="81"/>
  </r>
  <r>
    <x v="57"/>
  </r>
  <r>
    <x v="34"/>
  </r>
  <r>
    <x v="76"/>
  </r>
  <r>
    <x v="0"/>
  </r>
  <r>
    <x v="10"/>
  </r>
  <r>
    <x v="10"/>
  </r>
  <r>
    <x v="87"/>
  </r>
  <r>
    <x v="12"/>
  </r>
  <r>
    <x v="25"/>
  </r>
  <r>
    <x v="25"/>
  </r>
  <r>
    <x v="2"/>
  </r>
  <r>
    <x v="2"/>
  </r>
  <r>
    <x v="48"/>
  </r>
  <r>
    <x v="51"/>
  </r>
  <r>
    <x v="51"/>
  </r>
  <r>
    <x v="71"/>
  </r>
  <r>
    <x v="81"/>
  </r>
  <r>
    <x v="98"/>
  </r>
  <r>
    <x v="98"/>
  </r>
  <r>
    <x v="28"/>
  </r>
  <r>
    <x v="12"/>
  </r>
  <r>
    <x v="12"/>
  </r>
  <r>
    <x v="112"/>
  </r>
  <r>
    <x v="81"/>
  </r>
  <r>
    <x v="81"/>
  </r>
  <r>
    <x v="81"/>
  </r>
  <r>
    <x v="81"/>
  </r>
  <r>
    <x v="81"/>
  </r>
  <r>
    <x v="12"/>
  </r>
  <r>
    <x v="12"/>
  </r>
  <r>
    <x v="25"/>
  </r>
  <r>
    <x v="102"/>
  </r>
  <r>
    <x v="0"/>
  </r>
  <r>
    <x v="79"/>
  </r>
  <r>
    <x v="44"/>
  </r>
  <r>
    <x v="25"/>
  </r>
  <r>
    <x v="22"/>
  </r>
  <r>
    <x v="22"/>
  </r>
  <r>
    <x v="81"/>
  </r>
  <r>
    <x v="81"/>
  </r>
  <r>
    <x v="2"/>
  </r>
  <r>
    <x v="31"/>
  </r>
  <r>
    <x v="71"/>
  </r>
  <r>
    <x v="27"/>
  </r>
  <r>
    <x v="251"/>
  </r>
  <r>
    <x v="251"/>
  </r>
  <r>
    <x v="253"/>
  </r>
  <r>
    <x v="6"/>
  </r>
  <r>
    <x v="192"/>
  </r>
  <r>
    <x v="25"/>
  </r>
  <r>
    <x v="22"/>
  </r>
  <r>
    <x v="7"/>
  </r>
  <r>
    <x v="87"/>
  </r>
  <r>
    <x v="4"/>
  </r>
  <r>
    <x v="48"/>
  </r>
  <r>
    <x v="25"/>
  </r>
  <r>
    <x v="55"/>
  </r>
  <r>
    <x v="25"/>
  </r>
  <r>
    <x v="55"/>
  </r>
  <r>
    <x v="48"/>
  </r>
  <r>
    <x v="177"/>
  </r>
  <r>
    <x v="17"/>
  </r>
  <r>
    <x v="57"/>
  </r>
  <r>
    <x v="14"/>
  </r>
  <r>
    <x v="14"/>
  </r>
  <r>
    <x v="24"/>
  </r>
  <r>
    <x v="16"/>
  </r>
  <r>
    <x v="11"/>
  </r>
  <r>
    <x v="0"/>
  </r>
  <r>
    <x v="0"/>
  </r>
  <r>
    <x v="0"/>
  </r>
  <r>
    <x v="17"/>
  </r>
  <r>
    <x v="0"/>
  </r>
  <r>
    <x v="16"/>
  </r>
  <r>
    <x v="48"/>
  </r>
  <r>
    <x v="22"/>
  </r>
  <r>
    <x v="22"/>
  </r>
  <r>
    <x v="10"/>
  </r>
  <r>
    <x v="22"/>
  </r>
  <r>
    <x v="59"/>
  </r>
  <r>
    <x v="198"/>
  </r>
  <r>
    <x v="77"/>
  </r>
  <r>
    <x v="27"/>
  </r>
  <r>
    <x v="14"/>
  </r>
  <r>
    <x v="48"/>
  </r>
  <r>
    <x v="57"/>
  </r>
  <r>
    <x v="31"/>
  </r>
  <r>
    <x v="53"/>
  </r>
  <r>
    <x v="48"/>
  </r>
  <r>
    <x v="22"/>
  </r>
  <r>
    <x v="25"/>
  </r>
  <r>
    <x v="76"/>
  </r>
  <r>
    <x v="31"/>
  </r>
  <r>
    <x v="25"/>
  </r>
  <r>
    <x v="72"/>
  </r>
  <r>
    <x v="15"/>
  </r>
  <r>
    <x v="12"/>
  </r>
  <r>
    <x v="12"/>
  </r>
  <r>
    <x v="12"/>
  </r>
  <r>
    <x v="116"/>
  </r>
  <r>
    <x v="50"/>
  </r>
  <r>
    <x v="103"/>
  </r>
  <r>
    <x v="32"/>
  </r>
  <r>
    <x v="116"/>
  </r>
  <r>
    <x v="100"/>
  </r>
  <r>
    <x v="72"/>
  </r>
  <r>
    <x v="254"/>
  </r>
  <r>
    <x v="14"/>
  </r>
  <r>
    <x v="87"/>
  </r>
  <r>
    <x v="100"/>
  </r>
  <r>
    <x v="17"/>
  </r>
  <r>
    <x v="10"/>
  </r>
  <r>
    <x v="10"/>
  </r>
  <r>
    <x v="10"/>
  </r>
  <r>
    <x v="10"/>
  </r>
  <r>
    <x v="10"/>
  </r>
  <r>
    <x v="53"/>
  </r>
  <r>
    <x v="53"/>
  </r>
  <r>
    <x v="10"/>
  </r>
  <r>
    <x v="10"/>
  </r>
  <r>
    <x v="53"/>
  </r>
  <r>
    <x v="10"/>
  </r>
  <r>
    <x v="14"/>
  </r>
  <r>
    <x v="114"/>
  </r>
  <r>
    <x v="251"/>
  </r>
  <r>
    <x v="41"/>
  </r>
  <r>
    <x v="41"/>
  </r>
  <r>
    <x v="14"/>
  </r>
  <r>
    <x v="143"/>
  </r>
  <r>
    <x v="10"/>
  </r>
  <r>
    <x v="10"/>
  </r>
  <r>
    <x v="71"/>
  </r>
  <r>
    <x v="0"/>
  </r>
  <r>
    <x v="56"/>
  </r>
  <r>
    <x v="56"/>
  </r>
  <r>
    <x v="56"/>
  </r>
  <r>
    <x v="56"/>
  </r>
  <r>
    <x v="56"/>
  </r>
  <r>
    <x v="72"/>
  </r>
  <r>
    <x v="76"/>
  </r>
  <r>
    <x v="25"/>
  </r>
  <r>
    <x v="25"/>
  </r>
  <r>
    <x v="25"/>
  </r>
  <r>
    <x v="72"/>
  </r>
  <r>
    <x v="25"/>
  </r>
  <r>
    <x v="25"/>
  </r>
  <r>
    <x v="25"/>
  </r>
  <r>
    <x v="48"/>
  </r>
  <r>
    <x v="34"/>
  </r>
  <r>
    <x v="72"/>
  </r>
  <r>
    <x v="25"/>
  </r>
  <r>
    <x v="72"/>
  </r>
  <r>
    <x v="25"/>
  </r>
  <r>
    <x v="25"/>
  </r>
  <r>
    <x v="48"/>
  </r>
  <r>
    <x v="25"/>
  </r>
  <r>
    <x v="102"/>
  </r>
  <r>
    <x v="25"/>
  </r>
  <r>
    <x v="72"/>
  </r>
  <r>
    <x v="6"/>
  </r>
  <r>
    <x v="174"/>
  </r>
  <r>
    <x v="72"/>
  </r>
  <r>
    <x v="10"/>
  </r>
  <r>
    <x v="72"/>
  </r>
  <r>
    <x v="31"/>
  </r>
  <r>
    <x v="93"/>
  </r>
  <r>
    <x v="3"/>
  </r>
  <r>
    <x v="25"/>
  </r>
  <r>
    <x v="25"/>
  </r>
  <r>
    <x v="93"/>
  </r>
  <r>
    <x v="154"/>
  </r>
  <r>
    <x v="32"/>
  </r>
  <r>
    <x v="31"/>
  </r>
  <r>
    <x v="48"/>
  </r>
  <r>
    <x v="25"/>
  </r>
  <r>
    <x v="48"/>
  </r>
  <r>
    <x v="25"/>
  </r>
  <r>
    <x v="48"/>
  </r>
  <r>
    <x v="105"/>
  </r>
  <r>
    <x v="78"/>
  </r>
  <r>
    <x v="10"/>
  </r>
  <r>
    <x v="16"/>
  </r>
  <r>
    <x v="10"/>
  </r>
  <r>
    <x v="100"/>
  </r>
  <r>
    <x v="31"/>
  </r>
  <r>
    <x v="87"/>
  </r>
  <r>
    <x v="42"/>
  </r>
  <r>
    <x v="10"/>
  </r>
  <r>
    <x v="10"/>
  </r>
  <r>
    <x v="16"/>
  </r>
  <r>
    <x v="48"/>
  </r>
  <r>
    <x v="27"/>
  </r>
  <r>
    <x v="2"/>
  </r>
  <r>
    <x v="16"/>
  </r>
  <r>
    <x v="2"/>
  </r>
  <r>
    <x v="2"/>
  </r>
  <r>
    <x v="27"/>
  </r>
  <r>
    <x v="387"/>
  </r>
  <r>
    <x v="254"/>
  </r>
  <r>
    <x v="141"/>
  </r>
  <r>
    <x v="46"/>
  </r>
  <r>
    <x v="87"/>
  </r>
  <r>
    <x v="41"/>
  </r>
  <r>
    <x v="42"/>
  </r>
  <r>
    <x v="25"/>
  </r>
  <r>
    <x v="105"/>
  </r>
  <r>
    <x v="42"/>
  </r>
  <r>
    <x v="34"/>
  </r>
  <r>
    <x v="3"/>
  </r>
  <r>
    <x v="0"/>
  </r>
  <r>
    <x v="3"/>
  </r>
  <r>
    <x v="48"/>
  </r>
  <r>
    <x v="0"/>
  </r>
  <r>
    <x v="0"/>
  </r>
  <r>
    <x v="28"/>
  </r>
  <r>
    <x v="0"/>
  </r>
  <r>
    <x v="63"/>
  </r>
  <r>
    <x v="40"/>
  </r>
  <r>
    <x v="40"/>
  </r>
  <r>
    <x v="31"/>
  </r>
  <r>
    <x v="154"/>
  </r>
  <r>
    <x v="0"/>
  </r>
  <r>
    <x v="0"/>
  </r>
  <r>
    <x v="0"/>
  </r>
  <r>
    <x v="0"/>
  </r>
  <r>
    <x v="58"/>
  </r>
  <r>
    <x v="41"/>
  </r>
  <r>
    <x v="4"/>
  </r>
  <r>
    <x v="4"/>
  </r>
  <r>
    <x v="131"/>
  </r>
  <r>
    <x v="24"/>
  </r>
  <r>
    <x v="55"/>
  </r>
  <r>
    <x v="32"/>
  </r>
  <r>
    <x v="0"/>
  </r>
  <r>
    <x v="12"/>
  </r>
  <r>
    <x v="0"/>
  </r>
  <r>
    <x v="0"/>
  </r>
  <r>
    <x v="0"/>
  </r>
  <r>
    <x v="28"/>
  </r>
  <r>
    <x v="28"/>
  </r>
  <r>
    <x v="28"/>
  </r>
  <r>
    <x v="57"/>
  </r>
  <r>
    <x v="92"/>
  </r>
  <r>
    <x v="92"/>
  </r>
  <r>
    <x v="56"/>
  </r>
  <r>
    <x v="99"/>
  </r>
  <r>
    <x v="12"/>
  </r>
  <r>
    <x v="56"/>
  </r>
  <r>
    <x v="57"/>
  </r>
  <r>
    <x v="56"/>
  </r>
  <r>
    <x v="2"/>
  </r>
  <r>
    <x v="14"/>
  </r>
  <r>
    <x v="17"/>
  </r>
  <r>
    <x v="48"/>
  </r>
  <r>
    <x v="48"/>
  </r>
  <r>
    <x v="55"/>
  </r>
  <r>
    <x v="32"/>
  </r>
  <r>
    <x v="45"/>
  </r>
  <r>
    <x v="48"/>
  </r>
  <r>
    <x v="31"/>
  </r>
  <r>
    <x v="28"/>
  </r>
  <r>
    <x v="28"/>
  </r>
  <r>
    <x v="28"/>
  </r>
  <r>
    <x v="56"/>
  </r>
  <r>
    <x v="31"/>
  </r>
  <r>
    <x v="42"/>
  </r>
  <r>
    <x v="77"/>
  </r>
  <r>
    <x v="155"/>
  </r>
  <r>
    <x v="14"/>
  </r>
  <r>
    <x v="0"/>
  </r>
  <r>
    <x v="0"/>
  </r>
  <r>
    <x v="0"/>
  </r>
  <r>
    <x v="0"/>
  </r>
  <r>
    <x v="42"/>
  </r>
  <r>
    <x v="42"/>
  </r>
  <r>
    <x v="68"/>
  </r>
  <r>
    <x v="0"/>
  </r>
  <r>
    <x v="0"/>
  </r>
  <r>
    <x v="7"/>
  </r>
  <r>
    <x v="21"/>
  </r>
  <r>
    <x v="49"/>
  </r>
  <r>
    <x v="0"/>
  </r>
  <r>
    <x v="28"/>
  </r>
  <r>
    <x v="28"/>
  </r>
  <r>
    <x v="14"/>
  </r>
  <r>
    <x v="42"/>
  </r>
  <r>
    <x v="42"/>
  </r>
  <r>
    <x v="14"/>
  </r>
  <r>
    <x v="23"/>
  </r>
  <r>
    <x v="152"/>
  </r>
  <r>
    <x v="42"/>
  </r>
  <r>
    <x v="3"/>
  </r>
  <r>
    <x v="86"/>
  </r>
  <r>
    <x v="12"/>
  </r>
  <r>
    <x v="3"/>
  </r>
  <r>
    <x v="42"/>
  </r>
  <r>
    <x v="122"/>
  </r>
  <r>
    <x v="31"/>
  </r>
  <r>
    <x v="2"/>
  </r>
  <r>
    <x v="10"/>
  </r>
  <r>
    <x v="78"/>
  </r>
  <r>
    <x v="14"/>
  </r>
  <r>
    <x v="10"/>
  </r>
  <r>
    <x v="0"/>
  </r>
  <r>
    <x v="25"/>
  </r>
  <r>
    <x v="48"/>
  </r>
  <r>
    <x v="40"/>
  </r>
  <r>
    <x v="52"/>
  </r>
  <r>
    <x v="152"/>
  </r>
  <r>
    <x v="0"/>
  </r>
  <r>
    <x v="9"/>
  </r>
  <r>
    <x v="10"/>
  </r>
  <r>
    <x v="10"/>
  </r>
  <r>
    <x v="152"/>
  </r>
  <r>
    <x v="152"/>
  </r>
  <r>
    <x v="113"/>
  </r>
  <r>
    <x v="1"/>
  </r>
  <r>
    <x v="1"/>
  </r>
  <r>
    <x v="40"/>
  </r>
  <r>
    <x v="40"/>
  </r>
  <r>
    <x v="48"/>
  </r>
  <r>
    <x v="99"/>
  </r>
  <r>
    <x v="6"/>
  </r>
  <r>
    <x v="12"/>
  </r>
  <r>
    <x v="0"/>
  </r>
  <r>
    <x v="99"/>
  </r>
  <r>
    <x v="12"/>
  </r>
  <r>
    <x v="12"/>
  </r>
  <r>
    <x v="72"/>
  </r>
  <r>
    <x v="46"/>
  </r>
  <r>
    <x v="12"/>
  </r>
  <r>
    <x v="0"/>
  </r>
  <r>
    <x v="12"/>
  </r>
  <r>
    <x v="48"/>
  </r>
  <r>
    <x v="10"/>
  </r>
  <r>
    <x v="72"/>
  </r>
  <r>
    <x v="37"/>
  </r>
  <r>
    <x v="46"/>
  </r>
  <r>
    <x v="56"/>
  </r>
  <r>
    <x v="116"/>
  </r>
  <r>
    <x v="1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8"/>
  </r>
  <r>
    <x v="85"/>
  </r>
  <r>
    <x v="14"/>
  </r>
  <r>
    <x v="0"/>
  </r>
  <r>
    <x v="0"/>
  </r>
  <r>
    <x v="14"/>
  </r>
  <r>
    <x v="0"/>
  </r>
  <r>
    <x v="0"/>
  </r>
  <r>
    <x v="72"/>
  </r>
  <r>
    <x v="0"/>
  </r>
  <r>
    <x v="35"/>
  </r>
  <r>
    <x v="48"/>
  </r>
  <r>
    <x v="48"/>
  </r>
  <r>
    <x v="152"/>
  </r>
  <r>
    <x v="152"/>
  </r>
  <r>
    <x v="0"/>
  </r>
  <r>
    <x v="35"/>
  </r>
  <r>
    <x v="35"/>
  </r>
  <r>
    <x v="35"/>
  </r>
  <r>
    <x v="35"/>
  </r>
  <r>
    <x v="72"/>
  </r>
  <r>
    <x v="81"/>
  </r>
  <r>
    <x v="6"/>
  </r>
  <r>
    <x v="12"/>
  </r>
  <r>
    <x v="0"/>
  </r>
  <r>
    <x v="25"/>
  </r>
  <r>
    <x v="12"/>
  </r>
  <r>
    <x v="0"/>
  </r>
  <r>
    <x v="0"/>
  </r>
  <r>
    <x v="53"/>
  </r>
  <r>
    <x v="0"/>
  </r>
  <r>
    <x v="91"/>
  </r>
  <r>
    <x v="48"/>
  </r>
  <r>
    <x v="111"/>
  </r>
  <r>
    <x v="0"/>
  </r>
  <r>
    <x v="81"/>
  </r>
  <r>
    <x v="91"/>
  </r>
  <r>
    <x v="22"/>
  </r>
  <r>
    <x v="30"/>
  </r>
  <r>
    <x v="108"/>
  </r>
  <r>
    <x v="77"/>
  </r>
  <r>
    <x v="25"/>
  </r>
  <r>
    <x v="99"/>
  </r>
  <r>
    <x v="79"/>
  </r>
  <r>
    <x v="63"/>
  </r>
  <r>
    <x v="108"/>
  </r>
  <r>
    <x v="106"/>
  </r>
  <r>
    <x v="63"/>
  </r>
  <r>
    <x v="78"/>
  </r>
  <r>
    <x v="89"/>
  </r>
  <r>
    <x v="102"/>
  </r>
  <r>
    <x v="62"/>
  </r>
  <r>
    <x v="102"/>
  </r>
  <r>
    <x v="227"/>
  </r>
  <r>
    <x v="76"/>
  </r>
  <r>
    <x v="31"/>
  </r>
  <r>
    <x v="4"/>
  </r>
  <r>
    <x v="9"/>
  </r>
  <r>
    <x v="3"/>
  </r>
  <r>
    <x v="25"/>
  </r>
  <r>
    <x v="25"/>
  </r>
  <r>
    <x v="87"/>
  </r>
  <r>
    <x v="3"/>
  </r>
  <r>
    <x v="3"/>
  </r>
  <r>
    <x v="25"/>
  </r>
  <r>
    <x v="25"/>
  </r>
  <r>
    <x v="29"/>
  </r>
  <r>
    <x v="81"/>
  </r>
  <r>
    <x v="165"/>
  </r>
  <r>
    <x v="14"/>
  </r>
  <r>
    <x v="14"/>
  </r>
  <r>
    <x v="14"/>
  </r>
  <r>
    <x v="14"/>
  </r>
  <r>
    <x v="14"/>
  </r>
  <r>
    <x v="14"/>
  </r>
  <r>
    <x v="12"/>
  </r>
  <r>
    <x v="57"/>
  </r>
  <r>
    <x v="14"/>
  </r>
  <r>
    <x v="10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55"/>
  </r>
  <r>
    <x v="55"/>
  </r>
  <r>
    <x v="25"/>
  </r>
  <r>
    <x v="25"/>
  </r>
  <r>
    <x v="152"/>
  </r>
  <r>
    <x v="152"/>
  </r>
  <r>
    <x v="80"/>
  </r>
  <r>
    <x v="201"/>
  </r>
  <r>
    <x v="59"/>
  </r>
  <r>
    <x v="9"/>
  </r>
  <r>
    <x v="5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10"/>
  </r>
  <r>
    <x v="45"/>
  </r>
  <r>
    <x v="45"/>
  </r>
  <r>
    <x v="45"/>
  </r>
  <r>
    <x v="37"/>
  </r>
  <r>
    <x v="42"/>
  </r>
  <r>
    <x v="113"/>
  </r>
  <r>
    <x v="113"/>
  </r>
  <r>
    <x v="48"/>
  </r>
  <r>
    <x v="227"/>
  </r>
  <r>
    <x v="48"/>
  </r>
  <r>
    <x v="52"/>
  </r>
  <r>
    <x v="192"/>
  </r>
  <r>
    <x v="10"/>
  </r>
  <r>
    <x v="24"/>
  </r>
  <r>
    <x v="81"/>
  </r>
  <r>
    <x v="43"/>
  </r>
  <r>
    <x v="31"/>
  </r>
  <r>
    <x v="81"/>
  </r>
  <r>
    <x v="28"/>
  </r>
  <r>
    <x v="28"/>
  </r>
  <r>
    <x v="31"/>
  </r>
  <r>
    <x v="31"/>
  </r>
  <r>
    <x v="28"/>
  </r>
  <r>
    <x v="17"/>
  </r>
  <r>
    <x v="39"/>
  </r>
  <r>
    <x v="30"/>
  </r>
  <r>
    <x v="30"/>
  </r>
  <r>
    <x v="30"/>
  </r>
  <r>
    <x v="16"/>
  </r>
  <r>
    <x v="28"/>
  </r>
  <r>
    <x v="81"/>
  </r>
  <r>
    <x v="235"/>
  </r>
  <r>
    <x v="53"/>
  </r>
  <r>
    <x v="0"/>
  </r>
  <r>
    <x v="70"/>
  </r>
  <r>
    <x v="6"/>
  </r>
  <r>
    <x v="6"/>
  </r>
  <r>
    <x v="106"/>
  </r>
  <r>
    <x v="30"/>
  </r>
  <r>
    <x v="14"/>
  </r>
  <r>
    <x v="29"/>
  </r>
  <r>
    <x v="181"/>
  </r>
  <r>
    <x v="100"/>
  </r>
  <r>
    <x v="182"/>
  </r>
  <r>
    <x v="56"/>
  </r>
  <r>
    <x v="201"/>
  </r>
  <r>
    <x v="42"/>
  </r>
  <r>
    <x v="10"/>
  </r>
  <r>
    <x v="16"/>
  </r>
  <r>
    <x v="16"/>
  </r>
  <r>
    <x v="0"/>
  </r>
  <r>
    <x v="14"/>
  </r>
  <r>
    <x v="29"/>
  </r>
  <r>
    <x v="29"/>
  </r>
  <r>
    <x v="190"/>
  </r>
  <r>
    <x v="48"/>
  </r>
  <r>
    <x v="14"/>
  </r>
  <r>
    <x v="42"/>
  </r>
  <r>
    <x v="50"/>
  </r>
  <r>
    <x v="42"/>
  </r>
  <r>
    <x v="60"/>
  </r>
  <r>
    <x v="152"/>
  </r>
  <r>
    <x v="87"/>
  </r>
  <r>
    <x v="57"/>
  </r>
  <r>
    <x v="190"/>
  </r>
  <r>
    <x v="42"/>
  </r>
  <r>
    <x v="42"/>
  </r>
  <r>
    <x v="105"/>
  </r>
  <r>
    <x v="28"/>
  </r>
  <r>
    <x v="12"/>
  </r>
  <r>
    <x v="12"/>
  </r>
  <r>
    <x v="39"/>
  </r>
  <r>
    <x v="102"/>
  </r>
  <r>
    <x v="6"/>
  </r>
  <r>
    <x v="6"/>
  </r>
  <r>
    <x v="53"/>
  </r>
  <r>
    <x v="32"/>
  </r>
  <r>
    <x v="154"/>
  </r>
  <r>
    <x v="152"/>
  </r>
  <r>
    <x v="78"/>
  </r>
  <r>
    <x v="4"/>
  </r>
  <r>
    <x v="10"/>
  </r>
  <r>
    <x v="10"/>
  </r>
  <r>
    <x v="10"/>
  </r>
  <r>
    <x v="10"/>
  </r>
  <r>
    <x v="48"/>
  </r>
  <r>
    <x v="48"/>
  </r>
  <r>
    <x v="42"/>
  </r>
  <r>
    <x v="52"/>
  </r>
  <r>
    <x v="56"/>
  </r>
  <r>
    <x v="87"/>
  </r>
  <r>
    <x v="48"/>
  </r>
  <r>
    <x v="100"/>
  </r>
  <r>
    <x v="48"/>
  </r>
  <r>
    <x v="48"/>
  </r>
  <r>
    <x v="100"/>
  </r>
  <r>
    <x v="42"/>
  </r>
  <r>
    <x v="100"/>
  </r>
  <r>
    <x v="42"/>
  </r>
  <r>
    <x v="12"/>
  </r>
  <r>
    <x v="48"/>
  </r>
  <r>
    <x v="100"/>
  </r>
  <r>
    <x v="100"/>
  </r>
  <r>
    <x v="56"/>
  </r>
  <r>
    <x v="22"/>
  </r>
  <r>
    <x v="42"/>
  </r>
  <r>
    <x v="41"/>
  </r>
  <r>
    <x v="42"/>
  </r>
  <r>
    <x v="52"/>
  </r>
  <r>
    <x v="48"/>
  </r>
  <r>
    <x v="36"/>
  </r>
  <r>
    <x v="64"/>
  </r>
  <r>
    <x v="14"/>
  </r>
  <r>
    <x v="48"/>
  </r>
  <r>
    <x v="2"/>
  </r>
  <r>
    <x v="0"/>
  </r>
  <r>
    <x v="0"/>
  </r>
  <r>
    <x v="0"/>
  </r>
  <r>
    <x v="36"/>
  </r>
  <r>
    <x v="25"/>
  </r>
  <r>
    <x v="42"/>
  </r>
  <r>
    <x v="36"/>
  </r>
  <r>
    <x v="254"/>
  </r>
  <r>
    <x v="25"/>
  </r>
  <r>
    <x v="72"/>
  </r>
  <r>
    <x v="14"/>
  </r>
  <r>
    <x v="3"/>
  </r>
  <r>
    <x v="3"/>
  </r>
  <r>
    <x v="3"/>
  </r>
  <r>
    <x v="3"/>
  </r>
  <r>
    <x v="55"/>
  </r>
  <r>
    <x v="244"/>
  </r>
  <r>
    <x v="36"/>
  </r>
  <r>
    <x v="3"/>
  </r>
  <r>
    <x v="59"/>
  </r>
  <r>
    <x v="36"/>
  </r>
  <r>
    <x v="59"/>
  </r>
  <r>
    <x v="31"/>
  </r>
  <r>
    <x v="155"/>
  </r>
  <r>
    <x v="253"/>
  </r>
  <r>
    <x v="48"/>
  </r>
  <r>
    <x v="3"/>
  </r>
  <r>
    <x v="99"/>
  </r>
  <r>
    <x v="29"/>
  </r>
  <r>
    <x v="57"/>
  </r>
  <r>
    <x v="1"/>
  </r>
  <r>
    <x v="193"/>
  </r>
  <r>
    <x v="37"/>
  </r>
  <r>
    <x v="55"/>
  </r>
  <r>
    <x v="10"/>
  </r>
  <r>
    <x v="10"/>
  </r>
  <r>
    <x v="154"/>
  </r>
  <r>
    <x v="0"/>
  </r>
  <r>
    <x v="0"/>
  </r>
  <r>
    <x v="56"/>
  </r>
  <r>
    <x v="55"/>
  </r>
  <r>
    <x v="3"/>
  </r>
  <r>
    <x v="3"/>
  </r>
  <r>
    <x v="25"/>
  </r>
  <r>
    <x v="25"/>
  </r>
  <r>
    <x v="25"/>
  </r>
  <r>
    <x v="29"/>
  </r>
  <r>
    <x v="29"/>
  </r>
  <r>
    <x v="81"/>
  </r>
  <r>
    <x v="12"/>
  </r>
  <r>
    <x v="387"/>
  </r>
  <r>
    <x v="25"/>
  </r>
  <r>
    <x v="48"/>
  </r>
  <r>
    <x v="2"/>
  </r>
  <r>
    <x v="118"/>
  </r>
  <r>
    <x v="152"/>
  </r>
  <r>
    <x v="0"/>
  </r>
  <r>
    <x v="36"/>
  </r>
  <r>
    <x v="25"/>
  </r>
  <r>
    <x v="76"/>
  </r>
  <r>
    <x v="10"/>
  </r>
  <r>
    <x v="100"/>
  </r>
  <r>
    <x v="48"/>
  </r>
  <r>
    <x v="79"/>
  </r>
  <r>
    <x v="79"/>
  </r>
  <r>
    <x v="79"/>
  </r>
  <r>
    <x v="79"/>
  </r>
  <r>
    <x v="165"/>
  </r>
  <r>
    <x v="122"/>
  </r>
  <r>
    <x v="122"/>
  </r>
  <r>
    <x v="10"/>
  </r>
  <r>
    <x v="90"/>
  </r>
  <r>
    <x v="36"/>
  </r>
  <r>
    <x v="48"/>
  </r>
  <r>
    <x v="48"/>
  </r>
  <r>
    <x v="48"/>
  </r>
  <r>
    <x v="63"/>
  </r>
  <r>
    <x v="12"/>
  </r>
  <r>
    <x v="14"/>
  </r>
  <r>
    <x v="42"/>
  </r>
  <r>
    <x v="14"/>
  </r>
  <r>
    <x v="12"/>
  </r>
  <r>
    <x v="42"/>
  </r>
  <r>
    <x v="48"/>
  </r>
  <r>
    <x v="21"/>
  </r>
  <r>
    <x v="0"/>
  </r>
  <r>
    <x v="20"/>
  </r>
  <r>
    <x v="29"/>
  </r>
  <r>
    <x v="10"/>
  </r>
  <r>
    <x v="10"/>
  </r>
  <r>
    <x v="48"/>
  </r>
  <r>
    <x v="6"/>
  </r>
  <r>
    <x v="48"/>
  </r>
  <r>
    <x v="164"/>
  </r>
  <r>
    <x v="48"/>
  </r>
  <r>
    <x v="48"/>
  </r>
  <r>
    <x v="227"/>
  </r>
  <r>
    <x v="108"/>
  </r>
  <r>
    <x v="48"/>
  </r>
  <r>
    <x v="227"/>
  </r>
  <r>
    <x v="45"/>
  </r>
  <r>
    <x v="79"/>
  </r>
  <r>
    <x v="12"/>
  </r>
  <r>
    <x v="100"/>
  </r>
  <r>
    <x v="48"/>
  </r>
  <r>
    <x v="48"/>
  </r>
  <r>
    <x v="31"/>
  </r>
  <r>
    <x v="79"/>
  </r>
  <r>
    <x v="79"/>
  </r>
  <r>
    <x v="79"/>
  </r>
  <r>
    <x v="79"/>
  </r>
  <r>
    <x v="79"/>
  </r>
  <r>
    <x v="71"/>
  </r>
  <r>
    <x v="0"/>
  </r>
  <r>
    <x v="0"/>
  </r>
  <r>
    <x v="46"/>
  </r>
  <r>
    <x v="0"/>
  </r>
  <r>
    <x v="0"/>
  </r>
  <r>
    <x v="2"/>
  </r>
  <r>
    <x v="2"/>
  </r>
  <r>
    <x v="20"/>
  </r>
  <r>
    <x v="2"/>
  </r>
  <r>
    <x v="21"/>
  </r>
  <r>
    <x v="0"/>
  </r>
  <r>
    <x v="14"/>
  </r>
  <r>
    <x v="14"/>
  </r>
  <r>
    <x v="14"/>
  </r>
  <r>
    <x v="14"/>
  </r>
  <r>
    <x v="14"/>
  </r>
  <r>
    <x v="14"/>
  </r>
  <r>
    <x v="21"/>
  </r>
  <r>
    <x v="42"/>
  </r>
  <r>
    <x v="42"/>
  </r>
  <r>
    <x v="42"/>
  </r>
  <r>
    <x v="42"/>
  </r>
  <r>
    <x v="42"/>
  </r>
  <r>
    <x v="10"/>
  </r>
  <r>
    <x v="14"/>
  </r>
  <r>
    <x v="8"/>
  </r>
  <r>
    <x v="14"/>
  </r>
  <r>
    <x v="0"/>
  </r>
  <r>
    <x v="0"/>
  </r>
  <r>
    <x v="0"/>
  </r>
  <r>
    <x v="0"/>
  </r>
  <r>
    <x v="0"/>
  </r>
  <r>
    <x v="12"/>
  </r>
  <r>
    <x v="12"/>
  </r>
  <r>
    <x v="0"/>
  </r>
  <r>
    <x v="48"/>
  </r>
  <r>
    <x v="0"/>
  </r>
  <r>
    <x v="42"/>
  </r>
  <r>
    <x v="28"/>
  </r>
  <r>
    <x v="48"/>
  </r>
  <r>
    <x v="14"/>
  </r>
  <r>
    <x v="30"/>
  </r>
  <r>
    <x v="30"/>
  </r>
  <r>
    <x v="2"/>
  </r>
  <r>
    <x v="2"/>
  </r>
  <r>
    <x v="61"/>
  </r>
  <r>
    <x v="28"/>
  </r>
  <r>
    <x v="177"/>
  </r>
  <r>
    <x v="28"/>
  </r>
  <r>
    <x v="14"/>
  </r>
  <r>
    <x v="15"/>
  </r>
  <r>
    <x v="15"/>
  </r>
  <r>
    <x v="12"/>
  </r>
  <r>
    <x v="0"/>
  </r>
  <r>
    <x v="85"/>
  </r>
  <r>
    <x v="21"/>
  </r>
  <r>
    <x v="9"/>
  </r>
  <r>
    <x v="6"/>
  </r>
  <r>
    <x v="14"/>
  </r>
  <r>
    <x v="28"/>
  </r>
  <r>
    <x v="28"/>
  </r>
  <r>
    <x v="0"/>
  </r>
  <r>
    <x v="16"/>
  </r>
  <r>
    <x v="41"/>
  </r>
  <r>
    <x v="41"/>
  </r>
  <r>
    <x v="41"/>
  </r>
  <r>
    <x v="14"/>
  </r>
  <r>
    <x v="14"/>
  </r>
  <r>
    <x v="14"/>
  </r>
  <r>
    <x v="88"/>
  </r>
  <r>
    <x v="22"/>
  </r>
  <r>
    <x v="112"/>
  </r>
  <r>
    <x v="9"/>
  </r>
  <r>
    <x v="23"/>
  </r>
  <r>
    <x v="23"/>
  </r>
  <r>
    <x v="8"/>
  </r>
  <r>
    <x v="2"/>
  </r>
  <r>
    <x v="2"/>
  </r>
  <r>
    <x v="2"/>
  </r>
  <r>
    <x v="0"/>
  </r>
  <r>
    <x v="56"/>
  </r>
  <r>
    <x v="56"/>
  </r>
  <r>
    <x v="75"/>
  </r>
  <r>
    <x v="75"/>
  </r>
  <r>
    <x v="37"/>
  </r>
  <r>
    <x v="81"/>
  </r>
  <r>
    <x v="78"/>
  </r>
  <r>
    <x v="28"/>
  </r>
  <r>
    <x v="78"/>
  </r>
  <r>
    <x v="78"/>
  </r>
  <r>
    <x v="78"/>
  </r>
  <r>
    <x v="81"/>
  </r>
  <r>
    <x v="78"/>
  </r>
  <r>
    <x v="78"/>
  </r>
  <r>
    <x v="42"/>
  </r>
  <r>
    <x v="0"/>
  </r>
  <r>
    <x v="2"/>
  </r>
  <r>
    <x v="81"/>
  </r>
  <r>
    <x v="81"/>
  </r>
  <r>
    <x v="48"/>
  </r>
  <r>
    <x v="14"/>
  </r>
  <r>
    <x v="81"/>
  </r>
  <r>
    <x v="81"/>
  </r>
  <r>
    <x v="91"/>
  </r>
  <r>
    <x v="81"/>
  </r>
  <r>
    <x v="0"/>
  </r>
  <r>
    <x v="161"/>
  </r>
  <r>
    <x v="48"/>
  </r>
  <r>
    <x v="10"/>
  </r>
  <r>
    <x v="238"/>
  </r>
  <r>
    <x v="22"/>
  </r>
  <r>
    <x v="152"/>
  </r>
  <r>
    <x v="152"/>
  </r>
  <r>
    <x v="22"/>
  </r>
  <r>
    <x v="238"/>
  </r>
  <r>
    <x v="22"/>
  </r>
  <r>
    <x v="21"/>
  </r>
  <r>
    <x v="22"/>
  </r>
  <r>
    <x v="143"/>
  </r>
  <r>
    <x v="143"/>
  </r>
  <r>
    <x v="143"/>
  </r>
  <r>
    <x v="143"/>
  </r>
  <r>
    <x v="0"/>
  </r>
  <r>
    <x v="42"/>
  </r>
  <r>
    <x v="56"/>
  </r>
  <r>
    <x v="21"/>
  </r>
  <r>
    <x v="48"/>
  </r>
  <r>
    <x v="48"/>
  </r>
  <r>
    <x v="48"/>
  </r>
  <r>
    <x v="48"/>
  </r>
  <r>
    <x v="48"/>
  </r>
  <r>
    <x v="48"/>
  </r>
  <r>
    <x v="25"/>
  </r>
  <r>
    <x v="42"/>
  </r>
  <r>
    <x v="46"/>
  </r>
  <r>
    <x v="0"/>
  </r>
  <r>
    <x v="0"/>
  </r>
  <r>
    <x v="0"/>
  </r>
  <r>
    <x v="28"/>
  </r>
  <r>
    <x v="12"/>
  </r>
  <r>
    <x v="14"/>
  </r>
  <r>
    <x v="17"/>
  </r>
  <r>
    <x v="49"/>
  </r>
  <r>
    <x v="1"/>
  </r>
  <r>
    <x v="204"/>
  </r>
  <r>
    <x v="24"/>
  </r>
  <r>
    <x v="14"/>
  </r>
  <r>
    <x v="78"/>
  </r>
  <r>
    <x v="89"/>
  </r>
  <r>
    <x v="89"/>
  </r>
  <r>
    <x v="89"/>
  </r>
  <r>
    <x v="91"/>
  </r>
  <r>
    <x v="22"/>
  </r>
  <r>
    <x v="14"/>
  </r>
  <r>
    <x v="91"/>
  </r>
  <r>
    <x v="102"/>
  </r>
  <r>
    <x v="0"/>
  </r>
  <r>
    <x v="0"/>
  </r>
  <r>
    <x v="0"/>
  </r>
  <r>
    <x v="0"/>
  </r>
  <r>
    <x v="0"/>
  </r>
  <r>
    <x v="78"/>
  </r>
  <r>
    <x v="25"/>
  </r>
  <r>
    <x v="48"/>
  </r>
  <r>
    <x v="35"/>
  </r>
  <r>
    <x v="22"/>
  </r>
  <r>
    <x v="0"/>
  </r>
  <r>
    <x v="0"/>
  </r>
  <r>
    <x v="0"/>
  </r>
  <r>
    <x v="77"/>
  </r>
  <r>
    <x v="0"/>
  </r>
  <r>
    <x v="0"/>
  </r>
  <r>
    <x v="0"/>
  </r>
  <r>
    <x v="0"/>
  </r>
  <r>
    <x v="0"/>
  </r>
  <r>
    <x v="0"/>
  </r>
  <r>
    <x v="91"/>
  </r>
  <r>
    <x v="91"/>
  </r>
  <r>
    <x v="0"/>
  </r>
  <r>
    <x v="11"/>
  </r>
  <r>
    <x v="11"/>
  </r>
  <r>
    <x v="0"/>
  </r>
  <r>
    <x v="91"/>
  </r>
  <r>
    <x v="124"/>
  </r>
  <r>
    <x v="14"/>
  </r>
  <r>
    <x v="14"/>
  </r>
  <r>
    <x v="14"/>
  </r>
  <r>
    <x v="111"/>
  </r>
  <r>
    <x v="42"/>
  </r>
  <r>
    <x v="158"/>
  </r>
  <r>
    <x v="158"/>
  </r>
  <r>
    <x v="158"/>
  </r>
  <r>
    <x v="56"/>
  </r>
  <r>
    <x v="11"/>
  </r>
  <r>
    <x v="14"/>
  </r>
  <r>
    <x v="11"/>
  </r>
  <r>
    <x v="22"/>
  </r>
  <r>
    <x v="48"/>
  </r>
  <r>
    <x v="115"/>
  </r>
  <r>
    <x v="71"/>
  </r>
  <r>
    <x v="48"/>
  </r>
  <r>
    <x v="71"/>
  </r>
  <r>
    <x v="79"/>
  </r>
  <r>
    <x v="31"/>
  </r>
  <r>
    <x v="28"/>
  </r>
  <r>
    <x v="28"/>
  </r>
  <r>
    <x v="99"/>
  </r>
  <r>
    <x v="99"/>
  </r>
  <r>
    <x v="31"/>
  </r>
  <r>
    <x v="112"/>
  </r>
  <r>
    <x v="31"/>
  </r>
  <r>
    <x v="0"/>
  </r>
  <r>
    <x v="0"/>
  </r>
  <r>
    <x v="0"/>
  </r>
  <r>
    <x v="0"/>
  </r>
  <r>
    <x v="48"/>
  </r>
  <r>
    <x v="21"/>
  </r>
  <r>
    <x v="188"/>
  </r>
  <r>
    <x v="93"/>
  </r>
  <r>
    <x v="93"/>
  </r>
  <r>
    <x v="14"/>
  </r>
  <r>
    <x v="93"/>
  </r>
  <r>
    <x v="93"/>
  </r>
  <r>
    <x v="0"/>
  </r>
  <r>
    <x v="115"/>
  </r>
  <r>
    <x v="0"/>
  </r>
  <r>
    <x v="0"/>
  </r>
  <r>
    <x v="14"/>
  </r>
  <r>
    <x v="100"/>
  </r>
  <r>
    <x v="2"/>
  </r>
  <r>
    <x v="28"/>
  </r>
  <r>
    <x v="28"/>
  </r>
  <r>
    <x v="28"/>
  </r>
  <r>
    <x v="0"/>
  </r>
  <r>
    <x v="28"/>
  </r>
  <r>
    <x v="86"/>
  </r>
  <r>
    <x v="28"/>
  </r>
  <r>
    <x v="42"/>
  </r>
  <r>
    <x v="48"/>
  </r>
  <r>
    <x v="48"/>
  </r>
  <r>
    <x v="42"/>
  </r>
  <r>
    <x v="48"/>
  </r>
  <r>
    <x v="0"/>
  </r>
  <r>
    <x v="0"/>
  </r>
  <r>
    <x v="86"/>
  </r>
  <r>
    <x v="12"/>
  </r>
  <r>
    <x v="42"/>
  </r>
  <r>
    <x v="42"/>
  </r>
  <r>
    <x v="42"/>
  </r>
  <r>
    <x v="12"/>
  </r>
  <r>
    <x v="12"/>
  </r>
  <r>
    <x v="28"/>
  </r>
  <r>
    <x v="48"/>
  </r>
  <r>
    <x v="17"/>
  </r>
  <r>
    <x v="10"/>
  </r>
  <r>
    <x v="10"/>
  </r>
  <r>
    <x v="2"/>
  </r>
  <r>
    <x v="2"/>
  </r>
  <r>
    <x v="48"/>
  </r>
  <r>
    <x v="48"/>
  </r>
  <r>
    <x v="3"/>
  </r>
  <r>
    <x v="3"/>
  </r>
  <r>
    <x v="3"/>
  </r>
  <r>
    <x v="3"/>
  </r>
  <r>
    <x v="10"/>
  </r>
  <r>
    <x v="10"/>
  </r>
  <r>
    <x v="10"/>
  </r>
  <r>
    <x v="135"/>
  </r>
  <r>
    <x v="44"/>
  </r>
  <r>
    <x v="99"/>
  </r>
  <r>
    <x v="99"/>
  </r>
  <r>
    <x v="14"/>
  </r>
  <r>
    <x v="143"/>
  </r>
  <r>
    <x v="46"/>
  </r>
  <r>
    <x v="7"/>
  </r>
  <r>
    <x v="0"/>
  </r>
  <r>
    <x v="7"/>
  </r>
  <r>
    <x v="2"/>
  </r>
  <r>
    <x v="0"/>
  </r>
  <r>
    <x v="56"/>
  </r>
  <r>
    <x v="10"/>
  </r>
  <r>
    <x v="55"/>
  </r>
  <r>
    <x v="49"/>
  </r>
  <r>
    <x v="7"/>
  </r>
  <r>
    <x v="31"/>
  </r>
  <r>
    <x v="7"/>
  </r>
  <r>
    <x v="55"/>
  </r>
  <r>
    <x v="49"/>
  </r>
  <r>
    <x v="7"/>
  </r>
  <r>
    <x v="55"/>
  </r>
  <r>
    <x v="46"/>
  </r>
  <r>
    <x v="46"/>
  </r>
  <r>
    <x v="79"/>
  </r>
  <r>
    <x v="80"/>
  </r>
  <r>
    <x v="48"/>
  </r>
  <r>
    <x v="80"/>
  </r>
  <r>
    <x v="56"/>
  </r>
  <r>
    <x v="56"/>
  </r>
  <r>
    <x v="56"/>
  </r>
  <r>
    <x v="56"/>
  </r>
  <r>
    <x v="4"/>
  </r>
  <r>
    <x v="31"/>
  </r>
  <r>
    <x v="48"/>
  </r>
  <r>
    <x v="48"/>
  </r>
  <r>
    <x v="55"/>
  </r>
  <r>
    <x v="7"/>
  </r>
  <r>
    <x v="48"/>
  </r>
  <r>
    <x v="141"/>
  </r>
  <r>
    <x v="48"/>
  </r>
  <r>
    <x v="1"/>
  </r>
  <r>
    <x v="48"/>
  </r>
  <r>
    <x v="115"/>
  </r>
  <r>
    <x v="78"/>
  </r>
  <r>
    <x v="86"/>
  </r>
  <r>
    <x v="115"/>
  </r>
  <r>
    <x v="12"/>
  </r>
  <r>
    <x v="4"/>
  </r>
  <r>
    <x v="12"/>
  </r>
  <r>
    <x v="115"/>
  </r>
  <r>
    <x v="12"/>
  </r>
  <r>
    <x v="22"/>
  </r>
  <r>
    <x v="76"/>
  </r>
  <r>
    <x v="152"/>
  </r>
  <r>
    <x v="27"/>
  </r>
  <r>
    <x v="143"/>
  </r>
  <r>
    <x v="115"/>
  </r>
  <r>
    <x v="115"/>
  </r>
  <r>
    <x v="86"/>
  </r>
  <r>
    <x v="14"/>
  </r>
  <r>
    <x v="187"/>
  </r>
  <r>
    <x v="56"/>
  </r>
  <r>
    <x v="56"/>
  </r>
  <r>
    <x v="17"/>
  </r>
  <r>
    <x v="14"/>
  </r>
  <r>
    <x v="14"/>
  </r>
  <r>
    <x v="21"/>
  </r>
  <r>
    <x v="12"/>
  </r>
  <r>
    <x v="45"/>
  </r>
  <r>
    <x v="31"/>
  </r>
  <r>
    <x v="37"/>
  </r>
  <r>
    <x v="37"/>
  </r>
  <r>
    <x v="60"/>
  </r>
  <r>
    <x v="37"/>
  </r>
  <r>
    <x v="37"/>
  </r>
  <r>
    <x v="17"/>
  </r>
  <r>
    <x v="0"/>
  </r>
  <r>
    <x v="12"/>
  </r>
  <r>
    <x v="17"/>
  </r>
  <r>
    <x v="224"/>
  </r>
  <r>
    <x v="14"/>
  </r>
  <r>
    <x v="28"/>
  </r>
  <r>
    <x v="28"/>
  </r>
  <r>
    <x v="0"/>
  </r>
  <r>
    <x v="0"/>
  </r>
  <r>
    <x v="26"/>
  </r>
  <r>
    <x v="17"/>
  </r>
  <r>
    <x v="11"/>
  </r>
  <r>
    <x v="102"/>
  </r>
  <r>
    <x v="10"/>
  </r>
  <r>
    <x v="10"/>
  </r>
  <r>
    <x v="10"/>
  </r>
  <r>
    <x v="10"/>
  </r>
  <r>
    <x v="10"/>
  </r>
  <r>
    <x v="10"/>
  </r>
  <r>
    <x v="71"/>
  </r>
  <r>
    <x v="37"/>
  </r>
  <r>
    <x v="64"/>
  </r>
  <r>
    <x v="64"/>
  </r>
  <r>
    <x v="131"/>
  </r>
  <r>
    <x v="24"/>
  </r>
  <r>
    <x v="10"/>
  </r>
  <r>
    <x v="14"/>
  </r>
  <r>
    <x v="12"/>
  </r>
  <r>
    <x v="10"/>
  </r>
  <r>
    <x v="122"/>
  </r>
  <r>
    <x v="11"/>
  </r>
  <r>
    <x v="10"/>
  </r>
  <r>
    <x v="39"/>
  </r>
  <r>
    <x v="132"/>
  </r>
  <r>
    <x v="64"/>
  </r>
  <r>
    <x v="17"/>
  </r>
  <r>
    <x v="17"/>
  </r>
  <r>
    <x v="25"/>
  </r>
  <r>
    <x v="7"/>
  </r>
  <r>
    <x v="17"/>
  </r>
  <r>
    <x v="9"/>
  </r>
  <r>
    <x v="9"/>
  </r>
  <r>
    <x v="9"/>
  </r>
  <r>
    <x v="48"/>
  </r>
  <r>
    <x v="14"/>
  </r>
  <r>
    <x v="16"/>
  </r>
  <r>
    <x v="14"/>
  </r>
  <r>
    <x v="28"/>
  </r>
  <r>
    <x v="48"/>
  </r>
  <r>
    <x v="48"/>
  </r>
  <r>
    <x v="14"/>
  </r>
  <r>
    <x v="14"/>
  </r>
  <r>
    <x v="14"/>
  </r>
  <r>
    <x v="14"/>
  </r>
  <r>
    <x v="0"/>
  </r>
  <r>
    <x v="9"/>
  </r>
  <r>
    <x v="14"/>
  </r>
  <r>
    <x v="10"/>
  </r>
  <r>
    <x v="48"/>
  </r>
  <r>
    <x v="12"/>
  </r>
  <r>
    <x v="14"/>
  </r>
  <r>
    <x v="0"/>
  </r>
  <r>
    <x v="10"/>
  </r>
  <r>
    <x v="10"/>
  </r>
  <r>
    <x v="0"/>
  </r>
  <r>
    <x v="14"/>
  </r>
  <r>
    <x v="48"/>
  </r>
  <r>
    <x v="0"/>
  </r>
  <r>
    <x v="0"/>
  </r>
  <r>
    <x v="17"/>
  </r>
  <r>
    <x v="42"/>
  </r>
  <r>
    <x v="152"/>
  </r>
  <r>
    <x v="152"/>
  </r>
  <r>
    <x v="48"/>
  </r>
  <r>
    <x v="17"/>
  </r>
  <r>
    <x v="28"/>
  </r>
  <r>
    <x v="28"/>
  </r>
  <r>
    <x v="24"/>
  </r>
  <r>
    <x v="24"/>
  </r>
  <r>
    <x v="17"/>
  </r>
  <r>
    <x v="17"/>
  </r>
  <r>
    <x v="17"/>
  </r>
  <r>
    <x v="17"/>
  </r>
  <r>
    <x v="17"/>
  </r>
  <r>
    <x v="17"/>
  </r>
  <r>
    <x v="17"/>
  </r>
  <r>
    <x v="17"/>
  </r>
  <r>
    <x v="14"/>
  </r>
  <r>
    <x v="14"/>
  </r>
  <r>
    <x v="28"/>
  </r>
  <r>
    <x v="28"/>
  </r>
  <r>
    <x v="34"/>
  </r>
  <r>
    <x v="34"/>
  </r>
  <r>
    <x v="34"/>
  </r>
  <r>
    <x v="34"/>
  </r>
  <r>
    <x v="34"/>
  </r>
  <r>
    <x v="34"/>
  </r>
  <r>
    <x v="26"/>
  </r>
  <r>
    <x v="9"/>
  </r>
  <r>
    <x v="7"/>
  </r>
  <r>
    <x v="28"/>
  </r>
  <r>
    <x v="16"/>
  </r>
  <r>
    <x v="76"/>
  </r>
  <r>
    <x v="14"/>
  </r>
  <r>
    <x v="14"/>
  </r>
  <r>
    <x v="7"/>
  </r>
  <r>
    <x v="49"/>
  </r>
  <r>
    <x v="37"/>
  </r>
  <r>
    <x v="42"/>
  </r>
  <r>
    <x v="0"/>
  </r>
  <r>
    <x v="53"/>
  </r>
  <r>
    <x v="123"/>
  </r>
  <r>
    <x v="14"/>
  </r>
  <r>
    <x v="48"/>
  </r>
  <r>
    <x v="63"/>
  </r>
  <r>
    <x v="56"/>
  </r>
  <r>
    <x v="56"/>
  </r>
  <r>
    <x v="56"/>
  </r>
  <r>
    <x v="56"/>
  </r>
  <r>
    <x v="56"/>
  </r>
  <r>
    <x v="56"/>
  </r>
  <r>
    <x v="45"/>
  </r>
  <r>
    <x v="12"/>
  </r>
  <r>
    <x v="56"/>
  </r>
  <r>
    <x v="56"/>
  </r>
  <r>
    <x v="56"/>
  </r>
  <r>
    <x v="56"/>
  </r>
  <r>
    <x v="17"/>
  </r>
  <r>
    <x v="10"/>
  </r>
  <r>
    <x v="39"/>
  </r>
  <r>
    <x v="17"/>
  </r>
  <r>
    <x v="28"/>
  </r>
  <r>
    <x v="131"/>
  </r>
  <r>
    <x v="12"/>
  </r>
  <r>
    <x v="21"/>
  </r>
  <r>
    <x v="52"/>
  </r>
  <r>
    <x v="61"/>
  </r>
  <r>
    <x v="37"/>
  </r>
  <r>
    <x v="48"/>
  </r>
  <r>
    <x v="56"/>
  </r>
  <r>
    <x v="56"/>
  </r>
  <r>
    <x v="56"/>
  </r>
  <r>
    <x v="56"/>
  </r>
  <r>
    <x v="56"/>
  </r>
  <r>
    <x v="48"/>
  </r>
  <r>
    <x v="53"/>
  </r>
  <r>
    <x v="55"/>
  </r>
  <r>
    <x v="29"/>
  </r>
  <r>
    <x v="17"/>
  </r>
  <r>
    <x v="12"/>
  </r>
  <r>
    <x v="17"/>
  </r>
  <r>
    <x v="17"/>
  </r>
  <r>
    <x v="53"/>
  </r>
  <r>
    <x v="16"/>
  </r>
  <r>
    <x v="28"/>
  </r>
  <r>
    <x v="21"/>
  </r>
  <r>
    <x v="0"/>
  </r>
  <r>
    <x v="14"/>
  </r>
  <r>
    <x v="31"/>
  </r>
  <r>
    <x v="55"/>
  </r>
  <r>
    <x v="46"/>
  </r>
  <r>
    <x v="0"/>
  </r>
  <r>
    <x v="56"/>
  </r>
  <r>
    <x v="72"/>
  </r>
  <r>
    <x v="29"/>
  </r>
  <r>
    <x v="91"/>
  </r>
  <r>
    <x v="17"/>
  </r>
  <r>
    <x v="48"/>
  </r>
  <r>
    <x v="80"/>
  </r>
  <r>
    <x v="10"/>
  </r>
  <r>
    <x v="12"/>
  </r>
  <r>
    <x v="48"/>
  </r>
  <r>
    <x v="48"/>
  </r>
  <r>
    <x v="34"/>
  </r>
  <r>
    <x v="48"/>
  </r>
  <r>
    <x v="14"/>
  </r>
  <r>
    <x v="4"/>
  </r>
  <r>
    <x v="4"/>
  </r>
  <r>
    <x v="48"/>
  </r>
  <r>
    <x v="10"/>
  </r>
  <r>
    <x v="25"/>
  </r>
  <r>
    <x v="25"/>
  </r>
  <r>
    <x v="14"/>
  </r>
  <r>
    <x v="14"/>
  </r>
  <r>
    <x v="39"/>
  </r>
  <r>
    <x v="39"/>
  </r>
  <r>
    <x v="8"/>
  </r>
  <r>
    <x v="8"/>
  </r>
  <r>
    <x v="26"/>
  </r>
  <r>
    <x v="12"/>
  </r>
  <r>
    <x v="22"/>
  </r>
  <r>
    <x v="11"/>
  </r>
  <r>
    <x v="11"/>
  </r>
  <r>
    <x v="26"/>
  </r>
  <r>
    <x v="64"/>
  </r>
  <r>
    <x v="10"/>
  </r>
  <r>
    <x v="46"/>
  </r>
  <r>
    <x v="53"/>
  </r>
  <r>
    <x v="17"/>
  </r>
  <r>
    <x v="12"/>
  </r>
  <r>
    <x v="12"/>
  </r>
  <r>
    <x v="12"/>
  </r>
  <r>
    <x v="224"/>
  </r>
  <r>
    <x v="76"/>
  </r>
  <r>
    <x v="12"/>
  </r>
  <r>
    <x v="0"/>
  </r>
  <r>
    <x v="48"/>
  </r>
  <r>
    <x v="48"/>
  </r>
  <r>
    <x v="24"/>
  </r>
  <r>
    <x v="62"/>
  </r>
  <r>
    <x v="12"/>
  </r>
  <r>
    <x v="9"/>
  </r>
  <r>
    <x v="45"/>
  </r>
  <r>
    <x v="12"/>
  </r>
  <r>
    <x v="12"/>
  </r>
  <r>
    <x v="16"/>
  </r>
  <r>
    <x v="14"/>
  </r>
  <r>
    <x v="0"/>
  </r>
  <r>
    <x v="10"/>
  </r>
  <r>
    <x v="10"/>
  </r>
  <r>
    <x v="10"/>
  </r>
  <r>
    <x v="7"/>
  </r>
  <r>
    <x v="21"/>
  </r>
  <r>
    <x v="10"/>
  </r>
  <r>
    <x v="10"/>
  </r>
  <r>
    <x v="28"/>
  </r>
  <r>
    <x v="14"/>
  </r>
  <r>
    <x v="17"/>
  </r>
  <r>
    <x v="17"/>
  </r>
  <r>
    <x v="0"/>
  </r>
  <r>
    <x v="14"/>
  </r>
  <r>
    <x v="14"/>
  </r>
  <r>
    <x v="14"/>
  </r>
  <r>
    <x v="22"/>
  </r>
  <r>
    <x v="22"/>
  </r>
  <r>
    <x v="0"/>
  </r>
  <r>
    <x v="115"/>
  </r>
  <r>
    <x v="12"/>
  </r>
  <r>
    <x v="14"/>
  </r>
  <r>
    <x v="64"/>
  </r>
  <r>
    <x v="64"/>
  </r>
  <r>
    <x v="14"/>
  </r>
  <r>
    <x v="115"/>
  </r>
  <r>
    <x v="48"/>
  </r>
  <r>
    <x v="0"/>
  </r>
  <r>
    <x v="7"/>
  </r>
  <r>
    <x v="130"/>
  </r>
  <r>
    <x v="55"/>
  </r>
  <r>
    <x v="12"/>
  </r>
  <r>
    <x v="12"/>
  </r>
  <r>
    <x v="14"/>
  </r>
  <r>
    <x v="62"/>
  </r>
  <r>
    <x v="62"/>
  </r>
  <r>
    <x v="62"/>
  </r>
  <r>
    <x v="17"/>
  </r>
  <r>
    <x v="24"/>
  </r>
  <r>
    <x v="12"/>
  </r>
  <r>
    <x v="0"/>
  </r>
  <r>
    <x v="10"/>
  </r>
  <r>
    <x v="2"/>
  </r>
  <r>
    <x v="49"/>
  </r>
  <r>
    <x v="14"/>
  </r>
  <r>
    <x v="48"/>
  </r>
  <r>
    <x v="17"/>
  </r>
  <r>
    <x v="0"/>
  </r>
  <r>
    <x v="46"/>
  </r>
  <r>
    <x v="34"/>
  </r>
  <r>
    <x v="30"/>
  </r>
  <r>
    <x v="15"/>
  </r>
  <r>
    <x v="16"/>
  </r>
  <r>
    <x v="0"/>
  </r>
  <r>
    <x v="0"/>
  </r>
  <r>
    <x v="0"/>
  </r>
  <r>
    <x v="14"/>
  </r>
  <r>
    <x v="17"/>
  </r>
  <r>
    <x v="21"/>
  </r>
  <r>
    <x v="0"/>
  </r>
  <r>
    <x v="14"/>
  </r>
  <r>
    <x v="14"/>
  </r>
  <r>
    <x v="17"/>
  </r>
  <r>
    <x v="17"/>
  </r>
  <r>
    <x v="17"/>
  </r>
  <r>
    <x v="17"/>
  </r>
  <r>
    <x v="14"/>
  </r>
  <r>
    <x v="17"/>
  </r>
  <r>
    <x v="130"/>
  </r>
  <r>
    <x v="14"/>
  </r>
  <r>
    <x v="130"/>
  </r>
  <r>
    <x v="14"/>
  </r>
  <r>
    <x v="130"/>
  </r>
  <r>
    <x v="64"/>
  </r>
  <r>
    <x v="64"/>
  </r>
  <r>
    <x v="14"/>
  </r>
  <r>
    <x v="14"/>
  </r>
  <r>
    <x v="14"/>
  </r>
  <r>
    <x v="15"/>
  </r>
  <r>
    <x v="15"/>
  </r>
  <r>
    <x v="15"/>
  </r>
  <r>
    <x v="2"/>
  </r>
  <r>
    <x v="2"/>
  </r>
  <r>
    <x v="2"/>
  </r>
  <r>
    <x v="37"/>
  </r>
  <r>
    <x v="14"/>
  </r>
  <r>
    <x v="39"/>
  </r>
  <r>
    <x v="0"/>
  </r>
  <r>
    <x v="64"/>
  </r>
  <r>
    <x v="14"/>
  </r>
  <r>
    <x v="48"/>
  </r>
  <r>
    <x v="79"/>
  </r>
  <r>
    <x v="24"/>
  </r>
  <r>
    <x v="24"/>
  </r>
  <r>
    <x v="40"/>
  </r>
  <r>
    <x v="12"/>
  </r>
  <r>
    <x v="84"/>
  </r>
  <r>
    <x v="16"/>
  </r>
  <r>
    <x v="16"/>
  </r>
  <r>
    <x v="7"/>
  </r>
  <r>
    <x v="11"/>
  </r>
  <r>
    <x v="12"/>
  </r>
  <r>
    <x v="24"/>
  </r>
  <r>
    <x v="84"/>
  </r>
  <r>
    <x v="2"/>
  </r>
  <r>
    <x v="2"/>
  </r>
  <r>
    <x v="2"/>
  </r>
  <r>
    <x v="64"/>
  </r>
  <r>
    <x v="17"/>
  </r>
  <r>
    <x v="17"/>
  </r>
  <r>
    <x v="17"/>
  </r>
  <r>
    <x v="17"/>
  </r>
  <r>
    <x v="17"/>
  </r>
  <r>
    <x v="17"/>
  </r>
  <r>
    <x v="16"/>
  </r>
  <r>
    <x v="141"/>
  </r>
  <r>
    <x v="21"/>
  </r>
  <r>
    <x v="131"/>
  </r>
  <r>
    <x v="16"/>
  </r>
  <r>
    <x v="141"/>
  </r>
  <r>
    <x v="171"/>
  </r>
  <r>
    <x v="14"/>
  </r>
  <r>
    <x v="10"/>
  </r>
  <r>
    <x v="62"/>
  </r>
  <r>
    <x v="62"/>
  </r>
  <r>
    <x v="14"/>
  </r>
  <r>
    <x v="171"/>
  </r>
  <r>
    <x v="14"/>
  </r>
  <r>
    <x v="10"/>
  </r>
  <r>
    <x v="10"/>
  </r>
  <r>
    <x v="28"/>
  </r>
  <r>
    <x v="62"/>
  </r>
  <r>
    <x v="17"/>
  </r>
  <r>
    <x v="0"/>
  </r>
  <r>
    <x v="46"/>
  </r>
  <r>
    <x v="46"/>
  </r>
  <r>
    <x v="10"/>
  </r>
  <r>
    <x v="0"/>
  </r>
  <r>
    <x v="0"/>
  </r>
  <r>
    <x v="0"/>
  </r>
  <r>
    <x v="28"/>
  </r>
  <r>
    <x v="16"/>
  </r>
  <r>
    <x v="16"/>
  </r>
  <r>
    <x v="17"/>
  </r>
  <r>
    <x v="17"/>
  </r>
  <r>
    <x v="17"/>
  </r>
  <r>
    <x v="17"/>
  </r>
  <r>
    <x v="17"/>
  </r>
  <r>
    <x v="46"/>
  </r>
  <r>
    <x v="0"/>
  </r>
  <r>
    <x v="14"/>
  </r>
  <r>
    <x v="131"/>
  </r>
  <r>
    <x v="14"/>
  </r>
  <r>
    <x v="2"/>
  </r>
  <r>
    <x v="158"/>
  </r>
  <r>
    <x v="62"/>
  </r>
  <r>
    <x v="22"/>
  </r>
  <r>
    <x v="62"/>
  </r>
  <r>
    <x v="9"/>
  </r>
  <r>
    <x v="64"/>
  </r>
  <r>
    <x v="14"/>
  </r>
  <r>
    <x v="48"/>
  </r>
  <r>
    <x v="22"/>
  </r>
  <r>
    <x v="48"/>
  </r>
  <r>
    <x v="48"/>
  </r>
  <r>
    <x v="16"/>
  </r>
  <r>
    <x v="28"/>
  </r>
  <r>
    <x v="28"/>
  </r>
  <r>
    <x v="22"/>
  </r>
  <r>
    <x v="22"/>
  </r>
  <r>
    <x v="22"/>
  </r>
  <r>
    <x v="28"/>
  </r>
  <r>
    <x v="62"/>
  </r>
  <r>
    <x v="157"/>
  </r>
  <r>
    <x v="10"/>
  </r>
  <r>
    <x v="14"/>
  </r>
  <r>
    <x v="62"/>
  </r>
  <r>
    <x v="62"/>
  </r>
  <r>
    <x v="37"/>
  </r>
  <r>
    <x v="37"/>
  </r>
  <r>
    <x v="0"/>
  </r>
  <r>
    <x v="0"/>
  </r>
  <r>
    <x v="17"/>
  </r>
  <r>
    <x v="14"/>
  </r>
  <r>
    <x v="0"/>
  </r>
  <r>
    <x v="0"/>
  </r>
  <r>
    <x v="10"/>
  </r>
  <r>
    <x v="17"/>
  </r>
  <r>
    <x v="17"/>
  </r>
  <r>
    <x v="26"/>
  </r>
  <r>
    <x v="12"/>
  </r>
  <r>
    <x v="22"/>
  </r>
  <r>
    <x v="22"/>
  </r>
  <r>
    <x v="48"/>
  </r>
  <r>
    <x v="11"/>
  </r>
  <r>
    <x v="11"/>
  </r>
  <r>
    <x v="12"/>
  </r>
  <r>
    <x v="48"/>
  </r>
  <r>
    <x v="33"/>
  </r>
  <r>
    <x v="48"/>
  </r>
  <r>
    <x v="48"/>
  </r>
  <r>
    <x v="53"/>
  </r>
  <r>
    <x v="48"/>
  </r>
  <r>
    <x v="130"/>
  </r>
  <r>
    <x v="14"/>
  </r>
  <r>
    <x v="10"/>
  </r>
  <r>
    <x v="11"/>
  </r>
  <r>
    <x v="24"/>
  </r>
  <r>
    <x v="24"/>
  </r>
  <r>
    <x v="84"/>
  </r>
  <r>
    <x v="24"/>
  </r>
  <r>
    <x v="62"/>
  </r>
  <r>
    <x v="14"/>
  </r>
  <r>
    <x v="224"/>
  </r>
  <r>
    <x v="28"/>
  </r>
  <r>
    <x v="17"/>
  </r>
  <r>
    <x v="28"/>
  </r>
  <r>
    <x v="28"/>
  </r>
  <r>
    <x v="10"/>
  </r>
  <r>
    <x v="10"/>
  </r>
  <r>
    <x v="12"/>
  </r>
  <r>
    <x v="0"/>
  </r>
  <r>
    <x v="16"/>
  </r>
  <r>
    <x v="12"/>
  </r>
  <r>
    <x v="12"/>
  </r>
  <r>
    <x v="10"/>
  </r>
  <r>
    <x v="10"/>
  </r>
  <r>
    <x v="21"/>
  </r>
  <r>
    <x v="154"/>
  </r>
  <r>
    <x v="12"/>
  </r>
  <r>
    <x v="11"/>
  </r>
  <r>
    <x v="11"/>
  </r>
  <r>
    <x v="12"/>
  </r>
  <r>
    <x v="48"/>
  </r>
  <r>
    <x v="68"/>
  </r>
  <r>
    <x v="40"/>
  </r>
  <r>
    <x v="40"/>
  </r>
  <r>
    <x v="21"/>
  </r>
  <r>
    <x v="11"/>
  </r>
  <r>
    <x v="71"/>
  </r>
  <r>
    <x v="10"/>
  </r>
  <r>
    <x v="28"/>
  </r>
  <r>
    <x v="28"/>
  </r>
  <r>
    <x v="46"/>
  </r>
  <r>
    <x v="31"/>
  </r>
  <r>
    <x v="55"/>
  </r>
  <r>
    <x v="28"/>
  </r>
  <r>
    <x v="61"/>
  </r>
  <r>
    <x v="46"/>
  </r>
  <r>
    <x v="53"/>
  </r>
  <r>
    <x v="53"/>
  </r>
  <r>
    <x v="14"/>
  </r>
  <r>
    <x v="11"/>
  </r>
  <r>
    <x v="25"/>
  </r>
  <r>
    <x v="26"/>
  </r>
  <r>
    <x v="26"/>
  </r>
  <r>
    <x v="0"/>
  </r>
  <r>
    <x v="0"/>
  </r>
  <r>
    <x v="24"/>
  </r>
  <r>
    <x v="24"/>
  </r>
  <r>
    <x v="12"/>
  </r>
  <r>
    <x v="12"/>
  </r>
  <r>
    <x v="224"/>
  </r>
  <r>
    <x v="78"/>
  </r>
  <r>
    <x v="28"/>
  </r>
  <r>
    <x v="17"/>
  </r>
  <r>
    <x v="14"/>
  </r>
  <r>
    <x v="16"/>
  </r>
  <r>
    <x v="16"/>
  </r>
  <r>
    <x v="14"/>
  </r>
  <r>
    <x v="87"/>
  </r>
  <r>
    <x v="0"/>
  </r>
  <r>
    <x v="0"/>
  </r>
  <r>
    <x v="53"/>
  </r>
  <r>
    <x v="14"/>
  </r>
  <r>
    <x v="17"/>
  </r>
  <r>
    <x v="24"/>
  </r>
  <r>
    <x v="45"/>
  </r>
  <r>
    <x v="14"/>
  </r>
  <r>
    <x v="14"/>
  </r>
  <r>
    <x v="14"/>
  </r>
  <r>
    <x v="17"/>
  </r>
  <r>
    <x v="12"/>
  </r>
  <r>
    <x v="57"/>
  </r>
  <r>
    <x v="158"/>
  </r>
  <r>
    <x v="152"/>
  </r>
  <r>
    <x v="39"/>
  </r>
  <r>
    <x v="171"/>
  </r>
  <r>
    <x v="8"/>
  </r>
  <r>
    <x v="39"/>
  </r>
  <r>
    <x v="48"/>
  </r>
  <r>
    <x v="34"/>
  </r>
  <r>
    <x v="34"/>
  </r>
  <r>
    <x v="17"/>
  </r>
  <r>
    <x v="53"/>
  </r>
  <r>
    <x v="48"/>
  </r>
  <r>
    <x v="2"/>
  </r>
  <r>
    <x v="55"/>
  </r>
  <r>
    <x v="16"/>
  </r>
  <r>
    <x v="34"/>
  </r>
  <r>
    <x v="34"/>
  </r>
  <r>
    <x v="9"/>
  </r>
  <r>
    <x v="40"/>
  </r>
  <r>
    <x v="93"/>
  </r>
  <r>
    <x v="112"/>
  </r>
  <r>
    <x v="271"/>
  </r>
  <r>
    <x v="36"/>
  </r>
  <r>
    <x v="36"/>
  </r>
  <r>
    <x v="48"/>
  </r>
  <r>
    <x v="26"/>
  </r>
  <r>
    <x v="0"/>
  </r>
  <r>
    <x v="0"/>
  </r>
  <r>
    <x v="290"/>
  </r>
  <r>
    <x v="25"/>
  </r>
  <r>
    <x v="56"/>
  </r>
  <r>
    <x v="14"/>
  </r>
  <r>
    <x v="14"/>
  </r>
  <r>
    <x v="48"/>
  </r>
  <r>
    <x v="48"/>
  </r>
  <r>
    <x v="12"/>
  </r>
  <r>
    <x v="12"/>
  </r>
  <r>
    <x v="2"/>
  </r>
  <r>
    <x v="17"/>
  </r>
  <r>
    <x v="10"/>
  </r>
  <r>
    <x v="0"/>
  </r>
  <r>
    <x v="14"/>
  </r>
  <r>
    <x v="16"/>
  </r>
  <r>
    <x v="46"/>
  </r>
  <r>
    <x v="0"/>
  </r>
  <r>
    <x v="0"/>
  </r>
  <r>
    <x v="53"/>
  </r>
  <r>
    <x v="42"/>
  </r>
  <r>
    <x v="14"/>
  </r>
  <r>
    <x v="78"/>
  </r>
  <r>
    <x v="131"/>
  </r>
  <r>
    <x v="12"/>
  </r>
  <r>
    <x v="12"/>
  </r>
  <r>
    <x v="12"/>
  </r>
  <r>
    <x v="45"/>
  </r>
  <r>
    <x v="62"/>
  </r>
  <r>
    <x v="62"/>
  </r>
  <r>
    <x v="62"/>
  </r>
  <r>
    <x v="24"/>
  </r>
  <r>
    <x v="8"/>
  </r>
  <r>
    <x v="21"/>
  </r>
  <r>
    <x v="0"/>
  </r>
  <r>
    <x v="9"/>
  </r>
  <r>
    <x v="16"/>
  </r>
  <r>
    <x v="16"/>
  </r>
  <r>
    <x v="0"/>
  </r>
  <r>
    <x v="0"/>
  </r>
  <r>
    <x v="0"/>
  </r>
  <r>
    <x v="12"/>
  </r>
  <r>
    <x v="58"/>
  </r>
  <r>
    <x v="14"/>
  </r>
  <r>
    <x v="14"/>
  </r>
  <r>
    <x v="0"/>
  </r>
  <r>
    <x v="14"/>
  </r>
  <r>
    <x v="2"/>
  </r>
  <r>
    <x v="6"/>
  </r>
  <r>
    <x v="11"/>
  </r>
  <r>
    <x v="14"/>
  </r>
  <r>
    <x v="14"/>
  </r>
  <r>
    <x v="9"/>
  </r>
  <r>
    <x v="9"/>
  </r>
  <r>
    <x v="227"/>
  </r>
  <r>
    <x v="173"/>
  </r>
  <r>
    <x v="12"/>
  </r>
  <r>
    <x v="141"/>
  </r>
  <r>
    <x v="141"/>
  </r>
  <r>
    <x v="17"/>
  </r>
  <r>
    <x v="48"/>
  </r>
  <r>
    <x v="0"/>
  </r>
  <r>
    <x v="14"/>
  </r>
  <r>
    <x v="4"/>
  </r>
  <r>
    <x v="48"/>
  </r>
  <r>
    <x v="119"/>
  </r>
  <r>
    <x v="10"/>
  </r>
  <r>
    <x v="48"/>
  </r>
  <r>
    <x v="41"/>
  </r>
  <r>
    <x v="12"/>
  </r>
  <r>
    <x v="4"/>
  </r>
  <r>
    <x v="52"/>
  </r>
  <r>
    <x v="48"/>
  </r>
  <r>
    <x v="14"/>
  </r>
  <r>
    <x v="14"/>
  </r>
  <r>
    <x v="48"/>
  </r>
  <r>
    <x v="53"/>
  </r>
  <r>
    <x v="21"/>
  </r>
  <r>
    <x v="2"/>
  </r>
  <r>
    <x v="14"/>
  </r>
  <r>
    <x v="14"/>
  </r>
  <r>
    <x v="16"/>
  </r>
  <r>
    <x v="16"/>
  </r>
  <r>
    <x v="0"/>
  </r>
  <r>
    <x v="0"/>
  </r>
  <r>
    <x v="0"/>
  </r>
  <r>
    <x v="0"/>
  </r>
  <r>
    <x v="1"/>
  </r>
  <r>
    <x v="1"/>
  </r>
  <r>
    <x v="21"/>
  </r>
  <r>
    <x v="12"/>
  </r>
  <r>
    <x v="12"/>
  </r>
  <r>
    <x v="9"/>
  </r>
  <r>
    <x v="249"/>
  </r>
  <r>
    <x v="14"/>
  </r>
  <r>
    <x v="41"/>
  </r>
  <r>
    <x v="7"/>
  </r>
  <r>
    <x v="10"/>
  </r>
  <r>
    <x v="21"/>
  </r>
  <r>
    <x v="14"/>
  </r>
  <r>
    <x v="45"/>
  </r>
  <r>
    <x v="10"/>
  </r>
  <r>
    <x v="48"/>
  </r>
  <r>
    <x v="84"/>
  </r>
  <r>
    <x v="64"/>
  </r>
  <r>
    <x v="49"/>
  </r>
  <r>
    <x v="25"/>
  </r>
  <r>
    <x v="2"/>
  </r>
  <r>
    <x v="14"/>
  </r>
  <r>
    <x v="28"/>
  </r>
  <r>
    <x v="48"/>
  </r>
  <r>
    <x v="14"/>
  </r>
  <r>
    <x v="171"/>
  </r>
  <r>
    <x v="171"/>
  </r>
  <r>
    <x v="52"/>
  </r>
  <r>
    <x v="52"/>
  </r>
  <r>
    <x v="171"/>
  </r>
  <r>
    <x v="48"/>
  </r>
  <r>
    <x v="62"/>
  </r>
  <r>
    <x v="48"/>
  </r>
  <r>
    <x v="48"/>
  </r>
  <r>
    <x v="48"/>
  </r>
  <r>
    <x v="16"/>
  </r>
  <r>
    <x v="17"/>
  </r>
  <r>
    <x v="48"/>
  </r>
  <r>
    <x v="14"/>
  </r>
  <r>
    <x v="14"/>
  </r>
  <r>
    <x v="14"/>
  </r>
  <r>
    <x v="2"/>
  </r>
  <r>
    <x v="45"/>
  </r>
  <r>
    <x v="43"/>
  </r>
  <r>
    <x v="0"/>
  </r>
  <r>
    <x v="0"/>
  </r>
  <r>
    <x v="0"/>
  </r>
  <r>
    <x v="0"/>
  </r>
  <r>
    <x v="46"/>
  </r>
  <r>
    <x v="46"/>
  </r>
  <r>
    <x v="0"/>
  </r>
  <r>
    <x v="171"/>
  </r>
  <r>
    <x v="171"/>
  </r>
  <r>
    <x v="171"/>
  </r>
  <r>
    <x v="87"/>
  </r>
  <r>
    <x v="48"/>
  </r>
  <r>
    <x v="7"/>
  </r>
  <r>
    <x v="28"/>
  </r>
  <r>
    <x v="45"/>
  </r>
  <r>
    <x v="14"/>
  </r>
  <r>
    <x v="12"/>
  </r>
  <r>
    <x v="48"/>
  </r>
  <r>
    <x v="48"/>
  </r>
  <r>
    <x v="45"/>
  </r>
  <r>
    <x v="45"/>
  </r>
  <r>
    <x v="22"/>
  </r>
  <r>
    <x v="45"/>
  </r>
  <r>
    <x v="48"/>
  </r>
  <r>
    <x v="0"/>
  </r>
  <r>
    <x v="130"/>
  </r>
  <r>
    <x v="16"/>
  </r>
  <r>
    <x v="87"/>
  </r>
  <r>
    <x v="17"/>
  </r>
  <r>
    <x v="74"/>
  </r>
  <r>
    <x v="0"/>
  </r>
  <r>
    <x v="21"/>
  </r>
  <r>
    <x v="21"/>
  </r>
  <r>
    <x v="21"/>
  </r>
  <r>
    <x v="8"/>
  </r>
  <r>
    <x v="8"/>
  </r>
  <r>
    <x v="8"/>
  </r>
  <r>
    <x v="8"/>
  </r>
  <r>
    <x v="9"/>
  </r>
  <r>
    <x v="14"/>
  </r>
  <r>
    <x v="14"/>
  </r>
  <r>
    <x v="74"/>
  </r>
  <r>
    <x v="74"/>
  </r>
  <r>
    <x v="46"/>
  </r>
  <r>
    <x v="130"/>
  </r>
  <r>
    <x v="16"/>
  </r>
  <r>
    <x v="48"/>
  </r>
  <r>
    <x v="7"/>
  </r>
  <r>
    <x v="7"/>
  </r>
  <r>
    <x v="31"/>
  </r>
  <r>
    <x v="31"/>
  </r>
  <r>
    <x v="114"/>
  </r>
  <r>
    <x v="114"/>
  </r>
  <r>
    <x v="31"/>
  </r>
  <r>
    <x v="31"/>
  </r>
  <r>
    <x v="34"/>
  </r>
  <r>
    <x v="28"/>
  </r>
  <r>
    <x v="28"/>
  </r>
  <r>
    <x v="40"/>
  </r>
  <r>
    <x v="3"/>
  </r>
  <r>
    <x v="3"/>
  </r>
  <r>
    <x v="14"/>
  </r>
  <r>
    <x v="14"/>
  </r>
  <r>
    <x v="115"/>
  </r>
  <r>
    <x v="45"/>
  </r>
  <r>
    <x v="45"/>
  </r>
  <r>
    <x v="138"/>
  </r>
  <r>
    <x v="81"/>
  </r>
  <r>
    <x v="81"/>
  </r>
  <r>
    <x v="112"/>
  </r>
  <r>
    <x v="112"/>
  </r>
  <r>
    <x v="48"/>
  </r>
  <r>
    <x v="48"/>
  </r>
  <r>
    <x v="48"/>
  </r>
  <r>
    <x v="48"/>
  </r>
  <r>
    <x v="25"/>
  </r>
  <r>
    <x v="25"/>
  </r>
  <r>
    <x v="25"/>
  </r>
  <r>
    <x v="25"/>
  </r>
  <r>
    <x v="25"/>
  </r>
  <r>
    <x v="42"/>
  </r>
  <r>
    <x v="64"/>
  </r>
  <r>
    <x v="14"/>
  </r>
  <r>
    <x v="130"/>
  </r>
  <r>
    <x v="22"/>
  </r>
  <r>
    <x v="14"/>
  </r>
  <r>
    <x v="14"/>
  </r>
  <r>
    <x v="46"/>
  </r>
  <r>
    <x v="45"/>
  </r>
  <r>
    <x v="45"/>
  </r>
  <r>
    <x v="64"/>
  </r>
  <r>
    <x v="64"/>
  </r>
  <r>
    <x v="4"/>
  </r>
  <r>
    <x v="28"/>
  </r>
  <r>
    <x v="14"/>
  </r>
  <r>
    <x v="48"/>
  </r>
  <r>
    <x v="10"/>
  </r>
  <r>
    <x v="17"/>
  </r>
  <r>
    <x v="48"/>
  </r>
  <r>
    <x v="10"/>
  </r>
  <r>
    <x v="22"/>
  </r>
  <r>
    <x v="171"/>
  </r>
  <r>
    <x v="16"/>
  </r>
  <r>
    <x v="0"/>
  </r>
  <r>
    <x v="130"/>
  </r>
  <r>
    <x v="0"/>
  </r>
  <r>
    <x v="61"/>
  </r>
  <r>
    <x v="61"/>
  </r>
  <r>
    <x v="46"/>
  </r>
  <r>
    <x v="130"/>
  </r>
  <r>
    <x v="130"/>
  </r>
  <r>
    <x v="130"/>
  </r>
  <r>
    <x v="17"/>
  </r>
  <r>
    <x v="46"/>
  </r>
  <r>
    <x v="0"/>
  </r>
  <r>
    <x v="28"/>
  </r>
  <r>
    <x v="16"/>
  </r>
  <r>
    <x v="46"/>
  </r>
  <r>
    <x v="26"/>
  </r>
  <r>
    <x v="14"/>
  </r>
  <r>
    <x v="14"/>
  </r>
  <r>
    <x v="14"/>
  </r>
  <r>
    <x v="14"/>
  </r>
  <r>
    <x v="61"/>
  </r>
  <r>
    <x v="130"/>
  </r>
  <r>
    <x v="79"/>
  </r>
  <r>
    <x v="52"/>
  </r>
  <r>
    <x v="12"/>
  </r>
  <r>
    <x v="115"/>
  </r>
  <r>
    <x v="14"/>
  </r>
  <r>
    <x v="16"/>
  </r>
  <r>
    <x v="16"/>
  </r>
  <r>
    <x v="474"/>
  </r>
  <r>
    <x v="102"/>
  </r>
  <r>
    <x v="28"/>
  </r>
  <r>
    <x v="28"/>
  </r>
  <r>
    <x v="224"/>
  </r>
  <r>
    <x v="14"/>
  </r>
  <r>
    <x v="14"/>
  </r>
  <r>
    <x v="48"/>
  </r>
  <r>
    <x v="0"/>
  </r>
  <r>
    <x v="14"/>
  </r>
  <r>
    <x v="14"/>
  </r>
  <r>
    <x v="14"/>
  </r>
  <r>
    <x v="28"/>
  </r>
  <r>
    <x v="64"/>
  </r>
  <r>
    <x v="2"/>
  </r>
  <r>
    <x v="0"/>
  </r>
  <r>
    <x v="171"/>
  </r>
  <r>
    <x v="9"/>
  </r>
  <r>
    <x v="9"/>
  </r>
  <r>
    <x v="64"/>
  </r>
  <r>
    <x v="28"/>
  </r>
  <r>
    <x v="130"/>
  </r>
  <r>
    <x v="14"/>
  </r>
  <r>
    <x v="40"/>
  </r>
  <r>
    <x v="40"/>
  </r>
  <r>
    <x v="40"/>
  </r>
  <r>
    <x v="0"/>
  </r>
  <r>
    <x v="14"/>
  </r>
  <r>
    <x v="14"/>
  </r>
  <r>
    <x v="14"/>
  </r>
  <r>
    <x v="14"/>
  </r>
  <r>
    <x v="14"/>
  </r>
  <r>
    <x v="14"/>
  </r>
  <r>
    <x v="14"/>
  </r>
  <r>
    <x v="224"/>
  </r>
  <r>
    <x v="171"/>
  </r>
  <r>
    <x v="17"/>
  </r>
  <r>
    <x v="16"/>
  </r>
  <r>
    <x v="64"/>
  </r>
  <r>
    <x v="16"/>
  </r>
  <r>
    <x v="14"/>
  </r>
  <r>
    <x v="14"/>
  </r>
  <r>
    <x v="157"/>
  </r>
  <r>
    <x v="157"/>
  </r>
  <r>
    <x v="14"/>
  </r>
  <r>
    <x v="14"/>
  </r>
  <r>
    <x v="14"/>
  </r>
  <r>
    <x v="14"/>
  </r>
  <r>
    <x v="14"/>
  </r>
  <r>
    <x v="10"/>
  </r>
  <r>
    <x v="14"/>
  </r>
  <r>
    <x v="17"/>
  </r>
  <r>
    <x v="17"/>
  </r>
  <r>
    <x v="3"/>
  </r>
  <r>
    <x v="62"/>
  </r>
  <r>
    <x v="62"/>
  </r>
  <r>
    <x v="28"/>
  </r>
  <r>
    <x v="28"/>
  </r>
  <r>
    <x v="28"/>
  </r>
  <r>
    <x v="14"/>
  </r>
  <r>
    <x v="48"/>
  </r>
  <r>
    <x v="24"/>
  </r>
  <r>
    <x v="24"/>
  </r>
  <r>
    <x v="62"/>
  </r>
  <r>
    <x v="14"/>
  </r>
  <r>
    <x v="28"/>
  </r>
  <r>
    <x v="28"/>
  </r>
  <r>
    <x v="14"/>
  </r>
  <r>
    <x v="14"/>
  </r>
  <r>
    <x v="14"/>
  </r>
  <r>
    <x v="21"/>
  </r>
  <r>
    <x v="16"/>
  </r>
  <r>
    <x v="10"/>
  </r>
  <r>
    <x v="16"/>
  </r>
  <r>
    <x v="141"/>
  </r>
  <r>
    <x v="2"/>
  </r>
  <r>
    <x v="14"/>
  </r>
  <r>
    <x v="62"/>
  </r>
  <r>
    <x v="14"/>
  </r>
  <r>
    <x v="14"/>
  </r>
  <r>
    <x v="14"/>
  </r>
  <r>
    <x v="62"/>
  </r>
  <r>
    <x v="62"/>
  </r>
  <r>
    <x v="62"/>
  </r>
  <r>
    <x v="24"/>
  </r>
  <r>
    <x v="16"/>
  </r>
  <r>
    <x v="14"/>
  </r>
  <r>
    <x v="61"/>
  </r>
  <r>
    <x v="14"/>
  </r>
  <r>
    <x v="0"/>
  </r>
  <r>
    <x v="0"/>
  </r>
  <r>
    <x v="28"/>
  </r>
  <r>
    <x v="28"/>
  </r>
  <r>
    <x v="14"/>
  </r>
  <r>
    <x v="81"/>
  </r>
  <r>
    <x v="14"/>
  </r>
  <r>
    <x v="24"/>
  </r>
  <r>
    <x v="24"/>
  </r>
  <r>
    <x v="62"/>
  </r>
  <r>
    <x v="37"/>
  </r>
  <r>
    <x v="28"/>
  </r>
  <r>
    <x v="46"/>
  </r>
  <r>
    <x v="14"/>
  </r>
  <r>
    <x v="32"/>
  </r>
  <r>
    <x v="28"/>
  </r>
  <r>
    <x v="45"/>
  </r>
  <r>
    <x v="22"/>
  </r>
  <r>
    <x v="22"/>
  </r>
  <r>
    <x v="129"/>
  </r>
  <r>
    <x v="130"/>
  </r>
  <r>
    <x v="130"/>
  </r>
  <r>
    <x v="130"/>
  </r>
  <r>
    <x v="16"/>
  </r>
  <r>
    <x v="81"/>
  </r>
  <r>
    <x v="48"/>
  </r>
  <r>
    <x v="28"/>
  </r>
  <r>
    <x v="14"/>
  </r>
  <r>
    <x v="0"/>
  </r>
  <r>
    <x v="0"/>
  </r>
  <r>
    <x v="0"/>
  </r>
  <r>
    <x v="0"/>
  </r>
  <r>
    <x v="14"/>
  </r>
  <r>
    <x v="14"/>
  </r>
  <r>
    <x v="16"/>
  </r>
  <r>
    <x v="14"/>
  </r>
  <r>
    <x v="46"/>
  </r>
  <r>
    <x v="14"/>
  </r>
  <r>
    <x v="48"/>
  </r>
  <r>
    <x v="48"/>
  </r>
  <r>
    <x v="48"/>
  </r>
  <r>
    <x v="48"/>
  </r>
  <r>
    <x v="48"/>
  </r>
  <r>
    <x v="4"/>
  </r>
  <r>
    <x v="4"/>
  </r>
  <r>
    <x v="141"/>
  </r>
  <r>
    <x v="14"/>
  </r>
  <r>
    <x v="207"/>
  </r>
  <r>
    <x v="16"/>
  </r>
  <r>
    <x v="16"/>
  </r>
  <r>
    <x v="14"/>
  </r>
  <r>
    <x v="16"/>
  </r>
  <r>
    <x v="48"/>
  </r>
  <r>
    <x v="14"/>
  </r>
  <r>
    <x v="66"/>
  </r>
  <r>
    <x v="26"/>
  </r>
  <r>
    <x v="224"/>
  </r>
  <r>
    <x v="16"/>
  </r>
  <r>
    <x v="14"/>
  </r>
  <r>
    <x v="12"/>
  </r>
  <r>
    <x v="12"/>
  </r>
  <r>
    <x v="61"/>
  </r>
  <r>
    <x v="16"/>
  </r>
  <r>
    <x v="16"/>
  </r>
  <r>
    <x v="131"/>
  </r>
  <r>
    <x v="131"/>
  </r>
  <r>
    <x v="22"/>
  </r>
  <r>
    <x v="2"/>
  </r>
  <r>
    <x v="130"/>
  </r>
  <r>
    <x v="28"/>
  </r>
  <r>
    <x v="46"/>
  </r>
  <r>
    <x v="0"/>
  </r>
  <r>
    <x v="8"/>
  </r>
  <r>
    <x v="12"/>
  </r>
  <r>
    <x v="83"/>
  </r>
  <r>
    <x v="10"/>
  </r>
  <r>
    <x v="14"/>
  </r>
  <r>
    <x v="22"/>
  </r>
  <r>
    <x v="37"/>
  </r>
  <r>
    <x v="57"/>
  </r>
  <r>
    <x v="57"/>
  </r>
  <r>
    <x v="78"/>
  </r>
  <r>
    <x v="78"/>
  </r>
  <r>
    <x v="22"/>
  </r>
  <r>
    <x v="78"/>
  </r>
  <r>
    <x v="0"/>
  </r>
  <r>
    <x v="0"/>
  </r>
  <r>
    <x v="28"/>
  </r>
  <r>
    <x v="0"/>
  </r>
  <r>
    <x v="17"/>
  </r>
  <r>
    <x v="17"/>
  </r>
  <r>
    <x v="0"/>
  </r>
  <r>
    <x v="14"/>
  </r>
  <r>
    <x v="14"/>
  </r>
  <r>
    <x v="28"/>
  </r>
  <r>
    <x v="17"/>
  </r>
  <r>
    <x v="0"/>
  </r>
  <r>
    <x v="28"/>
  </r>
  <r>
    <x v="17"/>
  </r>
  <r>
    <x v="57"/>
  </r>
  <r>
    <x v="78"/>
  </r>
  <r>
    <x v="78"/>
  </r>
  <r>
    <x v="17"/>
  </r>
  <r>
    <x v="22"/>
  </r>
  <r>
    <x v="17"/>
  </r>
  <r>
    <x v="17"/>
  </r>
  <r>
    <x v="17"/>
  </r>
  <r>
    <x v="17"/>
  </r>
  <r>
    <x v="46"/>
  </r>
  <r>
    <x v="22"/>
  </r>
  <r>
    <x v="12"/>
  </r>
  <r>
    <x v="2"/>
  </r>
  <r>
    <x v="28"/>
  </r>
  <r>
    <x v="14"/>
  </r>
  <r>
    <x v="14"/>
  </r>
  <r>
    <x v="12"/>
  </r>
  <r>
    <x v="17"/>
  </r>
  <r>
    <x v="143"/>
  </r>
  <r>
    <x v="143"/>
  </r>
  <r>
    <x v="78"/>
  </r>
  <r>
    <x v="78"/>
  </r>
  <r>
    <x v="14"/>
  </r>
  <r>
    <x v="14"/>
  </r>
  <r>
    <x v="14"/>
  </r>
  <r>
    <x v="143"/>
  </r>
  <r>
    <x v="143"/>
  </r>
  <r>
    <x v="34"/>
  </r>
  <r>
    <x v="0"/>
  </r>
  <r>
    <x v="77"/>
  </r>
  <r>
    <x v="17"/>
  </r>
  <r>
    <x v="14"/>
  </r>
  <r>
    <x v="14"/>
  </r>
  <r>
    <x v="14"/>
  </r>
  <r>
    <x v="14"/>
  </r>
  <r>
    <x v="14"/>
  </r>
  <r>
    <x v="29"/>
  </r>
  <r>
    <x v="14"/>
  </r>
  <r>
    <x v="52"/>
  </r>
  <r>
    <x v="14"/>
  </r>
  <r>
    <x v="14"/>
  </r>
  <r>
    <x v="34"/>
  </r>
  <r>
    <x v="28"/>
  </r>
  <r>
    <x v="42"/>
  </r>
  <r>
    <x v="42"/>
  </r>
  <r>
    <x v="42"/>
  </r>
  <r>
    <x v="42"/>
  </r>
  <r>
    <x v="42"/>
  </r>
  <r>
    <x v="42"/>
  </r>
  <r>
    <x v="14"/>
  </r>
  <r>
    <x v="14"/>
  </r>
  <r>
    <x v="17"/>
  </r>
  <r>
    <x v="17"/>
  </r>
  <r>
    <x v="17"/>
  </r>
  <r>
    <x v="115"/>
  </r>
  <r>
    <x v="115"/>
  </r>
  <r>
    <x v="115"/>
  </r>
  <r>
    <x v="22"/>
  </r>
  <r>
    <x v="22"/>
  </r>
  <r>
    <x v="22"/>
  </r>
  <r>
    <x v="48"/>
  </r>
  <r>
    <x v="48"/>
  </r>
  <r>
    <x v="48"/>
  </r>
  <r>
    <x v="14"/>
  </r>
  <r>
    <x v="14"/>
  </r>
  <r>
    <x v="46"/>
  </r>
  <r>
    <x v="46"/>
  </r>
  <r>
    <x v="16"/>
  </r>
  <r>
    <x v="48"/>
  </r>
  <r>
    <x v="48"/>
  </r>
  <r>
    <x v="14"/>
  </r>
  <r>
    <x v="14"/>
  </r>
  <r>
    <x v="42"/>
  </r>
  <r>
    <x v="42"/>
  </r>
  <r>
    <x v="62"/>
  </r>
  <r>
    <x v="62"/>
  </r>
  <r>
    <x v="62"/>
  </r>
  <r>
    <x v="0"/>
  </r>
  <r>
    <x v="0"/>
  </r>
  <r>
    <x v="0"/>
  </r>
  <r>
    <x v="16"/>
  </r>
  <r>
    <x v="16"/>
  </r>
  <r>
    <x v="34"/>
  </r>
  <r>
    <x v="48"/>
  </r>
  <r>
    <x v="61"/>
  </r>
  <r>
    <x v="14"/>
  </r>
  <r>
    <x v="0"/>
  </r>
  <r>
    <x v="0"/>
  </r>
  <r>
    <x v="10"/>
  </r>
  <r>
    <x v="64"/>
  </r>
  <r>
    <x v="64"/>
  </r>
  <r>
    <x v="22"/>
  </r>
  <r>
    <x v="64"/>
  </r>
  <r>
    <x v="14"/>
  </r>
  <r>
    <x v="14"/>
  </r>
  <r>
    <x v="14"/>
  </r>
  <r>
    <x v="14"/>
  </r>
  <r>
    <x v="113"/>
  </r>
  <r>
    <x v="34"/>
  </r>
  <r>
    <x v="34"/>
  </r>
  <r>
    <x v="48"/>
  </r>
  <r>
    <x v="9"/>
  </r>
  <r>
    <x v="46"/>
  </r>
  <r>
    <x v="0"/>
  </r>
  <r>
    <x v="77"/>
  </r>
  <r>
    <x v="77"/>
  </r>
  <r>
    <x v="17"/>
  </r>
  <r>
    <x v="17"/>
  </r>
  <r>
    <x v="17"/>
  </r>
  <r>
    <x v="17"/>
  </r>
  <r>
    <x v="0"/>
  </r>
  <r>
    <x v="0"/>
  </r>
  <r>
    <x v="0"/>
  </r>
  <r>
    <x v="17"/>
  </r>
  <r>
    <x v="17"/>
  </r>
  <r>
    <x v="14"/>
  </r>
  <r>
    <x v="14"/>
  </r>
  <r>
    <x v="14"/>
  </r>
  <r>
    <x v="16"/>
  </r>
  <r>
    <x v="24"/>
  </r>
  <r>
    <x v="21"/>
  </r>
  <r>
    <x v="21"/>
  </r>
  <r>
    <x v="21"/>
  </r>
  <r>
    <x v="14"/>
  </r>
  <r>
    <x v="28"/>
  </r>
  <r>
    <x v="30"/>
  </r>
  <r>
    <x v="12"/>
  </r>
  <r>
    <x v="12"/>
  </r>
  <r>
    <x v="12"/>
  </r>
  <r>
    <x v="9"/>
  </r>
  <r>
    <x v="10"/>
  </r>
  <r>
    <x v="14"/>
  </r>
  <r>
    <x v="62"/>
  </r>
  <r>
    <x v="62"/>
  </r>
  <r>
    <x v="77"/>
  </r>
  <r>
    <x v="14"/>
  </r>
  <r>
    <x v="14"/>
  </r>
  <r>
    <x v="14"/>
  </r>
  <r>
    <x v="84"/>
  </r>
  <r>
    <x v="62"/>
  </r>
  <r>
    <x v="62"/>
  </r>
  <r>
    <x v="62"/>
  </r>
  <r>
    <x v="16"/>
  </r>
  <r>
    <x v="74"/>
  </r>
  <r>
    <x v="74"/>
  </r>
  <r>
    <x v="17"/>
  </r>
  <r>
    <x v="48"/>
  </r>
  <r>
    <x v="48"/>
  </r>
  <r>
    <x v="14"/>
  </r>
  <r>
    <x v="14"/>
  </r>
  <r>
    <x v="14"/>
  </r>
  <r>
    <x v="14"/>
  </r>
  <r>
    <x v="74"/>
  </r>
  <r>
    <x v="226"/>
  </r>
  <r>
    <x v="226"/>
  </r>
  <r>
    <x v="226"/>
  </r>
  <r>
    <x v="74"/>
  </r>
  <r>
    <x v="74"/>
  </r>
  <r>
    <x v="17"/>
  </r>
  <r>
    <x v="14"/>
  </r>
  <r>
    <x v="17"/>
  </r>
  <r>
    <x v="17"/>
  </r>
  <r>
    <x v="14"/>
  </r>
  <r>
    <x v="34"/>
  </r>
  <r>
    <x v="64"/>
  </r>
  <r>
    <x v="14"/>
  </r>
  <r>
    <x v="16"/>
  </r>
  <r>
    <x v="81"/>
  </r>
  <r>
    <x v="81"/>
  </r>
  <r>
    <x v="81"/>
  </r>
  <r>
    <x v="28"/>
  </r>
  <r>
    <x v="28"/>
  </r>
  <r>
    <x v="28"/>
  </r>
  <r>
    <x v="40"/>
  </r>
  <r>
    <x v="40"/>
  </r>
  <r>
    <x v="40"/>
  </r>
  <r>
    <x v="81"/>
  </r>
  <r>
    <x v="81"/>
  </r>
  <r>
    <x v="81"/>
  </r>
  <r>
    <x v="81"/>
  </r>
  <r>
    <x v="14"/>
  </r>
  <r>
    <x v="40"/>
  </r>
  <r>
    <x v="40"/>
  </r>
  <r>
    <x v="40"/>
  </r>
  <r>
    <x v="40"/>
  </r>
  <r>
    <x v="40"/>
  </r>
  <r>
    <x v="40"/>
  </r>
  <r>
    <x v="14"/>
  </r>
  <r>
    <x v="14"/>
  </r>
  <r>
    <x v="62"/>
  </r>
  <r>
    <x v="56"/>
  </r>
  <r>
    <x v="56"/>
  </r>
  <r>
    <x v="17"/>
  </r>
  <r>
    <x v="16"/>
  </r>
  <r>
    <x v="55"/>
  </r>
  <r>
    <x v="55"/>
  </r>
  <r>
    <x v="55"/>
  </r>
  <r>
    <x v="55"/>
  </r>
  <r>
    <x v="55"/>
  </r>
  <r>
    <x v="48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5"/>
  </r>
  <r>
    <x v="10"/>
  </r>
  <r>
    <x v="45"/>
  </r>
  <r>
    <x v="11"/>
  </r>
  <r>
    <x v="131"/>
  </r>
  <r>
    <x v="2"/>
  </r>
  <r>
    <x v="2"/>
  </r>
  <r>
    <x v="28"/>
  </r>
  <r>
    <x v="224"/>
  </r>
  <r>
    <x v="224"/>
  </r>
  <r>
    <x v="22"/>
  </r>
  <r>
    <x v="0"/>
  </r>
  <r>
    <x v="14"/>
  </r>
  <r>
    <x v="14"/>
  </r>
  <r>
    <x v="14"/>
  </r>
  <r>
    <x v="14"/>
  </r>
  <r>
    <x v="14"/>
  </r>
  <r>
    <x v="7"/>
  </r>
  <r>
    <x v="17"/>
  </r>
  <r>
    <x v="22"/>
  </r>
  <r>
    <x v="17"/>
  </r>
  <r>
    <x v="17"/>
  </r>
  <r>
    <x v="7"/>
  </r>
  <r>
    <x v="7"/>
  </r>
  <r>
    <x v="40"/>
  </r>
  <r>
    <x v="40"/>
  </r>
  <r>
    <x v="28"/>
  </r>
  <r>
    <x v="17"/>
  </r>
  <r>
    <x v="12"/>
  </r>
  <r>
    <x v="52"/>
  </r>
  <r>
    <x v="14"/>
  </r>
  <r>
    <x v="33"/>
  </r>
  <r>
    <x v="100"/>
  </r>
  <r>
    <x v="0"/>
  </r>
  <r>
    <x v="28"/>
  </r>
  <r>
    <x v="46"/>
  </r>
  <r>
    <x v="37"/>
  </r>
  <r>
    <x v="34"/>
  </r>
  <r>
    <x v="14"/>
  </r>
  <r>
    <x v="187"/>
  </r>
  <r>
    <x v="21"/>
  </r>
  <r>
    <x v="26"/>
  </r>
  <r>
    <x v="10"/>
  </r>
  <r>
    <x v="39"/>
  </r>
  <r>
    <x v="28"/>
  </r>
  <r>
    <x v="45"/>
  </r>
  <r>
    <x v="61"/>
  </r>
  <r>
    <x v="24"/>
  </r>
  <r>
    <x v="14"/>
  </r>
  <r>
    <x v="131"/>
  </r>
  <r>
    <x v="64"/>
  </r>
  <r>
    <x v="64"/>
  </r>
  <r>
    <x v="115"/>
  </r>
  <r>
    <x v="76"/>
  </r>
  <r>
    <x v="14"/>
  </r>
  <r>
    <x v="16"/>
  </r>
  <r>
    <x v="39"/>
  </r>
  <r>
    <x v="171"/>
  </r>
  <r>
    <x v="53"/>
  </r>
  <r>
    <x v="46"/>
  </r>
  <r>
    <x v="166"/>
  </r>
  <r>
    <x v="22"/>
  </r>
  <r>
    <x v="22"/>
  </r>
  <r>
    <x v="22"/>
  </r>
  <r>
    <x v="45"/>
  </r>
  <r>
    <x v="22"/>
  </r>
  <r>
    <x v="16"/>
  </r>
  <r>
    <x v="7"/>
  </r>
  <r>
    <x v="81"/>
  </r>
  <r>
    <x v="114"/>
  </r>
  <r>
    <x v="22"/>
  </r>
  <r>
    <x v="22"/>
  </r>
  <r>
    <x v="2"/>
  </r>
  <r>
    <x v="130"/>
  </r>
  <r>
    <x v="14"/>
  </r>
  <r>
    <x v="14"/>
  </r>
  <r>
    <x v="52"/>
  </r>
  <r>
    <x v="4"/>
  </r>
  <r>
    <x v="0"/>
  </r>
  <r>
    <x v="28"/>
  </r>
  <r>
    <x v="45"/>
  </r>
  <r>
    <x v="14"/>
  </r>
  <r>
    <x v="25"/>
  </r>
  <r>
    <x v="10"/>
  </r>
  <r>
    <x v="11"/>
  </r>
  <r>
    <x v="11"/>
  </r>
  <r>
    <x v="14"/>
  </r>
  <r>
    <x v="14"/>
  </r>
  <r>
    <x v="14"/>
  </r>
  <r>
    <x v="14"/>
  </r>
  <r>
    <x v="14"/>
  </r>
  <r>
    <x v="14"/>
  </r>
  <r>
    <x v="14"/>
  </r>
  <r>
    <x v="53"/>
  </r>
  <r>
    <x v="46"/>
  </r>
  <r>
    <x v="46"/>
  </r>
  <r>
    <x v="45"/>
  </r>
  <r>
    <x v="45"/>
  </r>
  <r>
    <x v="22"/>
  </r>
  <r>
    <x v="171"/>
  </r>
  <r>
    <x v="17"/>
  </r>
  <r>
    <x v="42"/>
  </r>
  <r>
    <x v="0"/>
  </r>
  <r>
    <x v="143"/>
  </r>
  <r>
    <x v="48"/>
  </r>
  <r>
    <x v="0"/>
  </r>
  <r>
    <x v="48"/>
  </r>
  <r>
    <x v="62"/>
  </r>
  <r>
    <x v="62"/>
  </r>
  <r>
    <x v="9"/>
  </r>
  <r>
    <x v="14"/>
  </r>
  <r>
    <x v="14"/>
  </r>
  <r>
    <x v="14"/>
  </r>
  <r>
    <x v="14"/>
  </r>
  <r>
    <x v="0"/>
  </r>
  <r>
    <x v="130"/>
  </r>
  <r>
    <x v="46"/>
  </r>
  <r>
    <x v="30"/>
  </r>
  <r>
    <x v="30"/>
  </r>
  <r>
    <x v="9"/>
  </r>
  <r>
    <x v="130"/>
  </r>
  <r>
    <x v="10"/>
  </r>
  <r>
    <x v="6"/>
  </r>
  <r>
    <x v="39"/>
  </r>
  <r>
    <x v="25"/>
  </r>
  <r>
    <x v="14"/>
  </r>
  <r>
    <x v="45"/>
  </r>
  <r>
    <x v="14"/>
  </r>
  <r>
    <x v="14"/>
  </r>
  <r>
    <x v="14"/>
  </r>
  <r>
    <x v="14"/>
  </r>
  <r>
    <x v="14"/>
  </r>
  <r>
    <x v="17"/>
  </r>
  <r>
    <x v="28"/>
  </r>
  <r>
    <x v="48"/>
  </r>
  <r>
    <x v="17"/>
  </r>
  <r>
    <x v="17"/>
  </r>
  <r>
    <x v="22"/>
  </r>
  <r>
    <x v="22"/>
  </r>
  <r>
    <x v="22"/>
  </r>
  <r>
    <x v="28"/>
  </r>
  <r>
    <x v="48"/>
  </r>
  <r>
    <x v="48"/>
  </r>
  <r>
    <x v="171"/>
  </r>
  <r>
    <x v="48"/>
  </r>
  <r>
    <x v="16"/>
  </r>
  <r>
    <x v="14"/>
  </r>
  <r>
    <x v="48"/>
  </r>
  <r>
    <x v="16"/>
  </r>
  <r>
    <x v="16"/>
  </r>
  <r>
    <x v="16"/>
  </r>
  <r>
    <x v="14"/>
  </r>
  <r>
    <x v="53"/>
  </r>
  <r>
    <x v="64"/>
  </r>
  <r>
    <x v="64"/>
  </r>
  <r>
    <x v="45"/>
  </r>
  <r>
    <x v="45"/>
  </r>
  <r>
    <x v="46"/>
  </r>
  <r>
    <x v="30"/>
  </r>
  <r>
    <x v="48"/>
  </r>
  <r>
    <x v="30"/>
  </r>
  <r>
    <x v="0"/>
  </r>
  <r>
    <x v="0"/>
  </r>
  <r>
    <x v="28"/>
  </r>
  <r>
    <x v="0"/>
  </r>
  <r>
    <x v="0"/>
  </r>
  <r>
    <x v="48"/>
  </r>
  <r>
    <x v="10"/>
  </r>
  <r>
    <x v="17"/>
  </r>
  <r>
    <x v="17"/>
  </r>
  <r>
    <x v="81"/>
  </r>
  <r>
    <x v="17"/>
  </r>
  <r>
    <x v="17"/>
  </r>
  <r>
    <x v="17"/>
  </r>
  <r>
    <x v="17"/>
  </r>
  <r>
    <x v="48"/>
  </r>
  <r>
    <x v="45"/>
  </r>
  <r>
    <x v="45"/>
  </r>
  <r>
    <x v="45"/>
  </r>
  <r>
    <x v="17"/>
  </r>
  <r>
    <x v="53"/>
  </r>
  <r>
    <x v="7"/>
  </r>
  <r>
    <x v="8"/>
  </r>
  <r>
    <x v="28"/>
  </r>
  <r>
    <x v="28"/>
  </r>
  <r>
    <x v="28"/>
  </r>
  <r>
    <x v="216"/>
  </r>
  <r>
    <x v="16"/>
  </r>
  <r>
    <x v="28"/>
  </r>
  <r>
    <x v="28"/>
  </r>
  <r>
    <x v="0"/>
  </r>
  <r>
    <x v="17"/>
  </r>
  <r>
    <x v="19"/>
  </r>
  <r>
    <x v="45"/>
  </r>
  <r>
    <x v="8"/>
  </r>
  <r>
    <x v="8"/>
  </r>
  <r>
    <x v="8"/>
  </r>
  <r>
    <x v="14"/>
  </r>
  <r>
    <x v="19"/>
  </r>
  <r>
    <x v="8"/>
  </r>
  <r>
    <x v="4"/>
  </r>
  <r>
    <x v="21"/>
  </r>
  <r>
    <x v="0"/>
  </r>
  <r>
    <x v="14"/>
  </r>
  <r>
    <x v="42"/>
  </r>
  <r>
    <x v="4"/>
  </r>
  <r>
    <x v="6"/>
  </r>
  <r>
    <x v="14"/>
  </r>
  <r>
    <x v="14"/>
  </r>
  <r>
    <x v="24"/>
  </r>
  <r>
    <x v="21"/>
  </r>
  <r>
    <x v="12"/>
  </r>
  <r>
    <x v="7"/>
  </r>
  <r>
    <x v="17"/>
  </r>
  <r>
    <x v="9"/>
  </r>
  <r>
    <x v="48"/>
  </r>
  <r>
    <x v="22"/>
  </r>
  <r>
    <x v="22"/>
  </r>
  <r>
    <x v="34"/>
  </r>
  <r>
    <x v="34"/>
  </r>
  <r>
    <x v="34"/>
  </r>
  <r>
    <x v="10"/>
  </r>
  <r>
    <x v="0"/>
  </r>
  <r>
    <x v="4"/>
  </r>
  <r>
    <x v="0"/>
  </r>
  <r>
    <x v="11"/>
  </r>
  <r>
    <x v="45"/>
  </r>
  <r>
    <x v="0"/>
  </r>
  <r>
    <x v="64"/>
  </r>
  <r>
    <x v="33"/>
  </r>
  <r>
    <x v="8"/>
  </r>
  <r>
    <x v="0"/>
  </r>
  <r>
    <x v="12"/>
  </r>
  <r>
    <x v="14"/>
  </r>
  <r>
    <x v="12"/>
  </r>
  <r>
    <x v="17"/>
  </r>
  <r>
    <x v="17"/>
  </r>
  <r>
    <x v="10"/>
  </r>
  <r>
    <x v="53"/>
  </r>
  <r>
    <x v="52"/>
  </r>
  <r>
    <x v="0"/>
  </r>
  <r>
    <x v="39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0"/>
  </r>
  <r>
    <x v="0"/>
  </r>
  <r>
    <x v="31"/>
  </r>
  <r>
    <x v="0"/>
  </r>
  <r>
    <x v="0"/>
  </r>
  <r>
    <x v="53"/>
  </r>
  <r>
    <x v="171"/>
  </r>
  <r>
    <x v="15"/>
  </r>
  <r>
    <x v="15"/>
  </r>
  <r>
    <x v="14"/>
  </r>
  <r>
    <x v="15"/>
  </r>
  <r>
    <x v="15"/>
  </r>
  <r>
    <x v="21"/>
  </r>
  <r>
    <x v="4"/>
  </r>
  <r>
    <x v="4"/>
  </r>
  <r>
    <x v="4"/>
  </r>
  <r>
    <x v="22"/>
  </r>
  <r>
    <x v="22"/>
  </r>
  <r>
    <x v="22"/>
  </r>
  <r>
    <x v="22"/>
  </r>
  <r>
    <x v="4"/>
  </r>
  <r>
    <x v="130"/>
  </r>
  <r>
    <x v="130"/>
  </r>
  <r>
    <x v="130"/>
  </r>
  <r>
    <x v="14"/>
  </r>
  <r>
    <x v="34"/>
  </r>
  <r>
    <x v="34"/>
  </r>
  <r>
    <x v="14"/>
  </r>
  <r>
    <x v="6"/>
  </r>
  <r>
    <x v="14"/>
  </r>
  <r>
    <x v="7"/>
  </r>
  <r>
    <x v="14"/>
  </r>
  <r>
    <x v="7"/>
  </r>
  <r>
    <x v="9"/>
  </r>
  <r>
    <x v="9"/>
  </r>
  <r>
    <x v="24"/>
  </r>
  <r>
    <x v="7"/>
  </r>
  <r>
    <x v="14"/>
  </r>
  <r>
    <x v="16"/>
  </r>
  <r>
    <x v="10"/>
  </r>
  <r>
    <x v="52"/>
  </r>
  <r>
    <x v="87"/>
  </r>
  <r>
    <x v="14"/>
  </r>
  <r>
    <x v="14"/>
  </r>
  <r>
    <x v="14"/>
  </r>
  <r>
    <x v="14"/>
  </r>
  <r>
    <x v="10"/>
  </r>
  <r>
    <x v="7"/>
  </r>
  <r>
    <x v="16"/>
  </r>
  <r>
    <x v="37"/>
  </r>
  <r>
    <x v="7"/>
  </r>
  <r>
    <x v="0"/>
  </r>
  <r>
    <x v="14"/>
  </r>
  <r>
    <x v="10"/>
  </r>
  <r>
    <x v="14"/>
  </r>
  <r>
    <x v="14"/>
  </r>
  <r>
    <x v="10"/>
  </r>
  <r>
    <x v="53"/>
  </r>
  <r>
    <x v="10"/>
  </r>
  <r>
    <x v="4"/>
  </r>
  <r>
    <x v="25"/>
  </r>
  <r>
    <x v="30"/>
  </r>
  <r>
    <x v="4"/>
  </r>
  <r>
    <x v="10"/>
  </r>
  <r>
    <x v="0"/>
  </r>
  <r>
    <x v="4"/>
  </r>
  <r>
    <x v="4"/>
  </r>
  <r>
    <x v="4"/>
  </r>
  <r>
    <x v="4"/>
  </r>
  <r>
    <x v="4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2"/>
  </r>
  <r>
    <x v="14"/>
  </r>
  <r>
    <x v="22"/>
  </r>
  <r>
    <x v="22"/>
  </r>
  <r>
    <x v="22"/>
  </r>
  <r>
    <x v="22"/>
  </r>
  <r>
    <x v="16"/>
  </r>
  <r>
    <x v="17"/>
  </r>
  <r>
    <x v="17"/>
  </r>
  <r>
    <x v="45"/>
  </r>
  <r>
    <x v="48"/>
  </r>
  <r>
    <x v="45"/>
  </r>
  <r>
    <x v="48"/>
  </r>
  <r>
    <x v="48"/>
  </r>
  <r>
    <x v="22"/>
  </r>
  <r>
    <x v="10"/>
  </r>
  <r>
    <x v="4"/>
  </r>
  <r>
    <x v="4"/>
  </r>
  <r>
    <x v="4"/>
  </r>
  <r>
    <x v="4"/>
  </r>
  <r>
    <x v="4"/>
  </r>
  <r>
    <x v="4"/>
  </r>
  <r>
    <x v="4"/>
  </r>
  <r>
    <x v="10"/>
  </r>
  <r>
    <x v="25"/>
  </r>
  <r>
    <x v="4"/>
  </r>
  <r>
    <x v="16"/>
  </r>
  <r>
    <x v="7"/>
  </r>
  <r>
    <x v="7"/>
  </r>
  <r>
    <x v="7"/>
  </r>
  <r>
    <x v="31"/>
  </r>
  <r>
    <x v="31"/>
  </r>
  <r>
    <x v="24"/>
  </r>
  <r>
    <x v="14"/>
  </r>
  <r>
    <x v="0"/>
  </r>
  <r>
    <x v="10"/>
  </r>
  <r>
    <x v="31"/>
  </r>
  <r>
    <x v="4"/>
  </r>
  <r>
    <x v="10"/>
  </r>
  <r>
    <x v="53"/>
  </r>
  <r>
    <x v="4"/>
  </r>
  <r>
    <x v="0"/>
  </r>
  <r>
    <x v="0"/>
  </r>
  <r>
    <x v="0"/>
  </r>
  <r>
    <x v="0"/>
  </r>
  <r>
    <x v="7"/>
  </r>
  <r>
    <x v="4"/>
  </r>
  <r>
    <x v="22"/>
  </r>
  <r>
    <x v="9"/>
  </r>
  <r>
    <x v="16"/>
  </r>
  <r>
    <x v="48"/>
  </r>
  <r>
    <x v="31"/>
  </r>
  <r>
    <x v="31"/>
  </r>
  <r>
    <x v="7"/>
  </r>
  <r>
    <x v="17"/>
  </r>
  <r>
    <x v="0"/>
  </r>
  <r>
    <x v="12"/>
  </r>
  <r>
    <x v="55"/>
  </r>
  <r>
    <x v="87"/>
  </r>
  <r>
    <x v="4"/>
  </r>
  <r>
    <x v="12"/>
  </r>
  <r>
    <x v="0"/>
  </r>
  <r>
    <x v="22"/>
  </r>
  <r>
    <x v="12"/>
  </r>
  <r>
    <x v="22"/>
  </r>
  <r>
    <x v="10"/>
  </r>
  <r>
    <x v="9"/>
  </r>
  <r>
    <x v="9"/>
  </r>
  <r>
    <x v="68"/>
  </r>
  <r>
    <x v="12"/>
  </r>
  <r>
    <x v="37"/>
  </r>
  <r>
    <x v="37"/>
  </r>
  <r>
    <x v="42"/>
  </r>
  <r>
    <x v="8"/>
  </r>
  <r>
    <x v="12"/>
  </r>
  <r>
    <x v="9"/>
  </r>
  <r>
    <x v="25"/>
  </r>
  <r>
    <x v="0"/>
  </r>
  <r>
    <x v="0"/>
  </r>
  <r>
    <x v="1"/>
  </r>
  <r>
    <x v="44"/>
  </r>
  <r>
    <x v="24"/>
  </r>
  <r>
    <x v="21"/>
  </r>
  <r>
    <x v="21"/>
  </r>
  <r>
    <x v="21"/>
  </r>
  <r>
    <x v="17"/>
  </r>
  <r>
    <x v="6"/>
  </r>
  <r>
    <x v="6"/>
  </r>
  <r>
    <x v="10"/>
  </r>
  <r>
    <x v="0"/>
  </r>
  <r>
    <x v="28"/>
  </r>
  <r>
    <x v="12"/>
  </r>
  <r>
    <x v="14"/>
  </r>
  <r>
    <x v="14"/>
  </r>
  <r>
    <x v="14"/>
  </r>
  <r>
    <x v="14"/>
  </r>
  <r>
    <x v="14"/>
  </r>
  <r>
    <x v="14"/>
  </r>
  <r>
    <x v="0"/>
  </r>
  <r>
    <x v="0"/>
  </r>
  <r>
    <x v="17"/>
  </r>
  <r>
    <x v="31"/>
  </r>
  <r>
    <x v="10"/>
  </r>
  <r>
    <x v="0"/>
  </r>
  <r>
    <x v="22"/>
  </r>
  <r>
    <x v="28"/>
  </r>
  <r>
    <x v="14"/>
  </r>
  <r>
    <x v="28"/>
  </r>
  <r>
    <x v="44"/>
  </r>
  <r>
    <x v="33"/>
  </r>
  <r>
    <x v="17"/>
  </r>
  <r>
    <x v="79"/>
  </r>
  <r>
    <x v="25"/>
  </r>
  <r>
    <x v="1"/>
  </r>
  <r>
    <x v="24"/>
  </r>
  <r>
    <x v="24"/>
  </r>
  <r>
    <x v="123"/>
  </r>
  <r>
    <x v="11"/>
  </r>
  <r>
    <x v="115"/>
  </r>
  <r>
    <x v="115"/>
  </r>
  <r>
    <x v="115"/>
  </r>
  <r>
    <x v="11"/>
  </r>
  <r>
    <x v="11"/>
  </r>
  <r>
    <x v="11"/>
  </r>
  <r>
    <x v="14"/>
  </r>
  <r>
    <x v="12"/>
  </r>
  <r>
    <x v="123"/>
  </r>
  <r>
    <x v="152"/>
  </r>
  <r>
    <x v="53"/>
  </r>
  <r>
    <x v="10"/>
  </r>
  <r>
    <x v="10"/>
  </r>
  <r>
    <x v="10"/>
  </r>
  <r>
    <x v="10"/>
  </r>
  <r>
    <x v="17"/>
  </r>
  <r>
    <x v="45"/>
  </r>
  <r>
    <x v="189"/>
  </r>
  <r>
    <x v="7"/>
  </r>
  <r>
    <x v="14"/>
  </r>
  <r>
    <x v="39"/>
  </r>
  <r>
    <x v="88"/>
  </r>
  <r>
    <x v="137"/>
  </r>
  <r>
    <x v="53"/>
  </r>
  <r>
    <x v="53"/>
  </r>
  <r>
    <x v="14"/>
  </r>
  <r>
    <x v="115"/>
  </r>
  <r>
    <x v="21"/>
  </r>
  <r>
    <x v="31"/>
  </r>
  <r>
    <x v="14"/>
  </r>
  <r>
    <x v="17"/>
  </r>
  <r>
    <x v="17"/>
  </r>
  <r>
    <x v="14"/>
  </r>
  <r>
    <x v="12"/>
  </r>
  <r>
    <x v="12"/>
  </r>
  <r>
    <x v="12"/>
  </r>
  <r>
    <x v="12"/>
  </r>
  <r>
    <x v="51"/>
  </r>
  <r>
    <x v="14"/>
  </r>
  <r>
    <x v="16"/>
  </r>
  <r>
    <x v="10"/>
  </r>
  <r>
    <x v="9"/>
  </r>
  <r>
    <x v="53"/>
  </r>
  <r>
    <x v="12"/>
  </r>
  <r>
    <x v="19"/>
  </r>
  <r>
    <x v="179"/>
  </r>
  <r>
    <x v="42"/>
  </r>
  <r>
    <x v="12"/>
  </r>
  <r>
    <x v="55"/>
  </r>
  <r>
    <x v="55"/>
  </r>
  <r>
    <x v="89"/>
  </r>
  <r>
    <x v="76"/>
  </r>
  <r>
    <x v="14"/>
  </r>
  <r>
    <x v="55"/>
  </r>
  <r>
    <x v="154"/>
  </r>
  <r>
    <x v="154"/>
  </r>
  <r>
    <x v="55"/>
  </r>
  <r>
    <x v="55"/>
  </r>
  <r>
    <x v="55"/>
  </r>
  <r>
    <x v="7"/>
  </r>
  <r>
    <x v="86"/>
  </r>
  <r>
    <x v="86"/>
  </r>
  <r>
    <x v="11"/>
  </r>
  <r>
    <x v="28"/>
  </r>
  <r>
    <x v="123"/>
  </r>
  <r>
    <x v="22"/>
  </r>
  <r>
    <x v="189"/>
  </r>
  <r>
    <x v="154"/>
  </r>
  <r>
    <x v="16"/>
  </r>
  <r>
    <x v="1"/>
  </r>
  <r>
    <x v="14"/>
  </r>
  <r>
    <x v="249"/>
  </r>
  <r>
    <x v="48"/>
  </r>
  <r>
    <x v="28"/>
  </r>
  <r>
    <x v="2"/>
  </r>
  <r>
    <x v="4"/>
  </r>
  <r>
    <x v="10"/>
  </r>
  <r>
    <x v="4"/>
  </r>
  <r>
    <x v="45"/>
  </r>
  <r>
    <x v="12"/>
  </r>
  <r>
    <x v="57"/>
  </r>
  <r>
    <x v="76"/>
  </r>
  <r>
    <x v="7"/>
  </r>
  <r>
    <x v="44"/>
  </r>
  <r>
    <x v="0"/>
  </r>
  <r>
    <x v="0"/>
  </r>
  <r>
    <x v="48"/>
  </r>
  <r>
    <x v="10"/>
  </r>
  <r>
    <x v="28"/>
  </r>
  <r>
    <x v="28"/>
  </r>
  <r>
    <x v="52"/>
  </r>
  <r>
    <x v="138"/>
  </r>
  <r>
    <x v="76"/>
  </r>
  <r>
    <x v="115"/>
  </r>
  <r>
    <x v="7"/>
  </r>
  <r>
    <x v="115"/>
  </r>
  <r>
    <x v="76"/>
  </r>
  <r>
    <x v="42"/>
  </r>
  <r>
    <x v="57"/>
  </r>
  <r>
    <x v="8"/>
  </r>
  <r>
    <x v="31"/>
  </r>
  <r>
    <x v="0"/>
  </r>
  <r>
    <x v="9"/>
  </r>
  <r>
    <x v="9"/>
  </r>
  <r>
    <x v="75"/>
  </r>
  <r>
    <x v="115"/>
  </r>
  <r>
    <x v="179"/>
  </r>
  <r>
    <x v="21"/>
  </r>
  <r>
    <x v="15"/>
  </r>
  <r>
    <x v="10"/>
  </r>
  <r>
    <x v="4"/>
  </r>
  <r>
    <x v="0"/>
  </r>
  <r>
    <x v="25"/>
  </r>
  <r>
    <x v="25"/>
  </r>
  <r>
    <x v="25"/>
  </r>
  <r>
    <x v="25"/>
  </r>
  <r>
    <x v="22"/>
  </r>
  <r>
    <x v="1"/>
  </r>
  <r>
    <x v="25"/>
  </r>
  <r>
    <x v="7"/>
  </r>
  <r>
    <x v="48"/>
  </r>
  <r>
    <x v="72"/>
  </r>
  <r>
    <x v="72"/>
  </r>
  <r>
    <x v="76"/>
  </r>
  <r>
    <x v="76"/>
  </r>
  <r>
    <x v="42"/>
  </r>
  <r>
    <x v="12"/>
  </r>
  <r>
    <x v="142"/>
  </r>
  <r>
    <x v="70"/>
  </r>
  <r>
    <x v="4"/>
  </r>
  <r>
    <x v="2"/>
  </r>
  <r>
    <x v="131"/>
  </r>
  <r>
    <x v="186"/>
  </r>
  <r>
    <x v="16"/>
  </r>
  <r>
    <x v="141"/>
  </r>
  <r>
    <x v="141"/>
  </r>
  <r>
    <x v="249"/>
  </r>
  <r>
    <x v="249"/>
  </r>
  <r>
    <x v="249"/>
  </r>
  <r>
    <x v="14"/>
  </r>
  <r>
    <x v="15"/>
  </r>
  <r>
    <x v="138"/>
  </r>
  <r>
    <x v="78"/>
  </r>
  <r>
    <x v="0"/>
  </r>
  <r>
    <x v="14"/>
  </r>
  <r>
    <x v="14"/>
  </r>
  <r>
    <x v="10"/>
  </r>
  <r>
    <x v="52"/>
  </r>
  <r>
    <x v="10"/>
  </r>
  <r>
    <x v="28"/>
  </r>
  <r>
    <x v="4"/>
  </r>
  <r>
    <x v="99"/>
  </r>
  <r>
    <x v="52"/>
  </r>
  <r>
    <x v="7"/>
  </r>
  <r>
    <x v="53"/>
  </r>
  <r>
    <x v="55"/>
  </r>
  <r>
    <x v="16"/>
  </r>
  <r>
    <x v="12"/>
  </r>
  <r>
    <x v="11"/>
  </r>
  <r>
    <x v="11"/>
  </r>
  <r>
    <x v="249"/>
  </r>
  <r>
    <x v="249"/>
  </r>
  <r>
    <x v="249"/>
  </r>
  <r>
    <x v="249"/>
  </r>
  <r>
    <x v="141"/>
  </r>
  <r>
    <x v="141"/>
  </r>
  <r>
    <x v="141"/>
  </r>
  <r>
    <x v="141"/>
  </r>
  <r>
    <x v="141"/>
  </r>
  <r>
    <x v="249"/>
  </r>
  <r>
    <x v="249"/>
  </r>
  <r>
    <x v="249"/>
  </r>
  <r>
    <x v="249"/>
  </r>
  <r>
    <x v="249"/>
  </r>
  <r>
    <x v="76"/>
  </r>
  <r>
    <x v="36"/>
  </r>
  <r>
    <x v="42"/>
  </r>
  <r>
    <x v="28"/>
  </r>
  <r>
    <x v="142"/>
  </r>
  <r>
    <x v="142"/>
  </r>
  <r>
    <x v="57"/>
  </r>
  <r>
    <x v="12"/>
  </r>
  <r>
    <x v="27"/>
  </r>
  <r>
    <x v="62"/>
  </r>
  <r>
    <x v="14"/>
  </r>
  <r>
    <x v="45"/>
  </r>
  <r>
    <x v="131"/>
  </r>
  <r>
    <x v="57"/>
  </r>
  <r>
    <x v="12"/>
  </r>
  <r>
    <x v="150"/>
  </r>
  <r>
    <x v="22"/>
  </r>
  <r>
    <x v="19"/>
  </r>
  <r>
    <x v="19"/>
  </r>
  <r>
    <x v="12"/>
  </r>
  <r>
    <x v="55"/>
  </r>
  <r>
    <x v="48"/>
  </r>
  <r>
    <x v="59"/>
  </r>
  <r>
    <x v="59"/>
  </r>
  <r>
    <x v="29"/>
  </r>
  <r>
    <x v="31"/>
  </r>
  <r>
    <x v="12"/>
  </r>
  <r>
    <x v="21"/>
  </r>
  <r>
    <x v="57"/>
  </r>
  <r>
    <x v="115"/>
  </r>
  <r>
    <x v="0"/>
  </r>
  <r>
    <x v="115"/>
  </r>
  <r>
    <x v="12"/>
  </r>
  <r>
    <x v="12"/>
  </r>
  <r>
    <x v="22"/>
  </r>
  <r>
    <x v="6"/>
  </r>
  <r>
    <x v="53"/>
  </r>
  <r>
    <x v="0"/>
  </r>
  <r>
    <x v="0"/>
  </r>
  <r>
    <x v="28"/>
  </r>
  <r>
    <x v="9"/>
  </r>
  <r>
    <x v="21"/>
  </r>
  <r>
    <x v="59"/>
  </r>
  <r>
    <x v="130"/>
  </r>
  <r>
    <x v="21"/>
  </r>
  <r>
    <x v="21"/>
  </r>
  <r>
    <x v="10"/>
  </r>
  <r>
    <x v="12"/>
  </r>
  <r>
    <x v="12"/>
  </r>
  <r>
    <x v="21"/>
  </r>
  <r>
    <x v="9"/>
  </r>
  <r>
    <x v="12"/>
  </r>
  <r>
    <x v="9"/>
  </r>
  <r>
    <x v="9"/>
  </r>
  <r>
    <x v="21"/>
  </r>
  <r>
    <x v="21"/>
  </r>
  <r>
    <x v="11"/>
  </r>
  <r>
    <x v="16"/>
  </r>
  <r>
    <x v="14"/>
  </r>
  <r>
    <x v="53"/>
  </r>
  <r>
    <x v="21"/>
  </r>
  <r>
    <x v="42"/>
  </r>
  <r>
    <x v="1"/>
  </r>
  <r>
    <x v="138"/>
  </r>
  <r>
    <x v="57"/>
  </r>
  <r>
    <x v="14"/>
  </r>
  <r>
    <x v="57"/>
  </r>
  <r>
    <x v="57"/>
  </r>
  <r>
    <x v="57"/>
  </r>
  <r>
    <x v="16"/>
  </r>
  <r>
    <x v="21"/>
  </r>
  <r>
    <x v="22"/>
  </r>
  <r>
    <x v="12"/>
  </r>
  <r>
    <x v="21"/>
  </r>
  <r>
    <x v="52"/>
  </r>
  <r>
    <x v="115"/>
  </r>
  <r>
    <x v="9"/>
  </r>
  <r>
    <x v="0"/>
  </r>
  <r>
    <x v="0"/>
  </r>
  <r>
    <x v="28"/>
  </r>
  <r>
    <x v="42"/>
  </r>
  <r>
    <x v="12"/>
  </r>
  <r>
    <x v="42"/>
  </r>
  <r>
    <x v="22"/>
  </r>
  <r>
    <x v="17"/>
  </r>
  <r>
    <x v="12"/>
  </r>
  <r>
    <x v="10"/>
  </r>
  <r>
    <x v="21"/>
  </r>
  <r>
    <x v="14"/>
  </r>
  <r>
    <x v="48"/>
  </r>
  <r>
    <x v="11"/>
  </r>
  <r>
    <x v="11"/>
  </r>
  <r>
    <x v="8"/>
  </r>
  <r>
    <x v="2"/>
  </r>
  <r>
    <x v="12"/>
  </r>
  <r>
    <x v="21"/>
  </r>
  <r>
    <x v="8"/>
  </r>
  <r>
    <x v="12"/>
  </r>
  <r>
    <x v="8"/>
  </r>
  <r>
    <x v="8"/>
  </r>
  <r>
    <x v="16"/>
  </r>
  <r>
    <x v="42"/>
  </r>
  <r>
    <x v="42"/>
  </r>
  <r>
    <x v="11"/>
  </r>
  <r>
    <x v="45"/>
  </r>
  <r>
    <x v="7"/>
  </r>
  <r>
    <x v="21"/>
  </r>
  <r>
    <x v="2"/>
  </r>
  <r>
    <x v="42"/>
  </r>
  <r>
    <x v="28"/>
  </r>
  <r>
    <x v="33"/>
  </r>
  <r>
    <x v="17"/>
  </r>
  <r>
    <x v="4"/>
  </r>
  <r>
    <x v="17"/>
  </r>
  <r>
    <x v="37"/>
  </r>
  <r>
    <x v="17"/>
  </r>
  <r>
    <x v="10"/>
  </r>
  <r>
    <x v="16"/>
  </r>
  <r>
    <x v="16"/>
  </r>
  <r>
    <x v="9"/>
  </r>
  <r>
    <x v="9"/>
  </r>
  <r>
    <x v="11"/>
  </r>
  <r>
    <x v="144"/>
  </r>
  <r>
    <x v="42"/>
  </r>
  <r>
    <x v="8"/>
  </r>
  <r>
    <x v="4"/>
  </r>
  <r>
    <x v="8"/>
  </r>
  <r>
    <x v="4"/>
  </r>
  <r>
    <x v="24"/>
  </r>
  <r>
    <x v="21"/>
  </r>
  <r>
    <x v="24"/>
  </r>
  <r>
    <x v="7"/>
  </r>
  <r>
    <x v="4"/>
  </r>
  <r>
    <x v="45"/>
  </r>
  <r>
    <x v="24"/>
  </r>
  <r>
    <x v="12"/>
  </r>
  <r>
    <x v="48"/>
  </r>
  <r>
    <x v="4"/>
  </r>
  <r>
    <x v="4"/>
  </r>
  <r>
    <x v="28"/>
  </r>
  <r>
    <x v="10"/>
  </r>
  <r>
    <x v="14"/>
  </r>
  <r>
    <x v="10"/>
  </r>
  <r>
    <x v="14"/>
  </r>
  <r>
    <x v="12"/>
  </r>
  <r>
    <x v="48"/>
  </r>
  <r>
    <x v="39"/>
  </r>
  <r>
    <x v="33"/>
  </r>
  <r>
    <x v="45"/>
  </r>
  <r>
    <x v="28"/>
  </r>
  <r>
    <x v="12"/>
  </r>
  <r>
    <x v="28"/>
  </r>
  <r>
    <x v="33"/>
  </r>
  <r>
    <x v="11"/>
  </r>
  <r>
    <x v="11"/>
  </r>
  <r>
    <x v="11"/>
  </r>
  <r>
    <x v="45"/>
  </r>
  <r>
    <x v="29"/>
  </r>
  <r>
    <x v="89"/>
  </r>
  <r>
    <x v="25"/>
  </r>
  <r>
    <x v="16"/>
  </r>
  <r>
    <x v="28"/>
  </r>
  <r>
    <x v="28"/>
  </r>
  <r>
    <x v="10"/>
  </r>
  <r>
    <x v="4"/>
  </r>
  <r>
    <x v="39"/>
  </r>
  <r>
    <x v="2"/>
  </r>
  <r>
    <x v="28"/>
  </r>
  <r>
    <x v="16"/>
  </r>
  <r>
    <x v="14"/>
  </r>
  <r>
    <x v="14"/>
  </r>
  <r>
    <x v="31"/>
  </r>
  <r>
    <x v="10"/>
  </r>
  <r>
    <x v="0"/>
  </r>
  <r>
    <x v="28"/>
  </r>
  <r>
    <x v="243"/>
  </r>
  <r>
    <x v="48"/>
  </r>
  <r>
    <x v="7"/>
  </r>
  <r>
    <x v="11"/>
  </r>
  <r>
    <x v="0"/>
  </r>
  <r>
    <x v="8"/>
  </r>
  <r>
    <x v="78"/>
  </r>
  <r>
    <x v="239"/>
  </r>
  <r>
    <x v="10"/>
  </r>
  <r>
    <x v="21"/>
  </r>
  <r>
    <x v="0"/>
  </r>
  <r>
    <x v="37"/>
  </r>
  <r>
    <x v="4"/>
  </r>
  <r>
    <x v="0"/>
  </r>
  <r>
    <x v="10"/>
  </r>
  <r>
    <x v="9"/>
  </r>
  <r>
    <x v="17"/>
  </r>
  <r>
    <x v="14"/>
  </r>
  <r>
    <x v="0"/>
  </r>
  <r>
    <x v="48"/>
  </r>
  <r>
    <x v="32"/>
  </r>
  <r>
    <x v="22"/>
  </r>
  <r>
    <x v="10"/>
  </r>
  <r>
    <x v="4"/>
  </r>
  <r>
    <x v="10"/>
  </r>
  <r>
    <x v="10"/>
  </r>
  <r>
    <x v="4"/>
  </r>
  <r>
    <x v="10"/>
  </r>
  <r>
    <x v="39"/>
  </r>
  <r>
    <x v="28"/>
  </r>
  <r>
    <x v="15"/>
  </r>
  <r>
    <x v="21"/>
  </r>
  <r>
    <x v="21"/>
  </r>
  <r>
    <x v="8"/>
  </r>
  <r>
    <x v="0"/>
  </r>
  <r>
    <x v="0"/>
  </r>
  <r>
    <x v="0"/>
  </r>
  <r>
    <x v="0"/>
  </r>
  <r>
    <x v="10"/>
  </r>
  <r>
    <x v="10"/>
  </r>
  <r>
    <x v="12"/>
  </r>
  <r>
    <x v="1"/>
  </r>
  <r>
    <x v="4"/>
  </r>
  <r>
    <x v="4"/>
  </r>
  <r>
    <x v="28"/>
  </r>
  <r>
    <x v="28"/>
  </r>
  <r>
    <x v="10"/>
  </r>
  <r>
    <x v="14"/>
  </r>
  <r>
    <x v="28"/>
  </r>
  <r>
    <x v="28"/>
  </r>
  <r>
    <x v="12"/>
  </r>
  <r>
    <x v="7"/>
  </r>
  <r>
    <x v="12"/>
  </r>
  <r>
    <x v="10"/>
  </r>
  <r>
    <x v="8"/>
  </r>
  <r>
    <x v="10"/>
  </r>
  <r>
    <x v="42"/>
  </r>
  <r>
    <x v="24"/>
  </r>
  <r>
    <x v="91"/>
  </r>
  <r>
    <x v="115"/>
  </r>
  <r>
    <x v="11"/>
  </r>
  <r>
    <x v="239"/>
  </r>
  <r>
    <x v="10"/>
  </r>
  <r>
    <x v="4"/>
  </r>
  <r>
    <x v="6"/>
  </r>
  <r>
    <x v="7"/>
  </r>
  <r>
    <x v="22"/>
  </r>
  <r>
    <x v="12"/>
  </r>
  <r>
    <x v="53"/>
  </r>
  <r>
    <x v="11"/>
  </r>
  <r>
    <x v="4"/>
  </r>
  <r>
    <x v="42"/>
  </r>
  <r>
    <x v="14"/>
  </r>
  <r>
    <x v="45"/>
  </r>
  <r>
    <x v="42"/>
  </r>
  <r>
    <x v="11"/>
  </r>
  <r>
    <x v="17"/>
  </r>
  <r>
    <x v="17"/>
  </r>
  <r>
    <x v="17"/>
  </r>
  <r>
    <x v="12"/>
  </r>
  <r>
    <x v="8"/>
  </r>
  <r>
    <x v="28"/>
  </r>
  <r>
    <x v="37"/>
  </r>
  <r>
    <x v="70"/>
  </r>
  <r>
    <x v="0"/>
  </r>
  <r>
    <x v="11"/>
  </r>
  <r>
    <x v="42"/>
  </r>
  <r>
    <x v="0"/>
  </r>
  <r>
    <x v="14"/>
  </r>
  <r>
    <x v="24"/>
  </r>
  <r>
    <x v="12"/>
  </r>
  <r>
    <x v="7"/>
  </r>
  <r>
    <x v="42"/>
  </r>
  <r>
    <x v="17"/>
  </r>
  <r>
    <x v="42"/>
  </r>
  <r>
    <x v="14"/>
  </r>
  <r>
    <x v="0"/>
  </r>
  <r>
    <x v="42"/>
  </r>
  <r>
    <x v="12"/>
  </r>
  <r>
    <x v="42"/>
  </r>
  <r>
    <x v="12"/>
  </r>
  <r>
    <x v="9"/>
  </r>
  <r>
    <x v="0"/>
  </r>
  <r>
    <x v="12"/>
  </r>
  <r>
    <x v="17"/>
  </r>
  <r>
    <x v="42"/>
  </r>
  <r>
    <x v="11"/>
  </r>
  <r>
    <x v="15"/>
  </r>
  <r>
    <x v="0"/>
  </r>
  <r>
    <x v="12"/>
  </r>
  <r>
    <x v="42"/>
  </r>
  <r>
    <x v="9"/>
  </r>
  <r>
    <x v="9"/>
  </r>
  <r>
    <x v="9"/>
  </r>
  <r>
    <x v="2"/>
  </r>
  <r>
    <x v="4"/>
  </r>
  <r>
    <x v="14"/>
  </r>
  <r>
    <x v="14"/>
  </r>
  <r>
    <x v="24"/>
  </r>
  <r>
    <x v="21"/>
  </r>
  <r>
    <x v="21"/>
  </r>
  <r>
    <x v="31"/>
  </r>
  <r>
    <x v="0"/>
  </r>
  <r>
    <x v="0"/>
  </r>
  <r>
    <x v="53"/>
  </r>
  <r>
    <x v="53"/>
  </r>
  <r>
    <x v="53"/>
  </r>
  <r>
    <x v="53"/>
  </r>
  <r>
    <x v="14"/>
  </r>
  <r>
    <x v="28"/>
  </r>
  <r>
    <x v="28"/>
  </r>
  <r>
    <x v="16"/>
  </r>
  <r>
    <x v="16"/>
  </r>
  <r>
    <x v="16"/>
  </r>
  <r>
    <x v="0"/>
  </r>
  <r>
    <x v="17"/>
  </r>
  <r>
    <x v="54"/>
  </r>
  <r>
    <x v="86"/>
  </r>
  <r>
    <x v="4"/>
  </r>
  <r>
    <x v="76"/>
  </r>
  <r>
    <x v="42"/>
  </r>
  <r>
    <x v="42"/>
  </r>
  <r>
    <x v="12"/>
  </r>
  <r>
    <x v="28"/>
  </r>
  <r>
    <x v="28"/>
  </r>
  <r>
    <x v="16"/>
  </r>
  <r>
    <x v="12"/>
  </r>
  <r>
    <x v="28"/>
  </r>
  <r>
    <x v="12"/>
  </r>
  <r>
    <x v="42"/>
  </r>
  <r>
    <x v="42"/>
  </r>
  <r>
    <x v="42"/>
  </r>
  <r>
    <x v="4"/>
  </r>
  <r>
    <x v="4"/>
  </r>
  <r>
    <x v="42"/>
  </r>
  <r>
    <x v="123"/>
  </r>
  <r>
    <x v="4"/>
  </r>
  <r>
    <x v="68"/>
  </r>
  <r>
    <x v="10"/>
  </r>
  <r>
    <x v="8"/>
  </r>
  <r>
    <x v="8"/>
  </r>
  <r>
    <x v="12"/>
  </r>
  <r>
    <x v="8"/>
  </r>
  <r>
    <x v="8"/>
  </r>
  <r>
    <x v="8"/>
  </r>
  <r>
    <x v="8"/>
  </r>
  <r>
    <x v="8"/>
  </r>
  <r>
    <x v="8"/>
  </r>
  <r>
    <x v="8"/>
  </r>
  <r>
    <x v="36"/>
  </r>
  <r>
    <x v="45"/>
  </r>
  <r>
    <x v="31"/>
  </r>
  <r>
    <x v="1"/>
  </r>
  <r>
    <x v="0"/>
  </r>
  <r>
    <x v="10"/>
  </r>
  <r>
    <x v="55"/>
  </r>
  <r>
    <x v="31"/>
  </r>
  <r>
    <x v="0"/>
  </r>
  <r>
    <x v="12"/>
  </r>
  <r>
    <x v="12"/>
  </r>
  <r>
    <x v="1"/>
  </r>
  <r>
    <x v="141"/>
  </r>
  <r>
    <x v="53"/>
  </r>
  <r>
    <x v="28"/>
  </r>
  <r>
    <x v="45"/>
  </r>
  <r>
    <x v="53"/>
  </r>
  <r>
    <x v="53"/>
  </r>
  <r>
    <x v="76"/>
  </r>
  <r>
    <x v="0"/>
  </r>
  <r>
    <x v="42"/>
  </r>
  <r>
    <x v="414"/>
  </r>
  <r>
    <x v="15"/>
  </r>
  <r>
    <x v="42"/>
  </r>
  <r>
    <x v="14"/>
  </r>
  <r>
    <x v="32"/>
  </r>
  <r>
    <x v="9"/>
  </r>
  <r>
    <x v="28"/>
  </r>
  <r>
    <x v="0"/>
  </r>
  <r>
    <x v="12"/>
  </r>
  <r>
    <x v="12"/>
  </r>
  <r>
    <x v="12"/>
  </r>
  <r>
    <x v="7"/>
  </r>
  <r>
    <x v="9"/>
  </r>
  <r>
    <x v="25"/>
  </r>
  <r>
    <x v="12"/>
  </r>
  <r>
    <x v="72"/>
  </r>
  <r>
    <x v="169"/>
  </r>
  <r>
    <x v="22"/>
  </r>
  <r>
    <x v="10"/>
  </r>
  <r>
    <x v="142"/>
  </r>
  <r>
    <x v="142"/>
  </r>
  <r>
    <x v="142"/>
  </r>
  <r>
    <x v="142"/>
  </r>
  <r>
    <x v="53"/>
  </r>
  <r>
    <x v="53"/>
  </r>
  <r>
    <x v="21"/>
  </r>
  <r>
    <x v="21"/>
  </r>
  <r>
    <x v="21"/>
  </r>
  <r>
    <x v="21"/>
  </r>
  <r>
    <x v="21"/>
  </r>
  <r>
    <x v="142"/>
  </r>
  <r>
    <x v="21"/>
  </r>
  <r>
    <x v="2"/>
  </r>
  <r>
    <x v="12"/>
  </r>
  <r>
    <x v="57"/>
  </r>
  <r>
    <x v="12"/>
  </r>
  <r>
    <x v="16"/>
  </r>
  <r>
    <x v="12"/>
  </r>
  <r>
    <x v="16"/>
  </r>
  <r>
    <x v="12"/>
  </r>
  <r>
    <x v="12"/>
  </r>
  <r>
    <x v="71"/>
  </r>
  <r>
    <x v="16"/>
  </r>
  <r>
    <x v="12"/>
  </r>
  <r>
    <x v="4"/>
  </r>
  <r>
    <x v="14"/>
  </r>
  <r>
    <x v="14"/>
  </r>
  <r>
    <x v="28"/>
  </r>
  <r>
    <x v="2"/>
  </r>
  <r>
    <x v="19"/>
  </r>
  <r>
    <x v="14"/>
  </r>
  <r>
    <x v="176"/>
  </r>
  <r>
    <x v="12"/>
  </r>
  <r>
    <x v="56"/>
  </r>
  <r>
    <x v="111"/>
  </r>
  <r>
    <x v="122"/>
  </r>
  <r>
    <x v="52"/>
  </r>
  <r>
    <x v="7"/>
  </r>
  <r>
    <x v="11"/>
  </r>
  <r>
    <x v="176"/>
  </r>
  <r>
    <x v="21"/>
  </r>
  <r>
    <x v="21"/>
  </r>
  <r>
    <x v="138"/>
  </r>
  <r>
    <x v="138"/>
  </r>
  <r>
    <x v="4"/>
  </r>
  <r>
    <x v="154"/>
  </r>
  <r>
    <x v="9"/>
  </r>
  <r>
    <x v="45"/>
  </r>
  <r>
    <x v="169"/>
  </r>
  <r>
    <x v="16"/>
  </r>
  <r>
    <x v="24"/>
  </r>
  <r>
    <x v="24"/>
  </r>
  <r>
    <x v="7"/>
  </r>
  <r>
    <x v="19"/>
  </r>
  <r>
    <x v="21"/>
  </r>
  <r>
    <x v="45"/>
  </r>
  <r>
    <x v="28"/>
  </r>
  <r>
    <x v="25"/>
  </r>
  <r>
    <x v="42"/>
  </r>
  <r>
    <x v="55"/>
  </r>
  <r>
    <x v="6"/>
  </r>
  <r>
    <x v="6"/>
  </r>
  <r>
    <x v="45"/>
  </r>
  <r>
    <x v="9"/>
  </r>
  <r>
    <x v="9"/>
  </r>
  <r>
    <x v="33"/>
  </r>
  <r>
    <x v="33"/>
  </r>
  <r>
    <x v="115"/>
  </r>
  <r>
    <x v="115"/>
  </r>
  <r>
    <x v="115"/>
  </r>
  <r>
    <x v="24"/>
  </r>
  <r>
    <x v="2"/>
  </r>
  <r>
    <x v="4"/>
  </r>
  <r>
    <x v="30"/>
  </r>
  <r>
    <x v="30"/>
  </r>
  <r>
    <x v="12"/>
  </r>
  <r>
    <x v="4"/>
  </r>
  <r>
    <x v="4"/>
  </r>
  <r>
    <x v="0"/>
  </r>
  <r>
    <x v="28"/>
  </r>
  <r>
    <x v="0"/>
  </r>
  <r>
    <x v="45"/>
  </r>
  <r>
    <x v="45"/>
  </r>
  <r>
    <x v="20"/>
  </r>
  <r>
    <x v="86"/>
  </r>
  <r>
    <x v="16"/>
  </r>
  <r>
    <x v="2"/>
  </r>
  <r>
    <x v="63"/>
  </r>
  <r>
    <x v="46"/>
  </r>
  <r>
    <x v="123"/>
  </r>
  <r>
    <x v="123"/>
  </r>
  <r>
    <x v="123"/>
  </r>
  <r>
    <x v="7"/>
  </r>
  <r>
    <x v="39"/>
  </r>
  <r>
    <x v="21"/>
  </r>
  <r>
    <x v="21"/>
  </r>
  <r>
    <x v="20"/>
  </r>
  <r>
    <x v="22"/>
  </r>
  <r>
    <x v="22"/>
  </r>
  <r>
    <x v="27"/>
  </r>
  <r>
    <x v="22"/>
  </r>
  <r>
    <x v="45"/>
  </r>
  <r>
    <x v="39"/>
  </r>
  <r>
    <x v="39"/>
  </r>
  <r>
    <x v="39"/>
  </r>
  <r>
    <x v="9"/>
  </r>
  <r>
    <x v="34"/>
  </r>
  <r>
    <x v="14"/>
  </r>
  <r>
    <x v="9"/>
  </r>
  <r>
    <x v="115"/>
  </r>
  <r>
    <x v="39"/>
  </r>
  <r>
    <x v="115"/>
  </r>
  <r>
    <x v="115"/>
  </r>
  <r>
    <x v="24"/>
  </r>
  <r>
    <x v="12"/>
  </r>
  <r>
    <x v="42"/>
  </r>
  <r>
    <x v="39"/>
  </r>
  <r>
    <x v="39"/>
  </r>
  <r>
    <x v="19"/>
  </r>
  <r>
    <x v="39"/>
  </r>
  <r>
    <x v="39"/>
  </r>
  <r>
    <x v="19"/>
  </r>
  <r>
    <x v="39"/>
  </r>
  <r>
    <x v="48"/>
  </r>
  <r>
    <x v="79"/>
  </r>
  <r>
    <x v="39"/>
  </r>
  <r>
    <x v="35"/>
  </r>
  <r>
    <x v="7"/>
  </r>
  <r>
    <x v="12"/>
  </r>
  <r>
    <x v="12"/>
  </r>
  <r>
    <x v="12"/>
  </r>
  <r>
    <x v="12"/>
  </r>
  <r>
    <x v="12"/>
  </r>
  <r>
    <x v="52"/>
  </r>
  <r>
    <x v="24"/>
  </r>
  <r>
    <x v="54"/>
  </r>
  <r>
    <x v="54"/>
  </r>
  <r>
    <x v="12"/>
  </r>
  <r>
    <x v="12"/>
  </r>
  <r>
    <x v="14"/>
  </r>
  <r>
    <x v="14"/>
  </r>
  <r>
    <x v="14"/>
  </r>
  <r>
    <x v="4"/>
  </r>
  <r>
    <x v="45"/>
  </r>
  <r>
    <x v="45"/>
  </r>
  <r>
    <x v="45"/>
  </r>
  <r>
    <x v="7"/>
  </r>
  <r>
    <x v="14"/>
  </r>
  <r>
    <x v="12"/>
  </r>
  <r>
    <x v="17"/>
  </r>
  <r>
    <x v="14"/>
  </r>
  <r>
    <x v="14"/>
  </r>
  <r>
    <x v="14"/>
  </r>
  <r>
    <x v="14"/>
  </r>
  <r>
    <x v="14"/>
  </r>
  <r>
    <x v="14"/>
  </r>
  <r>
    <x v="39"/>
  </r>
  <r>
    <x v="14"/>
  </r>
  <r>
    <x v="14"/>
  </r>
  <r>
    <x v="14"/>
  </r>
  <r>
    <x v="28"/>
  </r>
  <r>
    <x v="28"/>
  </r>
  <r>
    <x v="16"/>
  </r>
  <r>
    <x v="14"/>
  </r>
  <r>
    <x v="14"/>
  </r>
  <r>
    <x v="17"/>
  </r>
  <r>
    <x v="17"/>
  </r>
  <r>
    <x v="16"/>
  </r>
  <r>
    <x v="78"/>
  </r>
  <r>
    <x v="11"/>
  </r>
  <r>
    <x v="12"/>
  </r>
  <r>
    <x v="46"/>
  </r>
  <r>
    <x v="12"/>
  </r>
  <r>
    <x v="12"/>
  </r>
  <r>
    <x v="14"/>
  </r>
  <r>
    <x v="14"/>
  </r>
  <r>
    <x v="16"/>
  </r>
  <r>
    <x v="11"/>
  </r>
  <r>
    <x v="14"/>
  </r>
  <r>
    <x v="14"/>
  </r>
  <r>
    <x v="16"/>
  </r>
  <r>
    <x v="0"/>
  </r>
  <r>
    <x v="0"/>
  </r>
  <r>
    <x v="0"/>
  </r>
  <r>
    <x v="0"/>
  </r>
  <r>
    <x v="0"/>
  </r>
  <r>
    <x v="0"/>
  </r>
  <r>
    <x v="0"/>
  </r>
  <r>
    <x v="17"/>
  </r>
  <r>
    <x v="17"/>
  </r>
  <r>
    <x v="14"/>
  </r>
  <r>
    <x v="17"/>
  </r>
  <r>
    <x v="17"/>
  </r>
  <r>
    <x v="10"/>
  </r>
  <r>
    <x v="12"/>
  </r>
  <r>
    <x v="12"/>
  </r>
  <r>
    <x v="17"/>
  </r>
  <r>
    <x v="17"/>
  </r>
  <r>
    <x v="12"/>
  </r>
  <r>
    <x v="12"/>
  </r>
  <r>
    <x v="11"/>
  </r>
  <r>
    <x v="45"/>
  </r>
  <r>
    <x v="115"/>
  </r>
  <r>
    <x v="12"/>
  </r>
  <r>
    <x v="12"/>
  </r>
  <r>
    <x v="12"/>
  </r>
  <r>
    <x v="12"/>
  </r>
  <r>
    <x v="19"/>
  </r>
  <r>
    <x v="4"/>
  </r>
  <r>
    <x v="227"/>
  </r>
  <r>
    <x v="0"/>
  </r>
  <r>
    <x v="0"/>
  </r>
  <r>
    <x v="0"/>
  </r>
  <r>
    <x v="0"/>
  </r>
  <r>
    <x v="0"/>
  </r>
  <r>
    <x v="0"/>
  </r>
  <r>
    <x v="0"/>
  </r>
  <r>
    <x v="17"/>
  </r>
  <r>
    <x v="17"/>
  </r>
  <r>
    <x v="17"/>
  </r>
  <r>
    <x v="16"/>
  </r>
  <r>
    <x v="19"/>
  </r>
  <r>
    <x v="4"/>
  </r>
  <r>
    <x v="12"/>
  </r>
  <r>
    <x v="111"/>
  </r>
  <r>
    <x v="9"/>
  </r>
  <r>
    <x v="0"/>
  </r>
  <r>
    <x v="0"/>
  </r>
  <r>
    <x v="0"/>
  </r>
  <r>
    <x v="0"/>
  </r>
  <r>
    <x v="0"/>
  </r>
  <r>
    <x v="16"/>
  </r>
  <r>
    <x v="104"/>
  </r>
  <r>
    <x v="0"/>
  </r>
  <r>
    <x v="0"/>
  </r>
  <r>
    <x v="70"/>
  </r>
  <r>
    <x v="70"/>
  </r>
  <r>
    <x v="70"/>
  </r>
  <r>
    <x v="28"/>
  </r>
  <r>
    <x v="28"/>
  </r>
  <r>
    <x v="28"/>
  </r>
  <r>
    <x v="10"/>
  </r>
  <r>
    <x v="1"/>
  </r>
  <r>
    <x v="1"/>
  </r>
  <r>
    <x v="39"/>
  </r>
  <r>
    <x v="162"/>
  </r>
  <r>
    <x v="4"/>
  </r>
  <r>
    <x v="21"/>
  </r>
  <r>
    <x v="21"/>
  </r>
  <r>
    <x v="21"/>
  </r>
  <r>
    <x v="14"/>
  </r>
  <r>
    <x v="14"/>
  </r>
  <r>
    <x v="14"/>
  </r>
  <r>
    <x v="9"/>
  </r>
  <r>
    <x v="4"/>
  </r>
  <r>
    <x v="39"/>
  </r>
  <r>
    <x v="16"/>
  </r>
  <r>
    <x v="18"/>
  </r>
  <r>
    <x v="9"/>
  </r>
  <r>
    <x v="19"/>
  </r>
  <r>
    <x v="12"/>
  </r>
  <r>
    <x v="12"/>
  </r>
  <r>
    <x v="12"/>
  </r>
  <r>
    <x v="12"/>
  </r>
  <r>
    <x v="12"/>
  </r>
  <r>
    <x v="22"/>
  </r>
  <r>
    <x v="55"/>
  </r>
  <r>
    <x v="55"/>
  </r>
  <r>
    <x v="14"/>
  </r>
  <r>
    <x v="12"/>
  </r>
  <r>
    <x v="4"/>
  </r>
  <r>
    <x v="165"/>
  </r>
  <r>
    <x v="12"/>
  </r>
  <r>
    <x v="12"/>
  </r>
  <r>
    <x v="0"/>
  </r>
  <r>
    <x v="12"/>
  </r>
  <r>
    <x v="12"/>
  </r>
  <r>
    <x v="4"/>
  </r>
  <r>
    <x v="4"/>
  </r>
  <r>
    <x v="4"/>
  </r>
  <r>
    <x v="4"/>
  </r>
  <r>
    <x v="111"/>
  </r>
  <r>
    <x v="7"/>
  </r>
  <r>
    <x v="12"/>
  </r>
  <r>
    <x v="4"/>
  </r>
  <r>
    <x v="1"/>
  </r>
  <r>
    <x v="0"/>
  </r>
  <r>
    <x v="4"/>
  </r>
  <r>
    <x v="14"/>
  </r>
  <r>
    <x v="53"/>
  </r>
  <r>
    <x v="53"/>
  </r>
  <r>
    <x v="115"/>
  </r>
  <r>
    <x v="7"/>
  </r>
  <r>
    <x v="4"/>
  </r>
  <r>
    <x v="0"/>
  </r>
  <r>
    <x v="0"/>
  </r>
  <r>
    <x v="14"/>
  </r>
  <r>
    <x v="4"/>
  </r>
  <r>
    <x v="57"/>
  </r>
  <r>
    <x v="12"/>
  </r>
  <r>
    <x v="10"/>
  </r>
  <r>
    <x v="31"/>
  </r>
  <r>
    <x v="21"/>
  </r>
  <r>
    <x v="0"/>
  </r>
  <r>
    <x v="69"/>
  </r>
  <r>
    <x v="69"/>
  </r>
  <r>
    <x v="69"/>
  </r>
  <r>
    <x v="69"/>
  </r>
  <r>
    <x v="0"/>
  </r>
  <r>
    <x v="14"/>
  </r>
  <r>
    <x v="40"/>
  </r>
  <r>
    <x v="25"/>
  </r>
  <r>
    <x v="7"/>
  </r>
  <r>
    <x v="7"/>
  </r>
  <r>
    <x v="16"/>
  </r>
  <r>
    <x v="86"/>
  </r>
  <r>
    <x v="16"/>
  </r>
  <r>
    <x v="10"/>
  </r>
  <r>
    <x v="16"/>
  </r>
  <r>
    <x v="21"/>
  </r>
  <r>
    <x v="45"/>
  </r>
  <r>
    <x v="12"/>
  </r>
  <r>
    <x v="16"/>
  </r>
  <r>
    <x v="21"/>
  </r>
  <r>
    <x v="9"/>
  </r>
  <r>
    <x v="7"/>
  </r>
  <r>
    <x v="115"/>
  </r>
  <r>
    <x v="14"/>
  </r>
  <r>
    <x v="11"/>
  </r>
  <r>
    <x v="28"/>
  </r>
  <r>
    <x v="86"/>
  </r>
  <r>
    <x v="0"/>
  </r>
  <r>
    <x v="28"/>
  </r>
  <r>
    <x v="0"/>
  </r>
  <r>
    <x v="12"/>
  </r>
  <r>
    <x v="16"/>
  </r>
  <r>
    <x v="14"/>
  </r>
  <r>
    <x v="12"/>
  </r>
  <r>
    <x v="266"/>
  </r>
  <r>
    <x v="266"/>
  </r>
  <r>
    <x v="266"/>
  </r>
  <r>
    <x v="28"/>
  </r>
  <r>
    <x v="28"/>
  </r>
  <r>
    <x v="28"/>
  </r>
  <r>
    <x v="8"/>
  </r>
  <r>
    <x v="14"/>
  </r>
  <r>
    <x v="14"/>
  </r>
  <r>
    <x v="3"/>
  </r>
  <r>
    <x v="4"/>
  </r>
  <r>
    <x v="4"/>
  </r>
  <r>
    <x v="14"/>
  </r>
  <r>
    <x v="19"/>
  </r>
  <r>
    <x v="4"/>
  </r>
  <r>
    <x v="4"/>
  </r>
  <r>
    <x v="45"/>
  </r>
  <r>
    <x v="37"/>
  </r>
  <r>
    <x v="4"/>
  </r>
  <r>
    <x v="4"/>
  </r>
  <r>
    <x v="9"/>
  </r>
  <r>
    <x v="28"/>
  </r>
  <r>
    <x v="11"/>
  </r>
  <r>
    <x v="14"/>
  </r>
  <r>
    <x v="14"/>
  </r>
  <r>
    <x v="7"/>
  </r>
  <r>
    <x v="25"/>
  </r>
  <r>
    <x v="70"/>
  </r>
  <r>
    <x v="4"/>
  </r>
  <r>
    <x v="21"/>
  </r>
  <r>
    <x v="21"/>
  </r>
  <r>
    <x v="19"/>
  </r>
  <r>
    <x v="17"/>
  </r>
  <r>
    <x v="12"/>
  </r>
  <r>
    <x v="10"/>
  </r>
  <r>
    <x v="4"/>
  </r>
  <r>
    <x v="21"/>
  </r>
  <r>
    <x v="34"/>
  </r>
  <r>
    <x v="0"/>
  </r>
  <r>
    <x v="48"/>
  </r>
  <r>
    <x v="19"/>
  </r>
  <r>
    <x v="14"/>
  </r>
  <r>
    <x v="28"/>
  </r>
  <r>
    <x v="16"/>
  </r>
  <r>
    <x v="25"/>
  </r>
  <r>
    <x v="14"/>
  </r>
  <r>
    <x v="1"/>
  </r>
  <r>
    <x v="1"/>
  </r>
  <r>
    <x v="39"/>
  </r>
  <r>
    <x v="2"/>
  </r>
  <r>
    <x v="4"/>
  </r>
  <r>
    <x v="45"/>
  </r>
  <r>
    <x v="4"/>
  </r>
  <r>
    <x v="11"/>
  </r>
  <r>
    <x v="24"/>
  </r>
  <r>
    <x v="24"/>
  </r>
  <r>
    <x v="8"/>
  </r>
  <r>
    <x v="12"/>
  </r>
  <r>
    <x v="11"/>
  </r>
  <r>
    <x v="12"/>
  </r>
  <r>
    <x v="10"/>
  </r>
  <r>
    <x v="10"/>
  </r>
  <r>
    <x v="33"/>
  </r>
  <r>
    <x v="4"/>
  </r>
  <r>
    <x v="6"/>
  </r>
  <r>
    <x v="6"/>
  </r>
  <r>
    <x v="4"/>
  </r>
  <r>
    <x v="4"/>
  </r>
  <r>
    <x v="39"/>
  </r>
  <r>
    <x v="14"/>
  </r>
  <r>
    <x v="4"/>
  </r>
  <r>
    <x v="12"/>
  </r>
  <r>
    <x v="12"/>
  </r>
  <r>
    <x v="10"/>
  </r>
  <r>
    <x v="24"/>
  </r>
  <r>
    <x v="2"/>
  </r>
  <r>
    <x v="48"/>
  </r>
  <r>
    <x v="4"/>
  </r>
  <r>
    <x v="45"/>
  </r>
  <r>
    <x v="1"/>
  </r>
  <r>
    <x v="7"/>
  </r>
  <r>
    <x v="4"/>
  </r>
  <r>
    <x v="3"/>
  </r>
  <r>
    <x v="28"/>
  </r>
  <r>
    <x v="16"/>
  </r>
  <r>
    <x v="114"/>
  </r>
  <r>
    <x v="48"/>
  </r>
  <r>
    <x v="1"/>
  </r>
  <r>
    <x v="12"/>
  </r>
  <r>
    <x v="16"/>
  </r>
  <r>
    <x v="0"/>
  </r>
  <r>
    <x v="10"/>
  </r>
  <r>
    <x v="45"/>
  </r>
  <r>
    <x v="37"/>
  </r>
  <r>
    <x v="2"/>
  </r>
  <r>
    <x v="16"/>
  </r>
  <r>
    <x v="40"/>
  </r>
  <r>
    <x v="40"/>
  </r>
  <r>
    <x v="40"/>
  </r>
  <r>
    <x v="102"/>
  </r>
  <r>
    <x v="33"/>
  </r>
  <r>
    <x v="4"/>
  </r>
  <r>
    <x v="15"/>
  </r>
  <r>
    <x v="14"/>
  </r>
  <r>
    <x v="22"/>
  </r>
  <r>
    <x v="1"/>
  </r>
  <r>
    <x v="3"/>
  </r>
  <r>
    <x v="3"/>
  </r>
  <r>
    <x v="12"/>
  </r>
  <r>
    <x v="0"/>
  </r>
  <r>
    <x v="9"/>
  </r>
  <r>
    <x v="12"/>
  </r>
  <r>
    <x v="9"/>
  </r>
  <r>
    <x v="12"/>
  </r>
  <r>
    <x v="14"/>
  </r>
  <r>
    <x v="12"/>
  </r>
  <r>
    <x v="12"/>
  </r>
  <r>
    <x v="16"/>
  </r>
  <r>
    <x v="12"/>
  </r>
  <r>
    <x v="16"/>
  </r>
  <r>
    <x v="48"/>
  </r>
  <r>
    <x v="55"/>
  </r>
  <r>
    <x v="55"/>
  </r>
  <r>
    <x v="55"/>
  </r>
  <r>
    <x v="14"/>
  </r>
  <r>
    <x v="21"/>
  </r>
  <r>
    <x v="28"/>
  </r>
  <r>
    <x v="2"/>
  </r>
  <r>
    <x v="10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22"/>
  </r>
  <r>
    <x v="10"/>
  </r>
  <r>
    <x v="163"/>
  </r>
  <r>
    <x v="33"/>
  </r>
  <r>
    <x v="115"/>
  </r>
  <r>
    <x v="56"/>
  </r>
  <r>
    <x v="56"/>
  </r>
  <r>
    <x v="56"/>
  </r>
  <r>
    <x v="39"/>
  </r>
  <r>
    <x v="21"/>
  </r>
  <r>
    <x v="39"/>
  </r>
  <r>
    <x v="39"/>
  </r>
  <r>
    <x v="4"/>
  </r>
  <r>
    <x v="4"/>
  </r>
  <r>
    <x v="39"/>
  </r>
  <r>
    <x v="10"/>
  </r>
  <r>
    <x v="2"/>
  </r>
  <r>
    <x v="0"/>
  </r>
  <r>
    <x v="11"/>
  </r>
  <r>
    <x v="12"/>
  </r>
  <r>
    <x v="21"/>
  </r>
  <r>
    <x v="39"/>
  </r>
  <r>
    <x v="39"/>
  </r>
  <r>
    <x v="12"/>
  </r>
  <r>
    <x v="39"/>
  </r>
  <r>
    <x v="45"/>
  </r>
  <r>
    <x v="130"/>
  </r>
  <r>
    <x v="21"/>
  </r>
  <r>
    <x v="4"/>
  </r>
  <r>
    <x v="21"/>
  </r>
  <r>
    <x v="21"/>
  </r>
  <r>
    <x v="21"/>
  </r>
  <r>
    <x v="12"/>
  </r>
  <r>
    <x v="21"/>
  </r>
  <r>
    <x v="12"/>
  </r>
  <r>
    <x v="24"/>
  </r>
  <r>
    <x v="4"/>
  </r>
  <r>
    <x v="10"/>
  </r>
  <r>
    <x v="39"/>
  </r>
  <r>
    <x v="19"/>
  </r>
  <r>
    <x v="21"/>
  </r>
  <r>
    <x v="12"/>
  </r>
  <r>
    <x v="1"/>
  </r>
  <r>
    <x v="12"/>
  </r>
  <r>
    <x v="10"/>
  </r>
  <r>
    <x v="32"/>
  </r>
  <r>
    <x v="12"/>
  </r>
  <r>
    <x v="12"/>
  </r>
  <r>
    <x v="12"/>
  </r>
  <r>
    <x v="152"/>
  </r>
  <r>
    <x v="152"/>
  </r>
  <r>
    <x v="0"/>
  </r>
  <r>
    <x v="12"/>
  </r>
  <r>
    <x v="30"/>
  </r>
  <r>
    <x v="30"/>
  </r>
  <r>
    <x v="30"/>
  </r>
  <r>
    <x v="30"/>
  </r>
  <r>
    <x v="30"/>
  </r>
  <r>
    <x v="30"/>
  </r>
  <r>
    <x v="17"/>
  </r>
  <r>
    <x v="57"/>
  </r>
  <r>
    <x v="93"/>
  </r>
  <r>
    <x v="0"/>
  </r>
  <r>
    <x v="4"/>
  </r>
  <r>
    <x v="15"/>
  </r>
  <r>
    <x v="0"/>
  </r>
  <r>
    <x v="11"/>
  </r>
  <r>
    <x v="4"/>
  </r>
  <r>
    <x v="9"/>
  </r>
  <r>
    <x v="4"/>
  </r>
  <r>
    <x v="12"/>
  </r>
  <r>
    <x v="22"/>
  </r>
  <r>
    <x v="39"/>
  </r>
  <r>
    <x v="28"/>
  </r>
  <r>
    <x v="9"/>
  </r>
  <r>
    <x v="12"/>
  </r>
  <r>
    <x v="12"/>
  </r>
  <r>
    <x v="12"/>
  </r>
  <r>
    <x v="4"/>
  </r>
  <r>
    <x v="4"/>
  </r>
  <r>
    <x v="53"/>
  </r>
  <r>
    <x v="33"/>
  </r>
  <r>
    <x v="46"/>
  </r>
  <r>
    <x v="0"/>
  </r>
  <r>
    <x v="0"/>
  </r>
  <r>
    <x v="0"/>
  </r>
  <r>
    <x v="0"/>
  </r>
  <r>
    <x v="0"/>
  </r>
  <r>
    <x v="33"/>
  </r>
  <r>
    <x v="19"/>
  </r>
  <r>
    <x v="22"/>
  </r>
  <r>
    <x v="10"/>
  </r>
  <r>
    <x v="6"/>
  </r>
  <r>
    <x v="33"/>
  </r>
  <r>
    <x v="204"/>
  </r>
  <r>
    <x v="204"/>
  </r>
  <r>
    <x v="11"/>
  </r>
  <r>
    <x v="25"/>
  </r>
  <r>
    <x v="39"/>
  </r>
  <r>
    <x v="25"/>
  </r>
  <r>
    <x v="39"/>
  </r>
  <r>
    <x v="21"/>
  </r>
  <r>
    <x v="21"/>
  </r>
  <r>
    <x v="11"/>
  </r>
  <r>
    <x v="11"/>
  </r>
  <r>
    <x v="23"/>
  </r>
  <r>
    <x v="39"/>
  </r>
  <r>
    <x v="0"/>
  </r>
  <r>
    <x v="0"/>
  </r>
  <r>
    <x v="0"/>
  </r>
  <r>
    <x v="12"/>
  </r>
  <r>
    <x v="11"/>
  </r>
  <r>
    <x v="12"/>
  </r>
  <r>
    <x v="10"/>
  </r>
  <r>
    <x v="12"/>
  </r>
  <r>
    <x v="12"/>
  </r>
  <r>
    <x v="17"/>
  </r>
  <r>
    <x v="10"/>
  </r>
  <r>
    <x v="10"/>
  </r>
  <r>
    <x v="14"/>
  </r>
  <r>
    <x v="4"/>
  </r>
  <r>
    <x v="4"/>
  </r>
  <r>
    <x v="28"/>
  </r>
  <r>
    <x v="11"/>
  </r>
  <r>
    <x v="45"/>
  </r>
  <r>
    <x v="30"/>
  </r>
  <r>
    <x v="30"/>
  </r>
  <r>
    <x v="24"/>
  </r>
  <r>
    <x v="19"/>
  </r>
  <r>
    <x v="10"/>
  </r>
  <r>
    <x v="11"/>
  </r>
  <r>
    <x v="11"/>
  </r>
  <r>
    <x v="4"/>
  </r>
  <r>
    <x v="0"/>
  </r>
  <r>
    <x v="14"/>
  </r>
  <r>
    <x v="14"/>
  </r>
  <r>
    <x v="0"/>
  </r>
  <r>
    <x v="28"/>
  </r>
  <r>
    <x v="4"/>
  </r>
  <r>
    <x v="4"/>
  </r>
  <r>
    <x v="4"/>
  </r>
  <r>
    <x v="4"/>
  </r>
  <r>
    <x v="10"/>
  </r>
  <r>
    <x v="9"/>
  </r>
  <r>
    <x v="37"/>
  </r>
  <r>
    <x v="1"/>
  </r>
  <r>
    <x v="4"/>
  </r>
  <r>
    <x v="12"/>
  </r>
  <r>
    <x v="14"/>
  </r>
  <r>
    <x v="163"/>
  </r>
  <r>
    <x v="10"/>
  </r>
  <r>
    <x v="0"/>
  </r>
  <r>
    <x v="31"/>
  </r>
  <r>
    <x v="14"/>
  </r>
  <r>
    <x v="28"/>
  </r>
  <r>
    <x v="28"/>
  </r>
  <r>
    <x v="28"/>
  </r>
  <r>
    <x v="14"/>
  </r>
  <r>
    <x v="39"/>
  </r>
  <r>
    <x v="162"/>
  </r>
  <r>
    <x v="39"/>
  </r>
  <r>
    <x v="39"/>
  </r>
  <r>
    <x v="162"/>
  </r>
  <r>
    <x v="39"/>
  </r>
  <r>
    <x v="162"/>
  </r>
  <r>
    <x v="39"/>
  </r>
  <r>
    <x v="14"/>
  </r>
  <r>
    <x v="39"/>
  </r>
  <r>
    <x v="162"/>
  </r>
  <r>
    <x v="39"/>
  </r>
  <r>
    <x v="39"/>
  </r>
  <r>
    <x v="162"/>
  </r>
  <r>
    <x v="39"/>
  </r>
  <r>
    <x v="28"/>
  </r>
  <r>
    <x v="28"/>
  </r>
  <r>
    <x v="1"/>
  </r>
  <r>
    <x v="30"/>
  </r>
  <r>
    <x v="1"/>
  </r>
  <r>
    <x v="1"/>
  </r>
  <r>
    <x v="12"/>
  </r>
  <r>
    <x v="12"/>
  </r>
  <r>
    <x v="0"/>
  </r>
  <r>
    <x v="53"/>
  </r>
  <r>
    <x v="10"/>
  </r>
  <r>
    <x v="1"/>
  </r>
  <r>
    <x v="1"/>
  </r>
  <r>
    <x v="4"/>
  </r>
  <r>
    <x v="24"/>
  </r>
  <r>
    <x v="9"/>
  </r>
  <r>
    <x v="39"/>
  </r>
  <r>
    <x v="12"/>
  </r>
  <r>
    <x v="19"/>
  </r>
  <r>
    <x v="28"/>
  </r>
  <r>
    <x v="39"/>
  </r>
  <r>
    <x v="39"/>
  </r>
  <r>
    <x v="29"/>
  </r>
  <r>
    <x v="7"/>
  </r>
  <r>
    <x v="10"/>
  </r>
  <r>
    <x v="0"/>
  </r>
  <r>
    <x v="22"/>
  </r>
  <r>
    <x v="0"/>
  </r>
  <r>
    <x v="159"/>
  </r>
  <r>
    <x v="32"/>
  </r>
  <r>
    <x v="37"/>
  </r>
  <r>
    <x v="10"/>
  </r>
  <r>
    <x v="0"/>
  </r>
  <r>
    <x v="4"/>
  </r>
  <r>
    <x v="4"/>
  </r>
  <r>
    <x v="0"/>
  </r>
  <r>
    <x v="39"/>
  </r>
  <r>
    <x v="23"/>
  </r>
  <r>
    <x v="48"/>
  </r>
  <r>
    <x v="1"/>
  </r>
  <r>
    <x v="16"/>
  </r>
  <r>
    <x v="24"/>
  </r>
  <r>
    <x v="53"/>
  </r>
  <r>
    <x v="16"/>
  </r>
  <r>
    <x v="16"/>
  </r>
  <r>
    <x v="16"/>
  </r>
  <r>
    <x v="17"/>
  </r>
  <r>
    <x v="76"/>
  </r>
  <r>
    <x v="10"/>
  </r>
  <r>
    <x v="39"/>
  </r>
  <r>
    <x v="7"/>
  </r>
  <r>
    <x v="1"/>
  </r>
  <r>
    <x v="0"/>
  </r>
  <r>
    <x v="4"/>
  </r>
  <r>
    <x v="0"/>
  </r>
  <r>
    <x v="37"/>
  </r>
  <r>
    <x v="42"/>
  </r>
  <r>
    <x v="4"/>
  </r>
  <r>
    <x v="10"/>
  </r>
  <r>
    <x v="11"/>
  </r>
  <r>
    <x v="14"/>
  </r>
  <r>
    <x v="4"/>
  </r>
  <r>
    <x v="48"/>
  </r>
  <r>
    <x v="21"/>
  </r>
  <r>
    <x v="12"/>
  </r>
  <r>
    <x v="2"/>
  </r>
  <r>
    <x v="19"/>
  </r>
  <r>
    <x v="4"/>
  </r>
  <r>
    <x v="0"/>
  </r>
  <r>
    <x v="9"/>
  </r>
  <r>
    <x v="9"/>
  </r>
  <r>
    <x v="12"/>
  </r>
  <r>
    <x v="46"/>
  </r>
  <r>
    <x v="9"/>
  </r>
  <r>
    <x v="12"/>
  </r>
  <r>
    <x v="21"/>
  </r>
  <r>
    <x v="10"/>
  </r>
  <r>
    <x v="8"/>
  </r>
  <r>
    <x v="12"/>
  </r>
  <r>
    <x v="26"/>
  </r>
  <r>
    <x v="34"/>
  </r>
  <r>
    <x v="11"/>
  </r>
  <r>
    <x v="4"/>
  </r>
  <r>
    <x v="22"/>
  </r>
  <r>
    <x v="37"/>
  </r>
  <r>
    <x v="75"/>
  </r>
  <r>
    <x v="75"/>
  </r>
  <r>
    <x v="0"/>
  </r>
  <r>
    <x v="10"/>
  </r>
  <r>
    <x v="9"/>
  </r>
  <r>
    <x v="2"/>
  </r>
  <r>
    <x v="4"/>
  </r>
  <r>
    <x v="16"/>
  </r>
  <r>
    <x v="0"/>
  </r>
  <r>
    <x v="24"/>
  </r>
  <r>
    <x v="0"/>
  </r>
  <r>
    <x v="10"/>
  </r>
  <r>
    <x v="28"/>
  </r>
  <r>
    <x v="45"/>
  </r>
  <r>
    <x v="17"/>
  </r>
  <r>
    <x v="4"/>
  </r>
  <r>
    <x v="4"/>
  </r>
  <r>
    <x v="4"/>
  </r>
  <r>
    <x v="17"/>
  </r>
  <r>
    <x v="11"/>
  </r>
  <r>
    <x v="11"/>
  </r>
  <r>
    <x v="19"/>
  </r>
  <r>
    <x v="17"/>
  </r>
  <r>
    <x v="6"/>
  </r>
  <r>
    <x v="7"/>
  </r>
  <r>
    <x v="130"/>
  </r>
  <r>
    <x v="159"/>
  </r>
  <r>
    <x v="1"/>
  </r>
  <r>
    <x v="15"/>
  </r>
  <r>
    <x v="11"/>
  </r>
  <r>
    <x v="11"/>
  </r>
  <r>
    <x v="24"/>
  </r>
  <r>
    <x v="0"/>
  </r>
  <r>
    <x v="4"/>
  </r>
  <r>
    <x v="24"/>
  </r>
  <r>
    <x v="2"/>
  </r>
  <r>
    <x v="2"/>
  </r>
  <r>
    <x v="2"/>
  </r>
  <r>
    <x v="17"/>
  </r>
  <r>
    <x v="17"/>
  </r>
  <r>
    <x v="17"/>
  </r>
  <r>
    <x v="11"/>
  </r>
  <r>
    <x v="11"/>
  </r>
  <r>
    <x v="11"/>
  </r>
  <r>
    <x v="11"/>
  </r>
  <r>
    <x v="17"/>
  </r>
  <r>
    <x v="17"/>
  </r>
  <r>
    <x v="0"/>
  </r>
  <r>
    <x v="26"/>
  </r>
  <r>
    <x v="22"/>
  </r>
  <r>
    <x v="4"/>
  </r>
  <r>
    <x v="4"/>
  </r>
  <r>
    <x v="28"/>
  </r>
  <r>
    <x v="28"/>
  </r>
  <r>
    <x v="4"/>
  </r>
  <r>
    <x v="42"/>
  </r>
  <r>
    <x v="4"/>
  </r>
  <r>
    <x v="11"/>
  </r>
  <r>
    <x v="2"/>
  </r>
  <r>
    <x v="9"/>
  </r>
  <r>
    <x v="10"/>
  </r>
  <r>
    <x v="53"/>
  </r>
  <r>
    <x v="6"/>
  </r>
  <r>
    <x v="11"/>
  </r>
  <r>
    <x v="2"/>
  </r>
  <r>
    <x v="8"/>
  </r>
  <r>
    <x v="14"/>
  </r>
  <r>
    <x v="22"/>
  </r>
  <r>
    <x v="0"/>
  </r>
  <r>
    <x v="9"/>
  </r>
  <r>
    <x v="12"/>
  </r>
  <r>
    <x v="4"/>
  </r>
  <r>
    <x v="4"/>
  </r>
  <r>
    <x v="4"/>
  </r>
  <r>
    <x v="8"/>
  </r>
  <r>
    <x v="10"/>
  </r>
  <r>
    <x v="10"/>
  </r>
  <r>
    <x v="0"/>
  </r>
  <r>
    <x v="11"/>
  </r>
  <r>
    <x v="39"/>
  </r>
  <r>
    <x v="28"/>
  </r>
  <r>
    <x v="8"/>
  </r>
  <r>
    <x v="12"/>
  </r>
  <r>
    <x v="14"/>
  </r>
  <r>
    <x v="39"/>
  </r>
  <r>
    <x v="64"/>
  </r>
  <r>
    <x v="12"/>
  </r>
  <r>
    <x v="12"/>
  </r>
  <r>
    <x v="1"/>
  </r>
  <r>
    <x v="14"/>
  </r>
  <r>
    <x v="39"/>
  </r>
  <r>
    <x v="12"/>
  </r>
  <r>
    <x v="9"/>
  </r>
  <r>
    <x v="45"/>
  </r>
  <r>
    <x v="2"/>
  </r>
  <r>
    <x v="19"/>
  </r>
  <r>
    <x v="12"/>
  </r>
  <r>
    <x v="7"/>
  </r>
  <r>
    <x v="45"/>
  </r>
  <r>
    <x v="39"/>
  </r>
  <r>
    <x v="12"/>
  </r>
  <r>
    <x v="4"/>
  </r>
  <r>
    <x v="14"/>
  </r>
  <r>
    <x v="57"/>
  </r>
  <r>
    <x v="28"/>
  </r>
  <r>
    <x v="28"/>
  </r>
  <r>
    <x v="28"/>
  </r>
  <r>
    <x v="8"/>
  </r>
  <r>
    <x v="0"/>
  </r>
  <r>
    <x v="0"/>
  </r>
  <r>
    <x v="7"/>
  </r>
  <r>
    <x v="7"/>
  </r>
  <r>
    <x v="24"/>
  </r>
  <r>
    <x v="28"/>
  </r>
  <r>
    <x v="0"/>
  </r>
  <r>
    <x v="4"/>
  </r>
  <r>
    <x v="12"/>
  </r>
  <r>
    <x v="59"/>
  </r>
  <r>
    <x v="42"/>
  </r>
  <r>
    <x v="42"/>
  </r>
  <r>
    <x v="42"/>
  </r>
  <r>
    <x v="33"/>
  </r>
  <r>
    <x v="10"/>
  </r>
  <r>
    <x v="22"/>
  </r>
  <r>
    <x v="4"/>
  </r>
  <r>
    <x v="10"/>
  </r>
  <r>
    <x v="67"/>
  </r>
  <r>
    <x v="21"/>
  </r>
  <r>
    <x v="19"/>
  </r>
  <r>
    <x v="11"/>
  </r>
  <r>
    <x v="12"/>
  </r>
  <r>
    <x v="11"/>
  </r>
  <r>
    <x v="0"/>
  </r>
  <r>
    <x v="16"/>
  </r>
  <r>
    <x v="34"/>
  </r>
  <r>
    <x v="34"/>
  </r>
  <r>
    <x v="34"/>
  </r>
  <r>
    <x v="34"/>
  </r>
  <r>
    <x v="34"/>
  </r>
  <r>
    <x v="34"/>
  </r>
  <r>
    <x v="34"/>
  </r>
  <r>
    <x v="34"/>
  </r>
  <r>
    <x v="24"/>
  </r>
  <r>
    <x v="16"/>
  </r>
  <r>
    <x v="16"/>
  </r>
  <r>
    <x v="16"/>
  </r>
  <r>
    <x v="8"/>
  </r>
  <r>
    <x v="16"/>
  </r>
  <r>
    <x v="14"/>
  </r>
  <r>
    <x v="48"/>
  </r>
  <r>
    <x v="10"/>
  </r>
  <r>
    <x v="12"/>
  </r>
  <r>
    <x v="10"/>
  </r>
  <r>
    <x v="10"/>
  </r>
  <r>
    <x v="16"/>
  </r>
  <r>
    <x v="16"/>
  </r>
  <r>
    <x v="1"/>
  </r>
  <r>
    <x v="9"/>
  </r>
  <r>
    <x v="14"/>
  </r>
  <r>
    <x v="15"/>
  </r>
  <r>
    <x v="4"/>
  </r>
  <r>
    <x v="4"/>
  </r>
  <r>
    <x v="10"/>
  </r>
  <r>
    <x v="45"/>
  </r>
  <r>
    <x v="42"/>
  </r>
  <r>
    <x v="0"/>
  </r>
  <r>
    <x v="2"/>
  </r>
  <r>
    <x v="0"/>
  </r>
  <r>
    <x v="0"/>
  </r>
  <r>
    <x v="10"/>
  </r>
  <r>
    <x v="9"/>
  </r>
  <r>
    <x v="0"/>
  </r>
  <r>
    <x v="12"/>
  </r>
  <r>
    <x v="10"/>
  </r>
  <r>
    <x v="4"/>
  </r>
  <r>
    <x v="14"/>
  </r>
  <r>
    <x v="19"/>
  </r>
  <r>
    <x v="9"/>
  </r>
  <r>
    <x v="12"/>
  </r>
  <r>
    <x v="8"/>
  </r>
  <r>
    <x v="12"/>
  </r>
  <r>
    <x v="12"/>
  </r>
  <r>
    <x v="37"/>
  </r>
  <r>
    <x v="10"/>
  </r>
  <r>
    <x v="4"/>
  </r>
  <r>
    <x v="10"/>
  </r>
  <r>
    <x v="115"/>
  </r>
  <r>
    <x v="45"/>
  </r>
  <r>
    <x v="33"/>
  </r>
  <r>
    <x v="12"/>
  </r>
  <r>
    <x v="53"/>
  </r>
  <r>
    <x v="163"/>
  </r>
  <r>
    <x v="4"/>
  </r>
  <r>
    <x v="6"/>
  </r>
  <r>
    <x v="0"/>
  </r>
  <r>
    <x v="4"/>
  </r>
  <r>
    <x v="53"/>
  </r>
  <r>
    <x v="25"/>
  </r>
  <r>
    <x v="11"/>
  </r>
  <r>
    <x v="10"/>
  </r>
  <r>
    <x v="10"/>
  </r>
  <r>
    <x v="10"/>
  </r>
  <r>
    <x v="4"/>
  </r>
  <r>
    <x v="0"/>
  </r>
  <r>
    <x v="7"/>
  </r>
  <r>
    <x v="21"/>
  </r>
  <r>
    <x v="11"/>
  </r>
  <r>
    <x v="102"/>
  </r>
  <r>
    <x v="11"/>
  </r>
  <r>
    <x v="2"/>
  </r>
  <r>
    <x v="306"/>
  </r>
  <r>
    <x v="24"/>
  </r>
  <r>
    <x v="24"/>
  </r>
  <r>
    <x v="7"/>
  </r>
  <r>
    <x v="55"/>
  </r>
  <r>
    <x v="130"/>
  </r>
  <r>
    <x v="21"/>
  </r>
  <r>
    <x v="9"/>
  </r>
  <r>
    <x v="14"/>
  </r>
  <r>
    <x v="14"/>
  </r>
  <r>
    <x v="115"/>
  </r>
  <r>
    <x v="33"/>
  </r>
  <r>
    <x v="10"/>
  </r>
  <r>
    <x v="0"/>
  </r>
  <r>
    <x v="12"/>
  </r>
  <r>
    <x v="0"/>
  </r>
  <r>
    <x v="67"/>
  </r>
  <r>
    <x v="37"/>
  </r>
  <r>
    <x v="11"/>
  </r>
  <r>
    <x v="12"/>
  </r>
  <r>
    <x v="45"/>
  </r>
  <r>
    <x v="10"/>
  </r>
  <r>
    <x v="9"/>
  </r>
  <r>
    <x v="45"/>
  </r>
  <r>
    <x v="12"/>
  </r>
  <r>
    <x v="12"/>
  </r>
  <r>
    <x v="12"/>
  </r>
  <r>
    <x v="12"/>
  </r>
  <r>
    <x v="12"/>
  </r>
  <r>
    <x v="12"/>
  </r>
  <r>
    <x v="12"/>
  </r>
  <r>
    <x v="16"/>
  </r>
  <r>
    <x v="45"/>
  </r>
  <r>
    <x v="78"/>
  </r>
  <r>
    <x v="14"/>
  </r>
  <r>
    <x v="14"/>
  </r>
  <r>
    <x v="1"/>
  </r>
  <r>
    <x v="17"/>
  </r>
  <r>
    <x v="12"/>
  </r>
  <r>
    <x v="4"/>
  </r>
  <r>
    <x v="0"/>
  </r>
  <r>
    <x v="19"/>
  </r>
  <r>
    <x v="4"/>
  </r>
  <r>
    <x v="4"/>
  </r>
  <r>
    <x v="4"/>
  </r>
  <r>
    <x v="12"/>
  </r>
  <r>
    <x v="12"/>
  </r>
  <r>
    <x v="9"/>
  </r>
  <r>
    <x v="24"/>
  </r>
  <r>
    <x v="15"/>
  </r>
  <r>
    <x v="15"/>
  </r>
  <r>
    <x v="24"/>
  </r>
  <r>
    <x v="15"/>
  </r>
  <r>
    <x v="4"/>
  </r>
  <r>
    <x v="4"/>
  </r>
  <r>
    <x v="21"/>
  </r>
  <r>
    <x v="14"/>
  </r>
  <r>
    <x v="9"/>
  </r>
  <r>
    <x v="11"/>
  </r>
  <r>
    <x v="16"/>
  </r>
  <r>
    <x v="6"/>
  </r>
  <r>
    <x v="7"/>
  </r>
  <r>
    <x v="7"/>
  </r>
  <r>
    <x v="10"/>
  </r>
  <r>
    <x v="14"/>
  </r>
  <r>
    <x v="4"/>
  </r>
  <r>
    <x v="40"/>
  </r>
  <r>
    <x v="14"/>
  </r>
  <r>
    <x v="17"/>
  </r>
  <r>
    <x v="17"/>
  </r>
  <r>
    <x v="115"/>
  </r>
  <r>
    <x v="31"/>
  </r>
  <r>
    <x v="12"/>
  </r>
  <r>
    <x v="21"/>
  </r>
  <r>
    <x v="34"/>
  </r>
  <r>
    <x v="33"/>
  </r>
  <r>
    <x v="16"/>
  </r>
  <r>
    <x v="16"/>
  </r>
  <r>
    <x v="69"/>
  </r>
  <r>
    <x v="21"/>
  </r>
  <r>
    <x v="22"/>
  </r>
  <r>
    <x v="64"/>
  </r>
  <r>
    <x v="12"/>
  </r>
  <r>
    <x v="16"/>
  </r>
  <r>
    <x v="9"/>
  </r>
  <r>
    <x v="115"/>
  </r>
  <r>
    <x v="9"/>
  </r>
  <r>
    <x v="9"/>
  </r>
  <r>
    <x v="115"/>
  </r>
  <r>
    <x v="7"/>
  </r>
  <r>
    <x v="28"/>
  </r>
  <r>
    <x v="28"/>
  </r>
  <r>
    <x v="28"/>
  </r>
  <r>
    <x v="18"/>
  </r>
  <r>
    <x v="115"/>
  </r>
  <r>
    <x v="0"/>
  </r>
  <r>
    <x v="163"/>
  </r>
  <r>
    <x v="16"/>
  </r>
  <r>
    <x v="28"/>
  </r>
  <r>
    <x v="46"/>
  </r>
  <r>
    <x v="68"/>
  </r>
  <r>
    <x v="68"/>
  </r>
  <r>
    <x v="4"/>
  </r>
  <r>
    <x v="4"/>
  </r>
  <r>
    <x v="4"/>
  </r>
  <r>
    <x v="4"/>
  </r>
  <r>
    <x v="45"/>
  </r>
  <r>
    <x v="115"/>
  </r>
  <r>
    <x v="71"/>
  </r>
  <r>
    <x v="48"/>
  </r>
  <r>
    <x v="4"/>
  </r>
  <r>
    <x v="16"/>
  </r>
  <r>
    <x v="4"/>
  </r>
  <r>
    <x v="4"/>
  </r>
  <r>
    <x v="4"/>
  </r>
  <r>
    <x v="14"/>
  </r>
  <r>
    <x v="4"/>
  </r>
  <r>
    <x v="4"/>
  </r>
  <r>
    <x v="4"/>
  </r>
  <r>
    <x v="2"/>
  </r>
  <r>
    <x v="81"/>
  </r>
  <r>
    <x v="0"/>
  </r>
  <r>
    <x v="55"/>
  </r>
  <r>
    <x v="0"/>
  </r>
  <r>
    <x v="15"/>
  </r>
  <r>
    <x v="55"/>
  </r>
  <r>
    <x v="4"/>
  </r>
  <r>
    <x v="4"/>
  </r>
  <r>
    <x v="21"/>
  </r>
  <r>
    <x v="4"/>
  </r>
  <r>
    <x v="48"/>
  </r>
  <r>
    <x v="138"/>
  </r>
  <r>
    <x v="165"/>
  </r>
  <r>
    <x v="4"/>
  </r>
  <r>
    <x v="165"/>
  </r>
  <r>
    <x v="165"/>
  </r>
  <r>
    <x v="165"/>
  </r>
  <r>
    <x v="4"/>
  </r>
  <r>
    <x v="4"/>
  </r>
  <r>
    <x v="165"/>
  </r>
  <r>
    <x v="30"/>
  </r>
  <r>
    <x v="4"/>
  </r>
  <r>
    <x v="4"/>
  </r>
  <r>
    <x v="165"/>
  </r>
  <r>
    <x v="4"/>
  </r>
  <r>
    <x v="165"/>
  </r>
  <r>
    <x v="165"/>
  </r>
  <r>
    <x v="165"/>
  </r>
  <r>
    <x v="165"/>
  </r>
  <r>
    <x v="4"/>
  </r>
  <r>
    <x v="4"/>
  </r>
  <r>
    <x v="4"/>
  </r>
  <r>
    <x v="4"/>
  </r>
  <r>
    <x v="4"/>
  </r>
  <r>
    <x v="48"/>
  </r>
  <r>
    <x v="10"/>
  </r>
  <r>
    <x v="4"/>
  </r>
  <r>
    <x v="4"/>
  </r>
  <r>
    <x v="7"/>
  </r>
  <r>
    <x v="7"/>
  </r>
  <r>
    <x v="7"/>
  </r>
  <r>
    <x v="7"/>
  </r>
  <r>
    <x v="7"/>
  </r>
  <r>
    <x v="0"/>
  </r>
  <r>
    <x v="10"/>
  </r>
  <r>
    <x v="115"/>
  </r>
  <r>
    <x v="115"/>
  </r>
  <r>
    <x v="28"/>
  </r>
  <r>
    <x v="4"/>
  </r>
  <r>
    <x v="4"/>
  </r>
  <r>
    <x v="4"/>
  </r>
  <r>
    <x v="4"/>
  </r>
  <r>
    <x v="4"/>
  </r>
  <r>
    <x v="165"/>
  </r>
  <r>
    <x v="10"/>
  </r>
  <r>
    <x v="115"/>
  </r>
  <r>
    <x v="115"/>
  </r>
  <r>
    <x v="115"/>
  </r>
  <r>
    <x v="115"/>
  </r>
  <r>
    <x v="123"/>
  </r>
  <r>
    <x v="22"/>
  </r>
  <r>
    <x v="22"/>
  </r>
  <r>
    <x v="22"/>
  </r>
  <r>
    <x v="22"/>
  </r>
  <r>
    <x v="275"/>
  </r>
  <r>
    <x v="275"/>
  </r>
  <r>
    <x v="275"/>
  </r>
  <r>
    <x v="275"/>
  </r>
  <r>
    <x v="275"/>
  </r>
  <r>
    <x v="275"/>
  </r>
  <r>
    <x v="27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4"/>
  </r>
  <r>
    <x v="76"/>
  </r>
  <r>
    <x v="122"/>
  </r>
  <r>
    <x v="4"/>
  </r>
  <r>
    <x v="4"/>
  </r>
  <r>
    <x v="0"/>
  </r>
  <r>
    <x v="10"/>
  </r>
  <r>
    <x v="4"/>
  </r>
  <r>
    <x v="4"/>
  </r>
  <r>
    <x v="10"/>
  </r>
  <r>
    <x v="4"/>
  </r>
  <r>
    <x v="4"/>
  </r>
  <r>
    <x v="42"/>
  </r>
  <r>
    <x v="42"/>
  </r>
  <r>
    <x v="4"/>
  </r>
  <r>
    <x v="87"/>
  </r>
  <r>
    <x v="12"/>
  </r>
  <r>
    <x v="10"/>
  </r>
  <r>
    <x v="10"/>
  </r>
  <r>
    <x v="12"/>
  </r>
  <r>
    <x v="12"/>
  </r>
  <r>
    <x v="10"/>
  </r>
  <r>
    <x v="10"/>
  </r>
  <r>
    <x v="12"/>
  </r>
  <r>
    <x v="28"/>
  </r>
  <r>
    <x v="23"/>
  </r>
  <r>
    <x v="10"/>
  </r>
  <r>
    <x v="10"/>
  </r>
  <r>
    <x v="10"/>
  </r>
  <r>
    <x v="10"/>
  </r>
  <r>
    <x v="31"/>
  </r>
  <r>
    <x v="86"/>
  </r>
  <r>
    <x v="86"/>
  </r>
  <r>
    <x v="86"/>
  </r>
  <r>
    <x v="86"/>
  </r>
  <r>
    <x v="86"/>
  </r>
  <r>
    <x v="51"/>
  </r>
  <r>
    <x v="86"/>
  </r>
  <r>
    <x v="86"/>
  </r>
  <r>
    <x v="51"/>
  </r>
  <r>
    <x v="51"/>
  </r>
  <r>
    <x v="51"/>
  </r>
  <r>
    <x v="86"/>
  </r>
  <r>
    <x v="10"/>
  </r>
  <r>
    <x v="10"/>
  </r>
  <r>
    <x v="4"/>
  </r>
  <r>
    <x v="10"/>
  </r>
  <r>
    <x v="10"/>
  </r>
  <r>
    <x v="4"/>
  </r>
  <r>
    <x v="4"/>
  </r>
  <r>
    <x v="24"/>
  </r>
  <r>
    <x v="48"/>
  </r>
  <r>
    <x v="10"/>
  </r>
  <r>
    <x v="42"/>
  </r>
  <r>
    <x v="53"/>
  </r>
  <r>
    <x v="4"/>
  </r>
  <r>
    <x v="4"/>
  </r>
  <r>
    <x v="4"/>
  </r>
  <r>
    <x v="10"/>
  </r>
  <r>
    <x v="4"/>
  </r>
  <r>
    <x v="10"/>
  </r>
  <r>
    <x v="10"/>
  </r>
  <r>
    <x v="10"/>
  </r>
  <r>
    <x v="10"/>
  </r>
  <r>
    <x v="10"/>
  </r>
  <r>
    <x v="4"/>
  </r>
  <r>
    <x v="4"/>
  </r>
  <r>
    <x v="207"/>
  </r>
  <r>
    <x v="207"/>
  </r>
  <r>
    <x v="24"/>
  </r>
  <r>
    <x v="4"/>
  </r>
  <r>
    <x v="4"/>
  </r>
  <r>
    <x v="24"/>
  </r>
  <r>
    <x v="4"/>
  </r>
  <r>
    <x v="154"/>
  </r>
  <r>
    <x v="154"/>
  </r>
  <r>
    <x v="154"/>
  </r>
  <r>
    <x v="154"/>
  </r>
  <r>
    <x v="154"/>
  </r>
  <r>
    <x v="154"/>
  </r>
  <r>
    <x v="154"/>
  </r>
  <r>
    <x v="154"/>
  </r>
  <r>
    <x v="10"/>
  </r>
  <r>
    <x v="154"/>
  </r>
  <r>
    <x v="154"/>
  </r>
  <r>
    <x v="154"/>
  </r>
  <r>
    <x v="154"/>
  </r>
  <r>
    <x v="4"/>
  </r>
  <r>
    <x v="165"/>
  </r>
  <r>
    <x v="4"/>
  </r>
  <r>
    <x v="165"/>
  </r>
  <r>
    <x v="4"/>
  </r>
  <r>
    <x v="4"/>
  </r>
  <r>
    <x v="165"/>
  </r>
  <r>
    <x v="4"/>
  </r>
  <r>
    <x v="4"/>
  </r>
  <r>
    <x v="4"/>
  </r>
  <r>
    <x v="4"/>
  </r>
  <r>
    <x v="1"/>
  </r>
  <r>
    <x v="4"/>
  </r>
  <r>
    <x v="1"/>
  </r>
  <r>
    <x v="1"/>
  </r>
  <r>
    <x v="76"/>
  </r>
  <r>
    <x v="12"/>
  </r>
  <r>
    <x v="100"/>
  </r>
  <r>
    <x v="52"/>
  </r>
  <r>
    <x v="12"/>
  </r>
  <r>
    <x v="52"/>
  </r>
  <r>
    <x v="63"/>
  </r>
  <r>
    <x v="4"/>
  </r>
  <r>
    <x v="10"/>
  </r>
  <r>
    <x v="4"/>
  </r>
  <r>
    <x v="10"/>
  </r>
  <r>
    <x v="4"/>
  </r>
  <r>
    <x v="12"/>
  </r>
  <r>
    <x v="4"/>
  </r>
  <r>
    <x v="10"/>
  </r>
  <r>
    <x v="4"/>
  </r>
  <r>
    <x v="10"/>
  </r>
  <r>
    <x v="4"/>
  </r>
  <r>
    <x v="111"/>
  </r>
  <r>
    <x v="4"/>
  </r>
  <r>
    <x v="4"/>
  </r>
  <r>
    <x v="10"/>
  </r>
  <r>
    <x v="4"/>
  </r>
  <r>
    <x v="10"/>
  </r>
  <r>
    <x v="10"/>
  </r>
  <r>
    <x v="7"/>
  </r>
  <r>
    <x v="10"/>
  </r>
  <r>
    <x v="10"/>
  </r>
  <r>
    <x v="10"/>
  </r>
  <r>
    <x v="7"/>
  </r>
  <r>
    <x v="22"/>
  </r>
  <r>
    <x v="22"/>
  </r>
  <r>
    <x v="22"/>
  </r>
  <r>
    <x v="22"/>
  </r>
  <r>
    <x v="78"/>
  </r>
  <r>
    <x v="22"/>
  </r>
  <r>
    <x v="22"/>
  </r>
  <r>
    <x v="22"/>
  </r>
  <r>
    <x v="78"/>
  </r>
  <r>
    <x v="78"/>
  </r>
  <r>
    <x v="78"/>
  </r>
  <r>
    <x v="22"/>
  </r>
  <r>
    <x v="78"/>
  </r>
  <r>
    <x v="4"/>
  </r>
  <r>
    <x v="4"/>
  </r>
  <r>
    <x v="4"/>
  </r>
  <r>
    <x v="4"/>
  </r>
  <r>
    <x v="4"/>
  </r>
  <r>
    <x v="4"/>
  </r>
  <r>
    <x v="4"/>
  </r>
  <r>
    <x v="24"/>
  </r>
  <r>
    <x v="24"/>
  </r>
  <r>
    <x v="4"/>
  </r>
  <r>
    <x v="4"/>
  </r>
  <r>
    <x v="4"/>
  </r>
  <r>
    <x v="4"/>
  </r>
  <r>
    <x v="4"/>
  </r>
  <r>
    <x v="4"/>
  </r>
  <r>
    <x v="4"/>
  </r>
  <r>
    <x v="138"/>
  </r>
  <r>
    <x v="138"/>
  </r>
  <r>
    <x v="4"/>
  </r>
  <r>
    <x v="4"/>
  </r>
  <r>
    <x v="138"/>
  </r>
  <r>
    <x v="4"/>
  </r>
  <r>
    <x v="138"/>
  </r>
  <r>
    <x v="122"/>
  </r>
  <r>
    <x v="4"/>
  </r>
  <r>
    <x v="138"/>
  </r>
  <r>
    <x v="4"/>
  </r>
  <r>
    <x v="4"/>
  </r>
  <r>
    <x v="138"/>
  </r>
  <r>
    <x v="138"/>
  </r>
  <r>
    <x v="4"/>
  </r>
  <r>
    <x v="0"/>
  </r>
  <r>
    <x v="0"/>
  </r>
  <r>
    <x v="138"/>
  </r>
  <r>
    <x v="138"/>
  </r>
  <r>
    <x v="86"/>
  </r>
  <r>
    <x v="10"/>
  </r>
  <r>
    <x v="86"/>
  </r>
  <r>
    <x v="10"/>
  </r>
  <r>
    <x v="10"/>
  </r>
  <r>
    <x v="86"/>
  </r>
  <r>
    <x v="10"/>
  </r>
  <r>
    <x v="10"/>
  </r>
  <r>
    <x v="10"/>
  </r>
  <r>
    <x v="42"/>
  </r>
  <r>
    <x v="10"/>
  </r>
  <r>
    <x v="86"/>
  </r>
  <r>
    <x v="10"/>
  </r>
  <r>
    <x v="10"/>
  </r>
  <r>
    <x v="86"/>
  </r>
  <r>
    <x v="175"/>
  </r>
  <r>
    <x v="175"/>
  </r>
  <r>
    <x v="175"/>
  </r>
  <r>
    <x v="53"/>
  </r>
  <r>
    <x v="9"/>
  </r>
  <r>
    <x v="9"/>
  </r>
  <r>
    <x v="9"/>
  </r>
  <r>
    <x v="9"/>
  </r>
  <r>
    <x v="9"/>
  </r>
  <r>
    <x v="9"/>
  </r>
  <r>
    <x v="35"/>
  </r>
  <r>
    <x v="12"/>
  </r>
  <r>
    <x v="0"/>
  </r>
  <r>
    <x v="10"/>
  </r>
  <r>
    <x v="7"/>
  </r>
  <r>
    <x v="34"/>
  </r>
  <r>
    <x v="10"/>
  </r>
  <r>
    <x v="123"/>
  </r>
  <r>
    <x v="123"/>
  </r>
  <r>
    <x v="126"/>
  </r>
  <r>
    <x v="10"/>
  </r>
  <r>
    <x v="10"/>
  </r>
  <r>
    <x v="10"/>
  </r>
  <r>
    <x v="86"/>
  </r>
  <r>
    <x v="86"/>
  </r>
  <r>
    <x v="10"/>
  </r>
  <r>
    <x v="50"/>
  </r>
  <r>
    <x v="5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23"/>
  </r>
  <r>
    <x v="28"/>
  </r>
  <r>
    <x v="28"/>
  </r>
  <r>
    <x v="28"/>
  </r>
  <r>
    <x v="28"/>
  </r>
  <r>
    <x v="28"/>
  </r>
  <r>
    <x v="4"/>
  </r>
  <r>
    <x v="9"/>
  </r>
  <r>
    <x v="80"/>
  </r>
  <r>
    <x v="80"/>
  </r>
  <r>
    <x v="80"/>
  </r>
  <r>
    <x v="63"/>
  </r>
  <r>
    <x v="10"/>
  </r>
  <r>
    <x v="63"/>
  </r>
  <r>
    <x v="4"/>
  </r>
  <r>
    <x v="50"/>
  </r>
  <r>
    <x v="50"/>
  </r>
  <r>
    <x v="50"/>
  </r>
  <r>
    <x v="50"/>
  </r>
  <r>
    <x v="86"/>
  </r>
  <r>
    <x v="86"/>
  </r>
  <r>
    <x v="86"/>
  </r>
  <r>
    <x v="86"/>
  </r>
  <r>
    <x v="86"/>
  </r>
  <r>
    <x v="86"/>
  </r>
  <r>
    <x v="11"/>
  </r>
  <r>
    <x v="10"/>
  </r>
  <r>
    <x v="87"/>
  </r>
  <r>
    <x v="87"/>
  </r>
  <r>
    <x v="4"/>
  </r>
  <r>
    <x v="10"/>
  </r>
  <r>
    <x v="10"/>
  </r>
  <r>
    <x v="4"/>
  </r>
  <r>
    <x v="76"/>
  </r>
  <r>
    <x v="4"/>
  </r>
  <r>
    <x v="4"/>
  </r>
  <r>
    <x v="10"/>
  </r>
  <r>
    <x v="10"/>
  </r>
  <r>
    <x v="4"/>
  </r>
  <r>
    <x v="4"/>
  </r>
  <r>
    <x v="4"/>
  </r>
  <r>
    <x v="21"/>
  </r>
  <r>
    <x v="86"/>
  </r>
  <r>
    <x v="0"/>
  </r>
  <r>
    <x v="86"/>
  </r>
  <r>
    <x v="86"/>
  </r>
  <r>
    <x v="138"/>
  </r>
  <r>
    <x v="138"/>
  </r>
  <r>
    <x v="123"/>
  </r>
  <r>
    <x v="0"/>
  </r>
  <r>
    <x v="0"/>
  </r>
  <r>
    <x v="20"/>
  </r>
  <r>
    <x v="4"/>
  </r>
  <r>
    <x v="4"/>
  </r>
  <r>
    <x v="53"/>
  </r>
  <r>
    <x v="10"/>
  </r>
  <r>
    <x v="28"/>
  </r>
  <r>
    <x v="28"/>
  </r>
  <r>
    <x v="28"/>
  </r>
  <r>
    <x v="28"/>
  </r>
  <r>
    <x v="28"/>
  </r>
  <r>
    <x v="28"/>
  </r>
  <r>
    <x v="28"/>
  </r>
  <r>
    <x v="10"/>
  </r>
  <r>
    <x v="10"/>
  </r>
  <r>
    <x v="10"/>
  </r>
  <r>
    <x v="10"/>
  </r>
  <r>
    <x v="0"/>
  </r>
  <r>
    <x v="68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48"/>
  </r>
  <r>
    <x v="4"/>
  </r>
  <r>
    <x v="10"/>
  </r>
  <r>
    <x v="10"/>
  </r>
  <r>
    <x v="10"/>
  </r>
  <r>
    <x v="10"/>
  </r>
  <r>
    <x v="10"/>
  </r>
  <r>
    <x v="4"/>
  </r>
  <r>
    <x v="4"/>
  </r>
  <r>
    <x v="4"/>
  </r>
  <r>
    <x v="12"/>
  </r>
  <r>
    <x v="12"/>
  </r>
  <r>
    <x v="10"/>
  </r>
  <r>
    <x v="0"/>
  </r>
  <r>
    <x v="0"/>
  </r>
  <r>
    <x v="0"/>
  </r>
  <r>
    <x v="80"/>
  </r>
  <r>
    <x v="4"/>
  </r>
  <r>
    <x v="10"/>
  </r>
  <r>
    <x v="10"/>
  </r>
  <r>
    <x v="4"/>
  </r>
  <r>
    <x v="4"/>
  </r>
  <r>
    <x v="10"/>
  </r>
  <r>
    <x v="4"/>
  </r>
  <r>
    <x v="4"/>
  </r>
  <r>
    <x v="4"/>
  </r>
  <r>
    <x v="10"/>
  </r>
  <r>
    <x v="10"/>
  </r>
  <r>
    <x v="4"/>
  </r>
  <r>
    <x v="10"/>
  </r>
  <r>
    <x v="4"/>
  </r>
  <r>
    <x v="4"/>
  </r>
  <r>
    <x v="10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4"/>
  </r>
  <r>
    <x v="24"/>
  </r>
  <r>
    <x v="24"/>
  </r>
  <r>
    <x v="24"/>
  </r>
  <r>
    <x v="24"/>
  </r>
  <r>
    <x v="138"/>
  </r>
  <r>
    <x v="10"/>
  </r>
  <r>
    <x v="10"/>
  </r>
  <r>
    <x v="10"/>
  </r>
  <r>
    <x v="10"/>
  </r>
  <r>
    <x v="4"/>
  </r>
  <r>
    <x v="10"/>
  </r>
  <r>
    <x v="10"/>
  </r>
  <r>
    <x v="48"/>
  </r>
  <r>
    <x v="10"/>
  </r>
  <r>
    <x v="4"/>
  </r>
  <r>
    <x v="4"/>
  </r>
  <r>
    <x v="175"/>
  </r>
  <r>
    <x v="175"/>
  </r>
  <r>
    <x v="1"/>
  </r>
  <r>
    <x v="10"/>
  </r>
  <r>
    <x v="240"/>
  </r>
  <r>
    <x v="10"/>
  </r>
  <r>
    <x v="131"/>
  </r>
  <r>
    <x v="10"/>
  </r>
  <r>
    <x v="10"/>
  </r>
  <r>
    <x v="10"/>
  </r>
  <r>
    <x v="138"/>
  </r>
  <r>
    <x v="4"/>
  </r>
  <r>
    <x v="138"/>
  </r>
  <r>
    <x v="4"/>
  </r>
  <r>
    <x v="138"/>
  </r>
  <r>
    <x v="4"/>
  </r>
  <r>
    <x v="138"/>
  </r>
  <r>
    <x v="138"/>
  </r>
  <r>
    <x v="138"/>
  </r>
  <r>
    <x v="4"/>
  </r>
  <r>
    <x v="4"/>
  </r>
  <r>
    <x v="138"/>
  </r>
  <r>
    <x v="0"/>
  </r>
  <r>
    <x v="14"/>
  </r>
  <r>
    <x v="138"/>
  </r>
  <r>
    <x v="52"/>
  </r>
  <r>
    <x v="106"/>
  </r>
  <r>
    <x v="10"/>
  </r>
  <r>
    <x v="10"/>
  </r>
  <r>
    <x v="4"/>
  </r>
  <r>
    <x v="4"/>
  </r>
  <r>
    <x v="4"/>
  </r>
  <r>
    <x v="4"/>
  </r>
  <r>
    <x v="2"/>
  </r>
  <r>
    <x v="4"/>
  </r>
  <r>
    <x v="4"/>
  </r>
  <r>
    <x v="10"/>
  </r>
  <r>
    <x v="10"/>
  </r>
  <r>
    <x v="10"/>
  </r>
  <r>
    <x v="10"/>
  </r>
  <r>
    <x v="126"/>
  </r>
  <r>
    <x v="10"/>
  </r>
  <r>
    <x v="115"/>
  </r>
  <r>
    <x v="115"/>
  </r>
  <r>
    <x v="115"/>
  </r>
  <r>
    <x v="115"/>
  </r>
  <r>
    <x v="115"/>
  </r>
  <r>
    <x v="115"/>
  </r>
  <r>
    <x v="115"/>
  </r>
  <r>
    <x v="115"/>
  </r>
  <r>
    <x v="4"/>
  </r>
  <r>
    <x v="10"/>
  </r>
  <r>
    <x v="4"/>
  </r>
  <r>
    <x v="4"/>
  </r>
  <r>
    <x v="4"/>
  </r>
  <r>
    <x v="123"/>
  </r>
  <r>
    <x v="152"/>
  </r>
  <r>
    <x v="152"/>
  </r>
  <r>
    <x v="152"/>
  </r>
  <r>
    <x v="14"/>
  </r>
  <r>
    <x v="14"/>
  </r>
  <r>
    <x v="14"/>
  </r>
  <r>
    <x v="14"/>
  </r>
  <r>
    <x v="14"/>
  </r>
  <r>
    <x v="19"/>
  </r>
  <r>
    <x v="155"/>
  </r>
  <r>
    <x v="37"/>
  </r>
  <r>
    <x v="142"/>
  </r>
  <r>
    <x v="10"/>
  </r>
  <r>
    <x v="10"/>
  </r>
  <r>
    <x v="115"/>
  </r>
  <r>
    <x v="138"/>
  </r>
  <r>
    <x v="4"/>
  </r>
  <r>
    <x v="142"/>
  </r>
  <r>
    <x v="71"/>
  </r>
  <r>
    <x v="49"/>
  </r>
  <r>
    <x v="51"/>
  </r>
  <r>
    <x v="24"/>
  </r>
  <r>
    <x v="14"/>
  </r>
  <r>
    <x v="0"/>
  </r>
  <r>
    <x v="108"/>
  </r>
  <r>
    <x v="108"/>
  </r>
  <r>
    <x v="108"/>
  </r>
  <r>
    <x v="108"/>
  </r>
  <r>
    <x v="108"/>
  </r>
  <r>
    <x v="108"/>
  </r>
  <r>
    <x v="115"/>
  </r>
  <r>
    <x v="10"/>
  </r>
  <r>
    <x v="17"/>
  </r>
  <r>
    <x v="17"/>
  </r>
  <r>
    <x v="10"/>
  </r>
  <r>
    <x v="17"/>
  </r>
  <r>
    <x v="10"/>
  </r>
  <r>
    <x v="10"/>
  </r>
  <r>
    <x v="4"/>
  </r>
  <r>
    <x v="10"/>
  </r>
  <r>
    <x v="10"/>
  </r>
  <r>
    <x v="4"/>
  </r>
  <r>
    <x v="10"/>
  </r>
  <r>
    <x v="10"/>
  </r>
  <r>
    <x v="4"/>
  </r>
  <r>
    <x v="4"/>
  </r>
  <r>
    <x v="12"/>
  </r>
  <r>
    <x v="4"/>
  </r>
  <r>
    <x v="4"/>
  </r>
  <r>
    <x v="56"/>
  </r>
  <r>
    <x v="48"/>
  </r>
  <r>
    <x v="85"/>
  </r>
  <r>
    <x v="77"/>
  </r>
  <r>
    <x v="10"/>
  </r>
  <r>
    <x v="33"/>
  </r>
  <r>
    <x v="10"/>
  </r>
  <r>
    <x v="4"/>
  </r>
  <r>
    <x v="10"/>
  </r>
  <r>
    <x v="41"/>
  </r>
  <r>
    <x v="10"/>
  </r>
  <r>
    <x v="10"/>
  </r>
  <r>
    <x v="10"/>
  </r>
  <r>
    <x v="10"/>
  </r>
  <r>
    <x v="10"/>
  </r>
  <r>
    <x v="4"/>
  </r>
  <r>
    <x v="4"/>
  </r>
  <r>
    <x v="4"/>
  </r>
  <r>
    <x v="52"/>
  </r>
  <r>
    <x v="4"/>
  </r>
  <r>
    <x v="123"/>
  </r>
  <r>
    <x v="123"/>
  </r>
  <r>
    <x v="123"/>
  </r>
  <r>
    <x v="123"/>
  </r>
  <r>
    <x v="123"/>
  </r>
  <r>
    <x v="123"/>
  </r>
  <r>
    <x v="56"/>
  </r>
  <r>
    <x v="123"/>
  </r>
  <r>
    <x v="56"/>
  </r>
  <r>
    <x v="123"/>
  </r>
  <r>
    <x v="123"/>
  </r>
  <r>
    <x v="123"/>
  </r>
  <r>
    <x v="19"/>
  </r>
  <r>
    <x v="12"/>
  </r>
  <r>
    <x v="10"/>
  </r>
  <r>
    <x v="10"/>
  </r>
  <r>
    <x v="10"/>
  </r>
  <r>
    <x v="10"/>
  </r>
  <r>
    <x v="10"/>
  </r>
  <r>
    <x v="10"/>
  </r>
  <r>
    <x v="4"/>
  </r>
  <r>
    <x v="4"/>
  </r>
  <r>
    <x v="28"/>
  </r>
  <r>
    <x v="4"/>
  </r>
  <r>
    <x v="4"/>
  </r>
  <r>
    <x v="4"/>
  </r>
  <r>
    <x v="4"/>
  </r>
  <r>
    <x v="4"/>
  </r>
  <r>
    <x v="4"/>
  </r>
  <r>
    <x v="108"/>
  </r>
  <r>
    <x v="16"/>
  </r>
  <r>
    <x v="0"/>
  </r>
  <r>
    <x v="16"/>
  </r>
  <r>
    <x v="14"/>
  </r>
  <r>
    <x v="108"/>
  </r>
  <r>
    <x v="48"/>
  </r>
  <r>
    <x v="10"/>
  </r>
  <r>
    <x v="10"/>
  </r>
  <r>
    <x v="10"/>
  </r>
  <r>
    <x v="10"/>
  </r>
  <r>
    <x v="10"/>
  </r>
  <r>
    <x v="10"/>
  </r>
  <r>
    <x v="10"/>
  </r>
  <r>
    <x v="10"/>
  </r>
  <r>
    <x v="71"/>
  </r>
  <r>
    <x v="16"/>
  </r>
  <r>
    <x v="14"/>
  </r>
  <r>
    <x v="71"/>
  </r>
  <r>
    <x v="71"/>
  </r>
  <r>
    <x v="71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78"/>
  </r>
  <r>
    <x v="78"/>
  </r>
  <r>
    <x v="78"/>
  </r>
  <r>
    <x v="78"/>
  </r>
  <r>
    <x v="78"/>
  </r>
  <r>
    <x v="78"/>
  </r>
  <r>
    <x v="87"/>
  </r>
  <r>
    <x v="78"/>
  </r>
  <r>
    <x v="78"/>
  </r>
  <r>
    <x v="14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6"/>
  </r>
  <r>
    <x v="25"/>
  </r>
  <r>
    <x v="46"/>
  </r>
  <r>
    <x v="12"/>
  </r>
  <r>
    <x v="12"/>
  </r>
  <r>
    <x v="12"/>
  </r>
  <r>
    <x v="12"/>
  </r>
  <r>
    <x v="28"/>
  </r>
  <r>
    <x v="28"/>
  </r>
  <r>
    <x v="28"/>
  </r>
  <r>
    <x v="28"/>
  </r>
  <r>
    <x v="28"/>
  </r>
  <r>
    <x v="28"/>
  </r>
  <r>
    <x v="28"/>
  </r>
  <r>
    <x v="193"/>
  </r>
  <r>
    <x v="4"/>
  </r>
  <r>
    <x v="4"/>
  </r>
  <r>
    <x v="4"/>
  </r>
  <r>
    <x v="4"/>
  </r>
  <r>
    <x v="22"/>
  </r>
  <r>
    <x v="22"/>
  </r>
  <r>
    <x v="22"/>
  </r>
  <r>
    <x v="22"/>
  </r>
  <r>
    <x v="22"/>
  </r>
  <r>
    <x v="22"/>
  </r>
  <r>
    <x v="10"/>
  </r>
  <r>
    <x v="10"/>
  </r>
  <r>
    <x v="10"/>
  </r>
  <r>
    <x v="52"/>
  </r>
  <r>
    <x v="4"/>
  </r>
  <r>
    <x v="4"/>
  </r>
  <r>
    <x v="4"/>
  </r>
  <r>
    <x v="22"/>
  </r>
  <r>
    <x v="33"/>
  </r>
  <r>
    <x v="4"/>
  </r>
  <r>
    <x v="4"/>
  </r>
  <r>
    <x v="4"/>
  </r>
  <r>
    <x v="4"/>
  </r>
  <r>
    <x v="4"/>
  </r>
  <r>
    <x v="4"/>
  </r>
  <r>
    <x v="131"/>
  </r>
  <r>
    <x v="131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8"/>
  </r>
  <r>
    <x v="108"/>
  </r>
  <r>
    <x v="36"/>
  </r>
  <r>
    <x v="12"/>
  </r>
  <r>
    <x v="12"/>
  </r>
  <r>
    <x v="12"/>
  </r>
  <r>
    <x v="12"/>
  </r>
  <r>
    <x v="12"/>
  </r>
  <r>
    <x v="115"/>
  </r>
  <r>
    <x v="36"/>
  </r>
  <r>
    <x v="36"/>
  </r>
  <r>
    <x v="36"/>
  </r>
  <r>
    <x v="36"/>
  </r>
  <r>
    <x v="0"/>
  </r>
  <r>
    <x v="4"/>
  </r>
  <r>
    <x v="12"/>
  </r>
  <r>
    <x v="12"/>
  </r>
  <r>
    <x v="10"/>
  </r>
  <r>
    <x v="10"/>
  </r>
  <r>
    <x v="4"/>
  </r>
  <r>
    <x v="12"/>
  </r>
  <r>
    <x v="30"/>
  </r>
  <r>
    <x v="71"/>
  </r>
  <r>
    <x v="10"/>
  </r>
  <r>
    <x v="10"/>
  </r>
  <r>
    <x v="10"/>
  </r>
  <r>
    <x v="10"/>
  </r>
  <r>
    <x v="10"/>
  </r>
  <r>
    <x v="10"/>
  </r>
  <r>
    <x v="57"/>
  </r>
  <r>
    <x v="0"/>
  </r>
  <r>
    <x v="10"/>
  </r>
  <r>
    <x v="12"/>
  </r>
  <r>
    <x v="123"/>
  </r>
  <r>
    <x v="123"/>
  </r>
  <r>
    <x v="4"/>
  </r>
  <r>
    <x v="10"/>
  </r>
  <r>
    <x v="166"/>
  </r>
  <r>
    <x v="12"/>
  </r>
  <r>
    <x v="77"/>
  </r>
  <r>
    <x v="12"/>
  </r>
  <r>
    <x v="87"/>
  </r>
  <r>
    <x v="87"/>
  </r>
  <r>
    <x v="10"/>
  </r>
  <r>
    <x v="4"/>
  </r>
  <r>
    <x v="4"/>
  </r>
  <r>
    <x v="4"/>
  </r>
  <r>
    <x v="10"/>
  </r>
  <r>
    <x v="4"/>
  </r>
  <r>
    <x v="12"/>
  </r>
  <r>
    <x v="72"/>
  </r>
  <r>
    <x v="6"/>
  </r>
  <r>
    <x v="6"/>
  </r>
  <r>
    <x v="6"/>
  </r>
  <r>
    <x v="6"/>
  </r>
  <r>
    <x v="6"/>
  </r>
  <r>
    <x v="126"/>
  </r>
  <r>
    <x v="10"/>
  </r>
  <r>
    <x v="126"/>
  </r>
  <r>
    <x v="126"/>
  </r>
  <r>
    <x v="126"/>
  </r>
  <r>
    <x v="126"/>
  </r>
  <r>
    <x v="4"/>
  </r>
  <r>
    <x v="138"/>
  </r>
  <r>
    <x v="4"/>
  </r>
  <r>
    <x v="10"/>
  </r>
  <r>
    <x v="4"/>
  </r>
  <r>
    <x v="10"/>
  </r>
  <r>
    <x v="4"/>
  </r>
  <r>
    <x v="10"/>
  </r>
  <r>
    <x v="138"/>
  </r>
  <r>
    <x v="138"/>
  </r>
  <r>
    <x v="54"/>
  </r>
  <r>
    <x v="54"/>
  </r>
  <r>
    <x v="115"/>
  </r>
  <r>
    <x v="115"/>
  </r>
  <r>
    <x v="115"/>
  </r>
  <r>
    <x v="115"/>
  </r>
  <r>
    <x v="4"/>
  </r>
  <r>
    <x v="77"/>
  </r>
  <r>
    <x v="36"/>
  </r>
  <r>
    <x v="36"/>
  </r>
  <r>
    <x v="36"/>
  </r>
  <r>
    <x v="36"/>
  </r>
  <r>
    <x v="36"/>
  </r>
  <r>
    <x v="36"/>
  </r>
  <r>
    <x v="36"/>
  </r>
  <r>
    <x v="183"/>
  </r>
  <r>
    <x v="273"/>
  </r>
  <r>
    <x v="273"/>
  </r>
  <r>
    <x v="273"/>
  </r>
  <r>
    <x v="123"/>
  </r>
  <r>
    <x v="10"/>
  </r>
  <r>
    <x v="10"/>
  </r>
  <r>
    <x v="86"/>
  </r>
  <r>
    <x v="86"/>
  </r>
  <r>
    <x v="86"/>
  </r>
  <r>
    <x v="86"/>
  </r>
  <r>
    <x v="12"/>
  </r>
  <r>
    <x v="7"/>
  </r>
  <r>
    <x v="36"/>
  </r>
  <r>
    <x v="36"/>
  </r>
  <r>
    <x v="16"/>
  </r>
  <r>
    <x v="4"/>
  </r>
  <r>
    <x v="36"/>
  </r>
  <r>
    <x v="7"/>
  </r>
  <r>
    <x v="36"/>
  </r>
  <r>
    <x v="7"/>
  </r>
  <r>
    <x v="17"/>
  </r>
  <r>
    <x v="4"/>
  </r>
  <r>
    <x v="26"/>
  </r>
  <r>
    <x v="16"/>
  </r>
  <r>
    <x v="77"/>
  </r>
  <r>
    <x v="76"/>
  </r>
  <r>
    <x v="10"/>
  </r>
  <r>
    <x v="51"/>
  </r>
  <r>
    <x v="86"/>
  </r>
  <r>
    <x v="10"/>
  </r>
  <r>
    <x v="86"/>
  </r>
  <r>
    <x v="86"/>
  </r>
  <r>
    <x v="10"/>
  </r>
  <r>
    <x v="10"/>
  </r>
  <r>
    <x v="10"/>
  </r>
  <r>
    <x v="10"/>
  </r>
  <r>
    <x v="10"/>
  </r>
  <r>
    <x v="10"/>
  </r>
  <r>
    <x v="10"/>
  </r>
  <r>
    <x v="36"/>
  </r>
  <r>
    <x v="4"/>
  </r>
  <r>
    <x v="36"/>
  </r>
  <r>
    <x v="4"/>
  </r>
  <r>
    <x v="4"/>
  </r>
  <r>
    <x v="168"/>
  </r>
  <r>
    <x v="36"/>
  </r>
  <r>
    <x v="36"/>
  </r>
  <r>
    <x v="12"/>
  </r>
  <r>
    <x v="10"/>
  </r>
  <r>
    <x v="10"/>
  </r>
  <r>
    <x v="10"/>
  </r>
  <r>
    <x v="10"/>
  </r>
  <r>
    <x v="10"/>
  </r>
  <r>
    <x v="10"/>
  </r>
  <r>
    <x v="4"/>
  </r>
  <r>
    <x v="4"/>
  </r>
  <r>
    <x v="123"/>
  </r>
  <r>
    <x v="123"/>
  </r>
  <r>
    <x v="123"/>
  </r>
  <r>
    <x v="4"/>
  </r>
  <r>
    <x v="4"/>
  </r>
  <r>
    <x v="4"/>
  </r>
  <r>
    <x v="165"/>
  </r>
  <r>
    <x v="4"/>
  </r>
  <r>
    <x v="10"/>
  </r>
  <r>
    <x v="4"/>
  </r>
  <r>
    <x v="48"/>
  </r>
  <r>
    <x v="4"/>
  </r>
  <r>
    <x v="4"/>
  </r>
  <r>
    <x v="4"/>
  </r>
  <r>
    <x v="4"/>
  </r>
  <r>
    <x v="4"/>
  </r>
  <r>
    <x v="12"/>
  </r>
  <r>
    <x v="52"/>
  </r>
  <r>
    <x v="57"/>
  </r>
  <r>
    <x v="57"/>
  </r>
  <r>
    <x v="57"/>
  </r>
  <r>
    <x v="57"/>
  </r>
  <r>
    <x v="87"/>
  </r>
  <r>
    <x v="55"/>
  </r>
  <r>
    <x v="36"/>
  </r>
  <r>
    <x v="0"/>
  </r>
  <r>
    <x v="0"/>
  </r>
  <r>
    <x v="36"/>
  </r>
  <r>
    <x v="36"/>
  </r>
  <r>
    <x v="0"/>
  </r>
  <r>
    <x v="12"/>
  </r>
  <r>
    <x v="0"/>
  </r>
  <r>
    <x v="0"/>
  </r>
  <r>
    <x v="12"/>
  </r>
  <r>
    <x v="10"/>
  </r>
  <r>
    <x v="10"/>
  </r>
  <r>
    <x v="10"/>
  </r>
  <r>
    <x v="10"/>
  </r>
  <r>
    <x v="10"/>
  </r>
  <r>
    <x v="10"/>
  </r>
  <r>
    <x v="12"/>
  </r>
  <r>
    <x v="12"/>
  </r>
  <r>
    <x v="12"/>
  </r>
  <r>
    <x v="12"/>
  </r>
  <r>
    <x v="12"/>
  </r>
  <r>
    <x v="10"/>
  </r>
  <r>
    <x v="31"/>
  </r>
  <r>
    <x v="34"/>
  </r>
  <r>
    <x v="76"/>
  </r>
  <r>
    <x v="63"/>
  </r>
  <r>
    <x v="63"/>
  </r>
  <r>
    <x v="63"/>
  </r>
  <r>
    <x v="71"/>
  </r>
  <r>
    <x v="71"/>
  </r>
  <r>
    <x v="71"/>
  </r>
  <r>
    <x v="63"/>
  </r>
  <r>
    <x v="71"/>
  </r>
  <r>
    <x v="63"/>
  </r>
  <r>
    <x v="63"/>
  </r>
  <r>
    <x v="63"/>
  </r>
  <r>
    <x v="63"/>
  </r>
  <r>
    <x v="2"/>
  </r>
  <r>
    <x v="63"/>
  </r>
  <r>
    <x v="10"/>
  </r>
  <r>
    <x v="10"/>
  </r>
  <r>
    <x v="10"/>
  </r>
  <r>
    <x v="26"/>
  </r>
  <r>
    <x v="12"/>
  </r>
  <r>
    <x v="10"/>
  </r>
  <r>
    <x v="36"/>
  </r>
  <r>
    <x v="12"/>
  </r>
  <r>
    <x v="7"/>
  </r>
  <r>
    <x v="36"/>
  </r>
  <r>
    <x v="36"/>
  </r>
  <r>
    <x v="36"/>
  </r>
  <r>
    <x v="36"/>
  </r>
  <r>
    <x v="7"/>
  </r>
  <r>
    <x v="36"/>
  </r>
  <r>
    <x v="10"/>
  </r>
  <r>
    <x v="7"/>
  </r>
  <r>
    <x v="36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20"/>
  </r>
  <r>
    <x v="42"/>
  </r>
  <r>
    <x v="42"/>
  </r>
  <r>
    <x v="42"/>
  </r>
  <r>
    <x v="42"/>
  </r>
  <r>
    <x v="123"/>
  </r>
  <r>
    <x v="86"/>
  </r>
  <r>
    <x v="162"/>
  </r>
  <r>
    <x v="162"/>
  </r>
  <r>
    <x v="77"/>
  </r>
  <r>
    <x v="84"/>
  </r>
  <r>
    <x v="162"/>
  </r>
  <r>
    <x v="6"/>
  </r>
  <r>
    <x v="162"/>
  </r>
  <r>
    <x v="30"/>
  </r>
  <r>
    <x v="14"/>
  </r>
  <r>
    <x v="14"/>
  </r>
  <r>
    <x v="45"/>
  </r>
  <r>
    <x v="77"/>
  </r>
  <r>
    <x v="52"/>
  </r>
  <r>
    <x v="123"/>
  </r>
  <r>
    <x v="10"/>
  </r>
  <r>
    <x v="4"/>
  </r>
  <r>
    <x v="10"/>
  </r>
  <r>
    <x v="10"/>
  </r>
  <r>
    <x v="10"/>
  </r>
  <r>
    <x v="10"/>
  </r>
  <r>
    <x v="4"/>
  </r>
  <r>
    <x v="10"/>
  </r>
  <r>
    <x v="10"/>
  </r>
  <r>
    <x v="10"/>
  </r>
  <r>
    <x v="10"/>
  </r>
  <r>
    <x v="12"/>
  </r>
  <r>
    <x v="10"/>
  </r>
  <r>
    <x v="10"/>
  </r>
  <r>
    <x v="12"/>
  </r>
  <r>
    <x v="10"/>
  </r>
  <r>
    <x v="10"/>
  </r>
  <r>
    <x v="10"/>
  </r>
  <r>
    <x v="10"/>
  </r>
  <r>
    <x v="10"/>
  </r>
  <r>
    <x v="12"/>
  </r>
  <r>
    <x v="42"/>
  </r>
  <r>
    <x v="21"/>
  </r>
  <r>
    <x v="21"/>
  </r>
  <r>
    <x v="10"/>
  </r>
  <r>
    <x v="4"/>
  </r>
  <r>
    <x v="126"/>
  </r>
  <r>
    <x v="10"/>
  </r>
  <r>
    <x v="10"/>
  </r>
  <r>
    <x v="10"/>
  </r>
  <r>
    <x v="4"/>
  </r>
  <r>
    <x v="12"/>
  </r>
  <r>
    <x v="12"/>
  </r>
  <r>
    <x v="12"/>
  </r>
  <r>
    <x v="12"/>
  </r>
  <r>
    <x v="12"/>
  </r>
  <r>
    <x v="12"/>
  </r>
  <r>
    <x v="7"/>
  </r>
  <r>
    <x v="12"/>
  </r>
  <r>
    <x v="7"/>
  </r>
  <r>
    <x v="7"/>
  </r>
  <r>
    <x v="42"/>
  </r>
  <r>
    <x v="12"/>
  </r>
  <r>
    <x v="12"/>
  </r>
  <r>
    <x v="12"/>
  </r>
  <r>
    <x v="12"/>
  </r>
  <r>
    <x v="36"/>
  </r>
  <r>
    <x v="36"/>
  </r>
  <r>
    <x v="12"/>
  </r>
  <r>
    <x v="77"/>
  </r>
  <r>
    <x v="10"/>
  </r>
  <r>
    <x v="55"/>
  </r>
  <r>
    <x v="86"/>
  </r>
  <r>
    <x v="45"/>
  </r>
  <r>
    <x v="45"/>
  </r>
  <r>
    <x v="114"/>
  </r>
  <r>
    <x v="114"/>
  </r>
  <r>
    <x v="10"/>
  </r>
  <r>
    <x v="12"/>
  </r>
  <r>
    <x v="12"/>
  </r>
  <r>
    <x v="12"/>
  </r>
  <r>
    <x v="12"/>
  </r>
  <r>
    <x v="276"/>
  </r>
  <r>
    <x v="12"/>
  </r>
  <r>
    <x v="12"/>
  </r>
  <r>
    <x v="12"/>
  </r>
  <r>
    <x v="12"/>
  </r>
  <r>
    <x v="4"/>
  </r>
  <r>
    <x v="14"/>
  </r>
  <r>
    <x v="14"/>
  </r>
  <r>
    <x v="14"/>
  </r>
  <r>
    <x v="14"/>
  </r>
  <r>
    <x v="14"/>
  </r>
  <r>
    <x v="14"/>
  </r>
  <r>
    <x v="14"/>
  </r>
  <r>
    <x v="10"/>
  </r>
  <r>
    <x v="4"/>
  </r>
  <r>
    <x v="10"/>
  </r>
  <r>
    <x v="10"/>
  </r>
  <r>
    <x v="9"/>
  </r>
  <r>
    <x v="8"/>
  </r>
  <r>
    <x v="10"/>
  </r>
  <r>
    <x v="126"/>
  </r>
  <r>
    <x v="10"/>
  </r>
  <r>
    <x v="10"/>
  </r>
  <r>
    <x v="10"/>
  </r>
  <r>
    <x v="10"/>
  </r>
  <r>
    <x v="10"/>
  </r>
  <r>
    <x v="10"/>
  </r>
  <r>
    <x v="10"/>
  </r>
  <r>
    <x v="0"/>
  </r>
  <r>
    <x v="4"/>
  </r>
  <r>
    <x v="115"/>
  </r>
  <r>
    <x v="7"/>
  </r>
  <r>
    <x v="4"/>
  </r>
  <r>
    <x v="7"/>
  </r>
  <r>
    <x v="126"/>
  </r>
  <r>
    <x v="10"/>
  </r>
  <r>
    <x v="80"/>
  </r>
  <r>
    <x v="42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10"/>
  </r>
  <r>
    <x v="4"/>
  </r>
  <r>
    <x v="10"/>
  </r>
  <r>
    <x v="10"/>
  </r>
  <r>
    <x v="4"/>
  </r>
  <r>
    <x v="4"/>
  </r>
  <r>
    <x v="10"/>
  </r>
  <r>
    <x v="4"/>
  </r>
  <r>
    <x v="4"/>
  </r>
  <r>
    <x v="10"/>
  </r>
  <r>
    <x v="10"/>
  </r>
  <r>
    <x v="4"/>
  </r>
  <r>
    <x v="4"/>
  </r>
  <r>
    <x v="10"/>
  </r>
  <r>
    <x v="2"/>
  </r>
  <r>
    <x v="2"/>
  </r>
  <r>
    <x v="10"/>
  </r>
  <r>
    <x v="10"/>
  </r>
  <r>
    <x v="10"/>
  </r>
  <r>
    <x v="10"/>
  </r>
  <r>
    <x v="0"/>
  </r>
  <r>
    <x v="0"/>
  </r>
  <r>
    <x v="0"/>
  </r>
  <r>
    <x v="170"/>
  </r>
  <r>
    <x v="10"/>
  </r>
  <r>
    <x v="170"/>
  </r>
  <r>
    <x v="10"/>
  </r>
  <r>
    <x v="12"/>
  </r>
  <r>
    <x v="2"/>
  </r>
  <r>
    <x v="86"/>
  </r>
  <r>
    <x v="165"/>
  </r>
  <r>
    <x v="12"/>
  </r>
  <r>
    <x v="12"/>
  </r>
  <r>
    <x v="12"/>
  </r>
  <r>
    <x v="12"/>
  </r>
  <r>
    <x v="12"/>
  </r>
  <r>
    <x v="2"/>
  </r>
  <r>
    <x v="77"/>
  </r>
  <r>
    <x v="4"/>
  </r>
  <r>
    <x v="4"/>
  </r>
  <r>
    <x v="4"/>
  </r>
  <r>
    <x v="4"/>
  </r>
  <r>
    <x v="4"/>
  </r>
  <r>
    <x v="130"/>
  </r>
  <r>
    <x v="8"/>
  </r>
  <r>
    <x v="10"/>
  </r>
  <r>
    <x v="10"/>
  </r>
  <r>
    <x v="10"/>
  </r>
  <r>
    <x v="22"/>
  </r>
  <r>
    <x v="111"/>
  </r>
  <r>
    <x v="30"/>
  </r>
  <r>
    <x v="14"/>
  </r>
  <r>
    <x v="14"/>
  </r>
  <r>
    <x v="28"/>
  </r>
  <r>
    <x v="28"/>
  </r>
  <r>
    <x v="30"/>
  </r>
  <r>
    <x v="14"/>
  </r>
  <r>
    <x v="14"/>
  </r>
  <r>
    <x v="29"/>
  </r>
  <r>
    <x v="3"/>
  </r>
  <r>
    <x v="30"/>
  </r>
  <r>
    <x v="10"/>
  </r>
  <r>
    <x v="10"/>
  </r>
  <r>
    <x v="10"/>
  </r>
  <r>
    <x v="10"/>
  </r>
  <r>
    <x v="7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115"/>
  </r>
  <r>
    <x v="115"/>
  </r>
  <r>
    <x v="115"/>
  </r>
  <r>
    <x v="115"/>
  </r>
  <r>
    <x v="10"/>
  </r>
  <r>
    <x v="19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85"/>
  </r>
  <r>
    <x v="10"/>
  </r>
  <r>
    <x v="10"/>
  </r>
  <r>
    <x v="10"/>
  </r>
  <r>
    <x v="10"/>
  </r>
  <r>
    <x v="10"/>
  </r>
  <r>
    <x v="10"/>
  </r>
  <r>
    <x v="10"/>
  </r>
  <r>
    <x v="10"/>
  </r>
  <r>
    <x v="56"/>
  </r>
  <r>
    <x v="56"/>
  </r>
  <r>
    <x v="56"/>
  </r>
  <r>
    <x v="10"/>
  </r>
  <r>
    <x v="10"/>
  </r>
  <r>
    <x v="10"/>
  </r>
  <r>
    <x v="77"/>
  </r>
  <r>
    <x v="10"/>
  </r>
  <r>
    <x v="10"/>
  </r>
  <r>
    <x v="10"/>
  </r>
  <r>
    <x v="10"/>
  </r>
  <r>
    <x v="10"/>
  </r>
  <r>
    <x v="2"/>
  </r>
  <r>
    <x v="10"/>
  </r>
  <r>
    <x v="77"/>
  </r>
  <r>
    <x v="0"/>
  </r>
  <r>
    <x v="0"/>
  </r>
  <r>
    <x v="0"/>
  </r>
  <r>
    <x v="0"/>
  </r>
  <r>
    <x v="0"/>
  </r>
  <r>
    <x v="0"/>
  </r>
  <r>
    <x v="2"/>
  </r>
  <r>
    <x v="77"/>
  </r>
  <r>
    <x v="126"/>
  </r>
  <r>
    <x v="0"/>
  </r>
  <r>
    <x v="2"/>
  </r>
  <r>
    <x v="42"/>
  </r>
  <r>
    <x v="0"/>
  </r>
  <r>
    <x v="0"/>
  </r>
  <r>
    <x v="6"/>
  </r>
  <r>
    <x v="86"/>
  </r>
  <r>
    <x v="86"/>
  </r>
  <r>
    <x v="10"/>
  </r>
  <r>
    <x v="10"/>
  </r>
  <r>
    <x v="10"/>
  </r>
  <r>
    <x v="42"/>
  </r>
  <r>
    <x v="42"/>
  </r>
  <r>
    <x v="11"/>
  </r>
  <r>
    <x v="10"/>
  </r>
  <r>
    <x v="80"/>
  </r>
  <r>
    <x v="10"/>
  </r>
  <r>
    <x v="14"/>
  </r>
  <r>
    <x v="14"/>
  </r>
  <r>
    <x v="10"/>
  </r>
  <r>
    <x v="4"/>
  </r>
  <r>
    <x v="4"/>
  </r>
  <r>
    <x v="138"/>
  </r>
  <r>
    <x v="2"/>
  </r>
  <r>
    <x v="2"/>
  </r>
  <r>
    <x v="87"/>
  </r>
  <r>
    <x v="72"/>
  </r>
  <r>
    <x v="42"/>
  </r>
  <r>
    <x v="123"/>
  </r>
  <r>
    <x v="42"/>
  </r>
  <r>
    <x v="10"/>
  </r>
  <r>
    <x v="12"/>
  </r>
  <r>
    <x v="42"/>
  </r>
  <r>
    <x v="10"/>
  </r>
  <r>
    <x v="4"/>
  </r>
  <r>
    <x v="10"/>
  </r>
  <r>
    <x v="81"/>
  </r>
  <r>
    <x v="12"/>
  </r>
  <r>
    <x v="42"/>
  </r>
  <r>
    <x v="10"/>
  </r>
  <r>
    <x v="4"/>
  </r>
  <r>
    <x v="108"/>
  </r>
  <r>
    <x v="4"/>
  </r>
  <r>
    <x v="10"/>
  </r>
  <r>
    <x v="4"/>
  </r>
  <r>
    <x v="4"/>
  </r>
  <r>
    <x v="10"/>
  </r>
  <r>
    <x v="12"/>
  </r>
  <r>
    <x v="0"/>
  </r>
  <r>
    <x v="0"/>
  </r>
  <r>
    <x v="0"/>
  </r>
  <r>
    <x v="115"/>
  </r>
  <r>
    <x v="115"/>
  </r>
  <r>
    <x v="115"/>
  </r>
  <r>
    <x v="115"/>
  </r>
  <r>
    <x v="71"/>
  </r>
  <r>
    <x v="115"/>
  </r>
  <r>
    <x v="87"/>
  </r>
  <r>
    <x v="21"/>
  </r>
  <r>
    <x v="21"/>
  </r>
  <r>
    <x v="72"/>
  </r>
  <r>
    <x v="72"/>
  </r>
  <r>
    <x v="89"/>
  </r>
  <r>
    <x v="28"/>
  </r>
  <r>
    <x v="4"/>
  </r>
  <r>
    <x v="22"/>
  </r>
  <r>
    <x v="21"/>
  </r>
  <r>
    <x v="4"/>
  </r>
  <r>
    <x v="14"/>
  </r>
  <r>
    <x v="16"/>
  </r>
  <r>
    <x v="21"/>
  </r>
  <r>
    <x v="42"/>
  </r>
  <r>
    <x v="15"/>
  </r>
  <r>
    <x v="42"/>
  </r>
  <r>
    <x v="77"/>
  </r>
  <r>
    <x v="14"/>
  </r>
  <r>
    <x v="4"/>
  </r>
  <r>
    <x v="10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65"/>
  </r>
  <r>
    <x v="10"/>
  </r>
  <r>
    <x v="10"/>
  </r>
  <r>
    <x v="10"/>
  </r>
  <r>
    <x v="77"/>
  </r>
  <r>
    <x v="126"/>
  </r>
  <r>
    <x v="126"/>
  </r>
  <r>
    <x v="126"/>
  </r>
  <r>
    <x v="126"/>
  </r>
  <r>
    <x v="4"/>
  </r>
  <r>
    <x v="165"/>
  </r>
  <r>
    <x v="165"/>
  </r>
  <r>
    <x v="4"/>
  </r>
  <r>
    <x v="4"/>
  </r>
  <r>
    <x v="4"/>
  </r>
  <r>
    <x v="4"/>
  </r>
  <r>
    <x v="0"/>
  </r>
  <r>
    <x v="165"/>
  </r>
  <r>
    <x v="4"/>
  </r>
  <r>
    <x v="4"/>
  </r>
  <r>
    <x v="165"/>
  </r>
  <r>
    <x v="4"/>
  </r>
  <r>
    <x v="4"/>
  </r>
  <r>
    <x v="22"/>
  </r>
  <r>
    <x v="114"/>
  </r>
  <r>
    <x v="4"/>
  </r>
  <r>
    <x v="9"/>
  </r>
  <r>
    <x v="0"/>
  </r>
  <r>
    <x v="4"/>
  </r>
  <r>
    <x v="4"/>
  </r>
  <r>
    <x v="0"/>
  </r>
  <r>
    <x v="28"/>
  </r>
  <r>
    <x v="4"/>
  </r>
  <r>
    <x v="4"/>
  </r>
  <r>
    <x v="14"/>
  </r>
  <r>
    <x v="15"/>
  </r>
  <r>
    <x v="108"/>
  </r>
  <r>
    <x v="108"/>
  </r>
  <r>
    <x v="0"/>
  </r>
  <r>
    <x v="108"/>
  </r>
  <r>
    <x v="108"/>
  </r>
  <r>
    <x v="42"/>
  </r>
  <r>
    <x v="4"/>
  </r>
  <r>
    <x v="4"/>
  </r>
  <r>
    <x v="10"/>
  </r>
  <r>
    <x v="155"/>
  </r>
  <r>
    <x v="10"/>
  </r>
  <r>
    <x v="10"/>
  </r>
  <r>
    <x v="112"/>
  </r>
  <r>
    <x v="4"/>
  </r>
  <r>
    <x v="10"/>
  </r>
  <r>
    <x v="4"/>
  </r>
  <r>
    <x v="10"/>
  </r>
  <r>
    <x v="12"/>
  </r>
  <r>
    <x v="10"/>
  </r>
  <r>
    <x v="12"/>
  </r>
  <r>
    <x v="10"/>
  </r>
  <r>
    <x v="126"/>
  </r>
  <r>
    <x v="76"/>
  </r>
  <r>
    <x v="4"/>
  </r>
  <r>
    <x v="14"/>
  </r>
  <r>
    <x v="10"/>
  </r>
  <r>
    <x v="10"/>
  </r>
  <r>
    <x v="10"/>
  </r>
  <r>
    <x v="10"/>
  </r>
  <r>
    <x v="4"/>
  </r>
  <r>
    <x v="10"/>
  </r>
  <r>
    <x v="87"/>
  </r>
  <r>
    <x v="10"/>
  </r>
  <r>
    <x v="10"/>
  </r>
  <r>
    <x v="10"/>
  </r>
  <r>
    <x v="54"/>
  </r>
  <r>
    <x v="26"/>
  </r>
  <r>
    <x v="126"/>
  </r>
  <r>
    <x v="0"/>
  </r>
  <r>
    <x v="126"/>
  </r>
  <r>
    <x v="10"/>
  </r>
  <r>
    <x v="10"/>
  </r>
  <r>
    <x v="10"/>
  </r>
  <r>
    <x v="10"/>
  </r>
  <r>
    <x v="10"/>
  </r>
  <r>
    <x v="10"/>
  </r>
  <r>
    <x v="28"/>
  </r>
  <r>
    <x v="31"/>
  </r>
  <r>
    <x v="165"/>
  </r>
  <r>
    <x v="162"/>
  </r>
  <r>
    <x v="1"/>
  </r>
  <r>
    <x v="28"/>
  </r>
  <r>
    <x v="80"/>
  </r>
  <r>
    <x v="80"/>
  </r>
  <r>
    <x v="71"/>
  </r>
  <r>
    <x v="34"/>
  </r>
  <r>
    <x v="16"/>
  </r>
  <r>
    <x v="108"/>
  </r>
  <r>
    <x v="108"/>
  </r>
  <r>
    <x v="4"/>
  </r>
  <r>
    <x v="77"/>
  </r>
  <r>
    <x v="108"/>
  </r>
  <r>
    <x v="126"/>
  </r>
  <r>
    <x v="10"/>
  </r>
  <r>
    <x v="6"/>
  </r>
  <r>
    <x v="10"/>
  </r>
  <r>
    <x v="10"/>
  </r>
  <r>
    <x v="10"/>
  </r>
  <r>
    <x v="4"/>
  </r>
  <r>
    <x v="123"/>
  </r>
  <r>
    <x v="12"/>
  </r>
  <r>
    <x v="16"/>
  </r>
  <r>
    <x v="25"/>
  </r>
  <r>
    <x v="15"/>
  </r>
  <r>
    <x v="0"/>
  </r>
  <r>
    <x v="17"/>
  </r>
  <r>
    <x v="48"/>
  </r>
  <r>
    <x v="4"/>
  </r>
  <r>
    <x v="15"/>
  </r>
  <r>
    <x v="56"/>
  </r>
  <r>
    <x v="15"/>
  </r>
  <r>
    <x v="22"/>
  </r>
  <r>
    <x v="22"/>
  </r>
  <r>
    <x v="12"/>
  </r>
  <r>
    <x v="16"/>
  </r>
  <r>
    <x v="53"/>
  </r>
  <r>
    <x v="4"/>
  </r>
  <r>
    <x v="4"/>
  </r>
  <r>
    <x v="4"/>
  </r>
  <r>
    <x v="161"/>
  </r>
  <r>
    <x v="10"/>
  </r>
  <r>
    <x v="10"/>
  </r>
  <r>
    <x v="10"/>
  </r>
  <r>
    <x v="10"/>
  </r>
  <r>
    <x v="10"/>
  </r>
  <r>
    <x v="42"/>
  </r>
  <r>
    <x v="40"/>
  </r>
  <r>
    <x v="51"/>
  </r>
  <r>
    <x v="4"/>
  </r>
  <r>
    <x v="4"/>
  </r>
  <r>
    <x v="4"/>
  </r>
  <r>
    <x v="4"/>
  </r>
  <r>
    <x v="4"/>
  </r>
  <r>
    <x v="4"/>
  </r>
  <r>
    <x v="4"/>
  </r>
  <r>
    <x v="0"/>
  </r>
  <r>
    <x v="165"/>
  </r>
  <r>
    <x v="165"/>
  </r>
  <r>
    <x v="4"/>
  </r>
  <r>
    <x v="4"/>
  </r>
  <r>
    <x v="4"/>
  </r>
  <r>
    <x v="87"/>
  </r>
  <r>
    <x v="188"/>
  </r>
  <r>
    <x v="108"/>
  </r>
  <r>
    <x v="165"/>
  </r>
  <r>
    <x v="165"/>
  </r>
  <r>
    <x v="165"/>
  </r>
  <r>
    <x v="165"/>
  </r>
  <r>
    <x v="10"/>
  </r>
  <r>
    <x v="4"/>
  </r>
  <r>
    <x v="51"/>
  </r>
  <r>
    <x v="28"/>
  </r>
  <r>
    <x v="14"/>
  </r>
  <r>
    <x v="28"/>
  </r>
  <r>
    <x v="28"/>
  </r>
  <r>
    <x v="165"/>
  </r>
  <r>
    <x v="1"/>
  </r>
  <r>
    <x v="138"/>
  </r>
  <r>
    <x v="276"/>
  </r>
  <r>
    <x v="138"/>
  </r>
  <r>
    <x v="4"/>
  </r>
  <r>
    <x v="138"/>
  </r>
  <r>
    <x v="138"/>
  </r>
  <r>
    <x v="138"/>
  </r>
  <r>
    <x v="4"/>
  </r>
  <r>
    <x v="138"/>
  </r>
  <r>
    <x v="138"/>
  </r>
  <r>
    <x v="175"/>
  </r>
  <r>
    <x v="10"/>
  </r>
  <r>
    <x v="2"/>
  </r>
  <r>
    <x v="2"/>
  </r>
  <r>
    <x v="36"/>
  </r>
  <r>
    <x v="12"/>
  </r>
  <r>
    <x v="12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65"/>
  </r>
  <r>
    <x v="72"/>
  </r>
  <r>
    <x v="42"/>
  </r>
  <r>
    <x v="123"/>
  </r>
  <r>
    <x v="42"/>
  </r>
  <r>
    <x v="42"/>
  </r>
  <r>
    <x v="42"/>
  </r>
  <r>
    <x v="42"/>
  </r>
  <r>
    <x v="12"/>
  </r>
  <r>
    <x v="42"/>
  </r>
  <r>
    <x v="50"/>
  </r>
  <r>
    <x v="53"/>
  </r>
  <r>
    <x v="42"/>
  </r>
  <r>
    <x v="53"/>
  </r>
  <r>
    <x v="53"/>
  </r>
  <r>
    <x v="42"/>
  </r>
  <r>
    <x v="42"/>
  </r>
  <r>
    <x v="42"/>
  </r>
  <r>
    <x v="42"/>
  </r>
  <r>
    <x v="42"/>
  </r>
  <r>
    <x v="12"/>
  </r>
  <r>
    <x v="42"/>
  </r>
  <r>
    <x v="42"/>
  </r>
  <r>
    <x v="42"/>
  </r>
  <r>
    <x v="42"/>
  </r>
  <r>
    <x v="0"/>
  </r>
  <r>
    <x v="138"/>
  </r>
  <r>
    <x v="138"/>
  </r>
  <r>
    <x v="42"/>
  </r>
  <r>
    <x v="42"/>
  </r>
  <r>
    <x v="42"/>
  </r>
  <r>
    <x v="42"/>
  </r>
  <r>
    <x v="10"/>
  </r>
  <r>
    <x v="48"/>
  </r>
  <r>
    <x v="10"/>
  </r>
  <r>
    <x v="10"/>
  </r>
  <r>
    <x v="10"/>
  </r>
  <r>
    <x v="76"/>
  </r>
  <r>
    <x v="22"/>
  </r>
  <r>
    <x v="126"/>
  </r>
  <r>
    <x v="126"/>
  </r>
  <r>
    <x v="10"/>
  </r>
  <r>
    <x v="126"/>
  </r>
  <r>
    <x v="126"/>
  </r>
  <r>
    <x v="126"/>
  </r>
  <r>
    <x v="10"/>
  </r>
  <r>
    <x v="4"/>
  </r>
  <r>
    <x v="45"/>
  </r>
  <r>
    <x v="8"/>
  </r>
  <r>
    <x v="4"/>
  </r>
  <r>
    <x v="4"/>
  </r>
  <r>
    <x v="7"/>
  </r>
  <r>
    <x v="4"/>
  </r>
  <r>
    <x v="77"/>
  </r>
  <r>
    <x v="10"/>
  </r>
  <r>
    <x v="10"/>
  </r>
  <r>
    <x v="4"/>
  </r>
  <r>
    <x v="37"/>
  </r>
  <r>
    <x v="10"/>
  </r>
  <r>
    <x v="4"/>
  </r>
  <r>
    <x v="10"/>
  </r>
  <r>
    <x v="4"/>
  </r>
  <r>
    <x v="4"/>
  </r>
  <r>
    <x v="10"/>
  </r>
  <r>
    <x v="4"/>
  </r>
  <r>
    <x v="10"/>
  </r>
  <r>
    <x v="10"/>
  </r>
  <r>
    <x v="10"/>
  </r>
  <r>
    <x v="28"/>
  </r>
  <r>
    <x v="4"/>
  </r>
  <r>
    <x v="4"/>
  </r>
  <r>
    <x v="4"/>
  </r>
  <r>
    <x v="4"/>
  </r>
  <r>
    <x v="10"/>
  </r>
  <r>
    <x v="87"/>
  </r>
  <r>
    <x v="87"/>
  </r>
  <r>
    <x v="87"/>
  </r>
  <r>
    <x v="87"/>
  </r>
  <r>
    <x v="122"/>
  </r>
  <r>
    <x v="26"/>
  </r>
  <r>
    <x v="10"/>
  </r>
  <r>
    <x v="4"/>
  </r>
  <r>
    <x v="87"/>
  </r>
  <r>
    <x v="87"/>
  </r>
  <r>
    <x v="87"/>
  </r>
  <r>
    <x v="87"/>
  </r>
  <r>
    <x v="87"/>
  </r>
  <r>
    <x v="22"/>
  </r>
  <r>
    <x v="4"/>
  </r>
  <r>
    <x v="4"/>
  </r>
  <r>
    <x v="59"/>
  </r>
  <r>
    <x v="4"/>
  </r>
  <r>
    <x v="4"/>
  </r>
  <r>
    <x v="12"/>
  </r>
  <r>
    <x v="156"/>
  </r>
  <r>
    <x v="123"/>
  </r>
  <r>
    <x v="10"/>
  </r>
  <r>
    <x v="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2"/>
  </r>
  <r>
    <x v="79"/>
  </r>
  <r>
    <x v="5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4"/>
  </r>
  <r>
    <x v="24"/>
  </r>
  <r>
    <x v="24"/>
  </r>
  <r>
    <x v="24"/>
  </r>
  <r>
    <x v="4"/>
  </r>
  <r>
    <x v="4"/>
  </r>
  <r>
    <x v="4"/>
  </r>
  <r>
    <x v="10"/>
  </r>
  <r>
    <x v="4"/>
  </r>
  <r>
    <x v="4"/>
  </r>
  <r>
    <x v="123"/>
  </r>
  <r>
    <x v="4"/>
  </r>
  <r>
    <x v="4"/>
  </r>
  <r>
    <x v="4"/>
  </r>
  <r>
    <x v="4"/>
  </r>
  <r>
    <x v="12"/>
  </r>
  <r>
    <x v="4"/>
  </r>
  <r>
    <x v="10"/>
  </r>
  <r>
    <x v="10"/>
  </r>
  <r>
    <x v="10"/>
  </r>
  <r>
    <x v="10"/>
  </r>
  <r>
    <x v="10"/>
  </r>
  <r>
    <x v="108"/>
  </r>
  <r>
    <x v="31"/>
  </r>
  <r>
    <x v="36"/>
  </r>
  <r>
    <x v="36"/>
  </r>
  <r>
    <x v="36"/>
  </r>
  <r>
    <x v="36"/>
  </r>
  <r>
    <x v="10"/>
  </r>
  <r>
    <x v="12"/>
  </r>
  <r>
    <x v="12"/>
  </r>
  <r>
    <x v="4"/>
  </r>
  <r>
    <x v="12"/>
  </r>
  <r>
    <x v="87"/>
  </r>
  <r>
    <x v="87"/>
  </r>
  <r>
    <x v="87"/>
  </r>
  <r>
    <x v="87"/>
  </r>
  <r>
    <x v="86"/>
  </r>
  <r>
    <x v="12"/>
  </r>
  <r>
    <x v="87"/>
  </r>
  <r>
    <x v="86"/>
  </r>
  <r>
    <x v="4"/>
  </r>
  <r>
    <x v="86"/>
  </r>
  <r>
    <x v="86"/>
  </r>
  <r>
    <x v="36"/>
  </r>
  <r>
    <x v="12"/>
  </r>
  <r>
    <x v="86"/>
  </r>
  <r>
    <x v="86"/>
  </r>
  <r>
    <x v="86"/>
  </r>
  <r>
    <x v="129"/>
  </r>
  <r>
    <x v="86"/>
  </r>
  <r>
    <x v="12"/>
  </r>
  <r>
    <x v="36"/>
  </r>
  <r>
    <x v="12"/>
  </r>
  <r>
    <x v="12"/>
  </r>
  <r>
    <x v="12"/>
  </r>
  <r>
    <x v="36"/>
  </r>
  <r>
    <x v="36"/>
  </r>
  <r>
    <x v="12"/>
  </r>
  <r>
    <x v="36"/>
  </r>
  <r>
    <x v="36"/>
  </r>
  <r>
    <x v="12"/>
  </r>
  <r>
    <x v="42"/>
  </r>
  <r>
    <x v="42"/>
  </r>
  <r>
    <x v="36"/>
  </r>
  <r>
    <x v="36"/>
  </r>
  <r>
    <x v="80"/>
  </r>
  <r>
    <x v="0"/>
  </r>
  <r>
    <x v="12"/>
  </r>
  <r>
    <x v="36"/>
  </r>
  <r>
    <x v="12"/>
  </r>
  <r>
    <x v="36"/>
  </r>
  <r>
    <x v="1"/>
  </r>
  <r>
    <x v="4"/>
  </r>
  <r>
    <x v="126"/>
  </r>
  <r>
    <x v="126"/>
  </r>
  <r>
    <x v="10"/>
  </r>
  <r>
    <x v="12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7"/>
  </r>
  <r>
    <x v="10"/>
  </r>
  <r>
    <x v="138"/>
  </r>
  <r>
    <x v="138"/>
  </r>
  <r>
    <x v="234"/>
  </r>
  <r>
    <x v="138"/>
  </r>
  <r>
    <x v="138"/>
  </r>
  <r>
    <x v="138"/>
  </r>
  <r>
    <x v="10"/>
  </r>
  <r>
    <x v="10"/>
  </r>
  <r>
    <x v="10"/>
  </r>
  <r>
    <x v="10"/>
  </r>
  <r>
    <x v="10"/>
  </r>
  <r>
    <x v="56"/>
  </r>
  <r>
    <x v="14"/>
  </r>
  <r>
    <x v="14"/>
  </r>
  <r>
    <x v="14"/>
  </r>
  <r>
    <x v="14"/>
  </r>
  <r>
    <x v="14"/>
  </r>
  <r>
    <x v="14"/>
  </r>
  <r>
    <x v="14"/>
  </r>
  <r>
    <x v="14"/>
  </r>
  <r>
    <x v="24"/>
  </r>
  <r>
    <x v="24"/>
  </r>
  <r>
    <x v="24"/>
  </r>
  <r>
    <x v="108"/>
  </r>
  <r>
    <x v="108"/>
  </r>
  <r>
    <x v="77"/>
  </r>
  <r>
    <x v="45"/>
  </r>
  <r>
    <x v="45"/>
  </r>
  <r>
    <x v="45"/>
  </r>
  <r>
    <x v="9"/>
  </r>
  <r>
    <x v="7"/>
  </r>
  <r>
    <x v="7"/>
  </r>
  <r>
    <x v="7"/>
  </r>
  <r>
    <x v="7"/>
  </r>
  <r>
    <x v="100"/>
  </r>
  <r>
    <x v="42"/>
  </r>
  <r>
    <x v="4"/>
  </r>
  <r>
    <x v="4"/>
  </r>
  <r>
    <x v="4"/>
  </r>
  <r>
    <x v="12"/>
  </r>
  <r>
    <x v="4"/>
  </r>
  <r>
    <x v="4"/>
  </r>
  <r>
    <x v="14"/>
  </r>
  <r>
    <x v="4"/>
  </r>
  <r>
    <x v="16"/>
  </r>
  <r>
    <x v="4"/>
  </r>
  <r>
    <x v="22"/>
  </r>
  <r>
    <x v="10"/>
  </r>
  <r>
    <x v="10"/>
  </r>
  <r>
    <x v="10"/>
  </r>
  <r>
    <x v="10"/>
  </r>
  <r>
    <x v="25"/>
  </r>
  <r>
    <x v="25"/>
  </r>
  <r>
    <x v="76"/>
  </r>
  <r>
    <x v="264"/>
  </r>
  <r>
    <x v="10"/>
  </r>
  <r>
    <x v="4"/>
  </r>
  <r>
    <x v="4"/>
  </r>
  <r>
    <x v="4"/>
  </r>
  <r>
    <x v="10"/>
  </r>
  <r>
    <x v="9"/>
  </r>
  <r>
    <x v="10"/>
  </r>
  <r>
    <x v="10"/>
  </r>
  <r>
    <x v="10"/>
  </r>
  <r>
    <x v="4"/>
  </r>
  <r>
    <x v="10"/>
  </r>
  <r>
    <x v="4"/>
  </r>
  <r>
    <x v="10"/>
  </r>
  <r>
    <x v="10"/>
  </r>
  <r>
    <x v="138"/>
  </r>
  <r>
    <x v="4"/>
  </r>
  <r>
    <x v="4"/>
  </r>
  <r>
    <x v="4"/>
  </r>
  <r>
    <x v="4"/>
  </r>
  <r>
    <x v="12"/>
  </r>
  <r>
    <x v="12"/>
  </r>
  <r>
    <x v="12"/>
  </r>
  <r>
    <x v="77"/>
  </r>
  <r>
    <x v="276"/>
  </r>
  <r>
    <x v="30"/>
  </r>
  <r>
    <x v="12"/>
  </r>
  <r>
    <x v="12"/>
  </r>
  <r>
    <x v="71"/>
  </r>
  <r>
    <x v="71"/>
  </r>
  <r>
    <x v="71"/>
  </r>
  <r>
    <x v="12"/>
  </r>
  <r>
    <x v="12"/>
  </r>
  <r>
    <x v="12"/>
  </r>
  <r>
    <x v="36"/>
  </r>
  <r>
    <x v="12"/>
  </r>
  <r>
    <x v="0"/>
  </r>
  <r>
    <x v="1"/>
  </r>
  <r>
    <x v="28"/>
  </r>
  <r>
    <x v="4"/>
  </r>
  <r>
    <x v="28"/>
  </r>
  <r>
    <x v="4"/>
  </r>
  <r>
    <x v="4"/>
  </r>
  <r>
    <x v="7"/>
  </r>
  <r>
    <x v="7"/>
  </r>
  <r>
    <x v="10"/>
  </r>
  <r>
    <x v="86"/>
  </r>
  <r>
    <x v="51"/>
  </r>
  <r>
    <x v="17"/>
  </r>
  <r>
    <x v="10"/>
  </r>
  <r>
    <x v="10"/>
  </r>
  <r>
    <x v="10"/>
  </r>
  <r>
    <x v="61"/>
  </r>
  <r>
    <x v="4"/>
  </r>
  <r>
    <x v="39"/>
  </r>
  <r>
    <x v="14"/>
  </r>
  <r>
    <x v="14"/>
  </r>
  <r>
    <x v="16"/>
  </r>
  <r>
    <x v="52"/>
  </r>
  <r>
    <x v="14"/>
  </r>
  <r>
    <x v="14"/>
  </r>
  <r>
    <x v="68"/>
  </r>
  <r>
    <x v="0"/>
  </r>
  <r>
    <x v="10"/>
  </r>
  <r>
    <x v="123"/>
  </r>
  <r>
    <x v="4"/>
  </r>
  <r>
    <x v="64"/>
  </r>
  <r>
    <x v="26"/>
  </r>
  <r>
    <x v="76"/>
  </r>
  <r>
    <x v="76"/>
  </r>
  <r>
    <x v="175"/>
  </r>
  <r>
    <x v="175"/>
  </r>
  <r>
    <x v="4"/>
  </r>
  <r>
    <x v="48"/>
  </r>
  <r>
    <x v="0"/>
  </r>
  <r>
    <x v="12"/>
  </r>
  <r>
    <x v="2"/>
  </r>
  <r>
    <x v="16"/>
  </r>
  <r>
    <x v="64"/>
  </r>
  <r>
    <x v="26"/>
  </r>
  <r>
    <x v="51"/>
  </r>
  <r>
    <x v="51"/>
  </r>
  <r>
    <x v="81"/>
  </r>
  <r>
    <x v="0"/>
  </r>
  <r>
    <x v="9"/>
  </r>
  <r>
    <x v="86"/>
  </r>
  <r>
    <x v="3"/>
  </r>
  <r>
    <x v="10"/>
  </r>
  <r>
    <x v="71"/>
  </r>
  <r>
    <x v="71"/>
  </r>
  <r>
    <x v="115"/>
  </r>
  <r>
    <x v="57"/>
  </r>
  <r>
    <x v="86"/>
  </r>
  <r>
    <x v="115"/>
  </r>
  <r>
    <x v="26"/>
  </r>
  <r>
    <x v="10"/>
  </r>
  <r>
    <x v="12"/>
  </r>
  <r>
    <x v="31"/>
  </r>
  <r>
    <x v="37"/>
  </r>
  <r>
    <x v="21"/>
  </r>
  <r>
    <x v="12"/>
  </r>
  <r>
    <x v="126"/>
  </r>
  <r>
    <x v="72"/>
  </r>
  <r>
    <x v="7"/>
  </r>
  <r>
    <x v="4"/>
  </r>
  <r>
    <x v="4"/>
  </r>
  <r>
    <x v="4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10"/>
  </r>
  <r>
    <x v="10"/>
  </r>
  <r>
    <x v="10"/>
  </r>
  <r>
    <x v="10"/>
  </r>
  <r>
    <x v="10"/>
  </r>
  <r>
    <x v="10"/>
  </r>
  <r>
    <x v="4"/>
  </r>
  <r>
    <x v="10"/>
  </r>
  <r>
    <x v="26"/>
  </r>
  <r>
    <x v="52"/>
  </r>
  <r>
    <x v="28"/>
  </r>
  <r>
    <x v="48"/>
  </r>
  <r>
    <x v="14"/>
  </r>
  <r>
    <x v="16"/>
  </r>
  <r>
    <x v="123"/>
  </r>
  <r>
    <x v="108"/>
  </r>
  <r>
    <x v="4"/>
  </r>
  <r>
    <x v="77"/>
  </r>
  <r>
    <x v="36"/>
  </r>
  <r>
    <x v="36"/>
  </r>
  <r>
    <x v="0"/>
  </r>
  <r>
    <x v="0"/>
  </r>
  <r>
    <x v="10"/>
  </r>
  <r>
    <x v="0"/>
  </r>
  <r>
    <x v="14"/>
  </r>
  <r>
    <x v="0"/>
  </r>
  <r>
    <x v="56"/>
  </r>
  <r>
    <x v="56"/>
  </r>
  <r>
    <x v="56"/>
  </r>
  <r>
    <x v="53"/>
  </r>
  <r>
    <x v="56"/>
  </r>
  <r>
    <x v="56"/>
  </r>
  <r>
    <x v="19"/>
  </r>
  <r>
    <x v="25"/>
  </r>
  <r>
    <x v="126"/>
  </r>
  <r>
    <x v="1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14"/>
  </r>
  <r>
    <x v="4"/>
  </r>
  <r>
    <x v="28"/>
  </r>
  <r>
    <x v="4"/>
  </r>
  <r>
    <x v="165"/>
  </r>
  <r>
    <x v="165"/>
  </r>
  <r>
    <x v="165"/>
  </r>
  <r>
    <x v="165"/>
  </r>
  <r>
    <x v="4"/>
  </r>
  <r>
    <x v="10"/>
  </r>
  <r>
    <x v="10"/>
  </r>
  <r>
    <x v="10"/>
  </r>
  <r>
    <x v="10"/>
  </r>
  <r>
    <x v="4"/>
  </r>
  <r>
    <x v="10"/>
  </r>
  <r>
    <x v="12"/>
  </r>
  <r>
    <x v="4"/>
  </r>
  <r>
    <x v="10"/>
  </r>
  <r>
    <x v="4"/>
  </r>
  <r>
    <x v="12"/>
  </r>
  <r>
    <x v="10"/>
  </r>
  <r>
    <x v="15"/>
  </r>
  <r>
    <x v="4"/>
  </r>
  <r>
    <x v="10"/>
  </r>
  <r>
    <x v="10"/>
  </r>
  <r>
    <x v="4"/>
  </r>
  <r>
    <x v="4"/>
  </r>
  <r>
    <x v="10"/>
  </r>
  <r>
    <x v="10"/>
  </r>
  <r>
    <x v="4"/>
  </r>
  <r>
    <x v="4"/>
  </r>
  <r>
    <x v="10"/>
  </r>
  <r>
    <x v="10"/>
  </r>
  <r>
    <x v="10"/>
  </r>
  <r>
    <x v="10"/>
  </r>
  <r>
    <x v="31"/>
  </r>
  <r>
    <x v="10"/>
  </r>
  <r>
    <x v="138"/>
  </r>
  <r>
    <x v="10"/>
  </r>
  <r>
    <x v="10"/>
  </r>
  <r>
    <x v="10"/>
  </r>
  <r>
    <x v="28"/>
  </r>
  <r>
    <x v="28"/>
  </r>
  <r>
    <x v="87"/>
  </r>
  <r>
    <x v="77"/>
  </r>
  <r>
    <x v="77"/>
  </r>
  <r>
    <x v="16"/>
  </r>
  <r>
    <x v="77"/>
  </r>
  <r>
    <x v="16"/>
  </r>
  <r>
    <x v="87"/>
  </r>
  <r>
    <x v="4"/>
  </r>
  <r>
    <x v="4"/>
  </r>
  <r>
    <x v="10"/>
  </r>
  <r>
    <x v="175"/>
  </r>
  <r>
    <x v="4"/>
  </r>
  <r>
    <x v="175"/>
  </r>
  <r>
    <x v="12"/>
  </r>
  <r>
    <x v="12"/>
  </r>
  <r>
    <x v="175"/>
  </r>
  <r>
    <x v="12"/>
  </r>
  <r>
    <x v="234"/>
  </r>
  <r>
    <x v="175"/>
  </r>
  <r>
    <x v="175"/>
  </r>
  <r>
    <x v="24"/>
  </r>
  <r>
    <x v="11"/>
  </r>
  <r>
    <x v="12"/>
  </r>
  <r>
    <x v="12"/>
  </r>
  <r>
    <x v="12"/>
  </r>
  <r>
    <x v="12"/>
  </r>
  <r>
    <x v="12"/>
  </r>
  <r>
    <x v="87"/>
  </r>
  <r>
    <x v="87"/>
  </r>
  <r>
    <x v="12"/>
  </r>
  <r>
    <x v="87"/>
  </r>
  <r>
    <x v="87"/>
  </r>
  <r>
    <x v="123"/>
  </r>
  <r>
    <x v="123"/>
  </r>
  <r>
    <x v="123"/>
  </r>
  <r>
    <x v="123"/>
  </r>
  <r>
    <x v="4"/>
  </r>
  <r>
    <x v="6"/>
  </r>
  <r>
    <x v="52"/>
  </r>
  <r>
    <x v="123"/>
  </r>
  <r>
    <x v="78"/>
  </r>
  <r>
    <x v="123"/>
  </r>
  <r>
    <x v="123"/>
  </r>
  <r>
    <x v="123"/>
  </r>
  <r>
    <x v="24"/>
  </r>
  <r>
    <x v="78"/>
  </r>
  <r>
    <x v="78"/>
  </r>
  <r>
    <x v="78"/>
  </r>
  <r>
    <x v="78"/>
  </r>
  <r>
    <x v="78"/>
  </r>
  <r>
    <x v="12"/>
  </r>
  <r>
    <x v="78"/>
  </r>
  <r>
    <x v="78"/>
  </r>
  <r>
    <x v="29"/>
  </r>
  <r>
    <x v="78"/>
  </r>
  <r>
    <x v="33"/>
  </r>
  <r>
    <x v="78"/>
  </r>
  <r>
    <x v="141"/>
  </r>
  <r>
    <x v="28"/>
  </r>
  <r>
    <x v="22"/>
  </r>
  <r>
    <x v="28"/>
  </r>
  <r>
    <x v="42"/>
  </r>
  <r>
    <x v="45"/>
  </r>
  <r>
    <x v="12"/>
  </r>
  <r>
    <x v="12"/>
  </r>
  <r>
    <x v="10"/>
  </r>
  <r>
    <x v="57"/>
  </r>
  <r>
    <x v="4"/>
  </r>
  <r>
    <x v="27"/>
  </r>
  <r>
    <x v="4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7"/>
  </r>
  <r>
    <x v="144"/>
  </r>
  <r>
    <x v="10"/>
  </r>
  <r>
    <x v="42"/>
  </r>
  <r>
    <x v="42"/>
  </r>
  <r>
    <x v="12"/>
  </r>
  <r>
    <x v="12"/>
  </r>
  <r>
    <x v="12"/>
  </r>
  <r>
    <x v="12"/>
  </r>
  <r>
    <x v="2"/>
  </r>
  <r>
    <x v="77"/>
  </r>
  <r>
    <x v="4"/>
  </r>
  <r>
    <x v="4"/>
  </r>
  <r>
    <x v="4"/>
  </r>
  <r>
    <x v="4"/>
  </r>
  <r>
    <x v="4"/>
  </r>
  <r>
    <x v="87"/>
  </r>
  <r>
    <x v="28"/>
  </r>
  <r>
    <x v="87"/>
  </r>
  <r>
    <x v="43"/>
  </r>
  <r>
    <x v="87"/>
  </r>
  <r>
    <x v="87"/>
  </r>
  <r>
    <x v="87"/>
  </r>
  <r>
    <x v="10"/>
  </r>
  <r>
    <x v="4"/>
  </r>
  <r>
    <x v="4"/>
  </r>
  <r>
    <x v="10"/>
  </r>
  <r>
    <x v="10"/>
  </r>
  <r>
    <x v="10"/>
  </r>
  <r>
    <x v="4"/>
  </r>
  <r>
    <x v="4"/>
  </r>
  <r>
    <x v="10"/>
  </r>
  <r>
    <x v="10"/>
  </r>
  <r>
    <x v="77"/>
  </r>
  <r>
    <x v="77"/>
  </r>
  <r>
    <x v="36"/>
  </r>
  <r>
    <x v="36"/>
  </r>
  <r>
    <x v="36"/>
  </r>
  <r>
    <x v="36"/>
  </r>
  <r>
    <x v="12"/>
  </r>
  <r>
    <x v="36"/>
  </r>
  <r>
    <x v="36"/>
  </r>
  <r>
    <x v="3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87"/>
  </r>
  <r>
    <x v="87"/>
  </r>
  <r>
    <x v="87"/>
  </r>
  <r>
    <x v="12"/>
  </r>
  <r>
    <x v="36"/>
  </r>
  <r>
    <x v="12"/>
  </r>
  <r>
    <x v="36"/>
  </r>
  <r>
    <x v="36"/>
  </r>
  <r>
    <x v="36"/>
  </r>
  <r>
    <x v="36"/>
  </r>
  <r>
    <x v="12"/>
  </r>
  <r>
    <x v="36"/>
  </r>
  <r>
    <x v="12"/>
  </r>
  <r>
    <x v="36"/>
  </r>
  <r>
    <x v="9"/>
  </r>
  <r>
    <x v="10"/>
  </r>
  <r>
    <x v="87"/>
  </r>
  <r>
    <x v="87"/>
  </r>
  <r>
    <x v="87"/>
  </r>
  <r>
    <x v="36"/>
  </r>
  <r>
    <x v="87"/>
  </r>
  <r>
    <x v="52"/>
  </r>
  <r>
    <x v="87"/>
  </r>
  <r>
    <x v="56"/>
  </r>
  <r>
    <x v="87"/>
  </r>
  <r>
    <x v="63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2"/>
  </r>
  <r>
    <x v="77"/>
  </r>
  <r>
    <x v="77"/>
  </r>
  <r>
    <x v="2"/>
  </r>
  <r>
    <x v="10"/>
  </r>
  <r>
    <x v="33"/>
  </r>
  <r>
    <x v="10"/>
  </r>
  <r>
    <x v="4"/>
  </r>
  <r>
    <x v="12"/>
  </r>
  <r>
    <x v="12"/>
  </r>
  <r>
    <x v="12"/>
  </r>
  <r>
    <x v="12"/>
  </r>
  <r>
    <x v="12"/>
  </r>
  <r>
    <x v="12"/>
  </r>
  <r>
    <x v="12"/>
  </r>
  <r>
    <x v="89"/>
  </r>
  <r>
    <x v="89"/>
  </r>
  <r>
    <x v="12"/>
  </r>
  <r>
    <x v="115"/>
  </r>
  <r>
    <x v="11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57"/>
  </r>
  <r>
    <x v="4"/>
  </r>
  <r>
    <x v="50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8"/>
  </r>
  <r>
    <x v="4"/>
  </r>
  <r>
    <x v="123"/>
  </r>
  <r>
    <x v="123"/>
  </r>
  <r>
    <x v="123"/>
  </r>
  <r>
    <x v="123"/>
  </r>
  <r>
    <x v="123"/>
  </r>
  <r>
    <x v="123"/>
  </r>
  <r>
    <x v="17"/>
  </r>
  <r>
    <x v="48"/>
  </r>
  <r>
    <x v="4"/>
  </r>
  <r>
    <x v="4"/>
  </r>
  <r>
    <x v="4"/>
  </r>
  <r>
    <x v="4"/>
  </r>
  <r>
    <x v="10"/>
  </r>
  <r>
    <x v="77"/>
  </r>
  <r>
    <x v="154"/>
  </r>
  <r>
    <x v="7"/>
  </r>
  <r>
    <x v="3"/>
  </r>
  <r>
    <x v="7"/>
  </r>
  <r>
    <x v="161"/>
  </r>
  <r>
    <x v="7"/>
  </r>
  <r>
    <x v="7"/>
  </r>
  <r>
    <x v="14"/>
  </r>
  <r>
    <x v="122"/>
  </r>
  <r>
    <x v="14"/>
  </r>
  <r>
    <x v="25"/>
  </r>
  <r>
    <x v="25"/>
  </r>
  <r>
    <x v="25"/>
  </r>
  <r>
    <x v="4"/>
  </r>
  <r>
    <x v="126"/>
  </r>
  <r>
    <x v="123"/>
  </r>
  <r>
    <x v="123"/>
  </r>
  <r>
    <x v="10"/>
  </r>
  <r>
    <x v="29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78"/>
  </r>
  <r>
    <x v="78"/>
  </r>
  <r>
    <x v="78"/>
  </r>
  <r>
    <x v="22"/>
  </r>
  <r>
    <x v="78"/>
  </r>
  <r>
    <x v="78"/>
  </r>
  <r>
    <x v="78"/>
  </r>
  <r>
    <x v="22"/>
  </r>
  <r>
    <x v="131"/>
  </r>
  <r>
    <x v="43"/>
  </r>
  <r>
    <x v="43"/>
  </r>
  <r>
    <x v="131"/>
  </r>
  <r>
    <x v="7"/>
  </r>
  <r>
    <x v="11"/>
  </r>
  <r>
    <x v="11"/>
  </r>
  <r>
    <x v="10"/>
  </r>
  <r>
    <x v="11"/>
  </r>
  <r>
    <x v="11"/>
  </r>
  <r>
    <x v="55"/>
  </r>
  <r>
    <x v="14"/>
  </r>
  <r>
    <x v="28"/>
  </r>
  <r>
    <x v="28"/>
  </r>
  <r>
    <x v="17"/>
  </r>
  <r>
    <x v="17"/>
  </r>
  <r>
    <x v="0"/>
  </r>
  <r>
    <x v="10"/>
  </r>
  <r>
    <x v="10"/>
  </r>
  <r>
    <x v="7"/>
  </r>
  <r>
    <x v="7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12"/>
  </r>
  <r>
    <x v="10"/>
  </r>
  <r>
    <x v="10"/>
  </r>
  <r>
    <x v="123"/>
  </r>
  <r>
    <x v="4"/>
  </r>
  <r>
    <x v="12"/>
  </r>
  <r>
    <x v="12"/>
  </r>
  <r>
    <x v="12"/>
  </r>
  <r>
    <x v="4"/>
  </r>
  <r>
    <x v="0"/>
  </r>
  <r>
    <x v="4"/>
  </r>
  <r>
    <x v="127"/>
  </r>
  <r>
    <x v="1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36"/>
  </r>
  <r>
    <x v="36"/>
  </r>
  <r>
    <x v="36"/>
  </r>
  <r>
    <x v="72"/>
  </r>
  <r>
    <x v="87"/>
  </r>
  <r>
    <x v="12"/>
  </r>
  <r>
    <x v="81"/>
  </r>
  <r>
    <x v="42"/>
  </r>
  <r>
    <x v="81"/>
  </r>
  <r>
    <x v="42"/>
  </r>
  <r>
    <x v="42"/>
  </r>
  <r>
    <x v="42"/>
  </r>
  <r>
    <x v="12"/>
  </r>
  <r>
    <x v="42"/>
  </r>
  <r>
    <x v="87"/>
  </r>
  <r>
    <x v="7"/>
  </r>
  <r>
    <x v="4"/>
  </r>
  <r>
    <x v="10"/>
  </r>
  <r>
    <x v="48"/>
  </r>
  <r>
    <x v="4"/>
  </r>
  <r>
    <x v="4"/>
  </r>
  <r>
    <x v="10"/>
  </r>
  <r>
    <x v="10"/>
  </r>
  <r>
    <x v="4"/>
  </r>
  <r>
    <x v="10"/>
  </r>
  <r>
    <x v="4"/>
  </r>
  <r>
    <x v="4"/>
  </r>
  <r>
    <x v="4"/>
  </r>
  <r>
    <x v="4"/>
  </r>
  <r>
    <x v="42"/>
  </r>
  <r>
    <x v="12"/>
  </r>
  <r>
    <x v="12"/>
  </r>
  <r>
    <x v="10"/>
  </r>
  <r>
    <x v="14"/>
  </r>
  <r>
    <x v="31"/>
  </r>
  <r>
    <x v="16"/>
  </r>
  <r>
    <x v="4"/>
  </r>
  <r>
    <x v="4"/>
  </r>
  <r>
    <x v="14"/>
  </r>
  <r>
    <x v="10"/>
  </r>
  <r>
    <x v="10"/>
  </r>
  <r>
    <x v="12"/>
  </r>
  <r>
    <x v="10"/>
  </r>
  <r>
    <x v="10"/>
  </r>
  <r>
    <x v="33"/>
  </r>
  <r>
    <x v="63"/>
  </r>
  <r>
    <x v="10"/>
  </r>
  <r>
    <x v="10"/>
  </r>
  <r>
    <x v="10"/>
  </r>
  <r>
    <x v="10"/>
  </r>
  <r>
    <x v="128"/>
  </r>
  <r>
    <x v="128"/>
  </r>
  <r>
    <x v="128"/>
  </r>
  <r>
    <x v="115"/>
  </r>
  <r>
    <x v="10"/>
  </r>
  <r>
    <x v="8"/>
  </r>
  <r>
    <x v="14"/>
  </r>
  <r>
    <x v="108"/>
  </r>
  <r>
    <x v="8"/>
  </r>
  <r>
    <x v="12"/>
  </r>
  <r>
    <x v="4"/>
  </r>
  <r>
    <x v="4"/>
  </r>
  <r>
    <x v="4"/>
  </r>
  <r>
    <x v="4"/>
  </r>
  <r>
    <x v="130"/>
  </r>
  <r>
    <x v="6"/>
  </r>
  <r>
    <x v="4"/>
  </r>
  <r>
    <x v="4"/>
  </r>
  <r>
    <x v="10"/>
  </r>
  <r>
    <x v="4"/>
  </r>
  <r>
    <x v="55"/>
  </r>
  <r>
    <x v="14"/>
  </r>
  <r>
    <x v="14"/>
  </r>
  <r>
    <x v="12"/>
  </r>
  <r>
    <x v="129"/>
  </r>
  <r>
    <x v="0"/>
  </r>
  <r>
    <x v="63"/>
  </r>
  <r>
    <x v="50"/>
  </r>
  <r>
    <x v="19"/>
  </r>
  <r>
    <x v="0"/>
  </r>
  <r>
    <x v="7"/>
  </r>
  <r>
    <x v="16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12"/>
  </r>
  <r>
    <x v="10"/>
  </r>
  <r>
    <x v="10"/>
  </r>
  <r>
    <x v="68"/>
  </r>
  <r>
    <x v="27"/>
  </r>
  <r>
    <x v="27"/>
  </r>
  <r>
    <x v="28"/>
  </r>
  <r>
    <x v="4"/>
  </r>
  <r>
    <x v="4"/>
  </r>
  <r>
    <x v="0"/>
  </r>
  <r>
    <x v="115"/>
  </r>
  <r>
    <x v="115"/>
  </r>
  <r>
    <x v="115"/>
  </r>
  <r>
    <x v="115"/>
  </r>
  <r>
    <x v="115"/>
  </r>
  <r>
    <x v="115"/>
  </r>
  <r>
    <x v="115"/>
  </r>
  <r>
    <x v="115"/>
  </r>
  <r>
    <x v="10"/>
  </r>
  <r>
    <x v="10"/>
  </r>
  <r>
    <x v="10"/>
  </r>
  <r>
    <x v="10"/>
  </r>
  <r>
    <x v="10"/>
  </r>
  <r>
    <x v="10"/>
  </r>
  <r>
    <x v="12"/>
  </r>
  <r>
    <x v="10"/>
  </r>
  <r>
    <x v="24"/>
  </r>
  <r>
    <x v="87"/>
  </r>
  <r>
    <x v="9"/>
  </r>
  <r>
    <x v="10"/>
  </r>
  <r>
    <x v="10"/>
  </r>
  <r>
    <x v="12"/>
  </r>
  <r>
    <x v="12"/>
  </r>
  <r>
    <x v="181"/>
  </r>
  <r>
    <x v="7"/>
  </r>
  <r>
    <x v="7"/>
  </r>
  <r>
    <x v="7"/>
  </r>
  <r>
    <x v="7"/>
  </r>
  <r>
    <x v="7"/>
  </r>
  <r>
    <x v="78"/>
  </r>
  <r>
    <x v="129"/>
  </r>
  <r>
    <x v="7"/>
  </r>
  <r>
    <x v="54"/>
  </r>
  <r>
    <x v="7"/>
  </r>
  <r>
    <x v="12"/>
  </r>
  <r>
    <x v="114"/>
  </r>
  <r>
    <x v="11"/>
  </r>
  <r>
    <x v="63"/>
  </r>
  <r>
    <x v="63"/>
  </r>
  <r>
    <x v="63"/>
  </r>
  <r>
    <x v="63"/>
  </r>
  <r>
    <x v="63"/>
  </r>
  <r>
    <x v="63"/>
  </r>
  <r>
    <x v="4"/>
  </r>
  <r>
    <x v="63"/>
  </r>
  <r>
    <x v="15"/>
  </r>
  <r>
    <x v="63"/>
  </r>
  <r>
    <x v="63"/>
  </r>
  <r>
    <x v="150"/>
  </r>
  <r>
    <x v="63"/>
  </r>
  <r>
    <x v="63"/>
  </r>
  <r>
    <x v="63"/>
  </r>
  <r>
    <x v="11"/>
  </r>
  <r>
    <x v="4"/>
  </r>
  <r>
    <x v="63"/>
  </r>
  <r>
    <x v="0"/>
  </r>
  <r>
    <x v="76"/>
  </r>
  <r>
    <x v="10"/>
  </r>
  <r>
    <x v="10"/>
  </r>
  <r>
    <x v="10"/>
  </r>
  <r>
    <x v="10"/>
  </r>
  <r>
    <x v="10"/>
  </r>
  <r>
    <x v="175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9"/>
  </r>
  <r>
    <x v="4"/>
  </r>
  <r>
    <x v="6"/>
  </r>
  <r>
    <x v="40"/>
  </r>
  <r>
    <x v="6"/>
  </r>
  <r>
    <x v="6"/>
  </r>
  <r>
    <x v="6"/>
  </r>
  <r>
    <x v="6"/>
  </r>
  <r>
    <x v="6"/>
  </r>
  <r>
    <x v="6"/>
  </r>
  <r>
    <x v="6"/>
  </r>
  <r>
    <x v="10"/>
  </r>
  <r>
    <x v="10"/>
  </r>
  <r>
    <x v="10"/>
  </r>
  <r>
    <x v="10"/>
  </r>
  <r>
    <x v="7"/>
  </r>
  <r>
    <x v="7"/>
  </r>
  <r>
    <x v="4"/>
  </r>
  <r>
    <x v="4"/>
  </r>
  <r>
    <x v="4"/>
  </r>
  <r>
    <x v="4"/>
  </r>
  <r>
    <x v="12"/>
  </r>
  <r>
    <x v="7"/>
  </r>
  <r>
    <x v="10"/>
  </r>
  <r>
    <x v="7"/>
  </r>
  <r>
    <x v="77"/>
  </r>
  <r>
    <x v="77"/>
  </r>
  <r>
    <x v="77"/>
  </r>
  <r>
    <x v="77"/>
  </r>
  <r>
    <x v="77"/>
  </r>
  <r>
    <x v="152"/>
  </r>
  <r>
    <x v="10"/>
  </r>
  <r>
    <x v="10"/>
  </r>
  <r>
    <x v="108"/>
  </r>
  <r>
    <x v="10"/>
  </r>
  <r>
    <x v="10"/>
  </r>
  <r>
    <x v="12"/>
  </r>
  <r>
    <x v="12"/>
  </r>
  <r>
    <x v="79"/>
  </r>
  <r>
    <x v="12"/>
  </r>
  <r>
    <x v="79"/>
  </r>
  <r>
    <x v="12"/>
  </r>
  <r>
    <x v="79"/>
  </r>
  <r>
    <x v="12"/>
  </r>
  <r>
    <x v="26"/>
  </r>
  <r>
    <x v="30"/>
  </r>
  <r>
    <x v="79"/>
  </r>
  <r>
    <x v="12"/>
  </r>
  <r>
    <x v="63"/>
  </r>
  <r>
    <x v="12"/>
  </r>
  <r>
    <x v="79"/>
  </r>
  <r>
    <x v="147"/>
  </r>
  <r>
    <x v="79"/>
  </r>
  <r>
    <x v="48"/>
  </r>
  <r>
    <x v="123"/>
  </r>
  <r>
    <x v="10"/>
  </r>
  <r>
    <x v="86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23"/>
  </r>
  <r>
    <x v="123"/>
  </r>
  <r>
    <x v="123"/>
  </r>
  <r>
    <x v="123"/>
  </r>
  <r>
    <x v="42"/>
  </r>
  <r>
    <x v="21"/>
  </r>
  <r>
    <x v="123"/>
  </r>
  <r>
    <x v="123"/>
  </r>
  <r>
    <x v="123"/>
  </r>
  <r>
    <x v="8"/>
  </r>
  <r>
    <x v="123"/>
  </r>
  <r>
    <x v="12"/>
  </r>
  <r>
    <x v="123"/>
  </r>
  <r>
    <x v="123"/>
  </r>
  <r>
    <x v="42"/>
  </r>
  <r>
    <x v="123"/>
  </r>
  <r>
    <x v="123"/>
  </r>
  <r>
    <x v="123"/>
  </r>
  <r>
    <x v="12"/>
  </r>
  <r>
    <x v="123"/>
  </r>
  <r>
    <x v="123"/>
  </r>
  <r>
    <x v="123"/>
  </r>
  <r>
    <x v="37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65"/>
  </r>
  <r>
    <x v="152"/>
  </r>
  <r>
    <x v="152"/>
  </r>
  <r>
    <x v="12"/>
  </r>
  <r>
    <x v="152"/>
  </r>
  <r>
    <x v="152"/>
  </r>
  <r>
    <x v="152"/>
  </r>
  <r>
    <x v="152"/>
  </r>
  <r>
    <x v="152"/>
  </r>
  <r>
    <x v="11"/>
  </r>
  <r>
    <x v="112"/>
  </r>
  <r>
    <x v="115"/>
  </r>
  <r>
    <x v="115"/>
  </r>
  <r>
    <x v="10"/>
  </r>
  <r>
    <x v="14"/>
  </r>
  <r>
    <x v="22"/>
  </r>
  <r>
    <x v="30"/>
  </r>
  <r>
    <x v="126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2"/>
  </r>
  <r>
    <x v="4"/>
  </r>
  <r>
    <x v="4"/>
  </r>
  <r>
    <x v="4"/>
  </r>
  <r>
    <x v="4"/>
  </r>
  <r>
    <x v="10"/>
  </r>
  <r>
    <x v="10"/>
  </r>
  <r>
    <x v="10"/>
  </r>
  <r>
    <x v="10"/>
  </r>
  <r>
    <x v="24"/>
  </r>
  <r>
    <x v="10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12"/>
  </r>
  <r>
    <x v="12"/>
  </r>
  <r>
    <x v="12"/>
  </r>
  <r>
    <x v="276"/>
  </r>
  <r>
    <x v="42"/>
  </r>
  <r>
    <x v="12"/>
  </r>
  <r>
    <x v="12"/>
  </r>
  <r>
    <x v="77"/>
  </r>
  <r>
    <x v="10"/>
  </r>
  <r>
    <x v="10"/>
  </r>
  <r>
    <x v="4"/>
  </r>
  <r>
    <x v="10"/>
  </r>
  <r>
    <x v="4"/>
  </r>
  <r>
    <x v="36"/>
  </r>
  <r>
    <x v="12"/>
  </r>
  <r>
    <x v="36"/>
  </r>
  <r>
    <x v="36"/>
  </r>
  <r>
    <x v="12"/>
  </r>
  <r>
    <x v="36"/>
  </r>
  <r>
    <x v="36"/>
  </r>
  <r>
    <x v="36"/>
  </r>
  <r>
    <x v="12"/>
  </r>
  <r>
    <x v="36"/>
  </r>
  <r>
    <x v="36"/>
  </r>
  <r>
    <x v="36"/>
  </r>
  <r>
    <x v="4"/>
  </r>
  <r>
    <x v="10"/>
  </r>
  <r>
    <x v="4"/>
  </r>
  <r>
    <x v="4"/>
  </r>
  <r>
    <x v="175"/>
  </r>
  <r>
    <x v="175"/>
  </r>
  <r>
    <x v="10"/>
  </r>
  <r>
    <x v="10"/>
  </r>
  <r>
    <x v="1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0"/>
  </r>
  <r>
    <x v="86"/>
  </r>
  <r>
    <x v="10"/>
  </r>
  <r>
    <x v="81"/>
  </r>
  <r>
    <x v="86"/>
  </r>
  <r>
    <x v="86"/>
  </r>
  <r>
    <x v="71"/>
  </r>
  <r>
    <x v="71"/>
  </r>
  <r>
    <x v="12"/>
  </r>
  <r>
    <x v="12"/>
  </r>
  <r>
    <x v="77"/>
  </r>
  <r>
    <x v="77"/>
  </r>
  <r>
    <x v="2"/>
  </r>
  <r>
    <x v="77"/>
  </r>
  <r>
    <x v="1"/>
  </r>
  <r>
    <x v="45"/>
  </r>
  <r>
    <x v="0"/>
  </r>
  <r>
    <x v="96"/>
  </r>
  <r>
    <x v="96"/>
  </r>
  <r>
    <x v="4"/>
  </r>
  <r>
    <x v="10"/>
  </r>
  <r>
    <x v="0"/>
  </r>
  <r>
    <x v="71"/>
  </r>
  <r>
    <x v="0"/>
  </r>
  <r>
    <x v="24"/>
  </r>
  <r>
    <x v="4"/>
  </r>
  <r>
    <x v="4"/>
  </r>
  <r>
    <x v="4"/>
  </r>
  <r>
    <x v="81"/>
  </r>
  <r>
    <x v="81"/>
  </r>
  <r>
    <x v="10"/>
  </r>
  <r>
    <x v="10"/>
  </r>
  <r>
    <x v="129"/>
  </r>
  <r>
    <x v="10"/>
  </r>
  <r>
    <x v="10"/>
  </r>
  <r>
    <x v="24"/>
  </r>
  <r>
    <x v="24"/>
  </r>
  <r>
    <x v="24"/>
  </r>
  <r>
    <x v="24"/>
  </r>
  <r>
    <x v="24"/>
  </r>
  <r>
    <x v="123"/>
  </r>
  <r>
    <x v="24"/>
  </r>
  <r>
    <x v="4"/>
  </r>
  <r>
    <x v="24"/>
  </r>
  <r>
    <x v="24"/>
  </r>
  <r>
    <x v="4"/>
  </r>
  <r>
    <x v="4"/>
  </r>
  <r>
    <x v="10"/>
  </r>
  <r>
    <x v="4"/>
  </r>
  <r>
    <x v="108"/>
  </r>
  <r>
    <x v="63"/>
  </r>
  <r>
    <x v="12"/>
  </r>
  <r>
    <x v="152"/>
  </r>
  <r>
    <x v="152"/>
  </r>
  <r>
    <x v="152"/>
  </r>
  <r>
    <x v="152"/>
  </r>
  <r>
    <x v="152"/>
  </r>
  <r>
    <x v="152"/>
  </r>
  <r>
    <x v="152"/>
  </r>
  <r>
    <x v="12"/>
  </r>
  <r>
    <x v="4"/>
  </r>
  <r>
    <x v="22"/>
  </r>
  <r>
    <x v="4"/>
  </r>
  <r>
    <x v="22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1"/>
  </r>
  <r>
    <x v="27"/>
  </r>
  <r>
    <x v="81"/>
  </r>
  <r>
    <x v="240"/>
  </r>
  <r>
    <x v="61"/>
  </r>
  <r>
    <x v="16"/>
  </r>
  <r>
    <x v="99"/>
  </r>
  <r>
    <x v="175"/>
  </r>
  <r>
    <x v="56"/>
  </r>
  <r>
    <x v="56"/>
  </r>
  <r>
    <x v="56"/>
  </r>
  <r>
    <x v="10"/>
  </r>
  <r>
    <x v="10"/>
  </r>
  <r>
    <x v="10"/>
  </r>
  <r>
    <x v="10"/>
  </r>
  <r>
    <x v="10"/>
  </r>
  <r>
    <x v="10"/>
  </r>
  <r>
    <x v="183"/>
  </r>
  <r>
    <x v="4"/>
  </r>
  <r>
    <x v="21"/>
  </r>
  <r>
    <x v="6"/>
  </r>
  <r>
    <x v="152"/>
  </r>
  <r>
    <x v="152"/>
  </r>
  <r>
    <x v="152"/>
  </r>
  <r>
    <x v="152"/>
  </r>
  <r>
    <x v="165"/>
  </r>
  <r>
    <x v="2"/>
  </r>
  <r>
    <x v="21"/>
  </r>
  <r>
    <x v="48"/>
  </r>
  <r>
    <x v="21"/>
  </r>
  <r>
    <x v="2"/>
  </r>
  <r>
    <x v="10"/>
  </r>
  <r>
    <x v="10"/>
  </r>
  <r>
    <x v="10"/>
  </r>
  <r>
    <x v="1"/>
  </r>
  <r>
    <x v="10"/>
  </r>
  <r>
    <x v="126"/>
  </r>
  <r>
    <x v="14"/>
  </r>
  <r>
    <x v="24"/>
  </r>
  <r>
    <x v="24"/>
  </r>
  <r>
    <x v="12"/>
  </r>
  <r>
    <x v="10"/>
  </r>
  <r>
    <x v="138"/>
  </r>
  <r>
    <x v="12"/>
  </r>
  <r>
    <x v="12"/>
  </r>
  <r>
    <x v="24"/>
  </r>
  <r>
    <x v="155"/>
  </r>
  <r>
    <x v="1"/>
  </r>
  <r>
    <x v="10"/>
  </r>
  <r>
    <x v="10"/>
  </r>
  <r>
    <x v="0"/>
  </r>
  <r>
    <x v="10"/>
  </r>
  <r>
    <x v="0"/>
  </r>
  <r>
    <x v="1"/>
  </r>
  <r>
    <x v="15"/>
  </r>
  <r>
    <x v="4"/>
  </r>
  <r>
    <x v="4"/>
  </r>
  <r>
    <x v="4"/>
  </r>
  <r>
    <x v="272"/>
  </r>
  <r>
    <x v="4"/>
  </r>
  <r>
    <x v="4"/>
  </r>
  <r>
    <x v="4"/>
  </r>
  <r>
    <x v="4"/>
  </r>
  <r>
    <x v="4"/>
  </r>
  <r>
    <x v="4"/>
  </r>
  <r>
    <x v="100"/>
  </r>
  <r>
    <x v="4"/>
  </r>
  <r>
    <x v="10"/>
  </r>
  <r>
    <x v="10"/>
  </r>
  <r>
    <x v="10"/>
  </r>
  <r>
    <x v="76"/>
  </r>
  <r>
    <x v="63"/>
  </r>
  <r>
    <x v="75"/>
  </r>
  <r>
    <x v="42"/>
  </r>
  <r>
    <x v="42"/>
  </r>
  <r>
    <x v="42"/>
  </r>
  <r>
    <x v="42"/>
  </r>
  <r>
    <x v="34"/>
  </r>
  <r>
    <x v="108"/>
  </r>
  <r>
    <x v="165"/>
  </r>
  <r>
    <x v="165"/>
  </r>
  <r>
    <x v="87"/>
  </r>
  <r>
    <x v="165"/>
  </r>
  <r>
    <x v="51"/>
  </r>
  <r>
    <x v="146"/>
  </r>
  <r>
    <x v="51"/>
  </r>
  <r>
    <x v="146"/>
  </r>
  <r>
    <x v="51"/>
  </r>
  <r>
    <x v="146"/>
  </r>
  <r>
    <x v="146"/>
  </r>
  <r>
    <x v="146"/>
  </r>
  <r>
    <x v="51"/>
  </r>
  <r>
    <x v="51"/>
  </r>
  <r>
    <x v="51"/>
  </r>
  <r>
    <x v="146"/>
  </r>
  <r>
    <x v="146"/>
  </r>
  <r>
    <x v="146"/>
  </r>
  <r>
    <x v="146"/>
  </r>
  <r>
    <x v="51"/>
  </r>
  <r>
    <x v="51"/>
  </r>
  <r>
    <x v="12"/>
  </r>
  <r>
    <x v="12"/>
  </r>
  <r>
    <x v="42"/>
  </r>
  <r>
    <x v="42"/>
  </r>
  <r>
    <x v="111"/>
  </r>
  <r>
    <x v="10"/>
  </r>
  <r>
    <x v="10"/>
  </r>
  <r>
    <x v="10"/>
  </r>
  <r>
    <x v="108"/>
  </r>
  <r>
    <x v="4"/>
  </r>
  <r>
    <x v="123"/>
  </r>
  <r>
    <x v="123"/>
  </r>
  <r>
    <x v="123"/>
  </r>
  <r>
    <x v="123"/>
  </r>
  <r>
    <x v="123"/>
  </r>
  <r>
    <x v="123"/>
  </r>
  <r>
    <x v="110"/>
  </r>
  <r>
    <x v="138"/>
  </r>
  <r>
    <x v="138"/>
  </r>
  <r>
    <x v="10"/>
  </r>
  <r>
    <x v="1"/>
  </r>
  <r>
    <x v="10"/>
  </r>
  <r>
    <x v="10"/>
  </r>
  <r>
    <x v="14"/>
  </r>
  <r>
    <x v="10"/>
  </r>
  <r>
    <x v="10"/>
  </r>
  <r>
    <x v="10"/>
  </r>
  <r>
    <x v="10"/>
  </r>
  <r>
    <x v="126"/>
  </r>
  <r>
    <x v="126"/>
  </r>
  <r>
    <x v="72"/>
  </r>
  <r>
    <x v="10"/>
  </r>
  <r>
    <x v="10"/>
  </r>
  <r>
    <x v="10"/>
  </r>
  <r>
    <x v="126"/>
  </r>
  <r>
    <x v="126"/>
  </r>
  <r>
    <x v="10"/>
  </r>
  <r>
    <x v="123"/>
  </r>
  <r>
    <x v="123"/>
  </r>
  <r>
    <x v="123"/>
  </r>
  <r>
    <x v="15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81"/>
  </r>
  <r>
    <x v="10"/>
  </r>
  <r>
    <x v="24"/>
  </r>
  <r>
    <x v="24"/>
  </r>
  <r>
    <x v="138"/>
  </r>
  <r>
    <x v="24"/>
  </r>
  <r>
    <x v="24"/>
  </r>
  <r>
    <x v="138"/>
  </r>
  <r>
    <x v="24"/>
  </r>
  <r>
    <x v="24"/>
  </r>
  <r>
    <x v="24"/>
  </r>
  <r>
    <x v="24"/>
  </r>
  <r>
    <x v="24"/>
  </r>
  <r>
    <x v="24"/>
  </r>
  <r>
    <x v="24"/>
  </r>
  <r>
    <x v="24"/>
  </r>
  <r>
    <x v="76"/>
  </r>
  <r>
    <x v="24"/>
  </r>
  <r>
    <x v="24"/>
  </r>
  <r>
    <x v="24"/>
  </r>
  <r>
    <x v="24"/>
  </r>
  <r>
    <x v="42"/>
  </r>
  <r>
    <x v="24"/>
  </r>
  <r>
    <x v="24"/>
  </r>
  <r>
    <x v="24"/>
  </r>
  <r>
    <x v="24"/>
  </r>
  <r>
    <x v="24"/>
  </r>
  <r>
    <x v="123"/>
  </r>
  <r>
    <x v="108"/>
  </r>
  <r>
    <x v="4"/>
  </r>
  <r>
    <x v="2"/>
  </r>
  <r>
    <x v="12"/>
  </r>
  <r>
    <x v="4"/>
  </r>
  <r>
    <x v="244"/>
  </r>
  <r>
    <x v="21"/>
  </r>
  <r>
    <x v="2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76"/>
  </r>
  <r>
    <x v="4"/>
  </r>
  <r>
    <x v="1"/>
  </r>
  <r>
    <x v="1"/>
  </r>
  <r>
    <x v="1"/>
  </r>
  <r>
    <x v="1"/>
  </r>
  <r>
    <x v="1"/>
  </r>
  <r>
    <x v="4"/>
  </r>
  <r>
    <x v="10"/>
  </r>
  <r>
    <x v="36"/>
  </r>
  <r>
    <x v="36"/>
  </r>
  <r>
    <x v="41"/>
  </r>
  <r>
    <x v="59"/>
  </r>
  <r>
    <x v="10"/>
  </r>
  <r>
    <x v="7"/>
  </r>
  <r>
    <x v="7"/>
  </r>
  <r>
    <x v="42"/>
  </r>
  <r>
    <x v="42"/>
  </r>
  <r>
    <x v="42"/>
  </r>
  <r>
    <x v="42"/>
  </r>
  <r>
    <x v="4"/>
  </r>
  <r>
    <x v="115"/>
  </r>
  <r>
    <x v="10"/>
  </r>
  <r>
    <x v="115"/>
  </r>
  <r>
    <x v="115"/>
  </r>
  <r>
    <x v="115"/>
  </r>
  <r>
    <x v="115"/>
  </r>
  <r>
    <x v="115"/>
  </r>
  <r>
    <x v="115"/>
  </r>
  <r>
    <x v="81"/>
  </r>
  <r>
    <x v="76"/>
  </r>
  <r>
    <x v="14"/>
  </r>
  <r>
    <x v="37"/>
  </r>
  <r>
    <x v="10"/>
  </r>
  <r>
    <x v="10"/>
  </r>
  <r>
    <x v="10"/>
  </r>
  <r>
    <x v="17"/>
  </r>
  <r>
    <x v="19"/>
  </r>
  <r>
    <x v="21"/>
  </r>
  <r>
    <x v="10"/>
  </r>
  <r>
    <x v="33"/>
  </r>
  <r>
    <x v="86"/>
  </r>
  <r>
    <x v="12"/>
  </r>
  <r>
    <x v="12"/>
  </r>
  <r>
    <x v="152"/>
  </r>
  <r>
    <x v="152"/>
  </r>
  <r>
    <x v="152"/>
  </r>
  <r>
    <x v="87"/>
  </r>
  <r>
    <x v="152"/>
  </r>
  <r>
    <x v="152"/>
  </r>
  <r>
    <x v="168"/>
  </r>
  <r>
    <x v="42"/>
  </r>
  <r>
    <x v="6"/>
  </r>
  <r>
    <x v="28"/>
  </r>
  <r>
    <x v="12"/>
  </r>
  <r>
    <x v="61"/>
  </r>
  <r>
    <x v="12"/>
  </r>
  <r>
    <x v="12"/>
  </r>
  <r>
    <x v="10"/>
  </r>
  <r>
    <x v="12"/>
  </r>
  <r>
    <x v="28"/>
  </r>
  <r>
    <x v="87"/>
  </r>
  <r>
    <x v="12"/>
  </r>
  <r>
    <x v="12"/>
  </r>
  <r>
    <x v="12"/>
  </r>
  <r>
    <x v="12"/>
  </r>
  <r>
    <x v="12"/>
  </r>
  <r>
    <x v="12"/>
  </r>
  <r>
    <x v="12"/>
  </r>
  <r>
    <x v="72"/>
  </r>
  <r>
    <x v="7"/>
  </r>
  <r>
    <x v="12"/>
  </r>
  <r>
    <x v="6"/>
  </r>
  <r>
    <x v="7"/>
  </r>
  <r>
    <x v="7"/>
  </r>
  <r>
    <x v="86"/>
  </r>
  <r>
    <x v="51"/>
  </r>
  <r>
    <x v="86"/>
  </r>
  <r>
    <x v="51"/>
  </r>
  <r>
    <x v="0"/>
  </r>
  <r>
    <x v="10"/>
  </r>
  <r>
    <x v="0"/>
  </r>
  <r>
    <x v="0"/>
  </r>
  <r>
    <x v="0"/>
  </r>
  <r>
    <x v="128"/>
  </r>
  <r>
    <x v="16"/>
  </r>
  <r>
    <x v="40"/>
  </r>
  <r>
    <x v="22"/>
  </r>
  <r>
    <x v="14"/>
  </r>
  <r>
    <x v="10"/>
  </r>
  <r>
    <x v="4"/>
  </r>
  <r>
    <x v="168"/>
  </r>
  <r>
    <x v="10"/>
  </r>
  <r>
    <x v="36"/>
  </r>
  <r>
    <x v="36"/>
  </r>
  <r>
    <x v="36"/>
  </r>
  <r>
    <x v="36"/>
  </r>
  <r>
    <x v="178"/>
  </r>
  <r>
    <x v="178"/>
  </r>
  <r>
    <x v="178"/>
  </r>
  <r>
    <x v="86"/>
  </r>
  <r>
    <x v="55"/>
  </r>
  <r>
    <x v="114"/>
  </r>
  <r>
    <x v="53"/>
  </r>
  <r>
    <x v="36"/>
  </r>
  <r>
    <x v="36"/>
  </r>
  <r>
    <x v="36"/>
  </r>
  <r>
    <x v="39"/>
  </r>
  <r>
    <x v="36"/>
  </r>
  <r>
    <x v="36"/>
  </r>
  <r>
    <x v="11"/>
  </r>
  <r>
    <x v="36"/>
  </r>
  <r>
    <x v="56"/>
  </r>
  <r>
    <x v="36"/>
  </r>
  <r>
    <x v="36"/>
  </r>
  <r>
    <x v="36"/>
  </r>
  <r>
    <x v="36"/>
  </r>
  <r>
    <x v="0"/>
  </r>
  <r>
    <x v="0"/>
  </r>
  <r>
    <x v="12"/>
  </r>
  <r>
    <x v="276"/>
  </r>
  <r>
    <x v="169"/>
  </r>
  <r>
    <x v="12"/>
  </r>
  <r>
    <x v="12"/>
  </r>
  <r>
    <x v="12"/>
  </r>
  <r>
    <x v="12"/>
  </r>
  <r>
    <x v="12"/>
  </r>
  <r>
    <x v="123"/>
  </r>
  <r>
    <x v="77"/>
  </r>
  <r>
    <x v="12"/>
  </r>
  <r>
    <x v="12"/>
  </r>
  <r>
    <x v="12"/>
  </r>
  <r>
    <x v="12"/>
  </r>
  <r>
    <x v="12"/>
  </r>
  <r>
    <x v="12"/>
  </r>
  <r>
    <x v="12"/>
  </r>
  <r>
    <x v="77"/>
  </r>
  <r>
    <x v="77"/>
  </r>
  <r>
    <x v="12"/>
  </r>
  <r>
    <x v="12"/>
  </r>
  <r>
    <x v="12"/>
  </r>
  <r>
    <x v="4"/>
  </r>
  <r>
    <x v="77"/>
  </r>
  <r>
    <x v="36"/>
  </r>
  <r>
    <x v="12"/>
  </r>
  <r>
    <x v="12"/>
  </r>
  <r>
    <x v="12"/>
  </r>
  <r>
    <x v="36"/>
  </r>
  <r>
    <x v="12"/>
  </r>
  <r>
    <x v="108"/>
  </r>
  <r>
    <x v="123"/>
  </r>
  <r>
    <x v="123"/>
  </r>
  <r>
    <x v="123"/>
  </r>
  <r>
    <x v="123"/>
  </r>
  <r>
    <x v="123"/>
  </r>
  <r>
    <x v="123"/>
  </r>
  <r>
    <x v="123"/>
  </r>
  <r>
    <x v="123"/>
  </r>
  <r>
    <x v="24"/>
  </r>
  <r>
    <x v="154"/>
  </r>
  <r>
    <x v="123"/>
  </r>
  <r>
    <x v="123"/>
  </r>
  <r>
    <x v="123"/>
  </r>
  <r>
    <x v="123"/>
  </r>
  <r>
    <x v="123"/>
  </r>
  <r>
    <x v="123"/>
  </r>
  <r>
    <x v="4"/>
  </r>
  <r>
    <x v="123"/>
  </r>
  <r>
    <x v="123"/>
  </r>
  <r>
    <x v="138"/>
  </r>
  <r>
    <x v="14"/>
  </r>
  <r>
    <x v="10"/>
  </r>
  <r>
    <x v="123"/>
  </r>
  <r>
    <x v="4"/>
  </r>
  <r>
    <x v="4"/>
  </r>
  <r>
    <x v="4"/>
  </r>
  <r>
    <x v="28"/>
  </r>
  <r>
    <x v="4"/>
  </r>
  <r>
    <x v="34"/>
  </r>
  <r>
    <x v="34"/>
  </r>
  <r>
    <x v="57"/>
  </r>
  <r>
    <x v="36"/>
  </r>
  <r>
    <x v="251"/>
  </r>
  <r>
    <x v="251"/>
  </r>
  <r>
    <x v="251"/>
  </r>
  <r>
    <x v="251"/>
  </r>
  <r>
    <x v="251"/>
  </r>
  <r>
    <x v="251"/>
  </r>
  <r>
    <x v="251"/>
  </r>
  <r>
    <x v="251"/>
  </r>
  <r>
    <x v="25"/>
  </r>
  <r>
    <x v="28"/>
  </r>
  <r>
    <x v="10"/>
  </r>
  <r>
    <x v="10"/>
  </r>
  <r>
    <x v="10"/>
  </r>
  <r>
    <x v="114"/>
  </r>
  <r>
    <x v="87"/>
  </r>
  <r>
    <x v="87"/>
  </r>
  <r>
    <x v="87"/>
  </r>
  <r>
    <x v="7"/>
  </r>
  <r>
    <x v="7"/>
  </r>
  <r>
    <x v="7"/>
  </r>
  <r>
    <x v="114"/>
  </r>
  <r>
    <x v="7"/>
  </r>
  <r>
    <x v="7"/>
  </r>
  <r>
    <x v="7"/>
  </r>
  <r>
    <x v="114"/>
  </r>
  <r>
    <x v="287"/>
  </r>
  <r>
    <x v="287"/>
  </r>
  <r>
    <x v="287"/>
  </r>
  <r>
    <x v="19"/>
  </r>
  <r>
    <x v="113"/>
  </r>
  <r>
    <x v="68"/>
  </r>
  <r>
    <x v="165"/>
  </r>
  <r>
    <x v="12"/>
  </r>
  <r>
    <x v="12"/>
  </r>
  <r>
    <x v="79"/>
  </r>
  <r>
    <x v="12"/>
  </r>
  <r>
    <x v="12"/>
  </r>
  <r>
    <x v="10"/>
  </r>
  <r>
    <x v="10"/>
  </r>
  <r>
    <x v="10"/>
  </r>
  <r>
    <x v="10"/>
  </r>
  <r>
    <x v="72"/>
  </r>
  <r>
    <x v="10"/>
  </r>
  <r>
    <x v="4"/>
  </r>
  <r>
    <x v="0"/>
  </r>
  <r>
    <x v="0"/>
  </r>
  <r>
    <x v="126"/>
  </r>
  <r>
    <x v="4"/>
  </r>
  <r>
    <x v="126"/>
  </r>
  <r>
    <x v="126"/>
  </r>
  <r>
    <x v="4"/>
  </r>
  <r>
    <x v="126"/>
  </r>
  <r>
    <x v="126"/>
  </r>
  <r>
    <x v="4"/>
  </r>
  <r>
    <x v="4"/>
  </r>
  <r>
    <x v="4"/>
  </r>
  <r>
    <x v="4"/>
  </r>
  <r>
    <x v="77"/>
  </r>
  <r>
    <x v="77"/>
  </r>
  <r>
    <x v="10"/>
  </r>
  <r>
    <x v="42"/>
  </r>
  <r>
    <x v="16"/>
  </r>
  <r>
    <x v="16"/>
  </r>
  <r>
    <x v="36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48"/>
  </r>
  <r>
    <x v="10"/>
  </r>
  <r>
    <x v="10"/>
  </r>
  <r>
    <x v="10"/>
  </r>
  <r>
    <x v="10"/>
  </r>
  <r>
    <x v="165"/>
  </r>
  <r>
    <x v="4"/>
  </r>
  <r>
    <x v="4"/>
  </r>
  <r>
    <x v="68"/>
  </r>
  <r>
    <x v="68"/>
  </r>
  <r>
    <x v="0"/>
  </r>
  <r>
    <x v="10"/>
  </r>
  <r>
    <x v="4"/>
  </r>
  <r>
    <x v="4"/>
  </r>
  <r>
    <x v="10"/>
  </r>
  <r>
    <x v="4"/>
  </r>
  <r>
    <x v="52"/>
  </r>
  <r>
    <x v="4"/>
  </r>
  <r>
    <x v="36"/>
  </r>
  <r>
    <x v="77"/>
  </r>
  <r>
    <x v="77"/>
  </r>
  <r>
    <x v="77"/>
  </r>
  <r>
    <x v="57"/>
  </r>
  <r>
    <x v="10"/>
  </r>
  <r>
    <x v="10"/>
  </r>
  <r>
    <x v="30"/>
  </r>
  <r>
    <x v="78"/>
  </r>
  <r>
    <x v="55"/>
  </r>
  <r>
    <x v="152"/>
  </r>
  <r>
    <x v="152"/>
  </r>
  <r>
    <x v="152"/>
  </r>
  <r>
    <x v="165"/>
  </r>
  <r>
    <x v="0"/>
  </r>
  <r>
    <x v="0"/>
  </r>
  <r>
    <x v="16"/>
  </r>
  <r>
    <x v="0"/>
  </r>
  <r>
    <x v="19"/>
  </r>
  <r>
    <x v="0"/>
  </r>
  <r>
    <x v="8"/>
  </r>
  <r>
    <x v="89"/>
  </r>
  <r>
    <x v="130"/>
  </r>
  <r>
    <x v="10"/>
  </r>
  <r>
    <x v="10"/>
  </r>
  <r>
    <x v="7"/>
  </r>
  <r>
    <x v="4"/>
  </r>
  <r>
    <x v="12"/>
  </r>
  <r>
    <x v="87"/>
  </r>
  <r>
    <x v="1"/>
  </r>
  <r>
    <x v="10"/>
  </r>
  <r>
    <x v="56"/>
  </r>
  <r>
    <x v="165"/>
  </r>
  <r>
    <x v="9"/>
  </r>
  <r>
    <x v="165"/>
  </r>
  <r>
    <x v="50"/>
  </r>
  <r>
    <x v="165"/>
  </r>
  <r>
    <x v="165"/>
  </r>
  <r>
    <x v="165"/>
  </r>
  <r>
    <x v="123"/>
  </r>
  <r>
    <x v="123"/>
  </r>
  <r>
    <x v="17"/>
  </r>
  <r>
    <x v="71"/>
  </r>
  <r>
    <x v="17"/>
  </r>
  <r>
    <x v="0"/>
  </r>
  <r>
    <x v="32"/>
  </r>
  <r>
    <x v="0"/>
  </r>
  <r>
    <x v="45"/>
  </r>
  <r>
    <x v="49"/>
  </r>
  <r>
    <x v="26"/>
  </r>
  <r>
    <x v="28"/>
  </r>
  <r>
    <x v="16"/>
  </r>
  <r>
    <x v="9"/>
  </r>
  <r>
    <x v="32"/>
  </r>
  <r>
    <x v="12"/>
  </r>
  <r>
    <x v="24"/>
  </r>
  <r>
    <x v="166"/>
  </r>
  <r>
    <x v="42"/>
  </r>
  <r>
    <x v="240"/>
  </r>
  <r>
    <x v="224"/>
  </r>
  <r>
    <x v="31"/>
  </r>
  <r>
    <x v="12"/>
  </r>
  <r>
    <x v="12"/>
  </r>
  <r>
    <x v="123"/>
  </r>
  <r>
    <x v="28"/>
  </r>
  <r>
    <x v="36"/>
  </r>
  <r>
    <x v="33"/>
  </r>
  <r>
    <x v="33"/>
  </r>
  <r>
    <x v="33"/>
  </r>
  <r>
    <x v="50"/>
  </r>
  <r>
    <x v="42"/>
  </r>
  <r>
    <x v="42"/>
  </r>
  <r>
    <x v="12"/>
  </r>
  <r>
    <x v="12"/>
  </r>
  <r>
    <x v="12"/>
  </r>
  <r>
    <x v="78"/>
  </r>
  <r>
    <x v="11"/>
  </r>
  <r>
    <x v="4"/>
  </r>
  <r>
    <x v="78"/>
  </r>
  <r>
    <x v="78"/>
  </r>
  <r>
    <x v="77"/>
  </r>
  <r>
    <x v="78"/>
  </r>
  <r>
    <x v="128"/>
  </r>
  <r>
    <x v="42"/>
  </r>
  <r>
    <x v="78"/>
  </r>
  <r>
    <x v="78"/>
  </r>
  <r>
    <x v="78"/>
  </r>
  <r>
    <x v="78"/>
  </r>
  <r>
    <x v="78"/>
  </r>
  <r>
    <x v="78"/>
  </r>
  <r>
    <x v="12"/>
  </r>
  <r>
    <x v="78"/>
  </r>
  <r>
    <x v="12"/>
  </r>
  <r>
    <x v="12"/>
  </r>
  <r>
    <x v="78"/>
  </r>
  <r>
    <x v="78"/>
  </r>
  <r>
    <x v="78"/>
  </r>
  <r>
    <x v="138"/>
  </r>
  <r>
    <x v="138"/>
  </r>
  <r>
    <x v="33"/>
  </r>
  <r>
    <x v="78"/>
  </r>
  <r>
    <x v="78"/>
  </r>
  <r>
    <x v="78"/>
  </r>
  <r>
    <x v="78"/>
  </r>
  <r>
    <x v="10"/>
  </r>
  <r>
    <x v="45"/>
  </r>
  <r>
    <x v="4"/>
  </r>
  <r>
    <x v="224"/>
  </r>
  <r>
    <x v="10"/>
  </r>
  <r>
    <x v="78"/>
  </r>
  <r>
    <x v="78"/>
  </r>
  <r>
    <x v="36"/>
  </r>
  <r>
    <x v="42"/>
  </r>
  <r>
    <x v="78"/>
  </r>
  <r>
    <x v="56"/>
  </r>
  <r>
    <x v="56"/>
  </r>
  <r>
    <x v="78"/>
  </r>
  <r>
    <x v="78"/>
  </r>
  <r>
    <x v="26"/>
  </r>
  <r>
    <x v="76"/>
  </r>
  <r>
    <x v="10"/>
  </r>
  <r>
    <x v="72"/>
  </r>
  <r>
    <x v="123"/>
  </r>
  <r>
    <x v="10"/>
  </r>
  <r>
    <x v="10"/>
  </r>
  <r>
    <x v="10"/>
  </r>
  <r>
    <x v="4"/>
  </r>
  <r>
    <x v="4"/>
  </r>
  <r>
    <x v="12"/>
  </r>
  <r>
    <x v="57"/>
  </r>
  <r>
    <x v="175"/>
  </r>
  <r>
    <x v="4"/>
  </r>
  <r>
    <x v="4"/>
  </r>
  <r>
    <x v="4"/>
  </r>
  <r>
    <x v="4"/>
  </r>
  <r>
    <x v="8"/>
  </r>
  <r>
    <x v="87"/>
  </r>
  <r>
    <x v="87"/>
  </r>
  <r>
    <x v="87"/>
  </r>
  <r>
    <x v="4"/>
  </r>
  <r>
    <x v="4"/>
  </r>
  <r>
    <x v="4"/>
  </r>
  <r>
    <x v="12"/>
  </r>
  <r>
    <x v="24"/>
  </r>
  <r>
    <x v="24"/>
  </r>
  <r>
    <x v="10"/>
  </r>
  <r>
    <x v="108"/>
  </r>
  <r>
    <x v="108"/>
  </r>
  <r>
    <x v="108"/>
  </r>
  <r>
    <x v="138"/>
  </r>
  <r>
    <x v="138"/>
  </r>
  <r>
    <x v="4"/>
  </r>
  <r>
    <x v="4"/>
  </r>
  <r>
    <x v="4"/>
  </r>
  <r>
    <x v="4"/>
  </r>
  <r>
    <x v="4"/>
  </r>
  <r>
    <x v="4"/>
  </r>
  <r>
    <x v="4"/>
  </r>
  <r>
    <x v="4"/>
  </r>
  <r>
    <x v="25"/>
  </r>
  <r>
    <x v="4"/>
  </r>
  <r>
    <x v="77"/>
  </r>
  <r>
    <x v="4"/>
  </r>
  <r>
    <x v="11"/>
  </r>
  <r>
    <x v="48"/>
  </r>
  <r>
    <x v="7"/>
  </r>
  <r>
    <x v="0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11"/>
  </r>
  <r>
    <x v="115"/>
  </r>
  <r>
    <x v="32"/>
  </r>
  <r>
    <x v="10"/>
  </r>
  <r>
    <x v="2"/>
  </r>
  <r>
    <x v="56"/>
  </r>
  <r>
    <x v="14"/>
  </r>
  <r>
    <x v="155"/>
  </r>
  <r>
    <x v="14"/>
  </r>
  <r>
    <x v="14"/>
  </r>
  <r>
    <x v="155"/>
  </r>
  <r>
    <x v="14"/>
  </r>
  <r>
    <x v="4"/>
  </r>
  <r>
    <x v="4"/>
  </r>
  <r>
    <x v="4"/>
  </r>
  <r>
    <x v="2"/>
  </r>
  <r>
    <x v="42"/>
  </r>
  <r>
    <x v="0"/>
  </r>
  <r>
    <x v="78"/>
  </r>
  <r>
    <x v="78"/>
  </r>
  <r>
    <x v="0"/>
  </r>
  <r>
    <x v="0"/>
  </r>
  <r>
    <x v="4"/>
  </r>
  <r>
    <x v="66"/>
  </r>
  <r>
    <x v="28"/>
  </r>
  <r>
    <x v="28"/>
  </r>
  <r>
    <x v="28"/>
  </r>
  <r>
    <x v="42"/>
  </r>
  <r>
    <x v="0"/>
  </r>
  <r>
    <x v="0"/>
  </r>
  <r>
    <x v="0"/>
  </r>
  <r>
    <x v="12"/>
  </r>
  <r>
    <x v="0"/>
  </r>
  <r>
    <x v="123"/>
  </r>
  <r>
    <x v="123"/>
  </r>
  <r>
    <x v="123"/>
  </r>
  <r>
    <x v="0"/>
  </r>
  <r>
    <x v="0"/>
  </r>
  <r>
    <x v="0"/>
  </r>
  <r>
    <x v="0"/>
  </r>
  <r>
    <x v="16"/>
  </r>
  <r>
    <x v="123"/>
  </r>
  <r>
    <x v="2"/>
  </r>
  <r>
    <x v="0"/>
  </r>
  <r>
    <x v="0"/>
  </r>
  <r>
    <x v="0"/>
  </r>
  <r>
    <x v="123"/>
  </r>
  <r>
    <x v="123"/>
  </r>
  <r>
    <x v="0"/>
  </r>
  <r>
    <x v="4"/>
  </r>
  <r>
    <x v="0"/>
  </r>
  <r>
    <x v="129"/>
  </r>
  <r>
    <x v="129"/>
  </r>
  <r>
    <x v="0"/>
  </r>
  <r>
    <x v="0"/>
  </r>
  <r>
    <x v="0"/>
  </r>
  <r>
    <x v="0"/>
  </r>
  <r>
    <x v="0"/>
  </r>
  <r>
    <x v="2"/>
  </r>
  <r>
    <x v="12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28"/>
  </r>
  <r>
    <x v="28"/>
  </r>
  <r>
    <x v="129"/>
  </r>
  <r>
    <x v="28"/>
  </r>
  <r>
    <x v="129"/>
  </r>
  <r>
    <x v="129"/>
  </r>
  <r>
    <x v="28"/>
  </r>
  <r>
    <x v="14"/>
  </r>
  <r>
    <x v="28"/>
  </r>
  <r>
    <x v="28"/>
  </r>
  <r>
    <x v="28"/>
  </r>
  <r>
    <x v="28"/>
  </r>
  <r>
    <x v="7"/>
  </r>
  <r>
    <x v="41"/>
  </r>
  <r>
    <x v="7"/>
  </r>
  <r>
    <x v="86"/>
  </r>
  <r>
    <x v="86"/>
  </r>
  <r>
    <x v="7"/>
  </r>
  <r>
    <x v="86"/>
  </r>
  <r>
    <x v="86"/>
  </r>
  <r>
    <x v="7"/>
  </r>
  <r>
    <x v="7"/>
  </r>
  <r>
    <x v="90"/>
  </r>
  <r>
    <x v="22"/>
  </r>
  <r>
    <x v="87"/>
  </r>
  <r>
    <x v="10"/>
  </r>
  <r>
    <x v="10"/>
  </r>
  <r>
    <x v="0"/>
  </r>
  <r>
    <x v="0"/>
  </r>
  <r>
    <x v="165"/>
  </r>
  <r>
    <x v="64"/>
  </r>
  <r>
    <x v="31"/>
  </r>
  <r>
    <x v="14"/>
  </r>
  <r>
    <x v="45"/>
  </r>
  <r>
    <x v="17"/>
  </r>
  <r>
    <x v="22"/>
  </r>
  <r>
    <x v="0"/>
  </r>
  <r>
    <x v="12"/>
  </r>
  <r>
    <x v="42"/>
  </r>
  <r>
    <x v="28"/>
  </r>
  <r>
    <x v="2"/>
  </r>
  <r>
    <x v="57"/>
  </r>
  <r>
    <x v="12"/>
  </r>
  <r>
    <x v="12"/>
  </r>
  <r>
    <x v="10"/>
  </r>
  <r>
    <x v="81"/>
  </r>
  <r>
    <x v="81"/>
  </r>
  <r>
    <x v="12"/>
  </r>
  <r>
    <x v="12"/>
  </r>
  <r>
    <x v="12"/>
  </r>
  <r>
    <x v="33"/>
  </r>
  <r>
    <x v="14"/>
  </r>
  <r>
    <x v="14"/>
  </r>
  <r>
    <x v="14"/>
  </r>
  <r>
    <x v="138"/>
  </r>
  <r>
    <x v="30"/>
  </r>
  <r>
    <x v="123"/>
  </r>
  <r>
    <x v="123"/>
  </r>
  <r>
    <x v="123"/>
  </r>
  <r>
    <x v="0"/>
  </r>
  <r>
    <x v="0"/>
  </r>
  <r>
    <x v="28"/>
  </r>
  <r>
    <x v="46"/>
  </r>
  <r>
    <x v="24"/>
  </r>
  <r>
    <x v="68"/>
  </r>
  <r>
    <x v="56"/>
  </r>
  <r>
    <x v="113"/>
  </r>
  <r>
    <x v="41"/>
  </r>
  <r>
    <x v="61"/>
  </r>
  <r>
    <x v="9"/>
  </r>
  <r>
    <x v="10"/>
  </r>
  <r>
    <x v="4"/>
  </r>
  <r>
    <x v="48"/>
  </r>
  <r>
    <x v="48"/>
  </r>
  <r>
    <x v="12"/>
  </r>
  <r>
    <x v="2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56"/>
  </r>
  <r>
    <x v="123"/>
  </r>
  <r>
    <x v="108"/>
  </r>
  <r>
    <x v="56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30"/>
  </r>
  <r>
    <x v="123"/>
  </r>
  <r>
    <x v="63"/>
  </r>
  <r>
    <x v="123"/>
  </r>
  <r>
    <x v="123"/>
  </r>
  <r>
    <x v="123"/>
  </r>
  <r>
    <x v="123"/>
  </r>
  <r>
    <x v="123"/>
  </r>
  <r>
    <x v="78"/>
  </r>
  <r>
    <x v="0"/>
  </r>
  <r>
    <x v="142"/>
  </r>
  <r>
    <x v="0"/>
  </r>
  <r>
    <x v="0"/>
  </r>
  <r>
    <x v="0"/>
  </r>
  <r>
    <x v="0"/>
  </r>
  <r>
    <x v="2"/>
  </r>
  <r>
    <x v="15"/>
  </r>
  <r>
    <x v="0"/>
  </r>
  <r>
    <x v="15"/>
  </r>
  <r>
    <x v="56"/>
  </r>
  <r>
    <x v="56"/>
  </r>
  <r>
    <x v="56"/>
  </r>
  <r>
    <x v="1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"/>
  </r>
  <r>
    <x v="10"/>
  </r>
  <r>
    <x v="4"/>
  </r>
  <r>
    <x v="4"/>
  </r>
  <r>
    <x v="4"/>
  </r>
  <r>
    <x v="4"/>
  </r>
  <r>
    <x v="4"/>
  </r>
  <r>
    <x v="4"/>
  </r>
  <r>
    <x v="12"/>
  </r>
  <r>
    <x v="80"/>
  </r>
  <r>
    <x v="0"/>
  </r>
  <r>
    <x v="126"/>
  </r>
  <r>
    <x v="4"/>
  </r>
  <r>
    <x v="10"/>
  </r>
  <r>
    <x v="10"/>
  </r>
  <r>
    <x v="4"/>
  </r>
  <r>
    <x v="0"/>
  </r>
  <r>
    <x v="0"/>
  </r>
  <r>
    <x v="4"/>
  </r>
  <r>
    <x v="76"/>
  </r>
  <r>
    <x v="7"/>
  </r>
  <r>
    <x v="4"/>
  </r>
  <r>
    <x v="4"/>
  </r>
  <r>
    <x v="4"/>
  </r>
  <r>
    <x v="0"/>
  </r>
  <r>
    <x v="4"/>
  </r>
  <r>
    <x v="12"/>
  </r>
  <r>
    <x v="4"/>
  </r>
  <r>
    <x v="0"/>
  </r>
  <r>
    <x v="4"/>
  </r>
  <r>
    <x v="0"/>
  </r>
  <r>
    <x v="4"/>
  </r>
  <r>
    <x v="0"/>
  </r>
  <r>
    <x v="4"/>
  </r>
  <r>
    <x v="4"/>
  </r>
  <r>
    <x v="4"/>
  </r>
  <r>
    <x v="4"/>
  </r>
  <r>
    <x v="4"/>
  </r>
  <r>
    <x v="4"/>
  </r>
  <r>
    <x v="1"/>
  </r>
  <r>
    <x v="1"/>
  </r>
  <r>
    <x v="4"/>
  </r>
  <r>
    <x v="4"/>
  </r>
  <r>
    <x v="4"/>
  </r>
  <r>
    <x v="77"/>
  </r>
  <r>
    <x v="77"/>
  </r>
  <r>
    <x v="77"/>
  </r>
  <r>
    <x v="165"/>
  </r>
  <r>
    <x v="81"/>
  </r>
  <r>
    <x v="81"/>
  </r>
  <r>
    <x v="10"/>
  </r>
  <r>
    <x v="10"/>
  </r>
  <r>
    <x v="10"/>
  </r>
  <r>
    <x v="10"/>
  </r>
  <r>
    <x v="77"/>
  </r>
  <r>
    <x v="10"/>
  </r>
  <r>
    <x v="114"/>
  </r>
  <r>
    <x v="7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38"/>
  </r>
  <r>
    <x v="155"/>
  </r>
  <r>
    <x v="24"/>
  </r>
  <r>
    <x v="24"/>
  </r>
  <r>
    <x v="10"/>
  </r>
  <r>
    <x v="10"/>
  </r>
  <r>
    <x v="4"/>
  </r>
  <r>
    <x v="0"/>
  </r>
  <r>
    <x v="72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72"/>
  </r>
  <r>
    <x v="72"/>
  </r>
  <r>
    <x v="12"/>
  </r>
  <r>
    <x v="48"/>
  </r>
  <r>
    <x v="10"/>
  </r>
  <r>
    <x v="53"/>
  </r>
  <r>
    <x v="53"/>
  </r>
  <r>
    <x v="10"/>
  </r>
  <r>
    <x v="10"/>
  </r>
  <r>
    <x v="53"/>
  </r>
  <r>
    <x v="53"/>
  </r>
  <r>
    <x v="53"/>
  </r>
  <r>
    <x v="112"/>
  </r>
  <r>
    <x v="146"/>
  </r>
  <r>
    <x v="7"/>
  </r>
  <r>
    <x v="48"/>
  </r>
  <r>
    <x v="48"/>
  </r>
  <r>
    <x v="48"/>
  </r>
  <r>
    <x v="138"/>
  </r>
  <r>
    <x v="138"/>
  </r>
  <r>
    <x v="138"/>
  </r>
  <r>
    <x v="138"/>
  </r>
  <r>
    <x v="138"/>
  </r>
  <r>
    <x v="138"/>
  </r>
  <r>
    <x v="138"/>
  </r>
  <r>
    <x v="4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0"/>
  </r>
  <r>
    <x v="45"/>
  </r>
  <r>
    <x v="45"/>
  </r>
  <r>
    <x v="45"/>
  </r>
  <r>
    <x v="45"/>
  </r>
  <r>
    <x v="130"/>
  </r>
  <r>
    <x v="16"/>
  </r>
  <r>
    <x v="115"/>
  </r>
  <r>
    <x v="86"/>
  </r>
  <r>
    <x v="86"/>
  </r>
  <r>
    <x v="86"/>
  </r>
  <r>
    <x v="0"/>
  </r>
  <r>
    <x v="48"/>
  </r>
  <r>
    <x v="0"/>
  </r>
  <r>
    <x v="0"/>
  </r>
  <r>
    <x v="0"/>
  </r>
  <r>
    <x v="0"/>
  </r>
  <r>
    <x v="0"/>
  </r>
  <r>
    <x v="0"/>
  </r>
  <r>
    <x v="123"/>
  </r>
  <r>
    <x v="79"/>
  </r>
  <r>
    <x v="79"/>
  </r>
  <r>
    <x v="123"/>
  </r>
  <r>
    <x v="123"/>
  </r>
  <r>
    <x v="14"/>
  </r>
  <r>
    <x v="123"/>
  </r>
  <r>
    <x v="123"/>
  </r>
  <r>
    <x v="16"/>
  </r>
  <r>
    <x v="123"/>
  </r>
  <r>
    <x v="12"/>
  </r>
  <r>
    <x v="0"/>
  </r>
  <r>
    <x v="12"/>
  </r>
  <r>
    <x v="56"/>
  </r>
  <r>
    <x v="14"/>
  </r>
  <r>
    <x v="4"/>
  </r>
  <r>
    <x v="79"/>
  </r>
  <r>
    <x v="4"/>
  </r>
  <r>
    <x v="79"/>
  </r>
  <r>
    <x v="79"/>
  </r>
  <r>
    <x v="79"/>
  </r>
  <r>
    <x v="11"/>
  </r>
  <r>
    <x v="12"/>
  </r>
  <r>
    <x v="79"/>
  </r>
  <r>
    <x v="10"/>
  </r>
  <r>
    <x v="4"/>
  </r>
  <r>
    <x v="4"/>
  </r>
  <r>
    <x v="4"/>
  </r>
  <r>
    <x v="190"/>
  </r>
  <r>
    <x v="4"/>
  </r>
  <r>
    <x v="10"/>
  </r>
  <r>
    <x v="45"/>
  </r>
  <r>
    <x v="10"/>
  </r>
  <r>
    <x v="10"/>
  </r>
  <r>
    <x v="87"/>
  </r>
  <r>
    <x v="87"/>
  </r>
  <r>
    <x v="87"/>
  </r>
  <r>
    <x v="81"/>
  </r>
  <r>
    <x v="10"/>
  </r>
  <r>
    <x v="10"/>
  </r>
  <r>
    <x v="10"/>
  </r>
  <r>
    <x v="10"/>
  </r>
  <r>
    <x v="77"/>
  </r>
  <r>
    <x v="3"/>
  </r>
  <r>
    <x v="11"/>
  </r>
  <r>
    <x v="11"/>
  </r>
  <r>
    <x v="21"/>
  </r>
  <r>
    <x v="152"/>
  </r>
  <r>
    <x v="168"/>
  </r>
  <r>
    <x v="0"/>
  </r>
  <r>
    <x v="126"/>
  </r>
  <r>
    <x v="126"/>
  </r>
  <r>
    <x v="42"/>
  </r>
  <r>
    <x v="42"/>
  </r>
  <r>
    <x v="42"/>
  </r>
  <r>
    <x v="42"/>
  </r>
  <r>
    <x v="42"/>
  </r>
  <r>
    <x v="42"/>
  </r>
  <r>
    <x v="42"/>
  </r>
  <r>
    <x v="42"/>
  </r>
  <r>
    <x v="77"/>
  </r>
  <r>
    <x v="4"/>
  </r>
  <r>
    <x v="4"/>
  </r>
  <r>
    <x v="4"/>
  </r>
  <r>
    <x v="4"/>
  </r>
  <r>
    <x v="4"/>
  </r>
  <r>
    <x v="87"/>
  </r>
  <r>
    <x v="12"/>
  </r>
  <r>
    <x v="80"/>
  </r>
  <r>
    <x v="0"/>
  </r>
  <r>
    <x v="0"/>
  </r>
  <r>
    <x v="123"/>
  </r>
  <r>
    <x v="79"/>
  </r>
  <r>
    <x v="123"/>
  </r>
  <r>
    <x v="123"/>
  </r>
  <r>
    <x v="123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2"/>
  </r>
  <r>
    <x v="0"/>
  </r>
  <r>
    <x v="0"/>
  </r>
  <r>
    <x v="0"/>
  </r>
  <r>
    <x v="14"/>
  </r>
  <r>
    <x v="0"/>
  </r>
  <r>
    <x v="0"/>
  </r>
  <r>
    <x v="0"/>
  </r>
  <r>
    <x v="0"/>
  </r>
  <r>
    <x v="14"/>
  </r>
  <r>
    <x v="12"/>
  </r>
  <r>
    <x v="12"/>
  </r>
  <r>
    <x v="12"/>
  </r>
  <r>
    <x v="12"/>
  </r>
  <r>
    <x v="0"/>
  </r>
  <r>
    <x v="14"/>
  </r>
  <r>
    <x v="36"/>
  </r>
  <r>
    <x v="36"/>
  </r>
  <r>
    <x v="36"/>
  </r>
  <r>
    <x v="12"/>
  </r>
  <r>
    <x v="28"/>
  </r>
  <r>
    <x v="63"/>
  </r>
  <r>
    <x v="10"/>
  </r>
  <r>
    <x v="96"/>
  </r>
  <r>
    <x v="48"/>
  </r>
  <r>
    <x v="7"/>
  </r>
  <r>
    <x v="28"/>
  </r>
  <r>
    <x v="9"/>
  </r>
  <r>
    <x v="28"/>
  </r>
  <r>
    <x v="25"/>
  </r>
  <r>
    <x v="3"/>
  </r>
  <r>
    <x v="25"/>
  </r>
  <r>
    <x v="25"/>
  </r>
  <r>
    <x v="25"/>
  </r>
  <r>
    <x v="4"/>
  </r>
  <r>
    <x v="3"/>
  </r>
  <r>
    <x v="25"/>
  </r>
  <r>
    <x v="25"/>
  </r>
  <r>
    <x v="25"/>
  </r>
  <r>
    <x v="25"/>
  </r>
  <r>
    <x v="0"/>
  </r>
  <r>
    <x v="25"/>
  </r>
  <r>
    <x v="25"/>
  </r>
  <r>
    <x v="10"/>
  </r>
  <r>
    <x v="17"/>
  </r>
  <r>
    <x v="240"/>
  </r>
  <r>
    <x v="83"/>
  </r>
  <r>
    <x v="83"/>
  </r>
  <r>
    <x v="9"/>
  </r>
  <r>
    <x v="108"/>
  </r>
  <r>
    <x v="7"/>
  </r>
  <r>
    <x v="11"/>
  </r>
  <r>
    <x v="11"/>
  </r>
  <r>
    <x v="11"/>
  </r>
  <r>
    <x v="3"/>
  </r>
  <r>
    <x v="108"/>
  </r>
  <r>
    <x v="108"/>
  </r>
  <r>
    <x v="4"/>
  </r>
  <r>
    <x v="10"/>
  </r>
  <r>
    <x v="10"/>
  </r>
  <r>
    <x v="6"/>
  </r>
  <r>
    <x v="6"/>
  </r>
  <r>
    <x v="108"/>
  </r>
  <r>
    <x v="28"/>
  </r>
  <r>
    <x v="28"/>
  </r>
  <r>
    <x v="108"/>
  </r>
  <r>
    <x v="14"/>
  </r>
  <r>
    <x v="6"/>
  </r>
  <r>
    <x v="24"/>
  </r>
  <r>
    <x v="6"/>
  </r>
  <r>
    <x v="6"/>
  </r>
  <r>
    <x v="6"/>
  </r>
  <r>
    <x v="6"/>
  </r>
  <r>
    <x v="6"/>
  </r>
  <r>
    <x v="10"/>
  </r>
  <r>
    <x v="154"/>
  </r>
  <r>
    <x v="12"/>
  </r>
  <r>
    <x v="14"/>
  </r>
  <r>
    <x v="86"/>
  </r>
  <r>
    <x v="14"/>
  </r>
  <r>
    <x v="14"/>
  </r>
  <r>
    <x v="0"/>
  </r>
  <r>
    <x v="1"/>
  </r>
  <r>
    <x v="123"/>
  </r>
  <r>
    <x v="1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7"/>
  </r>
  <r>
    <x v="87"/>
  </r>
  <r>
    <x v="0"/>
  </r>
  <r>
    <x v="0"/>
  </r>
  <r>
    <x v="0"/>
  </r>
  <r>
    <x v="0"/>
  </r>
  <r>
    <x v="0"/>
  </r>
  <r>
    <x v="0"/>
  </r>
  <r>
    <x v="0"/>
  </r>
  <r>
    <x v="12"/>
  </r>
  <r>
    <x v="9"/>
  </r>
  <r>
    <x v="28"/>
  </r>
  <r>
    <x v="165"/>
  </r>
  <r>
    <x v="165"/>
  </r>
  <r>
    <x v="40"/>
  </r>
  <r>
    <x v="4"/>
  </r>
  <r>
    <x v="42"/>
  </r>
  <r>
    <x v="141"/>
  </r>
  <r>
    <x v="11"/>
  </r>
  <r>
    <x v="0"/>
  </r>
  <r>
    <x v="0"/>
  </r>
  <r>
    <x v="48"/>
  </r>
  <r>
    <x v="12"/>
  </r>
  <r>
    <x v="12"/>
  </r>
  <r>
    <x v="43"/>
  </r>
  <r>
    <x v="43"/>
  </r>
  <r>
    <x v="12"/>
  </r>
  <r>
    <x v="12"/>
  </r>
  <r>
    <x v="14"/>
  </r>
  <r>
    <x v="14"/>
  </r>
  <r>
    <x v="28"/>
  </r>
  <r>
    <x v="14"/>
  </r>
  <r>
    <x v="71"/>
  </r>
  <r>
    <x v="166"/>
  </r>
  <r>
    <x v="2"/>
  </r>
  <r>
    <x v="128"/>
  </r>
  <r>
    <x v="128"/>
  </r>
  <r>
    <x v="128"/>
  </r>
  <r>
    <x v="128"/>
  </r>
  <r>
    <x v="128"/>
  </r>
  <r>
    <x v="14"/>
  </r>
  <r>
    <x v="128"/>
  </r>
  <r>
    <x v="123"/>
  </r>
  <r>
    <x v="89"/>
  </r>
  <r>
    <x v="21"/>
  </r>
  <r>
    <x v="12"/>
  </r>
  <r>
    <x v="4"/>
  </r>
  <r>
    <x v="36"/>
  </r>
  <r>
    <x v="123"/>
  </r>
  <r>
    <x v="89"/>
  </r>
  <r>
    <x v="123"/>
  </r>
  <r>
    <x v="123"/>
  </r>
  <r>
    <x v="4"/>
  </r>
  <r>
    <x v="63"/>
  </r>
  <r>
    <x v="12"/>
  </r>
  <r>
    <x v="57"/>
  </r>
  <r>
    <x v="10"/>
  </r>
  <r>
    <x v="10"/>
  </r>
  <r>
    <x v="12"/>
  </r>
  <r>
    <x v="77"/>
  </r>
  <r>
    <x v="77"/>
  </r>
  <r>
    <x v="19"/>
  </r>
  <r>
    <x v="37"/>
  </r>
  <r>
    <x v="0"/>
  </r>
  <r>
    <x v="77"/>
  </r>
  <r>
    <x v="77"/>
  </r>
  <r>
    <x v="77"/>
  </r>
  <r>
    <x v="11"/>
  </r>
  <r>
    <x v="10"/>
  </r>
  <r>
    <x v="4"/>
  </r>
  <r>
    <x v="77"/>
  </r>
  <r>
    <x v="141"/>
  </r>
  <r>
    <x v="4"/>
  </r>
  <r>
    <x v="14"/>
  </r>
  <r>
    <x v="10"/>
  </r>
  <r>
    <x v="7"/>
  </r>
  <r>
    <x v="7"/>
  </r>
  <r>
    <x v="7"/>
  </r>
  <r>
    <x v="7"/>
  </r>
  <r>
    <x v="7"/>
  </r>
  <r>
    <x v="14"/>
  </r>
  <r>
    <x v="10"/>
  </r>
  <r>
    <x v="42"/>
  </r>
  <r>
    <x v="42"/>
  </r>
  <r>
    <x v="19"/>
  </r>
  <r>
    <x v="19"/>
  </r>
  <r>
    <x v="4"/>
  </r>
  <r>
    <x v="126"/>
  </r>
  <r>
    <x v="10"/>
  </r>
  <r>
    <x v="4"/>
  </r>
  <r>
    <x v="87"/>
  </r>
  <r>
    <x v="10"/>
  </r>
  <r>
    <x v="10"/>
  </r>
  <r>
    <x v="10"/>
  </r>
  <r>
    <x v="108"/>
  </r>
  <r>
    <x v="10"/>
  </r>
  <r>
    <x v="10"/>
  </r>
  <r>
    <x v="10"/>
  </r>
  <r>
    <x v="86"/>
  </r>
  <r>
    <x v="86"/>
  </r>
  <r>
    <x v="10"/>
  </r>
  <r>
    <x v="14"/>
  </r>
  <r>
    <x v="9"/>
  </r>
  <r>
    <x v="12"/>
  </r>
  <r>
    <x v="28"/>
  </r>
  <r>
    <x v="12"/>
  </r>
  <r>
    <x v="12"/>
  </r>
  <r>
    <x v="12"/>
  </r>
  <r>
    <x v="12"/>
  </r>
  <r>
    <x v="12"/>
  </r>
  <r>
    <x v="123"/>
  </r>
  <r>
    <x v="123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2"/>
  </r>
  <r>
    <x v="42"/>
  </r>
  <r>
    <x v="42"/>
  </r>
  <r>
    <x v="42"/>
  </r>
  <r>
    <x v="42"/>
  </r>
  <r>
    <x v="42"/>
  </r>
  <r>
    <x v="123"/>
  </r>
  <r>
    <x v="72"/>
  </r>
  <r>
    <x v="123"/>
  </r>
  <r>
    <x v="87"/>
  </r>
  <r>
    <x v="87"/>
  </r>
  <r>
    <x v="87"/>
  </r>
  <r>
    <x v="87"/>
  </r>
  <r>
    <x v="87"/>
  </r>
  <r>
    <x v="87"/>
  </r>
  <r>
    <x v="87"/>
  </r>
  <r>
    <x v="63"/>
  </r>
  <r>
    <x v="63"/>
  </r>
  <r>
    <x v="87"/>
  </r>
  <r>
    <x v="87"/>
  </r>
  <r>
    <x v="87"/>
  </r>
  <r>
    <x v="87"/>
  </r>
  <r>
    <x v="87"/>
  </r>
  <r>
    <x v="87"/>
  </r>
  <r>
    <x v="87"/>
  </r>
  <r>
    <x v="14"/>
  </r>
  <r>
    <x v="14"/>
  </r>
  <r>
    <x v="37"/>
  </r>
  <r>
    <x v="14"/>
  </r>
  <r>
    <x v="12"/>
  </r>
  <r>
    <x v="37"/>
  </r>
  <r>
    <x v="0"/>
  </r>
  <r>
    <x v="40"/>
  </r>
  <r>
    <x v="40"/>
  </r>
  <r>
    <x v="40"/>
  </r>
  <r>
    <x v="40"/>
  </r>
  <r>
    <x v="138"/>
  </r>
  <r>
    <x v="24"/>
  </r>
  <r>
    <x v="24"/>
  </r>
  <r>
    <x v="24"/>
  </r>
  <r>
    <x v="24"/>
  </r>
  <r>
    <x v="25"/>
  </r>
  <r>
    <x v="0"/>
  </r>
  <r>
    <x v="21"/>
  </r>
  <r>
    <x v="152"/>
  </r>
  <r>
    <x v="4"/>
  </r>
  <r>
    <x v="10"/>
  </r>
  <r>
    <x v="152"/>
  </r>
  <r>
    <x v="0"/>
  </r>
  <r>
    <x v="0"/>
  </r>
  <r>
    <x v="0"/>
  </r>
  <r>
    <x v="8"/>
  </r>
  <r>
    <x v="10"/>
  </r>
  <r>
    <x v="10"/>
  </r>
  <r>
    <x v="14"/>
  </r>
  <r>
    <x v="42"/>
  </r>
  <r>
    <x v="16"/>
  </r>
  <r>
    <x v="42"/>
  </r>
  <r>
    <x v="12"/>
  </r>
  <r>
    <x v="42"/>
  </r>
  <r>
    <x v="24"/>
  </r>
  <r>
    <x v="12"/>
  </r>
  <r>
    <x v="265"/>
  </r>
  <r>
    <x v="36"/>
  </r>
  <r>
    <x v="36"/>
  </r>
  <r>
    <x v="36"/>
  </r>
  <r>
    <x v="36"/>
  </r>
  <r>
    <x v="0"/>
  </r>
  <r>
    <x v="0"/>
  </r>
  <r>
    <x v="86"/>
  </r>
  <r>
    <x v="86"/>
  </r>
  <r>
    <x v="86"/>
  </r>
  <r>
    <x v="10"/>
  </r>
  <r>
    <x v="10"/>
  </r>
  <r>
    <x v="86"/>
  </r>
  <r>
    <x v="86"/>
  </r>
  <r>
    <x v="86"/>
  </r>
  <r>
    <x v="86"/>
  </r>
  <r>
    <x v="86"/>
  </r>
  <r>
    <x v="86"/>
  </r>
  <r>
    <x v="4"/>
  </r>
  <r>
    <x v="4"/>
  </r>
  <r>
    <x v="4"/>
  </r>
  <r>
    <x v="4"/>
  </r>
  <r>
    <x v="12"/>
  </r>
  <r>
    <x v="12"/>
  </r>
  <r>
    <x v="138"/>
  </r>
  <r>
    <x v="48"/>
  </r>
  <r>
    <x v="138"/>
  </r>
  <r>
    <x v="138"/>
  </r>
  <r>
    <x v="4"/>
  </r>
  <r>
    <x v="4"/>
  </r>
  <r>
    <x v="4"/>
  </r>
  <r>
    <x v="4"/>
  </r>
  <r>
    <x v="4"/>
  </r>
  <r>
    <x v="4"/>
  </r>
  <r>
    <x v="4"/>
  </r>
  <r>
    <x v="86"/>
  </r>
  <r>
    <x v="16"/>
  </r>
  <r>
    <x v="12"/>
  </r>
  <r>
    <x v="12"/>
  </r>
  <r>
    <x v="16"/>
  </r>
  <r>
    <x v="12"/>
  </r>
  <r>
    <x v="12"/>
  </r>
  <r>
    <x v="12"/>
  </r>
  <r>
    <x v="12"/>
  </r>
  <r>
    <x v="12"/>
  </r>
  <r>
    <x v="48"/>
  </r>
  <r>
    <x v="10"/>
  </r>
  <r>
    <x v="12"/>
  </r>
  <r>
    <x v="12"/>
  </r>
  <r>
    <x v="12"/>
  </r>
  <r>
    <x v="1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3"/>
  </r>
  <r>
    <x v="12"/>
  </r>
  <r>
    <x v="1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4"/>
  </r>
  <r>
    <x v="0"/>
  </r>
  <r>
    <x v="123"/>
  </r>
  <r>
    <x v="123"/>
  </r>
  <r>
    <x v="108"/>
  </r>
  <r>
    <x v="108"/>
  </r>
  <r>
    <x v="4"/>
  </r>
  <r>
    <x v="14"/>
  </r>
  <r>
    <x v="14"/>
  </r>
  <r>
    <x v="4"/>
  </r>
  <r>
    <x v="14"/>
  </r>
  <r>
    <x v="14"/>
  </r>
  <r>
    <x v="86"/>
  </r>
  <r>
    <x v="14"/>
  </r>
  <r>
    <x v="14"/>
  </r>
  <r>
    <x v="5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1"/>
  </r>
  <r>
    <x v="14"/>
  </r>
  <r>
    <x v="28"/>
  </r>
  <r>
    <x v="12"/>
  </r>
  <r>
    <x v="12"/>
  </r>
  <r>
    <x v="12"/>
  </r>
  <r>
    <x v="4"/>
  </r>
  <r>
    <x v="138"/>
  </r>
  <r>
    <x v="12"/>
  </r>
  <r>
    <x v="10"/>
  </r>
  <r>
    <x v="10"/>
  </r>
  <r>
    <x v="14"/>
  </r>
  <r>
    <x v="17"/>
  </r>
  <r>
    <x v="17"/>
  </r>
  <r>
    <x v="17"/>
  </r>
  <r>
    <x v="0"/>
  </r>
  <r>
    <x v="0"/>
  </r>
  <r>
    <x v="14"/>
  </r>
  <r>
    <x v="33"/>
  </r>
  <r>
    <x v="165"/>
  </r>
  <r>
    <x v="0"/>
  </r>
  <r>
    <x v="0"/>
  </r>
  <r>
    <x v="33"/>
  </r>
  <r>
    <x v="33"/>
  </r>
  <r>
    <x v="10"/>
  </r>
  <r>
    <x v="0"/>
  </r>
  <r>
    <x v="2"/>
  </r>
  <r>
    <x v="0"/>
  </r>
  <r>
    <x v="0"/>
  </r>
  <r>
    <x v="0"/>
  </r>
  <r>
    <x v="33"/>
  </r>
  <r>
    <x v="33"/>
  </r>
  <r>
    <x v="33"/>
  </r>
  <r>
    <x v="12"/>
  </r>
  <r>
    <x v="0"/>
  </r>
  <r>
    <x v="0"/>
  </r>
  <r>
    <x v="0"/>
  </r>
  <r>
    <x v="0"/>
  </r>
  <r>
    <x v="123"/>
  </r>
  <r>
    <x v="123"/>
  </r>
  <r>
    <x v="123"/>
  </r>
  <r>
    <x v="9"/>
  </r>
  <r>
    <x v="12"/>
  </r>
  <r>
    <x v="12"/>
  </r>
  <r>
    <x v="76"/>
  </r>
  <r>
    <x v="42"/>
  </r>
  <r>
    <x v="14"/>
  </r>
  <r>
    <x v="140"/>
  </r>
  <r>
    <x v="111"/>
  </r>
  <r>
    <x v="42"/>
  </r>
  <r>
    <x v="42"/>
  </r>
  <r>
    <x v="42"/>
  </r>
  <r>
    <x v="34"/>
  </r>
  <r>
    <x v="48"/>
  </r>
  <r>
    <x v="4"/>
  </r>
  <r>
    <x v="4"/>
  </r>
  <r>
    <x v="76"/>
  </r>
  <r>
    <x v="76"/>
  </r>
  <r>
    <x v="12"/>
  </r>
  <r>
    <x v="10"/>
  </r>
  <r>
    <x v="12"/>
  </r>
  <r>
    <x v="12"/>
  </r>
  <r>
    <x v="12"/>
  </r>
  <r>
    <x v="12"/>
  </r>
  <r>
    <x v="12"/>
  </r>
  <r>
    <x v="42"/>
  </r>
  <r>
    <x v="12"/>
  </r>
  <r>
    <x v="10"/>
  </r>
  <r>
    <x v="154"/>
  </r>
  <r>
    <x v="154"/>
  </r>
  <r>
    <x v="154"/>
  </r>
  <r>
    <x v="10"/>
  </r>
  <r>
    <x v="138"/>
  </r>
  <r>
    <x v="4"/>
  </r>
  <r>
    <x v="4"/>
  </r>
  <r>
    <x v="10"/>
  </r>
  <r>
    <x v="48"/>
  </r>
  <r>
    <x v="8"/>
  </r>
  <r>
    <x v="0"/>
  </r>
  <r>
    <x v="0"/>
  </r>
  <r>
    <x v="22"/>
  </r>
  <r>
    <x v="0"/>
  </r>
  <r>
    <x v="0"/>
  </r>
  <r>
    <x v="126"/>
  </r>
  <r>
    <x v="1"/>
  </r>
  <r>
    <x v="0"/>
  </r>
  <r>
    <x v="3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14"/>
  </r>
  <r>
    <x v="10"/>
  </r>
  <r>
    <x v="174"/>
  </r>
  <r>
    <x v="79"/>
  </r>
  <r>
    <x v="86"/>
  </r>
  <r>
    <x v="86"/>
  </r>
  <r>
    <x v="4"/>
  </r>
  <r>
    <x v="86"/>
  </r>
  <r>
    <x v="4"/>
  </r>
  <r>
    <x v="42"/>
  </r>
  <r>
    <x v="55"/>
  </r>
  <r>
    <x v="42"/>
  </r>
  <r>
    <x v="10"/>
  </r>
  <r>
    <x v="42"/>
  </r>
  <r>
    <x v="42"/>
  </r>
  <r>
    <x v="42"/>
  </r>
  <r>
    <x v="42"/>
  </r>
  <r>
    <x v="29"/>
  </r>
  <r>
    <x v="33"/>
  </r>
  <r>
    <x v="10"/>
  </r>
  <r>
    <x v="21"/>
  </r>
  <r>
    <x v="16"/>
  </r>
  <r>
    <x v="10"/>
  </r>
  <r>
    <x v="10"/>
  </r>
  <r>
    <x v="0"/>
  </r>
  <r>
    <x v="10"/>
  </r>
  <r>
    <x v="10"/>
  </r>
  <r>
    <x v="10"/>
  </r>
  <r>
    <x v="28"/>
  </r>
  <r>
    <x v="0"/>
  </r>
  <r>
    <x v="28"/>
  </r>
  <r>
    <x v="28"/>
  </r>
  <r>
    <x v="28"/>
  </r>
  <r>
    <x v="28"/>
  </r>
  <r>
    <x v="28"/>
  </r>
  <r>
    <x v="10"/>
  </r>
  <r>
    <x v="10"/>
  </r>
  <r>
    <x v="4"/>
  </r>
  <r>
    <x v="4"/>
  </r>
  <r>
    <x v="4"/>
  </r>
  <r>
    <x v="4"/>
  </r>
  <r>
    <x v="4"/>
  </r>
  <r>
    <x v="10"/>
  </r>
  <r>
    <x v="10"/>
  </r>
  <r>
    <x v="10"/>
  </r>
  <r>
    <x v="0"/>
  </r>
  <r>
    <x v="0"/>
  </r>
  <r>
    <x v="10"/>
  </r>
  <r>
    <x v="0"/>
  </r>
  <r>
    <x v="0"/>
  </r>
  <r>
    <x v="10"/>
  </r>
  <r>
    <x v="0"/>
  </r>
  <r>
    <x v="24"/>
  </r>
  <r>
    <x v="19"/>
  </r>
  <r>
    <x v="53"/>
  </r>
  <r>
    <x v="19"/>
  </r>
  <r>
    <x v="9"/>
  </r>
  <r>
    <x v="9"/>
  </r>
  <r>
    <x v="0"/>
  </r>
  <r>
    <x v="19"/>
  </r>
  <r>
    <x v="138"/>
  </r>
  <r>
    <x v="138"/>
  </r>
  <r>
    <x v="4"/>
  </r>
  <r>
    <x v="9"/>
  </r>
  <r>
    <x v="9"/>
  </r>
  <r>
    <x v="9"/>
  </r>
  <r>
    <x v="9"/>
  </r>
  <r>
    <x v="24"/>
  </r>
  <r>
    <x v="24"/>
  </r>
  <r>
    <x v="1"/>
  </r>
  <r>
    <x v="1"/>
  </r>
  <r>
    <x v="1"/>
  </r>
  <r>
    <x v="1"/>
  </r>
  <r>
    <x v="1"/>
  </r>
  <r>
    <x v="2"/>
  </r>
  <r>
    <x v="3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42"/>
  </r>
  <r>
    <x v="227"/>
  </r>
  <r>
    <x v="227"/>
  </r>
  <r>
    <x v="12"/>
  </r>
  <r>
    <x v="227"/>
  </r>
  <r>
    <x v="227"/>
  </r>
  <r>
    <x v="10"/>
  </r>
  <r>
    <x v="4"/>
  </r>
  <r>
    <x v="4"/>
  </r>
  <r>
    <x v="123"/>
  </r>
  <r>
    <x v="10"/>
  </r>
  <r>
    <x v="14"/>
  </r>
  <r>
    <x v="33"/>
  </r>
  <r>
    <x v="87"/>
  </r>
  <r>
    <x v="10"/>
  </r>
  <r>
    <x v="10"/>
  </r>
  <r>
    <x v="10"/>
  </r>
  <r>
    <x v="4"/>
  </r>
  <r>
    <x v="4"/>
  </r>
  <r>
    <x v="4"/>
  </r>
  <r>
    <x v="4"/>
  </r>
  <r>
    <x v="12"/>
  </r>
  <r>
    <x v="10"/>
  </r>
  <r>
    <x v="10"/>
  </r>
  <r>
    <x v="10"/>
  </r>
  <r>
    <x v="10"/>
  </r>
  <r>
    <x v="138"/>
  </r>
  <r>
    <x v="4"/>
  </r>
  <r>
    <x v="138"/>
  </r>
  <r>
    <x v="138"/>
  </r>
  <r>
    <x v="138"/>
  </r>
  <r>
    <x v="10"/>
  </r>
  <r>
    <x v="79"/>
  </r>
  <r>
    <x v="79"/>
  </r>
  <r>
    <x v="79"/>
  </r>
  <r>
    <x v="79"/>
  </r>
  <r>
    <x v="79"/>
  </r>
  <r>
    <x v="45"/>
  </r>
  <r>
    <x v="45"/>
  </r>
  <r>
    <x v="45"/>
  </r>
  <r>
    <x v="12"/>
  </r>
  <r>
    <x v="12"/>
  </r>
  <r>
    <x v="4"/>
  </r>
  <r>
    <x v="12"/>
  </r>
  <r>
    <x v="12"/>
  </r>
  <r>
    <x v="68"/>
  </r>
  <r>
    <x v="28"/>
  </r>
  <r>
    <x v="4"/>
  </r>
  <r>
    <x v="36"/>
  </r>
  <r>
    <x v="4"/>
  </r>
  <r>
    <x v="7"/>
  </r>
  <r>
    <x v="53"/>
  </r>
  <r>
    <x v="79"/>
  </r>
  <r>
    <x v="79"/>
  </r>
  <r>
    <x v="70"/>
  </r>
  <r>
    <x v="10"/>
  </r>
  <r>
    <x v="48"/>
  </r>
  <r>
    <x v="4"/>
  </r>
  <r>
    <x v="4"/>
  </r>
  <r>
    <x v="4"/>
  </r>
  <r>
    <x v="10"/>
  </r>
  <r>
    <x v="25"/>
  </r>
  <r>
    <x v="25"/>
  </r>
  <r>
    <x v="4"/>
  </r>
  <r>
    <x v="4"/>
  </r>
  <r>
    <x v="165"/>
  </r>
  <r>
    <x v="165"/>
  </r>
  <r>
    <x v="2"/>
  </r>
  <r>
    <x v="16"/>
  </r>
  <r>
    <x v="72"/>
  </r>
  <r>
    <x v="16"/>
  </r>
  <r>
    <x v="10"/>
  </r>
  <r>
    <x v="4"/>
  </r>
  <r>
    <x v="78"/>
  </r>
  <r>
    <x v="78"/>
  </r>
  <r>
    <x v="26"/>
  </r>
  <r>
    <x v="12"/>
  </r>
  <r>
    <x v="12"/>
  </r>
  <r>
    <x v="12"/>
  </r>
  <r>
    <x v="12"/>
  </r>
  <r>
    <x v="79"/>
  </r>
  <r>
    <x v="79"/>
  </r>
  <r>
    <x v="10"/>
  </r>
  <r>
    <x v="21"/>
  </r>
  <r>
    <x v="10"/>
  </r>
  <r>
    <x v="10"/>
  </r>
  <r>
    <x v="10"/>
  </r>
  <r>
    <x v="10"/>
  </r>
  <r>
    <x v="45"/>
  </r>
  <r>
    <x v="87"/>
  </r>
  <r>
    <x v="43"/>
  </r>
  <r>
    <x v="87"/>
  </r>
  <r>
    <x v="43"/>
  </r>
  <r>
    <x v="4"/>
  </r>
  <r>
    <x v="4"/>
  </r>
  <r>
    <x v="10"/>
  </r>
  <r>
    <x v="4"/>
  </r>
  <r>
    <x v="2"/>
  </r>
  <r>
    <x v="53"/>
  </r>
  <r>
    <x v="4"/>
  </r>
  <r>
    <x v="4"/>
  </r>
  <r>
    <x v="4"/>
  </r>
  <r>
    <x v="10"/>
  </r>
  <r>
    <x v="50"/>
  </r>
  <r>
    <x v="50"/>
  </r>
  <r>
    <x v="50"/>
  </r>
  <r>
    <x v="10"/>
  </r>
  <r>
    <x v="10"/>
  </r>
  <r>
    <x v="10"/>
  </r>
  <r>
    <x v="0"/>
  </r>
  <r>
    <x v="0"/>
  </r>
  <r>
    <x v="28"/>
  </r>
  <r>
    <x v="10"/>
  </r>
  <r>
    <x v="10"/>
  </r>
  <r>
    <x v="126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23"/>
  </r>
  <r>
    <x v="36"/>
  </r>
  <r>
    <x v="16"/>
  </r>
  <r>
    <x v="16"/>
  </r>
  <r>
    <x v="4"/>
  </r>
  <r>
    <x v="77"/>
  </r>
  <r>
    <x v="77"/>
  </r>
  <r>
    <x v="77"/>
  </r>
  <r>
    <x v="0"/>
  </r>
  <r>
    <x v="0"/>
  </r>
  <r>
    <x v="77"/>
  </r>
  <r>
    <x v="16"/>
  </r>
  <r>
    <x v="16"/>
  </r>
  <r>
    <x v="16"/>
  </r>
  <r>
    <x v="16"/>
  </r>
  <r>
    <x v="16"/>
  </r>
  <r>
    <x v="16"/>
  </r>
  <r>
    <x v="10"/>
  </r>
  <r>
    <x v="10"/>
  </r>
  <r>
    <x v="10"/>
  </r>
  <r>
    <x v="0"/>
  </r>
  <r>
    <x v="16"/>
  </r>
  <r>
    <x v="0"/>
  </r>
  <r>
    <x v="165"/>
  </r>
  <r>
    <x v="12"/>
  </r>
  <r>
    <x v="12"/>
  </r>
  <r>
    <x v="87"/>
  </r>
  <r>
    <x v="87"/>
  </r>
  <r>
    <x v="1"/>
  </r>
  <r>
    <x v="16"/>
  </r>
  <r>
    <x v="12"/>
  </r>
  <r>
    <x v="12"/>
  </r>
  <r>
    <x v="45"/>
  </r>
  <r>
    <x v="10"/>
  </r>
  <r>
    <x v="45"/>
  </r>
  <r>
    <x v="28"/>
  </r>
  <r>
    <x v="28"/>
  </r>
  <r>
    <x v="28"/>
  </r>
  <r>
    <x v="10"/>
  </r>
  <r>
    <x v="10"/>
  </r>
  <r>
    <x v="14"/>
  </r>
  <r>
    <x v="111"/>
  </r>
  <r>
    <x v="40"/>
  </r>
  <r>
    <x v="19"/>
  </r>
  <r>
    <x v="28"/>
  </r>
  <r>
    <x v="28"/>
  </r>
  <r>
    <x v="28"/>
  </r>
  <r>
    <x v="0"/>
  </r>
  <r>
    <x v="28"/>
  </r>
  <r>
    <x v="28"/>
  </r>
  <r>
    <x v="168"/>
  </r>
  <r>
    <x v="0"/>
  </r>
  <r>
    <x v="0"/>
  </r>
  <r>
    <x v="0"/>
  </r>
  <r>
    <x v="14"/>
  </r>
  <r>
    <x v="14"/>
  </r>
  <r>
    <x v="33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36"/>
  </r>
  <r>
    <x v="36"/>
  </r>
  <r>
    <x v="0"/>
  </r>
  <r>
    <x v="0"/>
  </r>
  <r>
    <x v="19"/>
  </r>
  <r>
    <x v="56"/>
  </r>
  <r>
    <x v="12"/>
  </r>
  <r>
    <x v="10"/>
  </r>
  <r>
    <x v="21"/>
  </r>
  <r>
    <x v="56"/>
  </r>
  <r>
    <x v="21"/>
  </r>
  <r>
    <x v="56"/>
  </r>
  <r>
    <x v="7"/>
  </r>
  <r>
    <x v="56"/>
  </r>
  <r>
    <x v="56"/>
  </r>
  <r>
    <x v="79"/>
  </r>
  <r>
    <x v="79"/>
  </r>
  <r>
    <x v="79"/>
  </r>
  <r>
    <x v="79"/>
  </r>
  <r>
    <x v="79"/>
  </r>
  <r>
    <x v="79"/>
  </r>
  <r>
    <x v="0"/>
  </r>
  <r>
    <x v="0"/>
  </r>
  <r>
    <x v="0"/>
  </r>
  <r>
    <x v="0"/>
  </r>
  <r>
    <x v="48"/>
  </r>
  <r>
    <x v="79"/>
  </r>
  <r>
    <x v="7"/>
  </r>
  <r>
    <x v="22"/>
  </r>
  <r>
    <x v="22"/>
  </r>
  <r>
    <x v="56"/>
  </r>
  <r>
    <x v="56"/>
  </r>
  <r>
    <x v="22"/>
  </r>
  <r>
    <x v="12"/>
  </r>
  <r>
    <x v="71"/>
  </r>
  <r>
    <x v="22"/>
  </r>
  <r>
    <x v="9"/>
  </r>
  <r>
    <x v="10"/>
  </r>
  <r>
    <x v="10"/>
  </r>
  <r>
    <x v="26"/>
  </r>
  <r>
    <x v="26"/>
  </r>
  <r>
    <x v="76"/>
  </r>
  <r>
    <x v="78"/>
  </r>
  <r>
    <x v="76"/>
  </r>
  <r>
    <x v="63"/>
  </r>
  <r>
    <x v="168"/>
  </r>
  <r>
    <x v="86"/>
  </r>
  <r>
    <x v="86"/>
  </r>
  <r>
    <x v="17"/>
  </r>
  <r>
    <x v="17"/>
  </r>
  <r>
    <x v="10"/>
  </r>
  <r>
    <x v="10"/>
  </r>
  <r>
    <x v="36"/>
  </r>
  <r>
    <x v="12"/>
  </r>
  <r>
    <x v="36"/>
  </r>
  <r>
    <x v="12"/>
  </r>
  <r>
    <x v="12"/>
  </r>
  <r>
    <x v="12"/>
  </r>
  <r>
    <x v="36"/>
  </r>
  <r>
    <x v="12"/>
  </r>
  <r>
    <x v="36"/>
  </r>
  <r>
    <x v="12"/>
  </r>
  <r>
    <x v="36"/>
  </r>
  <r>
    <x v="12"/>
  </r>
  <r>
    <x v="12"/>
  </r>
  <r>
    <x v="12"/>
  </r>
  <r>
    <x v="36"/>
  </r>
  <r>
    <x v="12"/>
  </r>
  <r>
    <x v="36"/>
  </r>
  <r>
    <x v="36"/>
  </r>
  <r>
    <x v="10"/>
  </r>
  <r>
    <x v="10"/>
  </r>
  <r>
    <x v="10"/>
  </r>
  <r>
    <x v="12"/>
  </r>
  <r>
    <x v="4"/>
  </r>
  <r>
    <x v="4"/>
  </r>
  <r>
    <x v="4"/>
  </r>
  <r>
    <x v="10"/>
  </r>
  <r>
    <x v="10"/>
  </r>
  <r>
    <x v="10"/>
  </r>
  <r>
    <x v="10"/>
  </r>
  <r>
    <x v="42"/>
  </r>
  <r>
    <x v="42"/>
  </r>
  <r>
    <x v="29"/>
  </r>
  <r>
    <x v="42"/>
  </r>
  <r>
    <x v="37"/>
  </r>
  <r>
    <x v="0"/>
  </r>
  <r>
    <x v="0"/>
  </r>
  <r>
    <x v="16"/>
  </r>
  <r>
    <x v="16"/>
  </r>
  <r>
    <x v="16"/>
  </r>
  <r>
    <x v="126"/>
  </r>
  <r>
    <x v="126"/>
  </r>
  <r>
    <x v="126"/>
  </r>
  <r>
    <x v="126"/>
  </r>
  <r>
    <x v="12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6"/>
  </r>
  <r>
    <x v="10"/>
  </r>
  <r>
    <x v="12"/>
  </r>
  <r>
    <x v="10"/>
  </r>
  <r>
    <x v="10"/>
  </r>
  <r>
    <x v="10"/>
  </r>
  <r>
    <x v="10"/>
  </r>
  <r>
    <x v="165"/>
  </r>
  <r>
    <x v="12"/>
  </r>
  <r>
    <x v="10"/>
  </r>
  <r>
    <x v="10"/>
  </r>
  <r>
    <x v="56"/>
  </r>
  <r>
    <x v="56"/>
  </r>
  <r>
    <x v="12"/>
  </r>
  <r>
    <x v="10"/>
  </r>
  <r>
    <x v="10"/>
  </r>
  <r>
    <x v="154"/>
  </r>
  <r>
    <x v="154"/>
  </r>
  <r>
    <x v="190"/>
  </r>
  <r>
    <x v="6"/>
  </r>
  <r>
    <x v="12"/>
  </r>
  <r>
    <x v="12"/>
  </r>
  <r>
    <x v="12"/>
  </r>
  <r>
    <x v="6"/>
  </r>
  <r>
    <x v="31"/>
  </r>
  <r>
    <x v="10"/>
  </r>
  <r>
    <x v="10"/>
  </r>
  <r>
    <x v="81"/>
  </r>
  <r>
    <x v="81"/>
  </r>
  <r>
    <x v="12"/>
  </r>
  <r>
    <x v="10"/>
  </r>
  <r>
    <x v="12"/>
  </r>
  <r>
    <x v="56"/>
  </r>
  <r>
    <x v="56"/>
  </r>
  <r>
    <x v="56"/>
  </r>
  <r>
    <x v="40"/>
  </r>
  <r>
    <x v="1"/>
  </r>
  <r>
    <x v="16"/>
  </r>
  <r>
    <x v="9"/>
  </r>
  <r>
    <x v="9"/>
  </r>
  <r>
    <x v="123"/>
  </r>
  <r>
    <x v="123"/>
  </r>
  <r>
    <x v="57"/>
  </r>
  <r>
    <x v="22"/>
  </r>
  <r>
    <x v="57"/>
  </r>
  <r>
    <x v="57"/>
  </r>
  <r>
    <x v="1"/>
  </r>
  <r>
    <x v="1"/>
  </r>
  <r>
    <x v="79"/>
  </r>
  <r>
    <x v="10"/>
  </r>
  <r>
    <x v="10"/>
  </r>
  <r>
    <x v="4"/>
  </r>
  <r>
    <x v="108"/>
  </r>
  <r>
    <x v="27"/>
  </r>
  <r>
    <x v="4"/>
  </r>
  <r>
    <x v="4"/>
  </r>
  <r>
    <x v="4"/>
  </r>
  <r>
    <x v="10"/>
  </r>
  <r>
    <x v="36"/>
  </r>
  <r>
    <x v="12"/>
  </r>
  <r>
    <x v="10"/>
  </r>
  <r>
    <x v="10"/>
  </r>
  <r>
    <x v="123"/>
  </r>
  <r>
    <x v="152"/>
  </r>
  <r>
    <x v="79"/>
  </r>
  <r>
    <x v="14"/>
  </r>
  <r>
    <x v="28"/>
  </r>
  <r>
    <x v="87"/>
  </r>
  <r>
    <x v="87"/>
  </r>
  <r>
    <x v="87"/>
  </r>
  <r>
    <x v="149"/>
  </r>
  <r>
    <x v="4"/>
  </r>
  <r>
    <x v="96"/>
  </r>
  <r>
    <x v="96"/>
  </r>
  <r>
    <x v="96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8"/>
  </r>
  <r>
    <x v="21"/>
  </r>
  <r>
    <x v="10"/>
  </r>
  <r>
    <x v="10"/>
  </r>
  <r>
    <x v="10"/>
  </r>
  <r>
    <x v="10"/>
  </r>
  <r>
    <x v="11"/>
  </r>
  <r>
    <x v="8"/>
  </r>
  <r>
    <x v="112"/>
  </r>
  <r>
    <x v="1"/>
  </r>
  <r>
    <x v="1"/>
  </r>
  <r>
    <x v="1"/>
  </r>
  <r>
    <x v="10"/>
  </r>
  <r>
    <x v="1"/>
  </r>
  <r>
    <x v="45"/>
  </r>
  <r>
    <x v="1"/>
  </r>
  <r>
    <x v="79"/>
  </r>
  <r>
    <x v="46"/>
  </r>
  <r>
    <x v="46"/>
  </r>
  <r>
    <x v="46"/>
  </r>
  <r>
    <x v="184"/>
  </r>
  <r>
    <x v="152"/>
  </r>
  <r>
    <x v="10"/>
  </r>
  <r>
    <x v="10"/>
  </r>
  <r>
    <x v="10"/>
  </r>
  <r>
    <x v="10"/>
  </r>
  <r>
    <x v="16"/>
  </r>
  <r>
    <x v="45"/>
  </r>
  <r>
    <x v="45"/>
  </r>
  <r>
    <x v="10"/>
  </r>
  <r>
    <x v="45"/>
  </r>
  <r>
    <x v="45"/>
  </r>
  <r>
    <x v="48"/>
  </r>
  <r>
    <x v="12"/>
  </r>
  <r>
    <x v="16"/>
  </r>
  <r>
    <x v="14"/>
  </r>
  <r>
    <x v="14"/>
  </r>
  <r>
    <x v="14"/>
  </r>
  <r>
    <x v="14"/>
  </r>
  <r>
    <x v="14"/>
  </r>
  <r>
    <x v="86"/>
  </r>
  <r>
    <x v="51"/>
  </r>
  <r>
    <x v="51"/>
  </r>
  <r>
    <x v="51"/>
  </r>
  <r>
    <x v="51"/>
  </r>
  <r>
    <x v="86"/>
  </r>
  <r>
    <x v="51"/>
  </r>
  <r>
    <x v="86"/>
  </r>
  <r>
    <x v="86"/>
  </r>
  <r>
    <x v="51"/>
  </r>
  <r>
    <x v="51"/>
  </r>
  <r>
    <x v="51"/>
  </r>
  <r>
    <x v="51"/>
  </r>
  <r>
    <x v="86"/>
  </r>
  <r>
    <x v="28"/>
  </r>
  <r>
    <x v="10"/>
  </r>
  <r>
    <x v="48"/>
  </r>
  <r>
    <x v="28"/>
  </r>
  <r>
    <x v="12"/>
  </r>
  <r>
    <x v="0"/>
  </r>
  <r>
    <x v="4"/>
  </r>
  <r>
    <x v="16"/>
  </r>
  <r>
    <x v="12"/>
  </r>
  <r>
    <x v="12"/>
  </r>
  <r>
    <x v="12"/>
  </r>
  <r>
    <x v="42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4"/>
  </r>
  <r>
    <x v="87"/>
  </r>
  <r>
    <x v="87"/>
  </r>
  <r>
    <x v="87"/>
  </r>
  <r>
    <x v="4"/>
  </r>
  <r>
    <x v="50"/>
  </r>
  <r>
    <x v="87"/>
  </r>
  <r>
    <x v="175"/>
  </r>
  <r>
    <x v="175"/>
  </r>
  <r>
    <x v="175"/>
  </r>
  <r>
    <x v="12"/>
  </r>
  <r>
    <x v="10"/>
  </r>
  <r>
    <x v="72"/>
  </r>
  <r>
    <x v="12"/>
  </r>
  <r>
    <x v="12"/>
  </r>
  <r>
    <x v="72"/>
  </r>
  <r>
    <x v="72"/>
  </r>
  <r>
    <x v="12"/>
  </r>
  <r>
    <x v="72"/>
  </r>
  <r>
    <x v="12"/>
  </r>
  <r>
    <x v="12"/>
  </r>
  <r>
    <x v="7"/>
  </r>
  <r>
    <x v="12"/>
  </r>
  <r>
    <x v="12"/>
  </r>
  <r>
    <x v="45"/>
  </r>
  <r>
    <x v="28"/>
  </r>
  <r>
    <x v="45"/>
  </r>
  <r>
    <x v="51"/>
  </r>
  <r>
    <x v="12"/>
  </r>
  <r>
    <x v="51"/>
  </r>
  <r>
    <x v="51"/>
  </r>
  <r>
    <x v="51"/>
  </r>
  <r>
    <x v="115"/>
  </r>
  <r>
    <x v="4"/>
  </r>
  <r>
    <x v="52"/>
  </r>
  <r>
    <x v="28"/>
  </r>
  <r>
    <x v="4"/>
  </r>
  <r>
    <x v="116"/>
  </r>
  <r>
    <x v="43"/>
  </r>
  <r>
    <x v="48"/>
  </r>
  <r>
    <x v="24"/>
  </r>
  <r>
    <x v="4"/>
  </r>
  <r>
    <x v="25"/>
  </r>
  <r>
    <x v="86"/>
  </r>
  <r>
    <x v="86"/>
  </r>
  <r>
    <x v="86"/>
  </r>
  <r>
    <x v="8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10"/>
  </r>
  <r>
    <x v="42"/>
  </r>
  <r>
    <x v="42"/>
  </r>
  <r>
    <x v="42"/>
  </r>
  <r>
    <x v="42"/>
  </r>
  <r>
    <x v="42"/>
  </r>
  <r>
    <x v="42"/>
  </r>
  <r>
    <x v="42"/>
  </r>
  <r>
    <x v="0"/>
  </r>
  <r>
    <x v="12"/>
  </r>
  <r>
    <x v="12"/>
  </r>
  <r>
    <x v="12"/>
  </r>
  <r>
    <x v="12"/>
  </r>
  <r>
    <x v="12"/>
  </r>
  <r>
    <x v="4"/>
  </r>
  <r>
    <x v="7"/>
  </r>
  <r>
    <x v="12"/>
  </r>
  <r>
    <x v="7"/>
  </r>
  <r>
    <x v="4"/>
  </r>
  <r>
    <x v="7"/>
  </r>
  <r>
    <x v="21"/>
  </r>
  <r>
    <x v="162"/>
  </r>
  <r>
    <x v="1"/>
  </r>
  <r>
    <x v="56"/>
  </r>
  <r>
    <x v="162"/>
  </r>
  <r>
    <x v="56"/>
  </r>
  <r>
    <x v="56"/>
  </r>
  <r>
    <x v="56"/>
  </r>
  <r>
    <x v="108"/>
  </r>
  <r>
    <x v="24"/>
  </r>
  <r>
    <x v="24"/>
  </r>
  <r>
    <x v="24"/>
  </r>
  <r>
    <x v="152"/>
  </r>
  <r>
    <x v="110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08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81"/>
  </r>
  <r>
    <x v="10"/>
  </r>
  <r>
    <x v="10"/>
  </r>
  <r>
    <x v="10"/>
  </r>
  <r>
    <x v="10"/>
  </r>
  <r>
    <x v="50"/>
  </r>
  <r>
    <x v="4"/>
  </r>
  <r>
    <x v="81"/>
  </r>
  <r>
    <x v="81"/>
  </r>
  <r>
    <x v="81"/>
  </r>
  <r>
    <x v="81"/>
  </r>
  <r>
    <x v="85"/>
  </r>
  <r>
    <x v="8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89"/>
  </r>
  <r>
    <x v="26"/>
  </r>
  <r>
    <x v="86"/>
  </r>
  <r>
    <x v="86"/>
  </r>
  <r>
    <x v="86"/>
  </r>
  <r>
    <x v="86"/>
  </r>
  <r>
    <x v="4"/>
  </r>
  <r>
    <x v="10"/>
  </r>
  <r>
    <x v="4"/>
  </r>
  <r>
    <x v="4"/>
  </r>
  <r>
    <x v="4"/>
  </r>
  <r>
    <x v="4"/>
  </r>
  <r>
    <x v="4"/>
  </r>
  <r>
    <x v="4"/>
  </r>
  <r>
    <x v="10"/>
  </r>
  <r>
    <x v="78"/>
  </r>
  <r>
    <x v="78"/>
  </r>
  <r>
    <x v="78"/>
  </r>
  <r>
    <x v="12"/>
  </r>
  <r>
    <x v="12"/>
  </r>
  <r>
    <x v="78"/>
  </r>
  <r>
    <x v="78"/>
  </r>
  <r>
    <x v="0"/>
  </r>
  <r>
    <x v="78"/>
  </r>
  <r>
    <x v="78"/>
  </r>
  <r>
    <x v="78"/>
  </r>
  <r>
    <x v="78"/>
  </r>
  <r>
    <x v="78"/>
  </r>
  <r>
    <x v="87"/>
  </r>
  <r>
    <x v="78"/>
  </r>
  <r>
    <x v="78"/>
  </r>
  <r>
    <x v="78"/>
  </r>
  <r>
    <x v="78"/>
  </r>
  <r>
    <x v="78"/>
  </r>
  <r>
    <x v="78"/>
  </r>
  <r>
    <x v="78"/>
  </r>
  <r>
    <x v="78"/>
  </r>
  <r>
    <x v="26"/>
  </r>
  <r>
    <x v="78"/>
  </r>
  <r>
    <x v="16"/>
  </r>
  <r>
    <x v="78"/>
  </r>
  <r>
    <x v="78"/>
  </r>
  <r>
    <x v="78"/>
  </r>
  <r>
    <x v="78"/>
  </r>
  <r>
    <x v="78"/>
  </r>
  <r>
    <x v="36"/>
  </r>
  <r>
    <x v="29"/>
  </r>
  <r>
    <x v="78"/>
  </r>
  <r>
    <x v="78"/>
  </r>
  <r>
    <x v="14"/>
  </r>
  <r>
    <x v="17"/>
  </r>
  <r>
    <x v="28"/>
  </r>
  <r>
    <x v="14"/>
  </r>
  <r>
    <x v="14"/>
  </r>
  <r>
    <x v="44"/>
  </r>
  <r>
    <x v="14"/>
  </r>
  <r>
    <x v="28"/>
  </r>
  <r>
    <x v="12"/>
  </r>
  <r>
    <x v="12"/>
  </r>
  <r>
    <x v="4"/>
  </r>
  <r>
    <x v="10"/>
  </r>
  <r>
    <x v="10"/>
  </r>
  <r>
    <x v="16"/>
  </r>
  <r>
    <x v="28"/>
  </r>
  <r>
    <x v="28"/>
  </r>
  <r>
    <x v="28"/>
  </r>
  <r>
    <x v="28"/>
  </r>
  <r>
    <x v="28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38"/>
  </r>
  <r>
    <x v="138"/>
  </r>
  <r>
    <x v="16"/>
  </r>
  <r>
    <x v="138"/>
  </r>
  <r>
    <x v="4"/>
  </r>
  <r>
    <x v="14"/>
  </r>
  <r>
    <x v="42"/>
  </r>
  <r>
    <x v="12"/>
  </r>
  <r>
    <x v="81"/>
  </r>
  <r>
    <x v="123"/>
  </r>
  <r>
    <x v="36"/>
  </r>
  <r>
    <x v="168"/>
  </r>
  <r>
    <x v="168"/>
  </r>
  <r>
    <x v="81"/>
  </r>
  <r>
    <x v="16"/>
  </r>
  <r>
    <x v="152"/>
  </r>
  <r>
    <x v="159"/>
  </r>
  <r>
    <x v="123"/>
  </r>
  <r>
    <x v="16"/>
  </r>
  <r>
    <x v="10"/>
  </r>
  <r>
    <x v="10"/>
  </r>
  <r>
    <x v="40"/>
  </r>
  <r>
    <x v="4"/>
  </r>
  <r>
    <x v="17"/>
  </r>
  <r>
    <x v="22"/>
  </r>
  <r>
    <x v="12"/>
  </r>
  <r>
    <x v="28"/>
  </r>
  <r>
    <x v="28"/>
  </r>
  <r>
    <x v="14"/>
  </r>
  <r>
    <x v="7"/>
  </r>
  <r>
    <x v="14"/>
  </r>
  <r>
    <x v="7"/>
  </r>
  <r>
    <x v="7"/>
  </r>
  <r>
    <x v="7"/>
  </r>
  <r>
    <x v="7"/>
  </r>
  <r>
    <x v="7"/>
  </r>
  <r>
    <x v="84"/>
  </r>
  <r>
    <x v="7"/>
  </r>
  <r>
    <x v="1"/>
  </r>
  <r>
    <x v="25"/>
  </r>
  <r>
    <x v="25"/>
  </r>
  <r>
    <x v="25"/>
  </r>
  <r>
    <x v="79"/>
  </r>
  <r>
    <x v="79"/>
  </r>
  <r>
    <x v="79"/>
  </r>
  <r>
    <x v="79"/>
  </r>
  <r>
    <x v="79"/>
  </r>
  <r>
    <x v="79"/>
  </r>
  <r>
    <x v="183"/>
  </r>
  <r>
    <x v="10"/>
  </r>
  <r>
    <x v="10"/>
  </r>
  <r>
    <x v="138"/>
  </r>
  <r>
    <x v="138"/>
  </r>
  <r>
    <x v="138"/>
  </r>
  <r>
    <x v="10"/>
  </r>
  <r>
    <x v="10"/>
  </r>
  <r>
    <x v="138"/>
  </r>
  <r>
    <x v="10"/>
  </r>
  <r>
    <x v="10"/>
  </r>
  <r>
    <x v="138"/>
  </r>
  <r>
    <x v="138"/>
  </r>
  <r>
    <x v="10"/>
  </r>
  <r>
    <x v="138"/>
  </r>
  <r>
    <x v="10"/>
  </r>
  <r>
    <x v="4"/>
  </r>
  <r>
    <x v="27"/>
  </r>
  <r>
    <x v="10"/>
  </r>
  <r>
    <x v="12"/>
  </r>
  <r>
    <x v="59"/>
  </r>
  <r>
    <x v="7"/>
  </r>
  <r>
    <x v="10"/>
  </r>
  <r>
    <x v="10"/>
  </r>
  <r>
    <x v="4"/>
  </r>
  <r>
    <x v="10"/>
  </r>
  <r>
    <x v="4"/>
  </r>
  <r>
    <x v="10"/>
  </r>
  <r>
    <x v="4"/>
  </r>
  <r>
    <x v="10"/>
  </r>
  <r>
    <x v="10"/>
  </r>
  <r>
    <x v="4"/>
  </r>
  <r>
    <x v="4"/>
  </r>
  <r>
    <x v="4"/>
  </r>
  <r>
    <x v="10"/>
  </r>
  <r>
    <x v="4"/>
  </r>
  <r>
    <x v="14"/>
  </r>
  <r>
    <x v="10"/>
  </r>
  <r>
    <x v="4"/>
  </r>
  <r>
    <x v="111"/>
  </r>
  <r>
    <x v="113"/>
  </r>
  <r>
    <x v="10"/>
  </r>
  <r>
    <x v="10"/>
  </r>
  <r>
    <x v="10"/>
  </r>
  <r>
    <x v="10"/>
  </r>
  <r>
    <x v="4"/>
  </r>
  <r>
    <x v="115"/>
  </r>
  <r>
    <x v="10"/>
  </r>
  <r>
    <x v="122"/>
  </r>
  <r>
    <x v="122"/>
  </r>
  <r>
    <x v="75"/>
  </r>
  <r>
    <x v="75"/>
  </r>
  <r>
    <x v="266"/>
  </r>
  <r>
    <x v="37"/>
  </r>
  <r>
    <x v="42"/>
  </r>
  <r>
    <x v="42"/>
  </r>
  <r>
    <x v="128"/>
  </r>
  <r>
    <x v="0"/>
  </r>
  <r>
    <x v="0"/>
  </r>
  <r>
    <x v="1"/>
  </r>
  <r>
    <x v="1"/>
  </r>
  <r>
    <x v="31"/>
  </r>
  <r>
    <x v="1"/>
  </r>
  <r>
    <x v="14"/>
  </r>
  <r>
    <x v="31"/>
  </r>
  <r>
    <x v="9"/>
  </r>
  <r>
    <x v="10"/>
  </r>
  <r>
    <x v="10"/>
  </r>
  <r>
    <x v="10"/>
  </r>
  <r>
    <x v="10"/>
  </r>
  <r>
    <x v="10"/>
  </r>
  <r>
    <x v="33"/>
  </r>
  <r>
    <x v="31"/>
  </r>
  <r>
    <x v="31"/>
  </r>
  <r>
    <x v="31"/>
  </r>
  <r>
    <x v="86"/>
  </r>
  <r>
    <x v="24"/>
  </r>
  <r>
    <x v="64"/>
  </r>
  <r>
    <x v="33"/>
  </r>
  <r>
    <x v="10"/>
  </r>
  <r>
    <x v="10"/>
  </r>
  <r>
    <x v="10"/>
  </r>
  <r>
    <x v="87"/>
  </r>
  <r>
    <x v="12"/>
  </r>
  <r>
    <x v="12"/>
  </r>
  <r>
    <x v="36"/>
  </r>
  <r>
    <x v="36"/>
  </r>
  <r>
    <x v="96"/>
  </r>
  <r>
    <x v="96"/>
  </r>
  <r>
    <x v="80"/>
  </r>
  <r>
    <x v="165"/>
  </r>
  <r>
    <x v="55"/>
  </r>
  <r>
    <x v="165"/>
  </r>
  <r>
    <x v="123"/>
  </r>
  <r>
    <x v="87"/>
  </r>
  <r>
    <x v="42"/>
  </r>
  <r>
    <x v="42"/>
  </r>
  <r>
    <x v="10"/>
  </r>
  <r>
    <x v="4"/>
  </r>
  <r>
    <x v="10"/>
  </r>
  <r>
    <x v="0"/>
  </r>
  <r>
    <x v="10"/>
  </r>
  <r>
    <x v="31"/>
  </r>
  <r>
    <x v="10"/>
  </r>
  <r>
    <x v="10"/>
  </r>
  <r>
    <x v="1"/>
  </r>
  <r>
    <x v="31"/>
  </r>
  <r>
    <x v="36"/>
  </r>
  <r>
    <x v="10"/>
  </r>
  <r>
    <x v="10"/>
  </r>
  <r>
    <x v="10"/>
  </r>
  <r>
    <x v="10"/>
  </r>
  <r>
    <x v="10"/>
  </r>
  <r>
    <x v="9"/>
  </r>
  <r>
    <x v="9"/>
  </r>
  <r>
    <x v="126"/>
  </r>
  <r>
    <x v="10"/>
  </r>
  <r>
    <x v="23"/>
  </r>
  <r>
    <x v="10"/>
  </r>
  <r>
    <x v="1"/>
  </r>
  <r>
    <x v="1"/>
  </r>
  <r>
    <x v="10"/>
  </r>
  <r>
    <x v="10"/>
  </r>
  <r>
    <x v="16"/>
  </r>
  <r>
    <x v="28"/>
  </r>
  <r>
    <x v="0"/>
  </r>
  <r>
    <x v="0"/>
  </r>
  <r>
    <x v="0"/>
  </r>
  <r>
    <x v="0"/>
  </r>
  <r>
    <x v="0"/>
  </r>
  <r>
    <x v="48"/>
  </r>
  <r>
    <x v="42"/>
  </r>
  <r>
    <x v="0"/>
  </r>
  <r>
    <x v="71"/>
  </r>
  <r>
    <x v="71"/>
  </r>
  <r>
    <x v="0"/>
  </r>
  <r>
    <x v="4"/>
  </r>
  <r>
    <x v="48"/>
  </r>
  <r>
    <x v="12"/>
  </r>
  <r>
    <x v="11"/>
  </r>
  <r>
    <x v="11"/>
  </r>
  <r>
    <x v="11"/>
  </r>
  <r>
    <x v="33"/>
  </r>
  <r>
    <x v="10"/>
  </r>
  <r>
    <x v="10"/>
  </r>
  <r>
    <x v="10"/>
  </r>
  <r>
    <x v="2"/>
  </r>
  <r>
    <x v="4"/>
  </r>
  <r>
    <x v="4"/>
  </r>
  <r>
    <x v="4"/>
  </r>
  <r>
    <x v="4"/>
  </r>
  <r>
    <x v="10"/>
  </r>
  <r>
    <x v="10"/>
  </r>
  <r>
    <x v="10"/>
  </r>
  <r>
    <x v="12"/>
  </r>
  <r>
    <x v="12"/>
  </r>
  <r>
    <x v="142"/>
  </r>
  <r>
    <x v="123"/>
  </r>
  <r>
    <x v="123"/>
  </r>
  <r>
    <x v="123"/>
  </r>
  <r>
    <x v="81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0"/>
  </r>
  <r>
    <x v="10"/>
  </r>
  <r>
    <x v="10"/>
  </r>
  <r>
    <x v="19"/>
  </r>
  <r>
    <x v="10"/>
  </r>
  <r>
    <x v="10"/>
  </r>
  <r>
    <x v="165"/>
  </r>
  <r>
    <x v="77"/>
  </r>
  <r>
    <x v="10"/>
  </r>
  <r>
    <x v="20"/>
  </r>
  <r>
    <x v="10"/>
  </r>
  <r>
    <x v="56"/>
  </r>
  <r>
    <x v="165"/>
  </r>
  <r>
    <x v="4"/>
  </r>
  <r>
    <x v="165"/>
  </r>
  <r>
    <x v="165"/>
  </r>
  <r>
    <x v="4"/>
  </r>
  <r>
    <x v="165"/>
  </r>
  <r>
    <x v="4"/>
  </r>
  <r>
    <x v="22"/>
  </r>
  <r>
    <x v="4"/>
  </r>
  <r>
    <x v="141"/>
  </r>
  <r>
    <x v="80"/>
  </r>
  <r>
    <x v="87"/>
  </r>
  <r>
    <x v="87"/>
  </r>
  <r>
    <x v="87"/>
  </r>
  <r>
    <x v="12"/>
  </r>
  <r>
    <x v="12"/>
  </r>
  <r>
    <x v="87"/>
  </r>
  <r>
    <x v="87"/>
  </r>
  <r>
    <x v="87"/>
  </r>
  <r>
    <x v="50"/>
  </r>
  <r>
    <x v="50"/>
  </r>
  <r>
    <x v="50"/>
  </r>
  <r>
    <x v="76"/>
  </r>
  <r>
    <x v="138"/>
  </r>
  <r>
    <x v="4"/>
  </r>
  <r>
    <x v="4"/>
  </r>
  <r>
    <x v="28"/>
  </r>
  <r>
    <x v="28"/>
  </r>
  <r>
    <x v="28"/>
  </r>
  <r>
    <x v="28"/>
  </r>
  <r>
    <x v="28"/>
  </r>
  <r>
    <x v="28"/>
  </r>
  <r>
    <x v="28"/>
  </r>
  <r>
    <x v="28"/>
  </r>
  <r>
    <x v="10"/>
  </r>
  <r>
    <x v="56"/>
  </r>
  <r>
    <x v="10"/>
  </r>
  <r>
    <x v="4"/>
  </r>
  <r>
    <x v="130"/>
  </r>
  <r>
    <x v="42"/>
  </r>
  <r>
    <x v="4"/>
  </r>
  <r>
    <x v="4"/>
  </r>
  <r>
    <x v="71"/>
  </r>
  <r>
    <x v="130"/>
  </r>
  <r>
    <x v="165"/>
  </r>
  <r>
    <x v="165"/>
  </r>
  <r>
    <x v="42"/>
  </r>
  <r>
    <x v="42"/>
  </r>
  <r>
    <x v="42"/>
  </r>
  <r>
    <x v="4"/>
  </r>
  <r>
    <x v="42"/>
  </r>
  <r>
    <x v="42"/>
  </r>
  <r>
    <x v="165"/>
  </r>
  <r>
    <x v="10"/>
  </r>
  <r>
    <x v="10"/>
  </r>
  <r>
    <x v="10"/>
  </r>
  <r>
    <x v="10"/>
  </r>
  <r>
    <x v="152"/>
  </r>
  <r>
    <x v="10"/>
  </r>
  <r>
    <x v="10"/>
  </r>
  <r>
    <x v="10"/>
  </r>
  <r>
    <x v="10"/>
  </r>
  <r>
    <x v="10"/>
  </r>
  <r>
    <x v="10"/>
  </r>
  <r>
    <x v="10"/>
  </r>
  <r>
    <x v="12"/>
  </r>
  <r>
    <x v="115"/>
  </r>
  <r>
    <x v="115"/>
  </r>
  <r>
    <x v="10"/>
  </r>
  <r>
    <x v="42"/>
  </r>
  <r>
    <x v="80"/>
  </r>
  <r>
    <x v="57"/>
  </r>
  <r>
    <x v="123"/>
  </r>
  <r>
    <x v="123"/>
  </r>
  <r>
    <x v="123"/>
  </r>
  <r>
    <x v="152"/>
  </r>
  <r>
    <x v="123"/>
  </r>
  <r>
    <x v="123"/>
  </r>
  <r>
    <x v="123"/>
  </r>
  <r>
    <x v="123"/>
  </r>
  <r>
    <x v="123"/>
  </r>
  <r>
    <x v="123"/>
  </r>
  <r>
    <x v="123"/>
  </r>
  <r>
    <x v="63"/>
  </r>
  <r>
    <x v="63"/>
  </r>
  <r>
    <x v="130"/>
  </r>
  <r>
    <x v="2"/>
  </r>
  <r>
    <x v="17"/>
  </r>
  <r>
    <x v="8"/>
  </r>
  <r>
    <x v="8"/>
  </r>
  <r>
    <x v="8"/>
  </r>
  <r>
    <x v="8"/>
  </r>
  <r>
    <x v="8"/>
  </r>
  <r>
    <x v="138"/>
  </r>
  <r>
    <x v="78"/>
  </r>
  <r>
    <x v="22"/>
  </r>
  <r>
    <x v="4"/>
  </r>
  <r>
    <x v="4"/>
  </r>
  <r>
    <x v="4"/>
  </r>
  <r>
    <x v="0"/>
  </r>
  <r>
    <x v="78"/>
  </r>
  <r>
    <x v="78"/>
  </r>
  <r>
    <x v="0"/>
  </r>
  <r>
    <x v="0"/>
  </r>
  <r>
    <x v="4"/>
  </r>
  <r>
    <x v="63"/>
  </r>
  <r>
    <x v="141"/>
  </r>
  <r>
    <x v="59"/>
  </r>
  <r>
    <x v="141"/>
  </r>
  <r>
    <x v="141"/>
  </r>
  <r>
    <x v="141"/>
  </r>
  <r>
    <x v="141"/>
  </r>
  <r>
    <x v="77"/>
  </r>
  <r>
    <x v="0"/>
  </r>
  <r>
    <x v="123"/>
  </r>
  <r>
    <x v="123"/>
  </r>
  <r>
    <x v="12"/>
  </r>
  <r>
    <x v="12"/>
  </r>
  <r>
    <x v="12"/>
  </r>
  <r>
    <x v="123"/>
  </r>
  <r>
    <x v="42"/>
  </r>
  <r>
    <x v="42"/>
  </r>
  <r>
    <x v="22"/>
  </r>
  <r>
    <x v="78"/>
  </r>
  <r>
    <x v="128"/>
  </r>
  <r>
    <x v="128"/>
  </r>
  <r>
    <x v="128"/>
  </r>
  <r>
    <x v="10"/>
  </r>
  <r>
    <x v="10"/>
  </r>
  <r>
    <x v="10"/>
  </r>
  <r>
    <x v="10"/>
  </r>
  <r>
    <x v="10"/>
  </r>
  <r>
    <x v="10"/>
  </r>
  <r>
    <x v="9"/>
  </r>
  <r>
    <x v="17"/>
  </r>
  <r>
    <x v="0"/>
  </r>
  <r>
    <x v="11"/>
  </r>
  <r>
    <x v="25"/>
  </r>
  <r>
    <x v="0"/>
  </r>
  <r>
    <x v="0"/>
  </r>
  <r>
    <x v="0"/>
  </r>
  <r>
    <x v="0"/>
  </r>
  <r>
    <x v="11"/>
  </r>
  <r>
    <x v="0"/>
  </r>
  <r>
    <x v="14"/>
  </r>
  <r>
    <x v="16"/>
  </r>
  <r>
    <x v="0"/>
  </r>
  <r>
    <x v="0"/>
  </r>
  <r>
    <x v="11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42"/>
  </r>
  <r>
    <x v="42"/>
  </r>
  <r>
    <x v="115"/>
  </r>
  <r>
    <x v="115"/>
  </r>
  <r>
    <x v="115"/>
  </r>
  <r>
    <x v="7"/>
  </r>
  <r>
    <x v="7"/>
  </r>
  <r>
    <x v="11"/>
  </r>
  <r>
    <x v="10"/>
  </r>
  <r>
    <x v="10"/>
  </r>
  <r>
    <x v="9"/>
  </r>
  <r>
    <x v="115"/>
  </r>
  <r>
    <x v="115"/>
  </r>
  <r>
    <x v="102"/>
  </r>
  <r>
    <x v="4"/>
  </r>
  <r>
    <x v="4"/>
  </r>
  <r>
    <x v="4"/>
  </r>
  <r>
    <x v="12"/>
  </r>
  <r>
    <x v="12"/>
  </r>
  <r>
    <x v="12"/>
  </r>
  <r>
    <x v="12"/>
  </r>
  <r>
    <x v="7"/>
  </r>
  <r>
    <x v="7"/>
  </r>
  <r>
    <x v="7"/>
  </r>
  <r>
    <x v="12"/>
  </r>
  <r>
    <x v="12"/>
  </r>
  <r>
    <x v="12"/>
  </r>
  <r>
    <x v="16"/>
  </r>
  <r>
    <x v="14"/>
  </r>
  <r>
    <x v="0"/>
  </r>
  <r>
    <x v="14"/>
  </r>
  <r>
    <x v="14"/>
  </r>
  <r>
    <x v="0"/>
  </r>
  <r>
    <x v="0"/>
  </r>
  <r>
    <x v="10"/>
  </r>
  <r>
    <x v="8"/>
  </r>
  <r>
    <x v="10"/>
  </r>
  <r>
    <x v="10"/>
  </r>
  <r>
    <x v="10"/>
  </r>
  <r>
    <x v="12"/>
  </r>
  <r>
    <x v="10"/>
  </r>
  <r>
    <x v="231"/>
  </r>
  <r>
    <x v="8"/>
  </r>
  <r>
    <x v="8"/>
  </r>
  <r>
    <x v="10"/>
  </r>
  <r>
    <x v="21"/>
  </r>
  <r>
    <x v="10"/>
  </r>
  <r>
    <x v="0"/>
  </r>
  <r>
    <x v="123"/>
  </r>
  <r>
    <x v="155"/>
  </r>
  <r>
    <x v="14"/>
  </r>
  <r>
    <x v="77"/>
  </r>
  <r>
    <x v="1"/>
  </r>
  <r>
    <x v="0"/>
  </r>
  <r>
    <x v="0"/>
  </r>
  <r>
    <x v="12"/>
  </r>
  <r>
    <x v="12"/>
  </r>
  <r>
    <x v="14"/>
  </r>
  <r>
    <x v="165"/>
  </r>
  <r>
    <x v="16"/>
  </r>
  <r>
    <x v="4"/>
  </r>
  <r>
    <x v="10"/>
  </r>
  <r>
    <x v="86"/>
  </r>
  <r>
    <x v="86"/>
  </r>
  <r>
    <x v="86"/>
  </r>
  <r>
    <x v="86"/>
  </r>
  <r>
    <x v="86"/>
  </r>
  <r>
    <x v="86"/>
  </r>
  <r>
    <x v="12"/>
  </r>
  <r>
    <x v="42"/>
  </r>
  <r>
    <x v="42"/>
  </r>
  <r>
    <x v="42"/>
  </r>
  <r>
    <x v="12"/>
  </r>
  <r>
    <x v="42"/>
  </r>
  <r>
    <x v="42"/>
  </r>
  <r>
    <x v="71"/>
  </r>
  <r>
    <x v="12"/>
  </r>
  <r>
    <x v="56"/>
  </r>
  <r>
    <x v="0"/>
  </r>
  <r>
    <x v="0"/>
  </r>
  <r>
    <x v="42"/>
  </r>
  <r>
    <x v="71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86"/>
  </r>
  <r>
    <x v="87"/>
  </r>
  <r>
    <x v="271"/>
  </r>
  <r>
    <x v="78"/>
  </r>
  <r>
    <x v="78"/>
  </r>
  <r>
    <x v="42"/>
  </r>
  <r>
    <x v="14"/>
  </r>
  <r>
    <x v="11"/>
  </r>
  <r>
    <x v="63"/>
  </r>
  <r>
    <x v="87"/>
  </r>
  <r>
    <x v="29"/>
  </r>
  <r>
    <x v="76"/>
  </r>
  <r>
    <x v="9"/>
  </r>
  <r>
    <x v="4"/>
  </r>
  <r>
    <x v="10"/>
  </r>
  <r>
    <x v="4"/>
  </r>
  <r>
    <x v="165"/>
  </r>
  <r>
    <x v="4"/>
  </r>
  <r>
    <x v="76"/>
  </r>
  <r>
    <x v="165"/>
  </r>
  <r>
    <x v="10"/>
  </r>
  <r>
    <x v="4"/>
  </r>
  <r>
    <x v="10"/>
  </r>
  <r>
    <x v="123"/>
  </r>
  <r>
    <x v="4"/>
  </r>
  <r>
    <x v="4"/>
  </r>
  <r>
    <x v="4"/>
  </r>
  <r>
    <x v="4"/>
  </r>
  <r>
    <x v="4"/>
  </r>
  <r>
    <x v="4"/>
  </r>
  <r>
    <x v="10"/>
  </r>
  <r>
    <x v="37"/>
  </r>
  <r>
    <x v="14"/>
  </r>
  <r>
    <x v="11"/>
  </r>
  <r>
    <x v="4"/>
  </r>
  <r>
    <x v="105"/>
  </r>
  <r>
    <x v="28"/>
  </r>
  <r>
    <x v="115"/>
  </r>
  <r>
    <x v="123"/>
  </r>
  <r>
    <x v="123"/>
  </r>
  <r>
    <x v="64"/>
  </r>
  <r>
    <x v="123"/>
  </r>
  <r>
    <x v="63"/>
  </r>
  <r>
    <x v="63"/>
  </r>
  <r>
    <x v="10"/>
  </r>
  <r>
    <x v="33"/>
  </r>
  <r>
    <x v="165"/>
  </r>
  <r>
    <x v="16"/>
  </r>
  <r>
    <x v="18"/>
  </r>
  <r>
    <x v="17"/>
  </r>
  <r>
    <x v="17"/>
  </r>
  <r>
    <x v="18"/>
  </r>
  <r>
    <x v="8"/>
  </r>
  <r>
    <x v="89"/>
  </r>
  <r>
    <x v="4"/>
  </r>
  <r>
    <x v="138"/>
  </r>
  <r>
    <x v="78"/>
  </r>
  <r>
    <x v="10"/>
  </r>
  <r>
    <x v="10"/>
  </r>
  <r>
    <x v="136"/>
  </r>
  <r>
    <x v="141"/>
  </r>
  <r>
    <x v="141"/>
  </r>
  <r>
    <x v="25"/>
  </r>
  <r>
    <x v="131"/>
  </r>
  <r>
    <x v="14"/>
  </r>
  <r>
    <x v="123"/>
  </r>
  <r>
    <x v="123"/>
  </r>
  <r>
    <x v="12"/>
  </r>
  <r>
    <x v="12"/>
  </r>
  <r>
    <x v="12"/>
  </r>
  <r>
    <x v="4"/>
  </r>
  <r>
    <x v="51"/>
  </r>
  <r>
    <x v="10"/>
  </r>
  <r>
    <x v="10"/>
  </r>
  <r>
    <x v="10"/>
  </r>
  <r>
    <x v="10"/>
  </r>
  <r>
    <x v="10"/>
  </r>
  <r>
    <x v="10"/>
  </r>
  <r>
    <x v="10"/>
  </r>
  <r>
    <x v="10"/>
  </r>
  <r>
    <x v="50"/>
  </r>
  <r>
    <x v="11"/>
  </r>
  <r>
    <x v="11"/>
  </r>
  <r>
    <x v="11"/>
  </r>
  <r>
    <x v="17"/>
  </r>
  <r>
    <x v="14"/>
  </r>
  <r>
    <x v="12"/>
  </r>
  <r>
    <x v="56"/>
  </r>
  <r>
    <x v="42"/>
  </r>
  <r>
    <x v="12"/>
  </r>
  <r>
    <x v="28"/>
  </r>
  <r>
    <x v="87"/>
  </r>
  <r>
    <x v="12"/>
  </r>
  <r>
    <x v="14"/>
  </r>
  <r>
    <x v="42"/>
  </r>
  <r>
    <x v="36"/>
  </r>
  <r>
    <x v="72"/>
  </r>
  <r>
    <x v="52"/>
  </r>
  <r>
    <x v="190"/>
  </r>
  <r>
    <x v="42"/>
  </r>
  <r>
    <x v="12"/>
  </r>
  <r>
    <x v="12"/>
  </r>
  <r>
    <x v="12"/>
  </r>
  <r>
    <x v="12"/>
  </r>
  <r>
    <x v="12"/>
  </r>
  <r>
    <x v="12"/>
  </r>
  <r>
    <x v="77"/>
  </r>
  <r>
    <x v="12"/>
  </r>
  <r>
    <x v="12"/>
  </r>
  <r>
    <x v="4"/>
  </r>
  <r>
    <x v="22"/>
  </r>
  <r>
    <x v="138"/>
  </r>
  <r>
    <x v="12"/>
  </r>
  <r>
    <x v="12"/>
  </r>
  <r>
    <x v="2"/>
  </r>
  <r>
    <x v="2"/>
  </r>
  <r>
    <x v="77"/>
  </r>
  <r>
    <x v="138"/>
  </r>
  <r>
    <x v="12"/>
  </r>
  <r>
    <x v="30"/>
  </r>
  <r>
    <x v="77"/>
  </r>
  <r>
    <x v="2"/>
  </r>
  <r>
    <x v="77"/>
  </r>
  <r>
    <x v="42"/>
  </r>
  <r>
    <x v="77"/>
  </r>
  <r>
    <x v="29"/>
  </r>
  <r>
    <x v="4"/>
  </r>
  <r>
    <x v="4"/>
  </r>
  <r>
    <x v="4"/>
  </r>
  <r>
    <x v="4"/>
  </r>
  <r>
    <x v="29"/>
  </r>
  <r>
    <x v="7"/>
  </r>
  <r>
    <x v="7"/>
  </r>
  <r>
    <x v="7"/>
  </r>
  <r>
    <x v="76"/>
  </r>
  <r>
    <x v="76"/>
  </r>
  <r>
    <x v="24"/>
  </r>
  <r>
    <x v="76"/>
  </r>
  <r>
    <x v="24"/>
  </r>
  <r>
    <x v="4"/>
  </r>
  <r>
    <x v="76"/>
  </r>
  <r>
    <x v="76"/>
  </r>
  <r>
    <x v="87"/>
  </r>
  <r>
    <x v="36"/>
  </r>
  <r>
    <x v="36"/>
  </r>
  <r>
    <x v="100"/>
  </r>
  <r>
    <x v="36"/>
  </r>
  <r>
    <x v="36"/>
  </r>
  <r>
    <x v="36"/>
  </r>
  <r>
    <x v="36"/>
  </r>
  <r>
    <x v="12"/>
  </r>
  <r>
    <x v="12"/>
  </r>
  <r>
    <x v="12"/>
  </r>
  <r>
    <x v="12"/>
  </r>
  <r>
    <x v="0"/>
  </r>
  <r>
    <x v="12"/>
  </r>
  <r>
    <x v="12"/>
  </r>
  <r>
    <x v="12"/>
  </r>
  <r>
    <x v="12"/>
  </r>
  <r>
    <x v="12"/>
  </r>
  <r>
    <x v="21"/>
  </r>
  <r>
    <x v="4"/>
  </r>
  <r>
    <x v="10"/>
  </r>
  <r>
    <x v="10"/>
  </r>
  <r>
    <x v="10"/>
  </r>
  <r>
    <x v="12"/>
  </r>
  <r>
    <x v="10"/>
  </r>
  <r>
    <x v="12"/>
  </r>
  <r>
    <x v="37"/>
  </r>
  <r>
    <x v="0"/>
  </r>
  <r>
    <x v="4"/>
  </r>
  <r>
    <x v="4"/>
  </r>
  <r>
    <x v="123"/>
  </r>
  <r>
    <x v="123"/>
  </r>
  <r>
    <x v="53"/>
  </r>
  <r>
    <x v="12"/>
  </r>
  <r>
    <x v="42"/>
  </r>
  <r>
    <x v="10"/>
  </r>
  <r>
    <x v="10"/>
  </r>
  <r>
    <x v="10"/>
  </r>
  <r>
    <x v="71"/>
  </r>
  <r>
    <x v="48"/>
  </r>
  <r>
    <x v="53"/>
  </r>
  <r>
    <x v="14"/>
  </r>
  <r>
    <x v="48"/>
  </r>
  <r>
    <x v="36"/>
  </r>
  <r>
    <x v="36"/>
  </r>
  <r>
    <x v="4"/>
  </r>
  <r>
    <x v="42"/>
  </r>
  <r>
    <x v="12"/>
  </r>
  <r>
    <x v="64"/>
  </r>
  <r>
    <x v="12"/>
  </r>
  <r>
    <x v="24"/>
  </r>
  <r>
    <x v="24"/>
  </r>
  <r>
    <x v="24"/>
  </r>
  <r>
    <x v="24"/>
  </r>
  <r>
    <x v="69"/>
  </r>
  <r>
    <x v="130"/>
  </r>
  <r>
    <x v="10"/>
  </r>
  <r>
    <x v="21"/>
  </r>
  <r>
    <x v="9"/>
  </r>
  <r>
    <x v="56"/>
  </r>
  <r>
    <x v="78"/>
  </r>
  <r>
    <x v="78"/>
  </r>
  <r>
    <x v="25"/>
  </r>
  <r>
    <x v="12"/>
  </r>
  <r>
    <x v="63"/>
  </r>
  <r>
    <x v="87"/>
  </r>
  <r>
    <x v="10"/>
  </r>
  <r>
    <x v="138"/>
  </r>
  <r>
    <x v="28"/>
  </r>
  <r>
    <x v="28"/>
  </r>
  <r>
    <x v="28"/>
  </r>
  <r>
    <x v="28"/>
  </r>
  <r>
    <x v="146"/>
  </r>
  <r>
    <x v="4"/>
  </r>
  <r>
    <x v="4"/>
  </r>
  <r>
    <x v="4"/>
  </r>
  <r>
    <x v="4"/>
  </r>
  <r>
    <x v="4"/>
  </r>
  <r>
    <x v="111"/>
  </r>
  <r>
    <x v="36"/>
  </r>
  <r>
    <x v="56"/>
  </r>
  <r>
    <x v="4"/>
  </r>
  <r>
    <x v="56"/>
  </r>
  <r>
    <x v="4"/>
  </r>
  <r>
    <x v="4"/>
  </r>
  <r>
    <x v="56"/>
  </r>
  <r>
    <x v="4"/>
  </r>
  <r>
    <x v="87"/>
  </r>
  <r>
    <x v="10"/>
  </r>
  <r>
    <x v="10"/>
  </r>
  <r>
    <x v="10"/>
  </r>
  <r>
    <x v="10"/>
  </r>
  <r>
    <x v="10"/>
  </r>
  <r>
    <x v="29"/>
  </r>
  <r>
    <x v="10"/>
  </r>
  <r>
    <x v="10"/>
  </r>
  <r>
    <x v="36"/>
  </r>
  <r>
    <x v="36"/>
  </r>
  <r>
    <x v="36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5"/>
  </r>
  <r>
    <x v="4"/>
  </r>
  <r>
    <x v="12"/>
  </r>
  <r>
    <x v="25"/>
  </r>
  <r>
    <x v="51"/>
  </r>
  <r>
    <x v="51"/>
  </r>
  <r>
    <x v="51"/>
  </r>
  <r>
    <x v="51"/>
  </r>
  <r>
    <x v="51"/>
  </r>
  <r>
    <x v="51"/>
  </r>
  <r>
    <x v="6"/>
  </r>
  <r>
    <x v="10"/>
  </r>
  <r>
    <x v="10"/>
  </r>
  <r>
    <x v="10"/>
  </r>
  <r>
    <x v="5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63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4"/>
  </r>
  <r>
    <x v="4"/>
  </r>
  <r>
    <x v="4"/>
  </r>
  <r>
    <x v="4"/>
  </r>
  <r>
    <x v="4"/>
  </r>
  <r>
    <x v="52"/>
  </r>
  <r>
    <x v="130"/>
  </r>
  <r>
    <x v="150"/>
  </r>
  <r>
    <x v="4"/>
  </r>
  <r>
    <x v="4"/>
  </r>
  <r>
    <x v="52"/>
  </r>
  <r>
    <x v="115"/>
  </r>
  <r>
    <x v="115"/>
  </r>
  <r>
    <x v="52"/>
  </r>
  <r>
    <x v="115"/>
  </r>
  <r>
    <x v="115"/>
  </r>
  <r>
    <x v="115"/>
  </r>
  <r>
    <x v="10"/>
  </r>
  <r>
    <x v="115"/>
  </r>
  <r>
    <x v="10"/>
  </r>
  <r>
    <x v="19"/>
  </r>
  <r>
    <x v="45"/>
  </r>
  <r>
    <x v="6"/>
  </r>
  <r>
    <x v="12"/>
  </r>
  <r>
    <x v="14"/>
  </r>
  <r>
    <x v="138"/>
  </r>
  <r>
    <x v="171"/>
  </r>
  <r>
    <x v="0"/>
  </r>
  <r>
    <x v="165"/>
  </r>
  <r>
    <x v="165"/>
  </r>
  <r>
    <x v="10"/>
  </r>
  <r>
    <x v="12"/>
  </r>
  <r>
    <x v="126"/>
  </r>
  <r>
    <x v="126"/>
  </r>
  <r>
    <x v="126"/>
  </r>
  <r>
    <x v="45"/>
  </r>
  <r>
    <x v="42"/>
  </r>
  <r>
    <x v="42"/>
  </r>
  <r>
    <x v="163"/>
  </r>
  <r>
    <x v="12"/>
  </r>
  <r>
    <x v="12"/>
  </r>
  <r>
    <x v="79"/>
  </r>
  <r>
    <x v="12"/>
  </r>
  <r>
    <x v="12"/>
  </r>
  <r>
    <x v="12"/>
  </r>
  <r>
    <x v="130"/>
  </r>
  <r>
    <x v="10"/>
  </r>
  <r>
    <x v="10"/>
  </r>
  <r>
    <x v="10"/>
  </r>
  <r>
    <x v="56"/>
  </r>
  <r>
    <x v="12"/>
  </r>
  <r>
    <x v="10"/>
  </r>
  <r>
    <x v="76"/>
  </r>
  <r>
    <x v="56"/>
  </r>
  <r>
    <x v="10"/>
  </r>
  <r>
    <x v="4"/>
  </r>
  <r>
    <x v="10"/>
  </r>
  <r>
    <x v="87"/>
  </r>
  <r>
    <x v="87"/>
  </r>
  <r>
    <x v="12"/>
  </r>
  <r>
    <x v="12"/>
  </r>
  <r>
    <x v="10"/>
  </r>
  <r>
    <x v="126"/>
  </r>
  <r>
    <x v="126"/>
  </r>
  <r>
    <x v="10"/>
  </r>
  <r>
    <x v="10"/>
  </r>
  <r>
    <x v="36"/>
  </r>
  <r>
    <x v="10"/>
  </r>
  <r>
    <x v="126"/>
  </r>
  <r>
    <x v="126"/>
  </r>
  <r>
    <x v="126"/>
  </r>
  <r>
    <x v="126"/>
  </r>
  <r>
    <x v="10"/>
  </r>
  <r>
    <x v="126"/>
  </r>
  <r>
    <x v="56"/>
  </r>
  <r>
    <x v="123"/>
  </r>
  <r>
    <x v="123"/>
  </r>
  <r>
    <x v="10"/>
  </r>
  <r>
    <x v="43"/>
  </r>
  <r>
    <x v="43"/>
  </r>
  <r>
    <x v="123"/>
  </r>
  <r>
    <x v="128"/>
  </r>
  <r>
    <x v="123"/>
  </r>
  <r>
    <x v="0"/>
  </r>
  <r>
    <x v="12"/>
  </r>
  <r>
    <x v="123"/>
  </r>
  <r>
    <x v="130"/>
  </r>
  <r>
    <x v="0"/>
  </r>
  <r>
    <x v="0"/>
  </r>
  <r>
    <x v="0"/>
  </r>
  <r>
    <x v="4"/>
  </r>
  <r>
    <x v="36"/>
  </r>
  <r>
    <x v="87"/>
  </r>
  <r>
    <x v="130"/>
  </r>
  <r>
    <x v="12"/>
  </r>
  <r>
    <x v="42"/>
  </r>
  <r>
    <x v="10"/>
  </r>
  <r>
    <x v="10"/>
  </r>
  <r>
    <x v="12"/>
  </r>
  <r>
    <x v="10"/>
  </r>
  <r>
    <x v="10"/>
  </r>
  <r>
    <x v="10"/>
  </r>
  <r>
    <x v="87"/>
  </r>
  <r>
    <x v="10"/>
  </r>
  <r>
    <x v="10"/>
  </r>
  <r>
    <x v="30"/>
  </r>
  <r>
    <x v="30"/>
  </r>
  <r>
    <x v="42"/>
  </r>
  <r>
    <x v="16"/>
  </r>
  <r>
    <x v="16"/>
  </r>
  <r>
    <x v="16"/>
  </r>
  <r>
    <x v="12"/>
  </r>
  <r>
    <x v="12"/>
  </r>
  <r>
    <x v="42"/>
  </r>
  <r>
    <x v="12"/>
  </r>
  <r>
    <x v="130"/>
  </r>
  <r>
    <x v="123"/>
  </r>
  <r>
    <x v="57"/>
  </r>
  <r>
    <x v="57"/>
  </r>
  <r>
    <x v="57"/>
  </r>
  <r>
    <x v="57"/>
  </r>
  <r>
    <x v="28"/>
  </r>
  <r>
    <x v="79"/>
  </r>
  <r>
    <x v="79"/>
  </r>
  <r>
    <x v="14"/>
  </r>
  <r>
    <x v="10"/>
  </r>
  <r>
    <x v="4"/>
  </r>
  <r>
    <x v="4"/>
  </r>
  <r>
    <x v="4"/>
  </r>
  <r>
    <x v="24"/>
  </r>
  <r>
    <x v="4"/>
  </r>
  <r>
    <x v="115"/>
  </r>
  <r>
    <x v="53"/>
  </r>
  <r>
    <x v="0"/>
  </r>
  <r>
    <x v="0"/>
  </r>
  <r>
    <x v="10"/>
  </r>
  <r>
    <x v="19"/>
  </r>
  <r>
    <x v="4"/>
  </r>
  <r>
    <x v="14"/>
  </r>
  <r>
    <x v="10"/>
  </r>
  <r>
    <x v="10"/>
  </r>
  <r>
    <x v="10"/>
  </r>
  <r>
    <x v="10"/>
  </r>
  <r>
    <x v="10"/>
  </r>
  <r>
    <x v="10"/>
  </r>
  <r>
    <x v="36"/>
  </r>
  <r>
    <x v="128"/>
  </r>
  <r>
    <x v="10"/>
  </r>
  <r>
    <x v="10"/>
  </r>
  <r>
    <x v="123"/>
  </r>
  <r>
    <x v="123"/>
  </r>
  <r>
    <x v="57"/>
  </r>
  <r>
    <x v="19"/>
  </r>
  <r>
    <x v="16"/>
  </r>
  <r>
    <x v="14"/>
  </r>
  <r>
    <x v="10"/>
  </r>
  <r>
    <x v="4"/>
  </r>
  <r>
    <x v="14"/>
  </r>
  <r>
    <x v="42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123"/>
  </r>
  <r>
    <x v="14"/>
  </r>
  <r>
    <x v="14"/>
  </r>
  <r>
    <x v="33"/>
  </r>
  <r>
    <x v="12"/>
  </r>
  <r>
    <x v="12"/>
  </r>
  <r>
    <x v="12"/>
  </r>
  <r>
    <x v="123"/>
  </r>
  <r>
    <x v="123"/>
  </r>
  <r>
    <x v="12"/>
  </r>
  <r>
    <x v="87"/>
  </r>
  <r>
    <x v="87"/>
  </r>
  <r>
    <x v="87"/>
  </r>
  <r>
    <x v="36"/>
  </r>
  <r>
    <x v="36"/>
  </r>
  <r>
    <x v="43"/>
  </r>
  <r>
    <x v="42"/>
  </r>
  <r>
    <x v="36"/>
  </r>
  <r>
    <x v="36"/>
  </r>
  <r>
    <x v="43"/>
  </r>
  <r>
    <x v="36"/>
  </r>
  <r>
    <x v="36"/>
  </r>
  <r>
    <x v="42"/>
  </r>
  <r>
    <x v="0"/>
  </r>
  <r>
    <x v="12"/>
  </r>
  <r>
    <x v="24"/>
  </r>
  <r>
    <x v="52"/>
  </r>
  <r>
    <x v="19"/>
  </r>
  <r>
    <x v="52"/>
  </r>
  <r>
    <x v="10"/>
  </r>
  <r>
    <x v="4"/>
  </r>
  <r>
    <x v="7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1"/>
  </r>
  <r>
    <x v="142"/>
  </r>
  <r>
    <x v="4"/>
  </r>
  <r>
    <x v="34"/>
  </r>
  <r>
    <x v="10"/>
  </r>
  <r>
    <x v="10"/>
  </r>
  <r>
    <x v="115"/>
  </r>
  <r>
    <x v="10"/>
  </r>
  <r>
    <x v="12"/>
  </r>
  <r>
    <x v="12"/>
  </r>
  <r>
    <x v="12"/>
  </r>
  <r>
    <x v="10"/>
  </r>
  <r>
    <x v="12"/>
  </r>
  <r>
    <x v="12"/>
  </r>
  <r>
    <x v="16"/>
  </r>
  <r>
    <x v="52"/>
  </r>
  <r>
    <x v="123"/>
  </r>
  <r>
    <x v="0"/>
  </r>
  <r>
    <x v="12"/>
  </r>
  <r>
    <x v="42"/>
  </r>
  <r>
    <x v="10"/>
  </r>
  <r>
    <x v="10"/>
  </r>
  <r>
    <x v="126"/>
  </r>
  <r>
    <x v="126"/>
  </r>
  <r>
    <x v="10"/>
  </r>
  <r>
    <x v="102"/>
  </r>
  <r>
    <x v="12"/>
  </r>
  <r>
    <x v="63"/>
  </r>
  <r>
    <x v="42"/>
  </r>
  <r>
    <x v="28"/>
  </r>
  <r>
    <x v="69"/>
  </r>
  <r>
    <x v="0"/>
  </r>
  <r>
    <x v="48"/>
  </r>
  <r>
    <x v="4"/>
  </r>
  <r>
    <x v="10"/>
  </r>
  <r>
    <x v="24"/>
  </r>
  <r>
    <x v="24"/>
  </r>
  <r>
    <x v="24"/>
  </r>
  <r>
    <x v="24"/>
  </r>
  <r>
    <x v="24"/>
  </r>
  <r>
    <x v="24"/>
  </r>
  <r>
    <x v="24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4"/>
  </r>
  <r>
    <x v="14"/>
  </r>
  <r>
    <x v="14"/>
  </r>
  <r>
    <x v="17"/>
  </r>
  <r>
    <x v="14"/>
  </r>
  <r>
    <x v="14"/>
  </r>
  <r>
    <x v="14"/>
  </r>
  <r>
    <x v="28"/>
  </r>
  <r>
    <x v="28"/>
  </r>
  <r>
    <x v="14"/>
  </r>
  <r>
    <x v="28"/>
  </r>
  <r>
    <x v="28"/>
  </r>
  <r>
    <x v="28"/>
  </r>
  <r>
    <x v="28"/>
  </r>
  <r>
    <x v="14"/>
  </r>
  <r>
    <x v="14"/>
  </r>
  <r>
    <x v="28"/>
  </r>
  <r>
    <x v="14"/>
  </r>
  <r>
    <x v="9"/>
  </r>
  <r>
    <x v="14"/>
  </r>
  <r>
    <x v="0"/>
  </r>
  <r>
    <x v="14"/>
  </r>
  <r>
    <x v="14"/>
  </r>
  <r>
    <x v="10"/>
  </r>
  <r>
    <x v="14"/>
  </r>
  <r>
    <x v="14"/>
  </r>
  <r>
    <x v="14"/>
  </r>
  <r>
    <x v="14"/>
  </r>
  <r>
    <x v="245"/>
  </r>
  <r>
    <x v="199"/>
  </r>
  <r>
    <x v="10"/>
  </r>
  <r>
    <x v="14"/>
  </r>
  <r>
    <x v="14"/>
  </r>
  <r>
    <x v="14"/>
  </r>
  <r>
    <x v="130"/>
  </r>
  <r>
    <x v="10"/>
  </r>
  <r>
    <x v="10"/>
  </r>
  <r>
    <x v="10"/>
  </r>
  <r>
    <x v="88"/>
  </r>
  <r>
    <x v="9"/>
  </r>
  <r>
    <x v="10"/>
  </r>
  <r>
    <x v="130"/>
  </r>
  <r>
    <x v="17"/>
  </r>
  <r>
    <x v="17"/>
  </r>
  <r>
    <x v="16"/>
  </r>
  <r>
    <x v="28"/>
  </r>
  <r>
    <x v="14"/>
  </r>
  <r>
    <x v="77"/>
  </r>
  <r>
    <x v="77"/>
  </r>
  <r>
    <x v="37"/>
  </r>
  <r>
    <x v="9"/>
  </r>
  <r>
    <x v="9"/>
  </r>
  <r>
    <x v="217"/>
  </r>
  <r>
    <x v="64"/>
  </r>
  <r>
    <x v="2"/>
  </r>
  <r>
    <x v="118"/>
  </r>
  <r>
    <x v="31"/>
  </r>
  <r>
    <x v="28"/>
  </r>
  <r>
    <x v="28"/>
  </r>
  <r>
    <x v="30"/>
  </r>
  <r>
    <x v="14"/>
  </r>
  <r>
    <x v="28"/>
  </r>
  <r>
    <x v="63"/>
  </r>
  <r>
    <x v="77"/>
  </r>
  <r>
    <x v="41"/>
  </r>
  <r>
    <x v="41"/>
  </r>
  <r>
    <x v="41"/>
  </r>
  <r>
    <x v="245"/>
  </r>
  <r>
    <x v="28"/>
  </r>
  <r>
    <x v="28"/>
  </r>
  <r>
    <x v="28"/>
  </r>
  <r>
    <x v="138"/>
  </r>
  <r>
    <x v="474"/>
  </r>
  <r>
    <x v="138"/>
  </r>
  <r>
    <x v="138"/>
  </r>
  <r>
    <x v="56"/>
  </r>
  <r>
    <x v="0"/>
  </r>
  <r>
    <x v="0"/>
  </r>
  <r>
    <x v="0"/>
  </r>
  <r>
    <x v="64"/>
  </r>
  <r>
    <x v="0"/>
  </r>
  <r>
    <x v="0"/>
  </r>
  <r>
    <x v="0"/>
  </r>
  <r>
    <x v="10"/>
  </r>
  <r>
    <x v="10"/>
  </r>
  <r>
    <x v="10"/>
  </r>
  <r>
    <x v="4"/>
  </r>
  <r>
    <x v="64"/>
  </r>
  <r>
    <x v="14"/>
  </r>
  <r>
    <x v="10"/>
  </r>
  <r>
    <x v="8"/>
  </r>
  <r>
    <x v="41"/>
  </r>
  <r>
    <x v="14"/>
  </r>
  <r>
    <x v="14"/>
  </r>
  <r>
    <x v="22"/>
  </r>
  <r>
    <x v="41"/>
  </r>
  <r>
    <x v="33"/>
  </r>
  <r>
    <x v="111"/>
  </r>
  <r>
    <x v="7"/>
  </r>
  <r>
    <x v="77"/>
  </r>
  <r>
    <x v="45"/>
  </r>
  <r>
    <x v="10"/>
  </r>
  <r>
    <x v="6"/>
  </r>
  <r>
    <x v="8"/>
  </r>
  <r>
    <x v="0"/>
  </r>
  <r>
    <x v="16"/>
  </r>
  <r>
    <x v="49"/>
  </r>
  <r>
    <x v="4"/>
  </r>
  <r>
    <x v="3"/>
  </r>
  <r>
    <x v="41"/>
  </r>
  <r>
    <x v="183"/>
  </r>
  <r>
    <x v="49"/>
  </r>
  <r>
    <x v="49"/>
  </r>
  <r>
    <x v="45"/>
  </r>
  <r>
    <x v="0"/>
  </r>
  <r>
    <x v="10"/>
  </r>
  <r>
    <x v="42"/>
  </r>
  <r>
    <x v="2"/>
  </r>
  <r>
    <x v="79"/>
  </r>
  <r>
    <x v="79"/>
  </r>
  <r>
    <x v="49"/>
  </r>
  <r>
    <x v="14"/>
  </r>
  <r>
    <x v="12"/>
  </r>
  <r>
    <x v="28"/>
  </r>
  <r>
    <x v="12"/>
  </r>
  <r>
    <x v="17"/>
  </r>
  <r>
    <x v="42"/>
  </r>
  <r>
    <x v="33"/>
  </r>
  <r>
    <x v="21"/>
  </r>
  <r>
    <x v="21"/>
  </r>
  <r>
    <x v="8"/>
  </r>
  <r>
    <x v="10"/>
  </r>
  <r>
    <x v="7"/>
  </r>
  <r>
    <x v="4"/>
  </r>
  <r>
    <x v="12"/>
  </r>
  <r>
    <x v="12"/>
  </r>
  <r>
    <x v="22"/>
  </r>
  <r>
    <x v="64"/>
  </r>
  <r>
    <x v="45"/>
  </r>
  <r>
    <x v="62"/>
  </r>
  <r>
    <x v="154"/>
  </r>
  <r>
    <x v="60"/>
  </r>
  <r>
    <x v="76"/>
  </r>
  <r>
    <x v="28"/>
  </r>
  <r>
    <x v="6"/>
  </r>
  <r>
    <x v="2"/>
  </r>
  <r>
    <x v="6"/>
  </r>
  <r>
    <x v="130"/>
  </r>
  <r>
    <x v="6"/>
  </r>
  <r>
    <x v="12"/>
  </r>
  <r>
    <x v="61"/>
  </r>
  <r>
    <x v="0"/>
  </r>
  <r>
    <x v="2"/>
  </r>
  <r>
    <x v="14"/>
  </r>
  <r>
    <x v="64"/>
  </r>
  <r>
    <x v="14"/>
  </r>
  <r>
    <x v="14"/>
  </r>
  <r>
    <x v="14"/>
  </r>
  <r>
    <x v="131"/>
  </r>
  <r>
    <x v="46"/>
  </r>
  <r>
    <x v="0"/>
  </r>
  <r>
    <x v="0"/>
  </r>
  <r>
    <x v="0"/>
  </r>
  <r>
    <x v="76"/>
  </r>
  <r>
    <x v="0"/>
  </r>
  <r>
    <x v="14"/>
  </r>
  <r>
    <x v="28"/>
  </r>
  <r>
    <x v="56"/>
  </r>
  <r>
    <x v="33"/>
  </r>
  <r>
    <x v="165"/>
  </r>
  <r>
    <x v="41"/>
  </r>
  <r>
    <x v="3"/>
  </r>
  <r>
    <x v="24"/>
  </r>
  <r>
    <x v="42"/>
  </r>
  <r>
    <x v="46"/>
  </r>
  <r>
    <x v="46"/>
  </r>
  <r>
    <x v="46"/>
  </r>
  <r>
    <x v="46"/>
  </r>
  <r>
    <x v="23"/>
  </r>
  <r>
    <x v="46"/>
  </r>
  <r>
    <x v="46"/>
  </r>
  <r>
    <x v="4"/>
  </r>
  <r>
    <x v="48"/>
  </r>
  <r>
    <x v="0"/>
  </r>
  <r>
    <x v="49"/>
  </r>
  <r>
    <x v="14"/>
  </r>
  <r>
    <x v="56"/>
  </r>
  <r>
    <x v="14"/>
  </r>
  <r>
    <x v="22"/>
  </r>
  <r>
    <x v="17"/>
  </r>
  <r>
    <x v="7"/>
  </r>
  <r>
    <x v="28"/>
  </r>
  <r>
    <x v="14"/>
  </r>
  <r>
    <x v="14"/>
  </r>
  <r>
    <x v="17"/>
  </r>
  <r>
    <x v="14"/>
  </r>
  <r>
    <x v="34"/>
  </r>
  <r>
    <x v="14"/>
  </r>
  <r>
    <x v="34"/>
  </r>
  <r>
    <x v="14"/>
  </r>
  <r>
    <x v="14"/>
  </r>
  <r>
    <x v="201"/>
  </r>
  <r>
    <x v="89"/>
  </r>
  <r>
    <x v="34"/>
  </r>
  <r>
    <x v="89"/>
  </r>
  <r>
    <x v="89"/>
  </r>
  <r>
    <x v="89"/>
  </r>
  <r>
    <x v="113"/>
  </r>
  <r>
    <x v="113"/>
  </r>
  <r>
    <x v="89"/>
  </r>
  <r>
    <x v="18"/>
  </r>
  <r>
    <x v="89"/>
  </r>
  <r>
    <x v="264"/>
  </r>
  <r>
    <x v="36"/>
  </r>
  <r>
    <x v="14"/>
  </r>
  <r>
    <x v="26"/>
  </r>
  <r>
    <x v="41"/>
  </r>
  <r>
    <x v="93"/>
  </r>
  <r>
    <x v="42"/>
  </r>
  <r>
    <x v="72"/>
  </r>
  <r>
    <x v="31"/>
  </r>
  <r>
    <x v="10"/>
  </r>
  <r>
    <x v="10"/>
  </r>
  <r>
    <x v="10"/>
  </r>
  <r>
    <x v="10"/>
  </r>
  <r>
    <x v="14"/>
  </r>
  <r>
    <x v="0"/>
  </r>
  <r>
    <x v="14"/>
  </r>
  <r>
    <x v="14"/>
  </r>
  <r>
    <x v="14"/>
  </r>
  <r>
    <x v="14"/>
  </r>
  <r>
    <x v="28"/>
  </r>
  <r>
    <x v="28"/>
  </r>
  <r>
    <x v="78"/>
  </r>
  <r>
    <x v="78"/>
  </r>
  <r>
    <x v="152"/>
  </r>
  <r>
    <x v="78"/>
  </r>
  <r>
    <x v="78"/>
  </r>
  <r>
    <x v="78"/>
  </r>
  <r>
    <x v="10"/>
  </r>
  <r>
    <x v="89"/>
  </r>
  <r>
    <x v="78"/>
  </r>
  <r>
    <x v="2"/>
  </r>
  <r>
    <x v="89"/>
  </r>
  <r>
    <x v="78"/>
  </r>
  <r>
    <x v="78"/>
  </r>
  <r>
    <x v="89"/>
  </r>
  <r>
    <x v="78"/>
  </r>
  <r>
    <x v="40"/>
  </r>
  <r>
    <x v="27"/>
  </r>
  <r>
    <x v="17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12"/>
  </r>
  <r>
    <x v="12"/>
  </r>
  <r>
    <x v="12"/>
  </r>
  <r>
    <x v="138"/>
  </r>
  <r>
    <x v="10"/>
  </r>
  <r>
    <x v="10"/>
  </r>
  <r>
    <x v="10"/>
  </r>
  <r>
    <x v="10"/>
  </r>
  <r>
    <x v="10"/>
  </r>
  <r>
    <x v="10"/>
  </r>
  <r>
    <x v="10"/>
  </r>
  <r>
    <x v="17"/>
  </r>
  <r>
    <x v="17"/>
  </r>
  <r>
    <x v="157"/>
  </r>
  <r>
    <x v="27"/>
  </r>
  <r>
    <x v="17"/>
  </r>
  <r>
    <x v="32"/>
  </r>
  <r>
    <x v="157"/>
  </r>
  <r>
    <x v="14"/>
  </r>
  <r>
    <x v="1"/>
  </r>
  <r>
    <x v="1"/>
  </r>
  <r>
    <x v="1"/>
  </r>
  <r>
    <x v="9"/>
  </r>
  <r>
    <x v="9"/>
  </r>
  <r>
    <x v="1"/>
  </r>
  <r>
    <x v="1"/>
  </r>
  <r>
    <x v="64"/>
  </r>
  <r>
    <x v="46"/>
  </r>
  <r>
    <x v="0"/>
  </r>
  <r>
    <x v="42"/>
  </r>
  <r>
    <x v="48"/>
  </r>
  <r>
    <x v="44"/>
  </r>
  <r>
    <x v="130"/>
  </r>
  <r>
    <x v="10"/>
  </r>
  <r>
    <x v="10"/>
  </r>
  <r>
    <x v="10"/>
  </r>
  <r>
    <x v="12"/>
  </r>
  <r>
    <x v="12"/>
  </r>
  <r>
    <x v="45"/>
  </r>
  <r>
    <x v="12"/>
  </r>
  <r>
    <x v="12"/>
  </r>
  <r>
    <x v="12"/>
  </r>
  <r>
    <x v="0"/>
  </r>
  <r>
    <x v="12"/>
  </r>
  <r>
    <x v="12"/>
  </r>
  <r>
    <x v="77"/>
  </r>
  <r>
    <x v="21"/>
  </r>
  <r>
    <x v="57"/>
  </r>
  <r>
    <x v="77"/>
  </r>
  <r>
    <x v="77"/>
  </r>
  <r>
    <x v="3"/>
  </r>
  <r>
    <x v="76"/>
  </r>
  <r>
    <x v="76"/>
  </r>
  <r>
    <x v="102"/>
  </r>
  <r>
    <x v="102"/>
  </r>
  <r>
    <x v="28"/>
  </r>
  <r>
    <x v="7"/>
  </r>
  <r>
    <x v="0"/>
  </r>
  <r>
    <x v="136"/>
  </r>
  <r>
    <x v="76"/>
  </r>
  <r>
    <x v="25"/>
  </r>
  <r>
    <x v="3"/>
  </r>
  <r>
    <x v="29"/>
  </r>
  <r>
    <x v="52"/>
  </r>
  <r>
    <x v="3"/>
  </r>
  <r>
    <x v="3"/>
  </r>
  <r>
    <x v="17"/>
  </r>
  <r>
    <x v="86"/>
  </r>
  <r>
    <x v="25"/>
  </r>
  <r>
    <x v="42"/>
  </r>
  <r>
    <x v="268"/>
  </r>
  <r>
    <x v="17"/>
  </r>
  <r>
    <x v="6"/>
  </r>
  <r>
    <x v="130"/>
  </r>
  <r>
    <x v="46"/>
  </r>
  <r>
    <x v="27"/>
  </r>
  <r>
    <x v="131"/>
  </r>
  <r>
    <x v="60"/>
  </r>
  <r>
    <x v="60"/>
  </r>
  <r>
    <x v="23"/>
  </r>
  <r>
    <x v="87"/>
  </r>
  <r>
    <x v="14"/>
  </r>
  <r>
    <x v="23"/>
  </r>
  <r>
    <x v="12"/>
  </r>
  <r>
    <x v="130"/>
  </r>
  <r>
    <x v="17"/>
  </r>
  <r>
    <x v="62"/>
  </r>
  <r>
    <x v="12"/>
  </r>
  <r>
    <x v="201"/>
  </r>
  <r>
    <x v="23"/>
  </r>
  <r>
    <x v="34"/>
  </r>
  <r>
    <x v="130"/>
  </r>
  <r>
    <x v="14"/>
  </r>
  <r>
    <x v="59"/>
  </r>
  <r>
    <x v="12"/>
  </r>
  <r>
    <x v="42"/>
  </r>
  <r>
    <x v="42"/>
  </r>
  <r>
    <x v="42"/>
  </r>
  <r>
    <x v="25"/>
  </r>
  <r>
    <x v="42"/>
  </r>
  <r>
    <x v="11"/>
  </r>
  <r>
    <x v="64"/>
  </r>
  <r>
    <x v="138"/>
  </r>
  <r>
    <x v="25"/>
  </r>
  <r>
    <x v="14"/>
  </r>
  <r>
    <x v="45"/>
  </r>
  <r>
    <x v="126"/>
  </r>
  <r>
    <x v="126"/>
  </r>
  <r>
    <x v="138"/>
  </r>
  <r>
    <x v="138"/>
  </r>
  <r>
    <x v="102"/>
  </r>
  <r>
    <x v="14"/>
  </r>
  <r>
    <x v="64"/>
  </r>
  <r>
    <x v="9"/>
  </r>
  <r>
    <x v="16"/>
  </r>
  <r>
    <x v="0"/>
  </r>
  <r>
    <x v="0"/>
  </r>
  <r>
    <x v="0"/>
  </r>
  <r>
    <x v="0"/>
  </r>
  <r>
    <x v="0"/>
  </r>
  <r>
    <x v="10"/>
  </r>
  <r>
    <x v="10"/>
  </r>
  <r>
    <x v="10"/>
  </r>
  <r>
    <x v="45"/>
  </r>
  <r>
    <x v="87"/>
  </r>
  <r>
    <x v="138"/>
  </r>
  <r>
    <x v="4"/>
  </r>
  <r>
    <x v="4"/>
  </r>
  <r>
    <x v="138"/>
  </r>
  <r>
    <x v="138"/>
  </r>
  <r>
    <x v="138"/>
  </r>
  <r>
    <x v="22"/>
  </r>
  <r>
    <x v="2"/>
  </r>
  <r>
    <x v="171"/>
  </r>
  <r>
    <x v="46"/>
  </r>
  <r>
    <x v="46"/>
  </r>
  <r>
    <x v="165"/>
  </r>
  <r>
    <x v="165"/>
  </r>
  <r>
    <x v="59"/>
  </r>
  <r>
    <x v="4"/>
  </r>
  <r>
    <x v="10"/>
  </r>
  <r>
    <x v="12"/>
  </r>
  <r>
    <x v="2"/>
  </r>
  <r>
    <x v="9"/>
  </r>
  <r>
    <x v="138"/>
  </r>
  <r>
    <x v="14"/>
  </r>
  <r>
    <x v="138"/>
  </r>
  <r>
    <x v="138"/>
  </r>
  <r>
    <x v="2"/>
  </r>
  <r>
    <x v="6"/>
  </r>
  <r>
    <x v="16"/>
  </r>
  <r>
    <x v="16"/>
  </r>
  <r>
    <x v="10"/>
  </r>
  <r>
    <x v="10"/>
  </r>
  <r>
    <x v="10"/>
  </r>
  <r>
    <x v="33"/>
  </r>
  <r>
    <x v="10"/>
  </r>
  <r>
    <x v="10"/>
  </r>
  <r>
    <x v="42"/>
  </r>
  <r>
    <x v="123"/>
  </r>
  <r>
    <x v="107"/>
  </r>
  <r>
    <x v="33"/>
  </r>
  <r>
    <x v="10"/>
  </r>
  <r>
    <x v="89"/>
  </r>
  <r>
    <x v="4"/>
  </r>
  <r>
    <x v="4"/>
  </r>
  <r>
    <x v="4"/>
  </r>
  <r>
    <x v="10"/>
  </r>
  <r>
    <x v="4"/>
  </r>
  <r>
    <x v="4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0"/>
  </r>
  <r>
    <x v="4"/>
  </r>
  <r>
    <x v="88"/>
  </r>
  <r>
    <x v="2"/>
  </r>
  <r>
    <x v="4"/>
  </r>
  <r>
    <x v="4"/>
  </r>
  <r>
    <x v="4"/>
  </r>
  <r>
    <x v="4"/>
  </r>
  <r>
    <x v="4"/>
  </r>
  <r>
    <x v="88"/>
  </r>
  <r>
    <x v="4"/>
  </r>
  <r>
    <x v="4"/>
  </r>
  <r>
    <x v="4"/>
  </r>
  <r>
    <x v="30"/>
  </r>
  <r>
    <x v="2"/>
  </r>
  <r>
    <x v="2"/>
  </r>
  <r>
    <x v="2"/>
  </r>
  <r>
    <x v="14"/>
  </r>
  <r>
    <x v="55"/>
  </r>
  <r>
    <x v="17"/>
  </r>
  <r>
    <x v="24"/>
  </r>
  <r>
    <x v="14"/>
  </r>
  <r>
    <x v="34"/>
  </r>
  <r>
    <x v="11"/>
  </r>
  <r>
    <x v="25"/>
  </r>
  <r>
    <x v="14"/>
  </r>
  <r>
    <x v="152"/>
  </r>
  <r>
    <x v="10"/>
  </r>
  <r>
    <x v="10"/>
  </r>
  <r>
    <x v="10"/>
  </r>
  <r>
    <x v="10"/>
  </r>
  <r>
    <x v="10"/>
  </r>
  <r>
    <x v="14"/>
  </r>
  <r>
    <x v="14"/>
  </r>
  <r>
    <x v="10"/>
  </r>
  <r>
    <x v="10"/>
  </r>
  <r>
    <x v="10"/>
  </r>
  <r>
    <x v="10"/>
  </r>
  <r>
    <x v="10"/>
  </r>
  <r>
    <x v="0"/>
  </r>
  <r>
    <x v="36"/>
  </r>
  <r>
    <x v="36"/>
  </r>
  <r>
    <x v="0"/>
  </r>
  <r>
    <x v="0"/>
  </r>
  <r>
    <x v="36"/>
  </r>
  <r>
    <x v="36"/>
  </r>
  <r>
    <x v="36"/>
  </r>
  <r>
    <x v="36"/>
  </r>
  <r>
    <x v="36"/>
  </r>
  <r>
    <x v="36"/>
  </r>
  <r>
    <x v="36"/>
  </r>
  <r>
    <x v="12"/>
  </r>
  <r>
    <x v="36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0"/>
  </r>
  <r>
    <x v="0"/>
  </r>
  <r>
    <x v="0"/>
  </r>
  <r>
    <x v="12"/>
  </r>
  <r>
    <x v="0"/>
  </r>
  <r>
    <x v="12"/>
  </r>
  <r>
    <x v="88"/>
  </r>
  <r>
    <x v="76"/>
  </r>
  <r>
    <x v="4"/>
  </r>
  <r>
    <x v="42"/>
  </r>
  <r>
    <x v="123"/>
  </r>
  <r>
    <x v="57"/>
  </r>
  <r>
    <x v="42"/>
  </r>
  <r>
    <x v="141"/>
  </r>
  <r>
    <x v="34"/>
  </r>
  <r>
    <x v="130"/>
  </r>
  <r>
    <x v="103"/>
  </r>
  <r>
    <x v="131"/>
  </r>
  <r>
    <x v="130"/>
  </r>
  <r>
    <x v="141"/>
  </r>
  <r>
    <x v="131"/>
  </r>
  <r>
    <x v="131"/>
  </r>
  <r>
    <x v="12"/>
  </r>
  <r>
    <x v="30"/>
  </r>
  <r>
    <x v="30"/>
  </r>
  <r>
    <x v="30"/>
  </r>
  <r>
    <x v="130"/>
  </r>
  <r>
    <x v="30"/>
  </r>
  <r>
    <x v="14"/>
  </r>
  <r>
    <x v="15"/>
  </r>
  <r>
    <x v="10"/>
  </r>
  <r>
    <x v="9"/>
  </r>
  <r>
    <x v="48"/>
  </r>
  <r>
    <x v="26"/>
  </r>
  <r>
    <x v="3"/>
  </r>
  <r>
    <x v="165"/>
  </r>
  <r>
    <x v="27"/>
  </r>
  <r>
    <x v="165"/>
  </r>
  <r>
    <x v="165"/>
  </r>
  <r>
    <x v="2"/>
  </r>
  <r>
    <x v="48"/>
  </r>
  <r>
    <x v="27"/>
  </r>
  <r>
    <x v="14"/>
  </r>
  <r>
    <x v="14"/>
  </r>
  <r>
    <x v="165"/>
  </r>
  <r>
    <x v="165"/>
  </r>
  <r>
    <x v="29"/>
  </r>
  <r>
    <x v="165"/>
  </r>
  <r>
    <x v="57"/>
  </r>
  <r>
    <x v="4"/>
  </r>
  <r>
    <x v="10"/>
  </r>
  <r>
    <x v="4"/>
  </r>
  <r>
    <x v="9"/>
  </r>
  <r>
    <x v="45"/>
  </r>
  <r>
    <x v="4"/>
  </r>
  <r>
    <x v="10"/>
  </r>
  <r>
    <x v="4"/>
  </r>
  <r>
    <x v="10"/>
  </r>
  <r>
    <x v="4"/>
  </r>
  <r>
    <x v="4"/>
  </r>
  <r>
    <x v="4"/>
  </r>
  <r>
    <x v="10"/>
  </r>
  <r>
    <x v="10"/>
  </r>
  <r>
    <x v="224"/>
  </r>
  <r>
    <x v="46"/>
  </r>
  <r>
    <x v="0"/>
  </r>
  <r>
    <x v="0"/>
  </r>
  <r>
    <x v="43"/>
  </r>
  <r>
    <x v="17"/>
  </r>
  <r>
    <x v="24"/>
  </r>
  <r>
    <x v="24"/>
  </r>
  <r>
    <x v="24"/>
  </r>
  <r>
    <x v="24"/>
  </r>
  <r>
    <x v="0"/>
  </r>
  <r>
    <x v="24"/>
  </r>
  <r>
    <x v="0"/>
  </r>
  <r>
    <x v="0"/>
  </r>
  <r>
    <x v="10"/>
  </r>
  <r>
    <x v="12"/>
  </r>
  <r>
    <x v="10"/>
  </r>
  <r>
    <x v="63"/>
  </r>
  <r>
    <x v="63"/>
  </r>
  <r>
    <x v="70"/>
  </r>
  <r>
    <x v="46"/>
  </r>
  <r>
    <x v="14"/>
  </r>
  <r>
    <x v="166"/>
  </r>
  <r>
    <x v="141"/>
  </r>
  <r>
    <x v="2"/>
  </r>
  <r>
    <x v="46"/>
  </r>
  <r>
    <x v="133"/>
  </r>
  <r>
    <x v="77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52"/>
  </r>
  <r>
    <x v="152"/>
  </r>
  <r>
    <x v="76"/>
  </r>
  <r>
    <x v="152"/>
  </r>
  <r>
    <x v="152"/>
  </r>
  <r>
    <x v="152"/>
  </r>
  <r>
    <x v="10"/>
  </r>
  <r>
    <x v="4"/>
  </r>
  <r>
    <x v="4"/>
  </r>
  <r>
    <x v="4"/>
  </r>
  <r>
    <x v="4"/>
  </r>
  <r>
    <x v="4"/>
  </r>
  <r>
    <x v="123"/>
  </r>
  <r>
    <x v="123"/>
  </r>
  <r>
    <x v="14"/>
  </r>
  <r>
    <x v="24"/>
  </r>
  <r>
    <x v="24"/>
  </r>
  <r>
    <x v="24"/>
  </r>
  <r>
    <x v="24"/>
  </r>
  <r>
    <x v="24"/>
  </r>
  <r>
    <x v="24"/>
  </r>
  <r>
    <x v="4"/>
  </r>
  <r>
    <x v="4"/>
  </r>
  <r>
    <x v="4"/>
  </r>
  <r>
    <x v="2"/>
  </r>
  <r>
    <x v="29"/>
  </r>
  <r>
    <x v="2"/>
  </r>
  <r>
    <x v="2"/>
  </r>
  <r>
    <x v="4"/>
  </r>
  <r>
    <x v="45"/>
  </r>
  <r>
    <x v="17"/>
  </r>
  <r>
    <x v="171"/>
  </r>
  <r>
    <x v="46"/>
  </r>
  <r>
    <x v="57"/>
  </r>
  <r>
    <x v="207"/>
  </r>
  <r>
    <x v="84"/>
  </r>
  <r>
    <x v="46"/>
  </r>
  <r>
    <x v="46"/>
  </r>
  <r>
    <x v="84"/>
  </r>
  <r>
    <x v="207"/>
  </r>
  <r>
    <x v="123"/>
  </r>
  <r>
    <x v="123"/>
  </r>
  <r>
    <x v="123"/>
  </r>
  <r>
    <x v="123"/>
  </r>
  <r>
    <x v="123"/>
  </r>
  <r>
    <x v="123"/>
  </r>
  <r>
    <x v="12"/>
  </r>
  <r>
    <x v="123"/>
  </r>
  <r>
    <x v="123"/>
  </r>
  <r>
    <x v="123"/>
  </r>
  <r>
    <x v="123"/>
  </r>
  <r>
    <x v="16"/>
  </r>
  <r>
    <x v="0"/>
  </r>
  <r>
    <x v="42"/>
  </r>
  <r>
    <x v="42"/>
  </r>
  <r>
    <x v="42"/>
  </r>
  <r>
    <x v="42"/>
  </r>
  <r>
    <x v="42"/>
  </r>
  <r>
    <x v="123"/>
  </r>
  <r>
    <x v="0"/>
  </r>
  <r>
    <x v="42"/>
  </r>
  <r>
    <x v="53"/>
  </r>
  <r>
    <x v="36"/>
  </r>
  <r>
    <x v="7"/>
  </r>
  <r>
    <x v="7"/>
  </r>
  <r>
    <x v="29"/>
  </r>
  <r>
    <x v="30"/>
  </r>
  <r>
    <x v="30"/>
  </r>
  <r>
    <x v="30"/>
  </r>
  <r>
    <x v="30"/>
  </r>
  <r>
    <x v="30"/>
  </r>
  <r>
    <x v="28"/>
  </r>
  <r>
    <x v="24"/>
  </r>
  <r>
    <x v="42"/>
  </r>
  <r>
    <x v="12"/>
  </r>
  <r>
    <x v="4"/>
  </r>
  <r>
    <x v="12"/>
  </r>
  <r>
    <x v="126"/>
  </r>
  <r>
    <x v="43"/>
  </r>
  <r>
    <x v="36"/>
  </r>
  <r>
    <x v="12"/>
  </r>
  <r>
    <x v="4"/>
  </r>
  <r>
    <x v="4"/>
  </r>
  <r>
    <x v="4"/>
  </r>
  <r>
    <x v="4"/>
  </r>
  <r>
    <x v="4"/>
  </r>
  <r>
    <x v="4"/>
  </r>
  <r>
    <x v="4"/>
  </r>
  <r>
    <x v="4"/>
  </r>
  <r>
    <x v="41"/>
  </r>
  <r>
    <x v="114"/>
  </r>
  <r>
    <x v="4"/>
  </r>
  <r>
    <x v="10"/>
  </r>
  <r>
    <x v="79"/>
  </r>
  <r>
    <x v="79"/>
  </r>
  <r>
    <x v="79"/>
  </r>
  <r>
    <x v="79"/>
  </r>
  <r>
    <x v="165"/>
  </r>
  <r>
    <x v="165"/>
  </r>
  <r>
    <x v="165"/>
  </r>
  <r>
    <x v="40"/>
  </r>
  <r>
    <x v="40"/>
  </r>
  <r>
    <x v="40"/>
  </r>
  <r>
    <x v="40"/>
  </r>
  <r>
    <x v="28"/>
  </r>
  <r>
    <x v="28"/>
  </r>
  <r>
    <x v="28"/>
  </r>
  <r>
    <x v="28"/>
  </r>
  <r>
    <x v="0"/>
  </r>
  <r>
    <x v="12"/>
  </r>
  <r>
    <x v="12"/>
  </r>
  <r>
    <x v="12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86"/>
  </r>
  <r>
    <x v="28"/>
  </r>
  <r>
    <x v="28"/>
  </r>
  <r>
    <x v="165"/>
  </r>
  <r>
    <x v="16"/>
  </r>
  <r>
    <x v="4"/>
  </r>
  <r>
    <x v="56"/>
  </r>
  <r>
    <x v="2"/>
  </r>
  <r>
    <x v="25"/>
  </r>
  <r>
    <x v="4"/>
  </r>
  <r>
    <x v="28"/>
  </r>
  <r>
    <x v="4"/>
  </r>
  <r>
    <x v="56"/>
  </r>
  <r>
    <x v="10"/>
  </r>
  <r>
    <x v="10"/>
  </r>
  <r>
    <x v="0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5"/>
  </r>
  <r>
    <x v="175"/>
  </r>
  <r>
    <x v="146"/>
  </r>
  <r>
    <x v="71"/>
  </r>
  <r>
    <x v="79"/>
  </r>
  <r>
    <x v="22"/>
  </r>
  <r>
    <x v="22"/>
  </r>
  <r>
    <x v="146"/>
  </r>
  <r>
    <x v="175"/>
  </r>
  <r>
    <x v="175"/>
  </r>
  <r>
    <x v="10"/>
  </r>
  <r>
    <x v="7"/>
  </r>
  <r>
    <x v="6"/>
  </r>
  <r>
    <x v="28"/>
  </r>
  <r>
    <x v="4"/>
  </r>
  <r>
    <x v="42"/>
  </r>
  <r>
    <x v="28"/>
  </r>
  <r>
    <x v="6"/>
  </r>
  <r>
    <x v="6"/>
  </r>
  <r>
    <x v="169"/>
  </r>
  <r>
    <x v="14"/>
  </r>
  <r>
    <x v="6"/>
  </r>
  <r>
    <x v="33"/>
  </r>
  <r>
    <x v="2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24"/>
  </r>
  <r>
    <x v="24"/>
  </r>
  <r>
    <x v="10"/>
  </r>
  <r>
    <x v="1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23"/>
  </r>
  <r>
    <x v="123"/>
  </r>
  <r>
    <x v="24"/>
  </r>
  <r>
    <x v="24"/>
  </r>
  <r>
    <x v="24"/>
  </r>
  <r>
    <x v="24"/>
  </r>
  <r>
    <x v="24"/>
  </r>
  <r>
    <x v="28"/>
  </r>
  <r>
    <x v="4"/>
  </r>
  <r>
    <x v="28"/>
  </r>
  <r>
    <x v="4"/>
  </r>
  <r>
    <x v="4"/>
  </r>
  <r>
    <x v="4"/>
  </r>
  <r>
    <x v="4"/>
  </r>
  <r>
    <x v="4"/>
  </r>
  <r>
    <x v="4"/>
  </r>
  <r>
    <x v="42"/>
  </r>
  <r>
    <x v="42"/>
  </r>
  <r>
    <x v="42"/>
  </r>
  <r>
    <x v="10"/>
  </r>
  <r>
    <x v="42"/>
  </r>
  <r>
    <x v="42"/>
  </r>
  <r>
    <x v="0"/>
  </r>
  <r>
    <x v="0"/>
  </r>
  <r>
    <x v="8"/>
  </r>
  <r>
    <x v="8"/>
  </r>
  <r>
    <x v="42"/>
  </r>
  <r>
    <x v="42"/>
  </r>
  <r>
    <x v="42"/>
  </r>
  <r>
    <x v="42"/>
  </r>
  <r>
    <x v="42"/>
  </r>
  <r>
    <x v="4"/>
  </r>
  <r>
    <x v="4"/>
  </r>
  <r>
    <x v="4"/>
  </r>
  <r>
    <x v="4"/>
  </r>
  <r>
    <x v="0"/>
  </r>
  <r>
    <x v="0"/>
  </r>
  <r>
    <x v="63"/>
  </r>
  <r>
    <x v="28"/>
  </r>
  <r>
    <x v="57"/>
  </r>
  <r>
    <x v="15"/>
  </r>
  <r>
    <x v="12"/>
  </r>
  <r>
    <x v="12"/>
  </r>
  <r>
    <x v="16"/>
  </r>
  <r>
    <x v="12"/>
  </r>
  <r>
    <x v="12"/>
  </r>
  <r>
    <x v="4"/>
  </r>
  <r>
    <x v="130"/>
  </r>
  <r>
    <x v="12"/>
  </r>
  <r>
    <x v="25"/>
  </r>
  <r>
    <x v="4"/>
  </r>
  <r>
    <x v="4"/>
  </r>
  <r>
    <x v="16"/>
  </r>
  <r>
    <x v="81"/>
  </r>
  <r>
    <x v="77"/>
  </r>
  <r>
    <x v="77"/>
  </r>
  <r>
    <x v="52"/>
  </r>
  <r>
    <x v="175"/>
  </r>
  <r>
    <x v="80"/>
  </r>
  <r>
    <x v="138"/>
  </r>
  <r>
    <x v="10"/>
  </r>
  <r>
    <x v="115"/>
  </r>
  <r>
    <x v="115"/>
  </r>
  <r>
    <x v="115"/>
  </r>
  <r>
    <x v="12"/>
  </r>
  <r>
    <x v="12"/>
  </r>
  <r>
    <x v="36"/>
  </r>
  <r>
    <x v="10"/>
  </r>
  <r>
    <x v="10"/>
  </r>
  <r>
    <x v="42"/>
  </r>
  <r>
    <x v="42"/>
  </r>
  <r>
    <x v="42"/>
  </r>
  <r>
    <x v="42"/>
  </r>
  <r>
    <x v="42"/>
  </r>
  <r>
    <x v="12"/>
  </r>
  <r>
    <x v="12"/>
  </r>
  <r>
    <x v="42"/>
  </r>
  <r>
    <x v="42"/>
  </r>
  <r>
    <x v="42"/>
  </r>
  <r>
    <x v="42"/>
  </r>
  <r>
    <x v="12"/>
  </r>
  <r>
    <x v="12"/>
  </r>
  <r>
    <x v="28"/>
  </r>
  <r>
    <x v="14"/>
  </r>
  <r>
    <x v="7"/>
  </r>
  <r>
    <x v="46"/>
  </r>
  <r>
    <x v="28"/>
  </r>
  <r>
    <x v="14"/>
  </r>
  <r>
    <x v="0"/>
  </r>
  <r>
    <x v="12"/>
  </r>
  <r>
    <x v="25"/>
  </r>
  <r>
    <x v="33"/>
  </r>
  <r>
    <x v="10"/>
  </r>
  <r>
    <x v="10"/>
  </r>
  <r>
    <x v="17"/>
  </r>
  <r>
    <x v="17"/>
  </r>
  <r>
    <x v="4"/>
  </r>
  <r>
    <x v="165"/>
  </r>
  <r>
    <x v="10"/>
  </r>
  <r>
    <x v="8"/>
  </r>
  <r>
    <x v="77"/>
  </r>
  <r>
    <x v="77"/>
  </r>
  <r>
    <x v="87"/>
  </r>
  <r>
    <x v="42"/>
  </r>
  <r>
    <x v="12"/>
  </r>
  <r>
    <x v="4"/>
  </r>
  <r>
    <x v="56"/>
  </r>
  <r>
    <x v="28"/>
  </r>
  <r>
    <x v="28"/>
  </r>
  <r>
    <x v="4"/>
  </r>
  <r>
    <x v="12"/>
  </r>
  <r>
    <x v="12"/>
  </r>
  <r>
    <x v="42"/>
  </r>
  <r>
    <x v="87"/>
  </r>
  <r>
    <x v="12"/>
  </r>
  <r>
    <x v="123"/>
  </r>
  <r>
    <x v="138"/>
  </r>
  <r>
    <x v="87"/>
  </r>
  <r>
    <x v="123"/>
  </r>
  <r>
    <x v="152"/>
  </r>
  <r>
    <x v="123"/>
  </r>
  <r>
    <x v="10"/>
  </r>
  <r>
    <x v="56"/>
  </r>
  <r>
    <x v="14"/>
  </r>
  <r>
    <x v="25"/>
  </r>
  <r>
    <x v="25"/>
  </r>
  <r>
    <x v="12"/>
  </r>
  <r>
    <x v="12"/>
  </r>
  <r>
    <x v="87"/>
  </r>
  <r>
    <x v="87"/>
  </r>
  <r>
    <x v="12"/>
  </r>
  <r>
    <x v="4"/>
  </r>
  <r>
    <x v="12"/>
  </r>
  <r>
    <x v="12"/>
  </r>
  <r>
    <x v="12"/>
  </r>
  <r>
    <x v="12"/>
  </r>
  <r>
    <x v="12"/>
  </r>
  <r>
    <x v="4"/>
  </r>
  <r>
    <x v="50"/>
  </r>
  <r>
    <x v="50"/>
  </r>
  <r>
    <x v="19"/>
  </r>
  <r>
    <x v="123"/>
  </r>
  <r>
    <x v="14"/>
  </r>
  <r>
    <x v="14"/>
  </r>
  <r>
    <x v="10"/>
  </r>
  <r>
    <x v="57"/>
  </r>
  <r>
    <x v="4"/>
  </r>
  <r>
    <x v="10"/>
  </r>
  <r>
    <x v="10"/>
  </r>
  <r>
    <x v="10"/>
  </r>
  <r>
    <x v="4"/>
  </r>
  <r>
    <x v="10"/>
  </r>
  <r>
    <x v="32"/>
  </r>
  <r>
    <x v="17"/>
  </r>
  <r>
    <x v="42"/>
  </r>
  <r>
    <x v="56"/>
  </r>
  <r>
    <x v="48"/>
  </r>
  <r>
    <x v="0"/>
  </r>
  <r>
    <x v="95"/>
  </r>
  <r>
    <x v="95"/>
  </r>
  <r>
    <x v="123"/>
  </r>
  <r>
    <x v="123"/>
  </r>
  <r>
    <x v="123"/>
  </r>
  <r>
    <x v="152"/>
  </r>
  <r>
    <x v="168"/>
  </r>
  <r>
    <x v="152"/>
  </r>
  <r>
    <x v="14"/>
  </r>
  <r>
    <x v="123"/>
  </r>
  <r>
    <x v="123"/>
  </r>
  <r>
    <x v="152"/>
  </r>
  <r>
    <x v="168"/>
  </r>
  <r>
    <x v="168"/>
  </r>
  <r>
    <x v="168"/>
  </r>
  <r>
    <x v="168"/>
  </r>
  <r>
    <x v="168"/>
  </r>
  <r>
    <x v="0"/>
  </r>
  <r>
    <x v="123"/>
  </r>
  <r>
    <x v="7"/>
  </r>
  <r>
    <x v="183"/>
  </r>
  <r>
    <x v="183"/>
  </r>
  <r>
    <x v="183"/>
  </r>
  <r>
    <x v="4"/>
  </r>
  <r>
    <x v="42"/>
  </r>
  <r>
    <x v="63"/>
  </r>
  <r>
    <x v="42"/>
  </r>
  <r>
    <x v="42"/>
  </r>
  <r>
    <x v="29"/>
  </r>
  <r>
    <x v="42"/>
  </r>
  <r>
    <x v="42"/>
  </r>
  <r>
    <x v="51"/>
  </r>
  <r>
    <x v="0"/>
  </r>
  <r>
    <x v="32"/>
  </r>
  <r>
    <x v="7"/>
  </r>
  <r>
    <x v="7"/>
  </r>
  <r>
    <x v="7"/>
  </r>
  <r>
    <x v="12"/>
  </r>
  <r>
    <x v="7"/>
  </r>
  <r>
    <x v="7"/>
  </r>
  <r>
    <x v="7"/>
  </r>
  <r>
    <x v="7"/>
  </r>
  <r>
    <x v="7"/>
  </r>
  <r>
    <x v="7"/>
  </r>
  <r>
    <x v="24"/>
  </r>
  <r>
    <x v="24"/>
  </r>
  <r>
    <x v="24"/>
  </r>
  <r>
    <x v="24"/>
  </r>
  <r>
    <x v="24"/>
  </r>
  <r>
    <x v="24"/>
  </r>
  <r>
    <x v="86"/>
  </r>
  <r>
    <x v="0"/>
  </r>
  <r>
    <x v="0"/>
  </r>
  <r>
    <x v="4"/>
  </r>
  <r>
    <x v="56"/>
  </r>
  <r>
    <x v="19"/>
  </r>
  <r>
    <x v="138"/>
  </r>
  <r>
    <x v="138"/>
  </r>
  <r>
    <x v="19"/>
  </r>
  <r>
    <x v="4"/>
  </r>
  <r>
    <x v="4"/>
  </r>
  <r>
    <x v="28"/>
  </r>
  <r>
    <x v="28"/>
  </r>
  <r>
    <x v="28"/>
  </r>
  <r>
    <x v="4"/>
  </r>
  <r>
    <x v="28"/>
  </r>
  <r>
    <x v="4"/>
  </r>
  <r>
    <x v="28"/>
  </r>
  <r>
    <x v="4"/>
  </r>
  <r>
    <x v="4"/>
  </r>
  <r>
    <x v="28"/>
  </r>
  <r>
    <x v="4"/>
  </r>
  <r>
    <x v="28"/>
  </r>
  <r>
    <x v="4"/>
  </r>
  <r>
    <x v="28"/>
  </r>
  <r>
    <x v="28"/>
  </r>
  <r>
    <x v="4"/>
  </r>
  <r>
    <x v="4"/>
  </r>
  <r>
    <x v="10"/>
  </r>
  <r>
    <x v="4"/>
  </r>
  <r>
    <x v="4"/>
  </r>
  <r>
    <x v="4"/>
  </r>
  <r>
    <x v="36"/>
  </r>
  <r>
    <x v="28"/>
  </r>
  <r>
    <x v="42"/>
  </r>
  <r>
    <x v="42"/>
  </r>
  <r>
    <x v="10"/>
  </r>
  <r>
    <x v="10"/>
  </r>
  <r>
    <x v="12"/>
  </r>
  <r>
    <x v="10"/>
  </r>
  <r>
    <x v="12"/>
  </r>
  <r>
    <x v="14"/>
  </r>
  <r>
    <x v="276"/>
  </r>
  <r>
    <x v="42"/>
  </r>
  <r>
    <x v="42"/>
  </r>
  <r>
    <x v="19"/>
  </r>
  <r>
    <x v="87"/>
  </r>
  <r>
    <x v="87"/>
  </r>
  <r>
    <x v="42"/>
  </r>
  <r>
    <x v="53"/>
  </r>
  <r>
    <x v="53"/>
  </r>
  <r>
    <x v="12"/>
  </r>
  <r>
    <x v="42"/>
  </r>
  <r>
    <x v="12"/>
  </r>
  <r>
    <x v="12"/>
  </r>
  <r>
    <x v="116"/>
  </r>
  <r>
    <x v="116"/>
  </r>
  <r>
    <x v="56"/>
  </r>
  <r>
    <x v="87"/>
  </r>
  <r>
    <x v="56"/>
  </r>
  <r>
    <x v="56"/>
  </r>
  <r>
    <x v="56"/>
  </r>
  <r>
    <x v="42"/>
  </r>
  <r>
    <x v="72"/>
  </r>
  <r>
    <x v="48"/>
  </r>
  <r>
    <x v="9"/>
  </r>
  <r>
    <x v="87"/>
  </r>
  <r>
    <x v="50"/>
  </r>
  <r>
    <x v="50"/>
  </r>
  <r>
    <x v="4"/>
  </r>
  <r>
    <x v="87"/>
  </r>
  <r>
    <x v="87"/>
  </r>
  <r>
    <x v="87"/>
  </r>
  <r>
    <x v="10"/>
  </r>
  <r>
    <x v="10"/>
  </r>
  <r>
    <x v="10"/>
  </r>
  <r>
    <x v="16"/>
  </r>
  <r>
    <x v="16"/>
  </r>
  <r>
    <x v="22"/>
  </r>
  <r>
    <x v="22"/>
  </r>
  <r>
    <x v="16"/>
  </r>
  <r>
    <x v="77"/>
  </r>
  <r>
    <x v="4"/>
  </r>
  <r>
    <x v="4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276"/>
  </r>
  <r>
    <x v="276"/>
  </r>
  <r>
    <x v="77"/>
  </r>
  <r>
    <x v="131"/>
  </r>
  <r>
    <x v="77"/>
  </r>
  <r>
    <x v="0"/>
  </r>
  <r>
    <x v="28"/>
  </r>
  <r>
    <x v="0"/>
  </r>
  <r>
    <x v="48"/>
  </r>
  <r>
    <x v="7"/>
  </r>
  <r>
    <x v="10"/>
  </r>
  <r>
    <x v="42"/>
  </r>
  <r>
    <x v="4"/>
  </r>
  <r>
    <x v="9"/>
  </r>
  <r>
    <x v="155"/>
  </r>
  <r>
    <x v="10"/>
  </r>
  <r>
    <x v="4"/>
  </r>
  <r>
    <x v="24"/>
  </r>
  <r>
    <x v="24"/>
  </r>
  <r>
    <x v="24"/>
  </r>
  <r>
    <x v="24"/>
  </r>
  <r>
    <x v="4"/>
  </r>
  <r>
    <x v="10"/>
  </r>
  <r>
    <x v="4"/>
  </r>
  <r>
    <x v="4"/>
  </r>
  <r>
    <x v="10"/>
  </r>
  <r>
    <x v="10"/>
  </r>
  <r>
    <x v="4"/>
  </r>
  <r>
    <x v="4"/>
  </r>
  <r>
    <x v="42"/>
  </r>
  <r>
    <x v="12"/>
  </r>
  <r>
    <x v="10"/>
  </r>
  <r>
    <x v="4"/>
  </r>
  <r>
    <x v="10"/>
  </r>
  <r>
    <x v="4"/>
  </r>
  <r>
    <x v="10"/>
  </r>
  <r>
    <x v="4"/>
  </r>
  <r>
    <x v="12"/>
  </r>
  <r>
    <x v="149"/>
  </r>
  <r>
    <x v="15"/>
  </r>
  <r>
    <x v="15"/>
  </r>
  <r>
    <x v="0"/>
  </r>
  <r>
    <x v="10"/>
  </r>
  <r>
    <x v="10"/>
  </r>
  <r>
    <x v="33"/>
  </r>
  <r>
    <x v="12"/>
  </r>
  <r>
    <x v="33"/>
  </r>
  <r>
    <x v="33"/>
  </r>
  <r>
    <x v="33"/>
  </r>
  <r>
    <x v="33"/>
  </r>
  <r>
    <x v="10"/>
  </r>
  <r>
    <x v="10"/>
  </r>
  <r>
    <x v="14"/>
  </r>
  <r>
    <x v="10"/>
  </r>
  <r>
    <x v="33"/>
  </r>
  <r>
    <x v="10"/>
  </r>
  <r>
    <x v="33"/>
  </r>
  <r>
    <x v="10"/>
  </r>
  <r>
    <x v="10"/>
  </r>
  <r>
    <x v="48"/>
  </r>
  <r>
    <x v="10"/>
  </r>
  <r>
    <x v="10"/>
  </r>
  <r>
    <x v="10"/>
  </r>
  <r>
    <x v="10"/>
  </r>
  <r>
    <x v="12"/>
  </r>
  <r>
    <x v="12"/>
  </r>
  <r>
    <x v="10"/>
  </r>
  <r>
    <x v="10"/>
  </r>
  <r>
    <x v="12"/>
  </r>
  <r>
    <x v="10"/>
  </r>
  <r>
    <x v="126"/>
  </r>
  <r>
    <x v="126"/>
  </r>
  <r>
    <x v="126"/>
  </r>
  <r>
    <x v="10"/>
  </r>
  <r>
    <x v="10"/>
  </r>
  <r>
    <x v="10"/>
  </r>
  <r>
    <x v="10"/>
  </r>
  <r>
    <x v="11"/>
  </r>
  <r>
    <x v="11"/>
  </r>
  <r>
    <x v="33"/>
  </r>
  <r>
    <x v="36"/>
  </r>
  <r>
    <x v="36"/>
  </r>
  <r>
    <x v="87"/>
  </r>
  <r>
    <x v="251"/>
  </r>
  <r>
    <x v="42"/>
  </r>
  <r>
    <x v="36"/>
  </r>
  <r>
    <x v="36"/>
  </r>
  <r>
    <x v="36"/>
  </r>
  <r>
    <x v="22"/>
  </r>
  <r>
    <x v="10"/>
  </r>
  <r>
    <x v="174"/>
  </r>
  <r>
    <x v="22"/>
  </r>
  <r>
    <x v="174"/>
  </r>
  <r>
    <x v="174"/>
  </r>
  <r>
    <x v="22"/>
  </r>
  <r>
    <x v="22"/>
  </r>
  <r>
    <x v="174"/>
  </r>
  <r>
    <x v="174"/>
  </r>
  <r>
    <x v="22"/>
  </r>
  <r>
    <x v="174"/>
  </r>
  <r>
    <x v="174"/>
  </r>
  <r>
    <x v="174"/>
  </r>
  <r>
    <x v="22"/>
  </r>
  <r>
    <x v="22"/>
  </r>
  <r>
    <x v="174"/>
  </r>
  <r>
    <x v="174"/>
  </r>
  <r>
    <x v="174"/>
  </r>
  <r>
    <x v="22"/>
  </r>
  <r>
    <x v="4"/>
  </r>
  <r>
    <x v="22"/>
  </r>
  <r>
    <x v="14"/>
  </r>
  <r>
    <x v="31"/>
  </r>
  <r>
    <x v="4"/>
  </r>
  <r>
    <x v="0"/>
  </r>
  <r>
    <x v="30"/>
  </r>
  <r>
    <x v="41"/>
  </r>
  <r>
    <x v="22"/>
  </r>
  <r>
    <x v="59"/>
  </r>
  <r>
    <x v="123"/>
  </r>
  <r>
    <x v="123"/>
  </r>
  <r>
    <x v="123"/>
  </r>
  <r>
    <x v="14"/>
  </r>
  <r>
    <x v="14"/>
  </r>
  <r>
    <x v="4"/>
  </r>
  <r>
    <x v="4"/>
  </r>
  <r>
    <x v="0"/>
  </r>
  <r>
    <x v="22"/>
  </r>
  <r>
    <x v="22"/>
  </r>
  <r>
    <x v="22"/>
  </r>
  <r>
    <x v="99"/>
  </r>
  <r>
    <x v="51"/>
  </r>
  <r>
    <x v="33"/>
  </r>
  <r>
    <x v="78"/>
  </r>
  <r>
    <x v="12"/>
  </r>
  <r>
    <x v="78"/>
  </r>
  <r>
    <x v="12"/>
  </r>
  <r>
    <x v="12"/>
  </r>
  <r>
    <x v="14"/>
  </r>
  <r>
    <x v="10"/>
  </r>
  <r>
    <x v="81"/>
  </r>
  <r>
    <x v="56"/>
  </r>
  <r>
    <x v="56"/>
  </r>
  <r>
    <x v="56"/>
  </r>
  <r>
    <x v="12"/>
  </r>
  <r>
    <x v="56"/>
  </r>
  <r>
    <x v="42"/>
  </r>
  <r>
    <x v="388"/>
  </r>
  <r>
    <x v="388"/>
  </r>
  <r>
    <x v="42"/>
  </r>
  <r>
    <x v="42"/>
  </r>
  <r>
    <x v="56"/>
  </r>
  <r>
    <x v="56"/>
  </r>
  <r>
    <x v="42"/>
  </r>
  <r>
    <x v="4"/>
  </r>
  <r>
    <x v="56"/>
  </r>
  <r>
    <x v="56"/>
  </r>
  <r>
    <x v="87"/>
  </r>
  <r>
    <x v="42"/>
  </r>
  <r>
    <x v="42"/>
  </r>
  <r>
    <x v="87"/>
  </r>
  <r>
    <x v="72"/>
  </r>
  <r>
    <x v="115"/>
  </r>
  <r>
    <x v="7"/>
  </r>
  <r>
    <x v="42"/>
  </r>
  <r>
    <x v="48"/>
  </r>
  <r>
    <x v="7"/>
  </r>
  <r>
    <x v="42"/>
  </r>
  <r>
    <x v="12"/>
  </r>
  <r>
    <x v="33"/>
  </r>
  <r>
    <x v="56"/>
  </r>
  <r>
    <x v="48"/>
  </r>
  <r>
    <x v="42"/>
  </r>
  <r>
    <x v="56"/>
  </r>
  <r>
    <x v="12"/>
  </r>
  <r>
    <x v="12"/>
  </r>
  <r>
    <x v="12"/>
  </r>
  <r>
    <x v="12"/>
  </r>
  <r>
    <x v="56"/>
  </r>
  <r>
    <x v="12"/>
  </r>
  <r>
    <x v="12"/>
  </r>
  <r>
    <x v="12"/>
  </r>
  <r>
    <x v="12"/>
  </r>
  <r>
    <x v="36"/>
  </r>
  <r>
    <x v="12"/>
  </r>
  <r>
    <x v="12"/>
  </r>
  <r>
    <x v="26"/>
  </r>
  <r>
    <x v="12"/>
  </r>
  <r>
    <x v="10"/>
  </r>
  <r>
    <x v="10"/>
  </r>
  <r>
    <x v="89"/>
  </r>
  <r>
    <x v="12"/>
  </r>
  <r>
    <x v="12"/>
  </r>
  <r>
    <x v="89"/>
  </r>
  <r>
    <x v="16"/>
  </r>
  <r>
    <x v="87"/>
  </r>
  <r>
    <x v="89"/>
  </r>
  <r>
    <x v="4"/>
  </r>
  <r>
    <x v="22"/>
  </r>
  <r>
    <x v="77"/>
  </r>
  <r>
    <x v="10"/>
  </r>
  <r>
    <x v="12"/>
  </r>
  <r>
    <x v="12"/>
  </r>
  <r>
    <x v="77"/>
  </r>
  <r>
    <x v="85"/>
  </r>
  <r>
    <x v="85"/>
  </r>
  <r>
    <x v="123"/>
  </r>
  <r>
    <x v="87"/>
  </r>
  <r>
    <x v="87"/>
  </r>
  <r>
    <x v="87"/>
  </r>
  <r>
    <x v="87"/>
  </r>
  <r>
    <x v="87"/>
  </r>
  <r>
    <x v="87"/>
  </r>
  <r>
    <x v="87"/>
  </r>
  <r>
    <x v="10"/>
  </r>
  <r>
    <x v="87"/>
  </r>
  <r>
    <x v="4"/>
  </r>
  <r>
    <x v="24"/>
  </r>
  <r>
    <x v="24"/>
  </r>
  <r>
    <x v="71"/>
  </r>
  <r>
    <x v="77"/>
  </r>
  <r>
    <x v="30"/>
  </r>
  <r>
    <x v="77"/>
  </r>
  <r>
    <x v="77"/>
  </r>
  <r>
    <x v="24"/>
  </r>
  <r>
    <x v="27"/>
  </r>
  <r>
    <x v="77"/>
  </r>
  <r>
    <x v="77"/>
  </r>
  <r>
    <x v="77"/>
  </r>
  <r>
    <x v="4"/>
  </r>
  <r>
    <x v="77"/>
  </r>
  <r>
    <x v="165"/>
  </r>
  <r>
    <x v="4"/>
  </r>
  <r>
    <x v="4"/>
  </r>
  <r>
    <x v="115"/>
  </r>
  <r>
    <x v="39"/>
  </r>
  <r>
    <x v="115"/>
  </r>
  <r>
    <x v="115"/>
  </r>
  <r>
    <x v="10"/>
  </r>
  <r>
    <x v="10"/>
  </r>
  <r>
    <x v="10"/>
  </r>
  <r>
    <x v="10"/>
  </r>
  <r>
    <x v="165"/>
  </r>
  <r>
    <x v="165"/>
  </r>
  <r>
    <x v="165"/>
  </r>
  <r>
    <x v="165"/>
  </r>
  <r>
    <x v="22"/>
  </r>
  <r>
    <x v="0"/>
  </r>
  <r>
    <x v="48"/>
  </r>
  <r>
    <x v="4"/>
  </r>
  <r>
    <x v="39"/>
  </r>
  <r>
    <x v="21"/>
  </r>
  <r>
    <x v="21"/>
  </r>
  <r>
    <x v="31"/>
  </r>
  <r>
    <x v="31"/>
  </r>
  <r>
    <x v="21"/>
  </r>
  <r>
    <x v="21"/>
  </r>
  <r>
    <x v="123"/>
  </r>
  <r>
    <x v="14"/>
  </r>
  <r>
    <x v="26"/>
  </r>
  <r>
    <x v="48"/>
  </r>
  <r>
    <x v="12"/>
  </r>
  <r>
    <x v="41"/>
  </r>
  <r>
    <x v="14"/>
  </r>
  <r>
    <x v="10"/>
  </r>
  <r>
    <x v="10"/>
  </r>
  <r>
    <x v="25"/>
  </r>
  <r>
    <x v="59"/>
  </r>
  <r>
    <x v="27"/>
  </r>
  <r>
    <x v="76"/>
  </r>
  <r>
    <x v="131"/>
  </r>
  <r>
    <x v="3"/>
  </r>
  <r>
    <x v="52"/>
  </r>
  <r>
    <x v="4"/>
  </r>
  <r>
    <x v="0"/>
  </r>
  <r>
    <x v="12"/>
  </r>
  <r>
    <x v="27"/>
  </r>
  <r>
    <x v="27"/>
  </r>
  <r>
    <x v="76"/>
  </r>
  <r>
    <x v="76"/>
  </r>
  <r>
    <x v="76"/>
  </r>
  <r>
    <x v="76"/>
  </r>
  <r>
    <x v="24"/>
  </r>
  <r>
    <x v="138"/>
  </r>
  <r>
    <x v="4"/>
  </r>
  <r>
    <x v="76"/>
  </r>
  <r>
    <x v="4"/>
  </r>
  <r>
    <x v="12"/>
  </r>
  <r>
    <x v="165"/>
  </r>
  <r>
    <x v="123"/>
  </r>
  <r>
    <x v="123"/>
  </r>
  <r>
    <x v="4"/>
  </r>
  <r>
    <x v="4"/>
  </r>
  <r>
    <x v="123"/>
  </r>
  <r>
    <x v="123"/>
  </r>
  <r>
    <x v="0"/>
  </r>
  <r>
    <x v="12"/>
  </r>
  <r>
    <x v="138"/>
  </r>
  <r>
    <x v="138"/>
  </r>
  <r>
    <x v="138"/>
  </r>
  <r>
    <x v="0"/>
  </r>
  <r>
    <x v="80"/>
  </r>
  <r>
    <x v="12"/>
  </r>
  <r>
    <x v="138"/>
  </r>
  <r>
    <x v="138"/>
  </r>
  <r>
    <x v="123"/>
  </r>
  <r>
    <x v="123"/>
  </r>
  <r>
    <x v="9"/>
  </r>
  <r>
    <x v="22"/>
  </r>
  <r>
    <x v="22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28"/>
  </r>
  <r>
    <x v="28"/>
  </r>
  <r>
    <x v="28"/>
  </r>
  <r>
    <x v="53"/>
  </r>
  <r>
    <x v="28"/>
  </r>
  <r>
    <x v="28"/>
  </r>
  <r>
    <x v="100"/>
  </r>
  <r>
    <x v="10"/>
  </r>
  <r>
    <x v="138"/>
  </r>
  <r>
    <x v="22"/>
  </r>
  <r>
    <x v="22"/>
  </r>
  <r>
    <x v="22"/>
  </r>
  <r>
    <x v="22"/>
  </r>
  <r>
    <x v="30"/>
  </r>
  <r>
    <x v="76"/>
  </r>
  <r>
    <x v="10"/>
  </r>
  <r>
    <x v="4"/>
  </r>
  <r>
    <x v="24"/>
  </r>
  <r>
    <x v="4"/>
  </r>
  <r>
    <x v="4"/>
  </r>
  <r>
    <x v="14"/>
  </r>
  <r>
    <x v="14"/>
  </r>
  <r>
    <x v="10"/>
  </r>
  <r>
    <x v="14"/>
  </r>
  <r>
    <x v="14"/>
  </r>
  <r>
    <x v="14"/>
  </r>
  <r>
    <x v="80"/>
  </r>
  <r>
    <x v="42"/>
  </r>
  <r>
    <x v="42"/>
  </r>
  <r>
    <x v="78"/>
  </r>
  <r>
    <x v="78"/>
  </r>
  <r>
    <x v="78"/>
  </r>
  <r>
    <x v="78"/>
  </r>
  <r>
    <x v="78"/>
  </r>
  <r>
    <x v="78"/>
  </r>
  <r>
    <x v="78"/>
  </r>
  <r>
    <x v="78"/>
  </r>
  <r>
    <x v="86"/>
  </r>
  <r>
    <x v="7"/>
  </r>
  <r>
    <x v="71"/>
  </r>
  <r>
    <x v="12"/>
  </r>
  <r>
    <x v="10"/>
  </r>
  <r>
    <x v="24"/>
  </r>
  <r>
    <x v="40"/>
  </r>
  <r>
    <x v="40"/>
  </r>
  <r>
    <x v="12"/>
  </r>
  <r>
    <x v="40"/>
  </r>
  <r>
    <x v="6"/>
  </r>
  <r>
    <x v="45"/>
  </r>
  <r>
    <x v="26"/>
  </r>
  <r>
    <x v="227"/>
  </r>
  <r>
    <x v="10"/>
  </r>
  <r>
    <x v="56"/>
  </r>
  <r>
    <x v="10"/>
  </r>
  <r>
    <x v="10"/>
  </r>
  <r>
    <x v="10"/>
  </r>
  <r>
    <x v="10"/>
  </r>
  <r>
    <x v="12"/>
  </r>
  <r>
    <x v="175"/>
  </r>
  <r>
    <x v="175"/>
  </r>
  <r>
    <x v="175"/>
  </r>
  <r>
    <x v="175"/>
  </r>
  <r>
    <x v="175"/>
  </r>
  <r>
    <x v="175"/>
  </r>
  <r>
    <x v="4"/>
  </r>
  <r>
    <x v="4"/>
  </r>
  <r>
    <x v="4"/>
  </r>
  <r>
    <x v="4"/>
  </r>
  <r>
    <x v="4"/>
  </r>
  <r>
    <x v="7"/>
  </r>
  <r>
    <x v="4"/>
  </r>
  <r>
    <x v="10"/>
  </r>
  <r>
    <x v="10"/>
  </r>
  <r>
    <x v="12"/>
  </r>
  <r>
    <x v="29"/>
  </r>
  <r>
    <x v="10"/>
  </r>
  <r>
    <x v="56"/>
  </r>
  <r>
    <x v="48"/>
  </r>
  <r>
    <x v="56"/>
  </r>
  <r>
    <x v="56"/>
  </r>
  <r>
    <x v="14"/>
  </r>
  <r>
    <x v="123"/>
  </r>
  <r>
    <x v="136"/>
  </r>
  <r>
    <x v="0"/>
  </r>
  <r>
    <x v="4"/>
  </r>
  <r>
    <x v="4"/>
  </r>
  <r>
    <x v="71"/>
  </r>
  <r>
    <x v="4"/>
  </r>
  <r>
    <x v="77"/>
  </r>
  <r>
    <x v="4"/>
  </r>
  <r>
    <x v="42"/>
  </r>
  <r>
    <x v="1"/>
  </r>
  <r>
    <x v="1"/>
  </r>
  <r>
    <x v="1"/>
  </r>
  <r>
    <x v="42"/>
  </r>
  <r>
    <x v="42"/>
  </r>
  <r>
    <x v="25"/>
  </r>
  <r>
    <x v="75"/>
  </r>
  <r>
    <x v="28"/>
  </r>
  <r>
    <x v="4"/>
  </r>
  <r>
    <x v="4"/>
  </r>
  <r>
    <x v="9"/>
  </r>
  <r>
    <x v="9"/>
  </r>
  <r>
    <x v="9"/>
  </r>
  <r>
    <x v="4"/>
  </r>
  <r>
    <x v="0"/>
  </r>
  <r>
    <x v="0"/>
  </r>
  <r>
    <x v="79"/>
  </r>
  <r>
    <x v="0"/>
  </r>
  <r>
    <x v="0"/>
  </r>
  <r>
    <x v="10"/>
  </r>
  <r>
    <x v="10"/>
  </r>
  <r>
    <x v="10"/>
  </r>
  <r>
    <x v="10"/>
  </r>
  <r>
    <x v="55"/>
  </r>
  <r>
    <x v="55"/>
  </r>
  <r>
    <x v="10"/>
  </r>
  <r>
    <x v="10"/>
  </r>
  <r>
    <x v="115"/>
  </r>
  <r>
    <x v="115"/>
  </r>
  <r>
    <x v="10"/>
  </r>
  <r>
    <x v="36"/>
  </r>
  <r>
    <x v="80"/>
  </r>
  <r>
    <x v="36"/>
  </r>
  <r>
    <x v="10"/>
  </r>
  <r>
    <x v="10"/>
  </r>
  <r>
    <x v="10"/>
  </r>
  <r>
    <x v="10"/>
  </r>
  <r>
    <x v="42"/>
  </r>
  <r>
    <x v="10"/>
  </r>
  <r>
    <x v="26"/>
  </r>
  <r>
    <x v="89"/>
  </r>
  <r>
    <x v="89"/>
  </r>
  <r>
    <x v="89"/>
  </r>
  <r>
    <x v="10"/>
  </r>
  <r>
    <x v="7"/>
  </r>
  <r>
    <x v="22"/>
  </r>
  <r>
    <x v="12"/>
  </r>
  <r>
    <x v="63"/>
  </r>
  <r>
    <x v="26"/>
  </r>
  <r>
    <x v="42"/>
  </r>
  <r>
    <x v="63"/>
  </r>
  <r>
    <x v="123"/>
  </r>
  <r>
    <x v="123"/>
  </r>
  <r>
    <x v="12"/>
  </r>
  <r>
    <x v="4"/>
  </r>
  <r>
    <x v="42"/>
  </r>
  <r>
    <x v="56"/>
  </r>
  <r>
    <x v="56"/>
  </r>
  <r>
    <x v="56"/>
  </r>
  <r>
    <x v="56"/>
  </r>
  <r>
    <x v="56"/>
  </r>
  <r>
    <x v="4"/>
  </r>
  <r>
    <x v="64"/>
  </r>
  <r>
    <x v="12"/>
  </r>
  <r>
    <x v="63"/>
  </r>
  <r>
    <x v="77"/>
  </r>
  <r>
    <x v="26"/>
  </r>
  <r>
    <x v="72"/>
  </r>
  <r>
    <x v="29"/>
  </r>
  <r>
    <x v="29"/>
  </r>
  <r>
    <x v="29"/>
  </r>
  <r>
    <x v="34"/>
  </r>
  <r>
    <x v="12"/>
  </r>
  <r>
    <x v="45"/>
  </r>
  <r>
    <x v="52"/>
  </r>
  <r>
    <x v="48"/>
  </r>
  <r>
    <x v="30"/>
  </r>
  <r>
    <x v="12"/>
  </r>
  <r>
    <x v="87"/>
  </r>
  <r>
    <x v="12"/>
  </r>
  <r>
    <x v="87"/>
  </r>
  <r>
    <x v="12"/>
  </r>
  <r>
    <x v="26"/>
  </r>
  <r>
    <x v="12"/>
  </r>
  <r>
    <x v="87"/>
  </r>
  <r>
    <x v="12"/>
  </r>
  <r>
    <x v="12"/>
  </r>
  <r>
    <x v="12"/>
  </r>
  <r>
    <x v="87"/>
  </r>
  <r>
    <x v="87"/>
  </r>
  <r>
    <x v="12"/>
  </r>
  <r>
    <x v="12"/>
  </r>
  <r>
    <x v="87"/>
  </r>
  <r>
    <x v="87"/>
  </r>
  <r>
    <x v="56"/>
  </r>
  <r>
    <x v="12"/>
  </r>
  <r>
    <x v="42"/>
  </r>
  <r>
    <x v="51"/>
  </r>
  <r>
    <x v="12"/>
  </r>
  <r>
    <x v="10"/>
  </r>
  <r>
    <x v="4"/>
  </r>
  <r>
    <x v="4"/>
  </r>
  <r>
    <x v="17"/>
  </r>
  <r>
    <x v="11"/>
  </r>
  <r>
    <x v="24"/>
  </r>
  <r>
    <x v="51"/>
  </r>
  <r>
    <x v="4"/>
  </r>
  <r>
    <x v="4"/>
  </r>
  <r>
    <x v="4"/>
  </r>
  <r>
    <x v="17"/>
  </r>
  <r>
    <x v="22"/>
  </r>
  <r>
    <x v="22"/>
  </r>
  <r>
    <x v="33"/>
  </r>
  <r>
    <x v="78"/>
  </r>
  <r>
    <x v="0"/>
  </r>
  <r>
    <x v="0"/>
  </r>
  <r>
    <x v="0"/>
  </r>
  <r>
    <x v="42"/>
  </r>
  <r>
    <x v="42"/>
  </r>
  <r>
    <x v="0"/>
  </r>
  <r>
    <x v="0"/>
  </r>
  <r>
    <x v="12"/>
  </r>
  <r>
    <x v="0"/>
  </r>
  <r>
    <x v="0"/>
  </r>
  <r>
    <x v="0"/>
  </r>
  <r>
    <x v="0"/>
  </r>
  <r>
    <x v="0"/>
  </r>
  <r>
    <x v="1"/>
  </r>
  <r>
    <x v="1"/>
  </r>
  <r>
    <x v="1"/>
  </r>
  <r>
    <x v="4"/>
  </r>
  <r>
    <x v="4"/>
  </r>
  <r>
    <x v="87"/>
  </r>
  <r>
    <x v="87"/>
  </r>
  <r>
    <x v="36"/>
  </r>
  <r>
    <x v="36"/>
  </r>
  <r>
    <x v="36"/>
  </r>
  <r>
    <x v="87"/>
  </r>
  <r>
    <x v="36"/>
  </r>
  <r>
    <x v="36"/>
  </r>
  <r>
    <x v="4"/>
  </r>
  <r>
    <x v="10"/>
  </r>
  <r>
    <x v="10"/>
  </r>
  <r>
    <x v="4"/>
  </r>
  <r>
    <x v="10"/>
  </r>
  <r>
    <x v="4"/>
  </r>
  <r>
    <x v="4"/>
  </r>
  <r>
    <x v="0"/>
  </r>
  <r>
    <x v="31"/>
  </r>
  <r>
    <x v="4"/>
  </r>
  <r>
    <x v="12"/>
  </r>
  <r>
    <x v="12"/>
  </r>
  <r>
    <x v="72"/>
  </r>
  <r>
    <x v="77"/>
  </r>
  <r>
    <x v="42"/>
  </r>
  <r>
    <x v="42"/>
  </r>
  <r>
    <x v="12"/>
  </r>
  <r>
    <x v="17"/>
  </r>
  <r>
    <x v="4"/>
  </r>
  <r>
    <x v="4"/>
  </r>
  <r>
    <x v="1"/>
  </r>
  <r>
    <x v="10"/>
  </r>
  <r>
    <x v="12"/>
  </r>
  <r>
    <x v="12"/>
  </r>
  <r>
    <x v="42"/>
  </r>
  <r>
    <x v="21"/>
  </r>
  <r>
    <x v="21"/>
  </r>
  <r>
    <x v="40"/>
  </r>
  <r>
    <x v="12"/>
  </r>
  <r>
    <x v="40"/>
  </r>
  <r>
    <x v="12"/>
  </r>
  <r>
    <x v="12"/>
  </r>
  <r>
    <x v="12"/>
  </r>
  <r>
    <x v="10"/>
  </r>
  <r>
    <x v="12"/>
  </r>
  <r>
    <x v="12"/>
  </r>
  <r>
    <x v="10"/>
  </r>
  <r>
    <x v="87"/>
  </r>
  <r>
    <x v="165"/>
  </r>
  <r>
    <x v="4"/>
  </r>
  <r>
    <x v="4"/>
  </r>
  <r>
    <x v="16"/>
  </r>
  <r>
    <x v="129"/>
  </r>
  <r>
    <x v="129"/>
  </r>
  <r>
    <x v="129"/>
  </r>
  <r>
    <x v="129"/>
  </r>
  <r>
    <x v="129"/>
  </r>
  <r>
    <x v="25"/>
  </r>
  <r>
    <x v="10"/>
  </r>
  <r>
    <x v="10"/>
  </r>
  <r>
    <x v="4"/>
  </r>
  <r>
    <x v="78"/>
  </r>
  <r>
    <x v="78"/>
  </r>
  <r>
    <x v="10"/>
  </r>
  <r>
    <x v="78"/>
  </r>
  <r>
    <x v="68"/>
  </r>
  <r>
    <x v="68"/>
  </r>
  <r>
    <x v="10"/>
  </r>
  <r>
    <x v="56"/>
  </r>
  <r>
    <x v="4"/>
  </r>
  <r>
    <x v="4"/>
  </r>
  <r>
    <x v="1"/>
  </r>
  <r>
    <x v="87"/>
  </r>
  <r>
    <x v="77"/>
  </r>
  <r>
    <x v="77"/>
  </r>
  <r>
    <x v="77"/>
  </r>
  <r>
    <x v="77"/>
  </r>
  <r>
    <x v="48"/>
  </r>
  <r>
    <x v="77"/>
  </r>
  <r>
    <x v="77"/>
  </r>
  <r>
    <x v="14"/>
  </r>
  <r>
    <x v="4"/>
  </r>
  <r>
    <x v="0"/>
  </r>
  <r>
    <x v="76"/>
  </r>
  <r>
    <x v="76"/>
  </r>
  <r>
    <x v="76"/>
  </r>
  <r>
    <x v="162"/>
  </r>
  <r>
    <x v="115"/>
  </r>
  <r>
    <x v="115"/>
  </r>
  <r>
    <x v="115"/>
  </r>
  <r>
    <x v="115"/>
  </r>
  <r>
    <x v="115"/>
  </r>
  <r>
    <x v="75"/>
  </r>
  <r>
    <x v="115"/>
  </r>
  <r>
    <x v="115"/>
  </r>
  <r>
    <x v="115"/>
  </r>
  <r>
    <x v="4"/>
  </r>
  <r>
    <x v="4"/>
  </r>
  <r>
    <x v="4"/>
  </r>
  <r>
    <x v="4"/>
  </r>
  <r>
    <x v="36"/>
  </r>
  <r>
    <x v="14"/>
  </r>
  <r>
    <x v="14"/>
  </r>
  <r>
    <x v="14"/>
  </r>
  <r>
    <x v="52"/>
  </r>
  <r>
    <x v="52"/>
  </r>
  <r>
    <x v="12"/>
  </r>
  <r>
    <x v="208"/>
  </r>
  <r>
    <x v="12"/>
  </r>
  <r>
    <x v="12"/>
  </r>
  <r>
    <x v="0"/>
  </r>
  <r>
    <x v="0"/>
  </r>
  <r>
    <x v="87"/>
  </r>
  <r>
    <x v="87"/>
  </r>
  <r>
    <x v="48"/>
  </r>
  <r>
    <x v="10"/>
  </r>
  <r>
    <x v="0"/>
  </r>
  <r>
    <x v="28"/>
  </r>
  <r>
    <x v="10"/>
  </r>
  <r>
    <x v="10"/>
  </r>
  <r>
    <x v="10"/>
  </r>
  <r>
    <x v="123"/>
  </r>
  <r>
    <x v="123"/>
  </r>
  <r>
    <x v="12"/>
  </r>
  <r>
    <x v="12"/>
  </r>
  <r>
    <x v="123"/>
  </r>
  <r>
    <x v="123"/>
  </r>
  <r>
    <x v="114"/>
  </r>
  <r>
    <x v="10"/>
  </r>
  <r>
    <x v="114"/>
  </r>
  <r>
    <x v="0"/>
  </r>
  <r>
    <x v="114"/>
  </r>
  <r>
    <x v="22"/>
  </r>
  <r>
    <x v="14"/>
  </r>
  <r>
    <x v="14"/>
  </r>
  <r>
    <x v="22"/>
  </r>
  <r>
    <x v="36"/>
  </r>
  <r>
    <x v="12"/>
  </r>
  <r>
    <x v="12"/>
  </r>
  <r>
    <x v="86"/>
  </r>
  <r>
    <x v="42"/>
  </r>
  <r>
    <x v="42"/>
  </r>
  <r>
    <x v="42"/>
  </r>
  <r>
    <x v="42"/>
  </r>
  <r>
    <x v="42"/>
  </r>
  <r>
    <x v="42"/>
  </r>
  <r>
    <x v="43"/>
  </r>
  <r>
    <x v="4"/>
  </r>
  <r>
    <x v="43"/>
  </r>
  <r>
    <x v="43"/>
  </r>
  <r>
    <x v="43"/>
  </r>
  <r>
    <x v="43"/>
  </r>
  <r>
    <x v="43"/>
  </r>
  <r>
    <x v="63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51"/>
  </r>
  <r>
    <x v="51"/>
  </r>
  <r>
    <x v="51"/>
  </r>
  <r>
    <x v="51"/>
  </r>
  <r>
    <x v="51"/>
  </r>
  <r>
    <x v="71"/>
  </r>
  <r>
    <x v="28"/>
  </r>
  <r>
    <x v="28"/>
  </r>
  <r>
    <x v="28"/>
  </r>
  <r>
    <x v="4"/>
  </r>
  <r>
    <x v="25"/>
  </r>
  <r>
    <x v="12"/>
  </r>
  <r>
    <x v="123"/>
  </r>
  <r>
    <x v="41"/>
  </r>
  <r>
    <x v="115"/>
  </r>
  <r>
    <x v="42"/>
  </r>
  <r>
    <x v="169"/>
  </r>
  <r>
    <x v="42"/>
  </r>
  <r>
    <x v="42"/>
  </r>
  <r>
    <x v="42"/>
  </r>
  <r>
    <x v="42"/>
  </r>
  <r>
    <x v="12"/>
  </r>
  <r>
    <x v="42"/>
  </r>
  <r>
    <x v="12"/>
  </r>
  <r>
    <x v="42"/>
  </r>
  <r>
    <x v="42"/>
  </r>
  <r>
    <x v="42"/>
  </r>
  <r>
    <x v="42"/>
  </r>
  <r>
    <x v="42"/>
  </r>
  <r>
    <x v="12"/>
  </r>
  <r>
    <x v="12"/>
  </r>
  <r>
    <x v="42"/>
  </r>
  <r>
    <x v="42"/>
  </r>
  <r>
    <x v="42"/>
  </r>
  <r>
    <x v="10"/>
  </r>
  <r>
    <x v="4"/>
  </r>
  <r>
    <x v="10"/>
  </r>
  <r>
    <x v="10"/>
  </r>
  <r>
    <x v="42"/>
  </r>
  <r>
    <x v="154"/>
  </r>
  <r>
    <x v="154"/>
  </r>
  <r>
    <x v="154"/>
  </r>
  <r>
    <x v="21"/>
  </r>
  <r>
    <x v="24"/>
  </r>
  <r>
    <x v="10"/>
  </r>
  <r>
    <x v="48"/>
  </r>
  <r>
    <x v="24"/>
  </r>
  <r>
    <x v="12"/>
  </r>
  <r>
    <x v="12"/>
  </r>
  <r>
    <x v="42"/>
  </r>
  <r>
    <x v="10"/>
  </r>
  <r>
    <x v="102"/>
  </r>
  <r>
    <x v="14"/>
  </r>
  <r>
    <x v="48"/>
  </r>
  <r>
    <x v="15"/>
  </r>
  <r>
    <x v="16"/>
  </r>
  <r>
    <x v="10"/>
  </r>
  <r>
    <x v="14"/>
  </r>
  <r>
    <x v="50"/>
  </r>
  <r>
    <x v="4"/>
  </r>
  <r>
    <x v="0"/>
  </r>
  <r>
    <x v="42"/>
  </r>
  <r>
    <x v="48"/>
  </r>
  <r>
    <x v="87"/>
  </r>
  <r>
    <x v="33"/>
  </r>
  <r>
    <x v="86"/>
  </r>
  <r>
    <x v="86"/>
  </r>
  <r>
    <x v="86"/>
  </r>
  <r>
    <x v="42"/>
  </r>
  <r>
    <x v="86"/>
  </r>
  <r>
    <x v="86"/>
  </r>
  <r>
    <x v="86"/>
  </r>
  <r>
    <x v="86"/>
  </r>
  <r>
    <x v="86"/>
  </r>
  <r>
    <x v="10"/>
  </r>
  <r>
    <x v="19"/>
  </r>
  <r>
    <x v="19"/>
  </r>
  <r>
    <x v="63"/>
  </r>
  <r>
    <x v="25"/>
  </r>
  <r>
    <x v="59"/>
  </r>
  <r>
    <x v="76"/>
  </r>
  <r>
    <x v="28"/>
  </r>
  <r>
    <x v="162"/>
  </r>
  <r>
    <x v="15"/>
  </r>
  <r>
    <x v="175"/>
  </r>
  <r>
    <x v="175"/>
  </r>
  <r>
    <x v="175"/>
  </r>
  <r>
    <x v="175"/>
  </r>
  <r>
    <x v="23"/>
  </r>
  <r>
    <x v="3"/>
  </r>
  <r>
    <x v="3"/>
  </r>
  <r>
    <x v="3"/>
  </r>
  <r>
    <x v="25"/>
  </r>
  <r>
    <x v="4"/>
  </r>
  <r>
    <x v="4"/>
  </r>
  <r>
    <x v="30"/>
  </r>
  <r>
    <x v="4"/>
  </r>
  <r>
    <x v="4"/>
  </r>
  <r>
    <x v="4"/>
  </r>
  <r>
    <x v="4"/>
  </r>
  <r>
    <x v="12"/>
  </r>
  <r>
    <x v="25"/>
  </r>
  <r>
    <x v="86"/>
  </r>
  <r>
    <x v="86"/>
  </r>
  <r>
    <x v="12"/>
  </r>
  <r>
    <x v="12"/>
  </r>
  <r>
    <x v="12"/>
  </r>
  <r>
    <x v="12"/>
  </r>
  <r>
    <x v="12"/>
  </r>
  <r>
    <x v="12"/>
  </r>
  <r>
    <x v="63"/>
  </r>
  <r>
    <x v="63"/>
  </r>
  <r>
    <x v="63"/>
  </r>
  <r>
    <x v="63"/>
  </r>
  <r>
    <x v="37"/>
  </r>
  <r>
    <x v="34"/>
  </r>
  <r>
    <x v="115"/>
  </r>
  <r>
    <x v="63"/>
  </r>
  <r>
    <x v="63"/>
  </r>
  <r>
    <x v="50"/>
  </r>
  <r>
    <x v="63"/>
  </r>
  <r>
    <x v="36"/>
  </r>
  <r>
    <x v="63"/>
  </r>
  <r>
    <x v="63"/>
  </r>
  <r>
    <x v="63"/>
  </r>
  <r>
    <x v="63"/>
  </r>
  <r>
    <x v="63"/>
  </r>
  <r>
    <x v="63"/>
  </r>
  <r>
    <x v="63"/>
  </r>
  <r>
    <x v="12"/>
  </r>
  <r>
    <x v="63"/>
  </r>
  <r>
    <x v="63"/>
  </r>
  <r>
    <x v="12"/>
  </r>
  <r>
    <x v="63"/>
  </r>
  <r>
    <x v="102"/>
  </r>
  <r>
    <x v="138"/>
  </r>
  <r>
    <x v="31"/>
  </r>
  <r>
    <x v="36"/>
  </r>
  <r>
    <x v="169"/>
  </r>
  <r>
    <x v="63"/>
  </r>
  <r>
    <x v="63"/>
  </r>
  <r>
    <x v="77"/>
  </r>
  <r>
    <x v="53"/>
  </r>
  <r>
    <x v="138"/>
  </r>
  <r>
    <x v="9"/>
  </r>
  <r>
    <x v="138"/>
  </r>
  <r>
    <x v="138"/>
  </r>
  <r>
    <x v="16"/>
  </r>
  <r>
    <x v="28"/>
  </r>
  <r>
    <x v="16"/>
  </r>
  <r>
    <x v="16"/>
  </r>
  <r>
    <x v="48"/>
  </r>
  <r>
    <x v="155"/>
  </r>
  <r>
    <x v="138"/>
  </r>
  <r>
    <x v="16"/>
  </r>
  <r>
    <x v="48"/>
  </r>
  <r>
    <x v="66"/>
  </r>
  <r>
    <x v="234"/>
  </r>
  <r>
    <x v="234"/>
  </r>
  <r>
    <x v="2"/>
  </r>
  <r>
    <x v="48"/>
  </r>
  <r>
    <x v="130"/>
  </r>
  <r>
    <x v="30"/>
  </r>
  <r>
    <x v="30"/>
  </r>
  <r>
    <x v="16"/>
  </r>
  <r>
    <x v="16"/>
  </r>
  <r>
    <x v="22"/>
  </r>
  <r>
    <x v="87"/>
  </r>
  <r>
    <x v="63"/>
  </r>
  <r>
    <x v="22"/>
  </r>
  <r>
    <x v="22"/>
  </r>
  <r>
    <x v="14"/>
  </r>
  <r>
    <x v="14"/>
  </r>
  <r>
    <x v="14"/>
  </r>
  <r>
    <x v="63"/>
  </r>
  <r>
    <x v="63"/>
  </r>
  <r>
    <x v="63"/>
  </r>
  <r>
    <x v="10"/>
  </r>
  <r>
    <x v="14"/>
  </r>
  <r>
    <x v="10"/>
  </r>
  <r>
    <x v="10"/>
  </r>
  <r>
    <x v="10"/>
  </r>
  <r>
    <x v="10"/>
  </r>
  <r>
    <x v="10"/>
  </r>
  <r>
    <x v="4"/>
  </r>
  <r>
    <x v="131"/>
  </r>
  <r>
    <x v="10"/>
  </r>
  <r>
    <x v="10"/>
  </r>
  <r>
    <x v="10"/>
  </r>
  <r>
    <x v="10"/>
  </r>
  <r>
    <x v="10"/>
  </r>
  <r>
    <x v="10"/>
  </r>
  <r>
    <x v="12"/>
  </r>
  <r>
    <x v="12"/>
  </r>
  <r>
    <x v="71"/>
  </r>
  <r>
    <x v="71"/>
  </r>
  <r>
    <x v="0"/>
  </r>
  <r>
    <x v="0"/>
  </r>
  <r>
    <x v="0"/>
  </r>
  <r>
    <x v="15"/>
  </r>
  <r>
    <x v="4"/>
  </r>
  <r>
    <x v="0"/>
  </r>
  <r>
    <x v="42"/>
  </r>
  <r>
    <x v="42"/>
  </r>
  <r>
    <x v="42"/>
  </r>
  <r>
    <x v="31"/>
  </r>
  <r>
    <x v="42"/>
  </r>
  <r>
    <x v="42"/>
  </r>
  <r>
    <x v="10"/>
  </r>
  <r>
    <x v="10"/>
  </r>
  <r>
    <x v="10"/>
  </r>
  <r>
    <x v="138"/>
  </r>
  <r>
    <x v="138"/>
  </r>
  <r>
    <x v="138"/>
  </r>
  <r>
    <x v="10"/>
  </r>
  <r>
    <x v="10"/>
  </r>
  <r>
    <x v="10"/>
  </r>
  <r>
    <x v="10"/>
  </r>
  <r>
    <x v="10"/>
  </r>
  <r>
    <x v="10"/>
  </r>
  <r>
    <x v="14"/>
  </r>
  <r>
    <x v="14"/>
  </r>
  <r>
    <x v="10"/>
  </r>
  <r>
    <x v="72"/>
  </r>
  <r>
    <x v="14"/>
  </r>
  <r>
    <x v="123"/>
  </r>
  <r>
    <x v="123"/>
  </r>
  <r>
    <x v="123"/>
  </r>
  <r>
    <x v="123"/>
  </r>
  <r>
    <x v="123"/>
  </r>
  <r>
    <x v="123"/>
  </r>
  <r>
    <x v="12"/>
  </r>
  <r>
    <x v="123"/>
  </r>
  <r>
    <x v="123"/>
  </r>
  <r>
    <x v="123"/>
  </r>
  <r>
    <x v="123"/>
  </r>
  <r>
    <x v="123"/>
  </r>
  <r>
    <x v="123"/>
  </r>
  <r>
    <x v="123"/>
  </r>
  <r>
    <x v="123"/>
  </r>
  <r>
    <x v="115"/>
  </r>
  <r>
    <x v="123"/>
  </r>
  <r>
    <x v="76"/>
  </r>
  <r>
    <x v="123"/>
  </r>
  <r>
    <x v="4"/>
  </r>
  <r>
    <x v="4"/>
  </r>
  <r>
    <x v="10"/>
  </r>
  <r>
    <x v="10"/>
  </r>
  <r>
    <x v="11"/>
  </r>
  <r>
    <x v="4"/>
  </r>
  <r>
    <x v="22"/>
  </r>
  <r>
    <x v="1"/>
  </r>
  <r>
    <x v="22"/>
  </r>
  <r>
    <x v="22"/>
  </r>
  <r>
    <x v="33"/>
  </r>
  <r>
    <x v="28"/>
  </r>
  <r>
    <x v="28"/>
  </r>
  <r>
    <x v="16"/>
  </r>
  <r>
    <x v="16"/>
  </r>
  <r>
    <x v="11"/>
  </r>
  <r>
    <x v="4"/>
  </r>
  <r>
    <x v="4"/>
  </r>
  <r>
    <x v="33"/>
  </r>
  <r>
    <x v="33"/>
  </r>
  <r>
    <x v="123"/>
  </r>
  <r>
    <x v="123"/>
  </r>
  <r>
    <x v="123"/>
  </r>
  <r>
    <x v="63"/>
  </r>
  <r>
    <x v="63"/>
  </r>
  <r>
    <x v="87"/>
  </r>
  <r>
    <x v="63"/>
  </r>
  <r>
    <x v="123"/>
  </r>
  <r>
    <x v="123"/>
  </r>
  <r>
    <x v="123"/>
  </r>
  <r>
    <x v="42"/>
  </r>
  <r>
    <x v="165"/>
  </r>
  <r>
    <x v="14"/>
  </r>
  <r>
    <x v="11"/>
  </r>
  <r>
    <x v="123"/>
  </r>
  <r>
    <x v="12"/>
  </r>
  <r>
    <x v="123"/>
  </r>
  <r>
    <x v="123"/>
  </r>
  <r>
    <x v="123"/>
  </r>
  <r>
    <x v="123"/>
  </r>
  <r>
    <x v="123"/>
  </r>
  <r>
    <x v="10"/>
  </r>
  <r>
    <x v="123"/>
  </r>
  <r>
    <x v="123"/>
  </r>
  <r>
    <x v="123"/>
  </r>
  <r>
    <x v="123"/>
  </r>
  <r>
    <x v="123"/>
  </r>
  <r>
    <x v="42"/>
  </r>
  <r>
    <x v="50"/>
  </r>
  <r>
    <x v="123"/>
  </r>
  <r>
    <x v="63"/>
  </r>
  <r>
    <x v="123"/>
  </r>
  <r>
    <x v="123"/>
  </r>
  <r>
    <x v="123"/>
  </r>
  <r>
    <x v="87"/>
  </r>
  <r>
    <x v="87"/>
  </r>
  <r>
    <x v="0"/>
  </r>
  <r>
    <x v="129"/>
  </r>
  <r>
    <x v="0"/>
  </r>
  <r>
    <x v="12"/>
  </r>
  <r>
    <x v="16"/>
  </r>
  <r>
    <x v="0"/>
  </r>
  <r>
    <x v="152"/>
  </r>
  <r>
    <x v="16"/>
  </r>
  <r>
    <x v="123"/>
  </r>
  <r>
    <x v="0"/>
  </r>
  <r>
    <x v="123"/>
  </r>
  <r>
    <x v="12"/>
  </r>
  <r>
    <x v="12"/>
  </r>
  <r>
    <x v="152"/>
  </r>
  <r>
    <x v="152"/>
  </r>
  <r>
    <x v="17"/>
  </r>
  <r>
    <x v="165"/>
  </r>
  <r>
    <x v="11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0"/>
  </r>
  <r>
    <x v="48"/>
  </r>
  <r>
    <x v="4"/>
  </r>
  <r>
    <x v="12"/>
  </r>
  <r>
    <x v="2"/>
  </r>
  <r>
    <x v="4"/>
  </r>
  <r>
    <x v="4"/>
  </r>
  <r>
    <x v="4"/>
  </r>
  <r>
    <x v="36"/>
  </r>
  <r>
    <x v="36"/>
  </r>
  <r>
    <x v="57"/>
  </r>
  <r>
    <x v="36"/>
  </r>
  <r>
    <x v="36"/>
  </r>
  <r>
    <x v="36"/>
  </r>
  <r>
    <x v="10"/>
  </r>
  <r>
    <x v="1"/>
  </r>
  <r>
    <x v="4"/>
  </r>
  <r>
    <x v="10"/>
  </r>
  <r>
    <x v="4"/>
  </r>
  <r>
    <x v="4"/>
  </r>
  <r>
    <x v="4"/>
  </r>
  <r>
    <x v="10"/>
  </r>
  <r>
    <x v="36"/>
  </r>
  <r>
    <x v="12"/>
  </r>
  <r>
    <x v="129"/>
  </r>
  <r>
    <x v="10"/>
  </r>
  <r>
    <x v="129"/>
  </r>
  <r>
    <x v="77"/>
  </r>
  <r>
    <x v="57"/>
  </r>
  <r>
    <x v="254"/>
  </r>
  <r>
    <x v="4"/>
  </r>
  <r>
    <x v="36"/>
  </r>
  <r>
    <x v="4"/>
  </r>
  <r>
    <x v="2"/>
  </r>
  <r>
    <x v="12"/>
  </r>
  <r>
    <x v="12"/>
  </r>
  <r>
    <x v="12"/>
  </r>
  <r>
    <x v="12"/>
  </r>
  <r>
    <x v="87"/>
  </r>
  <r>
    <x v="12"/>
  </r>
  <r>
    <x v="12"/>
  </r>
  <r>
    <x v="12"/>
  </r>
  <r>
    <x v="7"/>
  </r>
  <r>
    <x v="7"/>
  </r>
  <r>
    <x v="87"/>
  </r>
  <r>
    <x v="12"/>
  </r>
  <r>
    <x v="36"/>
  </r>
  <r>
    <x v="0"/>
  </r>
  <r>
    <x v="36"/>
  </r>
  <r>
    <x v="12"/>
  </r>
  <r>
    <x v="0"/>
  </r>
  <r>
    <x v="12"/>
  </r>
  <r>
    <x v="12"/>
  </r>
  <r>
    <x v="42"/>
  </r>
  <r>
    <x v="12"/>
  </r>
  <r>
    <x v="12"/>
  </r>
  <r>
    <x v="42"/>
  </r>
  <r>
    <x v="10"/>
  </r>
  <r>
    <x v="12"/>
  </r>
  <r>
    <x v="4"/>
  </r>
  <r>
    <x v="12"/>
  </r>
  <r>
    <x v="12"/>
  </r>
  <r>
    <x v="12"/>
  </r>
  <r>
    <x v="10"/>
  </r>
  <r>
    <x v="10"/>
  </r>
  <r>
    <x v="12"/>
  </r>
  <r>
    <x v="4"/>
  </r>
  <r>
    <x v="4"/>
  </r>
  <r>
    <x v="12"/>
  </r>
  <r>
    <x v="12"/>
  </r>
  <r>
    <x v="12"/>
  </r>
  <r>
    <x v="16"/>
  </r>
  <r>
    <x v="12"/>
  </r>
  <r>
    <x v="12"/>
  </r>
  <r>
    <x v="12"/>
  </r>
  <r>
    <x v="12"/>
  </r>
  <r>
    <x v="12"/>
  </r>
  <r>
    <x v="17"/>
  </r>
  <r>
    <x v="57"/>
  </r>
  <r>
    <x v="0"/>
  </r>
  <r>
    <x v="10"/>
  </r>
  <r>
    <x v="10"/>
  </r>
  <r>
    <x v="12"/>
  </r>
  <r>
    <x v="12"/>
  </r>
  <r>
    <x v="12"/>
  </r>
  <r>
    <x v="0"/>
  </r>
  <r>
    <x v="36"/>
  </r>
  <r>
    <x v="12"/>
  </r>
  <r>
    <x v="7"/>
  </r>
  <r>
    <x v="7"/>
  </r>
  <r>
    <x v="7"/>
  </r>
  <r>
    <x v="4"/>
  </r>
  <r>
    <x v="56"/>
  </r>
  <r>
    <x v="123"/>
  </r>
  <r>
    <x v="14"/>
  </r>
  <r>
    <x v="0"/>
  </r>
  <r>
    <x v="0"/>
  </r>
  <r>
    <x v="123"/>
  </r>
  <r>
    <x v="11"/>
  </r>
  <r>
    <x v="42"/>
  </r>
  <r>
    <x v="123"/>
  </r>
  <r>
    <x v="41"/>
  </r>
  <r>
    <x v="17"/>
  </r>
  <r>
    <x v="11"/>
  </r>
  <r>
    <x v="14"/>
  </r>
  <r>
    <x v="14"/>
  </r>
  <r>
    <x v="57"/>
  </r>
  <r>
    <x v="227"/>
  </r>
  <r>
    <x v="227"/>
  </r>
  <r>
    <x v="78"/>
  </r>
  <r>
    <x v="14"/>
  </r>
  <r>
    <x v="12"/>
  </r>
  <r>
    <x v="127"/>
  </r>
  <r>
    <x v="10"/>
  </r>
  <r>
    <x v="10"/>
  </r>
  <r>
    <x v="0"/>
  </r>
  <r>
    <x v="52"/>
  </r>
  <r>
    <x v="134"/>
  </r>
  <r>
    <x v="4"/>
  </r>
  <r>
    <x v="4"/>
  </r>
  <r>
    <x v="123"/>
  </r>
  <r>
    <x v="28"/>
  </r>
  <r>
    <x v="77"/>
  </r>
  <r>
    <x v="77"/>
  </r>
  <r>
    <x v="87"/>
  </r>
  <r>
    <x v="87"/>
  </r>
  <r>
    <x v="2"/>
  </r>
  <r>
    <x v="10"/>
  </r>
  <r>
    <x v="4"/>
  </r>
  <r>
    <x v="4"/>
  </r>
  <r>
    <x v="4"/>
  </r>
  <r>
    <x v="12"/>
  </r>
  <r>
    <x v="87"/>
  </r>
  <r>
    <x v="123"/>
  </r>
  <r>
    <x v="12"/>
  </r>
  <r>
    <x v="87"/>
  </r>
  <r>
    <x v="87"/>
  </r>
  <r>
    <x v="87"/>
  </r>
  <r>
    <x v="87"/>
  </r>
  <r>
    <x v="123"/>
  </r>
  <r>
    <x v="152"/>
  </r>
  <r>
    <x v="152"/>
  </r>
  <r>
    <x v="4"/>
  </r>
  <r>
    <x v="9"/>
  </r>
  <r>
    <x v="42"/>
  </r>
  <r>
    <x v="81"/>
  </r>
  <r>
    <x v="93"/>
  </r>
  <r>
    <x v="123"/>
  </r>
  <r>
    <x v="152"/>
  </r>
  <r>
    <x v="10"/>
  </r>
  <r>
    <x v="10"/>
  </r>
  <r>
    <x v="21"/>
  </r>
  <r>
    <x v="10"/>
  </r>
  <r>
    <x v="10"/>
  </r>
  <r>
    <x v="87"/>
  </r>
  <r>
    <x v="10"/>
  </r>
  <r>
    <x v="10"/>
  </r>
  <r>
    <x v="10"/>
  </r>
  <r>
    <x v="10"/>
  </r>
  <r>
    <x v="0"/>
  </r>
  <r>
    <x v="0"/>
  </r>
  <r>
    <x v="0"/>
  </r>
  <r>
    <x v="42"/>
  </r>
  <r>
    <x v="130"/>
  </r>
  <r>
    <x v="22"/>
  </r>
  <r>
    <x v="12"/>
  </r>
  <r>
    <x v="31"/>
  </r>
  <r>
    <x v="14"/>
  </r>
  <r>
    <x v="29"/>
  </r>
  <r>
    <x v="14"/>
  </r>
  <r>
    <x v="32"/>
  </r>
  <r>
    <x v="14"/>
  </r>
  <r>
    <x v="12"/>
  </r>
  <r>
    <x v="12"/>
  </r>
  <r>
    <x v="56"/>
  </r>
  <r>
    <x v="12"/>
  </r>
  <r>
    <x v="56"/>
  </r>
  <r>
    <x v="12"/>
  </r>
  <r>
    <x v="81"/>
  </r>
  <r>
    <x v="87"/>
  </r>
  <r>
    <x v="188"/>
  </r>
  <r>
    <x v="10"/>
  </r>
  <r>
    <x v="10"/>
  </r>
  <r>
    <x v="87"/>
  </r>
  <r>
    <x v="12"/>
  </r>
  <r>
    <x v="7"/>
  </r>
  <r>
    <x v="78"/>
  </r>
  <r>
    <x v="7"/>
  </r>
  <r>
    <x v="42"/>
  </r>
  <r>
    <x v="42"/>
  </r>
  <r>
    <x v="42"/>
  </r>
  <r>
    <x v="42"/>
  </r>
  <r>
    <x v="87"/>
  </r>
  <r>
    <x v="87"/>
  </r>
  <r>
    <x v="12"/>
  </r>
  <r>
    <x v="12"/>
  </r>
  <r>
    <x v="42"/>
  </r>
  <r>
    <x v="12"/>
  </r>
  <r>
    <x v="12"/>
  </r>
  <r>
    <x v="42"/>
  </r>
  <r>
    <x v="42"/>
  </r>
  <r>
    <x v="12"/>
  </r>
  <r>
    <x v="4"/>
  </r>
  <r>
    <x v="4"/>
  </r>
  <r>
    <x v="12"/>
  </r>
  <r>
    <x v="12"/>
  </r>
  <r>
    <x v="42"/>
  </r>
  <r>
    <x v="12"/>
  </r>
  <r>
    <x v="2"/>
  </r>
  <r>
    <x v="152"/>
  </r>
  <r>
    <x v="42"/>
  </r>
  <r>
    <x v="77"/>
  </r>
  <r>
    <x v="42"/>
  </r>
  <r>
    <x v="42"/>
  </r>
  <r>
    <x v="77"/>
  </r>
  <r>
    <x v="77"/>
  </r>
  <r>
    <x v="10"/>
  </r>
  <r>
    <x v="10"/>
  </r>
  <r>
    <x v="7"/>
  </r>
  <r>
    <x v="42"/>
  </r>
  <r>
    <x v="42"/>
  </r>
  <r>
    <x v="22"/>
  </r>
  <r>
    <x v="10"/>
  </r>
  <r>
    <x v="12"/>
  </r>
  <r>
    <x v="12"/>
  </r>
  <r>
    <x v="12"/>
  </r>
  <r>
    <x v="12"/>
  </r>
  <r>
    <x v="12"/>
  </r>
  <r>
    <x v="12"/>
  </r>
  <r>
    <x v="154"/>
  </r>
  <r>
    <x v="154"/>
  </r>
  <r>
    <x v="12"/>
  </r>
  <r>
    <x v="12"/>
  </r>
  <r>
    <x v="36"/>
  </r>
  <r>
    <x v="12"/>
  </r>
  <r>
    <x v="12"/>
  </r>
  <r>
    <x v="36"/>
  </r>
  <r>
    <x v="12"/>
  </r>
  <r>
    <x v="36"/>
  </r>
  <r>
    <x v="190"/>
  </r>
  <r>
    <x v="190"/>
  </r>
  <r>
    <x v="147"/>
  </r>
  <r>
    <x v="10"/>
  </r>
  <r>
    <x v="19"/>
  </r>
  <r>
    <x v="10"/>
  </r>
  <r>
    <x v="184"/>
  </r>
  <r>
    <x v="10"/>
  </r>
  <r>
    <x v="10"/>
  </r>
  <r>
    <x v="10"/>
  </r>
  <r>
    <x v="10"/>
  </r>
  <r>
    <x v="10"/>
  </r>
  <r>
    <x v="10"/>
  </r>
  <r>
    <x v="10"/>
  </r>
  <r>
    <x v="10"/>
  </r>
  <r>
    <x v="126"/>
  </r>
  <r>
    <x v="10"/>
  </r>
  <r>
    <x v="12"/>
  </r>
  <r>
    <x v="87"/>
  </r>
  <r>
    <x v="77"/>
  </r>
  <r>
    <x v="28"/>
  </r>
  <r>
    <x v="36"/>
  </r>
  <r>
    <x v="28"/>
  </r>
  <r>
    <x v="28"/>
  </r>
  <r>
    <x v="28"/>
  </r>
  <r>
    <x v="87"/>
  </r>
  <r>
    <x v="48"/>
  </r>
  <r>
    <x v="0"/>
  </r>
  <r>
    <x v="0"/>
  </r>
  <r>
    <x v="0"/>
  </r>
  <r>
    <x v="70"/>
  </r>
  <r>
    <x v="63"/>
  </r>
  <r>
    <x v="0"/>
  </r>
  <r>
    <x v="130"/>
  </r>
  <r>
    <x v="130"/>
  </r>
  <r>
    <x v="115"/>
  </r>
  <r>
    <x v="115"/>
  </r>
  <r>
    <x v="12"/>
  </r>
  <r>
    <x v="29"/>
  </r>
  <r>
    <x v="28"/>
  </r>
  <r>
    <x v="17"/>
  </r>
  <r>
    <x v="17"/>
  </r>
  <r>
    <x v="17"/>
  </r>
  <r>
    <x v="79"/>
  </r>
  <r>
    <x v="79"/>
  </r>
  <r>
    <x v="4"/>
  </r>
  <r>
    <x v="9"/>
  </r>
  <r>
    <x v="207"/>
  </r>
  <r>
    <x v="24"/>
  </r>
  <r>
    <x v="24"/>
  </r>
  <r>
    <x v="24"/>
  </r>
  <r>
    <x v="24"/>
  </r>
  <r>
    <x v="24"/>
  </r>
  <r>
    <x v="24"/>
  </r>
  <r>
    <x v="24"/>
  </r>
  <r>
    <x v="12"/>
  </r>
  <r>
    <x v="42"/>
  </r>
  <r>
    <x v="42"/>
  </r>
  <r>
    <x v="12"/>
  </r>
  <r>
    <x v="24"/>
  </r>
  <r>
    <x v="24"/>
  </r>
  <r>
    <x v="16"/>
  </r>
  <r>
    <x v="123"/>
  </r>
  <r>
    <x v="136"/>
  </r>
  <r>
    <x v="123"/>
  </r>
  <r>
    <x v="87"/>
  </r>
  <r>
    <x v="87"/>
  </r>
  <r>
    <x v="123"/>
  </r>
  <r>
    <x v="36"/>
  </r>
  <r>
    <x v="4"/>
  </r>
  <r>
    <x v="4"/>
  </r>
  <r>
    <x v="68"/>
  </r>
  <r>
    <x v="11"/>
  </r>
  <r>
    <x v="123"/>
  </r>
  <r>
    <x v="123"/>
  </r>
  <r>
    <x v="165"/>
  </r>
  <r>
    <x v="123"/>
  </r>
  <r>
    <x v="123"/>
  </r>
  <r>
    <x v="0"/>
  </r>
  <r>
    <x v="123"/>
  </r>
  <r>
    <x v="123"/>
  </r>
  <r>
    <x v="123"/>
  </r>
  <r>
    <x v="123"/>
  </r>
  <r>
    <x v="12"/>
  </r>
  <r>
    <x v="12"/>
  </r>
  <r>
    <x v="4"/>
  </r>
  <r>
    <x v="0"/>
  </r>
  <r>
    <x v="112"/>
  </r>
  <r>
    <x v="1"/>
  </r>
  <r>
    <x v="87"/>
  </r>
  <r>
    <x v="87"/>
  </r>
  <r>
    <x v="78"/>
  </r>
  <r>
    <x v="87"/>
  </r>
  <r>
    <x v="87"/>
  </r>
  <r>
    <x v="87"/>
  </r>
  <r>
    <x v="4"/>
  </r>
  <r>
    <x v="4"/>
  </r>
  <r>
    <x v="126"/>
  </r>
  <r>
    <x v="114"/>
  </r>
  <r>
    <x v="10"/>
  </r>
  <r>
    <x v="165"/>
  </r>
  <r>
    <x v="87"/>
  </r>
  <r>
    <x v="87"/>
  </r>
  <r>
    <x v="87"/>
  </r>
  <r>
    <x v="87"/>
  </r>
  <r>
    <x v="87"/>
  </r>
  <r>
    <x v="87"/>
  </r>
  <r>
    <x v="10"/>
  </r>
  <r>
    <x v="10"/>
  </r>
  <r>
    <x v="138"/>
  </r>
  <r>
    <x v="4"/>
  </r>
  <r>
    <x v="4"/>
  </r>
  <r>
    <x v="10"/>
  </r>
  <r>
    <x v="10"/>
  </r>
  <r>
    <x v="115"/>
  </r>
  <r>
    <x v="115"/>
  </r>
  <r>
    <x v="86"/>
  </r>
  <r>
    <x v="115"/>
  </r>
  <r>
    <x v="115"/>
  </r>
  <r>
    <x v="115"/>
  </r>
  <r>
    <x v="115"/>
  </r>
  <r>
    <x v="10"/>
  </r>
  <r>
    <x v="10"/>
  </r>
  <r>
    <x v="277"/>
  </r>
  <r>
    <x v="10"/>
  </r>
  <r>
    <x v="10"/>
  </r>
  <r>
    <x v="4"/>
  </r>
  <r>
    <x v="10"/>
  </r>
  <r>
    <x v="10"/>
  </r>
  <r>
    <x v="10"/>
  </r>
  <r>
    <x v="10"/>
  </r>
  <r>
    <x v="4"/>
  </r>
  <r>
    <x v="10"/>
  </r>
  <r>
    <x v="114"/>
  </r>
  <r>
    <x v="21"/>
  </r>
  <r>
    <x v="31"/>
  </r>
  <r>
    <x v="4"/>
  </r>
  <r>
    <x v="4"/>
  </r>
  <r>
    <x v="4"/>
  </r>
  <r>
    <x v="11"/>
  </r>
  <r>
    <x v="0"/>
  </r>
  <r>
    <x v="10"/>
  </r>
  <r>
    <x v="59"/>
  </r>
  <r>
    <x v="166"/>
  </r>
  <r>
    <x v="10"/>
  </r>
  <r>
    <x v="4"/>
  </r>
  <r>
    <x v="48"/>
  </r>
  <r>
    <x v="14"/>
  </r>
  <r>
    <x v="14"/>
  </r>
  <r>
    <x v="14"/>
  </r>
  <r>
    <x v="0"/>
  </r>
  <r>
    <x v="10"/>
  </r>
  <r>
    <x v="44"/>
  </r>
  <r>
    <x v="0"/>
  </r>
  <r>
    <x v="48"/>
  </r>
  <r>
    <x v="0"/>
  </r>
  <r>
    <x v="0"/>
  </r>
  <r>
    <x v="0"/>
  </r>
  <r>
    <x v="17"/>
  </r>
  <r>
    <x v="0"/>
  </r>
  <r>
    <x v="0"/>
  </r>
  <r>
    <x v="53"/>
  </r>
  <r>
    <x v="45"/>
  </r>
  <r>
    <x v="87"/>
  </r>
  <r>
    <x v="190"/>
  </r>
  <r>
    <x v="42"/>
  </r>
  <r>
    <x v="42"/>
  </r>
  <r>
    <x v="87"/>
  </r>
  <r>
    <x v="128"/>
  </r>
  <r>
    <x v="87"/>
  </r>
  <r>
    <x v="10"/>
  </r>
  <r>
    <x v="56"/>
  </r>
  <r>
    <x v="10"/>
  </r>
  <r>
    <x v="28"/>
  </r>
  <r>
    <x v="12"/>
  </r>
  <r>
    <x v="12"/>
  </r>
  <r>
    <x v="12"/>
  </r>
  <r>
    <x v="12"/>
  </r>
  <r>
    <x v="12"/>
  </r>
  <r>
    <x v="42"/>
  </r>
  <r>
    <x v="24"/>
  </r>
  <r>
    <x v="57"/>
  </r>
  <r>
    <x v="42"/>
  </r>
  <r>
    <x v="42"/>
  </r>
  <r>
    <x v="42"/>
  </r>
  <r>
    <x v="42"/>
  </r>
  <r>
    <x v="77"/>
  </r>
  <r>
    <x v="83"/>
  </r>
  <r>
    <x v="29"/>
  </r>
  <r>
    <x v="0"/>
  </r>
  <r>
    <x v="3"/>
  </r>
  <r>
    <x v="12"/>
  </r>
  <r>
    <x v="12"/>
  </r>
  <r>
    <x v="33"/>
  </r>
  <r>
    <x v="0"/>
  </r>
  <r>
    <x v="114"/>
  </r>
  <r>
    <x v="12"/>
  </r>
  <r>
    <x v="0"/>
  </r>
  <r>
    <x v="0"/>
  </r>
  <r>
    <x v="11"/>
  </r>
  <r>
    <x v="64"/>
  </r>
  <r>
    <x v="4"/>
  </r>
  <r>
    <x v="4"/>
  </r>
  <r>
    <x v="10"/>
  </r>
  <r>
    <x v="4"/>
  </r>
  <r>
    <x v="28"/>
  </r>
  <r>
    <x v="28"/>
  </r>
  <r>
    <x v="28"/>
  </r>
  <r>
    <x v="1"/>
  </r>
  <r>
    <x v="12"/>
  </r>
  <r>
    <x v="4"/>
  </r>
  <r>
    <x v="4"/>
  </r>
  <r>
    <x v="4"/>
  </r>
  <r>
    <x v="2"/>
  </r>
  <r>
    <x v="4"/>
  </r>
  <r>
    <x v="4"/>
  </r>
  <r>
    <x v="4"/>
  </r>
  <r>
    <x v="4"/>
  </r>
  <r>
    <x v="10"/>
  </r>
  <r>
    <x v="10"/>
  </r>
  <r>
    <x v="10"/>
  </r>
  <r>
    <x v="21"/>
  </r>
  <r>
    <x v="76"/>
  </r>
  <r>
    <x v="48"/>
  </r>
  <r>
    <x v="10"/>
  </r>
  <r>
    <x v="31"/>
  </r>
  <r>
    <x v="81"/>
  </r>
  <r>
    <x v="63"/>
  </r>
  <r>
    <x v="25"/>
  </r>
  <r>
    <x v="138"/>
  </r>
  <r>
    <x v="138"/>
  </r>
  <r>
    <x v="45"/>
  </r>
  <r>
    <x v="138"/>
  </r>
  <r>
    <x v="155"/>
  </r>
  <r>
    <x v="138"/>
  </r>
  <r>
    <x v="4"/>
  </r>
  <r>
    <x v="4"/>
  </r>
  <r>
    <x v="4"/>
  </r>
  <r>
    <x v="10"/>
  </r>
  <r>
    <x v="4"/>
  </r>
  <r>
    <x v="4"/>
  </r>
  <r>
    <x v="4"/>
  </r>
  <r>
    <x v="4"/>
  </r>
  <r>
    <x v="4"/>
  </r>
  <r>
    <x v="123"/>
  </r>
  <r>
    <x v="123"/>
  </r>
  <r>
    <x v="10"/>
  </r>
  <r>
    <x v="52"/>
  </r>
  <r>
    <x v="0"/>
  </r>
  <r>
    <x v="4"/>
  </r>
  <r>
    <x v="28"/>
  </r>
  <r>
    <x v="4"/>
  </r>
  <r>
    <x v="4"/>
  </r>
  <r>
    <x v="4"/>
  </r>
  <r>
    <x v="4"/>
  </r>
  <r>
    <x v="4"/>
  </r>
  <r>
    <x v="4"/>
  </r>
  <r>
    <x v="4"/>
  </r>
  <r>
    <x v="126"/>
  </r>
  <r>
    <x v="4"/>
  </r>
  <r>
    <x v="165"/>
  </r>
  <r>
    <x v="165"/>
  </r>
  <r>
    <x v="4"/>
  </r>
  <r>
    <x v="165"/>
  </r>
  <r>
    <x v="10"/>
  </r>
  <r>
    <x v="78"/>
  </r>
  <r>
    <x v="0"/>
  </r>
  <r>
    <x v="0"/>
  </r>
  <r>
    <x v="0"/>
  </r>
  <r>
    <x v="10"/>
  </r>
  <r>
    <x v="10"/>
  </r>
  <r>
    <x v="78"/>
  </r>
  <r>
    <x v="78"/>
  </r>
  <r>
    <x v="78"/>
  </r>
  <r>
    <x v="78"/>
  </r>
  <r>
    <x v="16"/>
  </r>
  <r>
    <x v="123"/>
  </r>
  <r>
    <x v="123"/>
  </r>
  <r>
    <x v="123"/>
  </r>
  <r>
    <x v="16"/>
  </r>
  <r>
    <x v="123"/>
  </r>
  <r>
    <x v="0"/>
  </r>
  <r>
    <x v="80"/>
  </r>
  <r>
    <x v="80"/>
  </r>
  <r>
    <x v="0"/>
  </r>
  <r>
    <x v="0"/>
  </r>
  <r>
    <x v="0"/>
  </r>
  <r>
    <x v="0"/>
  </r>
  <r>
    <x v="0"/>
  </r>
  <r>
    <x v="0"/>
  </r>
  <r>
    <x v="16"/>
  </r>
  <r>
    <x v="77"/>
  </r>
  <r>
    <x v="0"/>
  </r>
  <r>
    <x v="10"/>
  </r>
  <r>
    <x v="12"/>
  </r>
  <r>
    <x v="63"/>
  </r>
  <r>
    <x v="138"/>
  </r>
  <r>
    <x v="138"/>
  </r>
  <r>
    <x v="138"/>
  </r>
  <r>
    <x v="138"/>
  </r>
  <r>
    <x v="138"/>
  </r>
  <r>
    <x v="138"/>
  </r>
  <r>
    <x v="138"/>
  </r>
  <r>
    <x v="10"/>
  </r>
  <r>
    <x v="12"/>
  </r>
  <r>
    <x v="12"/>
  </r>
  <r>
    <x v="12"/>
  </r>
  <r>
    <x v="12"/>
  </r>
  <r>
    <x v="24"/>
  </r>
  <r>
    <x v="77"/>
  </r>
  <r>
    <x v="87"/>
  </r>
  <r>
    <x v="24"/>
  </r>
  <r>
    <x v="42"/>
  </r>
  <r>
    <x v="87"/>
  </r>
  <r>
    <x v="42"/>
  </r>
  <r>
    <x v="42"/>
  </r>
  <r>
    <x v="4"/>
  </r>
  <r>
    <x v="152"/>
  </r>
  <r>
    <x v="42"/>
  </r>
  <r>
    <x v="12"/>
  </r>
  <r>
    <x v="12"/>
  </r>
  <r>
    <x v="12"/>
  </r>
  <r>
    <x v="42"/>
  </r>
  <r>
    <x v="56"/>
  </r>
  <r>
    <x v="42"/>
  </r>
  <r>
    <x v="42"/>
  </r>
  <r>
    <x v="42"/>
  </r>
  <r>
    <x v="42"/>
  </r>
  <r>
    <x v="42"/>
  </r>
  <r>
    <x v="42"/>
  </r>
  <r>
    <x v="12"/>
  </r>
  <r>
    <x v="12"/>
  </r>
  <r>
    <x v="42"/>
  </r>
  <r>
    <x v="42"/>
  </r>
  <r>
    <x v="42"/>
  </r>
  <r>
    <x v="42"/>
  </r>
  <r>
    <x v="4"/>
  </r>
  <r>
    <x v="10"/>
  </r>
  <r>
    <x v="14"/>
  </r>
  <r>
    <x v="10"/>
  </r>
  <r>
    <x v="10"/>
  </r>
  <r>
    <x v="10"/>
  </r>
  <r>
    <x v="184"/>
  </r>
  <r>
    <x v="16"/>
  </r>
  <r>
    <x v="42"/>
  </r>
  <r>
    <x v="42"/>
  </r>
  <r>
    <x v="12"/>
  </r>
  <r>
    <x v="12"/>
  </r>
  <r>
    <x v="36"/>
  </r>
  <r>
    <x v="36"/>
  </r>
  <r>
    <x v="12"/>
  </r>
  <r>
    <x v="36"/>
  </r>
  <r>
    <x v="36"/>
  </r>
  <r>
    <x v="12"/>
  </r>
  <r>
    <x v="12"/>
  </r>
  <r>
    <x v="10"/>
  </r>
  <r>
    <x v="108"/>
  </r>
  <r>
    <x v="126"/>
  </r>
  <r>
    <x v="4"/>
  </r>
  <r>
    <x v="126"/>
  </r>
  <r>
    <x v="126"/>
  </r>
  <r>
    <x v="126"/>
  </r>
  <r>
    <x v="19"/>
  </r>
  <r>
    <x v="10"/>
  </r>
  <r>
    <x v="126"/>
  </r>
  <r>
    <x v="7"/>
  </r>
  <r>
    <x v="123"/>
  </r>
  <r>
    <x v="123"/>
  </r>
  <r>
    <x v="123"/>
  </r>
  <r>
    <x v="10"/>
  </r>
  <r>
    <x v="123"/>
  </r>
  <r>
    <x v="123"/>
  </r>
  <r>
    <x v="123"/>
  </r>
  <r>
    <x v="123"/>
  </r>
  <r>
    <x v="123"/>
  </r>
  <r>
    <x v="42"/>
  </r>
  <r>
    <x v="16"/>
  </r>
  <r>
    <x v="132"/>
  </r>
  <r>
    <x v="103"/>
  </r>
  <r>
    <x v="56"/>
  </r>
  <r>
    <x v="103"/>
  </r>
  <r>
    <x v="108"/>
  </r>
  <r>
    <x v="17"/>
  </r>
  <r>
    <x v="78"/>
  </r>
  <r>
    <x v="66"/>
  </r>
  <r>
    <x v="41"/>
  </r>
  <r>
    <x v="59"/>
  </r>
  <r>
    <x v="108"/>
  </r>
  <r>
    <x v="14"/>
  </r>
  <r>
    <x v="14"/>
  </r>
  <r>
    <x v="14"/>
  </r>
  <r>
    <x v="21"/>
  </r>
  <r>
    <x v="7"/>
  </r>
  <r>
    <x v="14"/>
  </r>
  <r>
    <x v="4"/>
  </r>
  <r>
    <x v="4"/>
  </r>
  <r>
    <x v="126"/>
  </r>
  <r>
    <x v="126"/>
  </r>
  <r>
    <x v="126"/>
  </r>
  <r>
    <x v="72"/>
  </r>
  <r>
    <x v="72"/>
  </r>
  <r>
    <x v="32"/>
  </r>
  <r>
    <x v="12"/>
  </r>
  <r>
    <x v="12"/>
  </r>
  <r>
    <x v="12"/>
  </r>
  <r>
    <x v="251"/>
  </r>
  <r>
    <x v="12"/>
  </r>
  <r>
    <x v="89"/>
  </r>
  <r>
    <x v="10"/>
  </r>
  <r>
    <x v="10"/>
  </r>
  <r>
    <x v="4"/>
  </r>
  <r>
    <x v="114"/>
  </r>
  <r>
    <x v="77"/>
  </r>
  <r>
    <x v="77"/>
  </r>
  <r>
    <x v="77"/>
  </r>
  <r>
    <x v="12"/>
  </r>
  <r>
    <x v="12"/>
  </r>
  <r>
    <x v="12"/>
  </r>
  <r>
    <x v="77"/>
  </r>
  <r>
    <x v="22"/>
  </r>
  <r>
    <x v="77"/>
  </r>
  <r>
    <x v="22"/>
  </r>
  <r>
    <x v="12"/>
  </r>
  <r>
    <x v="276"/>
  </r>
  <r>
    <x v="12"/>
  </r>
  <r>
    <x v="77"/>
  </r>
  <r>
    <x v="10"/>
  </r>
  <r>
    <x v="22"/>
  </r>
  <r>
    <x v="108"/>
  </r>
  <r>
    <x v="77"/>
  </r>
  <r>
    <x v="57"/>
  </r>
  <r>
    <x v="123"/>
  </r>
  <r>
    <x v="165"/>
  </r>
  <r>
    <x v="0"/>
  </r>
  <r>
    <x v="79"/>
  </r>
  <r>
    <x v="79"/>
  </r>
  <r>
    <x v="42"/>
  </r>
  <r>
    <x v="42"/>
  </r>
  <r>
    <x v="42"/>
  </r>
  <r>
    <x v="42"/>
  </r>
  <r>
    <x v="42"/>
  </r>
  <r>
    <x v="42"/>
  </r>
  <r>
    <x v="42"/>
  </r>
  <r>
    <x v="57"/>
  </r>
  <r>
    <x v="28"/>
  </r>
  <r>
    <x v="42"/>
  </r>
  <r>
    <x v="42"/>
  </r>
  <r>
    <x v="28"/>
  </r>
  <r>
    <x v="28"/>
  </r>
  <r>
    <x v="28"/>
  </r>
  <r>
    <x v="28"/>
  </r>
  <r>
    <x v="28"/>
  </r>
  <r>
    <x v="14"/>
  </r>
  <r>
    <x v="129"/>
  </r>
  <r>
    <x v="48"/>
  </r>
  <r>
    <x v="21"/>
  </r>
  <r>
    <x v="21"/>
  </r>
  <r>
    <x v="19"/>
  </r>
  <r>
    <x v="21"/>
  </r>
  <r>
    <x v="14"/>
  </r>
  <r>
    <x v="12"/>
  </r>
  <r>
    <x v="42"/>
  </r>
  <r>
    <x v="4"/>
  </r>
  <r>
    <x v="4"/>
  </r>
  <r>
    <x v="7"/>
  </r>
  <r>
    <x v="9"/>
  </r>
  <r>
    <x v="56"/>
  </r>
  <r>
    <x v="56"/>
  </r>
  <r>
    <x v="56"/>
  </r>
  <r>
    <x v="34"/>
  </r>
  <r>
    <x v="31"/>
  </r>
  <r>
    <x v="7"/>
  </r>
  <r>
    <x v="142"/>
  </r>
  <r>
    <x v="59"/>
  </r>
  <r>
    <x v="7"/>
  </r>
  <r>
    <x v="9"/>
  </r>
  <r>
    <x v="7"/>
  </r>
  <r>
    <x v="138"/>
  </r>
  <r>
    <x v="19"/>
  </r>
  <r>
    <x v="7"/>
  </r>
  <r>
    <x v="142"/>
  </r>
  <r>
    <x v="142"/>
  </r>
  <r>
    <x v="7"/>
  </r>
  <r>
    <x v="37"/>
  </r>
  <r>
    <x v="37"/>
  </r>
  <r>
    <x v="42"/>
  </r>
  <r>
    <x v="42"/>
  </r>
  <r>
    <x v="0"/>
  </r>
  <r>
    <x v="144"/>
  </r>
  <r>
    <x v="42"/>
  </r>
  <r>
    <x v="42"/>
  </r>
  <r>
    <x v="9"/>
  </r>
  <r>
    <x v="71"/>
  </r>
  <r>
    <x v="24"/>
  </r>
  <r>
    <x v="138"/>
  </r>
  <r>
    <x v="71"/>
  </r>
  <r>
    <x v="48"/>
  </r>
  <r>
    <x v="8"/>
  </r>
  <r>
    <x v="71"/>
  </r>
  <r>
    <x v="71"/>
  </r>
  <r>
    <x v="71"/>
  </r>
  <r>
    <x v="28"/>
  </r>
  <r>
    <x v="0"/>
  </r>
  <r>
    <x v="0"/>
  </r>
  <r>
    <x v="8"/>
  </r>
  <r>
    <x v="8"/>
  </r>
  <r>
    <x v="8"/>
  </r>
  <r>
    <x v="28"/>
  </r>
  <r>
    <x v="28"/>
  </r>
  <r>
    <x v="162"/>
  </r>
  <r>
    <x v="162"/>
  </r>
  <r>
    <x v="162"/>
  </r>
  <r>
    <x v="0"/>
  </r>
  <r>
    <x v="42"/>
  </r>
  <r>
    <x v="71"/>
  </r>
  <r>
    <x v="71"/>
  </r>
  <r>
    <x v="71"/>
  </r>
  <r>
    <x v="71"/>
  </r>
  <r>
    <x v="52"/>
  </r>
  <r>
    <x v="57"/>
  </r>
  <r>
    <x v="12"/>
  </r>
  <r>
    <x v="57"/>
  </r>
  <r>
    <x v="4"/>
  </r>
  <r>
    <x v="56"/>
  </r>
  <r>
    <x v="4"/>
  </r>
  <r>
    <x v="4"/>
  </r>
  <r>
    <x v="14"/>
  </r>
  <r>
    <x v="42"/>
  </r>
  <r>
    <x v="142"/>
  </r>
  <r>
    <x v="71"/>
  </r>
  <r>
    <x v="7"/>
  </r>
  <r>
    <x v="8"/>
  </r>
  <r>
    <x v="28"/>
  </r>
  <r>
    <x v="28"/>
  </r>
  <r>
    <x v="28"/>
  </r>
  <r>
    <x v="56"/>
  </r>
  <r>
    <x v="0"/>
  </r>
  <r>
    <x v="4"/>
  </r>
  <r>
    <x v="24"/>
  </r>
  <r>
    <x v="8"/>
  </r>
  <r>
    <x v="8"/>
  </r>
  <r>
    <x v="8"/>
  </r>
  <r>
    <x v="7"/>
  </r>
  <r>
    <x v="56"/>
  </r>
  <r>
    <x v="56"/>
  </r>
  <r>
    <x v="59"/>
  </r>
  <r>
    <x v="59"/>
  </r>
  <r>
    <x v="7"/>
  </r>
  <r>
    <x v="7"/>
  </r>
  <r>
    <x v="7"/>
  </r>
  <r>
    <x v="42"/>
  </r>
  <r>
    <x v="42"/>
  </r>
  <r>
    <x v="42"/>
  </r>
  <r>
    <x v="138"/>
  </r>
  <r>
    <x v="14"/>
  </r>
  <r>
    <x v="7"/>
  </r>
  <r>
    <x v="8"/>
  </r>
  <r>
    <x v="8"/>
  </r>
  <r>
    <x v="37"/>
  </r>
  <r>
    <x v="21"/>
  </r>
  <r>
    <x v="37"/>
  </r>
  <r>
    <x v="37"/>
  </r>
  <r>
    <x v="56"/>
  </r>
  <r>
    <x v="28"/>
  </r>
  <r>
    <x v="28"/>
  </r>
  <r>
    <x v="28"/>
  </r>
  <r>
    <x v="7"/>
  </r>
  <r>
    <x v="144"/>
  </r>
  <r>
    <x v="25"/>
  </r>
  <r>
    <x v="76"/>
  </r>
  <r>
    <x v="152"/>
  </r>
  <r>
    <x v="7"/>
  </r>
  <r>
    <x v="10"/>
  </r>
  <r>
    <x v="0"/>
  </r>
  <r>
    <x v="162"/>
  </r>
  <r>
    <x v="27"/>
  </r>
  <r>
    <x v="1"/>
  </r>
  <r>
    <x v="10"/>
  </r>
  <r>
    <x v="10"/>
  </r>
  <r>
    <x v="10"/>
  </r>
  <r>
    <x v="10"/>
  </r>
  <r>
    <x v="4"/>
  </r>
  <r>
    <x v="4"/>
  </r>
  <r>
    <x v="28"/>
  </r>
  <r>
    <x v="46"/>
  </r>
  <r>
    <x v="46"/>
  </r>
  <r>
    <x v="7"/>
  </r>
  <r>
    <x v="7"/>
  </r>
  <r>
    <x v="7"/>
  </r>
  <r>
    <x v="46"/>
  </r>
  <r>
    <x v="8"/>
  </r>
  <r>
    <x v="8"/>
  </r>
  <r>
    <x v="8"/>
  </r>
  <r>
    <x v="7"/>
  </r>
  <r>
    <x v="28"/>
  </r>
  <r>
    <x v="45"/>
  </r>
  <r>
    <x v="19"/>
  </r>
  <r>
    <x v="27"/>
  </r>
  <r>
    <x v="27"/>
  </r>
  <r>
    <x v="7"/>
  </r>
  <r>
    <x v="7"/>
  </r>
  <r>
    <x v="7"/>
  </r>
  <r>
    <x v="0"/>
  </r>
  <r>
    <x v="0"/>
  </r>
  <r>
    <x v="4"/>
  </r>
  <r>
    <x v="9"/>
  </r>
  <r>
    <x v="9"/>
  </r>
  <r>
    <x v="9"/>
  </r>
  <r>
    <x v="7"/>
  </r>
  <r>
    <x v="7"/>
  </r>
  <r>
    <x v="45"/>
  </r>
  <r>
    <x v="14"/>
  </r>
  <r>
    <x v="28"/>
  </r>
  <r>
    <x v="162"/>
  </r>
  <r>
    <x v="86"/>
  </r>
  <r>
    <x v="86"/>
  </r>
  <r>
    <x v="86"/>
  </r>
  <r>
    <x v="45"/>
  </r>
  <r>
    <x v="144"/>
  </r>
  <r>
    <x v="45"/>
  </r>
  <r>
    <x v="71"/>
  </r>
  <r>
    <x v="144"/>
  </r>
  <r>
    <x v="138"/>
  </r>
  <r>
    <x v="138"/>
  </r>
  <r>
    <x v="31"/>
  </r>
  <r>
    <x v="1"/>
  </r>
  <r>
    <x v="9"/>
  </r>
  <r>
    <x v="87"/>
  </r>
  <r>
    <x v="37"/>
  </r>
  <r>
    <x v="24"/>
  </r>
  <r>
    <x v="57"/>
  </r>
  <r>
    <x v="57"/>
  </r>
  <r>
    <x v="0"/>
  </r>
  <r>
    <x v="0"/>
  </r>
  <r>
    <x v="4"/>
  </r>
  <r>
    <x v="4"/>
  </r>
  <r>
    <x v="37"/>
  </r>
  <r>
    <x v="0"/>
  </r>
  <r>
    <x v="0"/>
  </r>
  <r>
    <x v="0"/>
  </r>
  <r>
    <x v="24"/>
  </r>
  <r>
    <x v="0"/>
  </r>
  <r>
    <x v="4"/>
  </r>
  <r>
    <x v="144"/>
  </r>
  <r>
    <x v="37"/>
  </r>
  <r>
    <x v="24"/>
  </r>
  <r>
    <x v="87"/>
  </r>
  <r>
    <x v="43"/>
  </r>
  <r>
    <x v="43"/>
  </r>
  <r>
    <x v="144"/>
  </r>
  <r>
    <x v="28"/>
  </r>
  <r>
    <x v="130"/>
  </r>
  <r>
    <x v="162"/>
  </r>
  <r>
    <x v="24"/>
  </r>
  <r>
    <x v="28"/>
  </r>
  <r>
    <x v="28"/>
  </r>
  <r>
    <x v="28"/>
  </r>
  <r>
    <x v="7"/>
  </r>
  <r>
    <x v="7"/>
  </r>
  <r>
    <x v="12"/>
  </r>
  <r>
    <x v="12"/>
  </r>
  <r>
    <x v="12"/>
  </r>
  <r>
    <x v="12"/>
  </r>
  <r>
    <x v="7"/>
  </r>
  <r>
    <x v="2"/>
  </r>
  <r>
    <x v="63"/>
  </r>
  <r>
    <x v="14"/>
  </r>
  <r>
    <x v="28"/>
  </r>
  <r>
    <x v="7"/>
  </r>
  <r>
    <x v="28"/>
  </r>
  <r>
    <x v="7"/>
  </r>
  <r>
    <x v="3"/>
  </r>
  <r>
    <x v="3"/>
  </r>
  <r>
    <x v="79"/>
  </r>
  <r>
    <x v="89"/>
  </r>
  <r>
    <x v="80"/>
  </r>
  <r>
    <x v="11"/>
  </r>
  <r>
    <x v="28"/>
  </r>
  <r>
    <x v="28"/>
  </r>
  <r>
    <x v="4"/>
  </r>
  <r>
    <x v="45"/>
  </r>
  <r>
    <x v="45"/>
  </r>
  <r>
    <x v="79"/>
  </r>
  <r>
    <x v="45"/>
  </r>
  <r>
    <x v="45"/>
  </r>
  <r>
    <x v="45"/>
  </r>
  <r>
    <x v="28"/>
  </r>
  <r>
    <x v="71"/>
  </r>
  <r>
    <x v="28"/>
  </r>
  <r>
    <x v="79"/>
  </r>
  <r>
    <x v="56"/>
  </r>
  <r>
    <x v="56"/>
  </r>
  <r>
    <x v="150"/>
  </r>
  <r>
    <x v="138"/>
  </r>
  <r>
    <x v="10"/>
  </r>
  <r>
    <x v="144"/>
  </r>
  <r>
    <x v="144"/>
  </r>
  <r>
    <x v="12"/>
  </r>
  <r>
    <x v="56"/>
  </r>
  <r>
    <x v="56"/>
  </r>
  <r>
    <x v="45"/>
  </r>
  <r>
    <x v="4"/>
  </r>
  <r>
    <x v="64"/>
  </r>
  <r>
    <x v="24"/>
  </r>
  <r>
    <x v="24"/>
  </r>
  <r>
    <x v="24"/>
  </r>
  <r>
    <x v="8"/>
  </r>
  <r>
    <x v="8"/>
  </r>
  <r>
    <x v="9"/>
  </r>
  <r>
    <x v="108"/>
  </r>
  <r>
    <x v="87"/>
  </r>
  <r>
    <x v="130"/>
  </r>
  <r>
    <x v="130"/>
  </r>
  <r>
    <x v="87"/>
  </r>
  <r>
    <x v="4"/>
  </r>
  <r>
    <x v="14"/>
  </r>
  <r>
    <x v="4"/>
  </r>
  <r>
    <x v="4"/>
  </r>
  <r>
    <x v="150"/>
  </r>
  <r>
    <x v="150"/>
  </r>
  <r>
    <x v="9"/>
  </r>
  <r>
    <x v="9"/>
  </r>
  <r>
    <x v="28"/>
  </r>
  <r>
    <x v="8"/>
  </r>
  <r>
    <x v="8"/>
  </r>
  <r>
    <x v="8"/>
  </r>
  <r>
    <x v="24"/>
  </r>
  <r>
    <x v="37"/>
  </r>
  <r>
    <x v="24"/>
  </r>
  <r>
    <x v="24"/>
  </r>
  <r>
    <x v="14"/>
  </r>
  <r>
    <x v="14"/>
  </r>
  <r>
    <x v="14"/>
  </r>
  <r>
    <x v="79"/>
  </r>
  <r>
    <x v="24"/>
  </r>
  <r>
    <x v="4"/>
  </r>
  <r>
    <x v="28"/>
  </r>
  <r>
    <x v="27"/>
  </r>
  <r>
    <x v="27"/>
  </r>
  <r>
    <x v="27"/>
  </r>
  <r>
    <x v="37"/>
  </r>
  <r>
    <x v="3"/>
  </r>
  <r>
    <x v="8"/>
  </r>
  <r>
    <x v="42"/>
  </r>
  <r>
    <x v="9"/>
  </r>
  <r>
    <x v="9"/>
  </r>
  <r>
    <x v="27"/>
  </r>
  <r>
    <x v="27"/>
  </r>
  <r>
    <x v="138"/>
  </r>
  <r>
    <x v="79"/>
  </r>
  <r>
    <x v="14"/>
  </r>
  <r>
    <x v="4"/>
  </r>
  <r>
    <x v="138"/>
  </r>
  <r>
    <x v="14"/>
  </r>
  <r>
    <x v="14"/>
  </r>
  <r>
    <x v="9"/>
  </r>
  <r>
    <x v="9"/>
  </r>
  <r>
    <x v="9"/>
  </r>
  <r>
    <x v="9"/>
  </r>
  <r>
    <x v="48"/>
  </r>
  <r>
    <x v="138"/>
  </r>
  <r>
    <x v="45"/>
  </r>
  <r>
    <x v="9"/>
  </r>
  <r>
    <x v="9"/>
  </r>
  <r>
    <x v="79"/>
  </r>
  <r>
    <x v="4"/>
  </r>
  <r>
    <x v="28"/>
  </r>
  <r>
    <x v="71"/>
  </r>
  <r>
    <x v="71"/>
  </r>
  <r>
    <x v="71"/>
  </r>
  <r>
    <x v="71"/>
  </r>
  <r>
    <x v="28"/>
  </r>
  <r>
    <x v="8"/>
  </r>
  <r>
    <x v="71"/>
  </r>
  <r>
    <x v="45"/>
  </r>
  <r>
    <x v="4"/>
  </r>
  <r>
    <x v="4"/>
  </r>
  <r>
    <x v="28"/>
  </r>
  <r>
    <x v="10"/>
  </r>
  <r>
    <x v="16"/>
  </r>
  <r>
    <x v="16"/>
  </r>
  <r>
    <x v="79"/>
  </r>
  <r>
    <x v="138"/>
  </r>
  <r>
    <x v="138"/>
  </r>
  <r>
    <x v="28"/>
  </r>
  <r>
    <x v="28"/>
  </r>
  <r>
    <x v="55"/>
  </r>
  <r>
    <x v="27"/>
  </r>
  <r>
    <x v="28"/>
  </r>
  <r>
    <x v="79"/>
  </r>
  <r>
    <x v="12"/>
  </r>
  <r>
    <x v="9"/>
  </r>
  <r>
    <x v="31"/>
  </r>
  <r>
    <x v="4"/>
  </r>
  <r>
    <x v="91"/>
  </r>
  <r>
    <x v="28"/>
  </r>
  <r>
    <x v="28"/>
  </r>
  <r>
    <x v="28"/>
  </r>
  <r>
    <x v="138"/>
  </r>
  <r>
    <x v="71"/>
  </r>
  <r>
    <x v="138"/>
  </r>
  <r>
    <x v="8"/>
  </r>
  <r>
    <x v="123"/>
  </r>
  <r>
    <x v="123"/>
  </r>
  <r>
    <x v="9"/>
  </r>
  <r>
    <x v="71"/>
  </r>
  <r>
    <x v="28"/>
  </r>
  <r>
    <x v="28"/>
  </r>
  <r>
    <x v="10"/>
  </r>
  <r>
    <x v="154"/>
  </r>
  <r>
    <x v="28"/>
  </r>
  <r>
    <x v="57"/>
  </r>
  <r>
    <x v="57"/>
  </r>
  <r>
    <x v="57"/>
  </r>
  <r>
    <x v="57"/>
  </r>
  <r>
    <x v="57"/>
  </r>
  <r>
    <x v="54"/>
  </r>
  <r>
    <x v="54"/>
  </r>
  <r>
    <x v="10"/>
  </r>
  <r>
    <x v="10"/>
  </r>
  <r>
    <x v="8"/>
  </r>
  <r>
    <x v="138"/>
  </r>
  <r>
    <x v="138"/>
  </r>
  <r>
    <x v="8"/>
  </r>
  <r>
    <x v="8"/>
  </r>
  <r>
    <x v="7"/>
  </r>
  <r>
    <x v="8"/>
  </r>
  <r>
    <x v="37"/>
  </r>
  <r>
    <x v="150"/>
  </r>
  <r>
    <x v="150"/>
  </r>
  <r>
    <x v="150"/>
  </r>
  <r>
    <x v="37"/>
  </r>
  <r>
    <x v="32"/>
  </r>
  <r>
    <x v="37"/>
  </r>
  <r>
    <x v="150"/>
  </r>
  <r>
    <x v="150"/>
  </r>
  <r>
    <x v="150"/>
  </r>
  <r>
    <x v="71"/>
  </r>
  <r>
    <x v="19"/>
  </r>
  <r>
    <x v="150"/>
  </r>
  <r>
    <x v="28"/>
  </r>
  <r>
    <x v="28"/>
  </r>
  <r>
    <x v="138"/>
  </r>
  <r>
    <x v="76"/>
  </r>
  <r>
    <x v="19"/>
  </r>
  <r>
    <x v="8"/>
  </r>
  <r>
    <x v="32"/>
  </r>
  <r>
    <x v="162"/>
  </r>
  <r>
    <x v="28"/>
  </r>
  <r>
    <x v="16"/>
  </r>
  <r>
    <x v="14"/>
  </r>
  <r>
    <x v="144"/>
  </r>
  <r>
    <x v="51"/>
  </r>
  <r>
    <x v="31"/>
  </r>
  <r>
    <x v="42"/>
  </r>
  <r>
    <x v="56"/>
  </r>
  <r>
    <x v="2"/>
  </r>
  <r>
    <x v="9"/>
  </r>
  <r>
    <x v="46"/>
  </r>
  <r>
    <x v="138"/>
  </r>
  <r>
    <x v="57"/>
  </r>
  <r>
    <x v="11"/>
  </r>
  <r>
    <x v="250"/>
  </r>
  <r>
    <x v="152"/>
  </r>
  <r>
    <x v="141"/>
  </r>
  <r>
    <x v="123"/>
  </r>
  <r>
    <x v="123"/>
  </r>
  <r>
    <x v="123"/>
  </r>
  <r>
    <x v="1"/>
  </r>
  <r>
    <x v="1"/>
  </r>
  <r>
    <x v="2"/>
  </r>
  <r>
    <x v="138"/>
  </r>
  <r>
    <x v="138"/>
  </r>
  <r>
    <x v="22"/>
  </r>
  <r>
    <x v="22"/>
  </r>
  <r>
    <x v="22"/>
  </r>
  <r>
    <x v="22"/>
  </r>
  <r>
    <x v="22"/>
  </r>
  <r>
    <x v="48"/>
  </r>
  <r>
    <x v="179"/>
  </r>
  <r>
    <x v="12"/>
  </r>
  <r>
    <x v="81"/>
  </r>
  <r>
    <x v="3"/>
  </r>
  <r>
    <x v="19"/>
  </r>
  <r>
    <x v="12"/>
  </r>
  <r>
    <x v="0"/>
  </r>
  <r>
    <x v="28"/>
  </r>
  <r>
    <x v="28"/>
  </r>
  <r>
    <x v="28"/>
  </r>
  <r>
    <x v="27"/>
  </r>
  <r>
    <x v="10"/>
  </r>
  <r>
    <x v="10"/>
  </r>
  <r>
    <x v="10"/>
  </r>
  <r>
    <x v="10"/>
  </r>
  <r>
    <x v="10"/>
  </r>
  <r>
    <x v="0"/>
  </r>
  <r>
    <x v="10"/>
  </r>
  <r>
    <x v="44"/>
  </r>
  <r>
    <x v="29"/>
  </r>
  <r>
    <x v="36"/>
  </r>
  <r>
    <x v="4"/>
  </r>
  <r>
    <x v="10"/>
  </r>
  <r>
    <x v="10"/>
  </r>
  <r>
    <x v="45"/>
  </r>
  <r>
    <x v="42"/>
  </r>
  <r>
    <x v="57"/>
  </r>
  <r>
    <x v="12"/>
  </r>
  <r>
    <x v="42"/>
  </r>
  <r>
    <x v="9"/>
  </r>
  <r>
    <x v="10"/>
  </r>
  <r>
    <x v="7"/>
  </r>
  <r>
    <x v="7"/>
  </r>
  <r>
    <x v="7"/>
  </r>
  <r>
    <x v="7"/>
  </r>
  <r>
    <x v="7"/>
  </r>
  <r>
    <x v="7"/>
  </r>
  <r>
    <x v="7"/>
  </r>
  <r>
    <x v="7"/>
  </r>
  <r>
    <x v="42"/>
  </r>
  <r>
    <x v="12"/>
  </r>
  <r>
    <x v="12"/>
  </r>
  <r>
    <x v="10"/>
  </r>
  <r>
    <x v="28"/>
  </r>
  <r>
    <x v="28"/>
  </r>
  <r>
    <x v="123"/>
  </r>
  <r>
    <x v="42"/>
  </r>
  <r>
    <x v="123"/>
  </r>
  <r>
    <x v="37"/>
  </r>
  <r>
    <x v="37"/>
  </r>
  <r>
    <x v="12"/>
  </r>
  <r>
    <x v="77"/>
  </r>
  <r>
    <x v="77"/>
  </r>
  <r>
    <x v="12"/>
  </r>
  <r>
    <x v="42"/>
  </r>
  <r>
    <x v="347"/>
  </r>
  <r>
    <x v="29"/>
  </r>
  <r>
    <x v="122"/>
  </r>
  <r>
    <x v="81"/>
  </r>
  <r>
    <x v="12"/>
  </r>
  <r>
    <x v="12"/>
  </r>
  <r>
    <x v="12"/>
  </r>
  <r>
    <x v="12"/>
  </r>
  <r>
    <x v="12"/>
  </r>
  <r>
    <x v="12"/>
  </r>
  <r>
    <x v="12"/>
  </r>
  <r>
    <x v="4"/>
  </r>
  <r>
    <x v="76"/>
  </r>
  <r>
    <x v="227"/>
  </r>
  <r>
    <x v="10"/>
  </r>
  <r>
    <x v="10"/>
  </r>
  <r>
    <x v="10"/>
  </r>
  <r>
    <x v="10"/>
  </r>
  <r>
    <x v="79"/>
  </r>
  <r>
    <x v="79"/>
  </r>
  <r>
    <x v="10"/>
  </r>
  <r>
    <x v="10"/>
  </r>
  <r>
    <x v="28"/>
  </r>
  <r>
    <x v="10"/>
  </r>
  <r>
    <x v="70"/>
  </r>
  <r>
    <x v="76"/>
  </r>
  <r>
    <x v="4"/>
  </r>
  <r>
    <x v="93"/>
  </r>
  <r>
    <x v="93"/>
  </r>
  <r>
    <x v="76"/>
  </r>
  <r>
    <x v="48"/>
  </r>
  <r>
    <x v="59"/>
  </r>
  <r>
    <x v="204"/>
  </r>
  <r>
    <x v="7"/>
  </r>
  <r>
    <x v="4"/>
  </r>
  <r>
    <x v="0"/>
  </r>
  <r>
    <x v="0"/>
  </r>
  <r>
    <x v="0"/>
  </r>
  <r>
    <x v="0"/>
  </r>
  <r>
    <x v="123"/>
  </r>
  <r>
    <x v="126"/>
  </r>
  <r>
    <x v="22"/>
  </r>
  <r>
    <x v="51"/>
  </r>
  <r>
    <x v="10"/>
  </r>
  <r>
    <x v="42"/>
  </r>
  <r>
    <x v="10"/>
  </r>
  <r>
    <x v="10"/>
  </r>
  <r>
    <x v="48"/>
  </r>
  <r>
    <x v="4"/>
  </r>
  <r>
    <x v="14"/>
  </r>
  <r>
    <x v="28"/>
  </r>
  <r>
    <x v="3"/>
  </r>
  <r>
    <x v="3"/>
  </r>
  <r>
    <x v="56"/>
  </r>
  <r>
    <x v="56"/>
  </r>
  <r>
    <x v="123"/>
  </r>
  <r>
    <x v="123"/>
  </r>
  <r>
    <x v="123"/>
  </r>
  <r>
    <x v="123"/>
  </r>
  <r>
    <x v="76"/>
  </r>
  <r>
    <x v="76"/>
  </r>
  <r>
    <x v="4"/>
  </r>
  <r>
    <x v="14"/>
  </r>
  <r>
    <x v="0"/>
  </r>
  <r>
    <x v="12"/>
  </r>
  <r>
    <x v="12"/>
  </r>
  <r>
    <x v="48"/>
  </r>
  <r>
    <x v="77"/>
  </r>
  <r>
    <x v="9"/>
  </r>
  <r>
    <x v="47"/>
  </r>
  <r>
    <x v="17"/>
  </r>
  <r>
    <x v="25"/>
  </r>
  <r>
    <x v="25"/>
  </r>
  <r>
    <x v="25"/>
  </r>
  <r>
    <x v="25"/>
  </r>
  <r>
    <x v="0"/>
  </r>
  <r>
    <x v="9"/>
  </r>
  <r>
    <x v="14"/>
  </r>
  <r>
    <x v="57"/>
  </r>
  <r>
    <x v="131"/>
  </r>
  <r>
    <x v="9"/>
  </r>
  <r>
    <x v="12"/>
  </r>
  <r>
    <x v="4"/>
  </r>
  <r>
    <x v="86"/>
  </r>
  <r>
    <x v="12"/>
  </r>
  <r>
    <x v="9"/>
  </r>
  <r>
    <x v="9"/>
  </r>
  <r>
    <x v="2"/>
  </r>
  <r>
    <x v="9"/>
  </r>
  <r>
    <x v="9"/>
  </r>
  <r>
    <x v="7"/>
  </r>
  <r>
    <x v="24"/>
  </r>
  <r>
    <x v="306"/>
  </r>
  <r>
    <x v="21"/>
  </r>
  <r>
    <x v="47"/>
  </r>
  <r>
    <x v="47"/>
  </r>
  <r>
    <x v="39"/>
  </r>
  <r>
    <x v="36"/>
  </r>
  <r>
    <x v="12"/>
  </r>
  <r>
    <x v="56"/>
  </r>
  <r>
    <x v="42"/>
  </r>
  <r>
    <x v="10"/>
  </r>
  <r>
    <x v="4"/>
  </r>
  <r>
    <x v="87"/>
  </r>
  <r>
    <x v="57"/>
  </r>
  <r>
    <x v="45"/>
  </r>
  <r>
    <x v="87"/>
  </r>
  <r>
    <x v="10"/>
  </r>
  <r>
    <x v="9"/>
  </r>
  <r>
    <x v="4"/>
  </r>
  <r>
    <x v="123"/>
  </r>
  <r>
    <x v="123"/>
  </r>
  <r>
    <x v="25"/>
  </r>
  <r>
    <x v="0"/>
  </r>
  <r>
    <x v="42"/>
  </r>
  <r>
    <x v="42"/>
  </r>
  <r>
    <x v="42"/>
  </r>
  <r>
    <x v="0"/>
  </r>
  <r>
    <x v="0"/>
  </r>
  <r>
    <x v="115"/>
  </r>
  <r>
    <x v="47"/>
  </r>
  <r>
    <x v="47"/>
  </r>
  <r>
    <x v="0"/>
  </r>
  <r>
    <x v="12"/>
  </r>
  <r>
    <x v="4"/>
  </r>
  <r>
    <x v="63"/>
  </r>
  <r>
    <x v="1"/>
  </r>
  <r>
    <x v="115"/>
  </r>
  <r>
    <x v="12"/>
  </r>
  <r>
    <x v="45"/>
  </r>
  <r>
    <x v="89"/>
  </r>
  <r>
    <x v="45"/>
  </r>
  <r>
    <x v="19"/>
  </r>
  <r>
    <x v="4"/>
  </r>
  <r>
    <x v="0"/>
  </r>
  <r>
    <x v="21"/>
  </r>
  <r>
    <x v="16"/>
  </r>
  <r>
    <x v="12"/>
  </r>
  <r>
    <x v="2"/>
  </r>
  <r>
    <x v="8"/>
  </r>
  <r>
    <x v="12"/>
  </r>
  <r>
    <x v="17"/>
  </r>
  <r>
    <x v="250"/>
  </r>
  <r>
    <x v="12"/>
  </r>
  <r>
    <x v="7"/>
  </r>
  <r>
    <x v="7"/>
  </r>
  <r>
    <x v="7"/>
  </r>
  <r>
    <x v="4"/>
  </r>
  <r>
    <x v="78"/>
  </r>
  <r>
    <x v="86"/>
  </r>
  <r>
    <x v="78"/>
  </r>
  <r>
    <x v="77"/>
  </r>
  <r>
    <x v="10"/>
  </r>
  <r>
    <x v="25"/>
  </r>
  <r>
    <x v="10"/>
  </r>
  <r>
    <x v="12"/>
  </r>
  <r>
    <x v="42"/>
  </r>
  <r>
    <x v="19"/>
  </r>
  <r>
    <x v="57"/>
  </r>
  <r>
    <x v="71"/>
  </r>
  <r>
    <x v="14"/>
  </r>
  <r>
    <x v="10"/>
  </r>
  <r>
    <x v="0"/>
  </r>
  <r>
    <x v="7"/>
  </r>
  <r>
    <x v="48"/>
  </r>
  <r>
    <x v="59"/>
  </r>
  <r>
    <x v="24"/>
  </r>
  <r>
    <x v="57"/>
  </r>
  <r>
    <x v="114"/>
  </r>
  <r>
    <x v="114"/>
  </r>
  <r>
    <x v="53"/>
  </r>
  <r>
    <x v="9"/>
  </r>
  <r>
    <x v="33"/>
  </r>
  <r>
    <x v="4"/>
  </r>
  <r>
    <x v="37"/>
  </r>
  <r>
    <x v="6"/>
  </r>
  <r>
    <x v="86"/>
  </r>
  <r>
    <x v="42"/>
  </r>
  <r>
    <x v="42"/>
  </r>
  <r>
    <x v="1"/>
  </r>
  <r>
    <x v="138"/>
  </r>
  <r>
    <x v="28"/>
  </r>
  <r>
    <x v="64"/>
  </r>
  <r>
    <x v="10"/>
  </r>
  <r>
    <x v="102"/>
  </r>
  <r>
    <x v="102"/>
  </r>
  <r>
    <x v="3"/>
  </r>
  <r>
    <x v="12"/>
  </r>
  <r>
    <x v="21"/>
  </r>
  <r>
    <x v="21"/>
  </r>
  <r>
    <x v="42"/>
  </r>
  <r>
    <x v="14"/>
  </r>
  <r>
    <x v="141"/>
  </r>
  <r>
    <x v="1"/>
  </r>
  <r>
    <x v="8"/>
  </r>
  <r>
    <x v="4"/>
  </r>
  <r>
    <x v="88"/>
  </r>
  <r>
    <x v="78"/>
  </r>
  <r>
    <x v="78"/>
  </r>
  <r>
    <x v="115"/>
  </r>
  <r>
    <x v="17"/>
  </r>
  <r>
    <x v="71"/>
  </r>
  <r>
    <x v="57"/>
  </r>
  <r>
    <x v="102"/>
  </r>
  <r>
    <x v="0"/>
  </r>
  <r>
    <x v="14"/>
  </r>
  <r>
    <x v="10"/>
  </r>
  <r>
    <x v="28"/>
  </r>
  <r>
    <x v="39"/>
  </r>
  <r>
    <x v="28"/>
  </r>
  <r>
    <x v="2"/>
  </r>
  <r>
    <x v="2"/>
  </r>
  <r>
    <x v="2"/>
  </r>
  <r>
    <x v="10"/>
  </r>
  <r>
    <x v="12"/>
  </r>
  <r>
    <x v="0"/>
  </r>
  <r>
    <x v="143"/>
  </r>
  <r>
    <x v="115"/>
  </r>
  <r>
    <x v="57"/>
  </r>
  <r>
    <x v="1"/>
  </r>
  <r>
    <x v="17"/>
  </r>
  <r>
    <x v="86"/>
  </r>
  <r>
    <x v="56"/>
  </r>
  <r>
    <x v="7"/>
  </r>
  <r>
    <x v="57"/>
  </r>
  <r>
    <x v="12"/>
  </r>
  <r>
    <x v="57"/>
  </r>
  <r>
    <x v="10"/>
  </r>
  <r>
    <x v="135"/>
  </r>
  <r>
    <x v="14"/>
  </r>
  <r>
    <x v="7"/>
  </r>
  <r>
    <x v="8"/>
  </r>
  <r>
    <x v="12"/>
  </r>
  <r>
    <x v="57"/>
  </r>
  <r>
    <x v="143"/>
  </r>
  <r>
    <x v="11"/>
  </r>
  <r>
    <x v="4"/>
  </r>
  <r>
    <x v="28"/>
  </r>
  <r>
    <x v="115"/>
  </r>
  <r>
    <x v="51"/>
  </r>
  <r>
    <x v="71"/>
  </r>
  <r>
    <x v="42"/>
  </r>
  <r>
    <x v="16"/>
  </r>
  <r>
    <x v="71"/>
  </r>
  <r>
    <x v="71"/>
  </r>
  <r>
    <x v="12"/>
  </r>
  <r>
    <x v="10"/>
  </r>
  <r>
    <x v="12"/>
  </r>
  <r>
    <x v="12"/>
  </r>
  <r>
    <x v="14"/>
  </r>
  <r>
    <x v="4"/>
  </r>
  <r>
    <x v="9"/>
  </r>
  <r>
    <x v="4"/>
  </r>
  <r>
    <x v="12"/>
  </r>
  <r>
    <x v="12"/>
  </r>
  <r>
    <x v="12"/>
  </r>
  <r>
    <x v="12"/>
  </r>
  <r>
    <x v="11"/>
  </r>
  <r>
    <x v="0"/>
  </r>
  <r>
    <x v="4"/>
  </r>
  <r>
    <x v="42"/>
  </r>
  <r>
    <x v="6"/>
  </r>
  <r>
    <x v="4"/>
  </r>
  <r>
    <x v="22"/>
  </r>
  <r>
    <x v="475"/>
  </r>
  <r>
    <x v="14"/>
  </r>
  <r>
    <x v="12"/>
  </r>
  <r>
    <x v="17"/>
  </r>
  <r>
    <x v="11"/>
  </r>
  <r>
    <x v="123"/>
  </r>
  <r>
    <x v="28"/>
  </r>
  <r>
    <x v="28"/>
  </r>
  <r>
    <x v="142"/>
  </r>
  <r>
    <x v="28"/>
  </r>
  <r>
    <x v="131"/>
  </r>
  <r>
    <x v="0"/>
  </r>
  <r>
    <x v="73"/>
  </r>
  <r>
    <x v="123"/>
  </r>
  <r>
    <x v="42"/>
  </r>
  <r>
    <x v="12"/>
  </r>
  <r>
    <x v="4"/>
  </r>
  <r>
    <x v="31"/>
  </r>
  <r>
    <x v="0"/>
  </r>
  <r>
    <x v="31"/>
  </r>
  <r>
    <x v="31"/>
  </r>
  <r>
    <x v="151"/>
  </r>
  <r>
    <x v="21"/>
  </r>
  <r>
    <x v="19"/>
  </r>
  <r>
    <x v="1"/>
  </r>
  <r>
    <x v="64"/>
  </r>
  <r>
    <x v="45"/>
  </r>
  <r>
    <x v="9"/>
  </r>
  <r>
    <x v="10"/>
  </r>
  <r>
    <x v="9"/>
  </r>
  <r>
    <x v="24"/>
  </r>
  <r>
    <x v="7"/>
  </r>
  <r>
    <x v="10"/>
  </r>
  <r>
    <x v="78"/>
  </r>
  <r>
    <x v="78"/>
  </r>
  <r>
    <x v="37"/>
  </r>
  <r>
    <x v="0"/>
  </r>
  <r>
    <x v="0"/>
  </r>
  <r>
    <x v="37"/>
  </r>
  <r>
    <x v="37"/>
  </r>
  <r>
    <x v="9"/>
  </r>
  <r>
    <x v="19"/>
  </r>
  <r>
    <x v="4"/>
  </r>
  <r>
    <x v="42"/>
  </r>
  <r>
    <x v="57"/>
  </r>
  <r>
    <x v="131"/>
  </r>
  <r>
    <x v="20"/>
  </r>
  <r>
    <x v="20"/>
  </r>
  <r>
    <x v="20"/>
  </r>
  <r>
    <x v="59"/>
  </r>
  <r>
    <x v="19"/>
  </r>
  <r>
    <x v="95"/>
  </r>
  <r>
    <x v="10"/>
  </r>
  <r>
    <x v="14"/>
  </r>
  <r>
    <x v="3"/>
  </r>
  <r>
    <x v="91"/>
  </r>
  <r>
    <x v="20"/>
  </r>
  <r>
    <x v="131"/>
  </r>
  <r>
    <x v="9"/>
  </r>
  <r>
    <x v="9"/>
  </r>
  <r>
    <x v="9"/>
  </r>
  <r>
    <x v="9"/>
  </r>
  <r>
    <x v="9"/>
  </r>
  <r>
    <x v="9"/>
  </r>
  <r>
    <x v="152"/>
  </r>
  <r>
    <x v="152"/>
  </r>
  <r>
    <x v="57"/>
  </r>
  <r>
    <x v="9"/>
  </r>
  <r>
    <x v="152"/>
  </r>
  <r>
    <x v="9"/>
  </r>
  <r>
    <x v="9"/>
  </r>
  <r>
    <x v="9"/>
  </r>
  <r>
    <x v="31"/>
  </r>
  <r>
    <x v="9"/>
  </r>
  <r>
    <x v="152"/>
  </r>
  <r>
    <x v="42"/>
  </r>
  <r>
    <x v="2"/>
  </r>
  <r>
    <x v="45"/>
  </r>
  <r>
    <x v="207"/>
  </r>
  <r>
    <x v="42"/>
  </r>
  <r>
    <x v="135"/>
  </r>
  <r>
    <x v="86"/>
  </r>
  <r>
    <x v="115"/>
  </r>
  <r>
    <x v="11"/>
  </r>
  <r>
    <x v="131"/>
  </r>
  <r>
    <x v="26"/>
  </r>
  <r>
    <x v="9"/>
  </r>
  <r>
    <x v="4"/>
  </r>
  <r>
    <x v="4"/>
  </r>
  <r>
    <x v="12"/>
  </r>
  <r>
    <x v="14"/>
  </r>
  <r>
    <x v="123"/>
  </r>
  <r>
    <x v="46"/>
  </r>
  <r>
    <x v="48"/>
  </r>
  <r>
    <x v="131"/>
  </r>
  <r>
    <x v="23"/>
  </r>
  <r>
    <x v="42"/>
  </r>
  <r>
    <x v="2"/>
  </r>
  <r>
    <x v="0"/>
  </r>
  <r>
    <x v="141"/>
  </r>
  <r>
    <x v="14"/>
  </r>
  <r>
    <x v="14"/>
  </r>
  <r>
    <x v="4"/>
  </r>
  <r>
    <x v="24"/>
  </r>
  <r>
    <x v="9"/>
  </r>
  <r>
    <x v="12"/>
  </r>
  <r>
    <x v="25"/>
  </r>
  <r>
    <x v="14"/>
  </r>
  <r>
    <x v="7"/>
  </r>
  <r>
    <x v="31"/>
  </r>
  <r>
    <x v="19"/>
  </r>
  <r>
    <x v="10"/>
  </r>
  <r>
    <x v="10"/>
  </r>
  <r>
    <x v="11"/>
  </r>
  <r>
    <x v="42"/>
  </r>
  <r>
    <x v="71"/>
  </r>
  <r>
    <x v="57"/>
  </r>
  <r>
    <x v="14"/>
  </r>
  <r>
    <x v="57"/>
  </r>
  <r>
    <x v="0"/>
  </r>
  <r>
    <x v="9"/>
  </r>
  <r>
    <x v="1"/>
  </r>
  <r>
    <x v="14"/>
  </r>
  <r>
    <x v="14"/>
  </r>
  <r>
    <x v="4"/>
  </r>
  <r>
    <x v="28"/>
  </r>
  <r>
    <x v="4"/>
  </r>
  <r>
    <x v="143"/>
  </r>
  <r>
    <x v="71"/>
  </r>
  <r>
    <x v="31"/>
  </r>
  <r>
    <x v="9"/>
  </r>
  <r>
    <x v="9"/>
  </r>
  <r>
    <x v="3"/>
  </r>
  <r>
    <x v="76"/>
  </r>
  <r>
    <x v="0"/>
  </r>
  <r>
    <x v="14"/>
  </r>
  <r>
    <x v="0"/>
  </r>
  <r>
    <x v="4"/>
  </r>
  <r>
    <x v="78"/>
  </r>
  <r>
    <x v="71"/>
  </r>
  <r>
    <x v="45"/>
  </r>
  <r>
    <x v="56"/>
  </r>
  <r>
    <x v="131"/>
  </r>
  <r>
    <x v="138"/>
  </r>
  <r>
    <x v="16"/>
  </r>
  <r>
    <x v="42"/>
  </r>
  <r>
    <x v="9"/>
  </r>
  <r>
    <x v="57"/>
  </r>
  <r>
    <x v="48"/>
  </r>
  <r>
    <x v="14"/>
  </r>
  <r>
    <x v="28"/>
  </r>
  <r>
    <x v="12"/>
  </r>
  <r>
    <x v="182"/>
  </r>
  <r>
    <x v="21"/>
  </r>
  <r>
    <x v="16"/>
  </r>
  <r>
    <x v="16"/>
  </r>
  <r>
    <x v="16"/>
  </r>
  <r>
    <x v="12"/>
  </r>
  <r>
    <x v="0"/>
  </r>
  <r>
    <x v="16"/>
  </r>
  <r>
    <x v="12"/>
  </r>
  <r>
    <x v="16"/>
  </r>
  <r>
    <x v="28"/>
  </r>
  <r>
    <x v="4"/>
  </r>
  <r>
    <x v="162"/>
  </r>
  <r>
    <x v="4"/>
  </r>
  <r>
    <x v="53"/>
  </r>
  <r>
    <x v="115"/>
  </r>
  <r>
    <x v="42"/>
  </r>
  <r>
    <x v="0"/>
  </r>
  <r>
    <x v="1"/>
  </r>
  <r>
    <x v="64"/>
  </r>
  <r>
    <x v="2"/>
  </r>
  <r>
    <x v="2"/>
  </r>
  <r>
    <x v="11"/>
  </r>
  <r>
    <x v="11"/>
  </r>
  <r>
    <x v="11"/>
  </r>
  <r>
    <x v="8"/>
  </r>
  <r>
    <x v="12"/>
  </r>
  <r>
    <x v="68"/>
  </r>
  <r>
    <x v="12"/>
  </r>
  <r>
    <x v="12"/>
  </r>
  <r>
    <x v="12"/>
  </r>
  <r>
    <x v="7"/>
  </r>
  <r>
    <x v="12"/>
  </r>
  <r>
    <x v="37"/>
  </r>
  <r>
    <x v="71"/>
  </r>
  <r>
    <x v="53"/>
  </r>
  <r>
    <x v="154"/>
  </r>
  <r>
    <x v="56"/>
  </r>
  <r>
    <x v="71"/>
  </r>
  <r>
    <x v="42"/>
  </r>
  <r>
    <x v="22"/>
  </r>
  <r>
    <x v="166"/>
  </r>
  <r>
    <x v="4"/>
  </r>
  <r>
    <x v="0"/>
  </r>
  <r>
    <x v="14"/>
  </r>
  <r>
    <x v="21"/>
  </r>
  <r>
    <x v="57"/>
  </r>
  <r>
    <x v="10"/>
  </r>
  <r>
    <x v="7"/>
  </r>
  <r>
    <x v="53"/>
  </r>
  <r>
    <x v="7"/>
  </r>
  <r>
    <x v="28"/>
  </r>
  <r>
    <x v="11"/>
  </r>
  <r>
    <x v="21"/>
  </r>
  <r>
    <x v="16"/>
  </r>
  <r>
    <x v="24"/>
  </r>
  <r>
    <x v="2"/>
  </r>
  <r>
    <x v="4"/>
  </r>
  <r>
    <x v="0"/>
  </r>
  <r>
    <x v="14"/>
  </r>
  <r>
    <x v="16"/>
  </r>
  <r>
    <x v="10"/>
  </r>
  <r>
    <x v="10"/>
  </r>
  <r>
    <x v="10"/>
  </r>
  <r>
    <x v="4"/>
  </r>
  <r>
    <x v="68"/>
  </r>
  <r>
    <x v="42"/>
  </r>
  <r>
    <x v="9"/>
  </r>
  <r>
    <x v="10"/>
  </r>
  <r>
    <x v="249"/>
  </r>
  <r>
    <x v="249"/>
  </r>
  <r>
    <x v="0"/>
  </r>
  <r>
    <x v="0"/>
  </r>
  <r>
    <x v="0"/>
  </r>
  <r>
    <x v="0"/>
  </r>
  <r>
    <x v="0"/>
  </r>
  <r>
    <x v="7"/>
  </r>
  <r>
    <x v="10"/>
  </r>
  <r>
    <x v="19"/>
  </r>
  <r>
    <x v="141"/>
  </r>
  <r>
    <x v="0"/>
  </r>
  <r>
    <x v="48"/>
  </r>
  <r>
    <x v="51"/>
  </r>
  <r>
    <x v="141"/>
  </r>
  <r>
    <x v="141"/>
  </r>
  <r>
    <x v="141"/>
  </r>
  <r>
    <x v="12"/>
  </r>
  <r>
    <x v="12"/>
  </r>
  <r>
    <x v="45"/>
  </r>
  <r>
    <x v="45"/>
  </r>
  <r>
    <x v="12"/>
  </r>
  <r>
    <x v="12"/>
  </r>
  <r>
    <x v="25"/>
  </r>
  <r>
    <x v="25"/>
  </r>
  <r>
    <x v="25"/>
  </r>
  <r>
    <x v="71"/>
  </r>
  <r>
    <x v="24"/>
  </r>
  <r>
    <x v="9"/>
  </r>
  <r>
    <x v="24"/>
  </r>
  <r>
    <x v="151"/>
  </r>
  <r>
    <x v="21"/>
  </r>
  <r>
    <x v="52"/>
  </r>
  <r>
    <x v="52"/>
  </r>
  <r>
    <x v="10"/>
  </r>
  <r>
    <x v="12"/>
  </r>
  <r>
    <x v="9"/>
  </r>
  <r>
    <x v="57"/>
  </r>
  <r>
    <x v="71"/>
  </r>
  <r>
    <x v="9"/>
  </r>
  <r>
    <x v="12"/>
  </r>
  <r>
    <x v="150"/>
  </r>
  <r>
    <x v="37"/>
  </r>
  <r>
    <x v="8"/>
  </r>
  <r>
    <x v="12"/>
  </r>
  <r>
    <x v="53"/>
  </r>
  <r>
    <x v="10"/>
  </r>
  <r>
    <x v="12"/>
  </r>
  <r>
    <x v="71"/>
  </r>
  <r>
    <x v="131"/>
  </r>
  <r>
    <x v="36"/>
  </r>
  <r>
    <x v="57"/>
  </r>
  <r>
    <x v="57"/>
  </r>
  <r>
    <x v="4"/>
  </r>
  <r>
    <x v="76"/>
  </r>
  <r>
    <x v="55"/>
  </r>
  <r>
    <x v="0"/>
  </r>
  <r>
    <x v="21"/>
  </r>
  <r>
    <x v="21"/>
  </r>
  <r>
    <x v="21"/>
  </r>
  <r>
    <x v="53"/>
  </r>
  <r>
    <x v="53"/>
  </r>
  <r>
    <x v="53"/>
  </r>
  <r>
    <x v="12"/>
  </r>
  <r>
    <x v="0"/>
  </r>
  <r>
    <x v="71"/>
  </r>
  <r>
    <x v="10"/>
  </r>
  <r>
    <x v="28"/>
  </r>
  <r>
    <x v="4"/>
  </r>
  <r>
    <x v="115"/>
  </r>
  <r>
    <x v="12"/>
  </r>
  <r>
    <x v="4"/>
  </r>
  <r>
    <x v="57"/>
  </r>
  <r>
    <x v="57"/>
  </r>
  <r>
    <x v="115"/>
  </r>
  <r>
    <x v="10"/>
  </r>
  <r>
    <x v="48"/>
  </r>
  <r>
    <x v="42"/>
  </r>
  <r>
    <x v="0"/>
  </r>
  <r>
    <x v="12"/>
  </r>
  <r>
    <x v="12"/>
  </r>
  <r>
    <x v="28"/>
  </r>
  <r>
    <x v="28"/>
  </r>
  <r>
    <x v="28"/>
  </r>
  <r>
    <x v="28"/>
  </r>
  <r>
    <x v="53"/>
  </r>
  <r>
    <x v="12"/>
  </r>
  <r>
    <x v="9"/>
  </r>
  <r>
    <x v="48"/>
  </r>
  <r>
    <x v="45"/>
  </r>
  <r>
    <x v="45"/>
  </r>
  <r>
    <x v="45"/>
  </r>
  <r>
    <x v="12"/>
  </r>
  <r>
    <x v="2"/>
  </r>
  <r>
    <x v="131"/>
  </r>
  <r>
    <x v="12"/>
  </r>
  <r>
    <x v="188"/>
  </r>
  <r>
    <x v="2"/>
  </r>
  <r>
    <x v="16"/>
  </r>
  <r>
    <x v="16"/>
  </r>
  <r>
    <x v="19"/>
  </r>
  <r>
    <x v="19"/>
  </r>
  <r>
    <x v="6"/>
  </r>
  <r>
    <x v="12"/>
  </r>
  <r>
    <x v="12"/>
  </r>
  <r>
    <x v="12"/>
  </r>
  <r>
    <x v="22"/>
  </r>
  <r>
    <x v="22"/>
  </r>
  <r>
    <x v="9"/>
  </r>
  <r>
    <x v="9"/>
  </r>
  <r>
    <x v="53"/>
  </r>
  <r>
    <x v="53"/>
  </r>
  <r>
    <x v="12"/>
  </r>
  <r>
    <x v="12"/>
  </r>
  <r>
    <x v="45"/>
  </r>
  <r>
    <x v="52"/>
  </r>
  <r>
    <x v="12"/>
  </r>
  <r>
    <x v="12"/>
  </r>
  <r>
    <x v="42"/>
  </r>
  <r>
    <x v="53"/>
  </r>
  <r>
    <x v="53"/>
  </r>
  <r>
    <x v="12"/>
  </r>
  <r>
    <x v="7"/>
  </r>
  <r>
    <x v="7"/>
  </r>
  <r>
    <x v="2"/>
  </r>
  <r>
    <x v="48"/>
  </r>
  <r>
    <x v="45"/>
  </r>
  <r>
    <x v="2"/>
  </r>
  <r>
    <x v="3"/>
  </r>
  <r>
    <x v="12"/>
  </r>
  <r>
    <x v="4"/>
  </r>
  <r>
    <x v="4"/>
  </r>
  <r>
    <x v="9"/>
  </r>
  <r>
    <x v="12"/>
  </r>
  <r>
    <x v="28"/>
  </r>
  <r>
    <x v="28"/>
  </r>
  <r>
    <x v="2"/>
  </r>
  <r>
    <x v="2"/>
  </r>
  <r>
    <x v="53"/>
  </r>
  <r>
    <x v="0"/>
  </r>
  <r>
    <x v="0"/>
  </r>
  <r>
    <x v="0"/>
  </r>
  <r>
    <x v="131"/>
  </r>
  <r>
    <x v="4"/>
  </r>
  <r>
    <x v="14"/>
  </r>
  <r>
    <x v="14"/>
  </r>
  <r>
    <x v="14"/>
  </r>
  <r>
    <x v="115"/>
  </r>
  <r>
    <x v="4"/>
  </r>
  <r>
    <x v="57"/>
  </r>
  <r>
    <x v="45"/>
  </r>
  <r>
    <x v="4"/>
  </r>
  <r>
    <x v="4"/>
  </r>
  <r>
    <x v="11"/>
  </r>
  <r>
    <x v="0"/>
  </r>
  <r>
    <x v="135"/>
  </r>
  <r>
    <x v="9"/>
  </r>
  <r>
    <x v="142"/>
  </r>
  <r>
    <x v="142"/>
  </r>
  <r>
    <x v="142"/>
  </r>
  <r>
    <x v="9"/>
  </r>
  <r>
    <x v="75"/>
  </r>
  <r>
    <x v="56"/>
  </r>
  <r>
    <x v="131"/>
  </r>
  <r>
    <x v="57"/>
  </r>
  <r>
    <x v="57"/>
  </r>
  <r>
    <x v="22"/>
  </r>
  <r>
    <x v="22"/>
  </r>
  <r>
    <x v="6"/>
  </r>
  <r>
    <x v="2"/>
  </r>
  <r>
    <x v="22"/>
  </r>
  <r>
    <x v="22"/>
  </r>
  <r>
    <x v="151"/>
  </r>
  <r>
    <x v="22"/>
  </r>
  <r>
    <x v="22"/>
  </r>
  <r>
    <x v="151"/>
  </r>
  <r>
    <x v="57"/>
  </r>
  <r>
    <x v="40"/>
  </r>
  <r>
    <x v="7"/>
  </r>
  <r>
    <x v="88"/>
  </r>
  <r>
    <x v="22"/>
  </r>
  <r>
    <x v="76"/>
  </r>
  <r>
    <x v="4"/>
  </r>
  <r>
    <x v="22"/>
  </r>
  <r>
    <x v="22"/>
  </r>
  <r>
    <x v="42"/>
  </r>
  <r>
    <x v="42"/>
  </r>
  <r>
    <x v="42"/>
  </r>
  <r>
    <x v="2"/>
  </r>
  <r>
    <x v="2"/>
  </r>
  <r>
    <x v="243"/>
  </r>
  <r>
    <x v="37"/>
  </r>
  <r>
    <x v="131"/>
  </r>
  <r>
    <x v="131"/>
  </r>
  <r>
    <x v="78"/>
  </r>
  <r>
    <x v="78"/>
  </r>
  <r>
    <x v="22"/>
  </r>
  <r>
    <x v="143"/>
  </r>
  <r>
    <x v="22"/>
  </r>
  <r>
    <x v="2"/>
  </r>
  <r>
    <x v="22"/>
  </r>
  <r>
    <x v="42"/>
  </r>
  <r>
    <x v="42"/>
  </r>
  <r>
    <x v="8"/>
  </r>
  <r>
    <x v="8"/>
  </r>
  <r>
    <x v="64"/>
  </r>
  <r>
    <x v="141"/>
  </r>
  <r>
    <x v="149"/>
  </r>
  <r>
    <x v="71"/>
  </r>
  <r>
    <x v="28"/>
  </r>
  <r>
    <x v="28"/>
  </r>
  <r>
    <x v="42"/>
  </r>
  <r>
    <x v="42"/>
  </r>
  <r>
    <x v="144"/>
  </r>
  <r>
    <x v="144"/>
  </r>
  <r>
    <x v="144"/>
  </r>
  <r>
    <x v="144"/>
  </r>
  <r>
    <x v="144"/>
  </r>
  <r>
    <x v="53"/>
  </r>
  <r>
    <x v="37"/>
  </r>
  <r>
    <x v="37"/>
  </r>
  <r>
    <x v="29"/>
  </r>
  <r>
    <x v="29"/>
  </r>
  <r>
    <x v="4"/>
  </r>
  <r>
    <x v="9"/>
  </r>
  <r>
    <x v="24"/>
  </r>
  <r>
    <x v="142"/>
  </r>
  <r>
    <x v="131"/>
  </r>
  <r>
    <x v="131"/>
  </r>
  <r>
    <x v="131"/>
  </r>
  <r>
    <x v="71"/>
  </r>
  <r>
    <x v="71"/>
  </r>
  <r>
    <x v="71"/>
  </r>
  <r>
    <x v="68"/>
  </r>
  <r>
    <x v="68"/>
  </r>
  <r>
    <x v="7"/>
  </r>
  <r>
    <x v="123"/>
  </r>
  <r>
    <x v="8"/>
  </r>
  <r>
    <x v="8"/>
  </r>
  <r>
    <x v="53"/>
  </r>
  <r>
    <x v="147"/>
  </r>
  <r>
    <x v="21"/>
  </r>
  <r>
    <x v="24"/>
  </r>
  <r>
    <x v="71"/>
  </r>
  <r>
    <x v="14"/>
  </r>
  <r>
    <x v="14"/>
  </r>
  <r>
    <x v="9"/>
  </r>
  <r>
    <x v="53"/>
  </r>
  <r>
    <x v="37"/>
  </r>
  <r>
    <x v="14"/>
  </r>
  <r>
    <x v="14"/>
  </r>
  <r>
    <x v="14"/>
  </r>
  <r>
    <x v="14"/>
  </r>
  <r>
    <x v="24"/>
  </r>
  <r>
    <x v="37"/>
  </r>
  <r>
    <x v="14"/>
  </r>
  <r>
    <x v="79"/>
  </r>
  <r>
    <x v="9"/>
  </r>
  <r>
    <x v="175"/>
  </r>
  <r>
    <x v="12"/>
  </r>
  <r>
    <x v="12"/>
  </r>
  <r>
    <x v="28"/>
  </r>
  <r>
    <x v="57"/>
  </r>
  <r>
    <x v="0"/>
  </r>
  <r>
    <x v="0"/>
  </r>
  <r>
    <x v="2"/>
  </r>
  <r>
    <x v="2"/>
  </r>
  <r>
    <x v="4"/>
  </r>
  <r>
    <x v="14"/>
  </r>
  <r>
    <x v="7"/>
  </r>
  <r>
    <x v="21"/>
  </r>
  <r>
    <x v="143"/>
  </r>
  <r>
    <x v="143"/>
  </r>
  <r>
    <x v="204"/>
  </r>
  <r>
    <x v="8"/>
  </r>
  <r>
    <x v="8"/>
  </r>
  <r>
    <x v="7"/>
  </r>
  <r>
    <x v="37"/>
  </r>
  <r>
    <x v="14"/>
  </r>
  <r>
    <x v="141"/>
  </r>
  <r>
    <x v="12"/>
  </r>
  <r>
    <x v="12"/>
  </r>
  <r>
    <x v="19"/>
  </r>
  <r>
    <x v="10"/>
  </r>
  <r>
    <x v="211"/>
  </r>
  <r>
    <x v="211"/>
  </r>
  <r>
    <x v="8"/>
  </r>
  <r>
    <x v="57"/>
  </r>
  <r>
    <x v="71"/>
  </r>
  <r>
    <x v="8"/>
  </r>
  <r>
    <x v="28"/>
  </r>
  <r>
    <x v="211"/>
  </r>
  <r>
    <x v="115"/>
  </r>
  <r>
    <x v="12"/>
  </r>
  <r>
    <x v="12"/>
  </r>
  <r>
    <x v="59"/>
  </r>
  <r>
    <x v="7"/>
  </r>
  <r>
    <x v="9"/>
  </r>
  <r>
    <x v="19"/>
  </r>
  <r>
    <x v="9"/>
  </r>
  <r>
    <x v="45"/>
  </r>
  <r>
    <x v="57"/>
  </r>
  <r>
    <x v="251"/>
  </r>
  <r>
    <x v="28"/>
  </r>
  <r>
    <x v="28"/>
  </r>
  <r>
    <x v="2"/>
  </r>
  <r>
    <x v="7"/>
  </r>
  <r>
    <x v="12"/>
  </r>
  <r>
    <x v="12"/>
  </r>
  <r>
    <x v="64"/>
  </r>
  <r>
    <x v="71"/>
  </r>
  <r>
    <x v="28"/>
  </r>
  <r>
    <x v="28"/>
  </r>
  <r>
    <x v="1"/>
  </r>
  <r>
    <x v="1"/>
  </r>
  <r>
    <x v="9"/>
  </r>
  <r>
    <x v="77"/>
  </r>
  <r>
    <x v="14"/>
  </r>
  <r>
    <x v="45"/>
  </r>
  <r>
    <x v="141"/>
  </r>
  <r>
    <x v="7"/>
  </r>
  <r>
    <x v="14"/>
  </r>
  <r>
    <x v="1"/>
  </r>
  <r>
    <x v="88"/>
  </r>
  <r>
    <x v="29"/>
  </r>
  <r>
    <x v="141"/>
  </r>
  <r>
    <x v="141"/>
  </r>
  <r>
    <x v="141"/>
  </r>
  <r>
    <x v="131"/>
  </r>
  <r>
    <x v="141"/>
  </r>
  <r>
    <x v="131"/>
  </r>
  <r>
    <x v="131"/>
  </r>
  <r>
    <x v="28"/>
  </r>
  <r>
    <x v="28"/>
  </r>
  <r>
    <x v="16"/>
  </r>
  <r>
    <x v="12"/>
  </r>
  <r>
    <x v="12"/>
  </r>
  <r>
    <x v="68"/>
  </r>
  <r>
    <x v="86"/>
  </r>
  <r>
    <x v="86"/>
  </r>
  <r>
    <x v="12"/>
  </r>
  <r>
    <x v="9"/>
  </r>
  <r>
    <x v="11"/>
  </r>
  <r>
    <x v="25"/>
  </r>
  <r>
    <x v="59"/>
  </r>
  <r>
    <x v="57"/>
  </r>
  <r>
    <x v="22"/>
  </r>
  <r>
    <x v="22"/>
  </r>
  <r>
    <x v="22"/>
  </r>
  <r>
    <x v="138"/>
  </r>
  <r>
    <x v="53"/>
  </r>
  <r>
    <x v="42"/>
  </r>
  <r>
    <x v="28"/>
  </r>
  <r>
    <x v="25"/>
  </r>
  <r>
    <x v="25"/>
  </r>
  <r>
    <x v="25"/>
  </r>
  <r>
    <x v="12"/>
  </r>
  <r>
    <x v="156"/>
  </r>
  <r>
    <x v="28"/>
  </r>
  <r>
    <x v="103"/>
  </r>
  <r>
    <x v="4"/>
  </r>
  <r>
    <x v="141"/>
  </r>
  <r>
    <x v="57"/>
  </r>
  <r>
    <x v="16"/>
  </r>
  <r>
    <x v="130"/>
  </r>
  <r>
    <x v="68"/>
  </r>
  <r>
    <x v="68"/>
  </r>
  <r>
    <x v="22"/>
  </r>
  <r>
    <x v="22"/>
  </r>
  <r>
    <x v="7"/>
  </r>
  <r>
    <x v="123"/>
  </r>
  <r>
    <x v="123"/>
  </r>
  <r>
    <x v="123"/>
  </r>
  <r>
    <x v="76"/>
  </r>
  <r>
    <x v="34"/>
  </r>
  <r>
    <x v="12"/>
  </r>
  <r>
    <x v="12"/>
  </r>
  <r>
    <x v="42"/>
  </r>
  <r>
    <x v="16"/>
  </r>
  <r>
    <x v="14"/>
  </r>
  <r>
    <x v="3"/>
  </r>
  <r>
    <x v="14"/>
  </r>
  <r>
    <x v="14"/>
  </r>
  <r>
    <x v="16"/>
  </r>
  <r>
    <x v="14"/>
  </r>
  <r>
    <x v="0"/>
  </r>
  <r>
    <x v="87"/>
  </r>
  <r>
    <x v="22"/>
  </r>
  <r>
    <x v="89"/>
  </r>
  <r>
    <x v="10"/>
  </r>
  <r>
    <x v="10"/>
  </r>
  <r>
    <x v="36"/>
  </r>
  <r>
    <x v="36"/>
  </r>
  <r>
    <x v="12"/>
  </r>
  <r>
    <x v="12"/>
  </r>
  <r>
    <x v="0"/>
  </r>
  <r>
    <x v="11"/>
  </r>
  <r>
    <x v="11"/>
  </r>
  <r>
    <x v="0"/>
  </r>
  <r>
    <x v="81"/>
  </r>
  <r>
    <x v="25"/>
  </r>
  <r>
    <x v="81"/>
  </r>
  <r>
    <x v="78"/>
  </r>
  <r>
    <x v="81"/>
  </r>
  <r>
    <x v="72"/>
  </r>
  <r>
    <x v="42"/>
  </r>
  <r>
    <x v="42"/>
  </r>
  <r>
    <x v="24"/>
  </r>
  <r>
    <x v="76"/>
  </r>
  <r>
    <x v="12"/>
  </r>
  <r>
    <x v="14"/>
  </r>
  <r>
    <x v="14"/>
  </r>
  <r>
    <x v="45"/>
  </r>
  <r>
    <x v="1"/>
  </r>
  <r>
    <x v="1"/>
  </r>
  <r>
    <x v="1"/>
  </r>
  <r>
    <x v="1"/>
  </r>
  <r>
    <x v="1"/>
  </r>
  <r>
    <x v="1"/>
  </r>
  <r>
    <x v="86"/>
  </r>
  <r>
    <x v="86"/>
  </r>
  <r>
    <x v="86"/>
  </r>
  <r>
    <x v="1"/>
  </r>
  <r>
    <x v="16"/>
  </r>
  <r>
    <x v="12"/>
  </r>
  <r>
    <x v="12"/>
  </r>
  <r>
    <x v="12"/>
  </r>
  <r>
    <x v="100"/>
  </r>
  <r>
    <x v="0"/>
  </r>
  <r>
    <x v="0"/>
  </r>
  <r>
    <x v="48"/>
  </r>
  <r>
    <x v="37"/>
  </r>
  <r>
    <x v="3"/>
  </r>
  <r>
    <x v="87"/>
  </r>
  <r>
    <x v="123"/>
  </r>
  <r>
    <x v="123"/>
  </r>
  <r>
    <x v="14"/>
  </r>
  <r>
    <x v="10"/>
  </r>
  <r>
    <x v="51"/>
  </r>
  <r>
    <x v="10"/>
  </r>
  <r>
    <x v="4"/>
  </r>
  <r>
    <x v="16"/>
  </r>
  <r>
    <x v="4"/>
  </r>
  <r>
    <x v="57"/>
  </r>
  <r>
    <x v="57"/>
  </r>
  <r>
    <x v="57"/>
  </r>
  <r>
    <x v="16"/>
  </r>
  <r>
    <x v="71"/>
  </r>
  <r>
    <x v="71"/>
  </r>
  <r>
    <x v="8"/>
  </r>
  <r>
    <x v="71"/>
  </r>
  <r>
    <x v="16"/>
  </r>
  <r>
    <x v="16"/>
  </r>
  <r>
    <x v="16"/>
  </r>
  <r>
    <x v="57"/>
  </r>
  <r>
    <x v="144"/>
  </r>
  <r>
    <x v="11"/>
  </r>
  <r>
    <x v="144"/>
  </r>
  <r>
    <x v="144"/>
  </r>
  <r>
    <x v="144"/>
  </r>
  <r>
    <x v="11"/>
  </r>
  <r>
    <x v="144"/>
  </r>
  <r>
    <x v="71"/>
  </r>
  <r>
    <x v="71"/>
  </r>
  <r>
    <x v="8"/>
  </r>
  <r>
    <x v="8"/>
  </r>
  <r>
    <x v="56"/>
  </r>
  <r>
    <x v="64"/>
  </r>
  <r>
    <x v="64"/>
  </r>
  <r>
    <x v="27"/>
  </r>
  <r>
    <x v="27"/>
  </r>
  <r>
    <x v="27"/>
  </r>
  <r>
    <x v="10"/>
  </r>
  <r>
    <x v="27"/>
  </r>
  <r>
    <x v="27"/>
  </r>
  <r>
    <x v="16"/>
  </r>
  <r>
    <x v="31"/>
  </r>
  <r>
    <x v="16"/>
  </r>
  <r>
    <x v="144"/>
  </r>
  <r>
    <x v="144"/>
  </r>
  <r>
    <x v="57"/>
  </r>
  <r>
    <x v="19"/>
  </r>
  <r>
    <x v="19"/>
  </r>
  <r>
    <x v="19"/>
  </r>
  <r>
    <x v="16"/>
  </r>
  <r>
    <x v="16"/>
  </r>
  <r>
    <x v="31"/>
  </r>
  <r>
    <x v="16"/>
  </r>
  <r>
    <x v="16"/>
  </r>
  <r>
    <x v="27"/>
  </r>
  <r>
    <x v="27"/>
  </r>
  <r>
    <x v="7"/>
  </r>
  <r>
    <x v="162"/>
  </r>
  <r>
    <x v="162"/>
  </r>
  <r>
    <x v="162"/>
  </r>
  <r>
    <x v="16"/>
  </r>
  <r>
    <x v="16"/>
  </r>
  <r>
    <x v="12"/>
  </r>
  <r>
    <x v="16"/>
  </r>
  <r>
    <x v="16"/>
  </r>
  <r>
    <x v="12"/>
  </r>
  <r>
    <x v="42"/>
  </r>
  <r>
    <x v="16"/>
  </r>
  <r>
    <x v="16"/>
  </r>
  <r>
    <x v="16"/>
  </r>
  <r>
    <x v="16"/>
  </r>
  <r>
    <x v="17"/>
  </r>
  <r>
    <x v="17"/>
  </r>
  <r>
    <x v="17"/>
  </r>
  <r>
    <x v="17"/>
  </r>
  <r>
    <x v="19"/>
  </r>
  <r>
    <x v="16"/>
  </r>
  <r>
    <x v="16"/>
  </r>
  <r>
    <x v="42"/>
  </r>
  <r>
    <x v="19"/>
  </r>
  <r>
    <x v="1"/>
  </r>
  <r>
    <x v="16"/>
  </r>
  <r>
    <x v="19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1"/>
  </r>
  <r>
    <x v="16"/>
  </r>
  <r>
    <x v="16"/>
  </r>
  <r>
    <x v="1"/>
  </r>
  <r>
    <x v="143"/>
  </r>
  <r>
    <x v="143"/>
  </r>
  <r>
    <x v="141"/>
  </r>
  <r>
    <x v="141"/>
  </r>
  <r>
    <x v="141"/>
  </r>
  <r>
    <x v="14"/>
  </r>
  <r>
    <x v="10"/>
  </r>
  <r>
    <x v="21"/>
  </r>
  <r>
    <x v="48"/>
  </r>
  <r>
    <x v="10"/>
  </r>
  <r>
    <x v="115"/>
  </r>
  <r>
    <x v="57"/>
  </r>
  <r>
    <x v="57"/>
  </r>
  <r>
    <x v="57"/>
  </r>
  <r>
    <x v="57"/>
  </r>
  <r>
    <x v="12"/>
  </r>
  <r>
    <x v="12"/>
  </r>
  <r>
    <x v="123"/>
  </r>
  <r>
    <x v="123"/>
  </r>
  <r>
    <x v="4"/>
  </r>
  <r>
    <x v="4"/>
  </r>
  <r>
    <x v="4"/>
  </r>
  <r>
    <x v="190"/>
  </r>
  <r>
    <x v="12"/>
  </r>
  <r>
    <x v="141"/>
  </r>
  <r>
    <x v="141"/>
  </r>
  <r>
    <x v="141"/>
  </r>
  <r>
    <x v="141"/>
  </r>
  <r>
    <x v="143"/>
  </r>
  <r>
    <x v="71"/>
  </r>
  <r>
    <x v="37"/>
  </r>
  <r>
    <x v="24"/>
  </r>
  <r>
    <x v="24"/>
  </r>
  <r>
    <x v="24"/>
  </r>
  <r>
    <x v="24"/>
  </r>
  <r>
    <x v="24"/>
  </r>
  <r>
    <x v="57"/>
  </r>
  <r>
    <x v="57"/>
  </r>
  <r>
    <x v="57"/>
  </r>
  <r>
    <x v="39"/>
  </r>
  <r>
    <x v="9"/>
  </r>
  <r>
    <x v="7"/>
  </r>
  <r>
    <x v="21"/>
  </r>
  <r>
    <x v="21"/>
  </r>
  <r>
    <x v="7"/>
  </r>
  <r>
    <x v="7"/>
  </r>
  <r>
    <x v="71"/>
  </r>
  <r>
    <x v="71"/>
  </r>
  <r>
    <x v="9"/>
  </r>
  <r>
    <x v="141"/>
  </r>
  <r>
    <x v="7"/>
  </r>
  <r>
    <x v="12"/>
  </r>
  <r>
    <x v="12"/>
  </r>
  <r>
    <x v="71"/>
  </r>
  <r>
    <x v="71"/>
  </r>
  <r>
    <x v="141"/>
  </r>
  <r>
    <x v="12"/>
  </r>
  <r>
    <x v="21"/>
  </r>
  <r>
    <x v="135"/>
  </r>
  <r>
    <x v="21"/>
  </r>
  <r>
    <x v="135"/>
  </r>
  <r>
    <x v="16"/>
  </r>
  <r>
    <x v="16"/>
  </r>
  <r>
    <x v="57"/>
  </r>
  <r>
    <x v="31"/>
  </r>
  <r>
    <x v="19"/>
  </r>
  <r>
    <x v="21"/>
  </r>
  <r>
    <x v="24"/>
  </r>
  <r>
    <x v="24"/>
  </r>
  <r>
    <x v="7"/>
  </r>
  <r>
    <x v="10"/>
  </r>
  <r>
    <x v="11"/>
  </r>
  <r>
    <x v="24"/>
  </r>
  <r>
    <x v="21"/>
  </r>
  <r>
    <x v="21"/>
  </r>
  <r>
    <x v="24"/>
  </r>
  <r>
    <x v="141"/>
  </r>
  <r>
    <x v="141"/>
  </r>
  <r>
    <x v="8"/>
  </r>
  <r>
    <x v="135"/>
  </r>
  <r>
    <x v="11"/>
  </r>
  <r>
    <x v="57"/>
  </r>
  <r>
    <x v="28"/>
  </r>
  <r>
    <x v="28"/>
  </r>
  <r>
    <x v="11"/>
  </r>
  <r>
    <x v="17"/>
  </r>
  <r>
    <x v="28"/>
  </r>
  <r>
    <x v="0"/>
  </r>
  <r>
    <x v="24"/>
  </r>
  <r>
    <x v="24"/>
  </r>
  <r>
    <x v="24"/>
  </r>
  <r>
    <x v="24"/>
  </r>
  <r>
    <x v="59"/>
  </r>
  <r>
    <x v="10"/>
  </r>
  <r>
    <x v="11"/>
  </r>
  <r>
    <x v="4"/>
  </r>
  <r>
    <x v="48"/>
  </r>
  <r>
    <x v="78"/>
  </r>
  <r>
    <x v="0"/>
  </r>
  <r>
    <x v="108"/>
  </r>
  <r>
    <x v="16"/>
  </r>
  <r>
    <x v="16"/>
  </r>
  <r>
    <x v="123"/>
  </r>
  <r>
    <x v="12"/>
  </r>
  <r>
    <x v="3"/>
  </r>
  <r>
    <x v="17"/>
  </r>
  <r>
    <x v="12"/>
  </r>
  <r>
    <x v="11"/>
  </r>
  <r>
    <x v="45"/>
  </r>
  <r>
    <x v="45"/>
  </r>
  <r>
    <x v="14"/>
  </r>
  <r>
    <x v="14"/>
  </r>
  <r>
    <x v="115"/>
  </r>
  <r>
    <x v="12"/>
  </r>
  <r>
    <x v="21"/>
  </r>
  <r>
    <x v="21"/>
  </r>
  <r>
    <x v="12"/>
  </r>
  <r>
    <x v="10"/>
  </r>
  <r>
    <x v="14"/>
  </r>
  <r>
    <x v="42"/>
  </r>
  <r>
    <x v="144"/>
  </r>
  <r>
    <x v="14"/>
  </r>
  <r>
    <x v="14"/>
  </r>
  <r>
    <x v="14"/>
  </r>
  <r>
    <x v="37"/>
  </r>
  <r>
    <x v="37"/>
  </r>
  <r>
    <x v="14"/>
  </r>
  <r>
    <x v="9"/>
  </r>
  <r>
    <x v="10"/>
  </r>
  <r>
    <x v="42"/>
  </r>
  <r>
    <x v="42"/>
  </r>
  <r>
    <x v="12"/>
  </r>
  <r>
    <x v="28"/>
  </r>
  <r>
    <x v="28"/>
  </r>
  <r>
    <x v="28"/>
  </r>
  <r>
    <x v="28"/>
  </r>
  <r>
    <x v="4"/>
  </r>
  <r>
    <x v="28"/>
  </r>
  <r>
    <x v="28"/>
  </r>
  <r>
    <x v="12"/>
  </r>
  <r>
    <x v="9"/>
  </r>
  <r>
    <x v="10"/>
  </r>
  <r>
    <x v="37"/>
  </r>
  <r>
    <x v="56"/>
  </r>
  <r>
    <x v="27"/>
  </r>
  <r>
    <x v="42"/>
  </r>
  <r>
    <x v="42"/>
  </r>
  <r>
    <x v="71"/>
  </r>
  <r>
    <x v="71"/>
  </r>
  <r>
    <x v="144"/>
  </r>
  <r>
    <x v="57"/>
  </r>
  <r>
    <x v="7"/>
  </r>
  <r>
    <x v="1"/>
  </r>
  <r>
    <x v="64"/>
  </r>
  <r>
    <x v="31"/>
  </r>
  <r>
    <x v="7"/>
  </r>
  <r>
    <x v="56"/>
  </r>
  <r>
    <x v="144"/>
  </r>
  <r>
    <x v="7"/>
  </r>
  <r>
    <x v="31"/>
  </r>
  <r>
    <x v="7"/>
  </r>
  <r>
    <x v="7"/>
  </r>
  <r>
    <x v="7"/>
  </r>
  <r>
    <x v="50"/>
  </r>
  <r>
    <x v="31"/>
  </r>
  <r>
    <x v="7"/>
  </r>
  <r>
    <x v="7"/>
  </r>
  <r>
    <x v="17"/>
  </r>
  <r>
    <x v="17"/>
  </r>
  <r>
    <x v="16"/>
  </r>
  <r>
    <x v="14"/>
  </r>
  <r>
    <x v="14"/>
  </r>
  <r>
    <x v="53"/>
  </r>
  <r>
    <x v="71"/>
  </r>
  <r>
    <x v="14"/>
  </r>
  <r>
    <x v="4"/>
  </r>
  <r>
    <x v="71"/>
  </r>
  <r>
    <x v="10"/>
  </r>
  <r>
    <x v="10"/>
  </r>
  <r>
    <x v="56"/>
  </r>
  <r>
    <x v="28"/>
  </r>
  <r>
    <x v="4"/>
  </r>
  <r>
    <x v="56"/>
  </r>
  <r>
    <x v="56"/>
  </r>
  <r>
    <x v="64"/>
  </r>
  <r>
    <x v="71"/>
  </r>
  <r>
    <x v="71"/>
  </r>
  <r>
    <x v="28"/>
  </r>
  <r>
    <x v="57"/>
  </r>
  <r>
    <x v="56"/>
  </r>
  <r>
    <x v="42"/>
  </r>
  <r>
    <x v="42"/>
  </r>
  <r>
    <x v="56"/>
  </r>
  <r>
    <x v="16"/>
  </r>
  <r>
    <x v="16"/>
  </r>
  <r>
    <x v="42"/>
  </r>
  <r>
    <x v="42"/>
  </r>
  <r>
    <x v="28"/>
  </r>
  <r>
    <x v="56"/>
  </r>
  <r>
    <x v="115"/>
  </r>
  <r>
    <x v="52"/>
  </r>
  <r>
    <x v="12"/>
  </r>
  <r>
    <x v="12"/>
  </r>
  <r>
    <x v="10"/>
  </r>
  <r>
    <x v="12"/>
  </r>
  <r>
    <x v="25"/>
  </r>
  <r>
    <x v="4"/>
  </r>
  <r>
    <x v="71"/>
  </r>
  <r>
    <x v="71"/>
  </r>
  <r>
    <x v="57"/>
  </r>
  <r>
    <x v="16"/>
  </r>
  <r>
    <x v="16"/>
  </r>
  <r>
    <x v="56"/>
  </r>
  <r>
    <x v="56"/>
  </r>
  <r>
    <x v="42"/>
  </r>
  <r>
    <x v="71"/>
  </r>
  <r>
    <x v="53"/>
  </r>
  <r>
    <x v="53"/>
  </r>
  <r>
    <x v="14"/>
  </r>
  <r>
    <x v="16"/>
  </r>
  <r>
    <x v="42"/>
  </r>
  <r>
    <x v="31"/>
  </r>
  <r>
    <x v="28"/>
  </r>
  <r>
    <x v="28"/>
  </r>
  <r>
    <x v="28"/>
  </r>
  <r>
    <x v="42"/>
  </r>
  <r>
    <x v="31"/>
  </r>
  <r>
    <x v="56"/>
  </r>
  <r>
    <x v="7"/>
  </r>
  <r>
    <x v="12"/>
  </r>
  <r>
    <x v="115"/>
  </r>
  <r>
    <x v="115"/>
  </r>
  <r>
    <x v="17"/>
  </r>
  <r>
    <x v="4"/>
  </r>
  <r>
    <x v="7"/>
  </r>
  <r>
    <x v="7"/>
  </r>
  <r>
    <x v="19"/>
  </r>
  <r>
    <x v="115"/>
  </r>
  <r>
    <x v="115"/>
  </r>
  <r>
    <x v="115"/>
  </r>
  <r>
    <x v="7"/>
  </r>
  <r>
    <x v="7"/>
  </r>
  <r>
    <x v="56"/>
  </r>
  <r>
    <x v="16"/>
  </r>
  <r>
    <x v="16"/>
  </r>
  <r>
    <x v="115"/>
  </r>
  <r>
    <x v="115"/>
  </r>
  <r>
    <x v="16"/>
  </r>
  <r>
    <x v="16"/>
  </r>
  <r>
    <x v="45"/>
  </r>
  <r>
    <x v="28"/>
  </r>
  <r>
    <x v="14"/>
  </r>
  <r>
    <x v="14"/>
  </r>
  <r>
    <x v="14"/>
  </r>
  <r>
    <x v="12"/>
  </r>
  <r>
    <x v="12"/>
  </r>
  <r>
    <x v="42"/>
  </r>
  <r>
    <x v="31"/>
  </r>
  <r>
    <x v="71"/>
  </r>
  <r>
    <x v="56"/>
  </r>
  <r>
    <x v="115"/>
  </r>
  <r>
    <x v="162"/>
  </r>
  <r>
    <x v="12"/>
  </r>
  <r>
    <x v="12"/>
  </r>
  <r>
    <x v="12"/>
  </r>
  <r>
    <x v="16"/>
  </r>
  <r>
    <x v="71"/>
  </r>
  <r>
    <x v="56"/>
  </r>
  <r>
    <x v="56"/>
  </r>
  <r>
    <x v="56"/>
  </r>
  <r>
    <x v="56"/>
  </r>
  <r>
    <x v="24"/>
  </r>
  <r>
    <x v="9"/>
  </r>
  <r>
    <x v="24"/>
  </r>
  <r>
    <x v="7"/>
  </r>
  <r>
    <x v="7"/>
  </r>
  <r>
    <x v="55"/>
  </r>
  <r>
    <x v="115"/>
  </r>
  <r>
    <x v="56"/>
  </r>
  <r>
    <x v="42"/>
  </r>
  <r>
    <x v="42"/>
  </r>
  <r>
    <x v="42"/>
  </r>
  <r>
    <x v="4"/>
  </r>
  <r>
    <x v="28"/>
  </r>
  <r>
    <x v="28"/>
  </r>
  <r>
    <x v="28"/>
  </r>
  <r>
    <x v="12"/>
  </r>
  <r>
    <x v="12"/>
  </r>
  <r>
    <x v="42"/>
  </r>
  <r>
    <x v="71"/>
  </r>
  <r>
    <x v="42"/>
  </r>
  <r>
    <x v="71"/>
  </r>
  <r>
    <x v="42"/>
  </r>
  <r>
    <x v="42"/>
  </r>
  <r>
    <x v="2"/>
  </r>
  <r>
    <x v="42"/>
  </r>
  <r>
    <x v="12"/>
  </r>
  <r>
    <x v="12"/>
  </r>
  <r>
    <x v="24"/>
  </r>
  <r>
    <x v="42"/>
  </r>
  <r>
    <x v="16"/>
  </r>
  <r>
    <x v="7"/>
  </r>
  <r>
    <x v="4"/>
  </r>
  <r>
    <x v="9"/>
  </r>
  <r>
    <x v="115"/>
  </r>
  <r>
    <x v="111"/>
  </r>
  <r>
    <x v="71"/>
  </r>
  <r>
    <x v="71"/>
  </r>
  <r>
    <x v="80"/>
  </r>
  <r>
    <x v="16"/>
  </r>
  <r>
    <x v="165"/>
  </r>
  <r>
    <x v="138"/>
  </r>
  <r>
    <x v="14"/>
  </r>
  <r>
    <x v="37"/>
  </r>
  <r>
    <x v="12"/>
  </r>
  <r>
    <x v="31"/>
  </r>
  <r>
    <x v="9"/>
  </r>
  <r>
    <x v="144"/>
  </r>
  <r>
    <x v="10"/>
  </r>
  <r>
    <x v="28"/>
  </r>
  <r>
    <x v="7"/>
  </r>
  <r>
    <x v="24"/>
  </r>
  <r>
    <x v="162"/>
  </r>
  <r>
    <x v="37"/>
  </r>
  <r>
    <x v="7"/>
  </r>
  <r>
    <x v="57"/>
  </r>
  <r>
    <x v="57"/>
  </r>
  <r>
    <x v="57"/>
  </r>
  <r>
    <x v="19"/>
  </r>
  <r>
    <x v="16"/>
  </r>
  <r>
    <x v="1"/>
  </r>
  <r>
    <x v="1"/>
  </r>
  <r>
    <x v="16"/>
  </r>
  <r>
    <x v="16"/>
  </r>
  <r>
    <x v="16"/>
  </r>
  <r>
    <x v="42"/>
  </r>
  <r>
    <x v="28"/>
  </r>
  <r>
    <x v="28"/>
  </r>
  <r>
    <x v="28"/>
  </r>
  <r>
    <x v="28"/>
  </r>
  <r>
    <x v="28"/>
  </r>
  <r>
    <x v="1"/>
  </r>
  <r>
    <x v="64"/>
  </r>
  <r>
    <x v="10"/>
  </r>
  <r>
    <x v="115"/>
  </r>
  <r>
    <x v="7"/>
  </r>
  <r>
    <x v="28"/>
  </r>
  <r>
    <x v="28"/>
  </r>
  <r>
    <x v="28"/>
  </r>
  <r>
    <x v="28"/>
  </r>
  <r>
    <x v="1"/>
  </r>
  <r>
    <x v="1"/>
  </r>
  <r>
    <x v="28"/>
  </r>
  <r>
    <x v="28"/>
  </r>
  <r>
    <x v="4"/>
  </r>
  <r>
    <x v="138"/>
  </r>
  <r>
    <x v="10"/>
  </r>
  <r>
    <x v="42"/>
  </r>
  <r>
    <x v="207"/>
  </r>
  <r>
    <x v="19"/>
  </r>
  <r>
    <x v="19"/>
  </r>
  <r>
    <x v="19"/>
  </r>
  <r>
    <x v="28"/>
  </r>
  <r>
    <x v="71"/>
  </r>
  <r>
    <x v="71"/>
  </r>
  <r>
    <x v="56"/>
  </r>
  <r>
    <x v="115"/>
  </r>
  <r>
    <x v="19"/>
  </r>
  <r>
    <x v="43"/>
  </r>
  <r>
    <x v="28"/>
  </r>
  <r>
    <x v="39"/>
  </r>
  <r>
    <x v="39"/>
  </r>
  <r>
    <x v="39"/>
  </r>
  <r>
    <x v="12"/>
  </r>
  <r>
    <x v="4"/>
  </r>
  <r>
    <x v="9"/>
  </r>
  <r>
    <x v="23"/>
  </r>
  <r>
    <x v="19"/>
  </r>
  <r>
    <x v="28"/>
  </r>
  <r>
    <x v="28"/>
  </r>
  <r>
    <x v="14"/>
  </r>
  <r>
    <x v="28"/>
  </r>
  <r>
    <x v="0"/>
  </r>
  <r>
    <x v="42"/>
  </r>
  <r>
    <x v="16"/>
  </r>
  <r>
    <x v="0"/>
  </r>
  <r>
    <x v="0"/>
  </r>
  <r>
    <x v="16"/>
  </r>
  <r>
    <x v="28"/>
  </r>
  <r>
    <x v="24"/>
  </r>
  <r>
    <x v="19"/>
  </r>
  <r>
    <x v="42"/>
  </r>
  <r>
    <x v="32"/>
  </r>
  <r>
    <x v="28"/>
  </r>
  <r>
    <x v="16"/>
  </r>
  <r>
    <x v="7"/>
  </r>
  <r>
    <x v="12"/>
  </r>
  <r>
    <x v="12"/>
  </r>
  <r>
    <x v="9"/>
  </r>
  <r>
    <x v="7"/>
  </r>
  <r>
    <x v="56"/>
  </r>
  <r>
    <x v="56"/>
  </r>
  <r>
    <x v="152"/>
  </r>
  <r>
    <x v="56"/>
  </r>
  <r>
    <x v="9"/>
  </r>
  <r>
    <x v="55"/>
  </r>
  <r>
    <x v="28"/>
  </r>
  <r>
    <x v="141"/>
  </r>
  <r>
    <x v="141"/>
  </r>
  <r>
    <x v="19"/>
  </r>
  <r>
    <x v="22"/>
  </r>
  <r>
    <x v="64"/>
  </r>
  <r>
    <x v="1"/>
  </r>
  <r>
    <x v="31"/>
  </r>
  <r>
    <x v="31"/>
  </r>
  <r>
    <x v="45"/>
  </r>
  <r>
    <x v="45"/>
  </r>
  <r>
    <x v="16"/>
  </r>
  <r>
    <x v="55"/>
  </r>
  <r>
    <x v="64"/>
  </r>
  <r>
    <x v="42"/>
  </r>
  <r>
    <x v="6"/>
  </r>
  <r>
    <x v="143"/>
  </r>
  <r>
    <x v="143"/>
  </r>
  <r>
    <x v="28"/>
  </r>
  <r>
    <x v="55"/>
  </r>
  <r>
    <x v="24"/>
  </r>
  <r>
    <x v="1"/>
  </r>
  <r>
    <x v="23"/>
  </r>
  <r>
    <x v="24"/>
  </r>
  <r>
    <x v="16"/>
  </r>
  <r>
    <x v="56"/>
  </r>
  <r>
    <x v="12"/>
  </r>
  <r>
    <x v="4"/>
  </r>
  <r>
    <x v="48"/>
  </r>
  <r>
    <x v="48"/>
  </r>
  <r>
    <x v="71"/>
  </r>
  <r>
    <x v="71"/>
  </r>
  <r>
    <x v="12"/>
  </r>
  <r>
    <x v="24"/>
  </r>
  <r>
    <x v="16"/>
  </r>
  <r>
    <x v="71"/>
  </r>
  <r>
    <x v="28"/>
  </r>
  <r>
    <x v="28"/>
  </r>
  <r>
    <x v="28"/>
  </r>
  <r>
    <x v="45"/>
  </r>
  <r>
    <x v="36"/>
  </r>
  <r>
    <x v="7"/>
  </r>
  <r>
    <x v="28"/>
  </r>
  <r>
    <x v="54"/>
  </r>
  <r>
    <x v="1"/>
  </r>
  <r>
    <x v="162"/>
  </r>
  <r>
    <x v="162"/>
  </r>
  <r>
    <x v="56"/>
  </r>
  <r>
    <x v="56"/>
  </r>
  <r>
    <x v="14"/>
  </r>
  <r>
    <x v="42"/>
  </r>
  <r>
    <x v="71"/>
  </r>
  <r>
    <x v="57"/>
  </r>
  <r>
    <x v="57"/>
  </r>
  <r>
    <x v="57"/>
  </r>
  <r>
    <x v="1"/>
  </r>
  <r>
    <x v="1"/>
  </r>
  <r>
    <x v="1"/>
  </r>
  <r>
    <x v="14"/>
  </r>
  <r>
    <x v="14"/>
  </r>
  <r>
    <x v="16"/>
  </r>
  <r>
    <x v="162"/>
  </r>
  <r>
    <x v="53"/>
  </r>
  <r>
    <x v="16"/>
  </r>
  <r>
    <x v="16"/>
  </r>
  <r>
    <x v="4"/>
  </r>
  <r>
    <x v="24"/>
  </r>
  <r>
    <x v="24"/>
  </r>
  <r>
    <x v="31"/>
  </r>
  <r>
    <x v="12"/>
  </r>
  <r>
    <x v="57"/>
  </r>
  <r>
    <x v="253"/>
  </r>
  <r>
    <x v="56"/>
  </r>
  <r>
    <x v="12"/>
  </r>
  <r>
    <x v="25"/>
  </r>
  <r>
    <x v="25"/>
  </r>
  <r>
    <x v="25"/>
  </r>
  <r>
    <x v="25"/>
  </r>
  <r>
    <x v="12"/>
  </r>
  <r>
    <x v="64"/>
  </r>
  <r>
    <x v="16"/>
  </r>
  <r>
    <x v="165"/>
  </r>
  <r>
    <x v="0"/>
  </r>
  <r>
    <x v="9"/>
  </r>
  <r>
    <x v="16"/>
  </r>
  <r>
    <x v="16"/>
  </r>
  <r>
    <x v="16"/>
  </r>
  <r>
    <x v="16"/>
  </r>
  <r>
    <x v="4"/>
  </r>
  <r>
    <x v="24"/>
  </r>
  <r>
    <x v="42"/>
  </r>
  <r>
    <x v="2"/>
  </r>
  <r>
    <x v="56"/>
  </r>
  <r>
    <x v="55"/>
  </r>
  <r>
    <x v="104"/>
  </r>
  <r>
    <x v="265"/>
  </r>
  <r>
    <x v="28"/>
  </r>
  <r>
    <x v="28"/>
  </r>
  <r>
    <x v="28"/>
  </r>
  <r>
    <x v="28"/>
  </r>
  <r>
    <x v="12"/>
  </r>
  <r>
    <x v="56"/>
  </r>
  <r>
    <x v="24"/>
  </r>
  <r>
    <x v="14"/>
  </r>
  <r>
    <x v="141"/>
  </r>
  <r>
    <x v="12"/>
  </r>
  <r>
    <x v="24"/>
  </r>
  <r>
    <x v="1"/>
  </r>
  <r>
    <x v="4"/>
  </r>
  <r>
    <x v="115"/>
  </r>
  <r>
    <x v="14"/>
  </r>
  <r>
    <x v="0"/>
  </r>
  <r>
    <x v="2"/>
  </r>
  <r>
    <x v="179"/>
  </r>
  <r>
    <x v="179"/>
  </r>
  <r>
    <x v="7"/>
  </r>
  <r>
    <x v="57"/>
  </r>
  <r>
    <x v="42"/>
  </r>
  <r>
    <x v="42"/>
  </r>
  <r>
    <x v="71"/>
  </r>
  <r>
    <x v="0"/>
  </r>
  <r>
    <x v="71"/>
  </r>
  <r>
    <x v="53"/>
  </r>
  <r>
    <x v="14"/>
  </r>
  <r>
    <x v="162"/>
  </r>
  <r>
    <x v="53"/>
  </r>
  <r>
    <x v="115"/>
  </r>
  <r>
    <x v="115"/>
  </r>
  <r>
    <x v="143"/>
  </r>
  <r>
    <x v="42"/>
  </r>
  <r>
    <x v="14"/>
  </r>
  <r>
    <x v="16"/>
  </r>
  <r>
    <x v="16"/>
  </r>
  <r>
    <x v="53"/>
  </r>
  <r>
    <x v="53"/>
  </r>
  <r>
    <x v="42"/>
  </r>
  <r>
    <x v="14"/>
  </r>
  <r>
    <x v="12"/>
  </r>
  <r>
    <x v="12"/>
  </r>
  <r>
    <x v="16"/>
  </r>
  <r>
    <x v="16"/>
  </r>
  <r>
    <x v="42"/>
  </r>
  <r>
    <x v="71"/>
  </r>
  <r>
    <x v="263"/>
  </r>
  <r>
    <x v="12"/>
  </r>
  <r>
    <x v="2"/>
  </r>
  <r>
    <x v="31"/>
  </r>
  <r>
    <x v="31"/>
  </r>
  <r>
    <x v="31"/>
  </r>
  <r>
    <x v="31"/>
  </r>
  <r>
    <x v="31"/>
  </r>
  <r>
    <x v="16"/>
  </r>
  <r>
    <x v="42"/>
  </r>
  <r>
    <x v="115"/>
  </r>
  <r>
    <x v="86"/>
  </r>
  <r>
    <x v="115"/>
  </r>
  <r>
    <x v="53"/>
  </r>
  <r>
    <x v="162"/>
  </r>
  <r>
    <x v="152"/>
  </r>
  <r>
    <x v="4"/>
  </r>
  <r>
    <x v="123"/>
  </r>
  <r>
    <x v="31"/>
  </r>
  <r>
    <x v="81"/>
  </r>
  <r>
    <x v="12"/>
  </r>
  <r>
    <x v="12"/>
  </r>
  <r>
    <x v="115"/>
  </r>
  <r>
    <x v="71"/>
  </r>
  <r>
    <x v="71"/>
  </r>
  <r>
    <x v="1"/>
  </r>
  <r>
    <x v="24"/>
  </r>
  <r>
    <x v="42"/>
  </r>
  <r>
    <x v="42"/>
  </r>
  <r>
    <x v="24"/>
  </r>
  <r>
    <x v="24"/>
  </r>
  <r>
    <x v="24"/>
  </r>
  <r>
    <x v="24"/>
  </r>
  <r>
    <x v="24"/>
  </r>
  <r>
    <x v="19"/>
  </r>
  <r>
    <x v="24"/>
  </r>
  <r>
    <x v="12"/>
  </r>
  <r>
    <x v="12"/>
  </r>
  <r>
    <x v="31"/>
  </r>
  <r>
    <x v="75"/>
  </r>
  <r>
    <x v="91"/>
  </r>
  <r>
    <x v="56"/>
  </r>
  <r>
    <x v="56"/>
  </r>
  <r>
    <x v="56"/>
  </r>
  <r>
    <x v="89"/>
  </r>
  <r>
    <x v="0"/>
  </r>
  <r>
    <x v="64"/>
  </r>
  <r>
    <x v="31"/>
  </r>
  <r>
    <x v="31"/>
  </r>
  <r>
    <x v="31"/>
  </r>
  <r>
    <x v="24"/>
  </r>
  <r>
    <x v="71"/>
  </r>
  <r>
    <x v="14"/>
  </r>
  <r>
    <x v="43"/>
  </r>
  <r>
    <x v="4"/>
  </r>
  <r>
    <x v="42"/>
  </r>
  <r>
    <x v="174"/>
  </r>
  <r>
    <x v="42"/>
  </r>
  <r>
    <x v="162"/>
  </r>
  <r>
    <x v="181"/>
  </r>
  <r>
    <x v="31"/>
  </r>
  <r>
    <x v="71"/>
  </r>
  <r>
    <x v="45"/>
  </r>
  <r>
    <x v="0"/>
  </r>
  <r>
    <x v="16"/>
  </r>
  <r>
    <x v="16"/>
  </r>
  <r>
    <x v="16"/>
  </r>
  <r>
    <x v="4"/>
  </r>
  <r>
    <x v="0"/>
  </r>
  <r>
    <x v="2"/>
  </r>
  <r>
    <x v="2"/>
  </r>
  <r>
    <x v="57"/>
  </r>
  <r>
    <x v="71"/>
  </r>
  <r>
    <x v="162"/>
  </r>
  <r>
    <x v="7"/>
  </r>
  <r>
    <x v="6"/>
  </r>
  <r>
    <x v="4"/>
  </r>
  <r>
    <x v="12"/>
  </r>
  <r>
    <x v="12"/>
  </r>
  <r>
    <x v="0"/>
  </r>
  <r>
    <x v="56"/>
  </r>
  <r>
    <x v="14"/>
  </r>
  <r>
    <x v="56"/>
  </r>
  <r>
    <x v="144"/>
  </r>
  <r>
    <x v="12"/>
  </r>
  <r>
    <x v="144"/>
  </r>
  <r>
    <x v="56"/>
  </r>
  <r>
    <x v="144"/>
  </r>
  <r>
    <x v="2"/>
  </r>
  <r>
    <x v="43"/>
  </r>
  <r>
    <x v="12"/>
  </r>
  <r>
    <x v="12"/>
  </r>
  <r>
    <x v="1"/>
  </r>
  <r>
    <x v="1"/>
  </r>
  <r>
    <x v="1"/>
  </r>
  <r>
    <x v="1"/>
  </r>
  <r>
    <x v="31"/>
  </r>
  <r>
    <x v="24"/>
  </r>
  <r>
    <x v="14"/>
  </r>
  <r>
    <x v="144"/>
  </r>
  <r>
    <x v="56"/>
  </r>
  <r>
    <x v="51"/>
  </r>
  <r>
    <x v="48"/>
  </r>
  <r>
    <x v="24"/>
  </r>
  <r>
    <x v="16"/>
  </r>
  <r>
    <x v="1"/>
  </r>
  <r>
    <x v="0"/>
  </r>
  <r>
    <x v="56"/>
  </r>
  <r>
    <x v="141"/>
  </r>
  <r>
    <x v="141"/>
  </r>
  <r>
    <x v="71"/>
  </r>
  <r>
    <x v="10"/>
  </r>
  <r>
    <x v="10"/>
  </r>
  <r>
    <x v="14"/>
  </r>
  <r>
    <x v="64"/>
  </r>
  <r>
    <x v="48"/>
  </r>
  <r>
    <x v="12"/>
  </r>
  <r>
    <x v="7"/>
  </r>
  <r>
    <x v="56"/>
  </r>
  <r>
    <x v="87"/>
  </r>
  <r>
    <x v="141"/>
  </r>
  <r>
    <x v="42"/>
  </r>
  <r>
    <x v="0"/>
  </r>
  <r>
    <x v="12"/>
  </r>
  <r>
    <x v="47"/>
  </r>
  <r>
    <x v="12"/>
  </r>
  <r>
    <x v="4"/>
  </r>
  <r>
    <x v="21"/>
  </r>
  <r>
    <x v="12"/>
  </r>
  <r>
    <x v="42"/>
  </r>
  <r>
    <x v="24"/>
  </r>
  <r>
    <x v="24"/>
  </r>
  <r>
    <x v="112"/>
  </r>
  <r>
    <x v="138"/>
  </r>
  <r>
    <x v="138"/>
  </r>
  <r>
    <x v="19"/>
  </r>
  <r>
    <x v="10"/>
  </r>
  <r>
    <x v="123"/>
  </r>
  <r>
    <x v="122"/>
  </r>
  <r>
    <x v="42"/>
  </r>
  <r>
    <x v="36"/>
  </r>
  <r>
    <x v="93"/>
  </r>
  <r>
    <x v="87"/>
  </r>
  <r>
    <x v="42"/>
  </r>
  <r>
    <x v="42"/>
  </r>
  <r>
    <x v="42"/>
  </r>
  <r>
    <x v="42"/>
  </r>
  <r>
    <x v="10"/>
  </r>
  <r>
    <x v="10"/>
  </r>
  <r>
    <x v="10"/>
  </r>
  <r>
    <x v="28"/>
  </r>
  <r>
    <x v="6"/>
  </r>
  <r>
    <x v="12"/>
  </r>
  <r>
    <x v="48"/>
  </r>
  <r>
    <x v="14"/>
  </r>
  <r>
    <x v="141"/>
  </r>
  <r>
    <x v="10"/>
  </r>
  <r>
    <x v="12"/>
  </r>
  <r>
    <x v="29"/>
  </r>
  <r>
    <x v="16"/>
  </r>
  <r>
    <x v="12"/>
  </r>
  <r>
    <x v="14"/>
  </r>
  <r>
    <x v="14"/>
  </r>
  <r>
    <x v="14"/>
  </r>
  <r>
    <x v="162"/>
  </r>
  <r>
    <x v="77"/>
  </r>
  <r>
    <x v="4"/>
  </r>
  <r>
    <x v="48"/>
  </r>
  <r>
    <x v="12"/>
  </r>
  <r>
    <x v="10"/>
  </r>
  <r>
    <x v="123"/>
  </r>
  <r>
    <x v="12"/>
  </r>
  <r>
    <x v="57"/>
  </r>
  <r>
    <x v="36"/>
  </r>
  <r>
    <x v="36"/>
  </r>
  <r>
    <x v="36"/>
  </r>
  <r>
    <x v="123"/>
  </r>
  <r>
    <x v="180"/>
  </r>
  <r>
    <x v="180"/>
  </r>
  <r>
    <x v="180"/>
  </r>
  <r>
    <x v="123"/>
  </r>
  <r>
    <x v="123"/>
  </r>
  <r>
    <x v="126"/>
  </r>
  <r>
    <x v="126"/>
  </r>
  <r>
    <x v="7"/>
  </r>
  <r>
    <x v="7"/>
  </r>
  <r>
    <x v="7"/>
  </r>
  <r>
    <x v="1"/>
  </r>
  <r>
    <x v="123"/>
  </r>
  <r>
    <x v="28"/>
  </r>
  <r>
    <x v="28"/>
  </r>
  <r>
    <x v="33"/>
  </r>
  <r>
    <x v="78"/>
  </r>
  <r>
    <x v="80"/>
  </r>
  <r>
    <x v="16"/>
  </r>
  <r>
    <x v="21"/>
  </r>
  <r>
    <x v="72"/>
  </r>
  <r>
    <x v="10"/>
  </r>
  <r>
    <x v="10"/>
  </r>
  <r>
    <x v="10"/>
  </r>
  <r>
    <x v="102"/>
  </r>
  <r>
    <x v="102"/>
  </r>
  <r>
    <x v="102"/>
  </r>
  <r>
    <x v="56"/>
  </r>
  <r>
    <x v="7"/>
  </r>
  <r>
    <x v="12"/>
  </r>
  <r>
    <x v="165"/>
  </r>
  <r>
    <x v="53"/>
  </r>
  <r>
    <x v="7"/>
  </r>
  <r>
    <x v="123"/>
  </r>
  <r>
    <x v="25"/>
  </r>
  <r>
    <x v="25"/>
  </r>
  <r>
    <x v="136"/>
  </r>
  <r>
    <x v="0"/>
  </r>
  <r>
    <x v="4"/>
  </r>
  <r>
    <x v="4"/>
  </r>
  <r>
    <x v="53"/>
  </r>
  <r>
    <x v="4"/>
  </r>
  <r>
    <x v="4"/>
  </r>
  <r>
    <x v="4"/>
  </r>
  <r>
    <x v="57"/>
  </r>
  <r>
    <x v="56"/>
  </r>
  <r>
    <x v="42"/>
  </r>
  <r>
    <x v="28"/>
  </r>
  <r>
    <x v="0"/>
  </r>
  <r>
    <x v="144"/>
  </r>
  <r>
    <x v="10"/>
  </r>
  <r>
    <x v="138"/>
  </r>
  <r>
    <x v="10"/>
  </r>
  <r>
    <x v="4"/>
  </r>
  <r>
    <x v="4"/>
  </r>
  <r>
    <x v="79"/>
  </r>
  <r>
    <x v="9"/>
  </r>
  <r>
    <x v="24"/>
  </r>
  <r>
    <x v="14"/>
  </r>
  <r>
    <x v="69"/>
  </r>
  <r>
    <x v="4"/>
  </r>
  <r>
    <x v="9"/>
  </r>
  <r>
    <x v="4"/>
  </r>
  <r>
    <x v="12"/>
  </r>
  <r>
    <x v="7"/>
  </r>
  <r>
    <x v="7"/>
  </r>
  <r>
    <x v="17"/>
  </r>
  <r>
    <x v="42"/>
  </r>
  <r>
    <x v="28"/>
  </r>
  <r>
    <x v="12"/>
  </r>
  <r>
    <x v="7"/>
  </r>
  <r>
    <x v="12"/>
  </r>
  <r>
    <x v="12"/>
  </r>
  <r>
    <x v="28"/>
  </r>
  <r>
    <x v="14"/>
  </r>
  <r>
    <x v="79"/>
  </r>
  <r>
    <x v="79"/>
  </r>
  <r>
    <x v="42"/>
  </r>
  <r>
    <x v="42"/>
  </r>
  <r>
    <x v="53"/>
  </r>
  <r>
    <x v="21"/>
  </r>
  <r>
    <x v="79"/>
  </r>
  <r>
    <x v="12"/>
  </r>
  <r>
    <x v="79"/>
  </r>
  <r>
    <x v="0"/>
  </r>
  <r>
    <x v="14"/>
  </r>
  <r>
    <x v="7"/>
  </r>
  <r>
    <x v="14"/>
  </r>
  <r>
    <x v="0"/>
  </r>
  <r>
    <x v="0"/>
  </r>
  <r>
    <x v="0"/>
  </r>
  <r>
    <x v="10"/>
  </r>
  <r>
    <x v="7"/>
  </r>
  <r>
    <x v="42"/>
  </r>
  <r>
    <x v="7"/>
  </r>
  <r>
    <x v="4"/>
  </r>
  <r>
    <x v="42"/>
  </r>
  <r>
    <x v="42"/>
  </r>
  <r>
    <x v="42"/>
  </r>
  <r>
    <x v="42"/>
  </r>
  <r>
    <x v="4"/>
  </r>
  <r>
    <x v="28"/>
  </r>
  <r>
    <x v="28"/>
  </r>
  <r>
    <x v="28"/>
  </r>
  <r>
    <x v="8"/>
  </r>
  <r>
    <x v="0"/>
  </r>
  <r>
    <x v="0"/>
  </r>
  <r>
    <x v="19"/>
  </r>
  <r>
    <x v="0"/>
  </r>
  <r>
    <x v="0"/>
  </r>
  <r>
    <x v="42"/>
  </r>
  <r>
    <x v="14"/>
  </r>
  <r>
    <x v="10"/>
  </r>
  <r>
    <x v="42"/>
  </r>
  <r>
    <x v="11"/>
  </r>
  <r>
    <x v="14"/>
  </r>
  <r>
    <x v="12"/>
  </r>
  <r>
    <x v="0"/>
  </r>
  <r>
    <x v="6"/>
  </r>
  <r>
    <x v="53"/>
  </r>
  <r>
    <x v="53"/>
  </r>
  <r>
    <x v="53"/>
  </r>
  <r>
    <x v="12"/>
  </r>
  <r>
    <x v="37"/>
  </r>
  <r>
    <x v="9"/>
  </r>
  <r>
    <x v="79"/>
  </r>
  <r>
    <x v="53"/>
  </r>
  <r>
    <x v="7"/>
  </r>
  <r>
    <x v="144"/>
  </r>
  <r>
    <x v="1"/>
  </r>
  <r>
    <x v="7"/>
  </r>
  <r>
    <x v="7"/>
  </r>
  <r>
    <x v="7"/>
  </r>
  <r>
    <x v="0"/>
  </r>
  <r>
    <x v="0"/>
  </r>
  <r>
    <x v="14"/>
  </r>
  <r>
    <x v="0"/>
  </r>
  <r>
    <x v="14"/>
  </r>
  <r>
    <x v="4"/>
  </r>
  <r>
    <x v="4"/>
  </r>
  <r>
    <x v="4"/>
  </r>
  <r>
    <x v="4"/>
  </r>
  <r>
    <x v="55"/>
  </r>
  <r>
    <x v="42"/>
  </r>
  <r>
    <x v="115"/>
  </r>
  <r>
    <x v="115"/>
  </r>
  <r>
    <x v="115"/>
  </r>
  <r>
    <x v="115"/>
  </r>
  <r>
    <x v="115"/>
  </r>
  <r>
    <x v="115"/>
  </r>
  <r>
    <x v="130"/>
  </r>
  <r>
    <x v="6"/>
  </r>
  <r>
    <x v="11"/>
  </r>
  <r>
    <x v="21"/>
  </r>
  <r>
    <x v="21"/>
  </r>
  <r>
    <x v="10"/>
  </r>
  <r>
    <x v="115"/>
  </r>
  <r>
    <x v="10"/>
  </r>
  <r>
    <x v="72"/>
  </r>
  <r>
    <x v="72"/>
  </r>
  <r>
    <x v="3"/>
  </r>
  <r>
    <x v="22"/>
  </r>
  <r>
    <x v="9"/>
  </r>
  <r>
    <x v="16"/>
  </r>
  <r>
    <x v="9"/>
  </r>
  <r>
    <x v="2"/>
  </r>
  <r>
    <x v="53"/>
  </r>
  <r>
    <x v="53"/>
  </r>
  <r>
    <x v="42"/>
  </r>
  <r>
    <x v="53"/>
  </r>
  <r>
    <x v="37"/>
  </r>
  <r>
    <x v="37"/>
  </r>
  <r>
    <x v="1"/>
  </r>
  <r>
    <x v="0"/>
  </r>
  <r>
    <x v="0"/>
  </r>
  <r>
    <x v="42"/>
  </r>
  <r>
    <x v="0"/>
  </r>
  <r>
    <x v="42"/>
  </r>
  <r>
    <x v="14"/>
  </r>
  <r>
    <x v="0"/>
  </r>
  <r>
    <x v="4"/>
  </r>
  <r>
    <x v="9"/>
  </r>
  <r>
    <x v="9"/>
  </r>
  <r>
    <x v="4"/>
  </r>
  <r>
    <x v="14"/>
  </r>
  <r>
    <x v="14"/>
  </r>
  <r>
    <x v="8"/>
  </r>
  <r>
    <x v="53"/>
  </r>
  <r>
    <x v="53"/>
  </r>
  <r>
    <x v="14"/>
  </r>
  <r>
    <x v="12"/>
  </r>
  <r>
    <x v="42"/>
  </r>
  <r>
    <x v="4"/>
  </r>
  <r>
    <x v="53"/>
  </r>
  <r>
    <x v="53"/>
  </r>
  <r>
    <x v="10"/>
  </r>
  <r>
    <x v="10"/>
  </r>
  <r>
    <x v="10"/>
  </r>
  <r>
    <x v="1"/>
  </r>
  <r>
    <x v="64"/>
  </r>
  <r>
    <x v="64"/>
  </r>
  <r>
    <x v="7"/>
  </r>
  <r>
    <x v="9"/>
  </r>
  <r>
    <x v="9"/>
  </r>
  <r>
    <x v="37"/>
  </r>
  <r>
    <x v="8"/>
  </r>
  <r>
    <x v="135"/>
  </r>
  <r>
    <x v="7"/>
  </r>
  <r>
    <x v="7"/>
  </r>
  <r>
    <x v="7"/>
  </r>
  <r>
    <x v="7"/>
  </r>
  <r>
    <x v="10"/>
  </r>
  <r>
    <x v="42"/>
  </r>
  <r>
    <x v="123"/>
  </r>
  <r>
    <x v="123"/>
  </r>
  <r>
    <x v="123"/>
  </r>
  <r>
    <x v="123"/>
  </r>
  <r>
    <x v="123"/>
  </r>
  <r>
    <x v="123"/>
  </r>
  <r>
    <x v="123"/>
  </r>
  <r>
    <x v="28"/>
  </r>
  <r>
    <x v="28"/>
  </r>
  <r>
    <x v="28"/>
  </r>
  <r>
    <x v="64"/>
  </r>
  <r>
    <x v="4"/>
  </r>
  <r>
    <x v="9"/>
  </r>
  <r>
    <x v="45"/>
  </r>
  <r>
    <x v="45"/>
  </r>
  <r>
    <x v="46"/>
  </r>
  <r>
    <x v="0"/>
  </r>
  <r>
    <x v="14"/>
  </r>
  <r>
    <x v="144"/>
  </r>
  <r>
    <x v="144"/>
  </r>
  <r>
    <x v="42"/>
  </r>
  <r>
    <x v="45"/>
  </r>
  <r>
    <x v="42"/>
  </r>
  <r>
    <x v="144"/>
  </r>
  <r>
    <x v="27"/>
  </r>
  <r>
    <x v="64"/>
  </r>
  <r>
    <x v="28"/>
  </r>
  <r>
    <x v="0"/>
  </r>
  <r>
    <x v="28"/>
  </r>
  <r>
    <x v="9"/>
  </r>
  <r>
    <x v="2"/>
  </r>
  <r>
    <x v="37"/>
  </r>
  <r>
    <x v="37"/>
  </r>
  <r>
    <x v="0"/>
  </r>
  <r>
    <x v="0"/>
  </r>
  <r>
    <x v="78"/>
  </r>
  <r>
    <x v="64"/>
  </r>
  <r>
    <x v="64"/>
  </r>
  <r>
    <x v="0"/>
  </r>
  <r>
    <x v="0"/>
  </r>
  <r>
    <x v="0"/>
  </r>
  <r>
    <x v="42"/>
  </r>
  <r>
    <x v="7"/>
  </r>
  <r>
    <x v="28"/>
  </r>
  <r>
    <x v="14"/>
  </r>
  <r>
    <x v="79"/>
  </r>
  <r>
    <x v="28"/>
  </r>
  <r>
    <x v="14"/>
  </r>
  <r>
    <x v="14"/>
  </r>
  <r>
    <x v="4"/>
  </r>
  <r>
    <x v="79"/>
  </r>
  <r>
    <x v="19"/>
  </r>
  <r>
    <x v="19"/>
  </r>
  <r>
    <x v="2"/>
  </r>
  <r>
    <x v="7"/>
  </r>
  <r>
    <x v="14"/>
  </r>
  <r>
    <x v="45"/>
  </r>
  <r>
    <x v="0"/>
  </r>
  <r>
    <x v="12"/>
  </r>
  <r>
    <x v="0"/>
  </r>
  <r>
    <x v="0"/>
  </r>
  <r>
    <x v="0"/>
  </r>
  <r>
    <x v="7"/>
  </r>
  <r>
    <x v="64"/>
  </r>
  <r>
    <x v="64"/>
  </r>
  <r>
    <x v="12"/>
  </r>
  <r>
    <x v="7"/>
  </r>
  <r>
    <x v="71"/>
  </r>
  <r>
    <x v="0"/>
  </r>
  <r>
    <x v="4"/>
  </r>
  <r>
    <x v="71"/>
  </r>
  <r>
    <x v="71"/>
  </r>
  <r>
    <x v="130"/>
  </r>
  <r>
    <x v="14"/>
  </r>
  <r>
    <x v="14"/>
  </r>
  <r>
    <x v="14"/>
  </r>
  <r>
    <x v="14"/>
  </r>
  <r>
    <x v="71"/>
  </r>
  <r>
    <x v="71"/>
  </r>
  <r>
    <x v="71"/>
  </r>
  <r>
    <x v="0"/>
  </r>
  <r>
    <x v="7"/>
  </r>
  <r>
    <x v="79"/>
  </r>
  <r>
    <x v="71"/>
  </r>
  <r>
    <x v="71"/>
  </r>
  <r>
    <x v="71"/>
  </r>
  <r>
    <x v="11"/>
  </r>
  <r>
    <x v="11"/>
  </r>
  <r>
    <x v="9"/>
  </r>
  <r>
    <x v="16"/>
  </r>
  <r>
    <x v="10"/>
  </r>
  <r>
    <x v="10"/>
  </r>
  <r>
    <x v="10"/>
  </r>
  <r>
    <x v="150"/>
  </r>
  <r>
    <x v="7"/>
  </r>
  <r>
    <x v="4"/>
  </r>
  <r>
    <x v="7"/>
  </r>
  <r>
    <x v="7"/>
  </r>
  <r>
    <x v="71"/>
  </r>
  <r>
    <x v="9"/>
  </r>
  <r>
    <x v="14"/>
  </r>
  <r>
    <x v="42"/>
  </r>
  <r>
    <x v="45"/>
  </r>
  <r>
    <x v="71"/>
  </r>
  <r>
    <x v="71"/>
  </r>
  <r>
    <x v="71"/>
  </r>
  <r>
    <x v="71"/>
  </r>
  <r>
    <x v="71"/>
  </r>
  <r>
    <x v="71"/>
  </r>
  <r>
    <x v="6"/>
  </r>
  <r>
    <x v="71"/>
  </r>
  <r>
    <x v="6"/>
  </r>
  <r>
    <x v="14"/>
  </r>
  <r>
    <x v="6"/>
  </r>
  <r>
    <x v="28"/>
  </r>
  <r>
    <x v="12"/>
  </r>
  <r>
    <x v="150"/>
  </r>
  <r>
    <x v="7"/>
  </r>
  <r>
    <x v="0"/>
  </r>
  <r>
    <x v="9"/>
  </r>
  <r>
    <x v="9"/>
  </r>
  <r>
    <x v="9"/>
  </r>
  <r>
    <x v="71"/>
  </r>
  <r>
    <x v="71"/>
  </r>
  <r>
    <x v="130"/>
  </r>
  <r>
    <x v="71"/>
  </r>
  <r>
    <x v="53"/>
  </r>
  <r>
    <x v="53"/>
  </r>
  <r>
    <x v="71"/>
  </r>
  <r>
    <x v="71"/>
  </r>
  <r>
    <x v="64"/>
  </r>
  <r>
    <x v="2"/>
  </r>
  <r>
    <x v="45"/>
  </r>
  <r>
    <x v="6"/>
  </r>
  <r>
    <x v="14"/>
  </r>
  <r>
    <x v="56"/>
  </r>
  <r>
    <x v="12"/>
  </r>
  <r>
    <x v="79"/>
  </r>
  <r>
    <x v="79"/>
  </r>
  <r>
    <x v="57"/>
  </r>
  <r>
    <x v="71"/>
  </r>
  <r>
    <x v="71"/>
  </r>
  <r>
    <x v="71"/>
  </r>
  <r>
    <x v="71"/>
  </r>
  <r>
    <x v="12"/>
  </r>
  <r>
    <x v="130"/>
  </r>
  <r>
    <x v="8"/>
  </r>
  <r>
    <x v="71"/>
  </r>
  <r>
    <x v="12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56"/>
  </r>
  <r>
    <x v="56"/>
  </r>
  <r>
    <x v="7"/>
  </r>
  <r>
    <x v="71"/>
  </r>
  <r>
    <x v="4"/>
  </r>
  <r>
    <x v="9"/>
  </r>
  <r>
    <x v="9"/>
  </r>
  <r>
    <x v="9"/>
  </r>
  <r>
    <x v="162"/>
  </r>
  <r>
    <x v="14"/>
  </r>
  <r>
    <x v="9"/>
  </r>
  <r>
    <x v="9"/>
  </r>
  <r>
    <x v="162"/>
  </r>
  <r>
    <x v="162"/>
  </r>
  <r>
    <x v="14"/>
  </r>
  <r>
    <x v="22"/>
  </r>
  <r>
    <x v="56"/>
  </r>
  <r>
    <x v="0"/>
  </r>
  <r>
    <x v="0"/>
  </r>
  <r>
    <x v="0"/>
  </r>
  <r>
    <x v="56"/>
  </r>
  <r>
    <x v="71"/>
  </r>
  <r>
    <x v="56"/>
  </r>
  <r>
    <x v="56"/>
  </r>
  <r>
    <x v="56"/>
  </r>
  <r>
    <x v="56"/>
  </r>
  <r>
    <x v="56"/>
  </r>
  <r>
    <x v="16"/>
  </r>
  <r>
    <x v="56"/>
  </r>
  <r>
    <x v="22"/>
  </r>
  <r>
    <x v="22"/>
  </r>
  <r>
    <x v="22"/>
  </r>
  <r>
    <x v="56"/>
  </r>
  <r>
    <x v="56"/>
  </r>
  <r>
    <x v="19"/>
  </r>
  <r>
    <x v="84"/>
  </r>
  <r>
    <x v="9"/>
  </r>
  <r>
    <x v="4"/>
  </r>
  <r>
    <x v="4"/>
  </r>
  <r>
    <x v="28"/>
  </r>
  <r>
    <x v="89"/>
  </r>
  <r>
    <x v="63"/>
  </r>
  <r>
    <x v="28"/>
  </r>
  <r>
    <x v="10"/>
  </r>
  <r>
    <x v="19"/>
  </r>
  <r>
    <x v="19"/>
  </r>
  <r>
    <x v="4"/>
  </r>
  <r>
    <x v="10"/>
  </r>
  <r>
    <x v="152"/>
  </r>
  <r>
    <x v="28"/>
  </r>
  <r>
    <x v="19"/>
  </r>
  <r>
    <x v="16"/>
  </r>
  <r>
    <x v="16"/>
  </r>
  <r>
    <x v="19"/>
  </r>
  <r>
    <x v="19"/>
  </r>
  <r>
    <x v="28"/>
  </r>
  <r>
    <x v="28"/>
  </r>
  <r>
    <x v="28"/>
  </r>
  <r>
    <x v="28"/>
  </r>
  <r>
    <x v="28"/>
  </r>
  <r>
    <x v="11"/>
  </r>
  <r>
    <x v="19"/>
  </r>
  <r>
    <x v="79"/>
  </r>
  <r>
    <x v="79"/>
  </r>
  <r>
    <x v="19"/>
  </r>
  <r>
    <x v="9"/>
  </r>
  <r>
    <x v="9"/>
  </r>
  <r>
    <x v="79"/>
  </r>
  <r>
    <x v="28"/>
  </r>
  <r>
    <x v="28"/>
  </r>
  <r>
    <x v="28"/>
  </r>
  <r>
    <x v="87"/>
  </r>
  <r>
    <x v="12"/>
  </r>
  <r>
    <x v="27"/>
  </r>
  <r>
    <x v="32"/>
  </r>
  <r>
    <x v="32"/>
  </r>
  <r>
    <x v="22"/>
  </r>
  <r>
    <x v="4"/>
  </r>
  <r>
    <x v="4"/>
  </r>
  <r>
    <x v="37"/>
  </r>
  <r>
    <x v="20"/>
  </r>
  <r>
    <x v="20"/>
  </r>
  <r>
    <x v="11"/>
  </r>
  <r>
    <x v="7"/>
  </r>
  <r>
    <x v="33"/>
  </r>
  <r>
    <x v="33"/>
  </r>
  <r>
    <x v="10"/>
  </r>
  <r>
    <x v="43"/>
  </r>
  <r>
    <x v="14"/>
  </r>
  <r>
    <x v="28"/>
  </r>
  <r>
    <x v="89"/>
  </r>
  <r>
    <x v="12"/>
  </r>
  <r>
    <x v="2"/>
  </r>
  <r>
    <x v="4"/>
  </r>
  <r>
    <x v="3"/>
  </r>
  <r>
    <x v="45"/>
  </r>
  <r>
    <x v="4"/>
  </r>
  <r>
    <x v="4"/>
  </r>
  <r>
    <x v="71"/>
  </r>
  <r>
    <x v="29"/>
  </r>
  <r>
    <x v="29"/>
  </r>
  <r>
    <x v="71"/>
  </r>
  <r>
    <x v="63"/>
  </r>
  <r>
    <x v="22"/>
  </r>
  <r>
    <x v="29"/>
  </r>
  <r>
    <x v="10"/>
  </r>
  <r>
    <x v="71"/>
  </r>
  <r>
    <x v="59"/>
  </r>
  <r>
    <x v="25"/>
  </r>
  <r>
    <x v="14"/>
  </r>
  <r>
    <x v="16"/>
  </r>
  <r>
    <x v="10"/>
  </r>
  <r>
    <x v="4"/>
  </r>
  <r>
    <x v="16"/>
  </r>
  <r>
    <x v="9"/>
  </r>
  <r>
    <x v="79"/>
  </r>
  <r>
    <x v="79"/>
  </r>
  <r>
    <x v="79"/>
  </r>
  <r>
    <x v="12"/>
  </r>
  <r>
    <x v="4"/>
  </r>
  <r>
    <x v="9"/>
  </r>
  <r>
    <x v="9"/>
  </r>
  <r>
    <x v="9"/>
  </r>
  <r>
    <x v="9"/>
  </r>
  <r>
    <x v="19"/>
  </r>
  <r>
    <x v="23"/>
  </r>
  <r>
    <x v="53"/>
  </r>
  <r>
    <x v="28"/>
  </r>
  <r>
    <x v="28"/>
  </r>
  <r>
    <x v="20"/>
  </r>
  <r>
    <x v="53"/>
  </r>
  <r>
    <x v="57"/>
  </r>
  <r>
    <x v="10"/>
  </r>
  <r>
    <x v="10"/>
  </r>
  <r>
    <x v="10"/>
  </r>
  <r>
    <x v="9"/>
  </r>
  <r>
    <x v="9"/>
  </r>
  <r>
    <x v="9"/>
  </r>
  <r>
    <x v="20"/>
  </r>
  <r>
    <x v="53"/>
  </r>
  <r>
    <x v="48"/>
  </r>
  <r>
    <x v="20"/>
  </r>
  <r>
    <x v="20"/>
  </r>
  <r>
    <x v="53"/>
  </r>
  <r>
    <x v="53"/>
  </r>
  <r>
    <x v="79"/>
  </r>
  <r>
    <x v="14"/>
  </r>
  <r>
    <x v="76"/>
  </r>
  <r>
    <x v="42"/>
  </r>
  <r>
    <x v="16"/>
  </r>
  <r>
    <x v="14"/>
  </r>
  <r>
    <x v="20"/>
  </r>
  <r>
    <x v="20"/>
  </r>
  <r>
    <x v="53"/>
  </r>
  <r>
    <x v="53"/>
  </r>
  <r>
    <x v="53"/>
  </r>
  <r>
    <x v="53"/>
  </r>
  <r>
    <x v="71"/>
  </r>
  <r>
    <x v="71"/>
  </r>
  <r>
    <x v="79"/>
  </r>
  <r>
    <x v="53"/>
  </r>
  <r>
    <x v="53"/>
  </r>
  <r>
    <x v="53"/>
  </r>
  <r>
    <x v="4"/>
  </r>
  <r>
    <x v="9"/>
  </r>
  <r>
    <x v="84"/>
  </r>
  <r>
    <x v="84"/>
  </r>
  <r>
    <x v="4"/>
  </r>
  <r>
    <x v="4"/>
  </r>
  <r>
    <x v="17"/>
  </r>
  <r>
    <x v="16"/>
  </r>
  <r>
    <x v="71"/>
  </r>
  <r>
    <x v="294"/>
  </r>
  <r>
    <x v="14"/>
  </r>
  <r>
    <x v="14"/>
  </r>
  <r>
    <x v="14"/>
  </r>
  <r>
    <x v="14"/>
  </r>
  <r>
    <x v="11"/>
  </r>
  <r>
    <x v="71"/>
  </r>
  <r>
    <x v="14"/>
  </r>
  <r>
    <x v="53"/>
  </r>
  <r>
    <x v="55"/>
  </r>
  <r>
    <x v="71"/>
  </r>
  <r>
    <x v="79"/>
  </r>
  <r>
    <x v="79"/>
  </r>
  <r>
    <x v="53"/>
  </r>
  <r>
    <x v="53"/>
  </r>
  <r>
    <x v="12"/>
  </r>
  <r>
    <x v="12"/>
  </r>
  <r>
    <x v="32"/>
  </r>
  <r>
    <x v="2"/>
  </r>
  <r>
    <x v="59"/>
  </r>
  <r>
    <x v="32"/>
  </r>
  <r>
    <x v="32"/>
  </r>
  <r>
    <x v="12"/>
  </r>
  <r>
    <x v="71"/>
  </r>
  <r>
    <x v="71"/>
  </r>
  <r>
    <x v="22"/>
  </r>
  <r>
    <x v="22"/>
  </r>
  <r>
    <x v="28"/>
  </r>
  <r>
    <x v="28"/>
  </r>
  <r>
    <x v="28"/>
  </r>
  <r>
    <x v="28"/>
  </r>
  <r>
    <x v="28"/>
  </r>
  <r>
    <x v="9"/>
  </r>
  <r>
    <x v="9"/>
  </r>
  <r>
    <x v="19"/>
  </r>
  <r>
    <x v="71"/>
  </r>
  <r>
    <x v="71"/>
  </r>
  <r>
    <x v="71"/>
  </r>
  <r>
    <x v="21"/>
  </r>
  <r>
    <x v="8"/>
  </r>
  <r>
    <x v="4"/>
  </r>
  <r>
    <x v="16"/>
  </r>
  <r>
    <x v="22"/>
  </r>
  <r>
    <x v="22"/>
  </r>
  <r>
    <x v="12"/>
  </r>
  <r>
    <x v="14"/>
  </r>
  <r>
    <x v="0"/>
  </r>
  <r>
    <x v="0"/>
  </r>
  <r>
    <x v="0"/>
  </r>
  <r>
    <x v="0"/>
  </r>
  <r>
    <x v="14"/>
  </r>
  <r>
    <x v="42"/>
  </r>
  <r>
    <x v="71"/>
  </r>
  <r>
    <x v="7"/>
  </r>
  <r>
    <x v="71"/>
  </r>
  <r>
    <x v="71"/>
  </r>
  <r>
    <x v="10"/>
  </r>
  <r>
    <x v="56"/>
  </r>
  <r>
    <x v="42"/>
  </r>
  <r>
    <x v="7"/>
  </r>
  <r>
    <x v="169"/>
  </r>
  <r>
    <x v="22"/>
  </r>
  <r>
    <x v="22"/>
  </r>
  <r>
    <x v="6"/>
  </r>
  <r>
    <x v="28"/>
  </r>
  <r>
    <x v="28"/>
  </r>
  <r>
    <x v="28"/>
  </r>
  <r>
    <x v="28"/>
  </r>
  <r>
    <x v="28"/>
  </r>
  <r>
    <x v="42"/>
  </r>
  <r>
    <x v="76"/>
  </r>
  <r>
    <x v="71"/>
  </r>
  <r>
    <x v="7"/>
  </r>
  <r>
    <x v="53"/>
  </r>
  <r>
    <x v="53"/>
  </r>
  <r>
    <x v="71"/>
  </r>
  <r>
    <x v="71"/>
  </r>
  <r>
    <x v="11"/>
  </r>
  <r>
    <x v="71"/>
  </r>
  <r>
    <x v="43"/>
  </r>
  <r>
    <x v="57"/>
  </r>
  <r>
    <x v="16"/>
  </r>
  <r>
    <x v="84"/>
  </r>
  <r>
    <x v="31"/>
  </r>
  <r>
    <x v="2"/>
  </r>
  <r>
    <x v="123"/>
  </r>
  <r>
    <x v="63"/>
  </r>
  <r>
    <x v="63"/>
  </r>
  <r>
    <x v="63"/>
  </r>
  <r>
    <x v="63"/>
  </r>
  <r>
    <x v="63"/>
  </r>
  <r>
    <x v="2"/>
  </r>
  <r>
    <x v="2"/>
  </r>
  <r>
    <x v="45"/>
  </r>
  <r>
    <x v="0"/>
  </r>
  <r>
    <x v="7"/>
  </r>
  <r>
    <x v="123"/>
  </r>
  <r>
    <x v="91"/>
  </r>
  <r>
    <x v="71"/>
  </r>
  <r>
    <x v="19"/>
  </r>
  <r>
    <x v="25"/>
  </r>
  <r>
    <x v="88"/>
  </r>
  <r>
    <x v="79"/>
  </r>
  <r>
    <x v="14"/>
  </r>
  <r>
    <x v="54"/>
  </r>
  <r>
    <x v="54"/>
  </r>
  <r>
    <x v="29"/>
  </r>
  <r>
    <x v="22"/>
  </r>
  <r>
    <x v="45"/>
  </r>
  <r>
    <x v="29"/>
  </r>
  <r>
    <x v="7"/>
  </r>
  <r>
    <x v="28"/>
  </r>
  <r>
    <x v="12"/>
  </r>
  <r>
    <x v="86"/>
  </r>
  <r>
    <x v="53"/>
  </r>
  <r>
    <x v="10"/>
  </r>
  <r>
    <x v="54"/>
  </r>
  <r>
    <x v="10"/>
  </r>
  <r>
    <x v="138"/>
  </r>
  <r>
    <x v="138"/>
  </r>
  <r>
    <x v="165"/>
  </r>
  <r>
    <x v="7"/>
  </r>
  <r>
    <x v="25"/>
  </r>
  <r>
    <x v="25"/>
  </r>
  <r>
    <x v="25"/>
  </r>
  <r>
    <x v="25"/>
  </r>
  <r>
    <x v="12"/>
  </r>
  <r>
    <x v="87"/>
  </r>
  <r>
    <x v="25"/>
  </r>
  <r>
    <x v="52"/>
  </r>
  <r>
    <x v="48"/>
  </r>
  <r>
    <x v="108"/>
  </r>
  <r>
    <x v="48"/>
  </r>
  <r>
    <x v="2"/>
  </r>
  <r>
    <x v="2"/>
  </r>
  <r>
    <x v="24"/>
  </r>
  <r>
    <x v="128"/>
  </r>
  <r>
    <x v="128"/>
  </r>
  <r>
    <x v="42"/>
  </r>
  <r>
    <x v="12"/>
  </r>
  <r>
    <x v="152"/>
  </r>
  <r>
    <x v="0"/>
  </r>
  <r>
    <x v="46"/>
  </r>
  <r>
    <x v="190"/>
  </r>
  <r>
    <x v="71"/>
  </r>
  <r>
    <x v="50"/>
  </r>
  <r>
    <x v="50"/>
  </r>
  <r>
    <x v="7"/>
  </r>
  <r>
    <x v="36"/>
  </r>
  <r>
    <x v="4"/>
  </r>
  <r>
    <x v="2"/>
  </r>
  <r>
    <x v="123"/>
  </r>
  <r>
    <x v="57"/>
  </r>
  <r>
    <x v="57"/>
  </r>
  <r>
    <x v="130"/>
  </r>
  <r>
    <x v="12"/>
  </r>
  <r>
    <x v="12"/>
  </r>
  <r>
    <x v="138"/>
  </r>
  <r>
    <x v="0"/>
  </r>
  <r>
    <x v="11"/>
  </r>
  <r>
    <x v="4"/>
  </r>
  <r>
    <x v="31"/>
  </r>
  <r>
    <x v="37"/>
  </r>
  <r>
    <x v="53"/>
  </r>
  <r>
    <x v="179"/>
  </r>
  <r>
    <x v="50"/>
  </r>
  <r>
    <x v="50"/>
  </r>
  <r>
    <x v="143"/>
  </r>
  <r>
    <x v="79"/>
  </r>
  <r>
    <x v="1"/>
  </r>
  <r>
    <x v="4"/>
  </r>
  <r>
    <x v="77"/>
  </r>
  <r>
    <x v="10"/>
  </r>
  <r>
    <x v="0"/>
  </r>
  <r>
    <x v="7"/>
  </r>
  <r>
    <x v="7"/>
  </r>
  <r>
    <x v="7"/>
  </r>
  <r>
    <x v="7"/>
  </r>
  <r>
    <x v="14"/>
  </r>
  <r>
    <x v="28"/>
  </r>
  <r>
    <x v="1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23"/>
  </r>
  <r>
    <x v="10"/>
  </r>
  <r>
    <x v="10"/>
  </r>
  <r>
    <x v="10"/>
  </r>
  <r>
    <x v="10"/>
  </r>
  <r>
    <x v="21"/>
  </r>
  <r>
    <x v="21"/>
  </r>
  <r>
    <x v="21"/>
  </r>
  <r>
    <x v="21"/>
  </r>
  <r>
    <x v="21"/>
  </r>
  <r>
    <x v="24"/>
  </r>
  <r>
    <x v="4"/>
  </r>
  <r>
    <x v="24"/>
  </r>
  <r>
    <x v="24"/>
  </r>
  <r>
    <x v="21"/>
  </r>
  <r>
    <x v="21"/>
  </r>
  <r>
    <x v="76"/>
  </r>
  <r>
    <x v="76"/>
  </r>
  <r>
    <x v="76"/>
  </r>
  <r>
    <x v="25"/>
  </r>
  <r>
    <x v="0"/>
  </r>
  <r>
    <x v="4"/>
  </r>
  <r>
    <x v="4"/>
  </r>
  <r>
    <x v="4"/>
  </r>
  <r>
    <x v="17"/>
  </r>
  <r>
    <x v="17"/>
  </r>
  <r>
    <x v="17"/>
  </r>
  <r>
    <x v="14"/>
  </r>
  <r>
    <x v="14"/>
  </r>
  <r>
    <x v="21"/>
  </r>
  <r>
    <x v="87"/>
  </r>
  <r>
    <x v="131"/>
  </r>
  <r>
    <x v="14"/>
  </r>
  <r>
    <x v="14"/>
  </r>
  <r>
    <x v="14"/>
  </r>
  <r>
    <x v="14"/>
  </r>
  <r>
    <x v="14"/>
  </r>
  <r>
    <x v="16"/>
  </r>
  <r>
    <x v="16"/>
  </r>
  <r>
    <x v="16"/>
  </r>
  <r>
    <x v="11"/>
  </r>
  <r>
    <x v="1"/>
  </r>
  <r>
    <x v="11"/>
  </r>
  <r>
    <x v="11"/>
  </r>
  <r>
    <x v="42"/>
  </r>
  <r>
    <x v="42"/>
  </r>
  <r>
    <x v="28"/>
  </r>
  <r>
    <x v="79"/>
  </r>
  <r>
    <x v="79"/>
  </r>
  <r>
    <x v="331"/>
  </r>
  <r>
    <x v="24"/>
  </r>
  <r>
    <x v="11"/>
  </r>
  <r>
    <x v="1"/>
  </r>
  <r>
    <x v="14"/>
  </r>
  <r>
    <x v="28"/>
  </r>
  <r>
    <x v="57"/>
  </r>
  <r>
    <x v="19"/>
  </r>
  <r>
    <x v="0"/>
  </r>
  <r>
    <x v="0"/>
  </r>
  <r>
    <x v="17"/>
  </r>
  <r>
    <x v="42"/>
  </r>
  <r>
    <x v="19"/>
  </r>
  <r>
    <x v="19"/>
  </r>
  <r>
    <x v="31"/>
  </r>
  <r>
    <x v="57"/>
  </r>
  <r>
    <x v="28"/>
  </r>
  <r>
    <x v="12"/>
  </r>
  <r>
    <x v="28"/>
  </r>
  <r>
    <x v="43"/>
  </r>
  <r>
    <x v="14"/>
  </r>
  <r>
    <x v="14"/>
  </r>
  <r>
    <x v="14"/>
  </r>
  <r>
    <x v="12"/>
  </r>
  <r>
    <x v="123"/>
  </r>
  <r>
    <x v="123"/>
  </r>
  <r>
    <x v="123"/>
  </r>
  <r>
    <x v="123"/>
  </r>
  <r>
    <x v="123"/>
  </r>
  <r>
    <x v="71"/>
  </r>
  <r>
    <x v="19"/>
  </r>
  <r>
    <x v="19"/>
  </r>
  <r>
    <x v="19"/>
  </r>
  <r>
    <x v="4"/>
  </r>
  <r>
    <x v="28"/>
  </r>
  <r>
    <x v="45"/>
  </r>
  <r>
    <x v="45"/>
  </r>
  <r>
    <x v="14"/>
  </r>
  <r>
    <x v="29"/>
  </r>
  <r>
    <x v="57"/>
  </r>
  <r>
    <x v="57"/>
  </r>
  <r>
    <x v="31"/>
  </r>
  <r>
    <x v="31"/>
  </r>
  <r>
    <x v="31"/>
  </r>
  <r>
    <x v="7"/>
  </r>
  <r>
    <x v="79"/>
  </r>
  <r>
    <x v="79"/>
  </r>
  <r>
    <x v="7"/>
  </r>
  <r>
    <x v="28"/>
  </r>
  <r>
    <x v="28"/>
  </r>
  <r>
    <x v="28"/>
  </r>
  <r>
    <x v="28"/>
  </r>
  <r>
    <x v="14"/>
  </r>
  <r>
    <x v="12"/>
  </r>
  <r>
    <x v="12"/>
  </r>
  <r>
    <x v="76"/>
  </r>
  <r>
    <x v="12"/>
  </r>
  <r>
    <x v="12"/>
  </r>
  <r>
    <x v="12"/>
  </r>
  <r>
    <x v="12"/>
  </r>
  <r>
    <x v="12"/>
  </r>
  <r>
    <x v="43"/>
  </r>
  <r>
    <x v="43"/>
  </r>
  <r>
    <x v="12"/>
  </r>
  <r>
    <x v="15"/>
  </r>
  <r>
    <x v="27"/>
  </r>
  <r>
    <x v="54"/>
  </r>
  <r>
    <x v="54"/>
  </r>
  <r>
    <x v="9"/>
  </r>
  <r>
    <x v="42"/>
  </r>
  <r>
    <x v="37"/>
  </r>
  <r>
    <x v="11"/>
  </r>
  <r>
    <x v="28"/>
  </r>
  <r>
    <x v="28"/>
  </r>
  <r>
    <x v="28"/>
  </r>
  <r>
    <x v="12"/>
  </r>
  <r>
    <x v="12"/>
  </r>
  <r>
    <x v="72"/>
  </r>
  <r>
    <x v="72"/>
  </r>
  <r>
    <x v="87"/>
  </r>
  <r>
    <x v="87"/>
  </r>
  <r>
    <x v="87"/>
  </r>
  <r>
    <x v="87"/>
  </r>
  <r>
    <x v="29"/>
  </r>
  <r>
    <x v="24"/>
  </r>
  <r>
    <x v="28"/>
  </r>
  <r>
    <x v="251"/>
  </r>
  <r>
    <x v="27"/>
  </r>
  <r>
    <x v="8"/>
  </r>
  <r>
    <x v="8"/>
  </r>
  <r>
    <x v="14"/>
  </r>
  <r>
    <x v="14"/>
  </r>
  <r>
    <x v="17"/>
  </r>
  <r>
    <x v="42"/>
  </r>
  <r>
    <x v="0"/>
  </r>
  <r>
    <x v="28"/>
  </r>
  <r>
    <x v="4"/>
  </r>
  <r>
    <x v="11"/>
  </r>
  <r>
    <x v="19"/>
  </r>
  <r>
    <x v="19"/>
  </r>
  <r>
    <x v="10"/>
  </r>
  <r>
    <x v="46"/>
  </r>
  <r>
    <x v="46"/>
  </r>
  <r>
    <x v="42"/>
  </r>
  <r>
    <x v="182"/>
  </r>
  <r>
    <x v="17"/>
  </r>
  <r>
    <x v="31"/>
  </r>
  <r>
    <x v="14"/>
  </r>
  <r>
    <x v="14"/>
  </r>
  <r>
    <x v="14"/>
  </r>
  <r>
    <x v="12"/>
  </r>
  <r>
    <x v="42"/>
  </r>
  <r>
    <x v="33"/>
  </r>
  <r>
    <x v="122"/>
  </r>
  <r>
    <x v="28"/>
  </r>
  <r>
    <x v="24"/>
  </r>
  <r>
    <x v="12"/>
  </r>
  <r>
    <x v="27"/>
  </r>
  <r>
    <x v="25"/>
  </r>
  <r>
    <x v="15"/>
  </r>
  <r>
    <x v="15"/>
  </r>
  <r>
    <x v="12"/>
  </r>
  <r>
    <x v="4"/>
  </r>
  <r>
    <x v="31"/>
  </r>
  <r>
    <x v="57"/>
  </r>
  <r>
    <x v="57"/>
  </r>
  <r>
    <x v="8"/>
  </r>
  <r>
    <x v="251"/>
  </r>
  <r>
    <x v="89"/>
  </r>
  <r>
    <x v="48"/>
  </r>
  <r>
    <x v="37"/>
  </r>
  <r>
    <x v="122"/>
  </r>
  <r>
    <x v="0"/>
  </r>
  <r>
    <x v="42"/>
  </r>
  <r>
    <x v="2"/>
  </r>
  <r>
    <x v="2"/>
  </r>
  <r>
    <x v="45"/>
  </r>
  <r>
    <x v="45"/>
  </r>
  <r>
    <x v="27"/>
  </r>
  <r>
    <x v="32"/>
  </r>
  <r>
    <x v="32"/>
  </r>
  <r>
    <x v="27"/>
  </r>
  <r>
    <x v="14"/>
  </r>
  <r>
    <x v="12"/>
  </r>
  <r>
    <x v="76"/>
  </r>
  <r>
    <x v="182"/>
  </r>
  <r>
    <x v="42"/>
  </r>
  <r>
    <x v="28"/>
  </r>
  <r>
    <x v="15"/>
  </r>
  <r>
    <x v="14"/>
  </r>
  <r>
    <x v="12"/>
  </r>
  <r>
    <x v="19"/>
  </r>
  <r>
    <x v="14"/>
  </r>
  <r>
    <x v="12"/>
  </r>
  <r>
    <x v="7"/>
  </r>
  <r>
    <x v="56"/>
  </r>
  <r>
    <x v="7"/>
  </r>
  <r>
    <x v="12"/>
  </r>
  <r>
    <x v="12"/>
  </r>
  <r>
    <x v="12"/>
  </r>
  <r>
    <x v="54"/>
  </r>
  <r>
    <x v="14"/>
  </r>
  <r>
    <x v="14"/>
  </r>
  <r>
    <x v="57"/>
  </r>
  <r>
    <x v="165"/>
  </r>
  <r>
    <x v="11"/>
  </r>
  <r>
    <x v="12"/>
  </r>
  <r>
    <x v="57"/>
  </r>
  <r>
    <x v="57"/>
  </r>
  <r>
    <x v="32"/>
  </r>
  <r>
    <x v="0"/>
  </r>
  <r>
    <x v="0"/>
  </r>
  <r>
    <x v="2"/>
  </r>
  <r>
    <x v="28"/>
  </r>
  <r>
    <x v="43"/>
  </r>
  <r>
    <x v="29"/>
  </r>
  <r>
    <x v="24"/>
  </r>
  <r>
    <x v="16"/>
  </r>
  <r>
    <x v="45"/>
  </r>
  <r>
    <x v="2"/>
  </r>
  <r>
    <x v="2"/>
  </r>
  <r>
    <x v="2"/>
  </r>
  <r>
    <x v="2"/>
  </r>
  <r>
    <x v="28"/>
  </r>
  <r>
    <x v="28"/>
  </r>
  <r>
    <x v="12"/>
  </r>
  <r>
    <x v="12"/>
  </r>
  <r>
    <x v="16"/>
  </r>
  <r>
    <x v="12"/>
  </r>
  <r>
    <x v="12"/>
  </r>
  <r>
    <x v="12"/>
  </r>
  <r>
    <x v="12"/>
  </r>
  <r>
    <x v="12"/>
  </r>
  <r>
    <x v="2"/>
  </r>
  <r>
    <x v="2"/>
  </r>
  <r>
    <x v="12"/>
  </r>
  <r>
    <x v="12"/>
  </r>
  <r>
    <x v="12"/>
  </r>
  <r>
    <x v="12"/>
  </r>
  <r>
    <x v="42"/>
  </r>
  <r>
    <x v="11"/>
  </r>
  <r>
    <x v="0"/>
  </r>
  <r>
    <x v="53"/>
  </r>
  <r>
    <x v="53"/>
  </r>
  <r>
    <x v="12"/>
  </r>
  <r>
    <x v="14"/>
  </r>
  <r>
    <x v="127"/>
  </r>
  <r>
    <x v="10"/>
  </r>
  <r>
    <x v="14"/>
  </r>
  <r>
    <x v="10"/>
  </r>
  <r>
    <x v="4"/>
  </r>
  <r>
    <x v="56"/>
  </r>
  <r>
    <x v="57"/>
  </r>
  <r>
    <x v="57"/>
  </r>
  <r>
    <x v="57"/>
  </r>
  <r>
    <x v="31"/>
  </r>
  <r>
    <x v="31"/>
  </r>
  <r>
    <x v="31"/>
  </r>
  <r>
    <x v="31"/>
  </r>
  <r>
    <x v="87"/>
  </r>
  <r>
    <x v="3"/>
  </r>
  <r>
    <x v="19"/>
  </r>
  <r>
    <x v="4"/>
  </r>
  <r>
    <x v="9"/>
  </r>
  <r>
    <x v="12"/>
  </r>
  <r>
    <x v="19"/>
  </r>
  <r>
    <x v="2"/>
  </r>
  <r>
    <x v="17"/>
  </r>
  <r>
    <x v="0"/>
  </r>
  <r>
    <x v="0"/>
  </r>
  <r>
    <x v="31"/>
  </r>
  <r>
    <x v="12"/>
  </r>
  <r>
    <x v="42"/>
  </r>
  <r>
    <x v="14"/>
  </r>
  <r>
    <x v="42"/>
  </r>
  <r>
    <x v="42"/>
  </r>
  <r>
    <x v="42"/>
  </r>
  <r>
    <x v="12"/>
  </r>
  <r>
    <x v="42"/>
  </r>
  <r>
    <x v="42"/>
  </r>
  <r>
    <x v="42"/>
  </r>
  <r>
    <x v="14"/>
  </r>
  <r>
    <x v="14"/>
  </r>
  <r>
    <x v="14"/>
  </r>
  <r>
    <x v="42"/>
  </r>
  <r>
    <x v="42"/>
  </r>
  <r>
    <x v="28"/>
  </r>
  <r>
    <x v="37"/>
  </r>
  <r>
    <x v="56"/>
  </r>
  <r>
    <x v="56"/>
  </r>
  <r>
    <x v="56"/>
  </r>
  <r>
    <x v="56"/>
  </r>
  <r>
    <x v="56"/>
  </r>
  <r>
    <x v="56"/>
  </r>
  <r>
    <x v="21"/>
  </r>
  <r>
    <x v="2"/>
  </r>
  <r>
    <x v="4"/>
  </r>
  <r>
    <x v="16"/>
  </r>
  <r>
    <x v="9"/>
  </r>
  <r>
    <x v="11"/>
  </r>
  <r>
    <x v="28"/>
  </r>
  <r>
    <x v="12"/>
  </r>
  <r>
    <x v="42"/>
  </r>
  <r>
    <x v="14"/>
  </r>
  <r>
    <x v="12"/>
  </r>
  <r>
    <x v="7"/>
  </r>
  <r>
    <x v="12"/>
  </r>
  <r>
    <x v="12"/>
  </r>
  <r>
    <x v="12"/>
  </r>
  <r>
    <x v="42"/>
  </r>
  <r>
    <x v="12"/>
  </r>
  <r>
    <x v="12"/>
  </r>
  <r>
    <x v="12"/>
  </r>
  <r>
    <x v="10"/>
  </r>
  <r>
    <x v="24"/>
  </r>
  <r>
    <x v="0"/>
  </r>
  <r>
    <x v="78"/>
  </r>
  <r>
    <x v="4"/>
  </r>
  <r>
    <x v="56"/>
  </r>
  <r>
    <x v="0"/>
  </r>
  <r>
    <x v="0"/>
  </r>
  <r>
    <x v="48"/>
  </r>
  <r>
    <x v="48"/>
  </r>
  <r>
    <x v="42"/>
  </r>
  <r>
    <x v="42"/>
  </r>
  <r>
    <x v="36"/>
  </r>
  <r>
    <x v="36"/>
  </r>
  <r>
    <x v="79"/>
  </r>
  <r>
    <x v="93"/>
  </r>
  <r>
    <x v="93"/>
  </r>
  <r>
    <x v="25"/>
  </r>
  <r>
    <x v="0"/>
  </r>
  <r>
    <x v="143"/>
  </r>
  <r>
    <x v="0"/>
  </r>
  <r>
    <x v="57"/>
  </r>
  <r>
    <x v="57"/>
  </r>
  <r>
    <x v="57"/>
  </r>
  <r>
    <x v="138"/>
  </r>
  <r>
    <x v="138"/>
  </r>
  <r>
    <x v="12"/>
  </r>
  <r>
    <x v="19"/>
  </r>
  <r>
    <x v="42"/>
  </r>
  <r>
    <x v="12"/>
  </r>
  <r>
    <x v="33"/>
  </r>
  <r>
    <x v="33"/>
  </r>
  <r>
    <x v="12"/>
  </r>
  <r>
    <x v="45"/>
  </r>
  <r>
    <x v="56"/>
  </r>
  <r>
    <x v="56"/>
  </r>
  <r>
    <x v="19"/>
  </r>
  <r>
    <x v="9"/>
  </r>
  <r>
    <x v="9"/>
  </r>
  <r>
    <x v="79"/>
  </r>
  <r>
    <x v="28"/>
  </r>
  <r>
    <x v="12"/>
  </r>
  <r>
    <x v="24"/>
  </r>
  <r>
    <x v="11"/>
  </r>
  <r>
    <x v="10"/>
  </r>
  <r>
    <x v="12"/>
  </r>
  <r>
    <x v="12"/>
  </r>
  <r>
    <x v="1"/>
  </r>
  <r>
    <x v="28"/>
  </r>
  <r>
    <x v="16"/>
  </r>
  <r>
    <x v="16"/>
  </r>
  <r>
    <x v="9"/>
  </r>
  <r>
    <x v="25"/>
  </r>
  <r>
    <x v="2"/>
  </r>
  <r>
    <x v="12"/>
  </r>
  <r>
    <x v="4"/>
  </r>
  <r>
    <x v="4"/>
  </r>
  <r>
    <x v="21"/>
  </r>
  <r>
    <x v="57"/>
  </r>
  <r>
    <x v="12"/>
  </r>
  <r>
    <x v="12"/>
  </r>
  <r>
    <x v="12"/>
  </r>
  <r>
    <x v="14"/>
  </r>
  <r>
    <x v="0"/>
  </r>
  <r>
    <x v="4"/>
  </r>
  <r>
    <x v="19"/>
  </r>
  <r>
    <x v="12"/>
  </r>
  <r>
    <x v="21"/>
  </r>
  <r>
    <x v="16"/>
  </r>
  <r>
    <x v="1"/>
  </r>
  <r>
    <x v="14"/>
  </r>
  <r>
    <x v="14"/>
  </r>
  <r>
    <x v="14"/>
  </r>
  <r>
    <x v="14"/>
  </r>
  <r>
    <x v="16"/>
  </r>
  <r>
    <x v="16"/>
  </r>
  <r>
    <x v="8"/>
  </r>
  <r>
    <x v="7"/>
  </r>
  <r>
    <x v="12"/>
  </r>
  <r>
    <x v="12"/>
  </r>
  <r>
    <x v="12"/>
  </r>
  <r>
    <x v="14"/>
  </r>
  <r>
    <x v="2"/>
  </r>
  <r>
    <x v="141"/>
  </r>
  <r>
    <x v="115"/>
  </r>
  <r>
    <x v="9"/>
  </r>
  <r>
    <x v="22"/>
  </r>
  <r>
    <x v="22"/>
  </r>
  <r>
    <x v="22"/>
  </r>
  <r>
    <x v="22"/>
  </r>
  <r>
    <x v="14"/>
  </r>
  <r>
    <x v="76"/>
  </r>
  <r>
    <x v="19"/>
  </r>
  <r>
    <x v="86"/>
  </r>
  <r>
    <x v="43"/>
  </r>
  <r>
    <x v="11"/>
  </r>
  <r>
    <x v="0"/>
  </r>
  <r>
    <x v="16"/>
  </r>
  <r>
    <x v="12"/>
  </r>
  <r>
    <x v="29"/>
  </r>
  <r>
    <x v="17"/>
  </r>
  <r>
    <x v="17"/>
  </r>
  <r>
    <x v="17"/>
  </r>
  <r>
    <x v="141"/>
  </r>
  <r>
    <x v="9"/>
  </r>
  <r>
    <x v="0"/>
  </r>
  <r>
    <x v="0"/>
  </r>
  <r>
    <x v="28"/>
  </r>
  <r>
    <x v="16"/>
  </r>
  <r>
    <x v="16"/>
  </r>
  <r>
    <x v="16"/>
  </r>
  <r>
    <x v="14"/>
  </r>
  <r>
    <x v="14"/>
  </r>
  <r>
    <x v="14"/>
  </r>
  <r>
    <x v="14"/>
  </r>
  <r>
    <x v="14"/>
  </r>
  <r>
    <x v="72"/>
  </r>
  <r>
    <x v="56"/>
  </r>
  <r>
    <x v="56"/>
  </r>
  <r>
    <x v="56"/>
  </r>
  <r>
    <x v="4"/>
  </r>
  <r>
    <x v="63"/>
  </r>
  <r>
    <x v="11"/>
  </r>
  <r>
    <x v="11"/>
  </r>
  <r>
    <x v="11"/>
  </r>
  <r>
    <x v="14"/>
  </r>
  <r>
    <x v="19"/>
  </r>
  <r>
    <x v="7"/>
  </r>
  <r>
    <x v="7"/>
  </r>
  <r>
    <x v="22"/>
  </r>
  <r>
    <x v="43"/>
  </r>
  <r>
    <x v="251"/>
  </r>
  <r>
    <x v="0"/>
  </r>
  <r>
    <x v="1"/>
  </r>
  <r>
    <x v="1"/>
  </r>
  <r>
    <x v="28"/>
  </r>
  <r>
    <x v="31"/>
  </r>
  <r>
    <x v="45"/>
  </r>
  <r>
    <x v="7"/>
  </r>
  <r>
    <x v="24"/>
  </r>
  <r>
    <x v="12"/>
  </r>
  <r>
    <x v="4"/>
  </r>
  <r>
    <x v="7"/>
  </r>
  <r>
    <x v="169"/>
  </r>
  <r>
    <x v="77"/>
  </r>
  <r>
    <x v="48"/>
  </r>
  <r>
    <x v="4"/>
  </r>
  <r>
    <x v="12"/>
  </r>
  <r>
    <x v="14"/>
  </r>
  <r>
    <x v="34"/>
  </r>
  <r>
    <x v="12"/>
  </r>
  <r>
    <x v="1"/>
  </r>
  <r>
    <x v="1"/>
  </r>
  <r>
    <x v="16"/>
  </r>
  <r>
    <x v="16"/>
  </r>
  <r>
    <x v="16"/>
  </r>
  <r>
    <x v="16"/>
  </r>
  <r>
    <x v="16"/>
  </r>
  <r>
    <x v="68"/>
  </r>
  <r>
    <x v="16"/>
  </r>
  <r>
    <x v="16"/>
  </r>
  <r>
    <x v="16"/>
  </r>
  <r>
    <x v="10"/>
  </r>
  <r>
    <x v="0"/>
  </r>
  <r>
    <x v="0"/>
  </r>
  <r>
    <x v="135"/>
  </r>
  <r>
    <x v="14"/>
  </r>
  <r>
    <x v="28"/>
  </r>
  <r>
    <x v="28"/>
  </r>
  <r>
    <x v="57"/>
  </r>
  <r>
    <x v="57"/>
  </r>
  <r>
    <x v="166"/>
  </r>
  <r>
    <x v="45"/>
  </r>
  <r>
    <x v="45"/>
  </r>
  <r>
    <x v="45"/>
  </r>
  <r>
    <x v="34"/>
  </r>
  <r>
    <x v="52"/>
  </r>
  <r>
    <x v="12"/>
  </r>
  <r>
    <x v="37"/>
  </r>
  <r>
    <x v="51"/>
  </r>
  <r>
    <x v="12"/>
  </r>
  <r>
    <x v="0"/>
  </r>
  <r>
    <x v="42"/>
  </r>
  <r>
    <x v="61"/>
  </r>
  <r>
    <x v="0"/>
  </r>
  <r>
    <x v="42"/>
  </r>
  <r>
    <x v="42"/>
  </r>
  <r>
    <x v="42"/>
  </r>
  <r>
    <x v="42"/>
  </r>
  <r>
    <x v="42"/>
  </r>
  <r>
    <x v="0"/>
  </r>
  <r>
    <x v="48"/>
  </r>
  <r>
    <x v="48"/>
  </r>
  <r>
    <x v="21"/>
  </r>
  <r>
    <x v="12"/>
  </r>
  <r>
    <x v="57"/>
  </r>
  <r>
    <x v="276"/>
  </r>
  <r>
    <x v="78"/>
  </r>
  <r>
    <x v="22"/>
  </r>
  <r>
    <x v="22"/>
  </r>
  <r>
    <x v="12"/>
  </r>
  <r>
    <x v="42"/>
  </r>
  <r>
    <x v="28"/>
  </r>
  <r>
    <x v="4"/>
  </r>
  <r>
    <x v="4"/>
  </r>
  <r>
    <x v="0"/>
  </r>
  <r>
    <x v="0"/>
  </r>
  <r>
    <x v="0"/>
  </r>
  <r>
    <x v="0"/>
  </r>
  <r>
    <x v="10"/>
  </r>
  <r>
    <x v="12"/>
  </r>
  <r>
    <x v="39"/>
  </r>
  <r>
    <x v="131"/>
  </r>
  <r>
    <x v="21"/>
  </r>
  <r>
    <x v="123"/>
  </r>
  <r>
    <x v="123"/>
  </r>
  <r>
    <x v="54"/>
  </r>
  <r>
    <x v="54"/>
  </r>
  <r>
    <x v="54"/>
  </r>
  <r>
    <x v="54"/>
  </r>
  <r>
    <x v="54"/>
  </r>
  <r>
    <x v="79"/>
  </r>
  <r>
    <x v="115"/>
  </r>
  <r>
    <x v="14"/>
  </r>
  <r>
    <x v="130"/>
  </r>
  <r>
    <x v="4"/>
  </r>
  <r>
    <x v="25"/>
  </r>
  <r>
    <x v="56"/>
  </r>
  <r>
    <x v="14"/>
  </r>
  <r>
    <x v="10"/>
  </r>
  <r>
    <x v="24"/>
  </r>
  <r>
    <x v="53"/>
  </r>
  <r>
    <x v="53"/>
  </r>
  <r>
    <x v="25"/>
  </r>
  <r>
    <x v="99"/>
  </r>
  <r>
    <x v="21"/>
  </r>
  <r>
    <x v="10"/>
  </r>
  <r>
    <x v="112"/>
  </r>
  <r>
    <x v="59"/>
  </r>
  <r>
    <x v="48"/>
  </r>
  <r>
    <x v="112"/>
  </r>
  <r>
    <x v="112"/>
  </r>
  <r>
    <x v="25"/>
  </r>
  <r>
    <x v="1"/>
  </r>
  <r>
    <x v="78"/>
  </r>
  <r>
    <x v="9"/>
  </r>
  <r>
    <x v="138"/>
  </r>
  <r>
    <x v="68"/>
  </r>
  <r>
    <x v="55"/>
  </r>
  <r>
    <x v="96"/>
  </r>
  <r>
    <x v="55"/>
  </r>
  <r>
    <x v="10"/>
  </r>
  <r>
    <x v="10"/>
  </r>
  <r>
    <x v="0"/>
  </r>
  <r>
    <x v="0"/>
  </r>
  <r>
    <x v="68"/>
  </r>
  <r>
    <x v="21"/>
  </r>
  <r>
    <x v="21"/>
  </r>
  <r>
    <x v="21"/>
  </r>
  <r>
    <x v="24"/>
  </r>
  <r>
    <x v="24"/>
  </r>
  <r>
    <x v="4"/>
  </r>
  <r>
    <x v="36"/>
  </r>
  <r>
    <x v="36"/>
  </r>
  <r>
    <x v="14"/>
  </r>
  <r>
    <x v="14"/>
  </r>
  <r>
    <x v="16"/>
  </r>
  <r>
    <x v="21"/>
  </r>
  <r>
    <x v="21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1"/>
  </r>
  <r>
    <x v="21"/>
  </r>
  <r>
    <x v="21"/>
  </r>
  <r>
    <x v="16"/>
  </r>
  <r>
    <x v="16"/>
  </r>
  <r>
    <x v="28"/>
  </r>
  <r>
    <x v="28"/>
  </r>
  <r>
    <x v="4"/>
  </r>
  <r>
    <x v="42"/>
  </r>
  <r>
    <x v="42"/>
  </r>
  <r>
    <x v="42"/>
  </r>
  <r>
    <x v="42"/>
  </r>
  <r>
    <x v="42"/>
  </r>
  <r>
    <x v="42"/>
  </r>
  <r>
    <x v="42"/>
  </r>
  <r>
    <x v="42"/>
  </r>
  <r>
    <x v="16"/>
  </r>
  <r>
    <x v="16"/>
  </r>
  <r>
    <x v="28"/>
  </r>
  <r>
    <x v="48"/>
  </r>
  <r>
    <x v="15"/>
  </r>
  <r>
    <x v="44"/>
  </r>
  <r>
    <x v="44"/>
  </r>
  <r>
    <x v="14"/>
  </r>
  <r>
    <x v="16"/>
  </r>
  <r>
    <x v="14"/>
  </r>
  <r>
    <x v="14"/>
  </r>
  <r>
    <x v="16"/>
  </r>
  <r>
    <x v="21"/>
  </r>
  <r>
    <x v="42"/>
  </r>
  <r>
    <x v="42"/>
  </r>
  <r>
    <x v="42"/>
  </r>
  <r>
    <x v="42"/>
  </r>
  <r>
    <x v="21"/>
  </r>
  <r>
    <x v="81"/>
  </r>
  <r>
    <x v="12"/>
  </r>
  <r>
    <x v="22"/>
  </r>
  <r>
    <x v="54"/>
  </r>
  <r>
    <x v="54"/>
  </r>
  <r>
    <x v="54"/>
  </r>
  <r>
    <x v="28"/>
  </r>
  <r>
    <x v="16"/>
  </r>
  <r>
    <x v="16"/>
  </r>
  <r>
    <x v="15"/>
  </r>
  <r>
    <x v="4"/>
  </r>
  <r>
    <x v="9"/>
  </r>
  <r>
    <x v="19"/>
  </r>
  <r>
    <x v="16"/>
  </r>
  <r>
    <x v="36"/>
  </r>
  <r>
    <x v="16"/>
  </r>
  <r>
    <x v="16"/>
  </r>
  <r>
    <x v="27"/>
  </r>
  <r>
    <x v="27"/>
  </r>
  <r>
    <x v="16"/>
  </r>
  <r>
    <x v="2"/>
  </r>
  <r>
    <x v="150"/>
  </r>
  <r>
    <x v="11"/>
  </r>
  <r>
    <x v="71"/>
  </r>
  <r>
    <x v="68"/>
  </r>
  <r>
    <x v="6"/>
  </r>
  <r>
    <x v="22"/>
  </r>
  <r>
    <x v="28"/>
  </r>
  <r>
    <x v="115"/>
  </r>
  <r>
    <x v="2"/>
  </r>
  <r>
    <x v="14"/>
  </r>
  <r>
    <x v="19"/>
  </r>
  <r>
    <x v="11"/>
  </r>
  <r>
    <x v="27"/>
  </r>
  <r>
    <x v="0"/>
  </r>
  <r>
    <x v="0"/>
  </r>
  <r>
    <x v="36"/>
  </r>
  <r>
    <x v="68"/>
  </r>
  <r>
    <x v="57"/>
  </r>
  <r>
    <x v="57"/>
  </r>
  <r>
    <x v="68"/>
  </r>
  <r>
    <x v="68"/>
  </r>
  <r>
    <x v="68"/>
  </r>
  <r>
    <x v="42"/>
  </r>
  <r>
    <x v="68"/>
  </r>
  <r>
    <x v="68"/>
  </r>
  <r>
    <x v="57"/>
  </r>
  <r>
    <x v="10"/>
  </r>
  <r>
    <x v="42"/>
  </r>
  <r>
    <x v="28"/>
  </r>
  <r>
    <x v="31"/>
  </r>
  <r>
    <x v="16"/>
  </r>
  <r>
    <x v="28"/>
  </r>
  <r>
    <x v="16"/>
  </r>
  <r>
    <x v="16"/>
  </r>
  <r>
    <x v="36"/>
  </r>
  <r>
    <x v="19"/>
  </r>
  <r>
    <x v="79"/>
  </r>
  <r>
    <x v="28"/>
  </r>
  <r>
    <x v="28"/>
  </r>
  <r>
    <x v="28"/>
  </r>
  <r>
    <x v="71"/>
  </r>
  <r>
    <x v="71"/>
  </r>
  <r>
    <x v="71"/>
  </r>
  <r>
    <x v="68"/>
  </r>
  <r>
    <x v="31"/>
  </r>
  <r>
    <x v="28"/>
  </r>
  <r>
    <x v="28"/>
  </r>
  <r>
    <x v="28"/>
  </r>
  <r>
    <x v="28"/>
  </r>
  <r>
    <x v="23"/>
  </r>
  <r>
    <x v="36"/>
  </r>
  <r>
    <x v="31"/>
  </r>
  <r>
    <x v="16"/>
  </r>
  <r>
    <x v="16"/>
  </r>
  <r>
    <x v="71"/>
  </r>
  <r>
    <x v="71"/>
  </r>
  <r>
    <x v="71"/>
  </r>
  <r>
    <x v="71"/>
  </r>
  <r>
    <x v="71"/>
  </r>
  <r>
    <x v="28"/>
  </r>
  <r>
    <x v="28"/>
  </r>
  <r>
    <x v="28"/>
  </r>
  <r>
    <x v="3"/>
  </r>
  <r>
    <x v="28"/>
  </r>
  <r>
    <x v="28"/>
  </r>
  <r>
    <x v="21"/>
  </r>
  <r>
    <x v="16"/>
  </r>
  <r>
    <x v="16"/>
  </r>
  <r>
    <x v="28"/>
  </r>
  <r>
    <x v="68"/>
  </r>
  <r>
    <x v="31"/>
  </r>
  <r>
    <x v="79"/>
  </r>
  <r>
    <x v="12"/>
  </r>
  <r>
    <x v="28"/>
  </r>
  <r>
    <x v="28"/>
  </r>
  <r>
    <x v="126"/>
  </r>
  <r>
    <x v="4"/>
  </r>
  <r>
    <x v="71"/>
  </r>
  <r>
    <x v="71"/>
  </r>
  <r>
    <x v="71"/>
  </r>
  <r>
    <x v="115"/>
  </r>
  <r>
    <x v="4"/>
  </r>
  <r>
    <x v="71"/>
  </r>
  <r>
    <x v="28"/>
  </r>
  <r>
    <x v="16"/>
  </r>
  <r>
    <x v="45"/>
  </r>
  <r>
    <x v="45"/>
  </r>
  <r>
    <x v="10"/>
  </r>
  <r>
    <x v="21"/>
  </r>
  <r>
    <x v="28"/>
  </r>
  <r>
    <x v="14"/>
  </r>
  <r>
    <x v="23"/>
  </r>
  <r>
    <x v="31"/>
  </r>
  <r>
    <x v="36"/>
  </r>
  <r>
    <x v="86"/>
  </r>
  <r>
    <x v="79"/>
  </r>
  <r>
    <x v="141"/>
  </r>
  <r>
    <x v="141"/>
  </r>
  <r>
    <x v="22"/>
  </r>
  <r>
    <x v="53"/>
  </r>
  <r>
    <x v="32"/>
  </r>
  <r>
    <x v="32"/>
  </r>
  <r>
    <x v="22"/>
  </r>
  <r>
    <x v="22"/>
  </r>
  <r>
    <x v="22"/>
  </r>
  <r>
    <x v="22"/>
  </r>
  <r>
    <x v="22"/>
  </r>
  <r>
    <x v="14"/>
  </r>
  <r>
    <x v="14"/>
  </r>
  <r>
    <x v="44"/>
  </r>
  <r>
    <x v="27"/>
  </r>
  <r>
    <x v="68"/>
  </r>
  <r>
    <x v="68"/>
  </r>
  <r>
    <x v="68"/>
  </r>
  <r>
    <x v="1"/>
  </r>
  <r>
    <x v="14"/>
  </r>
  <r>
    <x v="31"/>
  </r>
  <r>
    <x v="91"/>
  </r>
  <r>
    <x v="143"/>
  </r>
  <r>
    <x v="143"/>
  </r>
  <r>
    <x v="28"/>
  </r>
  <r>
    <x v="16"/>
  </r>
  <r>
    <x v="28"/>
  </r>
  <r>
    <x v="71"/>
  </r>
  <r>
    <x v="16"/>
  </r>
  <r>
    <x v="16"/>
  </r>
  <r>
    <x v="16"/>
  </r>
  <r>
    <x v="16"/>
  </r>
  <r>
    <x v="16"/>
  </r>
  <r>
    <x v="36"/>
  </r>
  <r>
    <x v="9"/>
  </r>
  <r>
    <x v="86"/>
  </r>
  <r>
    <x v="86"/>
  </r>
  <r>
    <x v="9"/>
  </r>
  <r>
    <x v="56"/>
  </r>
  <r>
    <x v="22"/>
  </r>
  <r>
    <x v="22"/>
  </r>
  <r>
    <x v="22"/>
  </r>
  <r>
    <x v="24"/>
  </r>
  <r>
    <x v="87"/>
  </r>
  <r>
    <x v="0"/>
  </r>
  <r>
    <x v="12"/>
  </r>
  <r>
    <x v="12"/>
  </r>
  <r>
    <x v="12"/>
  </r>
  <r>
    <x v="12"/>
  </r>
  <r>
    <x v="0"/>
  </r>
  <r>
    <x v="0"/>
  </r>
  <r>
    <x v="19"/>
  </r>
  <r>
    <x v="68"/>
  </r>
  <r>
    <x v="2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0"/>
  </r>
  <r>
    <x v="9"/>
  </r>
  <r>
    <x v="9"/>
  </r>
  <r>
    <x v="9"/>
  </r>
  <r>
    <x v="16"/>
  </r>
  <r>
    <x v="16"/>
  </r>
  <r>
    <x v="16"/>
  </r>
  <r>
    <x v="131"/>
  </r>
  <r>
    <x v="6"/>
  </r>
  <r>
    <x v="33"/>
  </r>
  <r>
    <x v="57"/>
  </r>
  <r>
    <x v="71"/>
  </r>
  <r>
    <x v="8"/>
  </r>
  <r>
    <x v="28"/>
  </r>
  <r>
    <x v="28"/>
  </r>
  <r>
    <x v="147"/>
  </r>
  <r>
    <x v="71"/>
  </r>
  <r>
    <x v="71"/>
  </r>
  <r>
    <x v="71"/>
  </r>
  <r>
    <x v="71"/>
  </r>
  <r>
    <x v="71"/>
  </r>
  <r>
    <x v="71"/>
  </r>
  <r>
    <x v="14"/>
  </r>
  <r>
    <x v="14"/>
  </r>
  <r>
    <x v="14"/>
  </r>
  <r>
    <x v="14"/>
  </r>
  <r>
    <x v="14"/>
  </r>
  <r>
    <x v="14"/>
  </r>
  <r>
    <x v="14"/>
  </r>
  <r>
    <x v="68"/>
  </r>
  <r>
    <x v="19"/>
  </r>
  <r>
    <x v="7"/>
  </r>
  <r>
    <x v="57"/>
  </r>
  <r>
    <x v="57"/>
  </r>
  <r>
    <x v="57"/>
  </r>
  <r>
    <x v="28"/>
  </r>
  <r>
    <x v="71"/>
  </r>
  <r>
    <x v="50"/>
  </r>
  <r>
    <x v="138"/>
  </r>
  <r>
    <x v="56"/>
  </r>
  <r>
    <x v="25"/>
  </r>
  <r>
    <x v="71"/>
  </r>
  <r>
    <x v="71"/>
  </r>
  <r>
    <x v="71"/>
  </r>
  <r>
    <x v="16"/>
  </r>
  <r>
    <x v="391"/>
  </r>
  <r>
    <x v="391"/>
  </r>
  <r>
    <x v="16"/>
  </r>
  <r>
    <x v="2"/>
  </r>
  <r>
    <x v="2"/>
  </r>
  <r>
    <x v="7"/>
  </r>
  <r>
    <x v="7"/>
  </r>
  <r>
    <x v="7"/>
  </r>
  <r>
    <x v="4"/>
  </r>
  <r>
    <x v="4"/>
  </r>
  <r>
    <x v="31"/>
  </r>
  <r>
    <x v="86"/>
  </r>
  <r>
    <x v="10"/>
  </r>
  <r>
    <x v="78"/>
  </r>
  <r>
    <x v="24"/>
  </r>
  <r>
    <x v="122"/>
  </r>
  <r>
    <x v="42"/>
  </r>
  <r>
    <x v="42"/>
  </r>
  <r>
    <x v="0"/>
  </r>
  <r>
    <x v="4"/>
  </r>
  <r>
    <x v="4"/>
  </r>
  <r>
    <x v="4"/>
  </r>
  <r>
    <x v="28"/>
  </r>
  <r>
    <x v="4"/>
  </r>
  <r>
    <x v="4"/>
  </r>
  <r>
    <x v="145"/>
  </r>
  <r>
    <x v="145"/>
  </r>
  <r>
    <x v="145"/>
  </r>
  <r>
    <x v="0"/>
  </r>
  <r>
    <x v="42"/>
  </r>
  <r>
    <x v="15"/>
  </r>
  <r>
    <x v="7"/>
  </r>
  <r>
    <x v="7"/>
  </r>
  <r>
    <x v="7"/>
  </r>
  <r>
    <x v="34"/>
  </r>
  <r>
    <x v="0"/>
  </r>
  <r>
    <x v="7"/>
  </r>
  <r>
    <x v="7"/>
  </r>
  <r>
    <x v="7"/>
  </r>
  <r>
    <x v="68"/>
  </r>
  <r>
    <x v="4"/>
  </r>
  <r>
    <x v="0"/>
  </r>
  <r>
    <x v="0"/>
  </r>
  <r>
    <x v="31"/>
  </r>
  <r>
    <x v="31"/>
  </r>
  <r>
    <x v="123"/>
  </r>
  <r>
    <x v="25"/>
  </r>
  <r>
    <x v="12"/>
  </r>
  <r>
    <x v="0"/>
  </r>
  <r>
    <x v="0"/>
  </r>
  <r>
    <x v="0"/>
  </r>
  <r>
    <x v="0"/>
  </r>
  <r>
    <x v="0"/>
  </r>
  <r>
    <x v="0"/>
  </r>
  <r>
    <x v="0"/>
  </r>
  <r>
    <x v="56"/>
  </r>
  <r>
    <x v="28"/>
  </r>
  <r>
    <x v="6"/>
  </r>
  <r>
    <x v="12"/>
  </r>
  <r>
    <x v="12"/>
  </r>
  <r>
    <x v="42"/>
  </r>
  <r>
    <x v="71"/>
  </r>
  <r>
    <x v="14"/>
  </r>
  <r>
    <x v="12"/>
  </r>
  <r>
    <x v="14"/>
  </r>
  <r>
    <x v="10"/>
  </r>
  <r>
    <x v="2"/>
  </r>
  <r>
    <x v="37"/>
  </r>
  <r>
    <x v="71"/>
  </r>
  <r>
    <x v="28"/>
  </r>
  <r>
    <x v="0"/>
  </r>
  <r>
    <x v="0"/>
  </r>
  <r>
    <x v="4"/>
  </r>
  <r>
    <x v="53"/>
  </r>
  <r>
    <x v="71"/>
  </r>
  <r>
    <x v="28"/>
  </r>
  <r>
    <x v="28"/>
  </r>
  <r>
    <x v="28"/>
  </r>
  <r>
    <x v="28"/>
  </r>
  <r>
    <x v="7"/>
  </r>
  <r>
    <x v="7"/>
  </r>
  <r>
    <x v="14"/>
  </r>
  <r>
    <x v="28"/>
  </r>
  <r>
    <x v="28"/>
  </r>
  <r>
    <x v="28"/>
  </r>
  <r>
    <x v="28"/>
  </r>
  <r>
    <x v="16"/>
  </r>
  <r>
    <x v="14"/>
  </r>
  <r>
    <x v="14"/>
  </r>
  <r>
    <x v="14"/>
  </r>
  <r>
    <x v="80"/>
  </r>
  <r>
    <x v="7"/>
  </r>
  <r>
    <x v="56"/>
  </r>
  <r>
    <x v="9"/>
  </r>
  <r>
    <x v="42"/>
  </r>
  <r>
    <x v="1"/>
  </r>
  <r>
    <x v="14"/>
  </r>
  <r>
    <x v="14"/>
  </r>
  <r>
    <x v="4"/>
  </r>
  <r>
    <x v="28"/>
  </r>
  <r>
    <x v="28"/>
  </r>
  <r>
    <x v="123"/>
  </r>
  <r>
    <x v="123"/>
  </r>
  <r>
    <x v="19"/>
  </r>
  <r>
    <x v="7"/>
  </r>
  <r>
    <x v="71"/>
  </r>
  <r>
    <x v="71"/>
  </r>
  <r>
    <x v="63"/>
  </r>
  <r>
    <x v="63"/>
  </r>
  <r>
    <x v="9"/>
  </r>
  <r>
    <x v="22"/>
  </r>
  <r>
    <x v="64"/>
  </r>
  <r>
    <x v="0"/>
  </r>
  <r>
    <x v="16"/>
  </r>
  <r>
    <x v="32"/>
  </r>
  <r>
    <x v="32"/>
  </r>
  <r>
    <x v="32"/>
  </r>
  <r>
    <x v="28"/>
  </r>
  <r>
    <x v="103"/>
  </r>
  <r>
    <x v="14"/>
  </r>
  <r>
    <x v="24"/>
  </r>
  <r>
    <x v="4"/>
  </r>
  <r>
    <x v="42"/>
  </r>
  <r>
    <x v="4"/>
  </r>
  <r>
    <x v="42"/>
  </r>
  <r>
    <x v="4"/>
  </r>
  <r>
    <x v="25"/>
  </r>
  <r>
    <x v="28"/>
  </r>
  <r>
    <x v="143"/>
  </r>
  <r>
    <x v="48"/>
  </r>
  <r>
    <x v="57"/>
  </r>
  <r>
    <x v="57"/>
  </r>
  <r>
    <x v="57"/>
  </r>
  <r>
    <x v="25"/>
  </r>
  <r>
    <x v="76"/>
  </r>
  <r>
    <x v="57"/>
  </r>
  <r>
    <x v="71"/>
  </r>
  <r>
    <x v="71"/>
  </r>
  <r>
    <x v="71"/>
  </r>
  <r>
    <x v="12"/>
  </r>
  <r>
    <x v="28"/>
  </r>
  <r>
    <x v="147"/>
  </r>
  <r>
    <x v="7"/>
  </r>
  <r>
    <x v="7"/>
  </r>
  <r>
    <x v="71"/>
  </r>
  <r>
    <x v="42"/>
  </r>
  <r>
    <x v="42"/>
  </r>
  <r>
    <x v="42"/>
  </r>
  <r>
    <x v="148"/>
  </r>
  <r>
    <x v="21"/>
  </r>
  <r>
    <x v="21"/>
  </r>
  <r>
    <x v="71"/>
  </r>
  <r>
    <x v="42"/>
  </r>
  <r>
    <x v="42"/>
  </r>
  <r>
    <x v="9"/>
  </r>
  <r>
    <x v="12"/>
  </r>
  <r>
    <x v="37"/>
  </r>
  <r>
    <x v="9"/>
  </r>
  <r>
    <x v="71"/>
  </r>
  <r>
    <x v="9"/>
  </r>
  <r>
    <x v="4"/>
  </r>
  <r>
    <x v="141"/>
  </r>
  <r>
    <x v="7"/>
  </r>
  <r>
    <x v="1"/>
  </r>
  <r>
    <x v="3"/>
  </r>
  <r>
    <x v="34"/>
  </r>
  <r>
    <x v="68"/>
  </r>
  <r>
    <x v="68"/>
  </r>
  <r>
    <x v="4"/>
  </r>
  <r>
    <x v="68"/>
  </r>
  <r>
    <x v="4"/>
  </r>
  <r>
    <x v="42"/>
  </r>
  <r>
    <x v="16"/>
  </r>
  <r>
    <x v="79"/>
  </r>
  <r>
    <x v="24"/>
  </r>
  <r>
    <x v="19"/>
  </r>
  <r>
    <x v="19"/>
  </r>
  <r>
    <x v="19"/>
  </r>
  <r>
    <x v="57"/>
  </r>
  <r>
    <x v="143"/>
  </r>
  <r>
    <x v="93"/>
  </r>
  <r>
    <x v="45"/>
  </r>
  <r>
    <x v="71"/>
  </r>
  <r>
    <x v="166"/>
  </r>
  <r>
    <x v="12"/>
  </r>
  <r>
    <x v="243"/>
  </r>
  <r>
    <x v="19"/>
  </r>
  <r>
    <x v="147"/>
  </r>
  <r>
    <x v="37"/>
  </r>
  <r>
    <x v="71"/>
  </r>
  <r>
    <x v="39"/>
  </r>
  <r>
    <x v="11"/>
  </r>
  <r>
    <x v="42"/>
  </r>
  <r>
    <x v="21"/>
  </r>
  <r>
    <x v="19"/>
  </r>
  <r>
    <x v="27"/>
  </r>
  <r>
    <x v="27"/>
  </r>
  <r>
    <x v="31"/>
  </r>
  <r>
    <x v="68"/>
  </r>
  <r>
    <x v="64"/>
  </r>
  <r>
    <x v="71"/>
  </r>
  <r>
    <x v="22"/>
  </r>
  <r>
    <x v="145"/>
  </r>
  <r>
    <x v="14"/>
  </r>
  <r>
    <x v="27"/>
  </r>
  <r>
    <x v="27"/>
  </r>
  <r>
    <x v="4"/>
  </r>
  <r>
    <x v="53"/>
  </r>
  <r>
    <x v="4"/>
  </r>
  <r>
    <x v="68"/>
  </r>
  <r>
    <x v="68"/>
  </r>
  <r>
    <x v="68"/>
  </r>
  <r>
    <x v="68"/>
  </r>
  <r>
    <x v="68"/>
  </r>
  <r>
    <x v="163"/>
  </r>
  <r>
    <x v="21"/>
  </r>
  <r>
    <x v="24"/>
  </r>
  <r>
    <x v="71"/>
  </r>
  <r>
    <x v="0"/>
  </r>
  <r>
    <x v="0"/>
  </r>
  <r>
    <x v="7"/>
  </r>
  <r>
    <x v="7"/>
  </r>
  <r>
    <x v="14"/>
  </r>
  <r>
    <x v="6"/>
  </r>
  <r>
    <x v="24"/>
  </r>
  <r>
    <x v="24"/>
  </r>
  <r>
    <x v="0"/>
  </r>
  <r>
    <x v="7"/>
  </r>
  <r>
    <x v="14"/>
  </r>
  <r>
    <x v="14"/>
  </r>
  <r>
    <x v="3"/>
  </r>
  <r>
    <x v="4"/>
  </r>
  <r>
    <x v="0"/>
  </r>
  <r>
    <x v="0"/>
  </r>
  <r>
    <x v="9"/>
  </r>
  <r>
    <x v="4"/>
  </r>
  <r>
    <x v="24"/>
  </r>
  <r>
    <x v="8"/>
  </r>
  <r>
    <x v="8"/>
  </r>
  <r>
    <x v="68"/>
  </r>
  <r>
    <x v="14"/>
  </r>
  <r>
    <x v="28"/>
  </r>
  <r>
    <x v="28"/>
  </r>
  <r>
    <x v="22"/>
  </r>
  <r>
    <x v="14"/>
  </r>
  <r>
    <x v="14"/>
  </r>
  <r>
    <x v="14"/>
  </r>
  <r>
    <x v="141"/>
  </r>
  <r>
    <x v="53"/>
  </r>
  <r>
    <x v="19"/>
  </r>
  <r>
    <x v="71"/>
  </r>
  <r>
    <x v="123"/>
  </r>
  <r>
    <x v="16"/>
  </r>
  <r>
    <x v="145"/>
  </r>
  <r>
    <x v="68"/>
  </r>
  <r>
    <x v="4"/>
  </r>
  <r>
    <x v="28"/>
  </r>
  <r>
    <x v="54"/>
  </r>
  <r>
    <x v="54"/>
  </r>
  <r>
    <x v="71"/>
  </r>
  <r>
    <x v="25"/>
  </r>
  <r>
    <x v="37"/>
  </r>
  <r>
    <x v="6"/>
  </r>
  <r>
    <x v="6"/>
  </r>
  <r>
    <x v="71"/>
  </r>
  <r>
    <x v="10"/>
  </r>
  <r>
    <x v="10"/>
  </r>
  <r>
    <x v="7"/>
  </r>
  <r>
    <x v="7"/>
  </r>
  <r>
    <x v="7"/>
  </r>
  <r>
    <x v="10"/>
  </r>
  <r>
    <x v="53"/>
  </r>
  <r>
    <x v="57"/>
  </r>
  <r>
    <x v="37"/>
  </r>
  <r>
    <x v="37"/>
  </r>
  <r>
    <x v="71"/>
  </r>
  <r>
    <x v="71"/>
  </r>
  <r>
    <x v="28"/>
  </r>
  <r>
    <x v="3"/>
  </r>
  <r>
    <x v="3"/>
  </r>
  <r>
    <x v="14"/>
  </r>
  <r>
    <x v="71"/>
  </r>
  <r>
    <x v="71"/>
  </r>
  <r>
    <x v="0"/>
  </r>
  <r>
    <x v="53"/>
  </r>
  <r>
    <x v="53"/>
  </r>
  <r>
    <x v="57"/>
  </r>
  <r>
    <x v="57"/>
  </r>
  <r>
    <x v="57"/>
  </r>
  <r>
    <x v="151"/>
  </r>
  <r>
    <x v="151"/>
  </r>
  <r>
    <x v="45"/>
  </r>
  <r>
    <x v="1"/>
  </r>
  <r>
    <x v="0"/>
  </r>
  <r>
    <x v="0"/>
  </r>
  <r>
    <x v="71"/>
  </r>
  <r>
    <x v="57"/>
  </r>
  <r>
    <x v="57"/>
  </r>
  <r>
    <x v="57"/>
  </r>
  <r>
    <x v="68"/>
  </r>
  <r>
    <x v="68"/>
  </r>
  <r>
    <x v="57"/>
  </r>
  <r>
    <x v="151"/>
  </r>
  <r>
    <x v="151"/>
  </r>
  <r>
    <x v="22"/>
  </r>
  <r>
    <x v="71"/>
  </r>
  <r>
    <x v="42"/>
  </r>
  <r>
    <x v="22"/>
  </r>
  <r>
    <x v="22"/>
  </r>
  <r>
    <x v="9"/>
  </r>
  <r>
    <x v="87"/>
  </r>
  <r>
    <x v="57"/>
  </r>
  <r>
    <x v="57"/>
  </r>
  <r>
    <x v="57"/>
  </r>
  <r>
    <x v="21"/>
  </r>
  <r>
    <x v="31"/>
  </r>
  <r>
    <x v="57"/>
  </r>
  <r>
    <x v="151"/>
  </r>
  <r>
    <x v="22"/>
  </r>
  <r>
    <x v="22"/>
  </r>
  <r>
    <x v="22"/>
  </r>
  <r>
    <x v="19"/>
  </r>
  <r>
    <x v="68"/>
  </r>
  <r>
    <x v="57"/>
  </r>
  <r>
    <x v="9"/>
  </r>
  <r>
    <x v="9"/>
  </r>
  <r>
    <x v="28"/>
  </r>
  <r>
    <x v="9"/>
  </r>
  <r>
    <x v="0"/>
  </r>
  <r>
    <x v="152"/>
  </r>
  <r>
    <x v="0"/>
  </r>
  <r>
    <x v="0"/>
  </r>
  <r>
    <x v="0"/>
  </r>
  <r>
    <x v="14"/>
  </r>
  <r>
    <x v="14"/>
  </r>
  <r>
    <x v="14"/>
  </r>
  <r>
    <x v="9"/>
  </r>
  <r>
    <x v="52"/>
  </r>
  <r>
    <x v="9"/>
  </r>
  <r>
    <x v="9"/>
  </r>
  <r>
    <x v="0"/>
  </r>
  <r>
    <x v="0"/>
  </r>
  <r>
    <x v="21"/>
  </r>
  <r>
    <x v="12"/>
  </r>
  <r>
    <x v="9"/>
  </r>
  <r>
    <x v="64"/>
  </r>
  <r>
    <x v="64"/>
  </r>
  <r>
    <x v="36"/>
  </r>
  <r>
    <x v="36"/>
  </r>
  <r>
    <x v="36"/>
  </r>
  <r>
    <x v="36"/>
  </r>
  <r>
    <x v="36"/>
  </r>
  <r>
    <x v="57"/>
  </r>
  <r>
    <x v="57"/>
  </r>
  <r>
    <x v="42"/>
  </r>
  <r>
    <x v="42"/>
  </r>
  <r>
    <x v="42"/>
  </r>
  <r>
    <x v="42"/>
  </r>
  <r>
    <x v="0"/>
  </r>
  <r>
    <x v="0"/>
  </r>
  <r>
    <x v="0"/>
  </r>
  <r>
    <x v="0"/>
  </r>
  <r>
    <x v="0"/>
  </r>
  <r>
    <x v="92"/>
  </r>
  <r>
    <x v="0"/>
  </r>
  <r>
    <x v="0"/>
  </r>
  <r>
    <x v="0"/>
  </r>
  <r>
    <x v="0"/>
  </r>
  <r>
    <x v="0"/>
  </r>
  <r>
    <x v="120"/>
  </r>
  <r>
    <x v="152"/>
  </r>
  <r>
    <x v="152"/>
  </r>
  <r>
    <x v="10"/>
  </r>
  <r>
    <x v="16"/>
  </r>
  <r>
    <x v="56"/>
  </r>
  <r>
    <x v="56"/>
  </r>
  <r>
    <x v="56"/>
  </r>
  <r>
    <x v="56"/>
  </r>
  <r>
    <x v="138"/>
  </r>
  <r>
    <x v="0"/>
  </r>
  <r>
    <x v="0"/>
  </r>
  <r>
    <x v="0"/>
  </r>
  <r>
    <x v="11"/>
  </r>
  <r>
    <x v="10"/>
  </r>
  <r>
    <x v="68"/>
  </r>
  <r>
    <x v="122"/>
  </r>
  <r>
    <x v="71"/>
  </r>
  <r>
    <x v="56"/>
  </r>
  <r>
    <x v="7"/>
  </r>
  <r>
    <x v="0"/>
  </r>
  <r>
    <x v="42"/>
  </r>
  <r>
    <x v="7"/>
  </r>
  <r>
    <x v="7"/>
  </r>
  <r>
    <x v="7"/>
  </r>
  <r>
    <x v="7"/>
  </r>
  <r>
    <x v="11"/>
  </r>
  <r>
    <x v="0"/>
  </r>
  <r>
    <x v="0"/>
  </r>
  <r>
    <x v="45"/>
  </r>
  <r>
    <x v="19"/>
  </r>
  <r>
    <x v="7"/>
  </r>
  <r>
    <x v="4"/>
  </r>
  <r>
    <x v="4"/>
  </r>
  <r>
    <x v="16"/>
  </r>
  <r>
    <x v="0"/>
  </r>
  <r>
    <x v="0"/>
  </r>
  <r>
    <x v="19"/>
  </r>
  <r>
    <x v="0"/>
  </r>
  <r>
    <x v="0"/>
  </r>
  <r>
    <x v="115"/>
  </r>
  <r>
    <x v="51"/>
  </r>
  <r>
    <x v="11"/>
  </r>
  <r>
    <x v="114"/>
  </r>
  <r>
    <x v="24"/>
  </r>
  <r>
    <x v="6"/>
  </r>
  <r>
    <x v="24"/>
  </r>
  <r>
    <x v="24"/>
  </r>
  <r>
    <x v="6"/>
  </r>
  <r>
    <x v="6"/>
  </r>
  <r>
    <x v="6"/>
  </r>
  <r>
    <x v="6"/>
  </r>
  <r>
    <x v="10"/>
  </r>
  <r>
    <x v="9"/>
  </r>
  <r>
    <x v="6"/>
  </r>
  <r>
    <x v="4"/>
  </r>
  <r>
    <x v="43"/>
  </r>
  <r>
    <x v="10"/>
  </r>
  <r>
    <x v="4"/>
  </r>
  <r>
    <x v="48"/>
  </r>
  <r>
    <x v="10"/>
  </r>
  <r>
    <x v="42"/>
  </r>
  <r>
    <x v="24"/>
  </r>
  <r>
    <x v="19"/>
  </r>
  <r>
    <x v="19"/>
  </r>
  <r>
    <x v="19"/>
  </r>
  <r>
    <x v="12"/>
  </r>
  <r>
    <x v="152"/>
  </r>
  <r>
    <x v="152"/>
  </r>
  <r>
    <x v="152"/>
  </r>
  <r>
    <x v="92"/>
  </r>
  <r>
    <x v="12"/>
  </r>
  <r>
    <x v="12"/>
  </r>
  <r>
    <x v="12"/>
  </r>
  <r>
    <x v="69"/>
  </r>
  <r>
    <x v="69"/>
  </r>
  <r>
    <x v="29"/>
  </r>
  <r>
    <x v="63"/>
  </r>
  <r>
    <x v="87"/>
  </r>
  <r>
    <x v="42"/>
  </r>
  <r>
    <x v="10"/>
  </r>
  <r>
    <x v="25"/>
  </r>
  <r>
    <x v="0"/>
  </r>
  <r>
    <x v="56"/>
  </r>
  <r>
    <x v="0"/>
  </r>
  <r>
    <x v="42"/>
  </r>
  <r>
    <x v="31"/>
  </r>
  <r>
    <x v="152"/>
  </r>
  <r>
    <x v="42"/>
  </r>
  <r>
    <x v="102"/>
  </r>
  <r>
    <x v="28"/>
  </r>
  <r>
    <x v="31"/>
  </r>
  <r>
    <x v="12"/>
  </r>
  <r>
    <x v="64"/>
  </r>
  <r>
    <x v="64"/>
  </r>
  <r>
    <x v="15"/>
  </r>
  <r>
    <x v="15"/>
  </r>
  <r>
    <x v="12"/>
  </r>
  <r>
    <x v="64"/>
  </r>
  <r>
    <x v="12"/>
  </r>
  <r>
    <x v="56"/>
  </r>
  <r>
    <x v="11"/>
  </r>
  <r>
    <x v="57"/>
  </r>
  <r>
    <x v="9"/>
  </r>
  <r>
    <x v="2"/>
  </r>
  <r>
    <x v="45"/>
  </r>
  <r>
    <x v="14"/>
  </r>
  <r>
    <x v="0"/>
  </r>
  <r>
    <x v="4"/>
  </r>
  <r>
    <x v="10"/>
  </r>
  <r>
    <x v="152"/>
  </r>
  <r>
    <x v="152"/>
  </r>
  <r>
    <x v="19"/>
  </r>
  <r>
    <x v="10"/>
  </r>
  <r>
    <x v="9"/>
  </r>
  <r>
    <x v="16"/>
  </r>
  <r>
    <x v="14"/>
  </r>
  <r>
    <x v="0"/>
  </r>
  <r>
    <x v="4"/>
  </r>
  <r>
    <x v="42"/>
  </r>
  <r>
    <x v="42"/>
  </r>
  <r>
    <x v="152"/>
  </r>
  <r>
    <x v="12"/>
  </r>
  <r>
    <x v="1"/>
  </r>
  <r>
    <x v="64"/>
  </r>
  <r>
    <x v="7"/>
  </r>
  <r>
    <x v="17"/>
  </r>
  <r>
    <x v="1"/>
  </r>
  <r>
    <x v="28"/>
  </r>
  <r>
    <x v="28"/>
  </r>
  <r>
    <x v="1"/>
  </r>
  <r>
    <x v="12"/>
  </r>
  <r>
    <x v="2"/>
  </r>
  <r>
    <x v="152"/>
  </r>
  <r>
    <x v="152"/>
  </r>
  <r>
    <x v="152"/>
  </r>
  <r>
    <x v="10"/>
  </r>
  <r>
    <x v="11"/>
  </r>
  <r>
    <x v="57"/>
  </r>
  <r>
    <x v="31"/>
  </r>
  <r>
    <x v="21"/>
  </r>
  <r>
    <x v="31"/>
  </r>
  <r>
    <x v="123"/>
  </r>
  <r>
    <x v="6"/>
  </r>
  <r>
    <x v="111"/>
  </r>
  <r>
    <x v="7"/>
  </r>
  <r>
    <x v="7"/>
  </r>
  <r>
    <x v="48"/>
  </r>
  <r>
    <x v="4"/>
  </r>
  <r>
    <x v="16"/>
  </r>
  <r>
    <x v="128"/>
  </r>
  <r>
    <x v="16"/>
  </r>
  <r>
    <x v="16"/>
  </r>
  <r>
    <x v="14"/>
  </r>
  <r>
    <x v="42"/>
  </r>
  <r>
    <x v="4"/>
  </r>
  <r>
    <x v="31"/>
  </r>
  <r>
    <x v="21"/>
  </r>
  <r>
    <x v="16"/>
  </r>
  <r>
    <x v="57"/>
  </r>
  <r>
    <x v="12"/>
  </r>
  <r>
    <x v="10"/>
  </r>
  <r>
    <x v="10"/>
  </r>
  <r>
    <x v="4"/>
  </r>
  <r>
    <x v="155"/>
  </r>
  <r>
    <x v="0"/>
  </r>
  <r>
    <x v="163"/>
  </r>
  <r>
    <x v="45"/>
  </r>
  <r>
    <x v="12"/>
  </r>
  <r>
    <x v="0"/>
  </r>
  <r>
    <x v="71"/>
  </r>
  <r>
    <x v="71"/>
  </r>
  <r>
    <x v="32"/>
  </r>
  <r>
    <x v="10"/>
  </r>
  <r>
    <x v="25"/>
  </r>
  <r>
    <x v="9"/>
  </r>
  <r>
    <x v="123"/>
  </r>
  <r>
    <x v="42"/>
  </r>
  <r>
    <x v="4"/>
  </r>
  <r>
    <x v="4"/>
  </r>
  <r>
    <x v="131"/>
  </r>
  <r>
    <x v="48"/>
  </r>
  <r>
    <x v="76"/>
  </r>
  <r>
    <x v="10"/>
  </r>
  <r>
    <x v="57"/>
  </r>
  <r>
    <x v="10"/>
  </r>
  <r>
    <x v="28"/>
  </r>
  <r>
    <x v="77"/>
  </r>
  <r>
    <x v="16"/>
  </r>
  <r>
    <x v="14"/>
  </r>
  <r>
    <x v="71"/>
  </r>
  <r>
    <x v="28"/>
  </r>
  <r>
    <x v="12"/>
  </r>
  <r>
    <x v="12"/>
  </r>
  <r>
    <x v="123"/>
  </r>
  <r>
    <x v="123"/>
  </r>
  <r>
    <x v="123"/>
  </r>
  <r>
    <x v="169"/>
  </r>
  <r>
    <x v="11"/>
  </r>
  <r>
    <x v="28"/>
  </r>
  <r>
    <x v="42"/>
  </r>
  <r>
    <x v="11"/>
  </r>
  <r>
    <x v="182"/>
  </r>
  <r>
    <x v="123"/>
  </r>
  <r>
    <x v="31"/>
  </r>
  <r>
    <x v="45"/>
  </r>
  <r>
    <x v="45"/>
  </r>
  <r>
    <x v="123"/>
  </r>
  <r>
    <x v="150"/>
  </r>
  <r>
    <x v="71"/>
  </r>
  <r>
    <x v="7"/>
  </r>
  <r>
    <x v="1"/>
  </r>
  <r>
    <x v="77"/>
  </r>
  <r>
    <x v="10"/>
  </r>
  <r>
    <x v="10"/>
  </r>
  <r>
    <x v="4"/>
  </r>
  <r>
    <x v="2"/>
  </r>
  <r>
    <x v="16"/>
  </r>
  <r>
    <x v="165"/>
  </r>
  <r>
    <x v="76"/>
  </r>
  <r>
    <x v="42"/>
  </r>
  <r>
    <x v="42"/>
  </r>
  <r>
    <x v="57"/>
  </r>
  <r>
    <x v="7"/>
  </r>
  <r>
    <x v="9"/>
  </r>
  <r>
    <x v="31"/>
  </r>
  <r>
    <x v="31"/>
  </r>
  <r>
    <x v="10"/>
  </r>
  <r>
    <x v="152"/>
  </r>
  <r>
    <x v="152"/>
  </r>
  <r>
    <x v="1"/>
  </r>
  <r>
    <x v="152"/>
  </r>
  <r>
    <x v="152"/>
  </r>
  <r>
    <x v="152"/>
  </r>
  <r>
    <x v="152"/>
  </r>
  <r>
    <x v="152"/>
  </r>
  <r>
    <x v="152"/>
  </r>
  <r>
    <x v="152"/>
  </r>
  <r>
    <x v="152"/>
  </r>
  <r>
    <x v="0"/>
  </r>
  <r>
    <x v="42"/>
  </r>
  <r>
    <x v="42"/>
  </r>
  <r>
    <x v="10"/>
  </r>
  <r>
    <x v="28"/>
  </r>
  <r>
    <x v="36"/>
  </r>
  <r>
    <x v="36"/>
  </r>
  <r>
    <x v="36"/>
  </r>
  <r>
    <x v="115"/>
  </r>
  <r>
    <x v="14"/>
  </r>
  <r>
    <x v="16"/>
  </r>
  <r>
    <x v="16"/>
  </r>
  <r>
    <x v="42"/>
  </r>
  <r>
    <x v="27"/>
  </r>
  <r>
    <x v="0"/>
  </r>
  <r>
    <x v="2"/>
  </r>
  <r>
    <x v="19"/>
  </r>
  <r>
    <x v="152"/>
  </r>
  <r>
    <x v="84"/>
  </r>
  <r>
    <x v="16"/>
  </r>
  <r>
    <x v="0"/>
  </r>
  <r>
    <x v="0"/>
  </r>
  <r>
    <x v="19"/>
  </r>
  <r>
    <x v="43"/>
  </r>
  <r>
    <x v="2"/>
  </r>
  <r>
    <x v="123"/>
  </r>
  <r>
    <x v="123"/>
  </r>
  <r>
    <x v="123"/>
  </r>
  <r>
    <x v="0"/>
  </r>
  <r>
    <x v="138"/>
  </r>
  <r>
    <x v="4"/>
  </r>
  <r>
    <x v="0"/>
  </r>
  <r>
    <x v="0"/>
  </r>
  <r>
    <x v="0"/>
  </r>
  <r>
    <x v="0"/>
  </r>
  <r>
    <x v="48"/>
  </r>
  <r>
    <x v="0"/>
  </r>
  <r>
    <x v="0"/>
  </r>
  <r>
    <x v="0"/>
  </r>
  <r>
    <x v="0"/>
  </r>
  <r>
    <x v="28"/>
  </r>
  <r>
    <x v="24"/>
  </r>
  <r>
    <x v="1"/>
  </r>
  <r>
    <x v="1"/>
  </r>
  <r>
    <x v="19"/>
  </r>
  <r>
    <x v="14"/>
  </r>
  <r>
    <x v="46"/>
  </r>
  <r>
    <x v="1"/>
  </r>
  <r>
    <x v="19"/>
  </r>
  <r>
    <x v="16"/>
  </r>
  <r>
    <x v="87"/>
  </r>
  <r>
    <x v="6"/>
  </r>
  <r>
    <x v="6"/>
  </r>
  <r>
    <x v="6"/>
  </r>
  <r>
    <x v="24"/>
  </r>
  <r>
    <x v="76"/>
  </r>
  <r>
    <x v="10"/>
  </r>
  <r>
    <x v="43"/>
  </r>
  <r>
    <x v="12"/>
  </r>
  <r>
    <x v="7"/>
  </r>
  <r>
    <x v="4"/>
  </r>
  <r>
    <x v="57"/>
  </r>
  <r>
    <x v="14"/>
  </r>
  <r>
    <x v="9"/>
  </r>
  <r>
    <x v="77"/>
  </r>
  <r>
    <x v="89"/>
  </r>
  <r>
    <x v="24"/>
  </r>
  <r>
    <x v="28"/>
  </r>
  <r>
    <x v="24"/>
  </r>
  <r>
    <x v="0"/>
  </r>
  <r>
    <x v="2"/>
  </r>
  <r>
    <x v="9"/>
  </r>
  <r>
    <x v="4"/>
  </r>
  <r>
    <x v="9"/>
  </r>
  <r>
    <x v="7"/>
  </r>
  <r>
    <x v="4"/>
  </r>
  <r>
    <x v="0"/>
  </r>
  <r>
    <x v="27"/>
  </r>
  <r>
    <x v="42"/>
  </r>
  <r>
    <x v="22"/>
  </r>
  <r>
    <x v="12"/>
  </r>
  <r>
    <x v="10"/>
  </r>
  <r>
    <x v="78"/>
  </r>
  <r>
    <x v="78"/>
  </r>
  <r>
    <x v="78"/>
  </r>
  <r>
    <x v="78"/>
  </r>
  <r>
    <x v="78"/>
  </r>
  <r>
    <x v="78"/>
  </r>
  <r>
    <x v="126"/>
  </r>
  <r>
    <x v="11"/>
  </r>
  <r>
    <x v="19"/>
  </r>
  <r>
    <x v="19"/>
  </r>
  <r>
    <x v="19"/>
  </r>
  <r>
    <x v="0"/>
  </r>
  <r>
    <x v="19"/>
  </r>
  <r>
    <x v="4"/>
  </r>
  <r>
    <x v="24"/>
  </r>
  <r>
    <x v="71"/>
  </r>
  <r>
    <x v="0"/>
  </r>
  <r>
    <x v="12"/>
  </r>
  <r>
    <x v="9"/>
  </r>
  <r>
    <x v="11"/>
  </r>
  <r>
    <x v="34"/>
  </r>
  <r>
    <x v="14"/>
  </r>
  <r>
    <x v="0"/>
  </r>
  <r>
    <x v="45"/>
  </r>
  <r>
    <x v="14"/>
  </r>
  <r>
    <x v="131"/>
  </r>
  <r>
    <x v="15"/>
  </r>
  <r>
    <x v="7"/>
  </r>
  <r>
    <x v="0"/>
  </r>
  <r>
    <x v="6"/>
  </r>
  <r>
    <x v="10"/>
  </r>
  <r>
    <x v="14"/>
  </r>
  <r>
    <x v="45"/>
  </r>
  <r>
    <x v="7"/>
  </r>
  <r>
    <x v="16"/>
  </r>
  <r>
    <x v="16"/>
  </r>
  <r>
    <x v="17"/>
  </r>
  <r>
    <x v="19"/>
  </r>
  <r>
    <x v="11"/>
  </r>
  <r>
    <x v="4"/>
  </r>
  <r>
    <x v="8"/>
  </r>
  <r>
    <x v="87"/>
  </r>
  <r>
    <x v="11"/>
  </r>
  <r>
    <x v="63"/>
  </r>
  <r>
    <x v="123"/>
  </r>
  <r>
    <x v="25"/>
  </r>
  <r>
    <x v="102"/>
  </r>
  <r>
    <x v="24"/>
  </r>
  <r>
    <x v="12"/>
  </r>
  <r>
    <x v="4"/>
  </r>
  <r>
    <x v="64"/>
  </r>
  <r>
    <x v="28"/>
  </r>
  <r>
    <x v="10"/>
  </r>
  <r>
    <x v="37"/>
  </r>
  <r>
    <x v="37"/>
  </r>
  <r>
    <x v="45"/>
  </r>
  <r>
    <x v="8"/>
  </r>
  <r>
    <x v="56"/>
  </r>
  <r>
    <x v="57"/>
  </r>
  <r>
    <x v="57"/>
  </r>
  <r>
    <x v="1"/>
  </r>
  <r>
    <x v="14"/>
  </r>
  <r>
    <x v="147"/>
  </r>
  <r>
    <x v="19"/>
  </r>
  <r>
    <x v="0"/>
  </r>
  <r>
    <x v="0"/>
  </r>
  <r>
    <x v="2"/>
  </r>
  <r>
    <x v="16"/>
  </r>
  <r>
    <x v="19"/>
  </r>
  <r>
    <x v="47"/>
  </r>
  <r>
    <x v="29"/>
  </r>
  <r>
    <x v="10"/>
  </r>
  <r>
    <x v="10"/>
  </r>
  <r>
    <x v="152"/>
  </r>
  <r>
    <x v="4"/>
  </r>
  <r>
    <x v="48"/>
  </r>
  <r>
    <x v="134"/>
  </r>
  <r>
    <x v="4"/>
  </r>
  <r>
    <x v="10"/>
  </r>
  <r>
    <x v="10"/>
  </r>
  <r>
    <x v="10"/>
  </r>
  <r>
    <x v="10"/>
  </r>
  <r>
    <x v="76"/>
  </r>
  <r>
    <x v="10"/>
  </r>
  <r>
    <x v="10"/>
  </r>
  <r>
    <x v="2"/>
  </r>
  <r>
    <x v="51"/>
  </r>
  <r>
    <x v="7"/>
  </r>
  <r>
    <x v="7"/>
  </r>
  <r>
    <x v="7"/>
  </r>
  <r>
    <x v="48"/>
  </r>
  <r>
    <x v="12"/>
  </r>
  <r>
    <x v="12"/>
  </r>
  <r>
    <x v="11"/>
  </r>
  <r>
    <x v="12"/>
  </r>
  <r>
    <x v="12"/>
  </r>
  <r>
    <x v="12"/>
  </r>
  <r>
    <x v="2"/>
  </r>
  <r>
    <x v="4"/>
  </r>
  <r>
    <x v="16"/>
  </r>
  <r>
    <x v="12"/>
  </r>
  <r>
    <x v="55"/>
  </r>
  <r>
    <x v="10"/>
  </r>
  <r>
    <x v="10"/>
  </r>
  <r>
    <x v="10"/>
  </r>
  <r>
    <x v="10"/>
  </r>
  <r>
    <x v="10"/>
  </r>
  <r>
    <x v="42"/>
  </r>
  <r>
    <x v="42"/>
  </r>
  <r>
    <x v="42"/>
  </r>
  <r>
    <x v="16"/>
  </r>
  <r>
    <x v="16"/>
  </r>
  <r>
    <x v="71"/>
  </r>
  <r>
    <x v="10"/>
  </r>
  <r>
    <x v="19"/>
  </r>
  <r>
    <x v="86"/>
  </r>
  <r>
    <x v="86"/>
  </r>
  <r>
    <x v="56"/>
  </r>
  <r>
    <x v="56"/>
  </r>
  <r>
    <x v="56"/>
  </r>
  <r>
    <x v="19"/>
  </r>
  <r>
    <x v="53"/>
  </r>
  <r>
    <x v="12"/>
  </r>
  <r>
    <x v="12"/>
  </r>
  <r>
    <x v="12"/>
  </r>
  <r>
    <x v="56"/>
  </r>
  <r>
    <x v="16"/>
  </r>
  <r>
    <x v="16"/>
  </r>
  <r>
    <x v="16"/>
  </r>
  <r>
    <x v="16"/>
  </r>
  <r>
    <x v="16"/>
  </r>
  <r>
    <x v="16"/>
  </r>
  <r>
    <x v="161"/>
  </r>
  <r>
    <x v="9"/>
  </r>
  <r>
    <x v="86"/>
  </r>
  <r>
    <x v="56"/>
  </r>
  <r>
    <x v="64"/>
  </r>
  <r>
    <x v="86"/>
  </r>
  <r>
    <x v="86"/>
  </r>
  <r>
    <x v="15"/>
  </r>
  <r>
    <x v="10"/>
  </r>
  <r>
    <x v="10"/>
  </r>
  <r>
    <x v="10"/>
  </r>
  <r>
    <x v="10"/>
  </r>
  <r>
    <x v="10"/>
  </r>
  <r>
    <x v="9"/>
  </r>
  <r>
    <x v="9"/>
  </r>
  <r>
    <x v="80"/>
  </r>
  <r>
    <x v="4"/>
  </r>
  <r>
    <x v="12"/>
  </r>
  <r>
    <x v="75"/>
  </r>
  <r>
    <x v="6"/>
  </r>
  <r>
    <x v="169"/>
  </r>
  <r>
    <x v="12"/>
  </r>
  <r>
    <x v="12"/>
  </r>
  <r>
    <x v="12"/>
  </r>
  <r>
    <x v="9"/>
  </r>
  <r>
    <x v="14"/>
  </r>
  <r>
    <x v="9"/>
  </r>
  <r>
    <x v="14"/>
  </r>
  <r>
    <x v="8"/>
  </r>
  <r>
    <x v="14"/>
  </r>
  <r>
    <x v="12"/>
  </r>
  <r>
    <x v="28"/>
  </r>
  <r>
    <x v="14"/>
  </r>
  <r>
    <x v="1"/>
  </r>
  <r>
    <x v="55"/>
  </r>
  <r>
    <x v="161"/>
  </r>
  <r>
    <x v="55"/>
  </r>
  <r>
    <x v="55"/>
  </r>
  <r>
    <x v="55"/>
  </r>
  <r>
    <x v="55"/>
  </r>
  <r>
    <x v="12"/>
  </r>
  <r>
    <x v="19"/>
  </r>
  <r>
    <x v="19"/>
  </r>
  <r>
    <x v="123"/>
  </r>
  <r>
    <x v="29"/>
  </r>
  <r>
    <x v="19"/>
  </r>
  <r>
    <x v="12"/>
  </r>
  <r>
    <x v="12"/>
  </r>
  <r>
    <x v="12"/>
  </r>
  <r>
    <x v="12"/>
  </r>
  <r>
    <x v="12"/>
  </r>
  <r>
    <x v="12"/>
  </r>
  <r>
    <x v="12"/>
  </r>
  <r>
    <x v="14"/>
  </r>
  <r>
    <x v="14"/>
  </r>
  <r>
    <x v="12"/>
  </r>
  <r>
    <x v="9"/>
  </r>
  <r>
    <x v="9"/>
  </r>
  <r>
    <x v="12"/>
  </r>
  <r>
    <x v="12"/>
  </r>
  <r>
    <x v="14"/>
  </r>
  <r>
    <x v="14"/>
  </r>
  <r>
    <x v="14"/>
  </r>
  <r>
    <x v="19"/>
  </r>
  <r>
    <x v="9"/>
  </r>
  <r>
    <x v="19"/>
  </r>
  <r>
    <x v="9"/>
  </r>
  <r>
    <x v="123"/>
  </r>
  <r>
    <x v="12"/>
  </r>
  <r>
    <x v="12"/>
  </r>
  <r>
    <x v="12"/>
  </r>
  <r>
    <x v="19"/>
  </r>
  <r>
    <x v="160"/>
  </r>
  <r>
    <x v="19"/>
  </r>
  <r>
    <x v="19"/>
  </r>
  <r>
    <x v="9"/>
  </r>
  <r>
    <x v="19"/>
  </r>
  <r>
    <x v="12"/>
  </r>
  <r>
    <x v="12"/>
  </r>
  <r>
    <x v="123"/>
  </r>
  <r>
    <x v="123"/>
  </r>
  <r>
    <x v="14"/>
  </r>
  <r>
    <x v="14"/>
  </r>
  <r>
    <x v="9"/>
  </r>
  <r>
    <x v="28"/>
  </r>
  <r>
    <x v="28"/>
  </r>
  <r>
    <x v="9"/>
  </r>
  <r>
    <x v="123"/>
  </r>
  <r>
    <x v="19"/>
  </r>
  <r>
    <x v="24"/>
  </r>
  <r>
    <x v="19"/>
  </r>
  <r>
    <x v="19"/>
  </r>
  <r>
    <x v="19"/>
  </r>
  <r>
    <x v="28"/>
  </r>
  <r>
    <x v="56"/>
  </r>
  <r>
    <x v="0"/>
  </r>
  <r>
    <x v="14"/>
  </r>
  <r>
    <x v="14"/>
  </r>
  <r>
    <x v="14"/>
  </r>
  <r>
    <x v="14"/>
  </r>
  <r>
    <x v="28"/>
  </r>
  <r>
    <x v="28"/>
  </r>
  <r>
    <x v="19"/>
  </r>
  <r>
    <x v="4"/>
  </r>
  <r>
    <x v="28"/>
  </r>
  <r>
    <x v="28"/>
  </r>
  <r>
    <x v="11"/>
  </r>
  <r>
    <x v="11"/>
  </r>
  <r>
    <x v="11"/>
  </r>
  <r>
    <x v="9"/>
  </r>
  <r>
    <x v="0"/>
  </r>
  <r>
    <x v="0"/>
  </r>
  <r>
    <x v="0"/>
  </r>
  <r>
    <x v="28"/>
  </r>
  <r>
    <x v="28"/>
  </r>
  <r>
    <x v="12"/>
  </r>
  <r>
    <x v="28"/>
  </r>
  <r>
    <x v="28"/>
  </r>
  <r>
    <x v="56"/>
  </r>
  <r>
    <x v="37"/>
  </r>
  <r>
    <x v="43"/>
  </r>
  <r>
    <x v="81"/>
  </r>
  <r>
    <x v="42"/>
  </r>
  <r>
    <x v="12"/>
  </r>
  <r>
    <x v="16"/>
  </r>
  <r>
    <x v="11"/>
  </r>
  <r>
    <x v="11"/>
  </r>
  <r>
    <x v="12"/>
  </r>
  <r>
    <x v="8"/>
  </r>
  <r>
    <x v="12"/>
  </r>
  <r>
    <x v="12"/>
  </r>
  <r>
    <x v="10"/>
  </r>
  <r>
    <x v="53"/>
  </r>
  <r>
    <x v="1"/>
  </r>
  <r>
    <x v="1"/>
  </r>
  <r>
    <x v="0"/>
  </r>
  <r>
    <x v="17"/>
  </r>
  <r>
    <x v="57"/>
  </r>
  <r>
    <x v="0"/>
  </r>
  <r>
    <x v="24"/>
  </r>
  <r>
    <x v="0"/>
  </r>
  <r>
    <x v="28"/>
  </r>
  <r>
    <x v="28"/>
  </r>
  <r>
    <x v="14"/>
  </r>
  <r>
    <x v="0"/>
  </r>
  <r>
    <x v="130"/>
  </r>
  <r>
    <x v="16"/>
  </r>
  <r>
    <x v="28"/>
  </r>
  <r>
    <x v="54"/>
  </r>
  <r>
    <x v="54"/>
  </r>
  <r>
    <x v="54"/>
  </r>
  <r>
    <x v="2"/>
  </r>
  <r>
    <x v="2"/>
  </r>
  <r>
    <x v="2"/>
  </r>
  <r>
    <x v="89"/>
  </r>
  <r>
    <x v="79"/>
  </r>
  <r>
    <x v="37"/>
  </r>
  <r>
    <x v="37"/>
  </r>
  <r>
    <x v="39"/>
  </r>
  <r>
    <x v="12"/>
  </r>
  <r>
    <x v="108"/>
  </r>
  <r>
    <x v="25"/>
  </r>
  <r>
    <x v="85"/>
  </r>
  <r>
    <x v="22"/>
  </r>
  <r>
    <x v="124"/>
  </r>
  <r>
    <x v="124"/>
  </r>
  <r>
    <x v="123"/>
  </r>
  <r>
    <x v="28"/>
  </r>
  <r>
    <x v="28"/>
  </r>
  <r>
    <x v="42"/>
  </r>
  <r>
    <x v="52"/>
  </r>
  <r>
    <x v="48"/>
  </r>
  <r>
    <x v="8"/>
  </r>
  <r>
    <x v="12"/>
  </r>
  <r>
    <x v="12"/>
  </r>
  <r>
    <x v="10"/>
  </r>
  <r>
    <x v="10"/>
  </r>
  <r>
    <x v="10"/>
  </r>
  <r>
    <x v="28"/>
  </r>
  <r>
    <x v="51"/>
  </r>
  <r>
    <x v="51"/>
  </r>
  <r>
    <x v="28"/>
  </r>
  <r>
    <x v="29"/>
  </r>
  <r>
    <x v="29"/>
  </r>
  <r>
    <x v="0"/>
  </r>
  <r>
    <x v="57"/>
  </r>
  <r>
    <x v="54"/>
  </r>
  <r>
    <x v="42"/>
  </r>
  <r>
    <x v="21"/>
  </r>
  <r>
    <x v="48"/>
  </r>
  <r>
    <x v="10"/>
  </r>
  <r>
    <x v="10"/>
  </r>
  <r>
    <x v="0"/>
  </r>
  <r>
    <x v="0"/>
  </r>
  <r>
    <x v="42"/>
  </r>
  <r>
    <x v="4"/>
  </r>
  <r>
    <x v="4"/>
  </r>
  <r>
    <x v="39"/>
  </r>
  <r>
    <x v="53"/>
  </r>
  <r>
    <x v="124"/>
  </r>
  <r>
    <x v="53"/>
  </r>
  <r>
    <x v="53"/>
  </r>
  <r>
    <x v="53"/>
  </r>
  <r>
    <x v="42"/>
  </r>
  <r>
    <x v="42"/>
  </r>
  <r>
    <x v="42"/>
  </r>
  <r>
    <x v="42"/>
  </r>
  <r>
    <x v="33"/>
  </r>
  <r>
    <x v="53"/>
  </r>
  <r>
    <x v="53"/>
  </r>
  <r>
    <x v="53"/>
  </r>
  <r>
    <x v="79"/>
  </r>
  <r>
    <x v="1"/>
  </r>
  <r>
    <x v="0"/>
  </r>
  <r>
    <x v="144"/>
  </r>
  <r>
    <x v="14"/>
  </r>
  <r>
    <x v="144"/>
  </r>
  <r>
    <x v="28"/>
  </r>
  <r>
    <x v="4"/>
  </r>
  <r>
    <x v="4"/>
  </r>
  <r>
    <x v="142"/>
  </r>
  <r>
    <x v="28"/>
  </r>
  <r>
    <x v="28"/>
  </r>
  <r>
    <x v="28"/>
  </r>
  <r>
    <x v="28"/>
  </r>
  <r>
    <x v="144"/>
  </r>
  <r>
    <x v="57"/>
  </r>
  <r>
    <x v="28"/>
  </r>
  <r>
    <x v="19"/>
  </r>
  <r>
    <x v="19"/>
  </r>
  <r>
    <x v="37"/>
  </r>
  <r>
    <x v="126"/>
  </r>
  <r>
    <x v="37"/>
  </r>
  <r>
    <x v="37"/>
  </r>
  <r>
    <x v="1"/>
  </r>
  <r>
    <x v="57"/>
  </r>
  <r>
    <x v="1"/>
  </r>
  <r>
    <x v="1"/>
  </r>
  <r>
    <x v="10"/>
  </r>
  <r>
    <x v="10"/>
  </r>
  <r>
    <x v="10"/>
  </r>
  <r>
    <x v="10"/>
  </r>
  <r>
    <x v="10"/>
  </r>
  <r>
    <x v="10"/>
  </r>
  <r>
    <x v="1"/>
  </r>
  <r>
    <x v="0"/>
  </r>
  <r>
    <x v="0"/>
  </r>
  <r>
    <x v="28"/>
  </r>
  <r>
    <x v="28"/>
  </r>
  <r>
    <x v="28"/>
  </r>
  <r>
    <x v="115"/>
  </r>
  <r>
    <x v="52"/>
  </r>
  <r>
    <x v="52"/>
  </r>
  <r>
    <x v="115"/>
  </r>
  <r>
    <x v="52"/>
  </r>
  <r>
    <x v="52"/>
  </r>
  <r>
    <x v="142"/>
  </r>
  <r>
    <x v="142"/>
  </r>
  <r>
    <x v="142"/>
  </r>
  <r>
    <x v="1"/>
  </r>
  <r>
    <x v="1"/>
  </r>
  <r>
    <x v="37"/>
  </r>
  <r>
    <x v="1"/>
  </r>
  <r>
    <x v="1"/>
  </r>
  <r>
    <x v="1"/>
  </r>
  <r>
    <x v="1"/>
  </r>
  <r>
    <x v="1"/>
  </r>
  <r>
    <x v="19"/>
  </r>
  <r>
    <x v="142"/>
  </r>
  <r>
    <x v="1"/>
  </r>
  <r>
    <x v="1"/>
  </r>
  <r>
    <x v="1"/>
  </r>
  <r>
    <x v="1"/>
  </r>
  <r>
    <x v="11"/>
  </r>
  <r>
    <x v="11"/>
  </r>
  <r>
    <x v="89"/>
  </r>
  <r>
    <x v="10"/>
  </r>
  <r>
    <x v="28"/>
  </r>
  <r>
    <x v="28"/>
  </r>
  <r>
    <x v="28"/>
  </r>
  <r>
    <x v="28"/>
  </r>
  <r>
    <x v="28"/>
  </r>
  <r>
    <x v="28"/>
  </r>
  <r>
    <x v="0"/>
  </r>
  <r>
    <x v="0"/>
  </r>
  <r>
    <x v="11"/>
  </r>
  <r>
    <x v="1"/>
  </r>
  <r>
    <x v="1"/>
  </r>
  <r>
    <x v="1"/>
  </r>
  <r>
    <x v="1"/>
  </r>
  <r>
    <x v="14"/>
  </r>
  <r>
    <x v="1"/>
  </r>
  <r>
    <x v="1"/>
  </r>
  <r>
    <x v="52"/>
  </r>
  <r>
    <x v="52"/>
  </r>
  <r>
    <x v="37"/>
  </r>
  <r>
    <x v="9"/>
  </r>
  <r>
    <x v="89"/>
  </r>
  <r>
    <x v="89"/>
  </r>
  <r>
    <x v="19"/>
  </r>
  <r>
    <x v="68"/>
  </r>
  <r>
    <x v="138"/>
  </r>
  <r>
    <x v="138"/>
  </r>
  <r>
    <x v="1"/>
  </r>
  <r>
    <x v="11"/>
  </r>
  <r>
    <x v="10"/>
  </r>
  <r>
    <x v="10"/>
  </r>
  <r>
    <x v="28"/>
  </r>
  <r>
    <x v="28"/>
  </r>
  <r>
    <x v="28"/>
  </r>
  <r>
    <x v="42"/>
  </r>
  <r>
    <x v="42"/>
  </r>
  <r>
    <x v="42"/>
  </r>
  <r>
    <x v="7"/>
  </r>
  <r>
    <x v="7"/>
  </r>
  <r>
    <x v="7"/>
  </r>
  <r>
    <x v="4"/>
  </r>
  <r>
    <x v="14"/>
  </r>
  <r>
    <x v="14"/>
  </r>
  <r>
    <x v="14"/>
  </r>
  <r>
    <x v="14"/>
  </r>
  <r>
    <x v="16"/>
  </r>
  <r>
    <x v="10"/>
  </r>
  <r>
    <x v="3"/>
  </r>
  <r>
    <x v="111"/>
  </r>
  <r>
    <x v="28"/>
  </r>
  <r>
    <x v="57"/>
  </r>
  <r>
    <x v="57"/>
  </r>
  <r>
    <x v="57"/>
  </r>
  <r>
    <x v="57"/>
  </r>
  <r>
    <x v="57"/>
  </r>
  <r>
    <x v="57"/>
  </r>
  <r>
    <x v="57"/>
  </r>
  <r>
    <x v="0"/>
  </r>
  <r>
    <x v="0"/>
  </r>
  <r>
    <x v="0"/>
  </r>
  <r>
    <x v="0"/>
  </r>
  <r>
    <x v="130"/>
  </r>
  <r>
    <x v="130"/>
  </r>
  <r>
    <x v="130"/>
  </r>
  <r>
    <x v="130"/>
  </r>
  <r>
    <x v="130"/>
  </r>
  <r>
    <x v="4"/>
  </r>
  <r>
    <x v="21"/>
  </r>
  <r>
    <x v="0"/>
  </r>
  <r>
    <x v="0"/>
  </r>
  <r>
    <x v="57"/>
  </r>
  <r>
    <x v="0"/>
  </r>
  <r>
    <x v="0"/>
  </r>
  <r>
    <x v="0"/>
  </r>
  <r>
    <x v="52"/>
  </r>
  <r>
    <x v="0"/>
  </r>
  <r>
    <x v="25"/>
  </r>
  <r>
    <x v="10"/>
  </r>
  <r>
    <x v="7"/>
  </r>
  <r>
    <x v="2"/>
  </r>
  <r>
    <x v="25"/>
  </r>
  <r>
    <x v="10"/>
  </r>
  <r>
    <x v="25"/>
  </r>
  <r>
    <x v="57"/>
  </r>
  <r>
    <x v="45"/>
  </r>
  <r>
    <x v="1"/>
  </r>
  <r>
    <x v="162"/>
  </r>
  <r>
    <x v="0"/>
  </r>
  <r>
    <x v="0"/>
  </r>
  <r>
    <x v="0"/>
  </r>
  <r>
    <x v="0"/>
  </r>
  <r>
    <x v="144"/>
  </r>
  <r>
    <x v="144"/>
  </r>
  <r>
    <x v="144"/>
  </r>
  <r>
    <x v="57"/>
  </r>
  <r>
    <x v="71"/>
  </r>
  <r>
    <x v="4"/>
  </r>
  <r>
    <x v="4"/>
  </r>
  <r>
    <x v="142"/>
  </r>
  <r>
    <x v="142"/>
  </r>
  <r>
    <x v="19"/>
  </r>
  <r>
    <x v="57"/>
  </r>
  <r>
    <x v="5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27"/>
  </r>
  <r>
    <x v="27"/>
  </r>
  <r>
    <x v="10"/>
  </r>
  <r>
    <x v="37"/>
  </r>
  <r>
    <x v="37"/>
  </r>
  <r>
    <x v="2"/>
  </r>
  <r>
    <x v="37"/>
  </r>
  <r>
    <x v="37"/>
  </r>
  <r>
    <x v="12"/>
  </r>
  <r>
    <x v="16"/>
  </r>
  <r>
    <x v="16"/>
  </r>
  <r>
    <x v="16"/>
  </r>
  <r>
    <x v="16"/>
  </r>
  <r>
    <x v="16"/>
  </r>
  <r>
    <x v="16"/>
  </r>
  <r>
    <x v="1"/>
  </r>
  <r>
    <x v="33"/>
  </r>
  <r>
    <x v="33"/>
  </r>
  <r>
    <x v="33"/>
  </r>
  <r>
    <x v="1"/>
  </r>
  <r>
    <x v="11"/>
  </r>
  <r>
    <x v="2"/>
  </r>
  <r>
    <x v="141"/>
  </r>
  <r>
    <x v="2"/>
  </r>
  <r>
    <x v="2"/>
  </r>
  <r>
    <x v="28"/>
  </r>
  <r>
    <x v="123"/>
  </r>
  <r>
    <x v="4"/>
  </r>
  <r>
    <x v="37"/>
  </r>
  <r>
    <x v="37"/>
  </r>
  <r>
    <x v="24"/>
  </r>
  <r>
    <x v="26"/>
  </r>
  <r>
    <x v="12"/>
  </r>
  <r>
    <x v="71"/>
  </r>
  <r>
    <x v="123"/>
  </r>
  <r>
    <x v="12"/>
  </r>
  <r>
    <x v="37"/>
  </r>
  <r>
    <x v="37"/>
  </r>
  <r>
    <x v="12"/>
  </r>
  <r>
    <x v="25"/>
  </r>
  <r>
    <x v="16"/>
  </r>
  <r>
    <x v="24"/>
  </r>
  <r>
    <x v="28"/>
  </r>
  <r>
    <x v="28"/>
  </r>
  <r>
    <x v="28"/>
  </r>
  <r>
    <x v="57"/>
  </r>
  <r>
    <x v="51"/>
  </r>
  <r>
    <x v="51"/>
  </r>
  <r>
    <x v="51"/>
  </r>
  <r>
    <x v="51"/>
  </r>
  <r>
    <x v="51"/>
  </r>
  <r>
    <x v="9"/>
  </r>
  <r>
    <x v="123"/>
  </r>
  <r>
    <x v="123"/>
  </r>
  <r>
    <x v="123"/>
  </r>
  <r>
    <x v="123"/>
  </r>
  <r>
    <x v="123"/>
  </r>
  <r>
    <x v="123"/>
  </r>
  <r>
    <x v="123"/>
  </r>
  <r>
    <x v="47"/>
  </r>
  <r>
    <x v="47"/>
  </r>
  <r>
    <x v="2"/>
  </r>
  <r>
    <x v="2"/>
  </r>
  <r>
    <x v="57"/>
  </r>
  <r>
    <x v="57"/>
  </r>
  <r>
    <x v="57"/>
  </r>
  <r>
    <x v="4"/>
  </r>
  <r>
    <x v="2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"/>
  </r>
  <r>
    <x v="4"/>
  </r>
  <r>
    <x v="27"/>
  </r>
  <r>
    <x v="27"/>
  </r>
  <r>
    <x v="144"/>
  </r>
  <r>
    <x v="87"/>
  </r>
  <r>
    <x v="27"/>
  </r>
  <r>
    <x v="27"/>
  </r>
  <r>
    <x v="37"/>
  </r>
  <r>
    <x v="63"/>
  </r>
  <r>
    <x v="141"/>
  </r>
  <r>
    <x v="14"/>
  </r>
  <r>
    <x v="16"/>
  </r>
  <r>
    <x v="16"/>
  </r>
  <r>
    <x v="152"/>
  </r>
  <r>
    <x v="2"/>
  </r>
  <r>
    <x v="4"/>
  </r>
  <r>
    <x v="16"/>
  </r>
  <r>
    <x v="16"/>
  </r>
  <r>
    <x v="2"/>
  </r>
  <r>
    <x v="16"/>
  </r>
  <r>
    <x v="16"/>
  </r>
  <r>
    <x v="16"/>
  </r>
  <r>
    <x v="2"/>
  </r>
  <r>
    <x v="2"/>
  </r>
  <r>
    <x v="16"/>
  </r>
  <r>
    <x v="16"/>
  </r>
  <r>
    <x v="16"/>
  </r>
  <r>
    <x v="11"/>
  </r>
  <r>
    <x v="9"/>
  </r>
  <r>
    <x v="16"/>
  </r>
  <r>
    <x v="63"/>
  </r>
  <r>
    <x v="63"/>
  </r>
  <r>
    <x v="63"/>
  </r>
  <r>
    <x v="4"/>
  </r>
  <r>
    <x v="4"/>
  </r>
  <r>
    <x v="16"/>
  </r>
  <r>
    <x v="16"/>
  </r>
  <r>
    <x v="48"/>
  </r>
  <r>
    <x v="16"/>
  </r>
  <r>
    <x v="7"/>
  </r>
  <r>
    <x v="78"/>
  </r>
  <r>
    <x v="10"/>
  </r>
  <r>
    <x v="87"/>
  </r>
  <r>
    <x v="9"/>
  </r>
  <r>
    <x v="9"/>
  </r>
  <r>
    <x v="16"/>
  </r>
  <r>
    <x v="57"/>
  </r>
  <r>
    <x v="57"/>
  </r>
  <r>
    <x v="37"/>
  </r>
  <r>
    <x v="27"/>
  </r>
  <r>
    <x v="27"/>
  </r>
  <r>
    <x v="11"/>
  </r>
  <r>
    <x v="57"/>
  </r>
  <r>
    <x v="57"/>
  </r>
  <r>
    <x v="57"/>
  </r>
  <r>
    <x v="57"/>
  </r>
  <r>
    <x v="57"/>
  </r>
  <r>
    <x v="2"/>
  </r>
  <r>
    <x v="2"/>
  </r>
  <r>
    <x v="0"/>
  </r>
  <r>
    <x v="16"/>
  </r>
  <r>
    <x v="16"/>
  </r>
  <r>
    <x v="152"/>
  </r>
  <r>
    <x v="152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52"/>
  </r>
  <r>
    <x v="9"/>
  </r>
  <r>
    <x v="9"/>
  </r>
  <r>
    <x v="4"/>
  </r>
  <r>
    <x v="152"/>
  </r>
  <r>
    <x v="152"/>
  </r>
  <r>
    <x v="37"/>
  </r>
  <r>
    <x v="37"/>
  </r>
  <r>
    <x v="16"/>
  </r>
  <r>
    <x v="16"/>
  </r>
  <r>
    <x v="16"/>
  </r>
  <r>
    <x v="16"/>
  </r>
  <r>
    <x v="152"/>
  </r>
  <r>
    <x v="16"/>
  </r>
  <r>
    <x v="16"/>
  </r>
  <r>
    <x v="16"/>
  </r>
  <r>
    <x v="16"/>
  </r>
  <r>
    <x v="63"/>
  </r>
  <r>
    <x v="63"/>
  </r>
  <r>
    <x v="63"/>
  </r>
  <r>
    <x v="2"/>
  </r>
  <r>
    <x v="2"/>
  </r>
  <r>
    <x v="4"/>
  </r>
  <r>
    <x v="9"/>
  </r>
  <r>
    <x v="9"/>
  </r>
  <r>
    <x v="152"/>
  </r>
  <r>
    <x v="4"/>
  </r>
  <r>
    <x v="57"/>
  </r>
  <r>
    <x v="152"/>
  </r>
  <r>
    <x v="152"/>
  </r>
  <r>
    <x v="16"/>
  </r>
  <r>
    <x v="9"/>
  </r>
  <r>
    <x v="77"/>
  </r>
  <r>
    <x v="108"/>
  </r>
  <r>
    <x v="108"/>
  </r>
  <r>
    <x v="31"/>
  </r>
  <r>
    <x v="108"/>
  </r>
  <r>
    <x v="108"/>
  </r>
  <r>
    <x v="36"/>
  </r>
  <r>
    <x v="36"/>
  </r>
  <r>
    <x v="36"/>
  </r>
  <r>
    <x v="36"/>
  </r>
  <r>
    <x v="16"/>
  </r>
  <r>
    <x v="57"/>
  </r>
  <r>
    <x v="4"/>
  </r>
  <r>
    <x v="16"/>
  </r>
  <r>
    <x v="16"/>
  </r>
  <r>
    <x v="16"/>
  </r>
  <r>
    <x v="4"/>
  </r>
  <r>
    <x v="4"/>
  </r>
  <r>
    <x v="16"/>
  </r>
  <r>
    <x v="16"/>
  </r>
  <r>
    <x v="4"/>
  </r>
  <r>
    <x v="0"/>
  </r>
  <r>
    <x v="49"/>
  </r>
  <r>
    <x v="77"/>
  </r>
  <r>
    <x v="33"/>
  </r>
  <r>
    <x v="0"/>
  </r>
  <r>
    <x v="0"/>
  </r>
  <r>
    <x v="42"/>
  </r>
  <r>
    <x v="12"/>
  </r>
  <r>
    <x v="2"/>
  </r>
  <r>
    <x v="50"/>
  </r>
  <r>
    <x v="10"/>
  </r>
  <r>
    <x v="12"/>
  </r>
  <r>
    <x v="123"/>
  </r>
  <r>
    <x v="12"/>
  </r>
  <r>
    <x v="12"/>
  </r>
  <r>
    <x v="42"/>
  </r>
  <r>
    <x v="55"/>
  </r>
  <r>
    <x v="42"/>
  </r>
  <r>
    <x v="42"/>
  </r>
  <r>
    <x v="123"/>
  </r>
  <r>
    <x v="123"/>
  </r>
  <r>
    <x v="123"/>
  </r>
  <r>
    <x v="123"/>
  </r>
  <r>
    <x v="12"/>
  </r>
  <r>
    <x v="42"/>
  </r>
  <r>
    <x v="42"/>
  </r>
  <r>
    <x v="86"/>
  </r>
  <r>
    <x v="12"/>
  </r>
  <r>
    <x v="7"/>
  </r>
  <r>
    <x v="7"/>
  </r>
  <r>
    <x v="3"/>
  </r>
  <r>
    <x v="3"/>
  </r>
  <r>
    <x v="10"/>
  </r>
  <r>
    <x v="29"/>
  </r>
  <r>
    <x v="36"/>
  </r>
  <r>
    <x v="12"/>
  </r>
  <r>
    <x v="12"/>
  </r>
  <r>
    <x v="12"/>
  </r>
  <r>
    <x v="25"/>
  </r>
  <r>
    <x v="15"/>
  </r>
  <r>
    <x v="12"/>
  </r>
  <r>
    <x v="63"/>
  </r>
  <r>
    <x v="12"/>
  </r>
  <r>
    <x v="63"/>
  </r>
  <r>
    <x v="57"/>
  </r>
  <r>
    <x v="24"/>
  </r>
  <r>
    <x v="4"/>
  </r>
  <r>
    <x v="4"/>
  </r>
  <r>
    <x v="4"/>
  </r>
  <r>
    <x v="10"/>
  </r>
  <r>
    <x v="4"/>
  </r>
  <r>
    <x v="0"/>
  </r>
  <r>
    <x v="53"/>
  </r>
  <r>
    <x v="10"/>
  </r>
  <r>
    <x v="10"/>
  </r>
  <r>
    <x v="12"/>
  </r>
  <r>
    <x v="10"/>
  </r>
  <r>
    <x v="63"/>
  </r>
  <r>
    <x v="42"/>
  </r>
  <r>
    <x v="10"/>
  </r>
  <r>
    <x v="26"/>
  </r>
  <r>
    <x v="31"/>
  </r>
  <r>
    <x v="42"/>
  </r>
  <r>
    <x v="25"/>
  </r>
  <r>
    <x v="150"/>
  </r>
  <r>
    <x v="0"/>
  </r>
  <r>
    <x v="0"/>
  </r>
  <r>
    <x v="28"/>
  </r>
  <r>
    <x v="4"/>
  </r>
  <r>
    <x v="4"/>
  </r>
  <r>
    <x v="36"/>
  </r>
  <r>
    <x v="10"/>
  </r>
  <r>
    <x v="12"/>
  </r>
  <r>
    <x v="36"/>
  </r>
  <r>
    <x v="10"/>
  </r>
  <r>
    <x v="4"/>
  </r>
  <r>
    <x v="10"/>
  </r>
  <r>
    <x v="4"/>
  </r>
  <r>
    <x v="12"/>
  </r>
  <r>
    <x v="138"/>
  </r>
  <r>
    <x v="24"/>
  </r>
  <r>
    <x v="87"/>
  </r>
  <r>
    <x v="6"/>
  </r>
  <r>
    <x v="28"/>
  </r>
  <r>
    <x v="4"/>
  </r>
  <r>
    <x v="10"/>
  </r>
  <r>
    <x v="4"/>
  </r>
  <r>
    <x v="15"/>
  </r>
  <r>
    <x v="63"/>
  </r>
  <r>
    <x v="76"/>
  </r>
  <r>
    <x v="9"/>
  </r>
  <r>
    <x v="4"/>
  </r>
  <r>
    <x v="4"/>
  </r>
  <r>
    <x v="4"/>
  </r>
  <r>
    <x v="14"/>
  </r>
  <r>
    <x v="14"/>
  </r>
  <r>
    <x v="16"/>
  </r>
  <r>
    <x v="16"/>
  </r>
  <r>
    <x v="16"/>
  </r>
  <r>
    <x v="16"/>
  </r>
  <r>
    <x v="14"/>
  </r>
  <r>
    <x v="14"/>
  </r>
  <r>
    <x v="16"/>
  </r>
  <r>
    <x v="143"/>
  </r>
  <r>
    <x v="4"/>
  </r>
  <r>
    <x v="4"/>
  </r>
  <r>
    <x v="22"/>
  </r>
  <r>
    <x v="89"/>
  </r>
  <r>
    <x v="123"/>
  </r>
  <r>
    <x v="123"/>
  </r>
  <r>
    <x v="138"/>
  </r>
  <r>
    <x v="2"/>
  </r>
  <r>
    <x v="2"/>
  </r>
  <r>
    <x v="2"/>
  </r>
  <r>
    <x v="2"/>
  </r>
  <r>
    <x v="2"/>
  </r>
  <r>
    <x v="2"/>
  </r>
  <r>
    <x v="28"/>
  </r>
  <r>
    <x v="4"/>
  </r>
  <r>
    <x v="4"/>
  </r>
  <r>
    <x v="4"/>
  </r>
  <r>
    <x v="4"/>
  </r>
  <r>
    <x v="2"/>
  </r>
  <r>
    <x v="306"/>
  </r>
  <r>
    <x v="306"/>
  </r>
  <r>
    <x v="306"/>
  </r>
  <r>
    <x v="306"/>
  </r>
  <r>
    <x v="306"/>
  </r>
  <r>
    <x v="306"/>
  </r>
  <r>
    <x v="306"/>
  </r>
  <r>
    <x v="10"/>
  </r>
  <r>
    <x v="21"/>
  </r>
  <r>
    <x v="22"/>
  </r>
  <r>
    <x v="86"/>
  </r>
  <r>
    <x v="28"/>
  </r>
  <r>
    <x v="14"/>
  </r>
  <r>
    <x v="10"/>
  </r>
  <r>
    <x v="45"/>
  </r>
  <r>
    <x v="45"/>
  </r>
  <r>
    <x v="16"/>
  </r>
  <r>
    <x v="1"/>
  </r>
  <r>
    <x v="28"/>
  </r>
  <r>
    <x v="28"/>
  </r>
  <r>
    <x v="0"/>
  </r>
  <r>
    <x v="2"/>
  </r>
  <r>
    <x v="12"/>
  </r>
  <r>
    <x v="37"/>
  </r>
  <r>
    <x v="138"/>
  </r>
  <r>
    <x v="45"/>
  </r>
  <r>
    <x v="29"/>
  </r>
  <r>
    <x v="11"/>
  </r>
  <r>
    <x v="57"/>
  </r>
  <r>
    <x v="28"/>
  </r>
  <r>
    <x v="48"/>
  </r>
  <r>
    <x v="17"/>
  </r>
  <r>
    <x v="123"/>
  </r>
  <r>
    <x v="78"/>
  </r>
  <r>
    <x v="4"/>
  </r>
  <r>
    <x v="11"/>
  </r>
  <r>
    <x v="11"/>
  </r>
  <r>
    <x v="2"/>
  </r>
  <r>
    <x v="7"/>
  </r>
  <r>
    <x v="53"/>
  </r>
  <r>
    <x v="11"/>
  </r>
  <r>
    <x v="42"/>
  </r>
  <r>
    <x v="57"/>
  </r>
  <r>
    <x v="11"/>
  </r>
  <r>
    <x v="33"/>
  </r>
  <r>
    <x v="8"/>
  </r>
  <r>
    <x v="160"/>
  </r>
  <r>
    <x v="11"/>
  </r>
  <r>
    <x v="42"/>
  </r>
  <r>
    <x v="22"/>
  </r>
  <r>
    <x v="12"/>
  </r>
  <r>
    <x v="21"/>
  </r>
  <r>
    <x v="28"/>
  </r>
  <r>
    <x v="56"/>
  </r>
  <r>
    <x v="56"/>
  </r>
  <r>
    <x v="21"/>
  </r>
  <r>
    <x v="28"/>
  </r>
  <r>
    <x v="42"/>
  </r>
  <r>
    <x v="14"/>
  </r>
  <r>
    <x v="28"/>
  </r>
  <r>
    <x v="9"/>
  </r>
  <r>
    <x v="55"/>
  </r>
  <r>
    <x v="56"/>
  </r>
  <r>
    <x v="56"/>
  </r>
  <r>
    <x v="56"/>
  </r>
  <r>
    <x v="56"/>
  </r>
  <r>
    <x v="19"/>
  </r>
  <r>
    <x v="19"/>
  </r>
  <r>
    <x v="4"/>
  </r>
  <r>
    <x v="9"/>
  </r>
  <r>
    <x v="10"/>
  </r>
  <r>
    <x v="4"/>
  </r>
  <r>
    <x v="4"/>
  </r>
  <r>
    <x v="0"/>
  </r>
  <r>
    <x v="7"/>
  </r>
  <r>
    <x v="7"/>
  </r>
  <r>
    <x v="49"/>
  </r>
  <r>
    <x v="1"/>
  </r>
  <r>
    <x v="2"/>
  </r>
  <r>
    <x v="21"/>
  </r>
  <r>
    <x v="30"/>
  </r>
  <r>
    <x v="48"/>
  </r>
  <r>
    <x v="4"/>
  </r>
  <r>
    <x v="4"/>
  </r>
  <r>
    <x v="49"/>
  </r>
  <r>
    <x v="11"/>
  </r>
  <r>
    <x v="16"/>
  </r>
  <r>
    <x v="55"/>
  </r>
  <r>
    <x v="1"/>
  </r>
  <r>
    <x v="55"/>
  </r>
  <r>
    <x v="30"/>
  </r>
  <r>
    <x v="10"/>
  </r>
  <r>
    <x v="24"/>
  </r>
  <r>
    <x v="14"/>
  </r>
  <r>
    <x v="1"/>
  </r>
  <r>
    <x v="31"/>
  </r>
  <r>
    <x v="25"/>
  </r>
  <r>
    <x v="12"/>
  </r>
  <r>
    <x v="71"/>
  </r>
  <r>
    <x v="34"/>
  </r>
  <r>
    <x v="55"/>
  </r>
  <r>
    <x v="17"/>
  </r>
  <r>
    <x v="11"/>
  </r>
  <r>
    <x v="0"/>
  </r>
  <r>
    <x v="0"/>
  </r>
  <r>
    <x v="16"/>
  </r>
  <r>
    <x v="45"/>
  </r>
  <r>
    <x v="11"/>
  </r>
  <r>
    <x v="45"/>
  </r>
  <r>
    <x v="45"/>
  </r>
  <r>
    <x v="45"/>
  </r>
  <r>
    <x v="45"/>
  </r>
  <r>
    <x v="45"/>
  </r>
  <r>
    <x v="45"/>
  </r>
  <r>
    <x v="45"/>
  </r>
  <r>
    <x v="7"/>
  </r>
  <r>
    <x v="7"/>
  </r>
  <r>
    <x v="7"/>
  </r>
  <r>
    <x v="7"/>
  </r>
  <r>
    <x v="7"/>
  </r>
  <r>
    <x v="7"/>
  </r>
  <r>
    <x v="24"/>
  </r>
  <r>
    <x v="152"/>
  </r>
  <r>
    <x v="56"/>
  </r>
  <r>
    <x v="56"/>
  </r>
  <r>
    <x v="55"/>
  </r>
  <r>
    <x v="17"/>
  </r>
  <r>
    <x v="19"/>
  </r>
  <r>
    <x v="19"/>
  </r>
  <r>
    <x v="100"/>
  </r>
  <r>
    <x v="16"/>
  </r>
  <r>
    <x v="45"/>
  </r>
  <r>
    <x v="71"/>
  </r>
  <r>
    <x v="7"/>
  </r>
  <r>
    <x v="76"/>
  </r>
  <r>
    <x v="16"/>
  </r>
  <r>
    <x v="48"/>
  </r>
  <r>
    <x v="16"/>
  </r>
  <r>
    <x v="71"/>
  </r>
  <r>
    <x v="8"/>
  </r>
  <r>
    <x v="10"/>
  </r>
  <r>
    <x v="29"/>
  </r>
  <r>
    <x v="55"/>
  </r>
  <r>
    <x v="61"/>
  </r>
  <r>
    <x v="79"/>
  </r>
  <r>
    <x v="79"/>
  </r>
  <r>
    <x v="28"/>
  </r>
  <r>
    <x v="56"/>
  </r>
  <r>
    <x v="11"/>
  </r>
  <r>
    <x v="42"/>
  </r>
  <r>
    <x v="40"/>
  </r>
  <r>
    <x v="14"/>
  </r>
  <r>
    <x v="19"/>
  </r>
  <r>
    <x v="12"/>
  </r>
  <r>
    <x v="14"/>
  </r>
  <r>
    <x v="14"/>
  </r>
  <r>
    <x v="11"/>
  </r>
  <r>
    <x v="4"/>
  </r>
  <r>
    <x v="51"/>
  </r>
  <r>
    <x v="60"/>
  </r>
  <r>
    <x v="47"/>
  </r>
  <r>
    <x v="14"/>
  </r>
  <r>
    <x v="10"/>
  </r>
  <r>
    <x v="17"/>
  </r>
  <r>
    <x v="37"/>
  </r>
  <r>
    <x v="21"/>
  </r>
  <r>
    <x v="42"/>
  </r>
  <r>
    <x v="0"/>
  </r>
  <r>
    <x v="16"/>
  </r>
  <r>
    <x v="56"/>
  </r>
  <r>
    <x v="56"/>
  </r>
  <r>
    <x v="56"/>
  </r>
  <r>
    <x v="0"/>
  </r>
  <r>
    <x v="11"/>
  </r>
  <r>
    <x v="56"/>
  </r>
  <r>
    <x v="86"/>
  </r>
  <r>
    <x v="42"/>
  </r>
  <r>
    <x v="7"/>
  </r>
  <r>
    <x v="11"/>
  </r>
  <r>
    <x v="42"/>
  </r>
  <r>
    <x v="11"/>
  </r>
  <r>
    <x v="9"/>
  </r>
  <r>
    <x v="42"/>
  </r>
  <r>
    <x v="7"/>
  </r>
  <r>
    <x v="2"/>
  </r>
  <r>
    <x v="175"/>
  </r>
  <r>
    <x v="7"/>
  </r>
  <r>
    <x v="138"/>
  </r>
  <r>
    <x v="62"/>
  </r>
  <r>
    <x v="9"/>
  </r>
  <r>
    <x v="19"/>
  </r>
  <r>
    <x v="39"/>
  </r>
  <r>
    <x v="184"/>
  </r>
  <r>
    <x v="24"/>
  </r>
  <r>
    <x v="10"/>
  </r>
  <r>
    <x v="10"/>
  </r>
  <r>
    <x v="130"/>
  </r>
  <r>
    <x v="79"/>
  </r>
  <r>
    <x v="14"/>
  </r>
  <r>
    <x v="4"/>
  </r>
  <r>
    <x v="4"/>
  </r>
  <r>
    <x v="22"/>
  </r>
  <r>
    <x v="1"/>
  </r>
  <r>
    <x v="14"/>
  </r>
  <r>
    <x v="48"/>
  </r>
  <r>
    <x v="87"/>
  </r>
  <r>
    <x v="24"/>
  </r>
  <r>
    <x v="165"/>
  </r>
  <r>
    <x v="51"/>
  </r>
  <r>
    <x v="204"/>
  </r>
  <r>
    <x v="16"/>
  </r>
  <r>
    <x v="19"/>
  </r>
  <r>
    <x v="19"/>
  </r>
  <r>
    <x v="16"/>
  </r>
  <r>
    <x v="6"/>
  </r>
  <r>
    <x v="6"/>
  </r>
  <r>
    <x v="11"/>
  </r>
  <r>
    <x v="6"/>
  </r>
  <r>
    <x v="163"/>
  </r>
  <r>
    <x v="51"/>
  </r>
  <r>
    <x v="112"/>
  </r>
  <r>
    <x v="28"/>
  </r>
  <r>
    <x v="12"/>
  </r>
  <r>
    <x v="11"/>
  </r>
  <r>
    <x v="0"/>
  </r>
  <r>
    <x v="7"/>
  </r>
  <r>
    <x v="28"/>
  </r>
  <r>
    <x v="28"/>
  </r>
  <r>
    <x v="28"/>
  </r>
  <r>
    <x v="7"/>
  </r>
  <r>
    <x v="7"/>
  </r>
  <r>
    <x v="162"/>
  </r>
  <r>
    <x v="55"/>
  </r>
  <r>
    <x v="7"/>
  </r>
  <r>
    <x v="7"/>
  </r>
  <r>
    <x v="165"/>
  </r>
  <r>
    <x v="16"/>
  </r>
  <r>
    <x v="25"/>
  </r>
  <r>
    <x v="77"/>
  </r>
  <r>
    <x v="81"/>
  </r>
  <r>
    <x v="81"/>
  </r>
  <r>
    <x v="11"/>
  </r>
  <r>
    <x v="42"/>
  </r>
  <r>
    <x v="76"/>
  </r>
  <r>
    <x v="76"/>
  </r>
  <r>
    <x v="25"/>
  </r>
  <r>
    <x v="81"/>
  </r>
  <r>
    <x v="4"/>
  </r>
  <r>
    <x v="25"/>
  </r>
  <r>
    <x v="19"/>
  </r>
  <r>
    <x v="17"/>
  </r>
  <r>
    <x v="48"/>
  </r>
  <r>
    <x v="39"/>
  </r>
  <r>
    <x v="21"/>
  </r>
  <r>
    <x v="7"/>
  </r>
  <r>
    <x v="42"/>
  </r>
  <r>
    <x v="28"/>
  </r>
  <r>
    <x v="14"/>
  </r>
  <r>
    <x v="126"/>
  </r>
  <r>
    <x v="0"/>
  </r>
  <r>
    <x v="10"/>
  </r>
  <r>
    <x v="28"/>
  </r>
  <r>
    <x v="42"/>
  </r>
  <r>
    <x v="14"/>
  </r>
  <r>
    <x v="0"/>
  </r>
  <r>
    <x v="14"/>
  </r>
  <r>
    <x v="28"/>
  </r>
  <r>
    <x v="37"/>
  </r>
  <r>
    <x v="12"/>
  </r>
  <r>
    <x v="3"/>
  </r>
  <r>
    <x v="37"/>
  </r>
  <r>
    <x v="37"/>
  </r>
  <r>
    <x v="37"/>
  </r>
  <r>
    <x v="2"/>
  </r>
  <r>
    <x v="7"/>
  </r>
  <r>
    <x v="12"/>
  </r>
  <r>
    <x v="0"/>
  </r>
  <r>
    <x v="49"/>
  </r>
  <r>
    <x v="57"/>
  </r>
  <r>
    <x v="48"/>
  </r>
  <r>
    <x v="7"/>
  </r>
  <r>
    <x v="14"/>
  </r>
  <r>
    <x v="48"/>
  </r>
  <r>
    <x v="0"/>
  </r>
  <r>
    <x v="14"/>
  </r>
  <r>
    <x v="152"/>
  </r>
  <r>
    <x v="79"/>
  </r>
  <r>
    <x v="4"/>
  </r>
  <r>
    <x v="144"/>
  </r>
  <r>
    <x v="21"/>
  </r>
  <r>
    <x v="37"/>
  </r>
  <r>
    <x v="37"/>
  </r>
  <r>
    <x v="37"/>
  </r>
  <r>
    <x v="49"/>
  </r>
  <r>
    <x v="68"/>
  </r>
  <r>
    <x v="4"/>
  </r>
  <r>
    <x v="37"/>
  </r>
  <r>
    <x v="63"/>
  </r>
  <r>
    <x v="19"/>
  </r>
  <r>
    <x v="19"/>
  </r>
  <r>
    <x v="19"/>
  </r>
  <r>
    <x v="19"/>
  </r>
  <r>
    <x v="19"/>
  </r>
  <r>
    <x v="19"/>
  </r>
  <r>
    <x v="84"/>
  </r>
  <r>
    <x v="152"/>
  </r>
  <r>
    <x v="182"/>
  </r>
  <r>
    <x v="21"/>
  </r>
  <r>
    <x v="76"/>
  </r>
  <r>
    <x v="4"/>
  </r>
  <r>
    <x v="4"/>
  </r>
  <r>
    <x v="4"/>
  </r>
  <r>
    <x v="4"/>
  </r>
  <r>
    <x v="4"/>
  </r>
  <r>
    <x v="4"/>
  </r>
  <r>
    <x v="4"/>
  </r>
  <r>
    <x v="4"/>
  </r>
  <r>
    <x v="45"/>
  </r>
  <r>
    <x v="45"/>
  </r>
  <r>
    <x v="48"/>
  </r>
  <r>
    <x v="4"/>
  </r>
  <r>
    <x v="16"/>
  </r>
  <r>
    <x v="12"/>
  </r>
  <r>
    <x v="12"/>
  </r>
  <r>
    <x v="12"/>
  </r>
  <r>
    <x v="48"/>
  </r>
  <r>
    <x v="12"/>
  </r>
  <r>
    <x v="10"/>
  </r>
  <r>
    <x v="12"/>
  </r>
  <r>
    <x v="4"/>
  </r>
  <r>
    <x v="56"/>
  </r>
  <r>
    <x v="56"/>
  </r>
  <r>
    <x v="53"/>
  </r>
  <r>
    <x v="12"/>
  </r>
  <r>
    <x v="12"/>
  </r>
  <r>
    <x v="7"/>
  </r>
  <r>
    <x v="12"/>
  </r>
  <r>
    <x v="12"/>
  </r>
  <r>
    <x v="4"/>
  </r>
  <r>
    <x v="87"/>
  </r>
  <r>
    <x v="22"/>
  </r>
  <r>
    <x v="12"/>
  </r>
  <r>
    <x v="152"/>
  </r>
  <r>
    <x v="24"/>
  </r>
  <r>
    <x v="10"/>
  </r>
  <r>
    <x v="10"/>
  </r>
  <r>
    <x v="10"/>
  </r>
  <r>
    <x v="86"/>
  </r>
  <r>
    <x v="86"/>
  </r>
  <r>
    <x v="10"/>
  </r>
  <r>
    <x v="10"/>
  </r>
  <r>
    <x v="10"/>
  </r>
  <r>
    <x v="36"/>
  </r>
  <r>
    <x v="1"/>
  </r>
  <r>
    <x v="16"/>
  </r>
  <r>
    <x v="17"/>
  </r>
  <r>
    <x v="112"/>
  </r>
  <r>
    <x v="4"/>
  </r>
  <r>
    <x v="12"/>
  </r>
  <r>
    <x v="27"/>
  </r>
  <r>
    <x v="8"/>
  </r>
  <r>
    <x v="55"/>
  </r>
  <r>
    <x v="11"/>
  </r>
  <r>
    <x v="24"/>
  </r>
  <r>
    <x v="11"/>
  </r>
  <r>
    <x v="9"/>
  </r>
  <r>
    <x v="68"/>
  </r>
  <r>
    <x v="68"/>
  </r>
  <r>
    <x v="68"/>
  </r>
  <r>
    <x v="83"/>
  </r>
  <r>
    <x v="17"/>
  </r>
  <r>
    <x v="86"/>
  </r>
  <r>
    <x v="53"/>
  </r>
  <r>
    <x v="71"/>
  </r>
  <r>
    <x v="17"/>
  </r>
  <r>
    <x v="17"/>
  </r>
  <r>
    <x v="17"/>
  </r>
  <r>
    <x v="112"/>
  </r>
  <r>
    <x v="71"/>
  </r>
  <r>
    <x v="86"/>
  </r>
  <r>
    <x v="17"/>
  </r>
  <r>
    <x v="87"/>
  </r>
  <r>
    <x v="42"/>
  </r>
  <r>
    <x v="55"/>
  </r>
  <r>
    <x v="29"/>
  </r>
  <r>
    <x v="123"/>
  </r>
  <r>
    <x v="123"/>
  </r>
  <r>
    <x v="123"/>
  </r>
  <r>
    <x v="0"/>
  </r>
  <r>
    <x v="0"/>
  </r>
  <r>
    <x v="28"/>
  </r>
  <r>
    <x v="28"/>
  </r>
  <r>
    <x v="25"/>
  </r>
  <r>
    <x v="78"/>
  </r>
  <r>
    <x v="138"/>
  </r>
  <r>
    <x v="4"/>
  </r>
  <r>
    <x v="48"/>
  </r>
  <r>
    <x v="49"/>
  </r>
  <r>
    <x v="14"/>
  </r>
  <r>
    <x v="27"/>
  </r>
  <r>
    <x v="28"/>
  </r>
  <r>
    <x v="28"/>
  </r>
  <r>
    <x v="40"/>
  </r>
  <r>
    <x v="4"/>
  </r>
  <r>
    <x v="45"/>
  </r>
  <r>
    <x v="42"/>
  </r>
  <r>
    <x v="4"/>
  </r>
  <r>
    <x v="264"/>
  </r>
  <r>
    <x v="17"/>
  </r>
  <r>
    <x v="22"/>
  </r>
  <r>
    <x v="45"/>
  </r>
  <r>
    <x v="17"/>
  </r>
  <r>
    <x v="45"/>
  </r>
  <r>
    <x v="45"/>
  </r>
  <r>
    <x v="0"/>
  </r>
  <r>
    <x v="31"/>
  </r>
  <r>
    <x v="47"/>
  </r>
  <r>
    <x v="49"/>
  </r>
  <r>
    <x v="4"/>
  </r>
  <r>
    <x v="45"/>
  </r>
  <r>
    <x v="49"/>
  </r>
  <r>
    <x v="49"/>
  </r>
  <r>
    <x v="0"/>
  </r>
  <r>
    <x v="87"/>
  </r>
  <r>
    <x v="0"/>
  </r>
  <r>
    <x v="42"/>
  </r>
  <r>
    <x v="42"/>
  </r>
  <r>
    <x v="0"/>
  </r>
  <r>
    <x v="45"/>
  </r>
  <r>
    <x v="24"/>
  </r>
  <r>
    <x v="55"/>
  </r>
  <r>
    <x v="12"/>
  </r>
  <r>
    <x v="52"/>
  </r>
  <r>
    <x v="111"/>
  </r>
  <r>
    <x v="45"/>
  </r>
  <r>
    <x v="33"/>
  </r>
  <r>
    <x v="8"/>
  </r>
  <r>
    <x v="2"/>
  </r>
  <r>
    <x v="16"/>
  </r>
  <r>
    <x v="15"/>
  </r>
  <r>
    <x v="15"/>
  </r>
  <r>
    <x v="144"/>
  </r>
  <r>
    <x v="144"/>
  </r>
  <r>
    <x v="52"/>
  </r>
  <r>
    <x v="3"/>
  </r>
  <r>
    <x v="52"/>
  </r>
  <r>
    <x v="15"/>
  </r>
  <r>
    <x v="52"/>
  </r>
  <r>
    <x v="14"/>
  </r>
  <r>
    <x v="76"/>
  </r>
  <r>
    <x v="0"/>
  </r>
  <r>
    <x v="28"/>
  </r>
  <r>
    <x v="29"/>
  </r>
  <r>
    <x v="24"/>
  </r>
  <r>
    <x v="30"/>
  </r>
  <r>
    <x v="45"/>
  </r>
  <r>
    <x v="9"/>
  </r>
  <r>
    <x v="0"/>
  </r>
  <r>
    <x v="12"/>
  </r>
  <r>
    <x v="45"/>
  </r>
  <r>
    <x v="14"/>
  </r>
  <r>
    <x v="0"/>
  </r>
  <r>
    <x v="14"/>
  </r>
  <r>
    <x v="4"/>
  </r>
  <r>
    <x v="28"/>
  </r>
  <r>
    <x v="17"/>
  </r>
  <r>
    <x v="0"/>
  </r>
  <r>
    <x v="30"/>
  </r>
  <r>
    <x v="30"/>
  </r>
  <r>
    <x v="21"/>
  </r>
  <r>
    <x v="21"/>
  </r>
  <r>
    <x v="0"/>
  </r>
  <r>
    <x v="17"/>
  </r>
  <r>
    <x v="17"/>
  </r>
  <r>
    <x v="17"/>
  </r>
  <r>
    <x v="20"/>
  </r>
  <r>
    <x v="0"/>
  </r>
  <r>
    <x v="9"/>
  </r>
  <r>
    <x v="4"/>
  </r>
  <r>
    <x v="26"/>
  </r>
  <r>
    <x v="9"/>
  </r>
  <r>
    <x v="0"/>
  </r>
  <r>
    <x v="7"/>
  </r>
  <r>
    <x v="14"/>
  </r>
  <r>
    <x v="12"/>
  </r>
  <r>
    <x v="7"/>
  </r>
  <r>
    <x v="42"/>
  </r>
  <r>
    <x v="42"/>
  </r>
  <r>
    <x v="42"/>
  </r>
  <r>
    <x v="42"/>
  </r>
  <r>
    <x v="53"/>
  </r>
  <r>
    <x v="53"/>
  </r>
  <r>
    <x v="53"/>
  </r>
  <r>
    <x v="53"/>
  </r>
  <r>
    <x v="53"/>
  </r>
  <r>
    <x v="53"/>
  </r>
  <r>
    <x v="53"/>
  </r>
  <r>
    <x v="19"/>
  </r>
  <r>
    <x v="19"/>
  </r>
  <r>
    <x v="19"/>
  </r>
  <r>
    <x v="12"/>
  </r>
  <r>
    <x v="26"/>
  </r>
  <r>
    <x v="12"/>
  </r>
  <r>
    <x v="21"/>
  </r>
  <r>
    <x v="21"/>
  </r>
  <r>
    <x v="21"/>
  </r>
  <r>
    <x v="56"/>
  </r>
  <r>
    <x v="56"/>
  </r>
  <r>
    <x v="76"/>
  </r>
  <r>
    <x v="0"/>
  </r>
  <r>
    <x v="71"/>
  </r>
  <r>
    <x v="71"/>
  </r>
  <r>
    <x v="123"/>
  </r>
  <r>
    <x v="0"/>
  </r>
  <r>
    <x v="10"/>
  </r>
  <r>
    <x v="71"/>
  </r>
  <r>
    <x v="39"/>
  </r>
  <r>
    <x v="2"/>
  </r>
  <r>
    <x v="0"/>
  </r>
  <r>
    <x v="0"/>
  </r>
  <r>
    <x v="4"/>
  </r>
  <r>
    <x v="42"/>
  </r>
  <r>
    <x v="123"/>
  </r>
  <r>
    <x v="48"/>
  </r>
  <r>
    <x v="48"/>
  </r>
  <r>
    <x v="28"/>
  </r>
  <r>
    <x v="24"/>
  </r>
  <r>
    <x v="154"/>
  </r>
  <r>
    <x v="87"/>
  </r>
  <r>
    <x v="12"/>
  </r>
  <r>
    <x v="4"/>
  </r>
  <r>
    <x v="123"/>
  </r>
  <r>
    <x v="129"/>
  </r>
  <r>
    <x v="12"/>
  </r>
  <r>
    <x v="2"/>
  </r>
  <r>
    <x v="12"/>
  </r>
  <r>
    <x v="12"/>
  </r>
  <r>
    <x v="4"/>
  </r>
  <r>
    <x v="152"/>
  </r>
  <r>
    <x v="152"/>
  </r>
  <r>
    <x v="0"/>
  </r>
  <r>
    <x v="10"/>
  </r>
  <r>
    <x v="10"/>
  </r>
  <r>
    <x v="24"/>
  </r>
  <r>
    <x v="7"/>
  </r>
  <r>
    <x v="81"/>
  </r>
  <r>
    <x v="2"/>
  </r>
  <r>
    <x v="7"/>
  </r>
  <r>
    <x v="2"/>
  </r>
  <r>
    <x v="4"/>
  </r>
  <r>
    <x v="12"/>
  </r>
  <r>
    <x v="28"/>
  </r>
  <r>
    <x v="10"/>
  </r>
  <r>
    <x v="138"/>
  </r>
  <r>
    <x v="12"/>
  </r>
  <r>
    <x v="76"/>
  </r>
  <r>
    <x v="0"/>
  </r>
  <r>
    <x v="87"/>
  </r>
  <r>
    <x v="87"/>
  </r>
  <r>
    <x v="87"/>
  </r>
  <r>
    <x v="7"/>
  </r>
  <r>
    <x v="10"/>
  </r>
  <r>
    <x v="10"/>
  </r>
  <r>
    <x v="10"/>
  </r>
  <r>
    <x v="48"/>
  </r>
  <r>
    <x v="12"/>
  </r>
  <r>
    <x v="12"/>
  </r>
  <r>
    <x v="7"/>
  </r>
  <r>
    <x v="0"/>
  </r>
  <r>
    <x v="10"/>
  </r>
  <r>
    <x v="10"/>
  </r>
  <r>
    <x v="50"/>
  </r>
  <r>
    <x v="29"/>
  </r>
  <r>
    <x v="10"/>
  </r>
  <r>
    <x v="14"/>
  </r>
  <r>
    <x v="16"/>
  </r>
  <r>
    <x v="12"/>
  </r>
  <r>
    <x v="71"/>
  </r>
  <r>
    <x v="123"/>
  </r>
  <r>
    <x v="152"/>
  </r>
  <r>
    <x v="12"/>
  </r>
  <r>
    <x v="12"/>
  </r>
  <r>
    <x v="4"/>
  </r>
  <r>
    <x v="28"/>
  </r>
  <r>
    <x v="131"/>
  </r>
  <r>
    <x v="8"/>
  </r>
  <r>
    <x v="16"/>
  </r>
  <r>
    <x v="42"/>
  </r>
  <r>
    <x v="42"/>
  </r>
  <r>
    <x v="42"/>
  </r>
  <r>
    <x v="12"/>
  </r>
  <r>
    <x v="22"/>
  </r>
  <r>
    <x v="42"/>
  </r>
  <r>
    <x v="42"/>
  </r>
  <r>
    <x v="10"/>
  </r>
  <r>
    <x v="42"/>
  </r>
  <r>
    <x v="22"/>
  </r>
  <r>
    <x v="100"/>
  </r>
  <r>
    <x v="14"/>
  </r>
  <r>
    <x v="80"/>
  </r>
  <r>
    <x v="80"/>
  </r>
  <r>
    <x v="80"/>
  </r>
  <r>
    <x v="80"/>
  </r>
  <r>
    <x v="12"/>
  </r>
  <r>
    <x v="42"/>
  </r>
  <r>
    <x v="42"/>
  </r>
  <r>
    <x v="4"/>
  </r>
  <r>
    <x v="10"/>
  </r>
  <r>
    <x v="0"/>
  </r>
  <r>
    <x v="34"/>
  </r>
  <r>
    <x v="4"/>
  </r>
  <r>
    <x v="48"/>
  </r>
  <r>
    <x v="56"/>
  </r>
  <r>
    <x v="4"/>
  </r>
  <r>
    <x v="22"/>
  </r>
  <r>
    <x v="22"/>
  </r>
  <r>
    <x v="22"/>
  </r>
  <r>
    <x v="48"/>
  </r>
  <r>
    <x v="12"/>
  </r>
  <r>
    <x v="71"/>
  </r>
  <r>
    <x v="37"/>
  </r>
  <r>
    <x v="2"/>
  </r>
  <r>
    <x v="45"/>
  </r>
  <r>
    <x v="4"/>
  </r>
  <r>
    <x v="0"/>
  </r>
  <r>
    <x v="4"/>
  </r>
  <r>
    <x v="24"/>
  </r>
  <r>
    <x v="89"/>
  </r>
  <r>
    <x v="7"/>
  </r>
  <r>
    <x v="112"/>
  </r>
  <r>
    <x v="10"/>
  </r>
  <r>
    <x v="9"/>
  </r>
  <r>
    <x v="56"/>
  </r>
  <r>
    <x v="10"/>
  </r>
  <r>
    <x v="12"/>
  </r>
  <r>
    <x v="68"/>
  </r>
  <r>
    <x v="10"/>
  </r>
  <r>
    <x v="10"/>
  </r>
  <r>
    <x v="10"/>
  </r>
  <r>
    <x v="10"/>
  </r>
  <r>
    <x v="10"/>
  </r>
  <r>
    <x v="10"/>
  </r>
  <r>
    <x v="11"/>
  </r>
  <r>
    <x v="12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10"/>
  </r>
  <r>
    <x v="10"/>
  </r>
  <r>
    <x v="10"/>
  </r>
  <r>
    <x v="4"/>
  </r>
  <r>
    <x v="24"/>
  </r>
  <r>
    <x v="14"/>
  </r>
  <r>
    <x v="28"/>
  </r>
  <r>
    <x v="28"/>
  </r>
  <r>
    <x v="72"/>
  </r>
  <r>
    <x v="126"/>
  </r>
  <r>
    <x v="126"/>
  </r>
  <r>
    <x v="25"/>
  </r>
  <r>
    <x v="56"/>
  </r>
  <r>
    <x v="42"/>
  </r>
  <r>
    <x v="10"/>
  </r>
  <r>
    <x v="12"/>
  </r>
  <r>
    <x v="123"/>
  </r>
  <r>
    <x v="55"/>
  </r>
  <r>
    <x v="2"/>
  </r>
  <r>
    <x v="79"/>
  </r>
  <r>
    <x v="22"/>
  </r>
  <r>
    <x v="102"/>
  </r>
  <r>
    <x v="28"/>
  </r>
  <r>
    <x v="19"/>
  </r>
  <r>
    <x v="1"/>
  </r>
  <r>
    <x v="72"/>
  </r>
  <r>
    <x v="6"/>
  </r>
  <r>
    <x v="123"/>
  </r>
  <r>
    <x v="123"/>
  </r>
  <r>
    <x v="10"/>
  </r>
  <r>
    <x v="19"/>
  </r>
  <r>
    <x v="123"/>
  </r>
  <r>
    <x v="123"/>
  </r>
  <r>
    <x v="4"/>
  </r>
  <r>
    <x v="4"/>
  </r>
  <r>
    <x v="4"/>
  </r>
  <r>
    <x v="0"/>
  </r>
  <r>
    <x v="4"/>
  </r>
  <r>
    <x v="10"/>
  </r>
  <r>
    <x v="10"/>
  </r>
  <r>
    <x v="68"/>
  </r>
  <r>
    <x v="27"/>
  </r>
  <r>
    <x v="2"/>
  </r>
  <r>
    <x v="0"/>
  </r>
  <r>
    <x v="0"/>
  </r>
  <r>
    <x v="0"/>
  </r>
  <r>
    <x v="0"/>
  </r>
  <r>
    <x v="0"/>
  </r>
  <r>
    <x v="4"/>
  </r>
  <r>
    <x v="22"/>
  </r>
  <r>
    <x v="24"/>
  </r>
  <r>
    <x v="102"/>
  </r>
  <r>
    <x v="24"/>
  </r>
  <r>
    <x v="24"/>
  </r>
  <r>
    <x v="24"/>
  </r>
  <r>
    <x v="1"/>
  </r>
  <r>
    <x v="4"/>
  </r>
  <r>
    <x v="10"/>
  </r>
  <r>
    <x v="79"/>
  </r>
  <r>
    <x v="123"/>
  </r>
  <r>
    <x v="2"/>
  </r>
  <r>
    <x v="19"/>
  </r>
  <r>
    <x v="45"/>
  </r>
  <r>
    <x v="12"/>
  </r>
  <r>
    <x v="12"/>
  </r>
  <r>
    <x v="12"/>
  </r>
  <r>
    <x v="0"/>
  </r>
  <r>
    <x v="12"/>
  </r>
  <r>
    <x v="12"/>
  </r>
  <r>
    <x v="42"/>
  </r>
  <r>
    <x v="7"/>
  </r>
  <r>
    <x v="42"/>
  </r>
  <r>
    <x v="1"/>
  </r>
  <r>
    <x v="4"/>
  </r>
  <r>
    <x v="100"/>
  </r>
  <r>
    <x v="14"/>
  </r>
  <r>
    <x v="152"/>
  </r>
  <r>
    <x v="42"/>
  </r>
  <r>
    <x v="19"/>
  </r>
  <r>
    <x v="42"/>
  </r>
  <r>
    <x v="130"/>
  </r>
  <r>
    <x v="1"/>
  </r>
  <r>
    <x v="1"/>
  </r>
  <r>
    <x v="10"/>
  </r>
  <r>
    <x v="10"/>
  </r>
  <r>
    <x v="10"/>
  </r>
  <r>
    <x v="10"/>
  </r>
  <r>
    <x v="55"/>
  </r>
  <r>
    <x v="39"/>
  </r>
  <r>
    <x v="48"/>
  </r>
  <r>
    <x v="28"/>
  </r>
  <r>
    <x v="141"/>
  </r>
  <r>
    <x v="141"/>
  </r>
  <r>
    <x v="36"/>
  </r>
  <r>
    <x v="36"/>
  </r>
  <r>
    <x v="36"/>
  </r>
  <r>
    <x v="152"/>
  </r>
  <r>
    <x v="152"/>
  </r>
  <r>
    <x v="51"/>
  </r>
  <r>
    <x v="51"/>
  </r>
  <r>
    <x v="4"/>
  </r>
  <r>
    <x v="0"/>
  </r>
  <r>
    <x v="11"/>
  </r>
  <r>
    <x v="31"/>
  </r>
  <r>
    <x v="42"/>
  </r>
  <r>
    <x v="10"/>
  </r>
  <r>
    <x v="16"/>
  </r>
  <r>
    <x v="16"/>
  </r>
  <r>
    <x v="152"/>
  </r>
  <r>
    <x v="152"/>
  </r>
  <r>
    <x v="63"/>
  </r>
  <r>
    <x v="31"/>
  </r>
  <r>
    <x v="0"/>
  </r>
  <r>
    <x v="51"/>
  </r>
  <r>
    <x v="51"/>
  </r>
  <r>
    <x v="79"/>
  </r>
  <r>
    <x v="10"/>
  </r>
  <r>
    <x v="37"/>
  </r>
  <r>
    <x v="37"/>
  </r>
  <r>
    <x v="57"/>
  </r>
  <r>
    <x v="57"/>
  </r>
  <r>
    <x v="7"/>
  </r>
  <r>
    <x v="7"/>
  </r>
  <r>
    <x v="53"/>
  </r>
  <r>
    <x v="34"/>
  </r>
  <r>
    <x v="12"/>
  </r>
  <r>
    <x v="12"/>
  </r>
  <r>
    <x v="37"/>
  </r>
  <r>
    <x v="57"/>
  </r>
  <r>
    <x v="63"/>
  </r>
  <r>
    <x v="63"/>
  </r>
  <r>
    <x v="57"/>
  </r>
  <r>
    <x v="88"/>
  </r>
  <r>
    <x v="210"/>
  </r>
  <r>
    <x v="210"/>
  </r>
  <r>
    <x v="79"/>
  </r>
  <r>
    <x v="28"/>
  </r>
  <r>
    <x v="57"/>
  </r>
  <r>
    <x v="57"/>
  </r>
  <r>
    <x v="57"/>
  </r>
  <r>
    <x v="57"/>
  </r>
  <r>
    <x v="63"/>
  </r>
  <r>
    <x v="63"/>
  </r>
  <r>
    <x v="138"/>
  </r>
  <r>
    <x v="138"/>
  </r>
  <r>
    <x v="47"/>
  </r>
  <r>
    <x v="47"/>
  </r>
  <r>
    <x v="47"/>
  </r>
  <r>
    <x v="47"/>
  </r>
  <r>
    <x v="47"/>
  </r>
  <r>
    <x v="44"/>
  </r>
  <r>
    <x v="47"/>
  </r>
  <r>
    <x v="47"/>
  </r>
  <r>
    <x v="47"/>
  </r>
  <r>
    <x v="47"/>
  </r>
  <r>
    <x v="2"/>
  </r>
  <r>
    <x v="2"/>
  </r>
  <r>
    <x v="2"/>
  </r>
  <r>
    <x v="16"/>
  </r>
  <r>
    <x v="71"/>
  </r>
  <r>
    <x v="47"/>
  </r>
  <r>
    <x v="47"/>
  </r>
  <r>
    <x v="138"/>
  </r>
  <r>
    <x v="138"/>
  </r>
  <r>
    <x v="47"/>
  </r>
  <r>
    <x v="47"/>
  </r>
  <r>
    <x v="138"/>
  </r>
  <r>
    <x v="47"/>
  </r>
  <r>
    <x v="47"/>
  </r>
  <r>
    <x v="2"/>
  </r>
  <r>
    <x v="2"/>
  </r>
  <r>
    <x v="2"/>
  </r>
  <r>
    <x v="2"/>
  </r>
  <r>
    <x v="2"/>
  </r>
  <r>
    <x v="2"/>
  </r>
  <r>
    <x v="2"/>
  </r>
  <r>
    <x v="39"/>
  </r>
  <r>
    <x v="16"/>
  </r>
  <r>
    <x v="51"/>
  </r>
  <r>
    <x v="2"/>
  </r>
  <r>
    <x v="2"/>
  </r>
  <r>
    <x v="2"/>
  </r>
  <r>
    <x v="63"/>
  </r>
  <r>
    <x v="2"/>
  </r>
  <r>
    <x v="10"/>
  </r>
  <r>
    <x v="10"/>
  </r>
  <r>
    <x v="4"/>
  </r>
  <r>
    <x v="152"/>
  </r>
  <r>
    <x v="2"/>
  </r>
  <r>
    <x v="63"/>
  </r>
  <r>
    <x v="2"/>
  </r>
  <r>
    <x v="2"/>
  </r>
  <r>
    <x v="2"/>
  </r>
  <r>
    <x v="14"/>
  </r>
  <r>
    <x v="4"/>
  </r>
  <r>
    <x v="31"/>
  </r>
  <r>
    <x v="56"/>
  </r>
  <r>
    <x v="56"/>
  </r>
  <r>
    <x v="56"/>
  </r>
  <r>
    <x v="56"/>
  </r>
  <r>
    <x v="123"/>
  </r>
  <r>
    <x v="123"/>
  </r>
  <r>
    <x v="63"/>
  </r>
  <r>
    <x v="63"/>
  </r>
  <r>
    <x v="1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63"/>
  </r>
  <r>
    <x v="141"/>
  </r>
  <r>
    <x v="2"/>
  </r>
  <r>
    <x v="51"/>
  </r>
  <r>
    <x v="28"/>
  </r>
  <r>
    <x v="2"/>
  </r>
  <r>
    <x v="14"/>
  </r>
  <r>
    <x v="14"/>
  </r>
  <r>
    <x v="14"/>
  </r>
  <r>
    <x v="63"/>
  </r>
  <r>
    <x v="63"/>
  </r>
  <r>
    <x v="14"/>
  </r>
  <r>
    <x v="14"/>
  </r>
  <r>
    <x v="14"/>
  </r>
  <r>
    <x v="14"/>
  </r>
  <r>
    <x v="141"/>
  </r>
  <r>
    <x v="141"/>
  </r>
  <r>
    <x v="63"/>
  </r>
  <r>
    <x v="78"/>
  </r>
  <r>
    <x v="164"/>
  </r>
  <r>
    <x v="164"/>
  </r>
  <r>
    <x v="16"/>
  </r>
  <r>
    <x v="28"/>
  </r>
  <r>
    <x v="28"/>
  </r>
  <r>
    <x v="10"/>
  </r>
  <r>
    <x v="10"/>
  </r>
  <r>
    <x v="16"/>
  </r>
  <r>
    <x v="16"/>
  </r>
  <r>
    <x v="50"/>
  </r>
  <r>
    <x v="50"/>
  </r>
  <r>
    <x v="50"/>
  </r>
  <r>
    <x v="50"/>
  </r>
  <r>
    <x v="50"/>
  </r>
  <r>
    <x v="50"/>
  </r>
  <r>
    <x v="63"/>
  </r>
  <r>
    <x v="16"/>
  </r>
  <r>
    <x v="80"/>
  </r>
  <r>
    <x v="10"/>
  </r>
  <r>
    <x v="16"/>
  </r>
  <r>
    <x v="16"/>
  </r>
  <r>
    <x v="77"/>
  </r>
  <r>
    <x v="16"/>
  </r>
  <r>
    <x v="16"/>
  </r>
  <r>
    <x v="16"/>
  </r>
  <r>
    <x v="6"/>
  </r>
  <r>
    <x v="48"/>
  </r>
  <r>
    <x v="47"/>
  </r>
  <r>
    <x v="47"/>
  </r>
  <r>
    <x v="47"/>
  </r>
  <r>
    <x v="5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8"/>
  </r>
  <r>
    <x v="28"/>
  </r>
  <r>
    <x v="50"/>
  </r>
  <r>
    <x v="50"/>
  </r>
  <r>
    <x v="50"/>
  </r>
  <r>
    <x v="28"/>
  </r>
  <r>
    <x v="16"/>
  </r>
  <r>
    <x v="16"/>
  </r>
  <r>
    <x v="16"/>
  </r>
  <r>
    <x v="28"/>
  </r>
  <r>
    <x v="28"/>
  </r>
  <r>
    <x v="47"/>
  </r>
  <r>
    <x v="47"/>
  </r>
  <r>
    <x v="48"/>
  </r>
  <r>
    <x v="12"/>
  </r>
  <r>
    <x v="78"/>
  </r>
  <r>
    <x v="78"/>
  </r>
  <r>
    <x v="47"/>
  </r>
  <r>
    <x v="47"/>
  </r>
  <r>
    <x v="47"/>
  </r>
  <r>
    <x v="28"/>
  </r>
  <r>
    <x v="28"/>
  </r>
  <r>
    <x v="86"/>
  </r>
  <r>
    <x v="6"/>
  </r>
  <r>
    <x v="6"/>
  </r>
  <r>
    <x v="28"/>
  </r>
  <r>
    <x v="28"/>
  </r>
  <r>
    <x v="28"/>
  </r>
  <r>
    <x v="28"/>
  </r>
  <r>
    <x v="14"/>
  </r>
  <r>
    <x v="28"/>
  </r>
  <r>
    <x v="28"/>
  </r>
  <r>
    <x v="28"/>
  </r>
  <r>
    <x v="28"/>
  </r>
  <r>
    <x v="6"/>
  </r>
  <r>
    <x v="6"/>
  </r>
  <r>
    <x v="6"/>
  </r>
  <r>
    <x v="6"/>
  </r>
  <r>
    <x v="28"/>
  </r>
  <r>
    <x v="28"/>
  </r>
  <r>
    <x v="28"/>
  </r>
  <r>
    <x v="2"/>
  </r>
  <r>
    <x v="2"/>
  </r>
  <r>
    <x v="2"/>
  </r>
  <r>
    <x v="108"/>
  </r>
  <r>
    <x v="86"/>
  </r>
  <r>
    <x v="4"/>
  </r>
  <r>
    <x v="2"/>
  </r>
  <r>
    <x v="37"/>
  </r>
  <r>
    <x v="37"/>
  </r>
  <r>
    <x v="16"/>
  </r>
  <r>
    <x v="16"/>
  </r>
  <r>
    <x v="16"/>
  </r>
  <r>
    <x v="16"/>
  </r>
  <r>
    <x v="16"/>
  </r>
  <r>
    <x v="16"/>
  </r>
  <r>
    <x v="4"/>
  </r>
  <r>
    <x v="78"/>
  </r>
  <r>
    <x v="36"/>
  </r>
  <r>
    <x v="12"/>
  </r>
  <r>
    <x v="12"/>
  </r>
  <r>
    <x v="12"/>
  </r>
  <r>
    <x v="123"/>
  </r>
  <r>
    <x v="123"/>
  </r>
  <r>
    <x v="123"/>
  </r>
  <r>
    <x v="123"/>
  </r>
  <r>
    <x v="123"/>
  </r>
  <r>
    <x v="1"/>
  </r>
  <r>
    <x v="28"/>
  </r>
  <r>
    <x v="51"/>
  </r>
  <r>
    <x v="28"/>
  </r>
  <r>
    <x v="10"/>
  </r>
  <r>
    <x v="152"/>
  </r>
  <r>
    <x v="152"/>
  </r>
  <r>
    <x v="152"/>
  </r>
  <r>
    <x v="152"/>
  </r>
  <r>
    <x v="10"/>
  </r>
  <r>
    <x v="123"/>
  </r>
  <r>
    <x v="3"/>
  </r>
  <r>
    <x v="4"/>
  </r>
  <r>
    <x v="4"/>
  </r>
  <r>
    <x v="6"/>
  </r>
  <r>
    <x v="6"/>
  </r>
  <r>
    <x v="4"/>
  </r>
  <r>
    <x v="47"/>
  </r>
  <r>
    <x v="47"/>
  </r>
  <r>
    <x v="4"/>
  </r>
  <r>
    <x v="4"/>
  </r>
  <r>
    <x v="10"/>
  </r>
  <r>
    <x v="10"/>
  </r>
  <r>
    <x v="4"/>
  </r>
  <r>
    <x v="170"/>
  </r>
  <r>
    <x v="129"/>
  </r>
  <r>
    <x v="152"/>
  </r>
  <r>
    <x v="152"/>
  </r>
  <r>
    <x v="42"/>
  </r>
  <r>
    <x v="30"/>
  </r>
  <r>
    <x v="2"/>
  </r>
  <r>
    <x v="4"/>
  </r>
  <r>
    <x v="0"/>
  </r>
  <r>
    <x v="28"/>
  </r>
  <r>
    <x v="31"/>
  </r>
  <r>
    <x v="0"/>
  </r>
  <r>
    <x v="14"/>
  </r>
  <r>
    <x v="16"/>
  </r>
  <r>
    <x v="16"/>
  </r>
  <r>
    <x v="4"/>
  </r>
  <r>
    <x v="48"/>
  </r>
  <r>
    <x v="28"/>
  </r>
  <r>
    <x v="28"/>
  </r>
  <r>
    <x v="2"/>
  </r>
  <r>
    <x v="138"/>
  </r>
  <r>
    <x v="25"/>
  </r>
  <r>
    <x v="138"/>
  </r>
  <r>
    <x v="123"/>
  </r>
  <r>
    <x v="7"/>
  </r>
  <r>
    <x v="10"/>
  </r>
  <r>
    <x v="4"/>
  </r>
  <r>
    <x v="4"/>
  </r>
  <r>
    <x v="14"/>
  </r>
  <r>
    <x v="152"/>
  </r>
  <r>
    <x v="152"/>
  </r>
  <r>
    <x v="152"/>
  </r>
  <r>
    <x v="152"/>
  </r>
  <r>
    <x v="170"/>
  </r>
  <r>
    <x v="170"/>
  </r>
  <r>
    <x v="51"/>
  </r>
  <r>
    <x v="152"/>
  </r>
  <r>
    <x v="51"/>
  </r>
  <r>
    <x v="47"/>
  </r>
  <r>
    <x v="76"/>
  </r>
  <r>
    <x v="12"/>
  </r>
  <r>
    <x v="36"/>
  </r>
  <r>
    <x v="36"/>
  </r>
  <r>
    <x v="47"/>
  </r>
  <r>
    <x v="2"/>
  </r>
  <r>
    <x v="47"/>
  </r>
  <r>
    <x v="47"/>
  </r>
  <r>
    <x v="47"/>
  </r>
  <r>
    <x v="47"/>
  </r>
  <r>
    <x v="36"/>
  </r>
  <r>
    <x v="36"/>
  </r>
  <r>
    <x v="16"/>
  </r>
  <r>
    <x v="47"/>
  </r>
  <r>
    <x v="36"/>
  </r>
  <r>
    <x v="36"/>
  </r>
  <r>
    <x v="47"/>
  </r>
  <r>
    <x v="45"/>
  </r>
  <r>
    <x v="123"/>
  </r>
  <r>
    <x v="123"/>
  </r>
  <r>
    <x v="123"/>
  </r>
  <r>
    <x v="14"/>
  </r>
  <r>
    <x v="14"/>
  </r>
  <r>
    <x v="16"/>
  </r>
  <r>
    <x v="16"/>
  </r>
  <r>
    <x v="16"/>
  </r>
  <r>
    <x v="1"/>
  </r>
  <r>
    <x v="28"/>
  </r>
  <r>
    <x v="4"/>
  </r>
  <r>
    <x v="4"/>
  </r>
  <r>
    <x v="10"/>
  </r>
  <r>
    <x v="10"/>
  </r>
  <r>
    <x v="12"/>
  </r>
  <r>
    <x v="10"/>
  </r>
  <r>
    <x v="130"/>
  </r>
  <r>
    <x v="19"/>
  </r>
  <r>
    <x v="10"/>
  </r>
  <r>
    <x v="11"/>
  </r>
  <r>
    <x v="115"/>
  </r>
  <r>
    <x v="63"/>
  </r>
  <r>
    <x v="57"/>
  </r>
  <r>
    <x v="71"/>
  </r>
  <r>
    <x v="71"/>
  </r>
  <r>
    <x v="71"/>
  </r>
  <r>
    <x v="138"/>
  </r>
  <r>
    <x v="138"/>
  </r>
  <r>
    <x v="138"/>
  </r>
  <r>
    <x v="57"/>
  </r>
  <r>
    <x v="57"/>
  </r>
  <r>
    <x v="26"/>
  </r>
  <r>
    <x v="4"/>
  </r>
  <r>
    <x v="51"/>
  </r>
  <r>
    <x v="57"/>
  </r>
  <r>
    <x v="57"/>
  </r>
  <r>
    <x v="57"/>
  </r>
  <r>
    <x v="51"/>
  </r>
  <r>
    <x v="51"/>
  </r>
  <r>
    <x v="51"/>
  </r>
  <r>
    <x v="57"/>
  </r>
  <r>
    <x v="57"/>
  </r>
  <r>
    <x v="57"/>
  </r>
  <r>
    <x v="70"/>
  </r>
  <r>
    <x v="51"/>
  </r>
  <r>
    <x v="51"/>
  </r>
  <r>
    <x v="57"/>
  </r>
  <r>
    <x v="57"/>
  </r>
  <r>
    <x v="57"/>
  </r>
  <r>
    <x v="57"/>
  </r>
  <r>
    <x v="4"/>
  </r>
  <r>
    <x v="57"/>
  </r>
  <r>
    <x v="4"/>
  </r>
  <r>
    <x v="51"/>
  </r>
  <r>
    <x v="10"/>
  </r>
  <r>
    <x v="51"/>
  </r>
  <r>
    <x v="4"/>
  </r>
  <r>
    <x v="4"/>
  </r>
  <r>
    <x v="33"/>
  </r>
  <r>
    <x v="16"/>
  </r>
  <r>
    <x v="16"/>
  </r>
  <r>
    <x v="16"/>
  </r>
  <r>
    <x v="28"/>
  </r>
  <r>
    <x v="51"/>
  </r>
  <r>
    <x v="51"/>
  </r>
  <r>
    <x v="16"/>
  </r>
  <r>
    <x v="0"/>
  </r>
  <r>
    <x v="12"/>
  </r>
  <r>
    <x v="12"/>
  </r>
  <r>
    <x v="12"/>
  </r>
  <r>
    <x v="28"/>
  </r>
  <r>
    <x v="28"/>
  </r>
  <r>
    <x v="42"/>
  </r>
  <r>
    <x v="16"/>
  </r>
  <r>
    <x v="6"/>
  </r>
  <r>
    <x v="12"/>
  </r>
  <r>
    <x v="12"/>
  </r>
  <r>
    <x v="7"/>
  </r>
  <r>
    <x v="7"/>
  </r>
  <r>
    <x v="7"/>
  </r>
  <r>
    <x v="7"/>
  </r>
  <r>
    <x v="7"/>
  </r>
  <r>
    <x v="7"/>
  </r>
  <r>
    <x v="12"/>
  </r>
  <r>
    <x v="12"/>
  </r>
  <r>
    <x v="12"/>
  </r>
  <r>
    <x v="12"/>
  </r>
  <r>
    <x v="12"/>
  </r>
  <r>
    <x v="4"/>
  </r>
  <r>
    <x v="162"/>
  </r>
  <r>
    <x v="37"/>
  </r>
  <r>
    <x v="14"/>
  </r>
  <r>
    <x v="57"/>
  </r>
  <r>
    <x v="12"/>
  </r>
  <r>
    <x v="0"/>
  </r>
  <r>
    <x v="0"/>
  </r>
  <r>
    <x v="0"/>
  </r>
  <r>
    <x v="12"/>
  </r>
  <r>
    <x v="12"/>
  </r>
  <r>
    <x v="1"/>
  </r>
  <r>
    <x v="22"/>
  </r>
  <r>
    <x v="12"/>
  </r>
  <r>
    <x v="56"/>
  </r>
  <r>
    <x v="42"/>
  </r>
  <r>
    <x v="42"/>
  </r>
  <r>
    <x v="42"/>
  </r>
  <r>
    <x v="79"/>
  </r>
  <r>
    <x v="123"/>
  </r>
  <r>
    <x v="12"/>
  </r>
  <r>
    <x v="2"/>
  </r>
  <r>
    <x v="2"/>
  </r>
  <r>
    <x v="152"/>
  </r>
  <r>
    <x v="152"/>
  </r>
  <r>
    <x v="77"/>
  </r>
  <r>
    <x v="123"/>
  </r>
  <r>
    <x v="2"/>
  </r>
  <r>
    <x v="2"/>
  </r>
  <r>
    <x v="2"/>
  </r>
  <r>
    <x v="2"/>
  </r>
  <r>
    <x v="2"/>
  </r>
  <r>
    <x v="2"/>
  </r>
  <r>
    <x v="12"/>
  </r>
  <r>
    <x v="37"/>
  </r>
  <r>
    <x v="37"/>
  </r>
  <r>
    <x v="10"/>
  </r>
  <r>
    <x v="138"/>
  </r>
  <r>
    <x v="123"/>
  </r>
  <r>
    <x v="12"/>
  </r>
  <r>
    <x v="123"/>
  </r>
  <r>
    <x v="123"/>
  </r>
  <r>
    <x v="12"/>
  </r>
  <r>
    <x v="12"/>
  </r>
  <r>
    <x v="4"/>
  </r>
  <r>
    <x v="138"/>
  </r>
  <r>
    <x v="12"/>
  </r>
  <r>
    <x v="71"/>
  </r>
  <r>
    <x v="4"/>
  </r>
  <r>
    <x v="6"/>
  </r>
  <r>
    <x v="12"/>
  </r>
  <r>
    <x v="41"/>
  </r>
  <r>
    <x v="14"/>
  </r>
  <r>
    <x v="76"/>
  </r>
  <r>
    <x v="76"/>
  </r>
  <r>
    <x v="12"/>
  </r>
  <r>
    <x v="152"/>
  </r>
  <r>
    <x v="152"/>
  </r>
  <r>
    <x v="152"/>
  </r>
  <r>
    <x v="37"/>
  </r>
  <r>
    <x v="45"/>
  </r>
  <r>
    <x v="7"/>
  </r>
  <r>
    <x v="6"/>
  </r>
  <r>
    <x v="12"/>
  </r>
  <r>
    <x v="138"/>
  </r>
  <r>
    <x v="138"/>
  </r>
  <r>
    <x v="63"/>
  </r>
  <r>
    <x v="63"/>
  </r>
  <r>
    <x v="63"/>
  </r>
  <r>
    <x v="63"/>
  </r>
  <r>
    <x v="63"/>
  </r>
  <r>
    <x v="12"/>
  </r>
  <r>
    <x v="12"/>
  </r>
  <r>
    <x v="78"/>
  </r>
  <r>
    <x v="36"/>
  </r>
  <r>
    <x v="51"/>
  </r>
  <r>
    <x v="4"/>
  </r>
  <r>
    <x v="28"/>
  </r>
  <r>
    <x v="17"/>
  </r>
  <r>
    <x v="17"/>
  </r>
  <r>
    <x v="17"/>
  </r>
  <r>
    <x v="14"/>
  </r>
  <r>
    <x v="79"/>
  </r>
  <r>
    <x v="79"/>
  </r>
  <r>
    <x v="79"/>
  </r>
  <r>
    <x v="25"/>
  </r>
  <r>
    <x v="71"/>
  </r>
  <r>
    <x v="138"/>
  </r>
  <r>
    <x v="42"/>
  </r>
  <r>
    <x v="10"/>
  </r>
  <r>
    <x v="28"/>
  </r>
  <r>
    <x v="63"/>
  </r>
  <r>
    <x v="16"/>
  </r>
  <r>
    <x v="2"/>
  </r>
  <r>
    <x v="47"/>
  </r>
  <r>
    <x v="47"/>
  </r>
  <r>
    <x v="47"/>
  </r>
  <r>
    <x v="47"/>
  </r>
  <r>
    <x v="47"/>
  </r>
  <r>
    <x v="2"/>
  </r>
  <r>
    <x v="57"/>
  </r>
  <r>
    <x v="63"/>
  </r>
  <r>
    <x v="57"/>
  </r>
  <r>
    <x v="14"/>
  </r>
  <r>
    <x v="27"/>
  </r>
  <r>
    <x v="16"/>
  </r>
  <r>
    <x v="16"/>
  </r>
  <r>
    <x v="16"/>
  </r>
  <r>
    <x v="16"/>
  </r>
  <r>
    <x v="27"/>
  </r>
  <r>
    <x v="141"/>
  </r>
  <r>
    <x v="144"/>
  </r>
  <r>
    <x v="11"/>
  </r>
  <r>
    <x v="14"/>
  </r>
  <r>
    <x v="14"/>
  </r>
  <r>
    <x v="63"/>
  </r>
  <r>
    <x v="14"/>
  </r>
  <r>
    <x v="63"/>
  </r>
  <r>
    <x v="14"/>
  </r>
  <r>
    <x v="14"/>
  </r>
  <r>
    <x v="141"/>
  </r>
  <r>
    <x v="141"/>
  </r>
  <r>
    <x v="16"/>
  </r>
  <r>
    <x v="16"/>
  </r>
  <r>
    <x v="27"/>
  </r>
  <r>
    <x v="144"/>
  </r>
  <r>
    <x v="123"/>
  </r>
  <r>
    <x v="10"/>
  </r>
  <r>
    <x v="10"/>
  </r>
  <r>
    <x v="10"/>
  </r>
  <r>
    <x v="10"/>
  </r>
  <r>
    <x v="2"/>
  </r>
  <r>
    <x v="2"/>
  </r>
  <r>
    <x v="2"/>
  </r>
  <r>
    <x v="2"/>
  </r>
  <r>
    <x v="12"/>
  </r>
  <r>
    <x v="12"/>
  </r>
  <r>
    <x v="12"/>
  </r>
  <r>
    <x v="12"/>
  </r>
  <r>
    <x v="2"/>
  </r>
  <r>
    <x v="2"/>
  </r>
  <r>
    <x v="2"/>
  </r>
  <r>
    <x v="2"/>
  </r>
  <r>
    <x v="2"/>
  </r>
  <r>
    <x v="2"/>
  </r>
  <r>
    <x v="2"/>
  </r>
  <r>
    <x v="42"/>
  </r>
  <r>
    <x v="2"/>
  </r>
  <r>
    <x v="2"/>
  </r>
  <r>
    <x v="2"/>
  </r>
  <r>
    <x v="2"/>
  </r>
  <r>
    <x v="2"/>
  </r>
  <r>
    <x v="2"/>
  </r>
  <r>
    <x v="69"/>
  </r>
  <r>
    <x v="115"/>
  </r>
  <r>
    <x v="115"/>
  </r>
  <r>
    <x v="4"/>
  </r>
  <r>
    <x v="78"/>
  </r>
  <r>
    <x v="78"/>
  </r>
  <r>
    <x v="63"/>
  </r>
  <r>
    <x v="63"/>
  </r>
  <r>
    <x v="141"/>
  </r>
  <r>
    <x v="250"/>
  </r>
  <r>
    <x v="78"/>
  </r>
  <r>
    <x v="9"/>
  </r>
  <r>
    <x v="12"/>
  </r>
  <r>
    <x v="28"/>
  </r>
  <r>
    <x v="10"/>
  </r>
  <r>
    <x v="42"/>
  </r>
  <r>
    <x v="8"/>
  </r>
  <r>
    <x v="62"/>
  </r>
  <r>
    <x v="14"/>
  </r>
  <r>
    <x v="22"/>
  </r>
  <r>
    <x v="22"/>
  </r>
  <r>
    <x v="22"/>
  </r>
  <r>
    <x v="72"/>
  </r>
  <r>
    <x v="37"/>
  </r>
  <r>
    <x v="37"/>
  </r>
  <r>
    <x v="40"/>
  </r>
  <r>
    <x v="15"/>
  </r>
  <r>
    <x v="123"/>
  </r>
  <r>
    <x v="87"/>
  </r>
  <r>
    <x v="87"/>
  </r>
  <r>
    <x v="48"/>
  </r>
  <r>
    <x v="10"/>
  </r>
  <r>
    <x v="10"/>
  </r>
  <r>
    <x v="10"/>
  </r>
  <r>
    <x v="10"/>
  </r>
  <r>
    <x v="10"/>
  </r>
  <r>
    <x v="22"/>
  </r>
  <r>
    <x v="131"/>
  </r>
  <r>
    <x v="72"/>
  </r>
  <r>
    <x v="77"/>
  </r>
  <r>
    <x v="57"/>
  </r>
  <r>
    <x v="57"/>
  </r>
  <r>
    <x v="78"/>
  </r>
  <r>
    <x v="24"/>
  </r>
  <r>
    <x v="42"/>
  </r>
  <r>
    <x v="42"/>
  </r>
  <r>
    <x v="0"/>
  </r>
  <r>
    <x v="130"/>
  </r>
  <r>
    <x v="24"/>
  </r>
  <r>
    <x v="240"/>
  </r>
  <r>
    <x v="4"/>
  </r>
  <r>
    <x v="45"/>
  </r>
  <r>
    <x v="71"/>
  </r>
  <r>
    <x v="56"/>
  </r>
  <r>
    <x v="76"/>
  </r>
  <r>
    <x v="42"/>
  </r>
  <r>
    <x v="42"/>
  </r>
  <r>
    <x v="42"/>
  </r>
  <r>
    <x v="42"/>
  </r>
  <r>
    <x v="40"/>
  </r>
  <r>
    <x v="72"/>
  </r>
  <r>
    <x v="4"/>
  </r>
  <r>
    <x v="37"/>
  </r>
  <r>
    <x v="37"/>
  </r>
  <r>
    <x v="152"/>
  </r>
  <r>
    <x v="24"/>
  </r>
  <r>
    <x v="14"/>
  </r>
  <r>
    <x v="9"/>
  </r>
  <r>
    <x v="37"/>
  </r>
  <r>
    <x v="123"/>
  </r>
  <r>
    <x v="123"/>
  </r>
  <r>
    <x v="42"/>
  </r>
  <r>
    <x v="123"/>
  </r>
  <r>
    <x v="123"/>
  </r>
  <r>
    <x v="123"/>
  </r>
  <r>
    <x v="14"/>
  </r>
  <r>
    <x v="152"/>
  </r>
  <r>
    <x v="4"/>
  </r>
  <r>
    <x v="11"/>
  </r>
  <r>
    <x v="11"/>
  </r>
  <r>
    <x v="0"/>
  </r>
  <r>
    <x v="0"/>
  </r>
  <r>
    <x v="8"/>
  </r>
  <r>
    <x v="16"/>
  </r>
  <r>
    <x v="37"/>
  </r>
  <r>
    <x v="37"/>
  </r>
  <r>
    <x v="37"/>
  </r>
  <r>
    <x v="12"/>
  </r>
  <r>
    <x v="12"/>
  </r>
  <r>
    <x v="12"/>
  </r>
  <r>
    <x v="37"/>
  </r>
  <r>
    <x v="37"/>
  </r>
  <r>
    <x v="37"/>
  </r>
  <r>
    <x v="72"/>
  </r>
  <r>
    <x v="12"/>
  </r>
  <r>
    <x v="12"/>
  </r>
  <r>
    <x v="19"/>
  </r>
  <r>
    <x v="37"/>
  </r>
  <r>
    <x v="2"/>
  </r>
  <r>
    <x v="0"/>
  </r>
  <r>
    <x v="16"/>
  </r>
  <r>
    <x v="37"/>
  </r>
  <r>
    <x v="37"/>
  </r>
  <r>
    <x v="37"/>
  </r>
  <r>
    <x v="12"/>
  </r>
  <r>
    <x v="12"/>
  </r>
  <r>
    <x v="12"/>
  </r>
  <r>
    <x v="90"/>
  </r>
  <r>
    <x v="22"/>
  </r>
  <r>
    <x v="8"/>
  </r>
  <r>
    <x v="26"/>
  </r>
  <r>
    <x v="71"/>
  </r>
  <r>
    <x v="45"/>
  </r>
  <r>
    <x v="132"/>
  </r>
  <r>
    <x v="7"/>
  </r>
  <r>
    <x v="42"/>
  </r>
  <r>
    <x v="10"/>
  </r>
  <r>
    <x v="0"/>
  </r>
  <r>
    <x v="8"/>
  </r>
  <r>
    <x v="17"/>
  </r>
  <r>
    <x v="48"/>
  </r>
  <r>
    <x v="79"/>
  </r>
  <r>
    <x v="118"/>
  </r>
  <r>
    <x v="118"/>
  </r>
  <r>
    <x v="118"/>
  </r>
  <r>
    <x v="118"/>
  </r>
  <r>
    <x v="60"/>
  </r>
  <r>
    <x v="42"/>
  </r>
  <r>
    <x v="16"/>
  </r>
  <r>
    <x v="42"/>
  </r>
  <r>
    <x v="12"/>
  </r>
  <r>
    <x v="7"/>
  </r>
  <r>
    <x v="0"/>
  </r>
  <r>
    <x v="24"/>
  </r>
  <r>
    <x v="6"/>
  </r>
  <r>
    <x v="14"/>
  </r>
  <r>
    <x v="14"/>
  </r>
  <r>
    <x v="21"/>
  </r>
  <r>
    <x v="2"/>
  </r>
  <r>
    <x v="2"/>
  </r>
  <r>
    <x v="71"/>
  </r>
  <r>
    <x v="4"/>
  </r>
  <r>
    <x v="30"/>
  </r>
  <r>
    <x v="174"/>
  </r>
  <r>
    <x v="0"/>
  </r>
  <r>
    <x v="4"/>
  </r>
  <r>
    <x v="1"/>
  </r>
  <r>
    <x v="0"/>
  </r>
  <r>
    <x v="19"/>
  </r>
  <r>
    <x v="123"/>
  </r>
  <r>
    <x v="123"/>
  </r>
  <r>
    <x v="42"/>
  </r>
  <r>
    <x v="25"/>
  </r>
  <r>
    <x v="3"/>
  </r>
  <r>
    <x v="8"/>
  </r>
  <r>
    <x v="22"/>
  </r>
  <r>
    <x v="22"/>
  </r>
  <r>
    <x v="22"/>
  </r>
  <r>
    <x v="71"/>
  </r>
  <r>
    <x v="24"/>
  </r>
  <r>
    <x v="8"/>
  </r>
  <r>
    <x v="77"/>
  </r>
  <r>
    <x v="27"/>
  </r>
  <r>
    <x v="37"/>
  </r>
  <r>
    <x v="27"/>
  </r>
  <r>
    <x v="0"/>
  </r>
  <r>
    <x v="90"/>
  </r>
  <r>
    <x v="106"/>
  </r>
  <r>
    <x v="59"/>
  </r>
  <r>
    <x v="37"/>
  </r>
  <r>
    <x v="0"/>
  </r>
  <r>
    <x v="15"/>
  </r>
  <r>
    <x v="87"/>
  </r>
  <r>
    <x v="42"/>
  </r>
  <r>
    <x v="28"/>
  </r>
  <r>
    <x v="48"/>
  </r>
  <r>
    <x v="0"/>
  </r>
  <r>
    <x v="10"/>
  </r>
  <r>
    <x v="42"/>
  </r>
  <r>
    <x v="6"/>
  </r>
  <r>
    <x v="17"/>
  </r>
  <r>
    <x v="115"/>
  </r>
  <r>
    <x v="0"/>
  </r>
  <r>
    <x v="14"/>
  </r>
  <r>
    <x v="16"/>
  </r>
  <r>
    <x v="16"/>
  </r>
  <r>
    <x v="16"/>
  </r>
  <r>
    <x v="16"/>
  </r>
  <r>
    <x v="76"/>
  </r>
  <r>
    <x v="17"/>
  </r>
  <r>
    <x v="46"/>
  </r>
  <r>
    <x v="21"/>
  </r>
  <r>
    <x v="52"/>
  </r>
  <r>
    <x v="162"/>
  </r>
  <r>
    <x v="14"/>
  </r>
  <r>
    <x v="28"/>
  </r>
  <r>
    <x v="28"/>
  </r>
  <r>
    <x v="80"/>
  </r>
  <r>
    <x v="79"/>
  </r>
  <r>
    <x v="28"/>
  </r>
  <r>
    <x v="28"/>
  </r>
  <r>
    <x v="48"/>
  </r>
  <r>
    <x v="14"/>
  </r>
  <r>
    <x v="21"/>
  </r>
  <r>
    <x v="7"/>
  </r>
  <r>
    <x v="21"/>
  </r>
  <r>
    <x v="0"/>
  </r>
  <r>
    <x v="68"/>
  </r>
  <r>
    <x v="0"/>
  </r>
  <r>
    <x v="22"/>
  </r>
  <r>
    <x v="22"/>
  </r>
  <r>
    <x v="45"/>
  </r>
  <r>
    <x v="21"/>
  </r>
  <r>
    <x v="34"/>
  </r>
  <r>
    <x v="112"/>
  </r>
  <r>
    <x v="0"/>
  </r>
  <r>
    <x v="14"/>
  </r>
  <r>
    <x v="48"/>
  </r>
  <r>
    <x v="16"/>
  </r>
  <r>
    <x v="78"/>
  </r>
  <r>
    <x v="28"/>
  </r>
  <r>
    <x v="55"/>
  </r>
  <r>
    <x v="28"/>
  </r>
  <r>
    <x v="10"/>
  </r>
  <r>
    <x v="95"/>
  </r>
  <r>
    <x v="95"/>
  </r>
  <r>
    <x v="62"/>
  </r>
  <r>
    <x v="21"/>
  </r>
  <r>
    <x v="62"/>
  </r>
  <r>
    <x v="39"/>
  </r>
  <r>
    <x v="239"/>
  </r>
  <r>
    <x v="14"/>
  </r>
  <r>
    <x v="24"/>
  </r>
  <r>
    <x v="12"/>
  </r>
  <r>
    <x v="48"/>
  </r>
  <r>
    <x v="46"/>
  </r>
  <r>
    <x v="30"/>
  </r>
  <r>
    <x v="171"/>
  </r>
  <r>
    <x v="0"/>
  </r>
  <r>
    <x v="0"/>
  </r>
  <r>
    <x v="154"/>
  </r>
  <r>
    <x v="10"/>
  </r>
  <r>
    <x v="9"/>
  </r>
  <r>
    <x v="31"/>
  </r>
  <r>
    <x v="21"/>
  </r>
  <r>
    <x v="2"/>
  </r>
  <r>
    <x v="163"/>
  </r>
  <r>
    <x v="70"/>
  </r>
  <r>
    <x v="45"/>
  </r>
  <r>
    <x v="12"/>
  </r>
  <r>
    <x v="474"/>
  </r>
  <r>
    <x v="14"/>
  </r>
  <r>
    <x v="123"/>
  </r>
  <r>
    <x v="0"/>
  </r>
  <r>
    <x v="4"/>
  </r>
  <r>
    <x v="1"/>
  </r>
  <r>
    <x v="40"/>
  </r>
  <r>
    <x v="57"/>
  </r>
  <r>
    <x v="57"/>
  </r>
  <r>
    <x v="2"/>
  </r>
  <r>
    <x v="2"/>
  </r>
  <r>
    <x v="47"/>
  </r>
  <r>
    <x v="47"/>
  </r>
  <r>
    <x v="47"/>
  </r>
  <r>
    <x v="27"/>
  </r>
  <r>
    <x v="16"/>
  </r>
  <r>
    <x v="16"/>
  </r>
  <r>
    <x v="63"/>
  </r>
  <r>
    <x v="63"/>
  </r>
  <r>
    <x v="57"/>
  </r>
  <r>
    <x v="63"/>
  </r>
  <r>
    <x v="57"/>
  </r>
  <r>
    <x v="63"/>
  </r>
  <r>
    <x v="14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44"/>
  </r>
  <r>
    <x v="14"/>
  </r>
  <r>
    <x v="141"/>
  </r>
  <r>
    <x v="17"/>
  </r>
  <r>
    <x v="12"/>
  </r>
  <r>
    <x v="16"/>
  </r>
  <r>
    <x v="16"/>
  </r>
  <r>
    <x v="16"/>
  </r>
  <r>
    <x v="16"/>
  </r>
  <r>
    <x v="16"/>
  </r>
  <r>
    <x v="28"/>
  </r>
  <r>
    <x v="14"/>
  </r>
  <r>
    <x v="16"/>
  </r>
  <r>
    <x v="21"/>
  </r>
  <r>
    <x v="36"/>
  </r>
  <r>
    <x v="36"/>
  </r>
  <r>
    <x v="4"/>
  </r>
  <r>
    <x v="36"/>
  </r>
  <r>
    <x v="0"/>
  </r>
  <r>
    <x v="0"/>
  </r>
  <r>
    <x v="1"/>
  </r>
  <r>
    <x v="1"/>
  </r>
  <r>
    <x v="69"/>
  </r>
  <r>
    <x v="4"/>
  </r>
  <r>
    <x v="4"/>
  </r>
  <r>
    <x v="12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4"/>
  </r>
  <r>
    <x v="41"/>
  </r>
  <r>
    <x v="64"/>
  </r>
  <r>
    <x v="4"/>
  </r>
  <r>
    <x v="4"/>
  </r>
  <r>
    <x v="122"/>
  </r>
  <r>
    <x v="2"/>
  </r>
  <r>
    <x v="2"/>
  </r>
  <r>
    <x v="14"/>
  </r>
  <r>
    <x v="1"/>
  </r>
  <r>
    <x v="1"/>
  </r>
  <r>
    <x v="1"/>
  </r>
  <r>
    <x v="57"/>
  </r>
  <r>
    <x v="4"/>
  </r>
  <r>
    <x v="12"/>
  </r>
  <r>
    <x v="12"/>
  </r>
  <r>
    <x v="12"/>
  </r>
  <r>
    <x v="12"/>
  </r>
  <r>
    <x v="12"/>
  </r>
  <r>
    <x v="12"/>
  </r>
  <r>
    <x v="12"/>
  </r>
  <r>
    <x v="138"/>
  </r>
  <r>
    <x v="1"/>
  </r>
  <r>
    <x v="1"/>
  </r>
  <r>
    <x v="1"/>
  </r>
  <r>
    <x v="12"/>
  </r>
  <r>
    <x v="12"/>
  </r>
  <r>
    <x v="1"/>
  </r>
  <r>
    <x v="4"/>
  </r>
  <r>
    <x v="144"/>
  </r>
  <r>
    <x v="63"/>
  </r>
  <r>
    <x v="63"/>
  </r>
  <r>
    <x v="170"/>
  </r>
  <r>
    <x v="170"/>
  </r>
  <r>
    <x v="170"/>
  </r>
  <r>
    <x v="170"/>
  </r>
  <r>
    <x v="170"/>
  </r>
  <r>
    <x v="170"/>
  </r>
  <r>
    <x v="170"/>
  </r>
  <r>
    <x v="1"/>
  </r>
  <r>
    <x v="1"/>
  </r>
  <r>
    <x v="1"/>
  </r>
  <r>
    <x v="1"/>
  </r>
  <r>
    <x v="63"/>
  </r>
  <r>
    <x v="1"/>
  </r>
  <r>
    <x v="1"/>
  </r>
  <r>
    <x v="1"/>
  </r>
  <r>
    <x v="12"/>
  </r>
  <r>
    <x v="12"/>
  </r>
  <r>
    <x v="12"/>
  </r>
  <r>
    <x v="12"/>
  </r>
  <r>
    <x v="2"/>
  </r>
  <r>
    <x v="2"/>
  </r>
  <r>
    <x v="2"/>
  </r>
  <r>
    <x v="2"/>
  </r>
  <r>
    <x v="2"/>
  </r>
  <r>
    <x v="2"/>
  </r>
  <r>
    <x v="2"/>
  </r>
  <r>
    <x v="42"/>
  </r>
  <r>
    <x v="231"/>
  </r>
  <r>
    <x v="51"/>
  </r>
  <r>
    <x v="51"/>
  </r>
  <r>
    <x v="16"/>
  </r>
  <r>
    <x v="16"/>
  </r>
  <r>
    <x v="16"/>
  </r>
  <r>
    <x v="7"/>
  </r>
  <r>
    <x v="57"/>
  </r>
  <r>
    <x v="57"/>
  </r>
  <r>
    <x v="57"/>
  </r>
  <r>
    <x v="57"/>
  </r>
  <r>
    <x v="51"/>
  </r>
  <r>
    <x v="26"/>
  </r>
  <r>
    <x v="51"/>
  </r>
  <r>
    <x v="28"/>
  </r>
  <r>
    <x v="80"/>
  </r>
  <r>
    <x v="80"/>
  </r>
  <r>
    <x v="14"/>
  </r>
  <r>
    <x v="79"/>
  </r>
  <r>
    <x v="79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1"/>
  </r>
  <r>
    <x v="1"/>
  </r>
  <r>
    <x v="1"/>
  </r>
  <r>
    <x v="1"/>
  </r>
  <r>
    <x v="1"/>
  </r>
  <r>
    <x v="1"/>
  </r>
  <r>
    <x v="1"/>
  </r>
  <r>
    <x v="12"/>
  </r>
  <r>
    <x v="12"/>
  </r>
  <r>
    <x v="12"/>
  </r>
  <r>
    <x v="12"/>
  </r>
  <r>
    <x v="42"/>
  </r>
  <r>
    <x v="42"/>
  </r>
  <r>
    <x v="42"/>
  </r>
  <r>
    <x v="42"/>
  </r>
  <r>
    <x v="4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52"/>
  </r>
  <r>
    <x v="51"/>
  </r>
  <r>
    <x v="57"/>
  </r>
  <r>
    <x v="57"/>
  </r>
  <r>
    <x v="138"/>
  </r>
  <r>
    <x v="123"/>
  </r>
  <r>
    <x v="10"/>
  </r>
  <r>
    <x v="10"/>
  </r>
  <r>
    <x v="10"/>
  </r>
  <r>
    <x v="26"/>
  </r>
  <r>
    <x v="31"/>
  </r>
  <r>
    <x v="10"/>
  </r>
  <r>
    <x v="10"/>
  </r>
  <r>
    <x v="114"/>
  </r>
  <r>
    <x v="131"/>
  </r>
  <r>
    <x v="131"/>
  </r>
  <r>
    <x v="131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63"/>
  </r>
  <r>
    <x v="48"/>
  </r>
  <r>
    <x v="138"/>
  </r>
  <r>
    <x v="123"/>
  </r>
  <r>
    <x v="123"/>
  </r>
  <r>
    <x v="123"/>
  </r>
  <r>
    <x v="123"/>
  </r>
  <r>
    <x v="123"/>
  </r>
  <r>
    <x v="123"/>
  </r>
  <r>
    <x v="10"/>
  </r>
  <r>
    <x v="56"/>
  </r>
  <r>
    <x v="4"/>
  </r>
  <r>
    <x v="33"/>
  </r>
  <r>
    <x v="113"/>
  </r>
  <r>
    <x v="12"/>
  </r>
  <r>
    <x v="24"/>
  </r>
  <r>
    <x v="24"/>
  </r>
  <r>
    <x v="24"/>
  </r>
  <r>
    <x v="14"/>
  </r>
  <r>
    <x v="14"/>
  </r>
  <r>
    <x v="14"/>
  </r>
  <r>
    <x v="14"/>
  </r>
  <r>
    <x v="14"/>
  </r>
  <r>
    <x v="14"/>
  </r>
  <r>
    <x v="14"/>
  </r>
  <r>
    <x v="14"/>
  </r>
  <r>
    <x v="42"/>
  </r>
  <r>
    <x v="175"/>
  </r>
  <r>
    <x v="22"/>
  </r>
  <r>
    <x v="86"/>
  </r>
  <r>
    <x v="86"/>
  </r>
  <r>
    <x v="86"/>
  </r>
  <r>
    <x v="42"/>
  </r>
  <r>
    <x v="42"/>
  </r>
  <r>
    <x v="0"/>
  </r>
  <r>
    <x v="87"/>
  </r>
  <r>
    <x v="42"/>
  </r>
  <r>
    <x v="87"/>
  </r>
  <r>
    <x v="87"/>
  </r>
  <r>
    <x v="50"/>
  </r>
  <r>
    <x v="0"/>
  </r>
  <r>
    <x v="12"/>
  </r>
  <r>
    <x v="42"/>
  </r>
  <r>
    <x v="30"/>
  </r>
  <r>
    <x v="12"/>
  </r>
  <r>
    <x v="42"/>
  </r>
  <r>
    <x v="12"/>
  </r>
  <r>
    <x v="12"/>
  </r>
  <r>
    <x v="4"/>
  </r>
  <r>
    <x v="4"/>
  </r>
  <r>
    <x v="4"/>
  </r>
  <r>
    <x v="77"/>
  </r>
  <r>
    <x v="4"/>
  </r>
  <r>
    <x v="14"/>
  </r>
  <r>
    <x v="6"/>
  </r>
  <r>
    <x v="4"/>
  </r>
  <r>
    <x v="146"/>
  </r>
  <r>
    <x v="146"/>
  </r>
  <r>
    <x v="146"/>
  </r>
  <r>
    <x v="4"/>
  </r>
  <r>
    <x v="165"/>
  </r>
  <r>
    <x v="165"/>
  </r>
  <r>
    <x v="146"/>
  </r>
  <r>
    <x v="7"/>
  </r>
  <r>
    <x v="4"/>
  </r>
  <r>
    <x v="4"/>
  </r>
  <r>
    <x v="17"/>
  </r>
  <r>
    <x v="4"/>
  </r>
  <r>
    <x v="4"/>
  </r>
  <r>
    <x v="15"/>
  </r>
  <r>
    <x v="48"/>
  </r>
  <r>
    <x v="87"/>
  </r>
  <r>
    <x v="21"/>
  </r>
  <r>
    <x v="21"/>
  </r>
  <r>
    <x v="87"/>
  </r>
  <r>
    <x v="87"/>
  </r>
  <r>
    <x v="129"/>
  </r>
  <r>
    <x v="63"/>
  </r>
  <r>
    <x v="7"/>
  </r>
  <r>
    <x v="63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10"/>
  </r>
  <r>
    <x v="10"/>
  </r>
  <r>
    <x v="10"/>
  </r>
  <r>
    <x v="4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9"/>
  </r>
  <r>
    <x v="30"/>
  </r>
  <r>
    <x v="30"/>
  </r>
  <r>
    <x v="12"/>
  </r>
  <r>
    <x v="12"/>
  </r>
  <r>
    <x v="12"/>
  </r>
  <r>
    <x v="12"/>
  </r>
  <r>
    <x v="12"/>
  </r>
  <r>
    <x v="12"/>
  </r>
  <r>
    <x v="0"/>
  </r>
  <r>
    <x v="12"/>
  </r>
  <r>
    <x v="12"/>
  </r>
  <r>
    <x v="36"/>
  </r>
  <r>
    <x v="36"/>
  </r>
  <r>
    <x v="36"/>
  </r>
  <r>
    <x v="12"/>
  </r>
  <r>
    <x v="36"/>
  </r>
  <r>
    <x v="152"/>
  </r>
  <r>
    <x v="36"/>
  </r>
  <r>
    <x v="10"/>
  </r>
  <r>
    <x v="10"/>
  </r>
  <r>
    <x v="10"/>
  </r>
  <r>
    <x v="10"/>
  </r>
  <r>
    <x v="10"/>
  </r>
  <r>
    <x v="10"/>
  </r>
  <r>
    <x v="10"/>
  </r>
  <r>
    <x v="10"/>
  </r>
  <r>
    <x v="7"/>
  </r>
  <r>
    <x v="7"/>
  </r>
  <r>
    <x v="7"/>
  </r>
  <r>
    <x v="28"/>
  </r>
  <r>
    <x v="7"/>
  </r>
  <r>
    <x v="7"/>
  </r>
  <r>
    <x v="7"/>
  </r>
  <r>
    <x v="28"/>
  </r>
  <r>
    <x v="7"/>
  </r>
  <r>
    <x v="7"/>
  </r>
  <r>
    <x v="7"/>
  </r>
  <r>
    <x v="7"/>
  </r>
  <r>
    <x v="7"/>
  </r>
  <r>
    <x v="7"/>
  </r>
  <r>
    <x v="7"/>
  </r>
  <r>
    <x v="7"/>
  </r>
  <r>
    <x v="123"/>
  </r>
  <r>
    <x v="123"/>
  </r>
  <r>
    <x v="77"/>
  </r>
  <r>
    <x v="4"/>
  </r>
  <r>
    <x v="165"/>
  </r>
  <r>
    <x v="14"/>
  </r>
  <r>
    <x v="14"/>
  </r>
  <r>
    <x v="50"/>
  </r>
  <r>
    <x v="50"/>
  </r>
  <r>
    <x v="42"/>
  </r>
  <r>
    <x v="42"/>
  </r>
  <r>
    <x v="42"/>
  </r>
  <r>
    <x v="71"/>
  </r>
  <r>
    <x v="48"/>
  </r>
  <r>
    <x v="42"/>
  </r>
  <r>
    <x v="50"/>
  </r>
  <r>
    <x v="50"/>
  </r>
  <r>
    <x v="87"/>
  </r>
  <r>
    <x v="87"/>
  </r>
  <r>
    <x v="87"/>
  </r>
  <r>
    <x v="10"/>
  </r>
  <r>
    <x v="10"/>
  </r>
  <r>
    <x v="10"/>
  </r>
  <r>
    <x v="10"/>
  </r>
  <r>
    <x v="14"/>
  </r>
  <r>
    <x v="10"/>
  </r>
  <r>
    <x v="10"/>
  </r>
  <r>
    <x v="126"/>
  </r>
  <r>
    <x v="126"/>
  </r>
  <r>
    <x v="126"/>
  </r>
  <r>
    <x v="126"/>
  </r>
  <r>
    <x v="126"/>
  </r>
  <r>
    <x v="126"/>
  </r>
  <r>
    <x v="126"/>
  </r>
  <r>
    <x v="126"/>
  </r>
  <r>
    <x v="12"/>
  </r>
  <r>
    <x v="126"/>
  </r>
  <r>
    <x v="126"/>
  </r>
  <r>
    <x v="126"/>
  </r>
  <r>
    <x v="126"/>
  </r>
  <r>
    <x v="126"/>
  </r>
  <r>
    <x v="19"/>
  </r>
  <r>
    <x v="29"/>
  </r>
  <r>
    <x v="10"/>
  </r>
  <r>
    <x v="165"/>
  </r>
  <r>
    <x v="4"/>
  </r>
  <r>
    <x v="7"/>
  </r>
  <r>
    <x v="7"/>
  </r>
  <r>
    <x v="7"/>
  </r>
  <r>
    <x v="7"/>
  </r>
  <r>
    <x v="86"/>
  </r>
  <r>
    <x v="7"/>
  </r>
  <r>
    <x v="86"/>
  </r>
  <r>
    <x v="7"/>
  </r>
  <r>
    <x v="86"/>
  </r>
  <r>
    <x v="7"/>
  </r>
  <r>
    <x v="7"/>
  </r>
  <r>
    <x v="7"/>
  </r>
  <r>
    <x v="86"/>
  </r>
  <r>
    <x v="7"/>
  </r>
  <r>
    <x v="86"/>
  </r>
  <r>
    <x v="7"/>
  </r>
  <r>
    <x v="7"/>
  </r>
  <r>
    <x v="7"/>
  </r>
  <r>
    <x v="7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10"/>
  </r>
  <r>
    <x v="4"/>
  </r>
  <r>
    <x v="75"/>
  </r>
  <r>
    <x v="4"/>
  </r>
  <r>
    <x v="10"/>
  </r>
  <r>
    <x v="4"/>
  </r>
  <r>
    <x v="12"/>
  </r>
  <r>
    <x v="36"/>
  </r>
  <r>
    <x v="36"/>
  </r>
  <r>
    <x v="36"/>
  </r>
  <r>
    <x v="36"/>
  </r>
  <r>
    <x v="36"/>
  </r>
  <r>
    <x v="12"/>
  </r>
  <r>
    <x v="36"/>
  </r>
  <r>
    <x v="63"/>
  </r>
  <r>
    <x v="36"/>
  </r>
  <r>
    <x v="36"/>
  </r>
  <r>
    <x v="12"/>
  </r>
  <r>
    <x v="36"/>
  </r>
  <r>
    <x v="36"/>
  </r>
  <r>
    <x v="36"/>
  </r>
  <r>
    <x v="36"/>
  </r>
  <r>
    <x v="36"/>
  </r>
  <r>
    <x v="36"/>
  </r>
  <r>
    <x v="36"/>
  </r>
  <r>
    <x v="25"/>
  </r>
  <r>
    <x v="25"/>
  </r>
  <r>
    <x v="25"/>
  </r>
  <r>
    <x v="25"/>
  </r>
  <r>
    <x v="12"/>
  </r>
  <r>
    <x v="36"/>
  </r>
  <r>
    <x v="12"/>
  </r>
  <r>
    <x v="15"/>
  </r>
  <r>
    <x v="21"/>
  </r>
  <r>
    <x v="36"/>
  </r>
  <r>
    <x v="36"/>
  </r>
  <r>
    <x v="21"/>
  </r>
  <r>
    <x v="9"/>
  </r>
  <r>
    <x v="36"/>
  </r>
  <r>
    <x v="2"/>
  </r>
  <r>
    <x v="36"/>
  </r>
  <r>
    <x v="36"/>
  </r>
  <r>
    <x v="36"/>
  </r>
  <r>
    <x v="12"/>
  </r>
  <r>
    <x v="36"/>
  </r>
  <r>
    <x v="12"/>
  </r>
  <r>
    <x v="12"/>
  </r>
  <r>
    <x v="46"/>
  </r>
  <r>
    <x v="86"/>
  </r>
  <r>
    <x v="86"/>
  </r>
  <r>
    <x v="175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123"/>
  </r>
  <r>
    <x v="10"/>
  </r>
  <r>
    <x v="4"/>
  </r>
  <r>
    <x v="4"/>
  </r>
  <r>
    <x v="10"/>
  </r>
  <r>
    <x v="4"/>
  </r>
  <r>
    <x v="10"/>
  </r>
  <r>
    <x v="10"/>
  </r>
  <r>
    <x v="4"/>
  </r>
  <r>
    <x v="4"/>
  </r>
  <r>
    <x v="10"/>
  </r>
  <r>
    <x v="10"/>
  </r>
  <r>
    <x v="4"/>
  </r>
  <r>
    <x v="10"/>
  </r>
  <r>
    <x v="10"/>
  </r>
  <r>
    <x v="4"/>
  </r>
  <r>
    <x v="4"/>
  </r>
  <r>
    <x v="10"/>
  </r>
  <r>
    <x v="39"/>
  </r>
  <r>
    <x v="10"/>
  </r>
  <r>
    <x v="10"/>
  </r>
  <r>
    <x v="10"/>
  </r>
  <r>
    <x v="10"/>
  </r>
  <r>
    <x v="10"/>
  </r>
  <r>
    <x v="10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63"/>
  </r>
  <r>
    <x v="63"/>
  </r>
  <r>
    <x v="63"/>
  </r>
  <r>
    <x v="63"/>
  </r>
  <r>
    <x v="12"/>
  </r>
  <r>
    <x v="63"/>
  </r>
  <r>
    <x v="63"/>
  </r>
  <r>
    <x v="63"/>
  </r>
  <r>
    <x v="63"/>
  </r>
  <r>
    <x v="0"/>
  </r>
  <r>
    <x v="12"/>
  </r>
  <r>
    <x v="12"/>
  </r>
  <r>
    <x v="12"/>
  </r>
  <r>
    <x v="12"/>
  </r>
  <r>
    <x v="12"/>
  </r>
  <r>
    <x v="16"/>
  </r>
  <r>
    <x v="4"/>
  </r>
  <r>
    <x v="4"/>
  </r>
  <r>
    <x v="4"/>
  </r>
  <r>
    <x v="4"/>
  </r>
  <r>
    <x v="4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7"/>
  </r>
  <r>
    <x v="4"/>
  </r>
  <r>
    <x v="7"/>
  </r>
  <r>
    <x v="4"/>
  </r>
  <r>
    <x v="10"/>
  </r>
  <r>
    <x v="7"/>
  </r>
  <r>
    <x v="24"/>
  </r>
  <r>
    <x v="4"/>
  </r>
  <r>
    <x v="4"/>
  </r>
  <r>
    <x v="9"/>
  </r>
  <r>
    <x v="16"/>
  </r>
  <r>
    <x v="123"/>
  </r>
  <r>
    <x v="12"/>
  </r>
  <r>
    <x v="123"/>
  </r>
  <r>
    <x v="123"/>
  </r>
  <r>
    <x v="123"/>
  </r>
  <r>
    <x v="10"/>
  </r>
  <r>
    <x v="10"/>
  </r>
  <r>
    <x v="275"/>
  </r>
  <r>
    <x v="10"/>
  </r>
  <r>
    <x v="28"/>
  </r>
  <r>
    <x v="28"/>
  </r>
  <r>
    <x v="2"/>
  </r>
  <r>
    <x v="123"/>
  </r>
  <r>
    <x v="7"/>
  </r>
  <r>
    <x v="123"/>
  </r>
  <r>
    <x v="7"/>
  </r>
  <r>
    <x v="7"/>
  </r>
  <r>
    <x v="79"/>
  </r>
  <r>
    <x v="79"/>
  </r>
  <r>
    <x v="7"/>
  </r>
  <r>
    <x v="10"/>
  </r>
  <r>
    <x v="69"/>
  </r>
  <r>
    <x v="4"/>
  </r>
  <r>
    <x v="4"/>
  </r>
  <r>
    <x v="69"/>
  </r>
  <r>
    <x v="69"/>
  </r>
  <r>
    <x v="78"/>
  </r>
  <r>
    <x v="78"/>
  </r>
  <r>
    <x v="37"/>
  </r>
  <r>
    <x v="78"/>
  </r>
  <r>
    <x v="78"/>
  </r>
  <r>
    <x v="78"/>
  </r>
  <r>
    <x v="78"/>
  </r>
  <r>
    <x v="14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87"/>
  </r>
  <r>
    <x v="87"/>
  </r>
  <r>
    <x v="14"/>
  </r>
  <r>
    <x v="10"/>
  </r>
  <r>
    <x v="10"/>
  </r>
  <r>
    <x v="10"/>
  </r>
  <r>
    <x v="10"/>
  </r>
  <r>
    <x v="10"/>
  </r>
  <r>
    <x v="10"/>
  </r>
  <r>
    <x v="10"/>
  </r>
  <r>
    <x v="10"/>
  </r>
  <r>
    <x v="21"/>
  </r>
  <r>
    <x v="31"/>
  </r>
  <r>
    <x v="10"/>
  </r>
  <r>
    <x v="71"/>
  </r>
  <r>
    <x v="71"/>
  </r>
  <r>
    <x v="71"/>
  </r>
  <r>
    <x v="71"/>
  </r>
  <r>
    <x v="71"/>
  </r>
  <r>
    <x v="138"/>
  </r>
  <r>
    <x v="138"/>
  </r>
  <r>
    <x v="138"/>
  </r>
  <r>
    <x v="138"/>
  </r>
  <r>
    <x v="87"/>
  </r>
  <r>
    <x v="4"/>
  </r>
  <r>
    <x v="4"/>
  </r>
  <r>
    <x v="4"/>
  </r>
  <r>
    <x v="7"/>
  </r>
  <r>
    <x v="126"/>
  </r>
  <r>
    <x v="12"/>
  </r>
  <r>
    <x v="42"/>
  </r>
  <r>
    <x v="7"/>
  </r>
  <r>
    <x v="7"/>
  </r>
  <r>
    <x v="126"/>
  </r>
  <r>
    <x v="0"/>
  </r>
  <r>
    <x v="37"/>
  </r>
  <r>
    <x v="10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7"/>
  </r>
  <r>
    <x v="87"/>
  </r>
  <r>
    <x v="7"/>
  </r>
  <r>
    <x v="12"/>
  </r>
  <r>
    <x v="7"/>
  </r>
  <r>
    <x v="7"/>
  </r>
  <r>
    <x v="138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10"/>
  </r>
  <r>
    <x v="10"/>
  </r>
  <r>
    <x v="9"/>
  </r>
  <r>
    <x v="46"/>
  </r>
  <r>
    <x v="10"/>
  </r>
  <r>
    <x v="10"/>
  </r>
  <r>
    <x v="4"/>
  </r>
  <r>
    <x v="10"/>
  </r>
  <r>
    <x v="10"/>
  </r>
  <r>
    <x v="26"/>
  </r>
  <r>
    <x v="33"/>
  </r>
  <r>
    <x v="4"/>
  </r>
  <r>
    <x v="71"/>
  </r>
  <r>
    <x v="138"/>
  </r>
  <r>
    <x v="4"/>
  </r>
  <r>
    <x v="4"/>
  </r>
  <r>
    <x v="4"/>
  </r>
  <r>
    <x v="42"/>
  </r>
  <r>
    <x v="4"/>
  </r>
  <r>
    <x v="4"/>
  </r>
  <r>
    <x v="4"/>
  </r>
  <r>
    <x v="4"/>
  </r>
  <r>
    <x v="4"/>
  </r>
  <r>
    <x v="138"/>
  </r>
  <r>
    <x v="4"/>
  </r>
  <r>
    <x v="77"/>
  </r>
  <r>
    <x v="4"/>
  </r>
  <r>
    <x v="4"/>
  </r>
  <r>
    <x v="24"/>
  </r>
  <r>
    <x v="24"/>
  </r>
  <r>
    <x v="24"/>
  </r>
  <r>
    <x v="24"/>
  </r>
  <r>
    <x v="24"/>
  </r>
  <r>
    <x v="24"/>
  </r>
  <r>
    <x v="50"/>
  </r>
  <r>
    <x v="42"/>
  </r>
  <r>
    <x v="50"/>
  </r>
  <r>
    <x v="24"/>
  </r>
  <r>
    <x v="42"/>
  </r>
  <r>
    <x v="42"/>
  </r>
  <r>
    <x v="11"/>
  </r>
  <r>
    <x v="0"/>
  </r>
  <r>
    <x v="0"/>
  </r>
  <r>
    <x v="40"/>
  </r>
  <r>
    <x v="8"/>
  </r>
  <r>
    <x v="248"/>
  </r>
  <r>
    <x v="50"/>
  </r>
  <r>
    <x v="50"/>
  </r>
  <r>
    <x v="50"/>
  </r>
  <r>
    <x v="14"/>
  </r>
  <r>
    <x v="63"/>
  </r>
  <r>
    <x v="48"/>
  </r>
  <r>
    <x v="4"/>
  </r>
  <r>
    <x v="2"/>
  </r>
  <r>
    <x v="10"/>
  </r>
  <r>
    <x v="166"/>
  </r>
  <r>
    <x v="4"/>
  </r>
  <r>
    <x v="10"/>
  </r>
  <r>
    <x v="4"/>
  </r>
  <r>
    <x v="10"/>
  </r>
  <r>
    <x v="10"/>
  </r>
  <r>
    <x v="7"/>
  </r>
  <r>
    <x v="72"/>
  </r>
  <r>
    <x v="7"/>
  </r>
  <r>
    <x v="72"/>
  </r>
  <r>
    <x v="7"/>
  </r>
  <r>
    <x v="10"/>
  </r>
  <r>
    <x v="6"/>
  </r>
  <r>
    <x v="10"/>
  </r>
  <r>
    <x v="17"/>
  </r>
  <r>
    <x v="14"/>
  </r>
  <r>
    <x v="17"/>
  </r>
  <r>
    <x v="7"/>
  </r>
  <r>
    <x v="28"/>
  </r>
  <r>
    <x v="21"/>
  </r>
  <r>
    <x v="6"/>
  </r>
  <r>
    <x v="45"/>
  </r>
  <r>
    <x v="6"/>
  </r>
  <r>
    <x v="2"/>
  </r>
  <r>
    <x v="45"/>
  </r>
  <r>
    <x v="10"/>
  </r>
  <r>
    <x v="10"/>
  </r>
  <r>
    <x v="10"/>
  </r>
  <r>
    <x v="10"/>
  </r>
  <r>
    <x v="10"/>
  </r>
  <r>
    <x v="10"/>
  </r>
  <r>
    <x v="10"/>
  </r>
  <r>
    <x v="9"/>
  </r>
  <r>
    <x v="7"/>
  </r>
  <r>
    <x v="7"/>
  </r>
  <r>
    <x v="7"/>
  </r>
  <r>
    <x v="7"/>
  </r>
  <r>
    <x v="7"/>
  </r>
  <r>
    <x v="7"/>
  </r>
  <r>
    <x v="7"/>
  </r>
  <r>
    <x v="28"/>
  </r>
  <r>
    <x v="28"/>
  </r>
  <r>
    <x v="28"/>
  </r>
  <r>
    <x v="28"/>
  </r>
  <r>
    <x v="28"/>
  </r>
  <r>
    <x v="28"/>
  </r>
  <r>
    <x v="28"/>
  </r>
  <r>
    <x v="28"/>
  </r>
  <r>
    <x v="10"/>
  </r>
  <r>
    <x v="10"/>
  </r>
  <r>
    <x v="87"/>
  </r>
  <r>
    <x v="26"/>
  </r>
  <r>
    <x v="10"/>
  </r>
  <r>
    <x v="25"/>
  </r>
  <r>
    <x v="0"/>
  </r>
  <r>
    <x v="13"/>
  </r>
  <r>
    <x v="165"/>
  </r>
  <r>
    <x v="25"/>
  </r>
  <r>
    <x v="4"/>
  </r>
  <r>
    <x v="42"/>
  </r>
  <r>
    <x v="130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28"/>
  </r>
  <r>
    <x v="36"/>
  </r>
  <r>
    <x v="12"/>
  </r>
  <r>
    <x v="12"/>
  </r>
  <r>
    <x v="71"/>
  </r>
  <r>
    <x v="12"/>
  </r>
  <r>
    <x v="42"/>
  </r>
  <r>
    <x v="4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0"/>
  </r>
  <r>
    <x v="10"/>
  </r>
  <r>
    <x v="10"/>
  </r>
  <r>
    <x v="10"/>
  </r>
  <r>
    <x v="10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5"/>
  </r>
  <r>
    <x v="175"/>
  </r>
  <r>
    <x v="175"/>
  </r>
  <r>
    <x v="175"/>
  </r>
  <r>
    <x v="175"/>
  </r>
  <r>
    <x v="4"/>
  </r>
  <r>
    <x v="24"/>
  </r>
  <r>
    <x v="4"/>
  </r>
  <r>
    <x v="14"/>
  </r>
  <r>
    <x v="96"/>
  </r>
  <r>
    <x v="123"/>
  </r>
  <r>
    <x v="123"/>
  </r>
  <r>
    <x v="10"/>
  </r>
  <r>
    <x v="10"/>
  </r>
  <r>
    <x v="55"/>
  </r>
  <r>
    <x v="71"/>
  </r>
  <r>
    <x v="77"/>
  </r>
  <r>
    <x v="138"/>
  </r>
  <r>
    <x v="55"/>
  </r>
  <r>
    <x v="138"/>
  </r>
  <r>
    <x v="77"/>
  </r>
  <r>
    <x v="22"/>
  </r>
  <r>
    <x v="4"/>
  </r>
  <r>
    <x v="4"/>
  </r>
  <r>
    <x v="4"/>
  </r>
  <r>
    <x v="41"/>
  </r>
  <r>
    <x v="4"/>
  </r>
  <r>
    <x v="4"/>
  </r>
  <r>
    <x v="138"/>
  </r>
  <r>
    <x v="138"/>
  </r>
  <r>
    <x v="138"/>
  </r>
  <r>
    <x v="138"/>
  </r>
  <r>
    <x v="138"/>
  </r>
  <r>
    <x v="10"/>
  </r>
  <r>
    <x v="42"/>
  </r>
  <r>
    <x v="56"/>
  </r>
  <r>
    <x v="42"/>
  </r>
  <r>
    <x v="42"/>
  </r>
  <r>
    <x v="42"/>
  </r>
  <r>
    <x v="42"/>
  </r>
  <r>
    <x v="42"/>
  </r>
  <r>
    <x v="12"/>
  </r>
  <r>
    <x v="12"/>
  </r>
  <r>
    <x v="12"/>
  </r>
  <r>
    <x v="12"/>
  </r>
  <r>
    <x v="12"/>
  </r>
  <r>
    <x v="12"/>
  </r>
  <r>
    <x v="12"/>
  </r>
  <r>
    <x v="48"/>
  </r>
  <r>
    <x v="12"/>
  </r>
  <r>
    <x v="63"/>
  </r>
  <r>
    <x v="63"/>
  </r>
  <r>
    <x v="42"/>
  </r>
  <r>
    <x v="42"/>
  </r>
  <r>
    <x v="42"/>
  </r>
  <r>
    <x v="0"/>
  </r>
  <r>
    <x v="12"/>
  </r>
  <r>
    <x v="77"/>
  </r>
  <r>
    <x v="77"/>
  </r>
  <r>
    <x v="31"/>
  </r>
  <r>
    <x v="12"/>
  </r>
  <r>
    <x v="12"/>
  </r>
  <r>
    <x v="12"/>
  </r>
  <r>
    <x v="12"/>
  </r>
  <r>
    <x v="12"/>
  </r>
  <r>
    <x v="10"/>
  </r>
  <r>
    <x v="10"/>
  </r>
  <r>
    <x v="72"/>
  </r>
  <r>
    <x v="42"/>
  </r>
  <r>
    <x v="42"/>
  </r>
  <r>
    <x v="10"/>
  </r>
  <r>
    <x v="10"/>
  </r>
  <r>
    <x v="10"/>
  </r>
  <r>
    <x v="10"/>
  </r>
  <r>
    <x v="42"/>
  </r>
  <r>
    <x v="42"/>
  </r>
  <r>
    <x v="4"/>
  </r>
  <r>
    <x v="10"/>
  </r>
  <r>
    <x v="42"/>
  </r>
  <r>
    <x v="87"/>
  </r>
  <r>
    <x v="14"/>
  </r>
  <r>
    <x v="4"/>
  </r>
  <r>
    <x v="4"/>
  </r>
  <r>
    <x v="111"/>
  </r>
  <r>
    <x v="4"/>
  </r>
  <r>
    <x v="4"/>
  </r>
  <r>
    <x v="16"/>
  </r>
  <r>
    <x v="4"/>
  </r>
  <r>
    <x v="31"/>
  </r>
  <r>
    <x v="17"/>
  </r>
  <r>
    <x v="10"/>
  </r>
  <r>
    <x v="10"/>
  </r>
  <r>
    <x v="10"/>
  </r>
  <r>
    <x v="12"/>
  </r>
  <r>
    <x v="2"/>
  </r>
  <r>
    <x v="41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4"/>
  </r>
  <r>
    <x v="165"/>
  </r>
  <r>
    <x v="165"/>
  </r>
  <r>
    <x v="4"/>
  </r>
  <r>
    <x v="9"/>
  </r>
  <r>
    <x v="9"/>
  </r>
  <r>
    <x v="42"/>
  </r>
  <r>
    <x v="72"/>
  </r>
  <r>
    <x v="12"/>
  </r>
  <r>
    <x v="55"/>
  </r>
  <r>
    <x v="84"/>
  </r>
  <r>
    <x v="165"/>
  </r>
  <r>
    <x v="10"/>
  </r>
  <r>
    <x v="33"/>
  </r>
  <r>
    <x v="10"/>
  </r>
  <r>
    <x v="162"/>
  </r>
  <r>
    <x v="4"/>
  </r>
  <r>
    <x v="40"/>
  </r>
  <r>
    <x v="4"/>
  </r>
  <r>
    <x v="4"/>
  </r>
  <r>
    <x v="4"/>
  </r>
  <r>
    <x v="14"/>
  </r>
  <r>
    <x v="10"/>
  </r>
  <r>
    <x v="45"/>
  </r>
  <r>
    <x v="180"/>
  </r>
  <r>
    <x v="10"/>
  </r>
  <r>
    <x v="10"/>
  </r>
  <r>
    <x v="10"/>
  </r>
  <r>
    <x v="10"/>
  </r>
  <r>
    <x v="21"/>
  </r>
  <r>
    <x v="28"/>
  </r>
  <r>
    <x v="28"/>
  </r>
  <r>
    <x v="28"/>
  </r>
  <r>
    <x v="28"/>
  </r>
  <r>
    <x v="69"/>
  </r>
  <r>
    <x v="69"/>
  </r>
  <r>
    <x v="0"/>
  </r>
  <r>
    <x v="69"/>
  </r>
  <r>
    <x v="37"/>
  </r>
  <r>
    <x v="123"/>
  </r>
  <r>
    <x v="123"/>
  </r>
  <r>
    <x v="123"/>
  </r>
  <r>
    <x v="15"/>
  </r>
  <r>
    <x v="12"/>
  </r>
  <r>
    <x v="10"/>
  </r>
  <r>
    <x v="100"/>
  </r>
  <r>
    <x v="10"/>
  </r>
  <r>
    <x v="165"/>
  </r>
  <r>
    <x v="165"/>
  </r>
  <r>
    <x v="4"/>
  </r>
  <r>
    <x v="4"/>
  </r>
  <r>
    <x v="4"/>
  </r>
  <r>
    <x v="165"/>
  </r>
  <r>
    <x v="4"/>
  </r>
  <r>
    <x v="7"/>
  </r>
  <r>
    <x v="249"/>
  </r>
  <r>
    <x v="4"/>
  </r>
  <r>
    <x v="14"/>
  </r>
  <r>
    <x v="4"/>
  </r>
  <r>
    <x v="16"/>
  </r>
  <r>
    <x v="4"/>
  </r>
  <r>
    <x v="4"/>
  </r>
  <r>
    <x v="4"/>
  </r>
  <r>
    <x v="138"/>
  </r>
  <r>
    <x v="37"/>
  </r>
  <r>
    <x v="216"/>
  </r>
  <r>
    <x v="69"/>
  </r>
  <r>
    <x v="60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14"/>
  </r>
  <r>
    <x v="12"/>
  </r>
  <r>
    <x v="42"/>
  </r>
  <r>
    <x v="12"/>
  </r>
  <r>
    <x v="10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65"/>
  </r>
  <r>
    <x v="12"/>
  </r>
  <r>
    <x v="42"/>
  </r>
  <r>
    <x v="42"/>
  </r>
  <r>
    <x v="42"/>
  </r>
  <r>
    <x v="42"/>
  </r>
  <r>
    <x v="12"/>
  </r>
  <r>
    <x v="52"/>
  </r>
  <r>
    <x v="76"/>
  </r>
  <r>
    <x v="77"/>
  </r>
  <r>
    <x v="37"/>
  </r>
  <r>
    <x v="69"/>
  </r>
  <r>
    <x v="78"/>
  </r>
  <r>
    <x v="50"/>
  </r>
  <r>
    <x v="77"/>
  </r>
  <r>
    <x v="183"/>
  </r>
  <r>
    <x v="14"/>
  </r>
  <r>
    <x v="10"/>
  </r>
  <r>
    <x v="4"/>
  </r>
  <r>
    <x v="4"/>
  </r>
  <r>
    <x v="12"/>
  </r>
  <r>
    <x v="78"/>
  </r>
  <r>
    <x v="78"/>
  </r>
  <r>
    <x v="10"/>
  </r>
  <r>
    <x v="12"/>
  </r>
  <r>
    <x v="12"/>
  </r>
  <r>
    <x v="36"/>
  </r>
  <r>
    <x v="12"/>
  </r>
  <r>
    <x v="63"/>
  </r>
  <r>
    <x v="63"/>
  </r>
  <r>
    <x v="63"/>
  </r>
  <r>
    <x v="14"/>
  </r>
  <r>
    <x v="36"/>
  </r>
  <r>
    <x v="36"/>
  </r>
  <r>
    <x v="68"/>
  </r>
  <r>
    <x v="68"/>
  </r>
  <r>
    <x v="36"/>
  </r>
  <r>
    <x v="42"/>
  </r>
  <r>
    <x v="138"/>
  </r>
  <r>
    <x v="12"/>
  </r>
  <r>
    <x v="5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48"/>
  </r>
  <r>
    <x v="16"/>
  </r>
  <r>
    <x v="12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"/>
  </r>
  <r>
    <x v="7"/>
  </r>
  <r>
    <x v="24"/>
  </r>
  <r>
    <x v="7"/>
  </r>
  <r>
    <x v="7"/>
  </r>
  <r>
    <x v="7"/>
  </r>
  <r>
    <x v="7"/>
  </r>
  <r>
    <x v="14"/>
  </r>
  <r>
    <x v="69"/>
  </r>
  <r>
    <x v="15"/>
  </r>
  <r>
    <x v="12"/>
  </r>
  <r>
    <x v="12"/>
  </r>
  <r>
    <x v="10"/>
  </r>
  <r>
    <x v="10"/>
  </r>
  <r>
    <x v="42"/>
  </r>
  <r>
    <x v="42"/>
  </r>
  <r>
    <x v="42"/>
  </r>
  <r>
    <x v="42"/>
  </r>
  <r>
    <x v="42"/>
  </r>
  <r>
    <x v="42"/>
  </r>
  <r>
    <x v="42"/>
  </r>
  <r>
    <x v="69"/>
  </r>
  <r>
    <x v="69"/>
  </r>
  <r>
    <x v="69"/>
  </r>
  <r>
    <x v="69"/>
  </r>
  <r>
    <x v="69"/>
  </r>
  <r>
    <x v="28"/>
  </r>
  <r>
    <x v="24"/>
  </r>
  <r>
    <x v="24"/>
  </r>
  <r>
    <x v="24"/>
  </r>
  <r>
    <x v="24"/>
  </r>
  <r>
    <x v="24"/>
  </r>
  <r>
    <x v="24"/>
  </r>
  <r>
    <x v="24"/>
  </r>
  <r>
    <x v="24"/>
  </r>
  <r>
    <x v="47"/>
  </r>
  <r>
    <x v="130"/>
  </r>
  <r>
    <x v="130"/>
  </r>
  <r>
    <x v="130"/>
  </r>
  <r>
    <x v="76"/>
  </r>
  <r>
    <x v="130"/>
  </r>
  <r>
    <x v="130"/>
  </r>
  <r>
    <x v="130"/>
  </r>
  <r>
    <x v="22"/>
  </r>
  <r>
    <x v="165"/>
  </r>
  <r>
    <x v="10"/>
  </r>
  <r>
    <x v="10"/>
  </r>
  <r>
    <x v="174"/>
  </r>
  <r>
    <x v="9"/>
  </r>
  <r>
    <x v="76"/>
  </r>
  <r>
    <x v="0"/>
  </r>
  <r>
    <x v="16"/>
  </r>
  <r>
    <x v="77"/>
  </r>
  <r>
    <x v="7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4"/>
  </r>
  <r>
    <x v="14"/>
  </r>
  <r>
    <x v="14"/>
  </r>
  <r>
    <x v="14"/>
  </r>
  <r>
    <x v="14"/>
  </r>
  <r>
    <x v="40"/>
  </r>
  <r>
    <x v="14"/>
  </r>
  <r>
    <x v="14"/>
  </r>
  <r>
    <x v="152"/>
  </r>
  <r>
    <x v="152"/>
  </r>
  <r>
    <x v="152"/>
  </r>
  <r>
    <x v="152"/>
  </r>
  <r>
    <x v="152"/>
  </r>
  <r>
    <x v="152"/>
  </r>
  <r>
    <x v="152"/>
  </r>
  <r>
    <x v="152"/>
  </r>
  <r>
    <x v="28"/>
  </r>
  <r>
    <x v="4"/>
  </r>
  <r>
    <x v="4"/>
  </r>
  <r>
    <x v="2"/>
  </r>
  <r>
    <x v="2"/>
  </r>
  <r>
    <x v="10"/>
  </r>
  <r>
    <x v="77"/>
  </r>
  <r>
    <x v="77"/>
  </r>
  <r>
    <x v="4"/>
  </r>
  <r>
    <x v="10"/>
  </r>
  <r>
    <x v="10"/>
  </r>
  <r>
    <x v="10"/>
  </r>
  <r>
    <x v="4"/>
  </r>
  <r>
    <x v="42"/>
  </r>
  <r>
    <x v="42"/>
  </r>
  <r>
    <x v="11"/>
  </r>
  <r>
    <x v="46"/>
  </r>
  <r>
    <x v="46"/>
  </r>
  <r>
    <x v="129"/>
  </r>
  <r>
    <x v="115"/>
  </r>
  <r>
    <x v="115"/>
  </r>
  <r>
    <x v="69"/>
  </r>
  <r>
    <x v="69"/>
  </r>
  <r>
    <x v="53"/>
  </r>
  <r>
    <x v="53"/>
  </r>
  <r>
    <x v="14"/>
  </r>
  <r>
    <x v="7"/>
  </r>
  <r>
    <x v="12"/>
  </r>
  <r>
    <x v="12"/>
  </r>
  <r>
    <x v="53"/>
  </r>
  <r>
    <x v="36"/>
  </r>
  <r>
    <x v="53"/>
  </r>
  <r>
    <x v="53"/>
  </r>
  <r>
    <x v="12"/>
  </r>
  <r>
    <x v="69"/>
  </r>
  <r>
    <x v="12"/>
  </r>
  <r>
    <x v="12"/>
  </r>
  <r>
    <x v="12"/>
  </r>
  <r>
    <x v="4"/>
  </r>
  <r>
    <x v="12"/>
  </r>
  <r>
    <x v="77"/>
  </r>
  <r>
    <x v="77"/>
  </r>
  <r>
    <x v="78"/>
  </r>
  <r>
    <x v="77"/>
  </r>
  <r>
    <x v="12"/>
  </r>
  <r>
    <x v="77"/>
  </r>
  <r>
    <x v="22"/>
  </r>
  <r>
    <x v="63"/>
  </r>
  <r>
    <x v="77"/>
  </r>
  <r>
    <x v="77"/>
  </r>
  <r>
    <x v="87"/>
  </r>
  <r>
    <x v="87"/>
  </r>
  <r>
    <x v="87"/>
  </r>
  <r>
    <x v="141"/>
  </r>
  <r>
    <x v="141"/>
  </r>
  <r>
    <x v="10"/>
  </r>
  <r>
    <x v="12"/>
  </r>
  <r>
    <x v="48"/>
  </r>
  <r>
    <x v="12"/>
  </r>
  <r>
    <x v="12"/>
  </r>
  <r>
    <x v="4"/>
  </r>
  <r>
    <x v="4"/>
  </r>
  <r>
    <x v="285"/>
  </r>
  <r>
    <x v="51"/>
  </r>
  <r>
    <x v="10"/>
  </r>
  <r>
    <x v="86"/>
  </r>
  <r>
    <x v="86"/>
  </r>
  <r>
    <x v="86"/>
  </r>
  <r>
    <x v="16"/>
  </r>
  <r>
    <x v="69"/>
  </r>
  <r>
    <x v="10"/>
  </r>
  <r>
    <x v="152"/>
  </r>
  <r>
    <x v="140"/>
  </r>
  <r>
    <x v="10"/>
  </r>
  <r>
    <x v="10"/>
  </r>
  <r>
    <x v="10"/>
  </r>
  <r>
    <x v="10"/>
  </r>
  <r>
    <x v="10"/>
  </r>
  <r>
    <x v="77"/>
  </r>
  <r>
    <x v="10"/>
  </r>
  <r>
    <x v="4"/>
  </r>
  <r>
    <x v="4"/>
  </r>
  <r>
    <x v="4"/>
  </r>
  <r>
    <x v="4"/>
  </r>
  <r>
    <x v="4"/>
  </r>
  <r>
    <x v="4"/>
  </r>
  <r>
    <x v="71"/>
  </r>
  <r>
    <x v="4"/>
  </r>
  <r>
    <x v="4"/>
  </r>
  <r>
    <x v="4"/>
  </r>
  <r>
    <x v="10"/>
  </r>
  <r>
    <x v="10"/>
  </r>
  <r>
    <x v="4"/>
  </r>
  <r>
    <x v="4"/>
  </r>
  <r>
    <x v="87"/>
  </r>
  <r>
    <x v="87"/>
  </r>
  <r>
    <x v="87"/>
  </r>
  <r>
    <x v="87"/>
  </r>
  <r>
    <x v="4"/>
  </r>
  <r>
    <x v="4"/>
  </r>
  <r>
    <x v="4"/>
  </r>
  <r>
    <x v="14"/>
  </r>
  <r>
    <x v="14"/>
  </r>
  <r>
    <x v="14"/>
  </r>
  <r>
    <x v="53"/>
  </r>
  <r>
    <x v="28"/>
  </r>
  <r>
    <x v="28"/>
  </r>
  <r>
    <x v="28"/>
  </r>
  <r>
    <x v="165"/>
  </r>
  <r>
    <x v="28"/>
  </r>
  <r>
    <x v="240"/>
  </r>
  <r>
    <x v="28"/>
  </r>
  <r>
    <x v="34"/>
  </r>
  <r>
    <x v="42"/>
  </r>
  <r>
    <x v="86"/>
  </r>
  <r>
    <x v="71"/>
  </r>
  <r>
    <x v="87"/>
  </r>
  <r>
    <x v="71"/>
  </r>
  <r>
    <x v="42"/>
  </r>
  <r>
    <x v="86"/>
  </r>
  <r>
    <x v="71"/>
  </r>
  <r>
    <x v="71"/>
  </r>
  <r>
    <x v="71"/>
  </r>
  <r>
    <x v="8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5"/>
  </r>
  <r>
    <x v="115"/>
  </r>
  <r>
    <x v="115"/>
  </r>
  <r>
    <x v="115"/>
  </r>
  <r>
    <x v="115"/>
  </r>
  <r>
    <x v="115"/>
  </r>
  <r>
    <x v="123"/>
  </r>
  <r>
    <x v="123"/>
  </r>
  <r>
    <x v="152"/>
  </r>
  <r>
    <x v="152"/>
  </r>
  <r>
    <x v="152"/>
  </r>
  <r>
    <x v="152"/>
  </r>
  <r>
    <x v="152"/>
  </r>
  <r>
    <x v="152"/>
  </r>
  <r>
    <x v="123"/>
  </r>
  <r>
    <x v="123"/>
  </r>
  <r>
    <x v="152"/>
  </r>
  <r>
    <x v="123"/>
  </r>
  <r>
    <x v="123"/>
  </r>
  <r>
    <x v="123"/>
  </r>
  <r>
    <x v="123"/>
  </r>
  <r>
    <x v="168"/>
  </r>
  <r>
    <x v="168"/>
  </r>
  <r>
    <x v="168"/>
  </r>
  <r>
    <x v="168"/>
  </r>
  <r>
    <x v="103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0"/>
  </r>
  <r>
    <x v="10"/>
  </r>
  <r>
    <x v="15"/>
  </r>
  <r>
    <x v="10"/>
  </r>
  <r>
    <x v="10"/>
  </r>
  <r>
    <x v="10"/>
  </r>
  <r>
    <x v="7"/>
  </r>
  <r>
    <x v="7"/>
  </r>
  <r>
    <x v="12"/>
  </r>
  <r>
    <x v="10"/>
  </r>
  <r>
    <x v="25"/>
  </r>
  <r>
    <x v="28"/>
  </r>
  <r>
    <x v="4"/>
  </r>
  <r>
    <x v="4"/>
  </r>
  <r>
    <x v="4"/>
  </r>
  <r>
    <x v="10"/>
  </r>
  <r>
    <x v="10"/>
  </r>
  <r>
    <x v="56"/>
  </r>
  <r>
    <x v="56"/>
  </r>
  <r>
    <x v="56"/>
  </r>
  <r>
    <x v="55"/>
  </r>
  <r>
    <x v="9"/>
  </r>
  <r>
    <x v="45"/>
  </r>
  <r>
    <x v="37"/>
  </r>
  <r>
    <x v="42"/>
  </r>
  <r>
    <x v="42"/>
  </r>
  <r>
    <x v="42"/>
  </r>
  <r>
    <x v="12"/>
  </r>
  <r>
    <x v="56"/>
  </r>
  <r>
    <x v="56"/>
  </r>
  <r>
    <x v="87"/>
  </r>
  <r>
    <x v="56"/>
  </r>
  <r>
    <x v="42"/>
  </r>
  <r>
    <x v="42"/>
  </r>
  <r>
    <x v="42"/>
  </r>
  <r>
    <x v="56"/>
  </r>
  <r>
    <x v="42"/>
  </r>
  <r>
    <x v="152"/>
  </r>
  <r>
    <x v="123"/>
  </r>
  <r>
    <x v="24"/>
  </r>
  <r>
    <x v="24"/>
  </r>
  <r>
    <x v="21"/>
  </r>
  <r>
    <x v="123"/>
  </r>
  <r>
    <x v="12"/>
  </r>
  <r>
    <x v="12"/>
  </r>
  <r>
    <x v="12"/>
  </r>
  <r>
    <x v="12"/>
  </r>
  <r>
    <x v="12"/>
  </r>
  <r>
    <x v="12"/>
  </r>
  <r>
    <x v="12"/>
  </r>
  <r>
    <x v="3"/>
  </r>
  <r>
    <x v="12"/>
  </r>
  <r>
    <x v="12"/>
  </r>
  <r>
    <x v="12"/>
  </r>
  <r>
    <x v="141"/>
  </r>
  <r>
    <x v="77"/>
  </r>
  <r>
    <x v="14"/>
  </r>
  <r>
    <x v="55"/>
  </r>
  <r>
    <x v="12"/>
  </r>
  <r>
    <x v="12"/>
  </r>
  <r>
    <x v="12"/>
  </r>
  <r>
    <x v="12"/>
  </r>
  <r>
    <x v="7"/>
  </r>
  <r>
    <x v="12"/>
  </r>
  <r>
    <x v="12"/>
  </r>
  <r>
    <x v="56"/>
  </r>
  <r>
    <x v="56"/>
  </r>
  <r>
    <x v="12"/>
  </r>
  <r>
    <x v="36"/>
  </r>
  <r>
    <x v="12"/>
  </r>
  <r>
    <x v="12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63"/>
  </r>
  <r>
    <x v="63"/>
  </r>
  <r>
    <x v="63"/>
  </r>
  <r>
    <x v="7"/>
  </r>
  <r>
    <x v="7"/>
  </r>
  <r>
    <x v="12"/>
  </r>
  <r>
    <x v="12"/>
  </r>
  <r>
    <x v="12"/>
  </r>
  <r>
    <x v="80"/>
  </r>
  <r>
    <x v="12"/>
  </r>
  <r>
    <x v="12"/>
  </r>
  <r>
    <x v="12"/>
  </r>
  <r>
    <x v="12"/>
  </r>
  <r>
    <x v="70"/>
  </r>
  <r>
    <x v="70"/>
  </r>
  <r>
    <x v="12"/>
  </r>
  <r>
    <x v="12"/>
  </r>
  <r>
    <x v="12"/>
  </r>
  <r>
    <x v="12"/>
  </r>
  <r>
    <x v="12"/>
  </r>
  <r>
    <x v="42"/>
  </r>
  <r>
    <x v="12"/>
  </r>
  <r>
    <x v="34"/>
  </r>
  <r>
    <x v="12"/>
  </r>
  <r>
    <x v="12"/>
  </r>
  <r>
    <x v="12"/>
  </r>
  <r>
    <x v="12"/>
  </r>
  <r>
    <x v="12"/>
  </r>
  <r>
    <x v="12"/>
  </r>
  <r>
    <x v="70"/>
  </r>
  <r>
    <x v="126"/>
  </r>
  <r>
    <x v="126"/>
  </r>
  <r>
    <x v="126"/>
  </r>
  <r>
    <x v="126"/>
  </r>
  <r>
    <x v="37"/>
  </r>
  <r>
    <x v="24"/>
  </r>
  <r>
    <x v="42"/>
  </r>
  <r>
    <x v="24"/>
  </r>
  <r>
    <x v="24"/>
  </r>
  <r>
    <x v="24"/>
  </r>
  <r>
    <x v="51"/>
  </r>
  <r>
    <x v="72"/>
  </r>
  <r>
    <x v="72"/>
  </r>
  <r>
    <x v="72"/>
  </r>
  <r>
    <x v="34"/>
  </r>
  <r>
    <x v="51"/>
  </r>
  <r>
    <x v="115"/>
  </r>
  <r>
    <x v="51"/>
  </r>
  <r>
    <x v="51"/>
  </r>
  <r>
    <x v="51"/>
  </r>
  <r>
    <x v="51"/>
  </r>
  <r>
    <x v="75"/>
  </r>
  <r>
    <x v="12"/>
  </r>
  <r>
    <x v="12"/>
  </r>
  <r>
    <x v="37"/>
  </r>
  <r>
    <x v="34"/>
  </r>
  <r>
    <x v="138"/>
  </r>
  <r>
    <x v="138"/>
  </r>
  <r>
    <x v="138"/>
  </r>
  <r>
    <x v="138"/>
  </r>
  <r>
    <x v="138"/>
  </r>
  <r>
    <x v="138"/>
  </r>
  <r>
    <x v="87"/>
  </r>
  <r>
    <x v="87"/>
  </r>
  <r>
    <x v="87"/>
  </r>
  <r>
    <x v="87"/>
  </r>
  <r>
    <x v="24"/>
  </r>
  <r>
    <x v="186"/>
  </r>
  <r>
    <x v="85"/>
  </r>
  <r>
    <x v="34"/>
  </r>
  <r>
    <x v="7"/>
  </r>
  <r>
    <x v="50"/>
  </r>
  <r>
    <x v="33"/>
  </r>
  <r>
    <x v="33"/>
  </r>
  <r>
    <x v="12"/>
  </r>
  <r>
    <x v="76"/>
  </r>
  <r>
    <x v="33"/>
  </r>
  <r>
    <x v="7"/>
  </r>
  <r>
    <x v="87"/>
  </r>
  <r>
    <x v="12"/>
  </r>
  <r>
    <x v="12"/>
  </r>
  <r>
    <x v="12"/>
  </r>
  <r>
    <x v="12"/>
  </r>
  <r>
    <x v="2"/>
  </r>
  <r>
    <x v="12"/>
  </r>
  <r>
    <x v="72"/>
  </r>
  <r>
    <x v="276"/>
  </r>
  <r>
    <x v="4"/>
  </r>
  <r>
    <x v="32"/>
  </r>
  <r>
    <x v="32"/>
  </r>
  <r>
    <x v="77"/>
  </r>
  <r>
    <x v="77"/>
  </r>
  <r>
    <x v="77"/>
  </r>
  <r>
    <x v="14"/>
  </r>
  <r>
    <x v="14"/>
  </r>
  <r>
    <x v="14"/>
  </r>
  <r>
    <x v="12"/>
  </r>
  <r>
    <x v="37"/>
  </r>
  <r>
    <x v="42"/>
  </r>
  <r>
    <x v="42"/>
  </r>
  <r>
    <x v="10"/>
  </r>
  <r>
    <x v="10"/>
  </r>
  <r>
    <x v="4"/>
  </r>
  <r>
    <x v="7"/>
  </r>
  <r>
    <x v="10"/>
  </r>
  <r>
    <x v="16"/>
  </r>
  <r>
    <x v="7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20"/>
  </r>
  <r>
    <x v="10"/>
  </r>
  <r>
    <x v="10"/>
  </r>
  <r>
    <x v="36"/>
  </r>
  <r>
    <x v="36"/>
  </r>
  <r>
    <x v="0"/>
  </r>
  <r>
    <x v="107"/>
  </r>
  <r>
    <x v="107"/>
  </r>
  <r>
    <x v="10"/>
  </r>
  <r>
    <x v="10"/>
  </r>
  <r>
    <x v="10"/>
  </r>
  <r>
    <x v="34"/>
  </r>
  <r>
    <x v="37"/>
  </r>
  <r>
    <x v="36"/>
  </r>
  <r>
    <x v="3"/>
  </r>
  <r>
    <x v="16"/>
  </r>
  <r>
    <x v="16"/>
  </r>
  <r>
    <x v="12"/>
  </r>
  <r>
    <x v="28"/>
  </r>
  <r>
    <x v="77"/>
  </r>
  <r>
    <x v="1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12"/>
  </r>
  <r>
    <x v="129"/>
  </r>
  <r>
    <x v="12"/>
  </r>
  <r>
    <x v="129"/>
  </r>
  <r>
    <x v="129"/>
  </r>
  <r>
    <x v="129"/>
  </r>
  <r>
    <x v="129"/>
  </r>
  <r>
    <x v="63"/>
  </r>
  <r>
    <x v="12"/>
  </r>
  <r>
    <x v="12"/>
  </r>
  <r>
    <x v="12"/>
  </r>
  <r>
    <x v="129"/>
  </r>
  <r>
    <x v="34"/>
  </r>
  <r>
    <x v="76"/>
  </r>
  <r>
    <x v="129"/>
  </r>
  <r>
    <x v="4"/>
  </r>
  <r>
    <x v="4"/>
  </r>
  <r>
    <x v="12"/>
  </r>
  <r>
    <x v="12"/>
  </r>
  <r>
    <x v="12"/>
  </r>
  <r>
    <x v="4"/>
  </r>
  <r>
    <x v="12"/>
  </r>
  <r>
    <x v="12"/>
  </r>
  <r>
    <x v="12"/>
  </r>
  <r>
    <x v="12"/>
  </r>
  <r>
    <x v="12"/>
  </r>
  <r>
    <x v="12"/>
  </r>
  <r>
    <x v="12"/>
  </r>
  <r>
    <x v="42"/>
  </r>
  <r>
    <x v="42"/>
  </r>
  <r>
    <x v="42"/>
  </r>
  <r>
    <x v="115"/>
  </r>
  <r>
    <x v="115"/>
  </r>
  <r>
    <x v="24"/>
  </r>
  <r>
    <x v="111"/>
  </r>
  <r>
    <x v="24"/>
  </r>
  <r>
    <x v="9"/>
  </r>
  <r>
    <x v="9"/>
  </r>
  <r>
    <x v="24"/>
  </r>
  <r>
    <x v="24"/>
  </r>
  <r>
    <x v="24"/>
  </r>
  <r>
    <x v="24"/>
  </r>
  <r>
    <x v="89"/>
  </r>
  <r>
    <x v="89"/>
  </r>
  <r>
    <x v="89"/>
  </r>
  <r>
    <x v="89"/>
  </r>
  <r>
    <x v="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14"/>
  </r>
  <r>
    <x v="14"/>
  </r>
  <r>
    <x v="89"/>
  </r>
  <r>
    <x v="89"/>
  </r>
  <r>
    <x v="89"/>
  </r>
  <r>
    <x v="89"/>
  </r>
  <r>
    <x v="89"/>
  </r>
  <r>
    <x v="63"/>
  </r>
  <r>
    <x v="63"/>
  </r>
  <r>
    <x v="87"/>
  </r>
  <r>
    <x v="63"/>
  </r>
  <r>
    <x v="87"/>
  </r>
  <r>
    <x v="87"/>
  </r>
  <r>
    <x v="87"/>
  </r>
  <r>
    <x v="87"/>
  </r>
  <r>
    <x v="9"/>
  </r>
  <r>
    <x v="55"/>
  </r>
  <r>
    <x v="87"/>
  </r>
  <r>
    <x v="87"/>
  </r>
  <r>
    <x v="87"/>
  </r>
  <r>
    <x v="87"/>
  </r>
  <r>
    <x v="56"/>
  </r>
  <r>
    <x v="56"/>
  </r>
  <r>
    <x v="87"/>
  </r>
  <r>
    <x v="87"/>
  </r>
  <r>
    <x v="42"/>
  </r>
  <r>
    <x v="87"/>
  </r>
  <r>
    <x v="87"/>
  </r>
  <r>
    <x v="87"/>
  </r>
  <r>
    <x v="87"/>
  </r>
  <r>
    <x v="16"/>
  </r>
  <r>
    <x v="16"/>
  </r>
  <r>
    <x v="24"/>
  </r>
  <r>
    <x v="87"/>
  </r>
  <r>
    <x v="87"/>
  </r>
  <r>
    <x v="87"/>
  </r>
  <r>
    <x v="16"/>
  </r>
  <r>
    <x v="87"/>
  </r>
  <r>
    <x v="48"/>
  </r>
  <r>
    <x v="50"/>
  </r>
  <r>
    <x v="25"/>
  </r>
  <r>
    <x v="25"/>
  </r>
  <r>
    <x v="87"/>
  </r>
  <r>
    <x v="22"/>
  </r>
  <r>
    <x v="87"/>
  </r>
  <r>
    <x v="10"/>
  </r>
  <r>
    <x v="10"/>
  </r>
  <r>
    <x v="10"/>
  </r>
  <r>
    <x v="10"/>
  </r>
  <r>
    <x v="87"/>
  </r>
  <r>
    <x v="87"/>
  </r>
  <r>
    <x v="87"/>
  </r>
  <r>
    <x v="87"/>
  </r>
  <r>
    <x v="171"/>
  </r>
  <r>
    <x v="77"/>
  </r>
  <r>
    <x v="123"/>
  </r>
  <r>
    <x v="31"/>
  </r>
  <r>
    <x v="130"/>
  </r>
  <r>
    <x v="22"/>
  </r>
  <r>
    <x v="14"/>
  </r>
  <r>
    <x v="49"/>
  </r>
  <r>
    <x v="14"/>
  </r>
  <r>
    <x v="49"/>
  </r>
  <r>
    <x v="22"/>
  </r>
  <r>
    <x v="61"/>
  </r>
  <r>
    <x v="28"/>
  </r>
  <r>
    <x v="41"/>
  </r>
  <r>
    <x v="61"/>
  </r>
  <r>
    <x v="39"/>
  </r>
  <r>
    <x v="14"/>
  </r>
  <r>
    <x v="12"/>
  </r>
  <r>
    <x v="12"/>
  </r>
  <r>
    <x v="14"/>
  </r>
  <r>
    <x v="55"/>
  </r>
  <r>
    <x v="17"/>
  </r>
  <r>
    <x v="10"/>
  </r>
  <r>
    <x v="4"/>
  </r>
  <r>
    <x v="0"/>
  </r>
  <r>
    <x v="42"/>
  </r>
  <r>
    <x v="14"/>
  </r>
  <r>
    <x v="10"/>
  </r>
  <r>
    <x v="18"/>
  </r>
  <r>
    <x v="77"/>
  </r>
  <r>
    <x v="18"/>
  </r>
  <r>
    <x v="18"/>
  </r>
  <r>
    <x v="4"/>
  </r>
  <r>
    <x v="0"/>
  </r>
  <r>
    <x v="12"/>
  </r>
  <r>
    <x v="9"/>
  </r>
  <r>
    <x v="12"/>
  </r>
  <r>
    <x v="4"/>
  </r>
  <r>
    <x v="4"/>
  </r>
  <r>
    <x v="4"/>
  </r>
  <r>
    <x v="4"/>
  </r>
  <r>
    <x v="4"/>
  </r>
  <r>
    <x v="4"/>
  </r>
  <r>
    <x v="4"/>
  </r>
  <r>
    <x v="70"/>
  </r>
  <r>
    <x v="14"/>
  </r>
  <r>
    <x v="39"/>
  </r>
  <r>
    <x v="16"/>
  </r>
  <r>
    <x v="39"/>
  </r>
  <r>
    <x v="0"/>
  </r>
  <r>
    <x v="87"/>
  </r>
  <r>
    <x v="242"/>
  </r>
  <r>
    <x v="72"/>
  </r>
  <r>
    <x v="8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10"/>
  </r>
  <r>
    <x v="14"/>
  </r>
  <r>
    <x v="14"/>
  </r>
  <r>
    <x v="39"/>
  </r>
  <r>
    <x v="12"/>
  </r>
  <r>
    <x v="12"/>
  </r>
  <r>
    <x v="12"/>
  </r>
  <r>
    <x v="12"/>
  </r>
  <r>
    <x v="30"/>
  </r>
  <r>
    <x v="12"/>
  </r>
  <r>
    <x v="12"/>
  </r>
  <r>
    <x v="12"/>
  </r>
  <r>
    <x v="4"/>
  </r>
  <r>
    <x v="4"/>
  </r>
  <r>
    <x v="4"/>
  </r>
  <r>
    <x v="80"/>
  </r>
  <r>
    <x v="29"/>
  </r>
  <r>
    <x v="80"/>
  </r>
  <r>
    <x v="12"/>
  </r>
  <r>
    <x v="12"/>
  </r>
  <r>
    <x v="4"/>
  </r>
  <r>
    <x v="4"/>
  </r>
  <r>
    <x v="14"/>
  </r>
  <r>
    <x v="4"/>
  </r>
  <r>
    <x v="4"/>
  </r>
  <r>
    <x v="4"/>
  </r>
  <r>
    <x v="4"/>
  </r>
  <r>
    <x v="19"/>
  </r>
  <r>
    <x v="53"/>
  </r>
  <r>
    <x v="55"/>
  </r>
  <r>
    <x v="2"/>
  </r>
  <r>
    <x v="53"/>
  </r>
  <r>
    <x v="138"/>
  </r>
  <r>
    <x v="87"/>
  </r>
  <r>
    <x v="87"/>
  </r>
  <r>
    <x v="87"/>
  </r>
  <r>
    <x v="42"/>
  </r>
  <r>
    <x v="28"/>
  </r>
  <r>
    <x v="42"/>
  </r>
  <r>
    <x v="42"/>
  </r>
  <r>
    <x v="10"/>
  </r>
  <r>
    <x v="42"/>
  </r>
  <r>
    <x v="42"/>
  </r>
  <r>
    <x v="42"/>
  </r>
  <r>
    <x v="42"/>
  </r>
  <r>
    <x v="42"/>
  </r>
  <r>
    <x v="42"/>
  </r>
  <r>
    <x v="10"/>
  </r>
  <r>
    <x v="4"/>
  </r>
  <r>
    <x v="10"/>
  </r>
  <r>
    <x v="10"/>
  </r>
  <r>
    <x v="10"/>
  </r>
  <r>
    <x v="10"/>
  </r>
  <r>
    <x v="4"/>
  </r>
  <r>
    <x v="10"/>
  </r>
  <r>
    <x v="10"/>
  </r>
  <r>
    <x v="10"/>
  </r>
  <r>
    <x v="4"/>
  </r>
  <r>
    <x v="4"/>
  </r>
  <r>
    <x v="4"/>
  </r>
  <r>
    <x v="36"/>
  </r>
  <r>
    <x v="4"/>
  </r>
  <r>
    <x v="4"/>
  </r>
  <r>
    <x v="10"/>
  </r>
  <r>
    <x v="10"/>
  </r>
  <r>
    <x v="33"/>
  </r>
  <r>
    <x v="10"/>
  </r>
  <r>
    <x v="33"/>
  </r>
  <r>
    <x v="33"/>
  </r>
  <r>
    <x v="10"/>
  </r>
  <r>
    <x v="10"/>
  </r>
  <r>
    <x v="14"/>
  </r>
  <r>
    <x v="14"/>
  </r>
  <r>
    <x v="14"/>
  </r>
  <r>
    <x v="14"/>
  </r>
  <r>
    <x v="1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63"/>
  </r>
  <r>
    <x v="63"/>
  </r>
  <r>
    <x v="63"/>
  </r>
  <r>
    <x v="6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87"/>
  </r>
  <r>
    <x v="87"/>
  </r>
  <r>
    <x v="12"/>
  </r>
  <r>
    <x v="12"/>
  </r>
  <r>
    <x v="12"/>
  </r>
  <r>
    <x v="14"/>
  </r>
  <r>
    <x v="14"/>
  </r>
  <r>
    <x v="79"/>
  </r>
  <r>
    <x v="12"/>
  </r>
  <r>
    <x v="14"/>
  </r>
  <r>
    <x v="14"/>
  </r>
  <r>
    <x v="14"/>
  </r>
  <r>
    <x v="22"/>
  </r>
  <r>
    <x v="14"/>
  </r>
  <r>
    <x v="14"/>
  </r>
  <r>
    <x v="12"/>
  </r>
  <r>
    <x v="12"/>
  </r>
  <r>
    <x v="4"/>
  </r>
  <r>
    <x v="4"/>
  </r>
  <r>
    <x v="4"/>
  </r>
  <r>
    <x v="4"/>
  </r>
  <r>
    <x v="52"/>
  </r>
  <r>
    <x v="165"/>
  </r>
  <r>
    <x v="77"/>
  </r>
  <r>
    <x v="78"/>
  </r>
  <r>
    <x v="77"/>
  </r>
  <r>
    <x v="79"/>
  </r>
  <r>
    <x v="204"/>
  </r>
  <r>
    <x v="14"/>
  </r>
  <r>
    <x v="204"/>
  </r>
  <r>
    <x v="204"/>
  </r>
  <r>
    <x v="42"/>
  </r>
  <r>
    <x v="42"/>
  </r>
  <r>
    <x v="42"/>
  </r>
  <r>
    <x v="42"/>
  </r>
  <r>
    <x v="64"/>
  </r>
  <r>
    <x v="42"/>
  </r>
  <r>
    <x v="14"/>
  </r>
  <r>
    <x v="42"/>
  </r>
  <r>
    <x v="12"/>
  </r>
  <r>
    <x v="12"/>
  </r>
  <r>
    <x v="12"/>
  </r>
  <r>
    <x v="12"/>
  </r>
  <r>
    <x v="12"/>
  </r>
  <r>
    <x v="0"/>
  </r>
  <r>
    <x v="12"/>
  </r>
  <r>
    <x v="1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4"/>
  </r>
  <r>
    <x v="42"/>
  </r>
  <r>
    <x v="42"/>
  </r>
  <r>
    <x v="123"/>
  </r>
  <r>
    <x v="42"/>
  </r>
  <r>
    <x v="42"/>
  </r>
  <r>
    <x v="36"/>
  </r>
  <r>
    <x v="36"/>
  </r>
  <r>
    <x v="42"/>
  </r>
  <r>
    <x v="42"/>
  </r>
  <r>
    <x v="77"/>
  </r>
  <r>
    <x v="42"/>
  </r>
  <r>
    <x v="12"/>
  </r>
  <r>
    <x v="12"/>
  </r>
  <r>
    <x v="12"/>
  </r>
  <r>
    <x v="12"/>
  </r>
  <r>
    <x v="12"/>
  </r>
  <r>
    <x v="2"/>
  </r>
  <r>
    <x v="12"/>
  </r>
  <r>
    <x v="24"/>
  </r>
  <r>
    <x v="12"/>
  </r>
  <r>
    <x v="12"/>
  </r>
  <r>
    <x v="70"/>
  </r>
  <r>
    <x v="12"/>
  </r>
  <r>
    <x v="63"/>
  </r>
  <r>
    <x v="2"/>
  </r>
  <r>
    <x v="12"/>
  </r>
  <r>
    <x v="63"/>
  </r>
  <r>
    <x v="63"/>
  </r>
  <r>
    <x v="63"/>
  </r>
  <r>
    <x v="63"/>
  </r>
  <r>
    <x v="55"/>
  </r>
  <r>
    <x v="63"/>
  </r>
  <r>
    <x v="137"/>
  </r>
  <r>
    <x v="6"/>
  </r>
  <r>
    <x v="137"/>
  </r>
  <r>
    <x v="12"/>
  </r>
  <r>
    <x v="63"/>
  </r>
  <r>
    <x v="63"/>
  </r>
  <r>
    <x v="63"/>
  </r>
  <r>
    <x v="63"/>
  </r>
  <r>
    <x v="138"/>
  </r>
  <r>
    <x v="37"/>
  </r>
  <r>
    <x v="6"/>
  </r>
  <r>
    <x v="6"/>
  </r>
  <r>
    <x v="12"/>
  </r>
  <r>
    <x v="12"/>
  </r>
  <r>
    <x v="12"/>
  </r>
  <r>
    <x v="12"/>
  </r>
  <r>
    <x v="12"/>
  </r>
  <r>
    <x v="63"/>
  </r>
  <r>
    <x v="63"/>
  </r>
  <r>
    <x v="14"/>
  </r>
  <r>
    <x v="14"/>
  </r>
  <r>
    <x v="14"/>
  </r>
  <r>
    <x v="12"/>
  </r>
  <r>
    <x v="12"/>
  </r>
  <r>
    <x v="12"/>
  </r>
  <r>
    <x v="12"/>
  </r>
  <r>
    <x v="12"/>
  </r>
  <r>
    <x v="12"/>
  </r>
  <r>
    <x v="12"/>
  </r>
  <r>
    <x v="56"/>
  </r>
  <r>
    <x v="12"/>
  </r>
  <r>
    <x v="56"/>
  </r>
  <r>
    <x v="12"/>
  </r>
  <r>
    <x v="12"/>
  </r>
  <r>
    <x v="12"/>
  </r>
  <r>
    <x v="0"/>
  </r>
  <r>
    <x v="63"/>
  </r>
  <r>
    <x v="63"/>
  </r>
  <r>
    <x v="63"/>
  </r>
  <r>
    <x v="3"/>
  </r>
  <r>
    <x v="63"/>
  </r>
  <r>
    <x v="63"/>
  </r>
  <r>
    <x v="63"/>
  </r>
  <r>
    <x v="50"/>
  </r>
  <r>
    <x v="63"/>
  </r>
  <r>
    <x v="63"/>
  </r>
  <r>
    <x v="50"/>
  </r>
  <r>
    <x v="123"/>
  </r>
  <r>
    <x v="12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4"/>
  </r>
  <r>
    <x v="77"/>
  </r>
  <r>
    <x v="14"/>
  </r>
  <r>
    <x v="11"/>
  </r>
  <r>
    <x v="8"/>
  </r>
  <r>
    <x v="1"/>
  </r>
  <r>
    <x v="10"/>
  </r>
  <r>
    <x v="9"/>
  </r>
  <r>
    <x v="14"/>
  </r>
  <r>
    <x v="9"/>
  </r>
  <r>
    <x v="14"/>
  </r>
  <r>
    <x v="26"/>
  </r>
  <r>
    <x v="4"/>
  </r>
  <r>
    <x v="4"/>
  </r>
  <r>
    <x v="86"/>
  </r>
  <r>
    <x v="86"/>
  </r>
  <r>
    <x v="276"/>
  </r>
  <r>
    <x v="77"/>
  </r>
  <r>
    <x v="77"/>
  </r>
  <r>
    <x v="36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12"/>
  </r>
  <r>
    <x v="12"/>
  </r>
  <r>
    <x v="12"/>
  </r>
  <r>
    <x v="12"/>
  </r>
  <r>
    <x v="12"/>
  </r>
  <r>
    <x v="12"/>
  </r>
  <r>
    <x v="12"/>
  </r>
  <r>
    <x v="108"/>
  </r>
  <r>
    <x v="42"/>
  </r>
  <r>
    <x v="42"/>
  </r>
  <r>
    <x v="42"/>
  </r>
  <r>
    <x v="42"/>
  </r>
  <r>
    <x v="56"/>
  </r>
  <r>
    <x v="77"/>
  </r>
  <r>
    <x v="0"/>
  </r>
  <r>
    <x v="26"/>
  </r>
  <r>
    <x v="0"/>
  </r>
  <r>
    <x v="0"/>
  </r>
  <r>
    <x v="0"/>
  </r>
  <r>
    <x v="0"/>
  </r>
  <r>
    <x v="86"/>
  </r>
  <r>
    <x v="86"/>
  </r>
  <r>
    <x v="77"/>
  </r>
  <r>
    <x v="86"/>
  </r>
  <r>
    <x v="72"/>
  </r>
  <r>
    <x v="72"/>
  </r>
  <r>
    <x v="48"/>
  </r>
  <r>
    <x v="273"/>
  </r>
  <r>
    <x v="63"/>
  </r>
  <r>
    <x v="63"/>
  </r>
  <r>
    <x v="24"/>
  </r>
  <r>
    <x v="4"/>
  </r>
  <r>
    <x v="8"/>
  </r>
  <r>
    <x v="69"/>
  </r>
  <r>
    <x v="152"/>
  </r>
  <r>
    <x v="6"/>
  </r>
  <r>
    <x v="4"/>
  </r>
  <r>
    <x v="183"/>
  </r>
  <r>
    <x v="4"/>
  </r>
  <r>
    <x v="183"/>
  </r>
  <r>
    <x v="48"/>
  </r>
  <r>
    <x v="138"/>
  </r>
  <r>
    <x v="4"/>
  </r>
  <r>
    <x v="138"/>
  </r>
  <r>
    <x v="4"/>
  </r>
  <r>
    <x v="4"/>
  </r>
  <r>
    <x v="10"/>
  </r>
  <r>
    <x v="21"/>
  </r>
  <r>
    <x v="4"/>
  </r>
  <r>
    <x v="14"/>
  </r>
  <r>
    <x v="108"/>
  </r>
  <r>
    <x v="138"/>
  </r>
  <r>
    <x v="21"/>
  </r>
  <r>
    <x v="10"/>
  </r>
  <r>
    <x v="4"/>
  </r>
  <r>
    <x v="4"/>
  </r>
  <r>
    <x v="78"/>
  </r>
  <r>
    <x v="78"/>
  </r>
  <r>
    <x v="78"/>
  </r>
  <r>
    <x v="7"/>
  </r>
  <r>
    <x v="7"/>
  </r>
  <r>
    <x v="45"/>
  </r>
  <r>
    <x v="45"/>
  </r>
  <r>
    <x v="7"/>
  </r>
  <r>
    <x v="45"/>
  </r>
  <r>
    <x v="7"/>
  </r>
  <r>
    <x v="7"/>
  </r>
  <r>
    <x v="45"/>
  </r>
  <r>
    <x v="7"/>
  </r>
  <r>
    <x v="7"/>
  </r>
  <r>
    <x v="7"/>
  </r>
  <r>
    <x v="45"/>
  </r>
  <r>
    <x v="10"/>
  </r>
  <r>
    <x v="10"/>
  </r>
  <r>
    <x v="10"/>
  </r>
  <r>
    <x v="10"/>
  </r>
  <r>
    <x v="10"/>
  </r>
  <r>
    <x v="10"/>
  </r>
  <r>
    <x v="10"/>
  </r>
  <r>
    <x v="77"/>
  </r>
  <r>
    <x v="476"/>
  </r>
  <r>
    <x v="269"/>
  </r>
  <r>
    <x v="80"/>
  </r>
  <r>
    <x v="476"/>
  </r>
  <r>
    <x v="70"/>
  </r>
  <r>
    <x v="32"/>
  </r>
  <r>
    <x v="7"/>
  </r>
  <r>
    <x v="48"/>
  </r>
  <r>
    <x v="77"/>
  </r>
  <r>
    <x v="10"/>
  </r>
  <r>
    <x v="19"/>
  </r>
  <r>
    <x v="10"/>
  </r>
  <r>
    <x v="10"/>
  </r>
  <r>
    <x v="77"/>
  </r>
  <r>
    <x v="77"/>
  </r>
  <r>
    <x v="48"/>
  </r>
  <r>
    <x v="28"/>
  </r>
  <r>
    <x v="28"/>
  </r>
  <r>
    <x v="26"/>
  </r>
  <r>
    <x v="32"/>
  </r>
  <r>
    <x v="42"/>
  </r>
  <r>
    <x v="102"/>
  </r>
  <r>
    <x v="44"/>
  </r>
  <r>
    <x v="2"/>
  </r>
  <r>
    <x v="10"/>
  </r>
  <r>
    <x v="138"/>
  </r>
  <r>
    <x v="138"/>
  </r>
  <r>
    <x v="138"/>
  </r>
  <r>
    <x v="63"/>
  </r>
  <r>
    <x v="86"/>
  </r>
  <r>
    <x v="86"/>
  </r>
  <r>
    <x v="69"/>
  </r>
  <r>
    <x v="69"/>
  </r>
  <r>
    <x v="69"/>
  </r>
  <r>
    <x v="69"/>
  </r>
  <r>
    <x v="12"/>
  </r>
  <r>
    <x v="7"/>
  </r>
  <r>
    <x v="16"/>
  </r>
  <r>
    <x v="4"/>
  </r>
  <r>
    <x v="4"/>
  </r>
  <r>
    <x v="4"/>
  </r>
  <r>
    <x v="138"/>
  </r>
  <r>
    <x v="4"/>
  </r>
  <r>
    <x v="138"/>
  </r>
  <r>
    <x v="4"/>
  </r>
  <r>
    <x v="4"/>
  </r>
  <r>
    <x v="4"/>
  </r>
  <r>
    <x v="4"/>
  </r>
  <r>
    <x v="12"/>
  </r>
  <r>
    <x v="12"/>
  </r>
  <r>
    <x v="4"/>
  </r>
  <r>
    <x v="4"/>
  </r>
  <r>
    <x v="10"/>
  </r>
  <r>
    <x v="4"/>
  </r>
  <r>
    <x v="4"/>
  </r>
  <r>
    <x v="10"/>
  </r>
  <r>
    <x v="4"/>
  </r>
  <r>
    <x v="144"/>
  </r>
  <r>
    <x v="152"/>
  </r>
  <r>
    <x v="152"/>
  </r>
  <r>
    <x v="27"/>
  </r>
  <r>
    <x v="27"/>
  </r>
  <r>
    <x v="27"/>
  </r>
  <r>
    <x v="87"/>
  </r>
  <r>
    <x v="165"/>
  </r>
  <r>
    <x v="4"/>
  </r>
  <r>
    <x v="4"/>
  </r>
  <r>
    <x v="76"/>
  </r>
  <r>
    <x v="4"/>
  </r>
  <r>
    <x v="126"/>
  </r>
  <r>
    <x v="4"/>
  </r>
  <r>
    <x v="2"/>
  </r>
  <r>
    <x v="4"/>
  </r>
  <r>
    <x v="4"/>
  </r>
  <r>
    <x v="4"/>
  </r>
  <r>
    <x v="78"/>
  </r>
  <r>
    <x v="78"/>
  </r>
  <r>
    <x v="78"/>
  </r>
  <r>
    <x v="1"/>
  </r>
  <r>
    <x v="78"/>
  </r>
  <r>
    <x v="9"/>
  </r>
  <r>
    <x v="4"/>
  </r>
  <r>
    <x v="78"/>
  </r>
  <r>
    <x v="78"/>
  </r>
  <r>
    <x v="78"/>
  </r>
  <r>
    <x v="78"/>
  </r>
  <r>
    <x v="78"/>
  </r>
  <r>
    <x v="78"/>
  </r>
  <r>
    <x v="11"/>
  </r>
  <r>
    <x v="2"/>
  </r>
  <r>
    <x v="122"/>
  </r>
  <r>
    <x v="111"/>
  </r>
  <r>
    <x v="10"/>
  </r>
  <r>
    <x v="10"/>
  </r>
  <r>
    <x v="58"/>
  </r>
  <r>
    <x v="10"/>
  </r>
  <r>
    <x v="4"/>
  </r>
  <r>
    <x v="46"/>
  </r>
  <r>
    <x v="138"/>
  </r>
  <r>
    <x v="138"/>
  </r>
  <r>
    <x v="13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5"/>
  </r>
  <r>
    <x v="12"/>
  </r>
  <r>
    <x v="78"/>
  </r>
  <r>
    <x v="78"/>
  </r>
  <r>
    <x v="78"/>
  </r>
  <r>
    <x v="78"/>
  </r>
  <r>
    <x v="63"/>
  </r>
  <r>
    <x v="86"/>
  </r>
  <r>
    <x v="71"/>
  </r>
  <r>
    <x v="142"/>
  </r>
  <r>
    <x v="12"/>
  </r>
  <r>
    <x v="14"/>
  </r>
  <r>
    <x v="2"/>
  </r>
  <r>
    <x v="28"/>
  </r>
  <r>
    <x v="28"/>
  </r>
  <r>
    <x v="24"/>
  </r>
  <r>
    <x v="7"/>
  </r>
  <r>
    <x v="10"/>
  </r>
  <r>
    <x v="42"/>
  </r>
  <r>
    <x v="129"/>
  </r>
  <r>
    <x v="28"/>
  </r>
  <r>
    <x v="42"/>
  </r>
  <r>
    <x v="42"/>
  </r>
  <r>
    <x v="28"/>
  </r>
  <r>
    <x v="28"/>
  </r>
  <r>
    <x v="57"/>
  </r>
  <r>
    <x v="48"/>
  </r>
  <r>
    <x v="102"/>
  </r>
  <r>
    <x v="10"/>
  </r>
  <r>
    <x v="28"/>
  </r>
  <r>
    <x v="28"/>
  </r>
  <r>
    <x v="0"/>
  </r>
  <r>
    <x v="39"/>
  </r>
  <r>
    <x v="3"/>
  </r>
  <r>
    <x v="32"/>
  </r>
  <r>
    <x v="22"/>
  </r>
  <r>
    <x v="28"/>
  </r>
  <r>
    <x v="26"/>
  </r>
  <r>
    <x v="143"/>
  </r>
  <r>
    <x v="11"/>
  </r>
  <r>
    <x v="7"/>
  </r>
  <r>
    <x v="10"/>
  </r>
  <r>
    <x v="19"/>
  </r>
  <r>
    <x v="0"/>
  </r>
  <r>
    <x v="4"/>
  </r>
  <r>
    <x v="4"/>
  </r>
  <r>
    <x v="57"/>
  </r>
  <r>
    <x v="77"/>
  </r>
  <r>
    <x v="77"/>
  </r>
  <r>
    <x v="10"/>
  </r>
  <r>
    <x v="225"/>
  </r>
  <r>
    <x v="14"/>
  </r>
  <r>
    <x v="4"/>
  </r>
  <r>
    <x v="4"/>
  </r>
  <r>
    <x v="4"/>
  </r>
  <r>
    <x v="4"/>
  </r>
  <r>
    <x v="4"/>
  </r>
  <r>
    <x v="77"/>
  </r>
  <r>
    <x v="77"/>
  </r>
  <r>
    <x v="4"/>
  </r>
  <r>
    <x v="4"/>
  </r>
  <r>
    <x v="4"/>
  </r>
  <r>
    <x v="4"/>
  </r>
  <r>
    <x v="4"/>
  </r>
  <r>
    <x v="37"/>
  </r>
  <r>
    <x v="4"/>
  </r>
  <r>
    <x v="55"/>
  </r>
  <r>
    <x v="4"/>
  </r>
  <r>
    <x v="25"/>
  </r>
  <r>
    <x v="4"/>
  </r>
  <r>
    <x v="12"/>
  </r>
  <r>
    <x v="12"/>
  </r>
  <r>
    <x v="10"/>
  </r>
  <r>
    <x v="12"/>
  </r>
  <r>
    <x v="12"/>
  </r>
  <r>
    <x v="12"/>
  </r>
  <r>
    <x v="22"/>
  </r>
  <r>
    <x v="12"/>
  </r>
  <r>
    <x v="24"/>
  </r>
  <r>
    <x v="8"/>
  </r>
  <r>
    <x v="24"/>
  </r>
  <r>
    <x v="36"/>
  </r>
  <r>
    <x v="24"/>
  </r>
  <r>
    <x v="36"/>
  </r>
  <r>
    <x v="10"/>
  </r>
  <r>
    <x v="10"/>
  </r>
  <r>
    <x v="36"/>
  </r>
  <r>
    <x v="36"/>
  </r>
  <r>
    <x v="108"/>
  </r>
  <r>
    <x v="10"/>
  </r>
  <r>
    <x v="10"/>
  </r>
  <r>
    <x v="4"/>
  </r>
  <r>
    <x v="10"/>
  </r>
  <r>
    <x v="16"/>
  </r>
  <r>
    <x v="16"/>
  </r>
  <r>
    <x v="10"/>
  </r>
  <r>
    <x v="87"/>
  </r>
  <r>
    <x v="12"/>
  </r>
  <r>
    <x v="52"/>
  </r>
  <r>
    <x v="3"/>
  </r>
  <r>
    <x v="12"/>
  </r>
  <r>
    <x v="126"/>
  </r>
  <r>
    <x v="14"/>
  </r>
  <r>
    <x v="10"/>
  </r>
  <r>
    <x v="10"/>
  </r>
  <r>
    <x v="10"/>
  </r>
  <r>
    <x v="10"/>
  </r>
  <r>
    <x v="10"/>
  </r>
  <r>
    <x v="36"/>
  </r>
  <r>
    <x v="36"/>
  </r>
  <r>
    <x v="36"/>
  </r>
  <r>
    <x v="36"/>
  </r>
  <r>
    <x v="36"/>
  </r>
  <r>
    <x v="36"/>
  </r>
  <r>
    <x v="36"/>
  </r>
  <r>
    <x v="12"/>
  </r>
  <r>
    <x v="36"/>
  </r>
  <r>
    <x v="36"/>
  </r>
  <r>
    <x v="28"/>
  </r>
  <r>
    <x v="59"/>
  </r>
  <r>
    <x v="36"/>
  </r>
  <r>
    <x v="12"/>
  </r>
  <r>
    <x v="111"/>
  </r>
  <r>
    <x v="36"/>
  </r>
  <r>
    <x v="36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7"/>
  </r>
  <r>
    <x v="12"/>
  </r>
  <r>
    <x v="36"/>
  </r>
  <r>
    <x v="36"/>
  </r>
  <r>
    <x v="12"/>
  </r>
  <r>
    <x v="36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12"/>
  </r>
  <r>
    <x v="12"/>
  </r>
  <r>
    <x v="0"/>
  </r>
  <r>
    <x v="17"/>
  </r>
  <r>
    <x v="0"/>
  </r>
  <r>
    <x v="16"/>
  </r>
  <r>
    <x v="63"/>
  </r>
  <r>
    <x v="4"/>
  </r>
  <r>
    <x v="63"/>
  </r>
  <r>
    <x v="63"/>
  </r>
  <r>
    <x v="63"/>
  </r>
  <r>
    <x v="63"/>
  </r>
  <r>
    <x v="17"/>
  </r>
  <r>
    <x v="63"/>
  </r>
  <r>
    <x v="63"/>
  </r>
  <r>
    <x v="45"/>
  </r>
  <r>
    <x v="45"/>
  </r>
  <r>
    <x v="10"/>
  </r>
  <r>
    <x v="10"/>
  </r>
  <r>
    <x v="0"/>
  </r>
  <r>
    <x v="31"/>
  </r>
  <r>
    <x v="4"/>
  </r>
  <r>
    <x v="4"/>
  </r>
  <r>
    <x v="4"/>
  </r>
  <r>
    <x v="4"/>
  </r>
  <r>
    <x v="4"/>
  </r>
  <r>
    <x v="4"/>
  </r>
  <r>
    <x v="10"/>
  </r>
  <r>
    <x v="10"/>
  </r>
  <r>
    <x v="56"/>
  </r>
  <r>
    <x v="10"/>
  </r>
  <r>
    <x v="10"/>
  </r>
  <r>
    <x v="152"/>
  </r>
  <r>
    <x v="152"/>
  </r>
  <r>
    <x v="152"/>
  </r>
  <r>
    <x v="152"/>
  </r>
  <r>
    <x v="152"/>
  </r>
  <r>
    <x v="152"/>
  </r>
  <r>
    <x v="152"/>
  </r>
  <r>
    <x v="152"/>
  </r>
  <r>
    <x v="123"/>
  </r>
  <r>
    <x v="123"/>
  </r>
  <r>
    <x v="123"/>
  </r>
  <r>
    <x v="24"/>
  </r>
  <r>
    <x v="36"/>
  </r>
  <r>
    <x v="10"/>
  </r>
  <r>
    <x v="10"/>
  </r>
  <r>
    <x v="12"/>
  </r>
  <r>
    <x v="87"/>
  </r>
  <r>
    <x v="87"/>
  </r>
  <r>
    <x v="24"/>
  </r>
  <r>
    <x v="87"/>
  </r>
  <r>
    <x v="87"/>
  </r>
  <r>
    <x v="24"/>
  </r>
  <r>
    <x v="87"/>
  </r>
  <r>
    <x v="24"/>
  </r>
  <r>
    <x v="24"/>
  </r>
  <r>
    <x v="48"/>
  </r>
  <r>
    <x v="138"/>
  </r>
  <r>
    <x v="123"/>
  </r>
  <r>
    <x v="4"/>
  </r>
  <r>
    <x v="4"/>
  </r>
  <r>
    <x v="4"/>
  </r>
  <r>
    <x v="4"/>
  </r>
  <r>
    <x v="4"/>
  </r>
  <r>
    <x v="4"/>
  </r>
  <r>
    <x v="4"/>
  </r>
  <r>
    <x v="126"/>
  </r>
  <r>
    <x v="4"/>
  </r>
  <r>
    <x v="12"/>
  </r>
  <r>
    <x v="12"/>
  </r>
  <r>
    <x v="0"/>
  </r>
  <r>
    <x v="0"/>
  </r>
  <r>
    <x v="251"/>
  </r>
  <r>
    <x v="251"/>
  </r>
  <r>
    <x v="251"/>
  </r>
  <r>
    <x v="4"/>
  </r>
  <r>
    <x v="48"/>
  </r>
  <r>
    <x v="4"/>
  </r>
  <r>
    <x v="4"/>
  </r>
  <r>
    <x v="4"/>
  </r>
  <r>
    <x v="2"/>
  </r>
  <r>
    <x v="42"/>
  </r>
  <r>
    <x v="108"/>
  </r>
  <r>
    <x v="42"/>
  </r>
  <r>
    <x v="42"/>
  </r>
  <r>
    <x v="42"/>
  </r>
  <r>
    <x v="10"/>
  </r>
  <r>
    <x v="10"/>
  </r>
  <r>
    <x v="10"/>
  </r>
  <r>
    <x v="4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5"/>
  </r>
  <r>
    <x v="11"/>
  </r>
  <r>
    <x v="77"/>
  </r>
  <r>
    <x v="77"/>
  </r>
  <r>
    <x v="4"/>
  </r>
  <r>
    <x v="0"/>
  </r>
  <r>
    <x v="63"/>
  </r>
  <r>
    <x v="4"/>
  </r>
  <r>
    <x v="3"/>
  </r>
  <r>
    <x v="4"/>
  </r>
  <r>
    <x v="4"/>
  </r>
  <r>
    <x v="63"/>
  </r>
  <r>
    <x v="4"/>
  </r>
  <r>
    <x v="56"/>
  </r>
  <r>
    <x v="123"/>
  </r>
  <r>
    <x v="123"/>
  </r>
  <r>
    <x v="123"/>
  </r>
  <r>
    <x v="69"/>
  </r>
  <r>
    <x v="46"/>
  </r>
  <r>
    <x v="12"/>
  </r>
  <r>
    <x v="12"/>
  </r>
  <r>
    <x v="12"/>
  </r>
  <r>
    <x v="12"/>
  </r>
  <r>
    <x v="12"/>
  </r>
  <r>
    <x v="12"/>
  </r>
  <r>
    <x v="12"/>
  </r>
  <r>
    <x v="4"/>
  </r>
  <r>
    <x v="12"/>
  </r>
  <r>
    <x v="12"/>
  </r>
  <r>
    <x v="12"/>
  </r>
  <r>
    <x v="12"/>
  </r>
  <r>
    <x v="12"/>
  </r>
  <r>
    <x v="12"/>
  </r>
  <r>
    <x v="12"/>
  </r>
  <r>
    <x v="71"/>
  </r>
  <r>
    <x v="42"/>
  </r>
  <r>
    <x v="42"/>
  </r>
  <r>
    <x v="10"/>
  </r>
  <r>
    <x v="42"/>
  </r>
  <r>
    <x v="42"/>
  </r>
  <r>
    <x v="42"/>
  </r>
  <r>
    <x v="78"/>
  </r>
  <r>
    <x v="78"/>
  </r>
  <r>
    <x v="128"/>
  </r>
  <r>
    <x v="128"/>
  </r>
  <r>
    <x v="128"/>
  </r>
  <r>
    <x v="128"/>
  </r>
  <r>
    <x v="128"/>
  </r>
  <r>
    <x v="128"/>
  </r>
  <r>
    <x v="128"/>
  </r>
  <r>
    <x v="128"/>
  </r>
  <r>
    <x v="14"/>
  </r>
  <r>
    <x v="128"/>
  </r>
  <r>
    <x v="128"/>
  </r>
  <r>
    <x v="128"/>
  </r>
  <r>
    <x v="128"/>
  </r>
  <r>
    <x v="63"/>
  </r>
  <r>
    <x v="42"/>
  </r>
  <r>
    <x v="128"/>
  </r>
  <r>
    <x v="128"/>
  </r>
  <r>
    <x v="128"/>
  </r>
  <r>
    <x v="128"/>
  </r>
  <r>
    <x v="128"/>
  </r>
  <r>
    <x v="42"/>
  </r>
  <r>
    <x v="42"/>
  </r>
  <r>
    <x v="78"/>
  </r>
  <r>
    <x v="42"/>
  </r>
  <r>
    <x v="87"/>
  </r>
  <r>
    <x v="53"/>
  </r>
  <r>
    <x v="42"/>
  </r>
  <r>
    <x v="4"/>
  </r>
  <r>
    <x v="4"/>
  </r>
  <r>
    <x v="4"/>
  </r>
  <r>
    <x v="4"/>
  </r>
  <r>
    <x v="4"/>
  </r>
  <r>
    <x v="4"/>
  </r>
  <r>
    <x v="10"/>
  </r>
  <r>
    <x v="4"/>
  </r>
  <r>
    <x v="4"/>
  </r>
  <r>
    <x v="7"/>
  </r>
  <r>
    <x v="48"/>
  </r>
  <r>
    <x v="17"/>
  </r>
  <r>
    <x v="10"/>
  </r>
  <r>
    <x v="10"/>
  </r>
  <r>
    <x v="10"/>
  </r>
  <r>
    <x v="10"/>
  </r>
  <r>
    <x v="102"/>
  </r>
  <r>
    <x v="10"/>
  </r>
  <r>
    <x v="24"/>
  </r>
  <r>
    <x v="25"/>
  </r>
  <r>
    <x v="25"/>
  </r>
  <r>
    <x v="4"/>
  </r>
  <r>
    <x v="10"/>
  </r>
  <r>
    <x v="14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283"/>
  </r>
  <r>
    <x v="138"/>
  </r>
  <r>
    <x v="138"/>
  </r>
  <r>
    <x v="138"/>
  </r>
  <r>
    <x v="138"/>
  </r>
  <r>
    <x v="79"/>
  </r>
  <r>
    <x v="79"/>
  </r>
  <r>
    <x v="79"/>
  </r>
  <r>
    <x v="79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6"/>
  </r>
  <r>
    <x v="126"/>
  </r>
  <r>
    <x v="138"/>
  </r>
  <r>
    <x v="138"/>
  </r>
  <r>
    <x v="138"/>
  </r>
  <r>
    <x v="69"/>
  </r>
  <r>
    <x v="32"/>
  </r>
  <r>
    <x v="138"/>
  </r>
  <r>
    <x v="50"/>
  </r>
  <r>
    <x v="50"/>
  </r>
  <r>
    <x v="138"/>
  </r>
  <r>
    <x v="34"/>
  </r>
  <r>
    <x v="7"/>
  </r>
  <r>
    <x v="87"/>
  </r>
  <r>
    <x v="10"/>
  </r>
  <r>
    <x v="45"/>
  </r>
  <r>
    <x v="138"/>
  </r>
  <r>
    <x v="45"/>
  </r>
  <r>
    <x v="48"/>
  </r>
  <r>
    <x v="10"/>
  </r>
  <r>
    <x v="168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36"/>
  </r>
  <r>
    <x v="36"/>
  </r>
  <r>
    <x v="12"/>
  </r>
  <r>
    <x v="42"/>
  </r>
  <r>
    <x v="42"/>
  </r>
  <r>
    <x v="42"/>
  </r>
  <r>
    <x v="115"/>
  </r>
  <r>
    <x v="56"/>
  </r>
  <r>
    <x v="86"/>
  </r>
  <r>
    <x v="42"/>
  </r>
  <r>
    <x v="123"/>
  </r>
  <r>
    <x v="123"/>
  </r>
  <r>
    <x v="123"/>
  </r>
  <r>
    <x v="123"/>
  </r>
  <r>
    <x v="21"/>
  </r>
  <r>
    <x v="123"/>
  </r>
  <r>
    <x v="36"/>
  </r>
  <r>
    <x v="123"/>
  </r>
  <r>
    <x v="36"/>
  </r>
  <r>
    <x v="2"/>
  </r>
  <r>
    <x v="41"/>
  </r>
  <r>
    <x v="36"/>
  </r>
  <r>
    <x v="36"/>
  </r>
  <r>
    <x v="36"/>
  </r>
  <r>
    <x v="36"/>
  </r>
  <r>
    <x v="4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02"/>
  </r>
  <r>
    <x v="12"/>
  </r>
  <r>
    <x v="12"/>
  </r>
  <r>
    <x v="12"/>
  </r>
  <r>
    <x v="12"/>
  </r>
  <r>
    <x v="12"/>
  </r>
  <r>
    <x v="34"/>
  </r>
  <r>
    <x v="12"/>
  </r>
  <r>
    <x v="12"/>
  </r>
  <r>
    <x v="12"/>
  </r>
  <r>
    <x v="12"/>
  </r>
  <r>
    <x v="78"/>
  </r>
  <r>
    <x v="12"/>
  </r>
  <r>
    <x v="12"/>
  </r>
  <r>
    <x v="160"/>
  </r>
  <r>
    <x v="12"/>
  </r>
  <r>
    <x v="12"/>
  </r>
  <r>
    <x v="12"/>
  </r>
  <r>
    <x v="12"/>
  </r>
  <r>
    <x v="29"/>
  </r>
  <r>
    <x v="12"/>
  </r>
  <r>
    <x v="59"/>
  </r>
  <r>
    <x v="77"/>
  </r>
  <r>
    <x v="102"/>
  </r>
  <r>
    <x v="12"/>
  </r>
  <r>
    <x v="12"/>
  </r>
  <r>
    <x v="12"/>
  </r>
  <r>
    <x v="12"/>
  </r>
  <r>
    <x v="12"/>
  </r>
  <r>
    <x v="12"/>
  </r>
  <r>
    <x v="12"/>
  </r>
  <r>
    <x v="12"/>
  </r>
  <r>
    <x v="128"/>
  </r>
  <r>
    <x v="128"/>
  </r>
  <r>
    <x v="128"/>
  </r>
  <r>
    <x v="128"/>
  </r>
  <r>
    <x v="128"/>
  </r>
  <r>
    <x v="128"/>
  </r>
  <r>
    <x v="21"/>
  </r>
  <r>
    <x v="42"/>
  </r>
  <r>
    <x v="42"/>
  </r>
  <r>
    <x v="41"/>
  </r>
  <r>
    <x v="34"/>
  </r>
  <r>
    <x v="86"/>
  </r>
  <r>
    <x v="42"/>
  </r>
  <r>
    <x v="50"/>
  </r>
  <r>
    <x v="4"/>
  </r>
  <r>
    <x v="4"/>
  </r>
  <r>
    <x v="12"/>
  </r>
  <r>
    <x v="22"/>
  </r>
  <r>
    <x v="21"/>
  </r>
  <r>
    <x v="12"/>
  </r>
  <r>
    <x v="86"/>
  </r>
  <r>
    <x v="86"/>
  </r>
  <r>
    <x v="138"/>
  </r>
  <r>
    <x v="10"/>
  </r>
  <r>
    <x v="10"/>
  </r>
  <r>
    <x v="42"/>
  </r>
  <r>
    <x v="10"/>
  </r>
  <r>
    <x v="10"/>
  </r>
  <r>
    <x v="87"/>
  </r>
  <r>
    <x v="87"/>
  </r>
  <r>
    <x v="201"/>
  </r>
  <r>
    <x v="10"/>
  </r>
  <r>
    <x v="10"/>
  </r>
  <r>
    <x v="41"/>
  </r>
  <r>
    <x v="36"/>
  </r>
  <r>
    <x v="4"/>
  </r>
  <r>
    <x v="12"/>
  </r>
  <r>
    <x v="12"/>
  </r>
  <r>
    <x v="0"/>
  </r>
  <r>
    <x v="4"/>
  </r>
  <r>
    <x v="12"/>
  </r>
  <r>
    <x v="26"/>
  </r>
  <r>
    <x v="36"/>
  </r>
  <r>
    <x v="123"/>
  </r>
  <r>
    <x v="165"/>
  </r>
  <r>
    <x v="123"/>
  </r>
  <r>
    <x v="22"/>
  </r>
  <r>
    <x v="4"/>
  </r>
  <r>
    <x v="71"/>
  </r>
  <r>
    <x v="36"/>
  </r>
  <r>
    <x v="138"/>
  </r>
  <r>
    <x v="4"/>
  </r>
  <r>
    <x v="21"/>
  </r>
  <r>
    <x v="21"/>
  </r>
  <r>
    <x v="199"/>
  </r>
  <r>
    <x v="28"/>
  </r>
  <r>
    <x v="10"/>
  </r>
  <r>
    <x v="10"/>
  </r>
  <r>
    <x v="10"/>
  </r>
  <r>
    <x v="10"/>
  </r>
  <r>
    <x v="70"/>
  </r>
  <r>
    <x v="7"/>
  </r>
  <r>
    <x v="7"/>
  </r>
  <r>
    <x v="33"/>
  </r>
  <r>
    <x v="138"/>
  </r>
  <r>
    <x v="138"/>
  </r>
  <r>
    <x v="0"/>
  </r>
  <r>
    <x v="0"/>
  </r>
  <r>
    <x v="0"/>
  </r>
  <r>
    <x v="10"/>
  </r>
  <r>
    <x v="0"/>
  </r>
  <r>
    <x v="63"/>
  </r>
  <r>
    <x v="0"/>
  </r>
  <r>
    <x v="63"/>
  </r>
  <r>
    <x v="63"/>
  </r>
  <r>
    <x v="63"/>
  </r>
  <r>
    <x v="0"/>
  </r>
  <r>
    <x v="0"/>
  </r>
  <r>
    <x v="0"/>
  </r>
  <r>
    <x v="0"/>
  </r>
  <r>
    <x v="0"/>
  </r>
  <r>
    <x v="0"/>
  </r>
  <r>
    <x v="0"/>
  </r>
  <r>
    <x v="4"/>
  </r>
  <r>
    <x v="4"/>
  </r>
  <r>
    <x v="3"/>
  </r>
  <r>
    <x v="4"/>
  </r>
  <r>
    <x v="81"/>
  </r>
  <r>
    <x v="4"/>
  </r>
  <r>
    <x v="4"/>
  </r>
  <r>
    <x v="4"/>
  </r>
  <r>
    <x v="87"/>
  </r>
  <r>
    <x v="87"/>
  </r>
  <r>
    <x v="123"/>
  </r>
  <r>
    <x v="123"/>
  </r>
  <r>
    <x v="10"/>
  </r>
  <r>
    <x v="123"/>
  </r>
  <r>
    <x v="4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78"/>
  </r>
  <r>
    <x v="78"/>
  </r>
  <r>
    <x v="78"/>
  </r>
  <r>
    <x v="78"/>
  </r>
  <r>
    <x v="78"/>
  </r>
  <r>
    <x v="78"/>
  </r>
  <r>
    <x v="78"/>
  </r>
  <r>
    <x v="78"/>
  </r>
  <r>
    <x v="22"/>
  </r>
  <r>
    <x v="78"/>
  </r>
  <r>
    <x v="22"/>
  </r>
  <r>
    <x v="22"/>
  </r>
  <r>
    <x v="78"/>
  </r>
  <r>
    <x v="78"/>
  </r>
  <r>
    <x v="78"/>
  </r>
  <r>
    <x v="78"/>
  </r>
  <r>
    <x v="78"/>
  </r>
  <r>
    <x v="7"/>
  </r>
  <r>
    <x v="7"/>
  </r>
  <r>
    <x v="22"/>
  </r>
  <r>
    <x v="78"/>
  </r>
  <r>
    <x v="78"/>
  </r>
  <r>
    <x v="78"/>
  </r>
  <r>
    <x v="22"/>
  </r>
  <r>
    <x v="63"/>
  </r>
  <r>
    <x v="78"/>
  </r>
  <r>
    <x v="78"/>
  </r>
  <r>
    <x v="78"/>
  </r>
  <r>
    <x v="63"/>
  </r>
  <r>
    <x v="78"/>
  </r>
  <r>
    <x v="78"/>
  </r>
  <r>
    <x v="63"/>
  </r>
  <r>
    <x v="78"/>
  </r>
  <r>
    <x v="78"/>
  </r>
  <r>
    <x v="78"/>
  </r>
  <r>
    <x v="78"/>
  </r>
  <r>
    <x v="78"/>
  </r>
  <r>
    <x v="63"/>
  </r>
  <r>
    <x v="63"/>
  </r>
  <r>
    <x v="63"/>
  </r>
  <r>
    <x v="63"/>
  </r>
  <r>
    <x v="63"/>
  </r>
  <r>
    <x v="63"/>
  </r>
  <r>
    <x v="63"/>
  </r>
  <r>
    <x v="63"/>
  </r>
  <r>
    <x v="25"/>
  </r>
  <r>
    <x v="130"/>
  </r>
  <r>
    <x v="63"/>
  </r>
  <r>
    <x v="63"/>
  </r>
  <r>
    <x v="10"/>
  </r>
  <r>
    <x v="10"/>
  </r>
  <r>
    <x v="10"/>
  </r>
  <r>
    <x v="10"/>
  </r>
  <r>
    <x v="10"/>
  </r>
  <r>
    <x v="10"/>
  </r>
  <r>
    <x v="12"/>
  </r>
  <r>
    <x v="10"/>
  </r>
  <r>
    <x v="12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4"/>
  </r>
  <r>
    <x v="4"/>
  </r>
  <r>
    <x v="4"/>
  </r>
  <r>
    <x v="4"/>
  </r>
  <r>
    <x v="4"/>
  </r>
  <r>
    <x v="4"/>
  </r>
  <r>
    <x v="4"/>
  </r>
  <r>
    <x v="4"/>
  </r>
  <r>
    <x v="34"/>
  </r>
  <r>
    <x v="19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77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4"/>
  </r>
  <r>
    <x v="71"/>
  </r>
  <r>
    <x v="4"/>
  </r>
  <r>
    <x v="4"/>
  </r>
  <r>
    <x v="4"/>
  </r>
  <r>
    <x v="4"/>
  </r>
  <r>
    <x v="4"/>
  </r>
  <r>
    <x v="4"/>
  </r>
  <r>
    <x v="42"/>
  </r>
  <r>
    <x v="42"/>
  </r>
  <r>
    <x v="76"/>
  </r>
  <r>
    <x v="21"/>
  </r>
  <r>
    <x v="86"/>
  </r>
  <r>
    <x v="4"/>
  </r>
  <r>
    <x v="4"/>
  </r>
  <r>
    <x v="4"/>
  </r>
  <r>
    <x v="4"/>
  </r>
  <r>
    <x v="46"/>
  </r>
  <r>
    <x v="4"/>
  </r>
  <r>
    <x v="56"/>
  </r>
  <r>
    <x v="12"/>
  </r>
  <r>
    <x v="42"/>
  </r>
  <r>
    <x v="42"/>
  </r>
  <r>
    <x v="12"/>
  </r>
  <r>
    <x v="12"/>
  </r>
  <r>
    <x v="12"/>
  </r>
  <r>
    <x v="10"/>
  </r>
  <r>
    <x v="12"/>
  </r>
  <r>
    <x v="53"/>
  </r>
  <r>
    <x v="12"/>
  </r>
  <r>
    <x v="63"/>
  </r>
  <r>
    <x v="12"/>
  </r>
  <r>
    <x v="12"/>
  </r>
  <r>
    <x v="12"/>
  </r>
  <r>
    <x v="12"/>
  </r>
  <r>
    <x v="12"/>
  </r>
  <r>
    <x v="12"/>
  </r>
  <r>
    <x v="12"/>
  </r>
  <r>
    <x v="12"/>
  </r>
  <r>
    <x v="87"/>
  </r>
  <r>
    <x v="87"/>
  </r>
  <r>
    <x v="87"/>
  </r>
  <r>
    <x v="87"/>
  </r>
  <r>
    <x v="87"/>
  </r>
  <r>
    <x v="87"/>
  </r>
  <r>
    <x v="87"/>
  </r>
  <r>
    <x v="79"/>
  </r>
  <r>
    <x v="87"/>
  </r>
  <r>
    <x v="115"/>
  </r>
  <r>
    <x v="87"/>
  </r>
  <r>
    <x v="87"/>
  </r>
  <r>
    <x v="36"/>
  </r>
  <r>
    <x v="10"/>
  </r>
  <r>
    <x v="7"/>
  </r>
  <r>
    <x v="7"/>
  </r>
  <r>
    <x v="3"/>
  </r>
  <r>
    <x v="3"/>
  </r>
  <r>
    <x v="87"/>
  </r>
  <r>
    <x v="87"/>
  </r>
  <r>
    <x v="87"/>
  </r>
  <r>
    <x v="87"/>
  </r>
  <r>
    <x v="87"/>
  </r>
  <r>
    <x v="87"/>
  </r>
  <r>
    <x v="87"/>
  </r>
  <r>
    <x v="1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2"/>
  </r>
  <r>
    <x v="42"/>
  </r>
  <r>
    <x v="56"/>
  </r>
  <r>
    <x v="42"/>
  </r>
  <r>
    <x v="42"/>
  </r>
  <r>
    <x v="149"/>
  </r>
  <r>
    <x v="149"/>
  </r>
  <r>
    <x v="149"/>
  </r>
  <r>
    <x v="45"/>
  </r>
  <r>
    <x v="51"/>
  </r>
  <r>
    <x v="51"/>
  </r>
  <r>
    <x v="10"/>
  </r>
  <r>
    <x v="71"/>
  </r>
  <r>
    <x v="51"/>
  </r>
  <r>
    <x v="71"/>
  </r>
  <r>
    <x v="17"/>
  </r>
  <r>
    <x v="69"/>
  </r>
  <r>
    <x v="10"/>
  </r>
  <r>
    <x v="276"/>
  </r>
  <r>
    <x v="10"/>
  </r>
  <r>
    <x v="51"/>
  </r>
  <r>
    <x v="166"/>
  </r>
  <r>
    <x v="51"/>
  </r>
  <r>
    <x v="51"/>
  </r>
  <r>
    <x v="51"/>
  </r>
  <r>
    <x v="51"/>
  </r>
  <r>
    <x v="16"/>
  </r>
  <r>
    <x v="87"/>
  </r>
  <r>
    <x v="63"/>
  </r>
  <r>
    <x v="63"/>
  </r>
  <r>
    <x v="63"/>
  </r>
  <r>
    <x v="63"/>
  </r>
  <r>
    <x v="31"/>
  </r>
  <r>
    <x v="63"/>
  </r>
  <r>
    <x v="78"/>
  </r>
  <r>
    <x v="63"/>
  </r>
  <r>
    <x v="63"/>
  </r>
  <r>
    <x v="52"/>
  </r>
  <r>
    <x v="52"/>
  </r>
  <r>
    <x v="9"/>
  </r>
  <r>
    <x v="77"/>
  </r>
  <r>
    <x v="77"/>
  </r>
  <r>
    <x v="12"/>
  </r>
  <r>
    <x v="77"/>
  </r>
  <r>
    <x v="2"/>
  </r>
  <r>
    <x v="171"/>
  </r>
  <r>
    <x v="48"/>
  </r>
  <r>
    <x v="77"/>
  </r>
  <r>
    <x v="10"/>
  </r>
  <r>
    <x v="10"/>
  </r>
  <r>
    <x v="10"/>
  </r>
  <r>
    <x v="36"/>
  </r>
  <r>
    <x v="10"/>
  </r>
  <r>
    <x v="10"/>
  </r>
  <r>
    <x v="10"/>
  </r>
  <r>
    <x v="10"/>
  </r>
  <r>
    <x v="10"/>
  </r>
  <r>
    <x v="10"/>
  </r>
  <r>
    <x v="165"/>
  </r>
  <r>
    <x v="14"/>
  </r>
  <r>
    <x v="53"/>
  </r>
  <r>
    <x v="53"/>
  </r>
  <r>
    <x v="53"/>
  </r>
  <r>
    <x v="53"/>
  </r>
  <r>
    <x v="2"/>
  </r>
  <r>
    <x v="4"/>
  </r>
  <r>
    <x v="4"/>
  </r>
  <r>
    <x v="4"/>
  </r>
  <r>
    <x v="19"/>
  </r>
  <r>
    <x v="9"/>
  </r>
  <r>
    <x v="14"/>
  </r>
  <r>
    <x v="63"/>
  </r>
  <r>
    <x v="69"/>
  </r>
  <r>
    <x v="96"/>
  </r>
  <r>
    <x v="12"/>
  </r>
  <r>
    <x v="10"/>
  </r>
  <r>
    <x v="42"/>
  </r>
  <r>
    <x v="42"/>
  </r>
  <r>
    <x v="12"/>
  </r>
  <r>
    <x v="31"/>
  </r>
  <r>
    <x v="12"/>
  </r>
  <r>
    <x v="190"/>
  </r>
  <r>
    <x v="24"/>
  </r>
  <r>
    <x v="190"/>
  </r>
  <r>
    <x v="190"/>
  </r>
  <r>
    <x v="190"/>
  </r>
  <r>
    <x v="128"/>
  </r>
  <r>
    <x v="190"/>
  </r>
  <r>
    <x v="70"/>
  </r>
  <r>
    <x v="70"/>
  </r>
  <r>
    <x v="10"/>
  </r>
  <r>
    <x v="171"/>
  </r>
  <r>
    <x v="4"/>
  </r>
  <r>
    <x v="14"/>
  </r>
  <r>
    <x v="4"/>
  </r>
  <r>
    <x v="4"/>
  </r>
  <r>
    <x v="4"/>
  </r>
  <r>
    <x v="86"/>
  </r>
  <r>
    <x v="86"/>
  </r>
  <r>
    <x v="4"/>
  </r>
  <r>
    <x v="4"/>
  </r>
  <r>
    <x v="4"/>
  </r>
  <r>
    <x v="4"/>
  </r>
  <r>
    <x v="10"/>
  </r>
  <r>
    <x v="4"/>
  </r>
  <r>
    <x v="4"/>
  </r>
  <r>
    <x v="4"/>
  </r>
  <r>
    <x v="10"/>
  </r>
  <r>
    <x v="4"/>
  </r>
  <r>
    <x v="4"/>
  </r>
  <r>
    <x v="87"/>
  </r>
  <r>
    <x v="56"/>
  </r>
  <r>
    <x v="33"/>
  </r>
  <r>
    <x v="56"/>
  </r>
  <r>
    <x v="56"/>
  </r>
  <r>
    <x v="138"/>
  </r>
  <r>
    <x v="138"/>
  </r>
  <r>
    <x v="14"/>
  </r>
  <r>
    <x v="48"/>
  </r>
  <r>
    <x v="36"/>
  </r>
  <r>
    <x v="36"/>
  </r>
  <r>
    <x v="36"/>
  </r>
  <r>
    <x v="36"/>
  </r>
  <r>
    <x v="12"/>
  </r>
  <r>
    <x v="36"/>
  </r>
  <r>
    <x v="12"/>
  </r>
  <r>
    <x v="36"/>
  </r>
  <r>
    <x v="36"/>
  </r>
  <r>
    <x v="36"/>
  </r>
  <r>
    <x v="9"/>
  </r>
  <r>
    <x v="87"/>
  </r>
  <r>
    <x v="36"/>
  </r>
  <r>
    <x v="36"/>
  </r>
  <r>
    <x v="48"/>
  </r>
  <r>
    <x v="9"/>
  </r>
  <r>
    <x v="9"/>
  </r>
  <r>
    <x v="37"/>
  </r>
  <r>
    <x v="126"/>
  </r>
  <r>
    <x v="4"/>
  </r>
  <r>
    <x v="144"/>
  </r>
  <r>
    <x v="160"/>
  </r>
  <r>
    <x v="63"/>
  </r>
  <r>
    <x v="63"/>
  </r>
  <r>
    <x v="63"/>
  </r>
  <r>
    <x v="4"/>
  </r>
  <r>
    <x v="3"/>
  </r>
  <r>
    <x v="4"/>
  </r>
  <r>
    <x v="0"/>
  </r>
  <r>
    <x v="4"/>
  </r>
  <r>
    <x v="100"/>
  </r>
  <r>
    <x v="100"/>
  </r>
  <r>
    <x v="4"/>
  </r>
  <r>
    <x v="4"/>
  </r>
  <r>
    <x v="0"/>
  </r>
  <r>
    <x v="31"/>
  </r>
  <r>
    <x v="8"/>
  </r>
  <r>
    <x v="0"/>
  </r>
  <r>
    <x v="48"/>
  </r>
  <r>
    <x v="10"/>
  </r>
  <r>
    <x v="24"/>
  </r>
  <r>
    <x v="24"/>
  </r>
  <r>
    <x v="14"/>
  </r>
  <r>
    <x v="42"/>
  </r>
  <r>
    <x v="28"/>
  </r>
  <r>
    <x v="28"/>
  </r>
  <r>
    <x v="12"/>
  </r>
  <r>
    <x v="48"/>
  </r>
  <r>
    <x v="17"/>
  </r>
  <r>
    <x v="234"/>
  </r>
  <r>
    <x v="14"/>
  </r>
  <r>
    <x v="4"/>
  </r>
  <r>
    <x v="42"/>
  </r>
  <r>
    <x v="0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"/>
  </r>
  <r>
    <x v="25"/>
  </r>
  <r>
    <x v="25"/>
  </r>
  <r>
    <x v="10"/>
  </r>
  <r>
    <x v="10"/>
  </r>
  <r>
    <x v="10"/>
  </r>
  <r>
    <x v="10"/>
  </r>
  <r>
    <x v="10"/>
  </r>
  <r>
    <x v="282"/>
  </r>
  <r>
    <x v="282"/>
  </r>
  <r>
    <x v="4"/>
  </r>
  <r>
    <x v="10"/>
  </r>
  <r>
    <x v="10"/>
  </r>
  <r>
    <x v="10"/>
  </r>
  <r>
    <x v="138"/>
  </r>
  <r>
    <x v="41"/>
  </r>
  <r>
    <x v="10"/>
  </r>
  <r>
    <x v="10"/>
  </r>
  <r>
    <x v="10"/>
  </r>
  <r>
    <x v="10"/>
  </r>
  <r>
    <x v="10"/>
  </r>
  <r>
    <x v="10"/>
  </r>
  <r>
    <x v="10"/>
  </r>
  <r>
    <x v="10"/>
  </r>
  <r>
    <x v="87"/>
  </r>
  <r>
    <x v="10"/>
  </r>
  <r>
    <x v="77"/>
  </r>
  <r>
    <x v="59"/>
  </r>
  <r>
    <x v="36"/>
  </r>
  <r>
    <x v="42"/>
  </r>
  <r>
    <x v="42"/>
  </r>
  <r>
    <x v="210"/>
  </r>
  <r>
    <x v="210"/>
  </r>
  <r>
    <x v="87"/>
  </r>
  <r>
    <x v="210"/>
  </r>
  <r>
    <x v="210"/>
  </r>
  <r>
    <x v="210"/>
  </r>
  <r>
    <x v="210"/>
  </r>
  <r>
    <x v="210"/>
  </r>
  <r>
    <x v="210"/>
  </r>
  <r>
    <x v="4"/>
  </r>
  <r>
    <x v="210"/>
  </r>
  <r>
    <x v="87"/>
  </r>
  <r>
    <x v="4"/>
  </r>
  <r>
    <x v="10"/>
  </r>
  <r>
    <x v="4"/>
  </r>
  <r>
    <x v="4"/>
  </r>
  <r>
    <x v="10"/>
  </r>
  <r>
    <x v="10"/>
  </r>
  <r>
    <x v="4"/>
  </r>
  <r>
    <x v="10"/>
  </r>
  <r>
    <x v="4"/>
  </r>
  <r>
    <x v="10"/>
  </r>
  <r>
    <x v="87"/>
  </r>
  <r>
    <x v="3"/>
  </r>
  <r>
    <x v="87"/>
  </r>
  <r>
    <x v="87"/>
  </r>
  <r>
    <x v="87"/>
  </r>
  <r>
    <x v="42"/>
  </r>
  <r>
    <x v="87"/>
  </r>
  <r>
    <x v="87"/>
  </r>
  <r>
    <x v="87"/>
  </r>
  <r>
    <x v="87"/>
  </r>
  <r>
    <x v="87"/>
  </r>
  <r>
    <x v="87"/>
  </r>
  <r>
    <x v="7"/>
  </r>
  <r>
    <x v="24"/>
  </r>
  <r>
    <x v="4"/>
  </r>
  <r>
    <x v="4"/>
  </r>
  <r>
    <x v="4"/>
  </r>
  <r>
    <x v="4"/>
  </r>
  <r>
    <x v="4"/>
  </r>
  <r>
    <x v="78"/>
  </r>
  <r>
    <x v="78"/>
  </r>
  <r>
    <x v="7"/>
  </r>
  <r>
    <x v="7"/>
  </r>
  <r>
    <x v="7"/>
  </r>
  <r>
    <x v="4"/>
  </r>
  <r>
    <x v="63"/>
  </r>
  <r>
    <x v="63"/>
  </r>
  <r>
    <x v="63"/>
  </r>
  <r>
    <x v="63"/>
  </r>
  <r>
    <x v="85"/>
  </r>
  <r>
    <x v="85"/>
  </r>
  <r>
    <x v="42"/>
  </r>
  <r>
    <x v="85"/>
  </r>
  <r>
    <x v="10"/>
  </r>
  <r>
    <x v="77"/>
  </r>
  <r>
    <x v="123"/>
  </r>
  <r>
    <x v="123"/>
  </r>
  <r>
    <x v="77"/>
  </r>
  <r>
    <x v="282"/>
  </r>
  <r>
    <x v="77"/>
  </r>
  <r>
    <x v="77"/>
  </r>
  <r>
    <x v="28"/>
  </r>
  <r>
    <x v="28"/>
  </r>
  <r>
    <x v="4"/>
  </r>
  <r>
    <x v="4"/>
  </r>
  <r>
    <x v="4"/>
  </r>
  <r>
    <x v="4"/>
  </r>
  <r>
    <x v="115"/>
  </r>
  <r>
    <x v="4"/>
  </r>
  <r>
    <x v="4"/>
  </r>
  <r>
    <x v="4"/>
  </r>
  <r>
    <x v="9"/>
  </r>
  <r>
    <x v="59"/>
  </r>
  <r>
    <x v="4"/>
  </r>
  <r>
    <x v="4"/>
  </r>
  <r>
    <x v="42"/>
  </r>
  <r>
    <x v="0"/>
  </r>
  <r>
    <x v="165"/>
  </r>
  <r>
    <x v="69"/>
  </r>
  <r>
    <x v="69"/>
  </r>
  <r>
    <x v="69"/>
  </r>
  <r>
    <x v="69"/>
  </r>
  <r>
    <x v="77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6"/>
  </r>
  <r>
    <x v="10"/>
  </r>
  <r>
    <x v="10"/>
  </r>
  <r>
    <x v="10"/>
  </r>
  <r>
    <x v="10"/>
  </r>
  <r>
    <x v="10"/>
  </r>
  <r>
    <x v="251"/>
  </r>
  <r>
    <x v="12"/>
  </r>
  <r>
    <x v="114"/>
  </r>
  <r>
    <x v="11"/>
  </r>
  <r>
    <x v="4"/>
  </r>
  <r>
    <x v="0"/>
  </r>
  <r>
    <x v="10"/>
  </r>
  <r>
    <x v="4"/>
  </r>
  <r>
    <x v="4"/>
  </r>
  <r>
    <x v="50"/>
  </r>
  <r>
    <x v="138"/>
  </r>
  <r>
    <x v="138"/>
  </r>
  <r>
    <x v="114"/>
  </r>
  <r>
    <x v="0"/>
  </r>
  <r>
    <x v="100"/>
  </r>
  <r>
    <x v="4"/>
  </r>
  <r>
    <x v="4"/>
  </r>
  <r>
    <x v="87"/>
  </r>
  <r>
    <x v="87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36"/>
  </r>
  <r>
    <x v="56"/>
  </r>
  <r>
    <x v="56"/>
  </r>
  <r>
    <x v="56"/>
  </r>
  <r>
    <x v="56"/>
  </r>
  <r>
    <x v="56"/>
  </r>
  <r>
    <x v="36"/>
  </r>
  <r>
    <x v="36"/>
  </r>
  <r>
    <x v="10"/>
  </r>
  <r>
    <x v="126"/>
  </r>
  <r>
    <x v="108"/>
  </r>
  <r>
    <x v="12"/>
  </r>
  <r>
    <x v="12"/>
  </r>
  <r>
    <x v="12"/>
  </r>
  <r>
    <x v="10"/>
  </r>
  <r>
    <x v="14"/>
  </r>
  <r>
    <x v="12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9"/>
  </r>
  <r>
    <x v="16"/>
  </r>
  <r>
    <x v="28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3"/>
  </r>
  <r>
    <x v="12"/>
  </r>
  <r>
    <x v="7"/>
  </r>
  <r>
    <x v="12"/>
  </r>
  <r>
    <x v="12"/>
  </r>
  <r>
    <x v="12"/>
  </r>
  <r>
    <x v="24"/>
  </r>
  <r>
    <x v="76"/>
  </r>
  <r>
    <x v="24"/>
  </r>
  <r>
    <x v="26"/>
  </r>
  <r>
    <x v="10"/>
  </r>
  <r>
    <x v="39"/>
  </r>
  <r>
    <x v="70"/>
  </r>
  <r>
    <x v="79"/>
  </r>
  <r>
    <x v="79"/>
  </r>
  <r>
    <x v="79"/>
  </r>
  <r>
    <x v="79"/>
  </r>
  <r>
    <x v="79"/>
  </r>
  <r>
    <x v="33"/>
  </r>
  <r>
    <x v="28"/>
  </r>
  <r>
    <x v="28"/>
  </r>
  <r>
    <x v="28"/>
  </r>
  <r>
    <x v="28"/>
  </r>
  <r>
    <x v="28"/>
  </r>
  <r>
    <x v="28"/>
  </r>
  <r>
    <x v="28"/>
  </r>
  <r>
    <x v="28"/>
  </r>
  <r>
    <x v="71"/>
  </r>
  <r>
    <x v="86"/>
  </r>
  <r>
    <x v="86"/>
  </r>
  <r>
    <x v="71"/>
  </r>
  <r>
    <x v="42"/>
  </r>
  <r>
    <x v="4"/>
  </r>
  <r>
    <x v="0"/>
  </r>
  <r>
    <x v="0"/>
  </r>
  <r>
    <x v="39"/>
  </r>
  <r>
    <x v="115"/>
  </r>
  <r>
    <x v="16"/>
  </r>
  <r>
    <x v="16"/>
  </r>
  <r>
    <x v="128"/>
  </r>
  <r>
    <x v="128"/>
  </r>
  <r>
    <x v="128"/>
  </r>
  <r>
    <x v="63"/>
  </r>
  <r>
    <x v="63"/>
  </r>
  <r>
    <x v="63"/>
  </r>
  <r>
    <x v="128"/>
  </r>
  <r>
    <x v="128"/>
  </r>
  <r>
    <x v="128"/>
  </r>
  <r>
    <x v="128"/>
  </r>
  <r>
    <x v="10"/>
  </r>
  <r>
    <x v="165"/>
  </r>
  <r>
    <x v="87"/>
  </r>
  <r>
    <x v="112"/>
  </r>
  <r>
    <x v="201"/>
  </r>
  <r>
    <x v="64"/>
  </r>
  <r>
    <x v="64"/>
  </r>
  <r>
    <x v="64"/>
  </r>
  <r>
    <x v="64"/>
  </r>
  <r>
    <x v="138"/>
  </r>
  <r>
    <x v="138"/>
  </r>
  <r>
    <x v="0"/>
  </r>
  <r>
    <x v="0"/>
  </r>
  <r>
    <x v="0"/>
  </r>
  <r>
    <x v="0"/>
  </r>
  <r>
    <x v="0"/>
  </r>
  <r>
    <x v="10"/>
  </r>
  <r>
    <x v="4"/>
  </r>
  <r>
    <x v="4"/>
  </r>
  <r>
    <x v="45"/>
  </r>
  <r>
    <x v="0"/>
  </r>
  <r>
    <x v="10"/>
  </r>
  <r>
    <x v="16"/>
  </r>
  <r>
    <x v="152"/>
  </r>
  <r>
    <x v="78"/>
  </r>
  <r>
    <x v="16"/>
  </r>
  <r>
    <x v="0"/>
  </r>
  <r>
    <x v="17"/>
  </r>
  <r>
    <x v="14"/>
  </r>
  <r>
    <x v="123"/>
  </r>
  <r>
    <x v="116"/>
  </r>
  <r>
    <x v="86"/>
  </r>
  <r>
    <x v="10"/>
  </r>
  <r>
    <x v="14"/>
  </r>
  <r>
    <x v="14"/>
  </r>
  <r>
    <x v="28"/>
  </r>
  <r>
    <x v="14"/>
  </r>
  <r>
    <x v="14"/>
  </r>
  <r>
    <x v="14"/>
  </r>
  <r>
    <x v="14"/>
  </r>
  <r>
    <x v="10"/>
  </r>
  <r>
    <x v="14"/>
  </r>
  <r>
    <x v="14"/>
  </r>
  <r>
    <x v="14"/>
  </r>
  <r>
    <x v="14"/>
  </r>
  <r>
    <x v="14"/>
  </r>
  <r>
    <x v="10"/>
  </r>
  <r>
    <x v="57"/>
  </r>
  <r>
    <x v="14"/>
  </r>
  <r>
    <x v="14"/>
  </r>
  <r>
    <x v="14"/>
  </r>
  <r>
    <x v="14"/>
  </r>
  <r>
    <x v="10"/>
  </r>
  <r>
    <x v="271"/>
  </r>
  <r>
    <x v="12"/>
  </r>
  <r>
    <x v="25"/>
  </r>
  <r>
    <x v="123"/>
  </r>
  <r>
    <x v="123"/>
  </r>
  <r>
    <x v="87"/>
  </r>
  <r>
    <x v="152"/>
  </r>
  <r>
    <x v="10"/>
  </r>
  <r>
    <x v="78"/>
  </r>
  <r>
    <x v="10"/>
  </r>
  <r>
    <x v="115"/>
  </r>
  <r>
    <x v="16"/>
  </r>
  <r>
    <x v="56"/>
  </r>
  <r>
    <x v="56"/>
  </r>
  <r>
    <x v="56"/>
  </r>
  <r>
    <x v="56"/>
  </r>
  <r>
    <x v="123"/>
  </r>
  <r>
    <x v="123"/>
  </r>
  <r>
    <x v="10"/>
  </r>
  <r>
    <x v="10"/>
  </r>
  <r>
    <x v="36"/>
  </r>
  <r>
    <x v="7"/>
  </r>
  <r>
    <x v="10"/>
  </r>
  <r>
    <x v="10"/>
  </r>
  <r>
    <x v="10"/>
  </r>
  <r>
    <x v="9"/>
  </r>
  <r>
    <x v="10"/>
  </r>
  <r>
    <x v="10"/>
  </r>
  <r>
    <x v="10"/>
  </r>
  <r>
    <x v="10"/>
  </r>
  <r>
    <x v="85"/>
  </r>
  <r>
    <x v="77"/>
  </r>
  <r>
    <x v="10"/>
  </r>
  <r>
    <x v="4"/>
  </r>
  <r>
    <x v="12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4"/>
  </r>
  <r>
    <x v="77"/>
  </r>
  <r>
    <x v="129"/>
  </r>
  <r>
    <x v="12"/>
  </r>
  <r>
    <x v="0"/>
  </r>
  <r>
    <x v="0"/>
  </r>
  <r>
    <x v="77"/>
  </r>
  <r>
    <x v="0"/>
  </r>
  <r>
    <x v="42"/>
  </r>
  <r>
    <x v="77"/>
  </r>
  <r>
    <x v="77"/>
  </r>
  <r>
    <x v="7"/>
  </r>
  <r>
    <x v="28"/>
  </r>
  <r>
    <x v="77"/>
  </r>
  <r>
    <x v="56"/>
  </r>
  <r>
    <x v="12"/>
  </r>
  <r>
    <x v="42"/>
  </r>
  <r>
    <x v="42"/>
  </r>
  <r>
    <x v="42"/>
  </r>
  <r>
    <x v="42"/>
  </r>
  <r>
    <x v="42"/>
  </r>
  <r>
    <x v="42"/>
  </r>
  <r>
    <x v="48"/>
  </r>
  <r>
    <x v="42"/>
  </r>
  <r>
    <x v="42"/>
  </r>
  <r>
    <x v="42"/>
  </r>
  <r>
    <x v="87"/>
  </r>
  <r>
    <x v="87"/>
  </r>
  <r>
    <x v="87"/>
  </r>
  <r>
    <x v="57"/>
  </r>
  <r>
    <x v="42"/>
  </r>
  <r>
    <x v="42"/>
  </r>
  <r>
    <x v="42"/>
  </r>
  <r>
    <x v="42"/>
  </r>
  <r>
    <x v="42"/>
  </r>
  <r>
    <x v="12"/>
  </r>
  <r>
    <x v="12"/>
  </r>
  <r>
    <x v="42"/>
  </r>
  <r>
    <x v="42"/>
  </r>
  <r>
    <x v="42"/>
  </r>
  <r>
    <x v="42"/>
  </r>
  <r>
    <x v="42"/>
  </r>
  <r>
    <x v="42"/>
  </r>
  <r>
    <x v="42"/>
  </r>
  <r>
    <x v="36"/>
  </r>
  <r>
    <x v="42"/>
  </r>
  <r>
    <x v="42"/>
  </r>
  <r>
    <x v="72"/>
  </r>
  <r>
    <x v="87"/>
  </r>
  <r>
    <x v="80"/>
  </r>
  <r>
    <x v="80"/>
  </r>
  <r>
    <x v="80"/>
  </r>
  <r>
    <x v="80"/>
  </r>
  <r>
    <x v="80"/>
  </r>
  <r>
    <x v="80"/>
  </r>
  <r>
    <x v="80"/>
  </r>
  <r>
    <x v="78"/>
  </r>
  <r>
    <x v="42"/>
  </r>
  <r>
    <x v="42"/>
  </r>
  <r>
    <x v="12"/>
  </r>
  <r>
    <x v="87"/>
  </r>
  <r>
    <x v="56"/>
  </r>
  <r>
    <x v="12"/>
  </r>
  <r>
    <x v="100"/>
  </r>
  <r>
    <x v="87"/>
  </r>
  <r>
    <x v="87"/>
  </r>
  <r>
    <x v="4"/>
  </r>
  <r>
    <x v="10"/>
  </r>
  <r>
    <x v="28"/>
  </r>
  <r>
    <x v="28"/>
  </r>
  <r>
    <x v="28"/>
  </r>
  <r>
    <x v="28"/>
  </r>
  <r>
    <x v="8"/>
  </r>
  <r>
    <x v="33"/>
  </r>
  <r>
    <x v="0"/>
  </r>
  <r>
    <x v="87"/>
  </r>
  <r>
    <x v="36"/>
  </r>
  <r>
    <x v="17"/>
  </r>
  <r>
    <x v="87"/>
  </r>
  <r>
    <x v="43"/>
  </r>
  <r>
    <x v="15"/>
  </r>
  <r>
    <x v="72"/>
  </r>
  <r>
    <x v="15"/>
  </r>
  <r>
    <x v="15"/>
  </r>
  <r>
    <x v="15"/>
  </r>
  <r>
    <x v="15"/>
  </r>
  <r>
    <x v="15"/>
  </r>
  <r>
    <x v="15"/>
  </r>
  <r>
    <x v="85"/>
  </r>
  <r>
    <x v="175"/>
  </r>
  <r>
    <x v="146"/>
  </r>
  <r>
    <x v="56"/>
  </r>
  <r>
    <x v="175"/>
  </r>
  <r>
    <x v="175"/>
  </r>
  <r>
    <x v="10"/>
  </r>
  <r>
    <x v="33"/>
  </r>
  <r>
    <x v="37"/>
  </r>
  <r>
    <x v="4"/>
  </r>
  <r>
    <x v="138"/>
  </r>
  <r>
    <x v="4"/>
  </r>
  <r>
    <x v="4"/>
  </r>
  <r>
    <x v="4"/>
  </r>
  <r>
    <x v="115"/>
  </r>
  <r>
    <x v="115"/>
  </r>
  <r>
    <x v="115"/>
  </r>
  <r>
    <x v="115"/>
  </r>
  <r>
    <x v="115"/>
  </r>
  <r>
    <x v="57"/>
  </r>
  <r>
    <x v="10"/>
  </r>
  <r>
    <x v="4"/>
  </r>
  <r>
    <x v="10"/>
  </r>
  <r>
    <x v="10"/>
  </r>
  <r>
    <x v="10"/>
  </r>
  <r>
    <x v="10"/>
  </r>
  <r>
    <x v="7"/>
  </r>
  <r>
    <x v="87"/>
  </r>
  <r>
    <x v="10"/>
  </r>
  <r>
    <x v="10"/>
  </r>
  <r>
    <x v="12"/>
  </r>
  <r>
    <x v="7"/>
  </r>
  <r>
    <x v="7"/>
  </r>
  <r>
    <x v="17"/>
  </r>
  <r>
    <x v="17"/>
  </r>
  <r>
    <x v="240"/>
  </r>
  <r>
    <x v="0"/>
  </r>
  <r>
    <x v="0"/>
  </r>
  <r>
    <x v="0"/>
  </r>
  <r>
    <x v="0"/>
  </r>
  <r>
    <x v="87"/>
  </r>
  <r>
    <x v="87"/>
  </r>
  <r>
    <x v="87"/>
  </r>
  <r>
    <x v="87"/>
  </r>
  <r>
    <x v="87"/>
  </r>
  <r>
    <x v="1"/>
  </r>
  <r>
    <x v="4"/>
  </r>
  <r>
    <x v="161"/>
  </r>
  <r>
    <x v="0"/>
  </r>
  <r>
    <x v="0"/>
  </r>
  <r>
    <x v="0"/>
  </r>
  <r>
    <x v="161"/>
  </r>
  <r>
    <x v="87"/>
  </r>
  <r>
    <x v="79"/>
  </r>
  <r>
    <x v="57"/>
  </r>
  <r>
    <x v="57"/>
  </r>
  <r>
    <x v="17"/>
  </r>
  <r>
    <x v="4"/>
  </r>
  <r>
    <x v="87"/>
  </r>
  <r>
    <x v="4"/>
  </r>
  <r>
    <x v="50"/>
  </r>
  <r>
    <x v="79"/>
  </r>
  <r>
    <x v="4"/>
  </r>
  <r>
    <x v="4"/>
  </r>
  <r>
    <x v="4"/>
  </r>
  <r>
    <x v="123"/>
  </r>
  <r>
    <x v="25"/>
  </r>
  <r>
    <x v="36"/>
  </r>
  <r>
    <x v="123"/>
  </r>
  <r>
    <x v="4"/>
  </r>
  <r>
    <x v="4"/>
  </r>
  <r>
    <x v="56"/>
  </r>
  <r>
    <x v="77"/>
  </r>
  <r>
    <x v="72"/>
  </r>
  <r>
    <x v="89"/>
  </r>
  <r>
    <x v="80"/>
  </r>
  <r>
    <x v="165"/>
  </r>
  <r>
    <x v="10"/>
  </r>
  <r>
    <x v="89"/>
  </r>
  <r>
    <x v="89"/>
  </r>
  <r>
    <x v="89"/>
  </r>
  <r>
    <x v="89"/>
  </r>
  <r>
    <x v="89"/>
  </r>
  <r>
    <x v="16"/>
  </r>
  <r>
    <x v="42"/>
  </r>
  <r>
    <x v="16"/>
  </r>
  <r>
    <x v="16"/>
  </r>
  <r>
    <x v="80"/>
  </r>
  <r>
    <x v="50"/>
  </r>
  <r>
    <x v="80"/>
  </r>
  <r>
    <x v="50"/>
  </r>
  <r>
    <x v="50"/>
  </r>
  <r>
    <x v="138"/>
  </r>
  <r>
    <x v="80"/>
  </r>
  <r>
    <x v="138"/>
  </r>
  <r>
    <x v="80"/>
  </r>
  <r>
    <x v="138"/>
  </r>
  <r>
    <x v="4"/>
  </r>
  <r>
    <x v="4"/>
  </r>
  <r>
    <x v="4"/>
  </r>
  <r>
    <x v="165"/>
  </r>
  <r>
    <x v="165"/>
  </r>
  <r>
    <x v="4"/>
  </r>
  <r>
    <x v="165"/>
  </r>
  <r>
    <x v="165"/>
  </r>
  <r>
    <x v="165"/>
  </r>
  <r>
    <x v="165"/>
  </r>
  <r>
    <x v="4"/>
  </r>
  <r>
    <x v="4"/>
  </r>
  <r>
    <x v="89"/>
  </r>
  <r>
    <x v="31"/>
  </r>
  <r>
    <x v="21"/>
  </r>
  <r>
    <x v="87"/>
  </r>
  <r>
    <x v="63"/>
  </r>
  <r>
    <x v="165"/>
  </r>
  <r>
    <x v="16"/>
  </r>
  <r>
    <x v="42"/>
  </r>
  <r>
    <x v="42"/>
  </r>
  <r>
    <x v="10"/>
  </r>
  <r>
    <x v="10"/>
  </r>
  <r>
    <x v="10"/>
  </r>
  <r>
    <x v="25"/>
  </r>
  <r>
    <x v="87"/>
  </r>
  <r>
    <x v="182"/>
  </r>
  <r>
    <x v="7"/>
  </r>
  <r>
    <x v="55"/>
  </r>
  <r>
    <x v="17"/>
  </r>
  <r>
    <x v="4"/>
  </r>
  <r>
    <x v="10"/>
  </r>
  <r>
    <x v="10"/>
  </r>
  <r>
    <x v="10"/>
  </r>
  <r>
    <x v="10"/>
  </r>
  <r>
    <x v="0"/>
  </r>
  <r>
    <x v="0"/>
  </r>
  <r>
    <x v="123"/>
  </r>
  <r>
    <x v="123"/>
  </r>
  <r>
    <x v="10"/>
  </r>
  <r>
    <x v="14"/>
  </r>
  <r>
    <x v="28"/>
  </r>
  <r>
    <x v="28"/>
  </r>
  <r>
    <x v="28"/>
  </r>
  <r>
    <x v="28"/>
  </r>
  <r>
    <x v="28"/>
  </r>
  <r>
    <x v="28"/>
  </r>
  <r>
    <x v="48"/>
  </r>
  <r>
    <x v="87"/>
  </r>
  <r>
    <x v="87"/>
  </r>
  <r>
    <x v="7"/>
  </r>
  <r>
    <x v="7"/>
  </r>
  <r>
    <x v="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2"/>
  </r>
  <r>
    <x v="169"/>
  </r>
  <r>
    <x v="17"/>
  </r>
  <r>
    <x v="0"/>
  </r>
  <r>
    <x v="17"/>
  </r>
  <r>
    <x v="14"/>
  </r>
  <r>
    <x v="17"/>
  </r>
  <r>
    <x v="17"/>
  </r>
  <r>
    <x v="14"/>
  </r>
  <r>
    <x v="14"/>
  </r>
  <r>
    <x v="64"/>
  </r>
  <r>
    <x v="115"/>
  </r>
  <r>
    <x v="0"/>
  </r>
  <r>
    <x v="66"/>
  </r>
  <r>
    <x v="0"/>
  </r>
  <r>
    <x v="17"/>
  </r>
  <r>
    <x v="4"/>
  </r>
  <r>
    <x v="0"/>
  </r>
  <r>
    <x v="14"/>
  </r>
  <r>
    <x v="48"/>
  </r>
  <r>
    <x v="21"/>
  </r>
  <r>
    <x v="40"/>
  </r>
  <r>
    <x v="7"/>
  </r>
  <r>
    <x v="87"/>
  </r>
  <r>
    <x v="12"/>
  </r>
  <r>
    <x v="12"/>
  </r>
  <r>
    <x v="12"/>
  </r>
  <r>
    <x v="48"/>
  </r>
  <r>
    <x v="25"/>
  </r>
  <r>
    <x v="48"/>
  </r>
  <r>
    <x v="181"/>
  </r>
  <r>
    <x v="53"/>
  </r>
  <r>
    <x v="4"/>
  </r>
  <r>
    <x v="4"/>
  </r>
  <r>
    <x v="4"/>
  </r>
  <r>
    <x v="21"/>
  </r>
  <r>
    <x v="53"/>
  </r>
  <r>
    <x v="86"/>
  </r>
  <r>
    <x v="12"/>
  </r>
  <r>
    <x v="29"/>
  </r>
  <r>
    <x v="70"/>
  </r>
  <r>
    <x v="24"/>
  </r>
  <r>
    <x v="24"/>
  </r>
  <r>
    <x v="24"/>
  </r>
  <r>
    <x v="24"/>
  </r>
  <r>
    <x v="22"/>
  </r>
  <r>
    <x v="0"/>
  </r>
  <r>
    <x v="0"/>
  </r>
  <r>
    <x v="69"/>
  </r>
  <r>
    <x v="33"/>
  </r>
  <r>
    <x v="33"/>
  </r>
  <r>
    <x v="33"/>
  </r>
  <r>
    <x v="33"/>
  </r>
  <r>
    <x v="69"/>
  </r>
  <r>
    <x v="69"/>
  </r>
  <r>
    <x v="4"/>
  </r>
  <r>
    <x v="9"/>
  </r>
  <r>
    <x v="17"/>
  </r>
  <r>
    <x v="31"/>
  </r>
  <r>
    <x v="63"/>
  </r>
  <r>
    <x v="63"/>
  </r>
  <r>
    <x v="63"/>
  </r>
  <r>
    <x v="63"/>
  </r>
  <r>
    <x v="63"/>
  </r>
  <r>
    <x v="78"/>
  </r>
  <r>
    <x v="63"/>
  </r>
  <r>
    <x v="86"/>
  </r>
  <r>
    <x v="86"/>
  </r>
  <r>
    <x v="86"/>
  </r>
  <r>
    <x v="12"/>
  </r>
  <r>
    <x v="12"/>
  </r>
  <r>
    <x v="4"/>
  </r>
  <r>
    <x v="4"/>
  </r>
  <r>
    <x v="26"/>
  </r>
  <r>
    <x v="10"/>
  </r>
  <r>
    <x v="26"/>
  </r>
  <r>
    <x v="10"/>
  </r>
  <r>
    <x v="10"/>
  </r>
  <r>
    <x v="26"/>
  </r>
  <r>
    <x v="26"/>
  </r>
  <r>
    <x v="26"/>
  </r>
  <r>
    <x v="26"/>
  </r>
  <r>
    <x v="10"/>
  </r>
  <r>
    <x v="10"/>
  </r>
  <r>
    <x v="10"/>
  </r>
  <r>
    <x v="10"/>
  </r>
  <r>
    <x v="10"/>
  </r>
  <r>
    <x v="10"/>
  </r>
  <r>
    <x v="10"/>
  </r>
  <r>
    <x v="24"/>
  </r>
  <r>
    <x v="12"/>
  </r>
  <r>
    <x v="12"/>
  </r>
  <r>
    <x v="10"/>
  </r>
  <r>
    <x v="42"/>
  </r>
  <r>
    <x v="78"/>
  </r>
  <r>
    <x v="112"/>
  </r>
  <r>
    <x v="28"/>
  </r>
  <r>
    <x v="28"/>
  </r>
  <r>
    <x v="42"/>
  </r>
  <r>
    <x v="10"/>
  </r>
  <r>
    <x v="10"/>
  </r>
  <r>
    <x v="10"/>
  </r>
  <r>
    <x v="10"/>
  </r>
  <r>
    <x v="10"/>
  </r>
  <r>
    <x v="28"/>
  </r>
  <r>
    <x v="28"/>
  </r>
  <r>
    <x v="14"/>
  </r>
  <r>
    <x v="138"/>
  </r>
  <r>
    <x v="36"/>
  </r>
  <r>
    <x v="138"/>
  </r>
  <r>
    <x v="138"/>
  </r>
  <r>
    <x v="138"/>
  </r>
  <r>
    <x v="138"/>
  </r>
  <r>
    <x v="10"/>
  </r>
  <r>
    <x v="138"/>
  </r>
  <r>
    <x v="138"/>
  </r>
  <r>
    <x v="77"/>
  </r>
  <r>
    <x v="24"/>
  </r>
  <r>
    <x v="15"/>
  </r>
  <r>
    <x v="15"/>
  </r>
  <r>
    <x v="14"/>
  </r>
  <r>
    <x v="24"/>
  </r>
  <r>
    <x v="24"/>
  </r>
  <r>
    <x v="57"/>
  </r>
  <r>
    <x v="24"/>
  </r>
  <r>
    <x v="24"/>
  </r>
  <r>
    <x v="24"/>
  </r>
  <r>
    <x v="57"/>
  </r>
  <r>
    <x v="24"/>
  </r>
  <r>
    <x v="57"/>
  </r>
  <r>
    <x v="57"/>
  </r>
  <r>
    <x v="24"/>
  </r>
  <r>
    <x v="86"/>
  </r>
  <r>
    <x v="57"/>
  </r>
  <r>
    <x v="57"/>
  </r>
  <r>
    <x v="57"/>
  </r>
  <r>
    <x v="57"/>
  </r>
  <r>
    <x v="24"/>
  </r>
  <r>
    <x v="24"/>
  </r>
  <r>
    <x v="123"/>
  </r>
  <r>
    <x v="123"/>
  </r>
  <r>
    <x v="123"/>
  </r>
  <r>
    <x v="123"/>
  </r>
  <r>
    <x v="123"/>
  </r>
  <r>
    <x v="14"/>
  </r>
  <r>
    <x v="60"/>
  </r>
  <r>
    <x v="10"/>
  </r>
  <r>
    <x v="10"/>
  </r>
  <r>
    <x v="56"/>
  </r>
  <r>
    <x v="9"/>
  </r>
  <r>
    <x v="10"/>
  </r>
  <r>
    <x v="10"/>
  </r>
  <r>
    <x v="25"/>
  </r>
  <r>
    <x v="165"/>
  </r>
  <r>
    <x v="4"/>
  </r>
  <r>
    <x v="4"/>
  </r>
  <r>
    <x v="10"/>
  </r>
  <r>
    <x v="10"/>
  </r>
  <r>
    <x v="10"/>
  </r>
  <r>
    <x v="10"/>
  </r>
  <r>
    <x v="10"/>
  </r>
  <r>
    <x v="86"/>
  </r>
  <r>
    <x v="86"/>
  </r>
  <r>
    <x v="86"/>
  </r>
  <r>
    <x v="10"/>
  </r>
  <r>
    <x v="10"/>
  </r>
  <r>
    <x v="28"/>
  </r>
  <r>
    <x v="28"/>
  </r>
  <r>
    <x v="28"/>
  </r>
  <r>
    <x v="28"/>
  </r>
  <r>
    <x v="141"/>
  </r>
  <r>
    <x v="31"/>
  </r>
  <r>
    <x v="10"/>
  </r>
  <r>
    <x v="123"/>
  </r>
  <r>
    <x v="10"/>
  </r>
  <r>
    <x v="72"/>
  </r>
  <r>
    <x v="51"/>
  </r>
  <r>
    <x v="10"/>
  </r>
  <r>
    <x v="10"/>
  </r>
  <r>
    <x v="28"/>
  </r>
  <r>
    <x v="68"/>
  </r>
  <r>
    <x v="68"/>
  </r>
  <r>
    <x v="68"/>
  </r>
  <r>
    <x v="12"/>
  </r>
  <r>
    <x v="12"/>
  </r>
  <r>
    <x v="42"/>
  </r>
  <r>
    <x v="112"/>
  </r>
  <r>
    <x v="87"/>
  </r>
  <r>
    <x v="87"/>
  </r>
  <r>
    <x v="87"/>
  </r>
  <r>
    <x v="87"/>
  </r>
  <r>
    <x v="87"/>
  </r>
  <r>
    <x v="56"/>
  </r>
  <r>
    <x v="87"/>
  </r>
  <r>
    <x v="87"/>
  </r>
  <r>
    <x v="87"/>
  </r>
  <r>
    <x v="4"/>
  </r>
  <r>
    <x v="87"/>
  </r>
  <r>
    <x v="87"/>
  </r>
  <r>
    <x v="123"/>
  </r>
  <r>
    <x v="87"/>
  </r>
  <r>
    <x v="87"/>
  </r>
  <r>
    <x v="107"/>
  </r>
  <r>
    <x v="152"/>
  </r>
  <r>
    <x v="190"/>
  </r>
  <r>
    <x v="43"/>
  </r>
  <r>
    <x v="190"/>
  </r>
  <r>
    <x v="87"/>
  </r>
  <r>
    <x v="4"/>
  </r>
  <r>
    <x v="42"/>
  </r>
  <r>
    <x v="48"/>
  </r>
  <r>
    <x v="42"/>
  </r>
  <r>
    <x v="42"/>
  </r>
  <r>
    <x v="42"/>
  </r>
  <r>
    <x v="3"/>
  </r>
  <r>
    <x v="42"/>
  </r>
  <r>
    <x v="42"/>
  </r>
  <r>
    <x v="42"/>
  </r>
  <r>
    <x v="42"/>
  </r>
  <r>
    <x v="11"/>
  </r>
  <r>
    <x v="56"/>
  </r>
  <r>
    <x v="56"/>
  </r>
  <r>
    <x v="42"/>
  </r>
  <r>
    <x v="0"/>
  </r>
  <r>
    <x v="42"/>
  </r>
  <r>
    <x v="12"/>
  </r>
  <r>
    <x v="42"/>
  </r>
  <r>
    <x v="10"/>
  </r>
  <r>
    <x v="126"/>
  </r>
  <r>
    <x v="12"/>
  </r>
  <r>
    <x v="129"/>
  </r>
  <r>
    <x v="42"/>
  </r>
  <r>
    <x v="77"/>
  </r>
  <r>
    <x v="42"/>
  </r>
  <r>
    <x v="77"/>
  </r>
  <r>
    <x v="10"/>
  </r>
  <r>
    <x v="12"/>
  </r>
  <r>
    <x v="14"/>
  </r>
  <r>
    <x v="10"/>
  </r>
  <r>
    <x v="4"/>
  </r>
  <r>
    <x v="138"/>
  </r>
  <r>
    <x v="4"/>
  </r>
  <r>
    <x v="21"/>
  </r>
  <r>
    <x v="10"/>
  </r>
  <r>
    <x v="24"/>
  </r>
  <r>
    <x v="14"/>
  </r>
  <r>
    <x v="10"/>
  </r>
  <r>
    <x v="177"/>
  </r>
  <r>
    <x v="10"/>
  </r>
  <r>
    <x v="138"/>
  </r>
  <r>
    <x v="138"/>
  </r>
  <r>
    <x v="138"/>
  </r>
  <r>
    <x v="4"/>
  </r>
  <r>
    <x v="138"/>
  </r>
  <r>
    <x v="10"/>
  </r>
  <r>
    <x v="4"/>
  </r>
  <r>
    <x v="4"/>
  </r>
  <r>
    <x v="9"/>
  </r>
  <r>
    <x v="9"/>
  </r>
  <r>
    <x v="12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6"/>
  </r>
  <r>
    <x v="10"/>
  </r>
  <r>
    <x v="10"/>
  </r>
  <r>
    <x v="10"/>
  </r>
  <r>
    <x v="10"/>
  </r>
  <r>
    <x v="10"/>
  </r>
  <r>
    <x v="10"/>
  </r>
  <r>
    <x v="86"/>
  </r>
  <r>
    <x v="51"/>
  </r>
  <r>
    <x v="12"/>
  </r>
  <r>
    <x v="12"/>
  </r>
  <r>
    <x v="12"/>
  </r>
  <r>
    <x v="12"/>
  </r>
  <r>
    <x v="131"/>
  </r>
  <r>
    <x v="80"/>
  </r>
  <r>
    <x v="77"/>
  </r>
  <r>
    <x v="12"/>
  </r>
  <r>
    <x v="0"/>
  </r>
  <r>
    <x v="12"/>
  </r>
  <r>
    <x v="10"/>
  </r>
  <r>
    <x v="10"/>
  </r>
  <r>
    <x v="10"/>
  </r>
  <r>
    <x v="10"/>
  </r>
  <r>
    <x v="10"/>
  </r>
  <r>
    <x v="10"/>
  </r>
  <r>
    <x v="87"/>
  </r>
  <r>
    <x v="10"/>
  </r>
  <r>
    <x v="80"/>
  </r>
  <r>
    <x v="87"/>
  </r>
  <r>
    <x v="80"/>
  </r>
  <r>
    <x v="36"/>
  </r>
  <r>
    <x v="21"/>
  </r>
  <r>
    <x v="16"/>
  </r>
  <r>
    <x v="12"/>
  </r>
  <r>
    <x v="165"/>
  </r>
  <r>
    <x v="17"/>
  </r>
  <r>
    <x v="48"/>
  </r>
  <r>
    <x v="12"/>
  </r>
  <r>
    <x v="14"/>
  </r>
  <r>
    <x v="17"/>
  </r>
  <r>
    <x v="8"/>
  </r>
  <r>
    <x v="14"/>
  </r>
  <r>
    <x v="0"/>
  </r>
  <r>
    <x v="0"/>
  </r>
  <r>
    <x v="17"/>
  </r>
  <r>
    <x v="48"/>
  </r>
  <r>
    <x v="48"/>
  </r>
  <r>
    <x v="28"/>
  </r>
  <r>
    <x v="7"/>
  </r>
  <r>
    <x v="7"/>
  </r>
  <r>
    <x v="7"/>
  </r>
  <r>
    <x v="14"/>
  </r>
  <r>
    <x v="52"/>
  </r>
  <r>
    <x v="10"/>
  </r>
  <r>
    <x v="52"/>
  </r>
  <r>
    <x v="52"/>
  </r>
  <r>
    <x v="16"/>
  </r>
  <r>
    <x v="131"/>
  </r>
  <r>
    <x v="141"/>
  </r>
  <r>
    <x v="141"/>
  </r>
  <r>
    <x v="1"/>
  </r>
  <r>
    <x v="71"/>
  </r>
  <r>
    <x v="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23"/>
  </r>
  <r>
    <x v="12"/>
  </r>
  <r>
    <x v="12"/>
  </r>
  <r>
    <x v="87"/>
  </r>
  <r>
    <x v="7"/>
  </r>
  <r>
    <x v="7"/>
  </r>
  <r>
    <x v="26"/>
  </r>
  <r>
    <x v="1"/>
  </r>
  <r>
    <x v="9"/>
  </r>
  <r>
    <x v="0"/>
  </r>
  <r>
    <x v="0"/>
  </r>
  <r>
    <x v="36"/>
  </r>
  <r>
    <x v="12"/>
  </r>
  <r>
    <x v="10"/>
  </r>
  <r>
    <x v="25"/>
  </r>
  <r>
    <x v="0"/>
  </r>
  <r>
    <x v="0"/>
  </r>
  <r>
    <x v="33"/>
  </r>
  <r>
    <x v="55"/>
  </r>
  <r>
    <x v="10"/>
  </r>
  <r>
    <x v="10"/>
  </r>
  <r>
    <x v="10"/>
  </r>
  <r>
    <x v="10"/>
  </r>
  <r>
    <x v="26"/>
  </r>
  <r>
    <x v="10"/>
  </r>
  <r>
    <x v="33"/>
  </r>
  <r>
    <x v="10"/>
  </r>
  <r>
    <x v="10"/>
  </r>
  <r>
    <x v="128"/>
  </r>
  <r>
    <x v="128"/>
  </r>
  <r>
    <x v="128"/>
  </r>
  <r>
    <x v="7"/>
  </r>
  <r>
    <x v="7"/>
  </r>
  <r>
    <x v="114"/>
  </r>
  <r>
    <x v="114"/>
  </r>
  <r>
    <x v="0"/>
  </r>
  <r>
    <x v="114"/>
  </r>
  <r>
    <x v="114"/>
  </r>
  <r>
    <x v="114"/>
  </r>
  <r>
    <x v="10"/>
  </r>
  <r>
    <x v="33"/>
  </r>
  <r>
    <x v="14"/>
  </r>
  <r>
    <x v="10"/>
  </r>
  <r>
    <x v="10"/>
  </r>
  <r>
    <x v="114"/>
  </r>
  <r>
    <x v="114"/>
  </r>
  <r>
    <x v="16"/>
  </r>
  <r>
    <x v="4"/>
  </r>
  <r>
    <x v="4"/>
  </r>
  <r>
    <x v="4"/>
  </r>
  <r>
    <x v="8"/>
  </r>
  <r>
    <x v="138"/>
  </r>
  <r>
    <x v="4"/>
  </r>
  <r>
    <x v="8"/>
  </r>
  <r>
    <x v="165"/>
  </r>
  <r>
    <x v="165"/>
  </r>
  <r>
    <x v="52"/>
  </r>
  <r>
    <x v="52"/>
  </r>
  <r>
    <x v="138"/>
  </r>
  <r>
    <x v="50"/>
  </r>
  <r>
    <x v="14"/>
  </r>
  <r>
    <x v="14"/>
  </r>
  <r>
    <x v="52"/>
  </r>
  <r>
    <x v="7"/>
  </r>
  <r>
    <x v="7"/>
  </r>
  <r>
    <x v="7"/>
  </r>
  <r>
    <x v="28"/>
  </r>
  <r>
    <x v="42"/>
  </r>
  <r>
    <x v="12"/>
  </r>
  <r>
    <x v="12"/>
  </r>
  <r>
    <x v="12"/>
  </r>
  <r>
    <x v="7"/>
  </r>
  <r>
    <x v="130"/>
  </r>
  <r>
    <x v="46"/>
  </r>
  <r>
    <x v="46"/>
  </r>
  <r>
    <x v="46"/>
  </r>
  <r>
    <x v="46"/>
  </r>
  <r>
    <x v="0"/>
  </r>
  <r>
    <x v="0"/>
  </r>
  <r>
    <x v="0"/>
  </r>
  <r>
    <x v="45"/>
  </r>
  <r>
    <x v="45"/>
  </r>
  <r>
    <x v="112"/>
  </r>
  <r>
    <x v="138"/>
  </r>
  <r>
    <x v="30"/>
  </r>
  <r>
    <x v="112"/>
  </r>
  <r>
    <x v="150"/>
  </r>
  <r>
    <x v="112"/>
  </r>
  <r>
    <x v="10"/>
  </r>
  <r>
    <x v="112"/>
  </r>
  <r>
    <x v="10"/>
  </r>
  <r>
    <x v="112"/>
  </r>
  <r>
    <x v="175"/>
  </r>
  <r>
    <x v="10"/>
  </r>
  <r>
    <x v="78"/>
  </r>
  <r>
    <x v="76"/>
  </r>
  <r>
    <x v="9"/>
  </r>
  <r>
    <x v="10"/>
  </r>
  <r>
    <x v="10"/>
  </r>
  <r>
    <x v="10"/>
  </r>
  <r>
    <x v="10"/>
  </r>
  <r>
    <x v="10"/>
  </r>
  <r>
    <x v="175"/>
  </r>
  <r>
    <x v="175"/>
  </r>
  <r>
    <x v="10"/>
  </r>
  <r>
    <x v="63"/>
  </r>
  <r>
    <x v="10"/>
  </r>
  <r>
    <x v="78"/>
  </r>
  <r>
    <x v="78"/>
  </r>
  <r>
    <x v="10"/>
  </r>
  <r>
    <x v="10"/>
  </r>
  <r>
    <x v="17"/>
  </r>
  <r>
    <x v="9"/>
  </r>
  <r>
    <x v="19"/>
  </r>
  <r>
    <x v="4"/>
  </r>
  <r>
    <x v="70"/>
  </r>
  <r>
    <x v="0"/>
  </r>
  <r>
    <x v="0"/>
  </r>
  <r>
    <x v="25"/>
  </r>
  <r>
    <x v="4"/>
  </r>
  <r>
    <x v="36"/>
  </r>
  <r>
    <x v="36"/>
  </r>
  <r>
    <x v="36"/>
  </r>
  <r>
    <x v="36"/>
  </r>
  <r>
    <x v="36"/>
  </r>
  <r>
    <x v="36"/>
  </r>
  <r>
    <x v="6"/>
  </r>
  <r>
    <x v="123"/>
  </r>
  <r>
    <x v="36"/>
  </r>
  <r>
    <x v="36"/>
  </r>
  <r>
    <x v="36"/>
  </r>
  <r>
    <x v="168"/>
  </r>
  <r>
    <x v="14"/>
  </r>
  <r>
    <x v="36"/>
  </r>
  <r>
    <x v="36"/>
  </r>
  <r>
    <x v="36"/>
  </r>
  <r>
    <x v="36"/>
  </r>
  <r>
    <x v="168"/>
  </r>
  <r>
    <x v="168"/>
  </r>
  <r>
    <x v="168"/>
  </r>
  <r>
    <x v="36"/>
  </r>
  <r>
    <x v="36"/>
  </r>
  <r>
    <x v="10"/>
  </r>
  <r>
    <x v="45"/>
  </r>
  <r>
    <x v="36"/>
  </r>
  <r>
    <x v="14"/>
  </r>
  <r>
    <x v="14"/>
  </r>
  <r>
    <x v="14"/>
  </r>
  <r>
    <x v="14"/>
  </r>
  <r>
    <x v="10"/>
  </r>
  <r>
    <x v="10"/>
  </r>
  <r>
    <x v="10"/>
  </r>
  <r>
    <x v="10"/>
  </r>
  <r>
    <x v="10"/>
  </r>
  <r>
    <x v="10"/>
  </r>
  <r>
    <x v="138"/>
  </r>
  <r>
    <x v="36"/>
  </r>
  <r>
    <x v="36"/>
  </r>
  <r>
    <x v="36"/>
  </r>
  <r>
    <x v="36"/>
  </r>
  <r>
    <x v="36"/>
  </r>
  <r>
    <x v="36"/>
  </r>
  <r>
    <x v="19"/>
  </r>
  <r>
    <x v="36"/>
  </r>
  <r>
    <x v="36"/>
  </r>
  <r>
    <x v="36"/>
  </r>
  <r>
    <x v="36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40"/>
  </r>
  <r>
    <x v="36"/>
  </r>
  <r>
    <x v="36"/>
  </r>
  <r>
    <x v="36"/>
  </r>
  <r>
    <x v="36"/>
  </r>
  <r>
    <x v="36"/>
  </r>
  <r>
    <x v="36"/>
  </r>
  <r>
    <x v="115"/>
  </r>
  <r>
    <x v="36"/>
  </r>
  <r>
    <x v="36"/>
  </r>
  <r>
    <x v="36"/>
  </r>
  <r>
    <x v="36"/>
  </r>
  <r>
    <x v="123"/>
  </r>
  <r>
    <x v="16"/>
  </r>
  <r>
    <x v="12"/>
  </r>
  <r>
    <x v="12"/>
  </r>
  <r>
    <x v="12"/>
  </r>
  <r>
    <x v="12"/>
  </r>
  <r>
    <x v="12"/>
  </r>
  <r>
    <x v="12"/>
  </r>
  <r>
    <x v="10"/>
  </r>
  <r>
    <x v="12"/>
  </r>
  <r>
    <x v="12"/>
  </r>
  <r>
    <x v="61"/>
  </r>
  <r>
    <x v="100"/>
  </r>
  <r>
    <x v="10"/>
  </r>
  <r>
    <x v="14"/>
  </r>
  <r>
    <x v="24"/>
  </r>
  <r>
    <x v="4"/>
  </r>
  <r>
    <x v="4"/>
  </r>
  <r>
    <x v="30"/>
  </r>
  <r>
    <x v="4"/>
  </r>
  <r>
    <x v="111"/>
  </r>
  <r>
    <x v="12"/>
  </r>
  <r>
    <x v="28"/>
  </r>
  <r>
    <x v="0"/>
  </r>
  <r>
    <x v="0"/>
  </r>
  <r>
    <x v="22"/>
  </r>
  <r>
    <x v="28"/>
  </r>
  <r>
    <x v="22"/>
  </r>
  <r>
    <x v="28"/>
  </r>
  <r>
    <x v="28"/>
  </r>
  <r>
    <x v="40"/>
  </r>
  <r>
    <x v="28"/>
  </r>
  <r>
    <x v="40"/>
  </r>
  <r>
    <x v="40"/>
  </r>
  <r>
    <x v="28"/>
  </r>
  <r>
    <x v="166"/>
  </r>
  <r>
    <x v="28"/>
  </r>
  <r>
    <x v="112"/>
  </r>
  <r>
    <x v="28"/>
  </r>
  <r>
    <x v="8"/>
  </r>
  <r>
    <x v="26"/>
  </r>
  <r>
    <x v="2"/>
  </r>
  <r>
    <x v="28"/>
  </r>
  <r>
    <x v="28"/>
  </r>
  <r>
    <x v="28"/>
  </r>
  <r>
    <x v="40"/>
  </r>
  <r>
    <x v="40"/>
  </r>
  <r>
    <x v="40"/>
  </r>
  <r>
    <x v="40"/>
  </r>
  <r>
    <x v="40"/>
  </r>
  <r>
    <x v="40"/>
  </r>
  <r>
    <x v="40"/>
  </r>
  <r>
    <x v="28"/>
  </r>
  <r>
    <x v="28"/>
  </r>
  <r>
    <x v="28"/>
  </r>
  <r>
    <x v="28"/>
  </r>
  <r>
    <x v="42"/>
  </r>
  <r>
    <x v="42"/>
  </r>
  <r>
    <x v="42"/>
  </r>
  <r>
    <x v="28"/>
  </r>
  <r>
    <x v="0"/>
  </r>
  <r>
    <x v="128"/>
  </r>
  <r>
    <x v="128"/>
  </r>
  <r>
    <x v="42"/>
  </r>
  <r>
    <x v="42"/>
  </r>
  <r>
    <x v="0"/>
  </r>
  <r>
    <x v="0"/>
  </r>
  <r>
    <x v="10"/>
  </r>
  <r>
    <x v="128"/>
  </r>
  <r>
    <x v="128"/>
  </r>
  <r>
    <x v="128"/>
  </r>
  <r>
    <x v="8"/>
  </r>
  <r>
    <x v="8"/>
  </r>
  <r>
    <x v="10"/>
  </r>
  <r>
    <x v="43"/>
  </r>
  <r>
    <x v="52"/>
  </r>
  <r>
    <x v="0"/>
  </r>
  <r>
    <x v="11"/>
  </r>
  <r>
    <x v="76"/>
  </r>
  <r>
    <x v="25"/>
  </r>
  <r>
    <x v="30"/>
  </r>
  <r>
    <x v="30"/>
  </r>
  <r>
    <x v="87"/>
  </r>
  <r>
    <x v="4"/>
  </r>
  <r>
    <x v="10"/>
  </r>
  <r>
    <x v="4"/>
  </r>
  <r>
    <x v="75"/>
  </r>
  <r>
    <x v="57"/>
  </r>
  <r>
    <x v="10"/>
  </r>
  <r>
    <x v="77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33"/>
  </r>
  <r>
    <x v="0"/>
  </r>
  <r>
    <x v="79"/>
  </r>
  <r>
    <x v="79"/>
  </r>
  <r>
    <x v="79"/>
  </r>
  <r>
    <x v="79"/>
  </r>
  <r>
    <x v="42"/>
  </r>
  <r>
    <x v="0"/>
  </r>
  <r>
    <x v="34"/>
  </r>
  <r>
    <x v="86"/>
  </r>
  <r>
    <x v="71"/>
  </r>
  <r>
    <x v="36"/>
  </r>
  <r>
    <x v="36"/>
  </r>
  <r>
    <x v="165"/>
  </r>
  <r>
    <x v="85"/>
  </r>
  <r>
    <x v="165"/>
  </r>
  <r>
    <x v="0"/>
  </r>
  <r>
    <x v="28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7"/>
  </r>
  <r>
    <x v="12"/>
  </r>
  <r>
    <x v="12"/>
  </r>
  <r>
    <x v="12"/>
  </r>
  <r>
    <x v="12"/>
  </r>
  <r>
    <x v="36"/>
  </r>
  <r>
    <x v="12"/>
  </r>
  <r>
    <x v="12"/>
  </r>
  <r>
    <x v="10"/>
  </r>
  <r>
    <x v="60"/>
  </r>
  <r>
    <x v="12"/>
  </r>
  <r>
    <x v="14"/>
  </r>
  <r>
    <x v="14"/>
  </r>
  <r>
    <x v="14"/>
  </r>
  <r>
    <x v="0"/>
  </r>
  <r>
    <x v="10"/>
  </r>
  <r>
    <x v="10"/>
  </r>
  <r>
    <x v="10"/>
  </r>
  <r>
    <x v="10"/>
  </r>
  <r>
    <x v="81"/>
  </r>
  <r>
    <x v="81"/>
  </r>
  <r>
    <x v="123"/>
  </r>
  <r>
    <x v="42"/>
  </r>
  <r>
    <x v="165"/>
  </r>
  <r>
    <x v="10"/>
  </r>
  <r>
    <x v="10"/>
  </r>
  <r>
    <x v="10"/>
  </r>
  <r>
    <x v="10"/>
  </r>
  <r>
    <x v="138"/>
  </r>
  <r>
    <x v="138"/>
  </r>
  <r>
    <x v="138"/>
  </r>
  <r>
    <x v="138"/>
  </r>
  <r>
    <x v="138"/>
  </r>
  <r>
    <x v="138"/>
  </r>
  <r>
    <x v="12"/>
  </r>
  <r>
    <x v="12"/>
  </r>
  <r>
    <x v="12"/>
  </r>
  <r>
    <x v="138"/>
  </r>
  <r>
    <x v="138"/>
  </r>
  <r>
    <x v="138"/>
  </r>
  <r>
    <x v="138"/>
  </r>
  <r>
    <x v="138"/>
  </r>
  <r>
    <x v="1"/>
  </r>
  <r>
    <x v="68"/>
  </r>
  <r>
    <x v="87"/>
  </r>
  <r>
    <x v="10"/>
  </r>
  <r>
    <x v="10"/>
  </r>
  <r>
    <x v="12"/>
  </r>
  <r>
    <x v="45"/>
  </r>
  <r>
    <x v="45"/>
  </r>
  <r>
    <x v="10"/>
  </r>
  <r>
    <x v="10"/>
  </r>
  <r>
    <x v="30"/>
  </r>
  <r>
    <x v="123"/>
  </r>
  <r>
    <x v="123"/>
  </r>
  <r>
    <x v="123"/>
  </r>
  <r>
    <x v="123"/>
  </r>
  <r>
    <x v="123"/>
  </r>
  <r>
    <x v="30"/>
  </r>
  <r>
    <x v="24"/>
  </r>
  <r>
    <x v="7"/>
  </r>
  <r>
    <x v="12"/>
  </r>
  <r>
    <x v="14"/>
  </r>
  <r>
    <x v="7"/>
  </r>
  <r>
    <x v="12"/>
  </r>
  <r>
    <x v="4"/>
  </r>
  <r>
    <x v="14"/>
  </r>
  <r>
    <x v="12"/>
  </r>
  <r>
    <x v="12"/>
  </r>
  <r>
    <x v="4"/>
  </r>
  <r>
    <x v="12"/>
  </r>
  <r>
    <x v="12"/>
  </r>
  <r>
    <x v="4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4"/>
  </r>
  <r>
    <x v="138"/>
  </r>
  <r>
    <x v="4"/>
  </r>
  <r>
    <x v="4"/>
  </r>
  <r>
    <x v="4"/>
  </r>
  <r>
    <x v="76"/>
  </r>
  <r>
    <x v="28"/>
  </r>
  <r>
    <x v="28"/>
  </r>
  <r>
    <x v="28"/>
  </r>
  <r>
    <x v="48"/>
  </r>
  <r>
    <x v="24"/>
  </r>
  <r>
    <x v="28"/>
  </r>
  <r>
    <x v="25"/>
  </r>
  <r>
    <x v="76"/>
  </r>
  <r>
    <x v="12"/>
  </r>
  <r>
    <x v="76"/>
  </r>
  <r>
    <x v="10"/>
  </r>
  <r>
    <x v="10"/>
  </r>
  <r>
    <x v="78"/>
  </r>
  <r>
    <x v="1"/>
  </r>
  <r>
    <x v="12"/>
  </r>
  <r>
    <x v="12"/>
  </r>
  <r>
    <x v="123"/>
  </r>
  <r>
    <x v="24"/>
  </r>
  <r>
    <x v="80"/>
  </r>
  <r>
    <x v="115"/>
  </r>
  <r>
    <x v="0"/>
  </r>
  <r>
    <x v="114"/>
  </r>
  <r>
    <x v="4"/>
  </r>
  <r>
    <x v="4"/>
  </r>
  <r>
    <x v="165"/>
  </r>
  <r>
    <x v="46"/>
  </r>
  <r>
    <x v="4"/>
  </r>
  <r>
    <x v="4"/>
  </r>
  <r>
    <x v="4"/>
  </r>
  <r>
    <x v="4"/>
  </r>
  <r>
    <x v="4"/>
  </r>
  <r>
    <x v="4"/>
  </r>
  <r>
    <x v="28"/>
  </r>
  <r>
    <x v="11"/>
  </r>
  <r>
    <x v="36"/>
  </r>
  <r>
    <x v="115"/>
  </r>
  <r>
    <x v="36"/>
  </r>
  <r>
    <x v="36"/>
  </r>
  <r>
    <x v="7"/>
  </r>
  <r>
    <x v="36"/>
  </r>
  <r>
    <x v="36"/>
  </r>
  <r>
    <x v="10"/>
  </r>
  <r>
    <x v="83"/>
  </r>
  <r>
    <x v="7"/>
  </r>
  <r>
    <x v="31"/>
  </r>
  <r>
    <x v="57"/>
  </r>
  <r>
    <x v="4"/>
  </r>
  <r>
    <x v="21"/>
  </r>
  <r>
    <x v="30"/>
  </r>
  <r>
    <x v="0"/>
  </r>
  <r>
    <x v="31"/>
  </r>
  <r>
    <x v="9"/>
  </r>
  <r>
    <x v="28"/>
  </r>
  <r>
    <x v="28"/>
  </r>
  <r>
    <x v="10"/>
  </r>
  <r>
    <x v="10"/>
  </r>
  <r>
    <x v="10"/>
  </r>
  <r>
    <x v="28"/>
  </r>
  <r>
    <x v="36"/>
  </r>
  <r>
    <x v="138"/>
  </r>
  <r>
    <x v="28"/>
  </r>
  <r>
    <x v="0"/>
  </r>
  <r>
    <x v="138"/>
  </r>
  <r>
    <x v="71"/>
  </r>
  <r>
    <x v="30"/>
  </r>
  <r>
    <x v="28"/>
  </r>
  <r>
    <x v="28"/>
  </r>
  <r>
    <x v="35"/>
  </r>
  <r>
    <x v="10"/>
  </r>
  <r>
    <x v="24"/>
  </r>
  <r>
    <x v="10"/>
  </r>
  <r>
    <x v="10"/>
  </r>
  <r>
    <x v="24"/>
  </r>
  <r>
    <x v="28"/>
  </r>
  <r>
    <x v="12"/>
  </r>
  <r>
    <x v="12"/>
  </r>
  <r>
    <x v="10"/>
  </r>
  <r>
    <x v="111"/>
  </r>
  <r>
    <x v="12"/>
  </r>
  <r>
    <x v="17"/>
  </r>
  <r>
    <x v="17"/>
  </r>
  <r>
    <x v="12"/>
  </r>
  <r>
    <x v="12"/>
  </r>
  <r>
    <x v="12"/>
  </r>
  <r>
    <x v="12"/>
  </r>
  <r>
    <x v="24"/>
  </r>
  <r>
    <x v="12"/>
  </r>
  <r>
    <x v="12"/>
  </r>
  <r>
    <x v="71"/>
  </r>
  <r>
    <x v="24"/>
  </r>
  <r>
    <x v="24"/>
  </r>
  <r>
    <x v="21"/>
  </r>
  <r>
    <x v="10"/>
  </r>
  <r>
    <x v="10"/>
  </r>
  <r>
    <x v="24"/>
  </r>
  <r>
    <x v="24"/>
  </r>
  <r>
    <x v="28"/>
  </r>
  <r>
    <x v="10"/>
  </r>
  <r>
    <x v="275"/>
  </r>
  <r>
    <x v="10"/>
  </r>
  <r>
    <x v="10"/>
  </r>
  <r>
    <x v="275"/>
  </r>
  <r>
    <x v="7"/>
  </r>
  <r>
    <x v="7"/>
  </r>
  <r>
    <x v="7"/>
  </r>
  <r>
    <x v="28"/>
  </r>
  <r>
    <x v="28"/>
  </r>
  <r>
    <x v="7"/>
  </r>
  <r>
    <x v="7"/>
  </r>
  <r>
    <x v="76"/>
  </r>
  <r>
    <x v="76"/>
  </r>
  <r>
    <x v="12"/>
  </r>
  <r>
    <x v="43"/>
  </r>
  <r>
    <x v="12"/>
  </r>
  <r>
    <x v="43"/>
  </r>
  <r>
    <x v="12"/>
  </r>
  <r>
    <x v="43"/>
  </r>
  <r>
    <x v="12"/>
  </r>
  <r>
    <x v="12"/>
  </r>
  <r>
    <x v="12"/>
  </r>
  <r>
    <x v="36"/>
  </r>
  <r>
    <x v="12"/>
  </r>
  <r>
    <x v="100"/>
  </r>
  <r>
    <x v="100"/>
  </r>
  <r>
    <x v="0"/>
  </r>
  <r>
    <x v="0"/>
  </r>
  <r>
    <x v="12"/>
  </r>
  <r>
    <x v="12"/>
  </r>
  <r>
    <x v="12"/>
  </r>
  <r>
    <x v="12"/>
  </r>
  <r>
    <x v="12"/>
  </r>
  <r>
    <x v="12"/>
  </r>
  <r>
    <x v="12"/>
  </r>
  <r>
    <x v="52"/>
  </r>
  <r>
    <x v="12"/>
  </r>
  <r>
    <x v="42"/>
  </r>
  <r>
    <x v="4"/>
  </r>
  <r>
    <x v="52"/>
  </r>
  <r>
    <x v="42"/>
  </r>
  <r>
    <x v="42"/>
  </r>
  <r>
    <x v="87"/>
  </r>
  <r>
    <x v="48"/>
  </r>
  <r>
    <x v="12"/>
  </r>
  <r>
    <x v="123"/>
  </r>
  <r>
    <x v="123"/>
  </r>
  <r>
    <x v="12"/>
  </r>
  <r>
    <x v="130"/>
  </r>
  <r>
    <x v="130"/>
  </r>
  <r>
    <x v="0"/>
  </r>
  <r>
    <x v="130"/>
  </r>
  <r>
    <x v="130"/>
  </r>
  <r>
    <x v="7"/>
  </r>
  <r>
    <x v="42"/>
  </r>
  <r>
    <x v="42"/>
  </r>
  <r>
    <x v="14"/>
  </r>
  <r>
    <x v="7"/>
  </r>
  <r>
    <x v="7"/>
  </r>
  <r>
    <x v="0"/>
  </r>
  <r>
    <x v="42"/>
  </r>
  <r>
    <x v="10"/>
  </r>
  <r>
    <x v="7"/>
  </r>
  <r>
    <x v="72"/>
  </r>
  <r>
    <x v="53"/>
  </r>
  <r>
    <x v="53"/>
  </r>
  <r>
    <x v="12"/>
  </r>
  <r>
    <x v="29"/>
  </r>
  <r>
    <x v="12"/>
  </r>
  <r>
    <x v="12"/>
  </r>
  <r>
    <x v="89"/>
  </r>
  <r>
    <x v="89"/>
  </r>
  <r>
    <x v="0"/>
  </r>
  <r>
    <x v="78"/>
  </r>
  <r>
    <x v="78"/>
  </r>
  <r>
    <x v="78"/>
  </r>
  <r>
    <x v="12"/>
  </r>
  <r>
    <x v="22"/>
  </r>
  <r>
    <x v="10"/>
  </r>
  <r>
    <x v="10"/>
  </r>
  <r>
    <x v="87"/>
  </r>
  <r>
    <x v="87"/>
  </r>
  <r>
    <x v="72"/>
  </r>
  <r>
    <x v="146"/>
  </r>
  <r>
    <x v="87"/>
  </r>
  <r>
    <x v="28"/>
  </r>
  <r>
    <x v="28"/>
  </r>
  <r>
    <x v="57"/>
  </r>
  <r>
    <x v="28"/>
  </r>
  <r>
    <x v="57"/>
  </r>
  <r>
    <x v="10"/>
  </r>
  <r>
    <x v="10"/>
  </r>
  <r>
    <x v="31"/>
  </r>
  <r>
    <x v="6"/>
  </r>
  <r>
    <x v="10"/>
  </r>
  <r>
    <x v="10"/>
  </r>
  <r>
    <x v="16"/>
  </r>
  <r>
    <x v="115"/>
  </r>
  <r>
    <x v="115"/>
  </r>
  <r>
    <x v="10"/>
  </r>
  <r>
    <x v="10"/>
  </r>
  <r>
    <x v="10"/>
  </r>
  <r>
    <x v="10"/>
  </r>
  <r>
    <x v="108"/>
  </r>
  <r>
    <x v="25"/>
  </r>
  <r>
    <x v="10"/>
  </r>
  <r>
    <x v="10"/>
  </r>
  <r>
    <x v="10"/>
  </r>
  <r>
    <x v="10"/>
  </r>
  <r>
    <x v="4"/>
  </r>
  <r>
    <x v="4"/>
  </r>
  <r>
    <x v="34"/>
  </r>
  <r>
    <x v="14"/>
  </r>
  <r>
    <x v="21"/>
  </r>
  <r>
    <x v="152"/>
  </r>
  <r>
    <x v="25"/>
  </r>
  <r>
    <x v="4"/>
  </r>
  <r>
    <x v="25"/>
  </r>
  <r>
    <x v="4"/>
  </r>
  <r>
    <x v="25"/>
  </r>
  <r>
    <x v="25"/>
  </r>
  <r>
    <x v="10"/>
  </r>
  <r>
    <x v="10"/>
  </r>
  <r>
    <x v="12"/>
  </r>
  <r>
    <x v="12"/>
  </r>
  <r>
    <x v="12"/>
  </r>
  <r>
    <x v="12"/>
  </r>
  <r>
    <x v="12"/>
  </r>
  <r>
    <x v="0"/>
  </r>
  <r>
    <x v="12"/>
  </r>
  <r>
    <x v="112"/>
  </r>
  <r>
    <x v="146"/>
  </r>
  <r>
    <x v="51"/>
  </r>
  <r>
    <x v="51"/>
  </r>
  <r>
    <x v="76"/>
  </r>
  <r>
    <x v="14"/>
  </r>
  <r>
    <x v="12"/>
  </r>
  <r>
    <x v="12"/>
  </r>
  <r>
    <x v="22"/>
  </r>
  <r>
    <x v="12"/>
  </r>
  <r>
    <x v="86"/>
  </r>
  <r>
    <x v="48"/>
  </r>
  <r>
    <x v="115"/>
  </r>
  <r>
    <x v="21"/>
  </r>
  <r>
    <x v="22"/>
  </r>
  <r>
    <x v="12"/>
  </r>
  <r>
    <x v="42"/>
  </r>
  <r>
    <x v="12"/>
  </r>
  <r>
    <x v="12"/>
  </r>
  <r>
    <x v="138"/>
  </r>
  <r>
    <x v="138"/>
  </r>
  <r>
    <x v="138"/>
  </r>
  <r>
    <x v="26"/>
  </r>
  <r>
    <x v="0"/>
  </r>
  <r>
    <x v="0"/>
  </r>
  <r>
    <x v="0"/>
  </r>
  <r>
    <x v="0"/>
  </r>
  <r>
    <x v="0"/>
  </r>
  <r>
    <x v="0"/>
  </r>
  <r>
    <x v="248"/>
  </r>
  <r>
    <x v="24"/>
  </r>
  <r>
    <x v="0"/>
  </r>
  <r>
    <x v="0"/>
  </r>
  <r>
    <x v="4"/>
  </r>
  <r>
    <x v="42"/>
  </r>
  <r>
    <x v="6"/>
  </r>
  <r>
    <x v="6"/>
  </r>
  <r>
    <x v="10"/>
  </r>
  <r>
    <x v="4"/>
  </r>
  <r>
    <x v="10"/>
  </r>
  <r>
    <x v="10"/>
  </r>
  <r>
    <x v="71"/>
  </r>
  <r>
    <x v="10"/>
  </r>
  <r>
    <x v="10"/>
  </r>
  <r>
    <x v="10"/>
  </r>
  <r>
    <x v="10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0"/>
  </r>
  <r>
    <x v="10"/>
  </r>
  <r>
    <x v="10"/>
  </r>
  <r>
    <x v="10"/>
  </r>
  <r>
    <x v="10"/>
  </r>
  <r>
    <x v="17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68"/>
  </r>
  <r>
    <x v="10"/>
  </r>
  <r>
    <x v="123"/>
  </r>
  <r>
    <x v="6"/>
  </r>
  <r>
    <x v="10"/>
  </r>
  <r>
    <x v="24"/>
  </r>
  <r>
    <x v="24"/>
  </r>
  <r>
    <x v="15"/>
  </r>
  <r>
    <x v="10"/>
  </r>
  <r>
    <x v="104"/>
  </r>
  <r>
    <x v="10"/>
  </r>
  <r>
    <x v="10"/>
  </r>
  <r>
    <x v="10"/>
  </r>
  <r>
    <x v="10"/>
  </r>
  <r>
    <x v="4"/>
  </r>
  <r>
    <x v="71"/>
  </r>
  <r>
    <x v="42"/>
  </r>
  <r>
    <x v="10"/>
  </r>
  <r>
    <x v="19"/>
  </r>
  <r>
    <x v="19"/>
  </r>
  <r>
    <x v="4"/>
  </r>
  <r>
    <x v="10"/>
  </r>
  <r>
    <x v="10"/>
  </r>
  <r>
    <x v="10"/>
  </r>
  <r>
    <x v="10"/>
  </r>
  <r>
    <x v="22"/>
  </r>
  <r>
    <x v="22"/>
  </r>
  <r>
    <x v="22"/>
  </r>
  <r>
    <x v="22"/>
  </r>
  <r>
    <x v="22"/>
  </r>
  <r>
    <x v="63"/>
  </r>
  <r>
    <x v="22"/>
  </r>
  <r>
    <x v="22"/>
  </r>
  <r>
    <x v="22"/>
  </r>
  <r>
    <x v="12"/>
  </r>
  <r>
    <x v="63"/>
  </r>
  <r>
    <x v="9"/>
  </r>
  <r>
    <x v="77"/>
  </r>
  <r>
    <x v="30"/>
  </r>
  <r>
    <x v="10"/>
  </r>
  <r>
    <x v="272"/>
  </r>
  <r>
    <x v="112"/>
  </r>
  <r>
    <x v="12"/>
  </r>
  <r>
    <x v="42"/>
  </r>
  <r>
    <x v="138"/>
  </r>
  <r>
    <x v="138"/>
  </r>
  <r>
    <x v="138"/>
  </r>
  <r>
    <x v="12"/>
  </r>
  <r>
    <x v="6"/>
  </r>
  <r>
    <x v="12"/>
  </r>
  <r>
    <x v="6"/>
  </r>
  <r>
    <x v="16"/>
  </r>
  <r>
    <x v="6"/>
  </r>
  <r>
    <x v="0"/>
  </r>
  <r>
    <x v="28"/>
  </r>
  <r>
    <x v="128"/>
  </r>
  <r>
    <x v="64"/>
  </r>
  <r>
    <x v="12"/>
  </r>
  <r>
    <x v="12"/>
  </r>
  <r>
    <x v="10"/>
  </r>
  <r>
    <x v="33"/>
  </r>
  <r>
    <x v="12"/>
  </r>
  <r>
    <x v="43"/>
  </r>
  <r>
    <x v="87"/>
  </r>
  <r>
    <x v="0"/>
  </r>
  <r>
    <x v="12"/>
  </r>
  <r>
    <x v="10"/>
  </r>
  <r>
    <x v="0"/>
  </r>
  <r>
    <x v="0"/>
  </r>
  <r>
    <x v="9"/>
  </r>
  <r>
    <x v="14"/>
  </r>
  <r>
    <x v="0"/>
  </r>
  <r>
    <x v="42"/>
  </r>
  <r>
    <x v="12"/>
  </r>
  <r>
    <x v="12"/>
  </r>
  <r>
    <x v="36"/>
  </r>
  <r>
    <x v="22"/>
  </r>
  <r>
    <x v="76"/>
  </r>
  <r>
    <x v="45"/>
  </r>
  <r>
    <x v="4"/>
  </r>
  <r>
    <x v="48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8"/>
  </r>
  <r>
    <x v="12"/>
  </r>
  <r>
    <x v="12"/>
  </r>
  <r>
    <x v="64"/>
  </r>
  <r>
    <x v="4"/>
  </r>
  <r>
    <x v="4"/>
  </r>
  <r>
    <x v="6"/>
  </r>
  <r>
    <x v="34"/>
  </r>
  <r>
    <x v="152"/>
  </r>
  <r>
    <x v="4"/>
  </r>
  <r>
    <x v="126"/>
  </r>
  <r>
    <x v="165"/>
  </r>
  <r>
    <x v="4"/>
  </r>
  <r>
    <x v="39"/>
  </r>
  <r>
    <x v="4"/>
  </r>
  <r>
    <x v="4"/>
  </r>
  <r>
    <x v="12"/>
  </r>
  <r>
    <x v="12"/>
  </r>
  <r>
    <x v="12"/>
  </r>
  <r>
    <x v="12"/>
  </r>
  <r>
    <x v="36"/>
  </r>
  <r>
    <x v="42"/>
  </r>
  <r>
    <x v="162"/>
  </r>
  <r>
    <x v="190"/>
  </r>
  <r>
    <x v="42"/>
  </r>
  <r>
    <x v="57"/>
  </r>
  <r>
    <x v="71"/>
  </r>
  <r>
    <x v="85"/>
  </r>
  <r>
    <x v="85"/>
  </r>
  <r>
    <x v="33"/>
  </r>
  <r>
    <x v="136"/>
  </r>
  <r>
    <x v="9"/>
  </r>
  <r>
    <x v="4"/>
  </r>
  <r>
    <x v="12"/>
  </r>
  <r>
    <x v="12"/>
  </r>
  <r>
    <x v="10"/>
  </r>
  <r>
    <x v="7"/>
  </r>
  <r>
    <x v="77"/>
  </r>
  <r>
    <x v="4"/>
  </r>
  <r>
    <x v="77"/>
  </r>
  <r>
    <x v="15"/>
  </r>
  <r>
    <x v="12"/>
  </r>
  <r>
    <x v="0"/>
  </r>
  <r>
    <x v="11"/>
  </r>
  <r>
    <x v="42"/>
  </r>
  <r>
    <x v="10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12"/>
  </r>
  <r>
    <x v="12"/>
  </r>
  <r>
    <x v="42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42"/>
  </r>
  <r>
    <x v="12"/>
  </r>
  <r>
    <x v="12"/>
  </r>
  <r>
    <x v="12"/>
  </r>
  <r>
    <x v="12"/>
  </r>
  <r>
    <x v="42"/>
  </r>
  <r>
    <x v="42"/>
  </r>
  <r>
    <x v="190"/>
  </r>
  <r>
    <x v="190"/>
  </r>
  <r>
    <x v="42"/>
  </r>
  <r>
    <x v="190"/>
  </r>
  <r>
    <x v="190"/>
  </r>
  <r>
    <x v="12"/>
  </r>
  <r>
    <x v="190"/>
  </r>
  <r>
    <x v="190"/>
  </r>
  <r>
    <x v="87"/>
  </r>
  <r>
    <x v="87"/>
  </r>
  <r>
    <x v="190"/>
  </r>
  <r>
    <x v="10"/>
  </r>
  <r>
    <x v="10"/>
  </r>
  <r>
    <x v="10"/>
  </r>
  <r>
    <x v="100"/>
  </r>
  <r>
    <x v="10"/>
  </r>
  <r>
    <x v="10"/>
  </r>
  <r>
    <x v="10"/>
  </r>
  <r>
    <x v="154"/>
  </r>
  <r>
    <x v="154"/>
  </r>
  <r>
    <x v="10"/>
  </r>
  <r>
    <x v="138"/>
  </r>
  <r>
    <x v="10"/>
  </r>
  <r>
    <x v="10"/>
  </r>
  <r>
    <x v="138"/>
  </r>
  <r>
    <x v="138"/>
  </r>
  <r>
    <x v="10"/>
  </r>
  <r>
    <x v="138"/>
  </r>
  <r>
    <x v="10"/>
  </r>
  <r>
    <x v="10"/>
  </r>
  <r>
    <x v="4"/>
  </r>
  <r>
    <x v="10"/>
  </r>
  <r>
    <x v="10"/>
  </r>
  <r>
    <x v="87"/>
  </r>
  <r>
    <x v="12"/>
  </r>
  <r>
    <x v="12"/>
  </r>
  <r>
    <x v="12"/>
  </r>
  <r>
    <x v="104"/>
  </r>
  <r>
    <x v="4"/>
  </r>
  <r>
    <x v="42"/>
  </r>
  <r>
    <x v="198"/>
  </r>
  <r>
    <x v="175"/>
  </r>
  <r>
    <x v="10"/>
  </r>
  <r>
    <x v="10"/>
  </r>
  <r>
    <x v="175"/>
  </r>
  <r>
    <x v="32"/>
  </r>
  <r>
    <x v="10"/>
  </r>
  <r>
    <x v="11"/>
  </r>
  <r>
    <x v="28"/>
  </r>
  <r>
    <x v="78"/>
  </r>
  <r>
    <x v="22"/>
  </r>
  <r>
    <x v="63"/>
  </r>
  <r>
    <x v="78"/>
  </r>
  <r>
    <x v="78"/>
  </r>
  <r>
    <x v="0"/>
  </r>
  <r>
    <x v="87"/>
  </r>
  <r>
    <x v="15"/>
  </r>
  <r>
    <x v="10"/>
  </r>
  <r>
    <x v="78"/>
  </r>
  <r>
    <x v="76"/>
  </r>
  <r>
    <x v="10"/>
  </r>
  <r>
    <x v="10"/>
  </r>
  <r>
    <x v="10"/>
  </r>
  <r>
    <x v="10"/>
  </r>
  <r>
    <x v="10"/>
  </r>
  <r>
    <x v="17"/>
  </r>
  <r>
    <x v="17"/>
  </r>
  <r>
    <x v="14"/>
  </r>
  <r>
    <x v="17"/>
  </r>
  <r>
    <x v="17"/>
  </r>
  <r>
    <x v="27"/>
  </r>
  <r>
    <x v="27"/>
  </r>
  <r>
    <x v="9"/>
  </r>
  <r>
    <x v="1"/>
  </r>
  <r>
    <x v="22"/>
  </r>
  <r>
    <x v="61"/>
  </r>
  <r>
    <x v="0"/>
  </r>
  <r>
    <x v="27"/>
  </r>
  <r>
    <x v="91"/>
  </r>
  <r>
    <x v="12"/>
  </r>
  <r>
    <x v="131"/>
  </r>
  <r>
    <x v="14"/>
  </r>
  <r>
    <x v="49"/>
  </r>
  <r>
    <x v="131"/>
  </r>
  <r>
    <x v="131"/>
  </r>
  <r>
    <x v="14"/>
  </r>
  <r>
    <x v="131"/>
  </r>
  <r>
    <x v="131"/>
  </r>
  <r>
    <x v="14"/>
  </r>
  <r>
    <x v="77"/>
  </r>
  <r>
    <x v="49"/>
  </r>
  <r>
    <x v="14"/>
  </r>
  <r>
    <x v="12"/>
  </r>
  <r>
    <x v="14"/>
  </r>
  <r>
    <x v="131"/>
  </r>
  <r>
    <x v="14"/>
  </r>
  <r>
    <x v="64"/>
  </r>
  <r>
    <x v="63"/>
  </r>
  <r>
    <x v="51"/>
  </r>
  <r>
    <x v="4"/>
  </r>
  <r>
    <x v="4"/>
  </r>
  <r>
    <x v="4"/>
  </r>
  <r>
    <x v="113"/>
  </r>
  <r>
    <x v="4"/>
  </r>
  <r>
    <x v="4"/>
  </r>
  <r>
    <x v="4"/>
  </r>
  <r>
    <x v="57"/>
  </r>
  <r>
    <x v="25"/>
  </r>
  <r>
    <x v="10"/>
  </r>
  <r>
    <x v="10"/>
  </r>
  <r>
    <x v="78"/>
  </r>
  <r>
    <x v="1"/>
  </r>
  <r>
    <x v="165"/>
  </r>
  <r>
    <x v="2"/>
  </r>
  <r>
    <x v="4"/>
  </r>
  <r>
    <x v="4"/>
  </r>
  <r>
    <x v="123"/>
  </r>
  <r>
    <x v="0"/>
  </r>
  <r>
    <x v="0"/>
  </r>
  <r>
    <x v="0"/>
  </r>
  <r>
    <x v="4"/>
  </r>
  <r>
    <x v="10"/>
  </r>
  <r>
    <x v="12"/>
  </r>
  <r>
    <x v="152"/>
  </r>
  <r>
    <x v="152"/>
  </r>
  <r>
    <x v="152"/>
  </r>
  <r>
    <x v="4"/>
  </r>
  <r>
    <x v="26"/>
  </r>
  <r>
    <x v="4"/>
  </r>
  <r>
    <x v="4"/>
  </r>
  <r>
    <x v="4"/>
  </r>
  <r>
    <x v="216"/>
  </r>
  <r>
    <x v="216"/>
  </r>
  <r>
    <x v="25"/>
  </r>
  <r>
    <x v="3"/>
  </r>
  <r>
    <x v="48"/>
  </r>
  <r>
    <x v="42"/>
  </r>
  <r>
    <x v="42"/>
  </r>
  <r>
    <x v="183"/>
  </r>
  <r>
    <x v="42"/>
  </r>
  <r>
    <x v="130"/>
  </r>
  <r>
    <x v="14"/>
  </r>
  <r>
    <x v="28"/>
  </r>
  <r>
    <x v="4"/>
  </r>
  <r>
    <x v="4"/>
  </r>
  <r>
    <x v="4"/>
  </r>
  <r>
    <x v="10"/>
  </r>
  <r>
    <x v="0"/>
  </r>
  <r>
    <x v="108"/>
  </r>
  <r>
    <x v="4"/>
  </r>
  <r>
    <x v="4"/>
  </r>
  <r>
    <x v="4"/>
  </r>
  <r>
    <x v="4"/>
  </r>
  <r>
    <x v="10"/>
  </r>
  <r>
    <x v="4"/>
  </r>
  <r>
    <x v="51"/>
  </r>
  <r>
    <x v="4"/>
  </r>
  <r>
    <x v="10"/>
  </r>
  <r>
    <x v="4"/>
  </r>
  <r>
    <x v="4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24"/>
  </r>
  <r>
    <x v="139"/>
  </r>
  <r>
    <x v="14"/>
  </r>
  <r>
    <x v="23"/>
  </r>
  <r>
    <x v="123"/>
  </r>
  <r>
    <x v="123"/>
  </r>
  <r>
    <x v="123"/>
  </r>
  <r>
    <x v="123"/>
  </r>
  <r>
    <x v="123"/>
  </r>
  <r>
    <x v="22"/>
  </r>
  <r>
    <x v="108"/>
  </r>
  <r>
    <x v="12"/>
  </r>
  <r>
    <x v="112"/>
  </r>
  <r>
    <x v="128"/>
  </r>
  <r>
    <x v="128"/>
  </r>
  <r>
    <x v="42"/>
  </r>
  <r>
    <x v="42"/>
  </r>
  <r>
    <x v="10"/>
  </r>
  <r>
    <x v="10"/>
  </r>
  <r>
    <x v="77"/>
  </r>
  <r>
    <x v="42"/>
  </r>
  <r>
    <x v="12"/>
  </r>
  <r>
    <x v="12"/>
  </r>
  <r>
    <x v="78"/>
  </r>
  <r>
    <x v="34"/>
  </r>
  <r>
    <x v="10"/>
  </r>
  <r>
    <x v="10"/>
  </r>
  <r>
    <x v="14"/>
  </r>
  <r>
    <x v="23"/>
  </r>
  <r>
    <x v="138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22"/>
  </r>
  <r>
    <x v="22"/>
  </r>
  <r>
    <x v="78"/>
  </r>
  <r>
    <x v="22"/>
  </r>
  <r>
    <x v="22"/>
  </r>
  <r>
    <x v="22"/>
  </r>
  <r>
    <x v="22"/>
  </r>
  <r>
    <x v="22"/>
  </r>
  <r>
    <x v="22"/>
  </r>
  <r>
    <x v="78"/>
  </r>
  <r>
    <x v="78"/>
  </r>
  <r>
    <x v="22"/>
  </r>
  <r>
    <x v="78"/>
  </r>
  <r>
    <x v="78"/>
  </r>
  <r>
    <x v="78"/>
  </r>
  <r>
    <x v="78"/>
  </r>
  <r>
    <x v="78"/>
  </r>
  <r>
    <x v="78"/>
  </r>
  <r>
    <x v="78"/>
  </r>
  <r>
    <x v="78"/>
  </r>
  <r>
    <x v="123"/>
  </r>
  <r>
    <x v="123"/>
  </r>
  <r>
    <x v="123"/>
  </r>
  <r>
    <x v="123"/>
  </r>
  <r>
    <x v="123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2"/>
  </r>
  <r>
    <x v="42"/>
  </r>
  <r>
    <x v="42"/>
  </r>
  <r>
    <x v="42"/>
  </r>
  <r>
    <x v="42"/>
  </r>
  <r>
    <x v="42"/>
  </r>
  <r>
    <x v="42"/>
  </r>
  <r>
    <x v="138"/>
  </r>
  <r>
    <x v="165"/>
  </r>
  <r>
    <x v="42"/>
  </r>
  <r>
    <x v="12"/>
  </r>
  <r>
    <x v="42"/>
  </r>
  <r>
    <x v="56"/>
  </r>
  <r>
    <x v="42"/>
  </r>
  <r>
    <x v="56"/>
  </r>
  <r>
    <x v="4"/>
  </r>
  <r>
    <x v="10"/>
  </r>
  <r>
    <x v="10"/>
  </r>
  <r>
    <x v="9"/>
  </r>
  <r>
    <x v="12"/>
  </r>
  <r>
    <x v="12"/>
  </r>
  <r>
    <x v="56"/>
  </r>
  <r>
    <x v="42"/>
  </r>
  <r>
    <x v="42"/>
  </r>
  <r>
    <x v="4"/>
  </r>
  <r>
    <x v="52"/>
  </r>
  <r>
    <x v="4"/>
  </r>
  <r>
    <x v="77"/>
  </r>
  <r>
    <x v="0"/>
  </r>
  <r>
    <x v="4"/>
  </r>
  <r>
    <x v="33"/>
  </r>
  <r>
    <x v="42"/>
  </r>
  <r>
    <x v="190"/>
  </r>
  <r>
    <x v="50"/>
  </r>
  <r>
    <x v="4"/>
  </r>
  <r>
    <x v="42"/>
  </r>
  <r>
    <x v="42"/>
  </r>
  <r>
    <x v="48"/>
  </r>
  <r>
    <x v="42"/>
  </r>
  <r>
    <x v="42"/>
  </r>
  <r>
    <x v="42"/>
  </r>
  <r>
    <x v="14"/>
  </r>
  <r>
    <x v="42"/>
  </r>
  <r>
    <x v="42"/>
  </r>
  <r>
    <x v="23"/>
  </r>
  <r>
    <x v="12"/>
  </r>
  <r>
    <x v="78"/>
  </r>
  <r>
    <x v="86"/>
  </r>
  <r>
    <x v="77"/>
  </r>
  <r>
    <x v="86"/>
  </r>
  <r>
    <x v="10"/>
  </r>
  <r>
    <x v="63"/>
  </r>
  <r>
    <x v="4"/>
  </r>
  <r>
    <x v="86"/>
  </r>
  <r>
    <x v="10"/>
  </r>
  <r>
    <x v="10"/>
  </r>
  <r>
    <x v="78"/>
  </r>
  <r>
    <x v="78"/>
  </r>
  <r>
    <x v="78"/>
  </r>
  <r>
    <x v="78"/>
  </r>
  <r>
    <x v="46"/>
  </r>
  <r>
    <x v="78"/>
  </r>
  <r>
    <x v="11"/>
  </r>
  <r>
    <x v="10"/>
  </r>
  <r>
    <x v="22"/>
  </r>
  <r>
    <x v="29"/>
  </r>
  <r>
    <x v="14"/>
  </r>
  <r>
    <x v="29"/>
  </r>
  <r>
    <x v="24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4"/>
  </r>
  <r>
    <x v="14"/>
  </r>
  <r>
    <x v="14"/>
  </r>
  <r>
    <x v="14"/>
  </r>
  <r>
    <x v="152"/>
  </r>
  <r>
    <x v="14"/>
  </r>
  <r>
    <x v="14"/>
  </r>
  <r>
    <x v="14"/>
  </r>
  <r>
    <x v="4"/>
  </r>
  <r>
    <x v="10"/>
  </r>
  <r>
    <x v="0"/>
  </r>
  <r>
    <x v="152"/>
  </r>
  <r>
    <x v="152"/>
  </r>
  <r>
    <x v="152"/>
  </r>
  <r>
    <x v="152"/>
  </r>
  <r>
    <x v="14"/>
  </r>
  <r>
    <x v="14"/>
  </r>
  <r>
    <x v="152"/>
  </r>
  <r>
    <x v="11"/>
  </r>
  <r>
    <x v="152"/>
  </r>
  <r>
    <x v="152"/>
  </r>
  <r>
    <x v="123"/>
  </r>
  <r>
    <x v="36"/>
  </r>
  <r>
    <x v="152"/>
  </r>
  <r>
    <x v="123"/>
  </r>
  <r>
    <x v="123"/>
  </r>
  <r>
    <x v="123"/>
  </r>
  <r>
    <x v="123"/>
  </r>
  <r>
    <x v="123"/>
  </r>
  <r>
    <x v="152"/>
  </r>
  <r>
    <x v="123"/>
  </r>
  <r>
    <x v="123"/>
  </r>
  <r>
    <x v="123"/>
  </r>
  <r>
    <x v="123"/>
  </r>
  <r>
    <x v="152"/>
  </r>
  <r>
    <x v="152"/>
  </r>
  <r>
    <x v="10"/>
  </r>
  <r>
    <x v="17"/>
  </r>
  <r>
    <x v="86"/>
  </r>
  <r>
    <x v="10"/>
  </r>
  <r>
    <x v="123"/>
  </r>
  <r>
    <x v="42"/>
  </r>
  <r>
    <x v="12"/>
  </r>
  <r>
    <x v="12"/>
  </r>
  <r>
    <x v="123"/>
  </r>
  <r>
    <x v="123"/>
  </r>
  <r>
    <x v="123"/>
  </r>
  <r>
    <x v="28"/>
  </r>
  <r>
    <x v="87"/>
  </r>
  <r>
    <x v="14"/>
  </r>
  <r>
    <x v="25"/>
  </r>
  <r>
    <x v="25"/>
  </r>
  <r>
    <x v="7"/>
  </r>
  <r>
    <x v="4"/>
  </r>
  <r>
    <x v="79"/>
  </r>
  <r>
    <x v="77"/>
  </r>
  <r>
    <x v="57"/>
  </r>
  <r>
    <x v="25"/>
  </r>
  <r>
    <x v="87"/>
  </r>
  <r>
    <x v="87"/>
  </r>
  <r>
    <x v="45"/>
  </r>
  <r>
    <x v="45"/>
  </r>
  <r>
    <x v="143"/>
  </r>
  <r>
    <x v="4"/>
  </r>
  <r>
    <x v="4"/>
  </r>
  <r>
    <x v="165"/>
  </r>
  <r>
    <x v="4"/>
  </r>
  <r>
    <x v="4"/>
  </r>
  <r>
    <x v="10"/>
  </r>
  <r>
    <x v="16"/>
  </r>
  <r>
    <x v="16"/>
  </r>
  <r>
    <x v="16"/>
  </r>
  <r>
    <x v="16"/>
  </r>
  <r>
    <x v="42"/>
  </r>
  <r>
    <x v="42"/>
  </r>
  <r>
    <x v="0"/>
  </r>
  <r>
    <x v="56"/>
  </r>
  <r>
    <x v="115"/>
  </r>
  <r>
    <x v="4"/>
  </r>
  <r>
    <x v="4"/>
  </r>
  <r>
    <x v="56"/>
  </r>
  <r>
    <x v="45"/>
  </r>
  <r>
    <x v="45"/>
  </r>
  <r>
    <x v="45"/>
  </r>
  <r>
    <x v="77"/>
  </r>
  <r>
    <x v="64"/>
  </r>
  <r>
    <x v="1"/>
  </r>
  <r>
    <x v="19"/>
  </r>
  <r>
    <x v="44"/>
  </r>
  <r>
    <x v="72"/>
  </r>
  <r>
    <x v="72"/>
  </r>
  <r>
    <x v="108"/>
  </r>
  <r>
    <x v="81"/>
  </r>
  <r>
    <x v="77"/>
  </r>
  <r>
    <x v="81"/>
  </r>
  <r>
    <x v="56"/>
  </r>
  <r>
    <x v="138"/>
  </r>
  <r>
    <x v="138"/>
  </r>
  <r>
    <x v="138"/>
  </r>
  <r>
    <x v="86"/>
  </r>
  <r>
    <x v="138"/>
  </r>
  <r>
    <x v="138"/>
  </r>
  <r>
    <x v="138"/>
  </r>
  <r>
    <x v="138"/>
  </r>
  <r>
    <x v="126"/>
  </r>
  <r>
    <x v="138"/>
  </r>
  <r>
    <x v="138"/>
  </r>
  <r>
    <x v="138"/>
  </r>
  <r>
    <x v="138"/>
  </r>
  <r>
    <x v="138"/>
  </r>
  <r>
    <x v="138"/>
  </r>
  <r>
    <x v="138"/>
  </r>
  <r>
    <x v="138"/>
  </r>
  <r>
    <x v="79"/>
  </r>
  <r>
    <x v="79"/>
  </r>
  <r>
    <x v="19"/>
  </r>
  <r>
    <x v="12"/>
  </r>
  <r>
    <x v="12"/>
  </r>
  <r>
    <x v="12"/>
  </r>
  <r>
    <x v="11"/>
  </r>
  <r>
    <x v="16"/>
  </r>
  <r>
    <x v="10"/>
  </r>
  <r>
    <x v="10"/>
  </r>
  <r>
    <x v="4"/>
  </r>
  <r>
    <x v="4"/>
  </r>
  <r>
    <x v="25"/>
  </r>
  <r>
    <x v="42"/>
  </r>
  <r>
    <x v="10"/>
  </r>
  <r>
    <x v="24"/>
  </r>
  <r>
    <x v="59"/>
  </r>
  <r>
    <x v="10"/>
  </r>
  <r>
    <x v="76"/>
  </r>
  <r>
    <x v="36"/>
  </r>
  <r>
    <x v="86"/>
  </r>
  <r>
    <x v="36"/>
  </r>
  <r>
    <x v="24"/>
  </r>
  <r>
    <x v="24"/>
  </r>
  <r>
    <x v="45"/>
  </r>
  <r>
    <x v="37"/>
  </r>
  <r>
    <x v="10"/>
  </r>
  <r>
    <x v="0"/>
  </r>
  <r>
    <x v="12"/>
  </r>
  <r>
    <x v="12"/>
  </r>
  <r>
    <x v="12"/>
  </r>
  <r>
    <x v="12"/>
  </r>
  <r>
    <x v="4"/>
  </r>
  <r>
    <x v="4"/>
  </r>
  <r>
    <x v="50"/>
  </r>
  <r>
    <x v="77"/>
  </r>
  <r>
    <x v="36"/>
  </r>
  <r>
    <x v="36"/>
  </r>
  <r>
    <x v="36"/>
  </r>
  <r>
    <x v="10"/>
  </r>
  <r>
    <x v="10"/>
  </r>
  <r>
    <x v="42"/>
  </r>
  <r>
    <x v="4"/>
  </r>
  <r>
    <x v="10"/>
  </r>
  <r>
    <x v="4"/>
  </r>
  <r>
    <x v="0"/>
  </r>
  <r>
    <x v="72"/>
  </r>
  <r>
    <x v="72"/>
  </r>
  <r>
    <x v="85"/>
  </r>
  <r>
    <x v="22"/>
  </r>
  <r>
    <x v="12"/>
  </r>
  <r>
    <x v="12"/>
  </r>
  <r>
    <x v="80"/>
  </r>
  <r>
    <x v="12"/>
  </r>
  <r>
    <x v="12"/>
  </r>
  <r>
    <x v="87"/>
  </r>
  <r>
    <x v="12"/>
  </r>
  <r>
    <x v="36"/>
  </r>
  <r>
    <x v="12"/>
  </r>
  <r>
    <x v="12"/>
  </r>
  <r>
    <x v="12"/>
  </r>
  <r>
    <x v="12"/>
  </r>
  <r>
    <x v="12"/>
  </r>
  <r>
    <x v="72"/>
  </r>
  <r>
    <x v="0"/>
  </r>
  <r>
    <x v="12"/>
  </r>
  <r>
    <x v="4"/>
  </r>
  <r>
    <x v="4"/>
  </r>
  <r>
    <x v="24"/>
  </r>
  <r>
    <x v="24"/>
  </r>
  <r>
    <x v="24"/>
  </r>
  <r>
    <x v="24"/>
  </r>
  <r>
    <x v="80"/>
  </r>
  <r>
    <x v="80"/>
  </r>
  <r>
    <x v="80"/>
  </r>
  <r>
    <x v="86"/>
  </r>
  <r>
    <x v="86"/>
  </r>
  <r>
    <x v="86"/>
  </r>
  <r>
    <x v="12"/>
  </r>
  <r>
    <x v="76"/>
  </r>
  <r>
    <x v="14"/>
  </r>
  <r>
    <x v="14"/>
  </r>
  <r>
    <x v="22"/>
  </r>
  <r>
    <x v="22"/>
  </r>
  <r>
    <x v="22"/>
  </r>
  <r>
    <x v="14"/>
  </r>
  <r>
    <x v="14"/>
  </r>
  <r>
    <x v="14"/>
  </r>
  <r>
    <x v="0"/>
  </r>
  <r>
    <x v="22"/>
  </r>
  <r>
    <x v="22"/>
  </r>
  <r>
    <x v="22"/>
  </r>
  <r>
    <x v="22"/>
  </r>
  <r>
    <x v="22"/>
  </r>
  <r>
    <x v="22"/>
  </r>
  <r>
    <x v="22"/>
  </r>
  <r>
    <x v="56"/>
  </r>
  <r>
    <x v="12"/>
  </r>
  <r>
    <x v="12"/>
  </r>
  <r>
    <x v="12"/>
  </r>
  <r>
    <x v="80"/>
  </r>
  <r>
    <x v="12"/>
  </r>
  <r>
    <x v="87"/>
  </r>
  <r>
    <x v="175"/>
  </r>
  <r>
    <x v="175"/>
  </r>
  <r>
    <x v="36"/>
  </r>
  <r>
    <x v="36"/>
  </r>
  <r>
    <x v="36"/>
  </r>
  <r>
    <x v="56"/>
  </r>
  <r>
    <x v="87"/>
  </r>
  <r>
    <x v="56"/>
  </r>
  <r>
    <x v="56"/>
  </r>
  <r>
    <x v="87"/>
  </r>
  <r>
    <x v="56"/>
  </r>
  <r>
    <x v="56"/>
  </r>
  <r>
    <x v="42"/>
  </r>
  <r>
    <x v="42"/>
  </r>
  <r>
    <x v="115"/>
  </r>
  <r>
    <x v="0"/>
  </r>
  <r>
    <x v="0"/>
  </r>
  <r>
    <x v="36"/>
  </r>
  <r>
    <x v="42"/>
  </r>
  <r>
    <x v="12"/>
  </r>
  <r>
    <x v="12"/>
  </r>
  <r>
    <x v="12"/>
  </r>
  <r>
    <x v="39"/>
  </r>
  <r>
    <x v="12"/>
  </r>
  <r>
    <x v="56"/>
  </r>
  <r>
    <x v="56"/>
  </r>
  <r>
    <x v="56"/>
  </r>
  <r>
    <x v="56"/>
  </r>
  <r>
    <x v="56"/>
  </r>
  <r>
    <x v="56"/>
  </r>
  <r>
    <x v="4"/>
  </r>
  <r>
    <x v="4"/>
  </r>
  <r>
    <x v="7"/>
  </r>
  <r>
    <x v="7"/>
  </r>
  <r>
    <x v="7"/>
  </r>
  <r>
    <x v="42"/>
  </r>
  <r>
    <x v="53"/>
  </r>
  <r>
    <x v="48"/>
  </r>
  <r>
    <x v="60"/>
  </r>
  <r>
    <x v="4"/>
  </r>
  <r>
    <x v="4"/>
  </r>
  <r>
    <x v="10"/>
  </r>
  <r>
    <x v="10"/>
  </r>
  <r>
    <x v="4"/>
  </r>
  <r>
    <x v="10"/>
  </r>
  <r>
    <x v="45"/>
  </r>
  <r>
    <x v="4"/>
  </r>
  <r>
    <x v="4"/>
  </r>
  <r>
    <x v="34"/>
  </r>
  <r>
    <x v="4"/>
  </r>
  <r>
    <x v="4"/>
  </r>
  <r>
    <x v="4"/>
  </r>
  <r>
    <x v="10"/>
  </r>
  <r>
    <x v="32"/>
  </r>
  <r>
    <x v="87"/>
  </r>
  <r>
    <x v="77"/>
  </r>
  <r>
    <x v="77"/>
  </r>
  <r>
    <x v="12"/>
  </r>
  <r>
    <x v="12"/>
  </r>
  <r>
    <x v="2"/>
  </r>
  <r>
    <x v="10"/>
  </r>
  <r>
    <x v="45"/>
  </r>
  <r>
    <x v="26"/>
  </r>
  <r>
    <x v="26"/>
  </r>
  <r>
    <x v="2"/>
  </r>
  <r>
    <x v="2"/>
  </r>
  <r>
    <x v="36"/>
  </r>
  <r>
    <x v="36"/>
  </r>
  <r>
    <x v="12"/>
  </r>
  <r>
    <x v="12"/>
  </r>
  <r>
    <x v="25"/>
  </r>
  <r>
    <x v="86"/>
  </r>
  <r>
    <x v="86"/>
  </r>
  <r>
    <x v="86"/>
  </r>
  <r>
    <x v="123"/>
  </r>
  <r>
    <x v="2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0"/>
  </r>
  <r>
    <x v="41"/>
  </r>
  <r>
    <x v="51"/>
  </r>
  <r>
    <x v="33"/>
  </r>
  <r>
    <x v="7"/>
  </r>
  <r>
    <x v="12"/>
  </r>
  <r>
    <x v="123"/>
  </r>
  <r>
    <x v="14"/>
  </r>
  <r>
    <x v="39"/>
  </r>
  <r>
    <x v="128"/>
  </r>
  <r>
    <x v="128"/>
  </r>
  <r>
    <x v="42"/>
  </r>
  <r>
    <x v="81"/>
  </r>
  <r>
    <x v="33"/>
  </r>
  <r>
    <x v="28"/>
  </r>
  <r>
    <x v="33"/>
  </r>
  <r>
    <x v="10"/>
  </r>
  <r>
    <x v="10"/>
  </r>
  <r>
    <x v="10"/>
  </r>
  <r>
    <x v="16"/>
  </r>
  <r>
    <x v="16"/>
  </r>
  <r>
    <x v="16"/>
  </r>
  <r>
    <x v="7"/>
  </r>
  <r>
    <x v="12"/>
  </r>
  <r>
    <x v="9"/>
  </r>
  <r>
    <x v="12"/>
  </r>
  <r>
    <x v="12"/>
  </r>
  <r>
    <x v="60"/>
  </r>
  <r>
    <x v="111"/>
  </r>
  <r>
    <x v="14"/>
  </r>
  <r>
    <x v="63"/>
  </r>
  <r>
    <x v="31"/>
  </r>
  <r>
    <x v="4"/>
  </r>
  <r>
    <x v="4"/>
  </r>
  <r>
    <x v="30"/>
  </r>
  <r>
    <x v="56"/>
  </r>
  <r>
    <x v="56"/>
  </r>
  <r>
    <x v="56"/>
  </r>
  <r>
    <x v="56"/>
  </r>
  <r>
    <x v="56"/>
  </r>
  <r>
    <x v="87"/>
  </r>
  <r>
    <x v="87"/>
  </r>
  <r>
    <x v="43"/>
  </r>
  <r>
    <x v="81"/>
  </r>
  <r>
    <x v="123"/>
  </r>
  <r>
    <x v="123"/>
  </r>
  <r>
    <x v="113"/>
  </r>
  <r>
    <x v="10"/>
  </r>
  <r>
    <x v="123"/>
  </r>
  <r>
    <x v="123"/>
  </r>
  <r>
    <x v="104"/>
  </r>
  <r>
    <x v="123"/>
  </r>
  <r>
    <x v="123"/>
  </r>
  <r>
    <x v="123"/>
  </r>
  <r>
    <x v="123"/>
  </r>
  <r>
    <x v="26"/>
  </r>
  <r>
    <x v="130"/>
  </r>
  <r>
    <x v="123"/>
  </r>
  <r>
    <x v="14"/>
  </r>
  <r>
    <x v="26"/>
  </r>
  <r>
    <x v="11"/>
  </r>
  <r>
    <x v="63"/>
  </r>
  <r>
    <x v="63"/>
  </r>
  <r>
    <x v="40"/>
  </r>
  <r>
    <x v="40"/>
  </r>
  <r>
    <x v="89"/>
  </r>
  <r>
    <x v="89"/>
  </r>
  <r>
    <x v="89"/>
  </r>
  <r>
    <x v="40"/>
  </r>
  <r>
    <x v="40"/>
  </r>
  <r>
    <x v="123"/>
  </r>
  <r>
    <x v="0"/>
  </r>
  <r>
    <x v="12"/>
  </r>
  <r>
    <x v="78"/>
  </r>
  <r>
    <x v="42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22"/>
  </r>
  <r>
    <x v="22"/>
  </r>
  <r>
    <x v="22"/>
  </r>
  <r>
    <x v="10"/>
  </r>
  <r>
    <x v="123"/>
  </r>
  <r>
    <x v="10"/>
  </r>
  <r>
    <x v="22"/>
  </r>
  <r>
    <x v="10"/>
  </r>
  <r>
    <x v="10"/>
  </r>
  <r>
    <x v="57"/>
  </r>
  <r>
    <x v="57"/>
  </r>
  <r>
    <x v="165"/>
  </r>
  <r>
    <x v="165"/>
  </r>
  <r>
    <x v="4"/>
  </r>
  <r>
    <x v="165"/>
  </r>
  <r>
    <x v="28"/>
  </r>
  <r>
    <x v="14"/>
  </r>
  <r>
    <x v="28"/>
  </r>
  <r>
    <x v="28"/>
  </r>
  <r>
    <x v="28"/>
  </r>
  <r>
    <x v="28"/>
  </r>
  <r>
    <x v="28"/>
  </r>
  <r>
    <x v="4"/>
  </r>
  <r>
    <x v="165"/>
  </r>
  <r>
    <x v="15"/>
  </r>
  <r>
    <x v="15"/>
  </r>
  <r>
    <x v="15"/>
  </r>
  <r>
    <x v="4"/>
  </r>
  <r>
    <x v="138"/>
  </r>
  <r>
    <x v="14"/>
  </r>
  <r>
    <x v="10"/>
  </r>
  <r>
    <x v="4"/>
  </r>
  <r>
    <x v="165"/>
  </r>
  <r>
    <x v="14"/>
  </r>
  <r>
    <x v="42"/>
  </r>
  <r>
    <x v="42"/>
  </r>
  <r>
    <x v="165"/>
  </r>
  <r>
    <x v="37"/>
  </r>
  <r>
    <x v="76"/>
  </r>
  <r>
    <x v="78"/>
  </r>
  <r>
    <x v="8"/>
  </r>
  <r>
    <x v="8"/>
  </r>
  <r>
    <x v="8"/>
  </r>
  <r>
    <x v="10"/>
  </r>
  <r>
    <x v="10"/>
  </r>
  <r>
    <x v="10"/>
  </r>
  <r>
    <x v="10"/>
  </r>
  <r>
    <x v="12"/>
  </r>
  <r>
    <x v="152"/>
  </r>
  <r>
    <x v="12"/>
  </r>
  <r>
    <x v="10"/>
  </r>
  <r>
    <x v="10"/>
  </r>
  <r>
    <x v="10"/>
  </r>
  <r>
    <x v="10"/>
  </r>
  <r>
    <x v="12"/>
  </r>
  <r>
    <x v="4"/>
  </r>
  <r>
    <x v="10"/>
  </r>
  <r>
    <x v="4"/>
  </r>
  <r>
    <x v="4"/>
  </r>
  <r>
    <x v="4"/>
  </r>
  <r>
    <x v="4"/>
  </r>
  <r>
    <x v="12"/>
  </r>
  <r>
    <x v="12"/>
  </r>
  <r>
    <x v="52"/>
  </r>
  <r>
    <x v="15"/>
  </r>
  <r>
    <x v="15"/>
  </r>
  <r>
    <x v="4"/>
  </r>
  <r>
    <x v="10"/>
  </r>
  <r>
    <x v="10"/>
  </r>
  <r>
    <x v="48"/>
  </r>
  <r>
    <x v="4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0"/>
  </r>
  <r>
    <x v="142"/>
  </r>
  <r>
    <x v="142"/>
  </r>
  <r>
    <x v="142"/>
  </r>
  <r>
    <x v="24"/>
  </r>
  <r>
    <x v="24"/>
  </r>
  <r>
    <x v="4"/>
  </r>
  <r>
    <x v="4"/>
  </r>
  <r>
    <x v="52"/>
  </r>
  <r>
    <x v="4"/>
  </r>
  <r>
    <x v="4"/>
  </r>
  <r>
    <x v="4"/>
  </r>
  <r>
    <x v="10"/>
  </r>
  <r>
    <x v="10"/>
  </r>
  <r>
    <x v="10"/>
  </r>
  <r>
    <x v="10"/>
  </r>
  <r>
    <x v="33"/>
  </r>
  <r>
    <x v="123"/>
  </r>
  <r>
    <x v="70"/>
  </r>
  <r>
    <x v="108"/>
  </r>
  <r>
    <x v="108"/>
  </r>
  <r>
    <x v="108"/>
  </r>
  <r>
    <x v="76"/>
  </r>
  <r>
    <x v="76"/>
  </r>
  <r>
    <x v="108"/>
  </r>
  <r>
    <x v="108"/>
  </r>
  <r>
    <x v="108"/>
  </r>
  <r>
    <x v="108"/>
  </r>
  <r>
    <x v="108"/>
  </r>
  <r>
    <x v="108"/>
  </r>
  <r>
    <x v="108"/>
  </r>
  <r>
    <x v="108"/>
  </r>
  <r>
    <x v="108"/>
  </r>
  <r>
    <x v="22"/>
  </r>
  <r>
    <x v="91"/>
  </r>
  <r>
    <x v="171"/>
  </r>
  <r>
    <x v="166"/>
  </r>
  <r>
    <x v="111"/>
  </r>
  <r>
    <x v="14"/>
  </r>
  <r>
    <x v="64"/>
  </r>
  <r>
    <x v="14"/>
  </r>
  <r>
    <x v="14"/>
  </r>
  <r>
    <x v="14"/>
  </r>
  <r>
    <x v="24"/>
  </r>
  <r>
    <x v="17"/>
  </r>
  <r>
    <x v="2"/>
  </r>
  <r>
    <x v="57"/>
  </r>
  <r>
    <x v="17"/>
  </r>
  <r>
    <x v="17"/>
  </r>
  <r>
    <x v="17"/>
  </r>
  <r>
    <x v="10"/>
  </r>
  <r>
    <x v="14"/>
  </r>
  <r>
    <x v="17"/>
  </r>
  <r>
    <x v="16"/>
  </r>
  <r>
    <x v="28"/>
  </r>
  <r>
    <x v="28"/>
  </r>
  <r>
    <x v="28"/>
  </r>
  <r>
    <x v="28"/>
  </r>
  <r>
    <x v="28"/>
  </r>
  <r>
    <x v="10"/>
  </r>
  <r>
    <x v="10"/>
  </r>
  <r>
    <x v="7"/>
  </r>
  <r>
    <x v="175"/>
  </r>
  <r>
    <x v="10"/>
  </r>
  <r>
    <x v="175"/>
  </r>
  <r>
    <x v="2"/>
  </r>
  <r>
    <x v="17"/>
  </r>
  <r>
    <x v="14"/>
  </r>
  <r>
    <x v="12"/>
  </r>
  <r>
    <x v="175"/>
  </r>
  <r>
    <x v="33"/>
  </r>
  <r>
    <x v="175"/>
  </r>
  <r>
    <x v="33"/>
  </r>
  <r>
    <x v="33"/>
  </r>
  <r>
    <x v="14"/>
  </r>
  <r>
    <x v="102"/>
  </r>
  <r>
    <x v="10"/>
  </r>
  <r>
    <x v="78"/>
  </r>
  <r>
    <x v="10"/>
  </r>
  <r>
    <x v="10"/>
  </r>
  <r>
    <x v="10"/>
  </r>
  <r>
    <x v="16"/>
  </r>
  <r>
    <x v="10"/>
  </r>
  <r>
    <x v="10"/>
  </r>
  <r>
    <x v="10"/>
  </r>
  <r>
    <x v="42"/>
  </r>
  <r>
    <x v="42"/>
  </r>
  <r>
    <x v="42"/>
  </r>
  <r>
    <x v="42"/>
  </r>
  <r>
    <x v="42"/>
  </r>
  <r>
    <x v="42"/>
  </r>
  <r>
    <x v="10"/>
  </r>
  <r>
    <x v="10"/>
  </r>
  <r>
    <x v="10"/>
  </r>
  <r>
    <x v="10"/>
  </r>
  <r>
    <x v="10"/>
  </r>
  <r>
    <x v="10"/>
  </r>
  <r>
    <x v="10"/>
  </r>
  <r>
    <x v="163"/>
  </r>
  <r>
    <x v="42"/>
  </r>
  <r>
    <x v="10"/>
  </r>
  <r>
    <x v="115"/>
  </r>
  <r>
    <x v="10"/>
  </r>
  <r>
    <x v="115"/>
  </r>
  <r>
    <x v="115"/>
  </r>
  <r>
    <x v="16"/>
  </r>
  <r>
    <x v="7"/>
  </r>
  <r>
    <x v="7"/>
  </r>
  <r>
    <x v="4"/>
  </r>
  <r>
    <x v="4"/>
  </r>
  <r>
    <x v="4"/>
  </r>
  <r>
    <x v="4"/>
  </r>
  <r>
    <x v="11"/>
  </r>
  <r>
    <x v="4"/>
  </r>
  <r>
    <x v="165"/>
  </r>
  <r>
    <x v="4"/>
  </r>
  <r>
    <x v="4"/>
  </r>
  <r>
    <x v="4"/>
  </r>
  <r>
    <x v="6"/>
  </r>
  <r>
    <x v="19"/>
  </r>
  <r>
    <x v="10"/>
  </r>
  <r>
    <x v="4"/>
  </r>
  <r>
    <x v="45"/>
  </r>
  <r>
    <x v="0"/>
  </r>
  <r>
    <x v="55"/>
  </r>
  <r>
    <x v="64"/>
  </r>
  <r>
    <x v="25"/>
  </r>
  <r>
    <x v="45"/>
  </r>
  <r>
    <x v="45"/>
  </r>
  <r>
    <x v="45"/>
  </r>
  <r>
    <x v="45"/>
  </r>
  <r>
    <x v="114"/>
  </r>
  <r>
    <x v="114"/>
  </r>
  <r>
    <x v="114"/>
  </r>
  <r>
    <x v="114"/>
  </r>
  <r>
    <x v="1"/>
  </r>
  <r>
    <x v="81"/>
  </r>
  <r>
    <x v="122"/>
  </r>
  <r>
    <x v="0"/>
  </r>
  <r>
    <x v="10"/>
  </r>
  <r>
    <x v="10"/>
  </r>
  <r>
    <x v="4"/>
  </r>
  <r>
    <x v="12"/>
  </r>
  <r>
    <x v="12"/>
  </r>
  <r>
    <x v="4"/>
  </r>
  <r>
    <x v="63"/>
  </r>
  <r>
    <x v="22"/>
  </r>
  <r>
    <x v="22"/>
  </r>
  <r>
    <x v="78"/>
  </r>
  <r>
    <x v="22"/>
  </r>
  <r>
    <x v="22"/>
  </r>
  <r>
    <x v="63"/>
  </r>
  <r>
    <x v="63"/>
  </r>
  <r>
    <x v="63"/>
  </r>
  <r>
    <x v="0"/>
  </r>
  <r>
    <x v="2"/>
  </r>
  <r>
    <x v="87"/>
  </r>
  <r>
    <x v="0"/>
  </r>
  <r>
    <x v="0"/>
  </r>
  <r>
    <x v="2"/>
  </r>
  <r>
    <x v="10"/>
  </r>
  <r>
    <x v="42"/>
  </r>
  <r>
    <x v="42"/>
  </r>
  <r>
    <x v="10"/>
  </r>
  <r>
    <x v="10"/>
  </r>
  <r>
    <x v="10"/>
  </r>
  <r>
    <x v="10"/>
  </r>
  <r>
    <x v="4"/>
  </r>
  <r>
    <x v="46"/>
  </r>
  <r>
    <x v="37"/>
  </r>
  <r>
    <x v="16"/>
  </r>
  <r>
    <x v="10"/>
  </r>
  <r>
    <x v="2"/>
  </r>
  <r>
    <x v="25"/>
  </r>
  <r>
    <x v="6"/>
  </r>
  <r>
    <x v="28"/>
  </r>
  <r>
    <x v="17"/>
  </r>
  <r>
    <x v="56"/>
  </r>
  <r>
    <x v="56"/>
  </r>
  <r>
    <x v="4"/>
  </r>
  <r>
    <x v="190"/>
  </r>
  <r>
    <x v="56"/>
  </r>
  <r>
    <x v="81"/>
  </r>
  <r>
    <x v="10"/>
  </r>
  <r>
    <x v="10"/>
  </r>
  <r>
    <x v="12"/>
  </r>
  <r>
    <x v="0"/>
  </r>
  <r>
    <x v="50"/>
  </r>
  <r>
    <x v="77"/>
  </r>
  <r>
    <x v="86"/>
  </r>
  <r>
    <x v="56"/>
  </r>
  <r>
    <x v="273"/>
  </r>
  <r>
    <x v="56"/>
  </r>
  <r>
    <x v="123"/>
  </r>
  <r>
    <x v="4"/>
  </r>
  <r>
    <x v="4"/>
  </r>
  <r>
    <x v="14"/>
  </r>
  <r>
    <x v="175"/>
  </r>
  <r>
    <x v="12"/>
  </r>
  <r>
    <x v="12"/>
  </r>
  <r>
    <x v="12"/>
  </r>
  <r>
    <x v="12"/>
  </r>
  <r>
    <x v="12"/>
  </r>
  <r>
    <x v="30"/>
  </r>
  <r>
    <x v="100"/>
  </r>
  <r>
    <x v="100"/>
  </r>
  <r>
    <x v="12"/>
  </r>
  <r>
    <x v="12"/>
  </r>
  <r>
    <x v="12"/>
  </r>
  <r>
    <x v="12"/>
  </r>
  <r>
    <x v="138"/>
  </r>
  <r>
    <x v="0"/>
  </r>
  <r>
    <x v="77"/>
  </r>
  <r>
    <x v="0"/>
  </r>
  <r>
    <x v="0"/>
  </r>
  <r>
    <x v="42"/>
  </r>
  <r>
    <x v="0"/>
  </r>
  <r>
    <x v="0"/>
  </r>
  <r>
    <x v="0"/>
  </r>
  <r>
    <x v="4"/>
  </r>
  <r>
    <x v="10"/>
  </r>
  <r>
    <x v="10"/>
  </r>
  <r>
    <x v="10"/>
  </r>
  <r>
    <x v="10"/>
  </r>
  <r>
    <x v="10"/>
  </r>
  <r>
    <x v="10"/>
  </r>
  <r>
    <x v="267"/>
  </r>
  <r>
    <x v="175"/>
  </r>
  <r>
    <x v="10"/>
  </r>
  <r>
    <x v="267"/>
  </r>
  <r>
    <x v="267"/>
  </r>
  <r>
    <x v="10"/>
  </r>
  <r>
    <x v="4"/>
  </r>
  <r>
    <x v="10"/>
  </r>
  <r>
    <x v="42"/>
  </r>
  <r>
    <x v="28"/>
  </r>
  <r>
    <x v="28"/>
  </r>
  <r>
    <x v="16"/>
  </r>
  <r>
    <x v="28"/>
  </r>
  <r>
    <x v="28"/>
  </r>
  <r>
    <x v="42"/>
  </r>
  <r>
    <x v="42"/>
  </r>
  <r>
    <x v="143"/>
  </r>
  <r>
    <x v="71"/>
  </r>
  <r>
    <x v="42"/>
  </r>
  <r>
    <x v="42"/>
  </r>
  <r>
    <x v="14"/>
  </r>
  <r>
    <x v="4"/>
  </r>
  <r>
    <x v="4"/>
  </r>
  <r>
    <x v="4"/>
  </r>
  <r>
    <x v="10"/>
  </r>
  <r>
    <x v="10"/>
  </r>
  <r>
    <x v="10"/>
  </r>
  <r>
    <x v="12"/>
  </r>
  <r>
    <x v="87"/>
  </r>
  <r>
    <x v="87"/>
  </r>
  <r>
    <x v="40"/>
  </r>
  <r>
    <x v="10"/>
  </r>
  <r>
    <x v="12"/>
  </r>
  <r>
    <x v="87"/>
  </r>
  <r>
    <x v="10"/>
  </r>
  <r>
    <x v="26"/>
  </r>
  <r>
    <x v="12"/>
  </r>
  <r>
    <x v="10"/>
  </r>
  <r>
    <x v="56"/>
  </r>
  <r>
    <x v="12"/>
  </r>
  <r>
    <x v="72"/>
  </r>
  <r>
    <x v="4"/>
  </r>
  <r>
    <x v="112"/>
  </r>
  <r>
    <x v="10"/>
  </r>
  <r>
    <x v="146"/>
  </r>
  <r>
    <x v="123"/>
  </r>
  <r>
    <x v="123"/>
  </r>
  <r>
    <x v="10"/>
  </r>
  <r>
    <x v="188"/>
  </r>
  <r>
    <x v="163"/>
  </r>
  <r>
    <x v="7"/>
  </r>
  <r>
    <x v="42"/>
  </r>
  <r>
    <x v="0"/>
  </r>
  <r>
    <x v="10"/>
  </r>
  <r>
    <x v="10"/>
  </r>
  <r>
    <x v="10"/>
  </r>
  <r>
    <x v="24"/>
  </r>
  <r>
    <x v="4"/>
  </r>
  <r>
    <x v="21"/>
  </r>
  <r>
    <x v="6"/>
  </r>
  <r>
    <x v="108"/>
  </r>
  <r>
    <x v="6"/>
  </r>
  <r>
    <x v="16"/>
  </r>
  <r>
    <x v="16"/>
  </r>
  <r>
    <x v="52"/>
  </r>
  <r>
    <x v="72"/>
  </r>
  <r>
    <x v="72"/>
  </r>
  <r>
    <x v="52"/>
  </r>
  <r>
    <x v="111"/>
  </r>
  <r>
    <x v="6"/>
  </r>
  <r>
    <x v="28"/>
  </r>
  <r>
    <x v="28"/>
  </r>
  <r>
    <x v="78"/>
  </r>
  <r>
    <x v="0"/>
  </r>
  <r>
    <x v="0"/>
  </r>
  <r>
    <x v="36"/>
  </r>
  <r>
    <x v="24"/>
  </r>
  <r>
    <x v="24"/>
  </r>
  <r>
    <x v="89"/>
  </r>
  <r>
    <x v="0"/>
  </r>
  <r>
    <x v="166"/>
  </r>
  <r>
    <x v="7"/>
  </r>
  <r>
    <x v="16"/>
  </r>
  <r>
    <x v="26"/>
  </r>
  <r>
    <x v="16"/>
  </r>
  <r>
    <x v="4"/>
  </r>
  <r>
    <x v="12"/>
  </r>
  <r>
    <x v="12"/>
  </r>
  <r>
    <x v="138"/>
  </r>
  <r>
    <x v="146"/>
  </r>
  <r>
    <x v="138"/>
  </r>
  <r>
    <x v="138"/>
  </r>
  <r>
    <x v="138"/>
  </r>
  <r>
    <x v="50"/>
  </r>
  <r>
    <x v="240"/>
  </r>
  <r>
    <x v="4"/>
  </r>
  <r>
    <x v="87"/>
  </r>
  <r>
    <x v="29"/>
  </r>
  <r>
    <x v="29"/>
  </r>
  <r>
    <x v="29"/>
  </r>
  <r>
    <x v="29"/>
  </r>
  <r>
    <x v="89"/>
  </r>
  <r>
    <x v="89"/>
  </r>
  <r>
    <x v="56"/>
  </r>
  <r>
    <x v="22"/>
  </r>
  <r>
    <x v="12"/>
  </r>
  <r>
    <x v="12"/>
  </r>
  <r>
    <x v="12"/>
  </r>
  <r>
    <x v="12"/>
  </r>
  <r>
    <x v="12"/>
  </r>
  <r>
    <x v="12"/>
  </r>
  <r>
    <x v="12"/>
  </r>
  <r>
    <x v="56"/>
  </r>
  <r>
    <x v="4"/>
  </r>
  <r>
    <x v="59"/>
  </r>
  <r>
    <x v="57"/>
  </r>
  <r>
    <x v="77"/>
  </r>
  <r>
    <x v="12"/>
  </r>
  <r>
    <x v="12"/>
  </r>
  <r>
    <x v="12"/>
  </r>
  <r>
    <x v="12"/>
  </r>
  <r>
    <x v="12"/>
  </r>
  <r>
    <x v="12"/>
  </r>
  <r>
    <x v="12"/>
  </r>
  <r>
    <x v="12"/>
  </r>
  <r>
    <x v="52"/>
  </r>
  <r>
    <x v="9"/>
  </r>
  <r>
    <x v="4"/>
  </r>
  <r>
    <x v="17"/>
  </r>
  <r>
    <x v="24"/>
  </r>
  <r>
    <x v="40"/>
  </r>
  <r>
    <x v="40"/>
  </r>
  <r>
    <x v="34"/>
  </r>
  <r>
    <x v="79"/>
  </r>
  <r>
    <x v="24"/>
  </r>
  <r>
    <x v="24"/>
  </r>
  <r>
    <x v="12"/>
  </r>
  <r>
    <x v="24"/>
  </r>
  <r>
    <x v="24"/>
  </r>
  <r>
    <x v="12"/>
  </r>
  <r>
    <x v="14"/>
  </r>
  <r>
    <x v="28"/>
  </r>
  <r>
    <x v="12"/>
  </r>
  <r>
    <x v="42"/>
  </r>
  <r>
    <x v="57"/>
  </r>
  <r>
    <x v="57"/>
  </r>
  <r>
    <x v="7"/>
  </r>
  <r>
    <x v="7"/>
  </r>
  <r>
    <x v="87"/>
  </r>
  <r>
    <x v="77"/>
  </r>
  <r>
    <x v="77"/>
  </r>
  <r>
    <x v="87"/>
  </r>
  <r>
    <x v="10"/>
  </r>
  <r>
    <x v="10"/>
  </r>
  <r>
    <x v="9"/>
  </r>
  <r>
    <x v="72"/>
  </r>
  <r>
    <x v="72"/>
  </r>
  <r>
    <x v="12"/>
  </r>
  <r>
    <x v="10"/>
  </r>
  <r>
    <x v="12"/>
  </r>
  <r>
    <x v="26"/>
  </r>
  <r>
    <x v="0"/>
  </r>
  <r>
    <x v="0"/>
  </r>
  <r>
    <x v="10"/>
  </r>
  <r>
    <x v="14"/>
  </r>
  <r>
    <x v="87"/>
  </r>
  <r>
    <x v="87"/>
  </r>
  <r>
    <x v="87"/>
  </r>
  <r>
    <x v="87"/>
  </r>
  <r>
    <x v="138"/>
  </r>
  <r>
    <x v="138"/>
  </r>
  <r>
    <x v="138"/>
  </r>
  <r>
    <x v="36"/>
  </r>
  <r>
    <x v="138"/>
  </r>
  <r>
    <x v="138"/>
  </r>
  <r>
    <x v="138"/>
  </r>
  <r>
    <x v="4"/>
  </r>
  <r>
    <x v="87"/>
  </r>
  <r>
    <x v="138"/>
  </r>
  <r>
    <x v="14"/>
  </r>
  <r>
    <x v="42"/>
  </r>
  <r>
    <x v="0"/>
  </r>
  <r>
    <x v="0"/>
  </r>
  <r>
    <x v="10"/>
  </r>
  <r>
    <x v="9"/>
  </r>
  <r>
    <x v="4"/>
  </r>
  <r>
    <x v="14"/>
  </r>
  <r>
    <x v="10"/>
  </r>
  <r>
    <x v="138"/>
  </r>
  <r>
    <x v="138"/>
  </r>
  <r>
    <x v="138"/>
  </r>
  <r>
    <x v="7"/>
  </r>
  <r>
    <x v="138"/>
  </r>
  <r>
    <x v="138"/>
  </r>
  <r>
    <x v="138"/>
  </r>
  <r>
    <x v="138"/>
  </r>
  <r>
    <x v="10"/>
  </r>
  <r>
    <x v="19"/>
  </r>
  <r>
    <x v="138"/>
  </r>
  <r>
    <x v="138"/>
  </r>
  <r>
    <x v="10"/>
  </r>
  <r>
    <x v="138"/>
  </r>
  <r>
    <x v="87"/>
  </r>
  <r>
    <x v="87"/>
  </r>
  <r>
    <x v="87"/>
  </r>
  <r>
    <x v="0"/>
  </r>
  <r>
    <x v="87"/>
  </r>
  <r>
    <x v="0"/>
  </r>
  <r>
    <x v="0"/>
  </r>
  <r>
    <x v="42"/>
  </r>
  <r>
    <x v="42"/>
  </r>
  <r>
    <x v="42"/>
  </r>
  <r>
    <x v="42"/>
  </r>
  <r>
    <x v="42"/>
  </r>
  <r>
    <x v="42"/>
  </r>
  <r>
    <x v="42"/>
  </r>
  <r>
    <x v="123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77"/>
  </r>
  <r>
    <x v="10"/>
  </r>
  <r>
    <x v="7"/>
  </r>
  <r>
    <x v="4"/>
  </r>
  <r>
    <x v="25"/>
  </r>
  <r>
    <x v="10"/>
  </r>
  <r>
    <x v="4"/>
  </r>
  <r>
    <x v="53"/>
  </r>
  <r>
    <x v="45"/>
  </r>
  <r>
    <x v="45"/>
  </r>
  <r>
    <x v="17"/>
  </r>
  <r>
    <x v="17"/>
  </r>
  <r>
    <x v="138"/>
  </r>
  <r>
    <x v="165"/>
  </r>
  <r>
    <x v="12"/>
  </r>
  <r>
    <x v="129"/>
  </r>
  <r>
    <x v="16"/>
  </r>
  <r>
    <x v="16"/>
  </r>
  <r>
    <x v="16"/>
  </r>
  <r>
    <x v="123"/>
  </r>
  <r>
    <x v="123"/>
  </r>
  <r>
    <x v="123"/>
  </r>
  <r>
    <x v="56"/>
  </r>
  <r>
    <x v="123"/>
  </r>
  <r>
    <x v="123"/>
  </r>
  <r>
    <x v="123"/>
  </r>
  <r>
    <x v="123"/>
  </r>
  <r>
    <x v="77"/>
  </r>
  <r>
    <x v="77"/>
  </r>
  <r>
    <x v="42"/>
  </r>
  <r>
    <x v="42"/>
  </r>
  <r>
    <x v="77"/>
  </r>
  <r>
    <x v="4"/>
  </r>
  <r>
    <x v="240"/>
  </r>
  <r>
    <x v="10"/>
  </r>
  <r>
    <x v="10"/>
  </r>
  <r>
    <x v="152"/>
  </r>
  <r>
    <x v="10"/>
  </r>
  <r>
    <x v="114"/>
  </r>
  <r>
    <x v="42"/>
  </r>
  <r>
    <x v="42"/>
  </r>
  <r>
    <x v="42"/>
  </r>
  <r>
    <x v="100"/>
  </r>
  <r>
    <x v="42"/>
  </r>
  <r>
    <x v="218"/>
  </r>
  <r>
    <x v="42"/>
  </r>
  <r>
    <x v="42"/>
  </r>
  <r>
    <x v="42"/>
  </r>
  <r>
    <x v="42"/>
  </r>
  <r>
    <x v="42"/>
  </r>
  <r>
    <x v="77"/>
  </r>
  <r>
    <x v="77"/>
  </r>
  <r>
    <x v="77"/>
  </r>
  <r>
    <x v="10"/>
  </r>
  <r>
    <x v="9"/>
  </r>
  <r>
    <x v="71"/>
  </r>
  <r>
    <x v="71"/>
  </r>
  <r>
    <x v="71"/>
  </r>
  <r>
    <x v="249"/>
  </r>
  <r>
    <x v="0"/>
  </r>
  <r>
    <x v="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38"/>
  </r>
  <r>
    <x v="56"/>
  </r>
  <r>
    <x v="56"/>
  </r>
  <r>
    <x v="123"/>
  </r>
  <r>
    <x v="123"/>
  </r>
  <r>
    <x v="123"/>
  </r>
  <r>
    <x v="7"/>
  </r>
  <r>
    <x v="0"/>
  </r>
  <r>
    <x v="12"/>
  </r>
  <r>
    <x v="51"/>
  </r>
  <r>
    <x v="12"/>
  </r>
  <r>
    <x v="12"/>
  </r>
  <r>
    <x v="12"/>
  </r>
  <r>
    <x v="12"/>
  </r>
  <r>
    <x v="28"/>
  </r>
  <r>
    <x v="12"/>
  </r>
  <r>
    <x v="12"/>
  </r>
  <r>
    <x v="7"/>
  </r>
  <r>
    <x v="6"/>
  </r>
  <r>
    <x v="123"/>
  </r>
  <r>
    <x v="123"/>
  </r>
  <r>
    <x v="123"/>
  </r>
  <r>
    <x v="123"/>
  </r>
  <r>
    <x v="123"/>
  </r>
  <r>
    <x v="123"/>
  </r>
  <r>
    <x v="123"/>
  </r>
  <r>
    <x v="76"/>
  </r>
  <r>
    <x v="123"/>
  </r>
  <r>
    <x v="123"/>
  </r>
  <r>
    <x v="123"/>
  </r>
  <r>
    <x v="123"/>
  </r>
  <r>
    <x v="12"/>
  </r>
  <r>
    <x v="12"/>
  </r>
  <r>
    <x v="12"/>
  </r>
  <r>
    <x v="12"/>
  </r>
  <r>
    <x v="12"/>
  </r>
  <r>
    <x v="22"/>
  </r>
  <r>
    <x v="17"/>
  </r>
  <r>
    <x v="12"/>
  </r>
  <r>
    <x v="10"/>
  </r>
  <r>
    <x v="10"/>
  </r>
  <r>
    <x v="52"/>
  </r>
  <r>
    <x v="12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21"/>
  </r>
  <r>
    <x v="4"/>
  </r>
  <r>
    <x v="78"/>
  </r>
  <r>
    <x v="31"/>
  </r>
  <r>
    <x v="15"/>
  </r>
  <r>
    <x v="15"/>
  </r>
  <r>
    <x v="15"/>
  </r>
  <r>
    <x v="10"/>
  </r>
  <r>
    <x v="10"/>
  </r>
  <r>
    <x v="126"/>
  </r>
  <r>
    <x v="4"/>
  </r>
  <r>
    <x v="4"/>
  </r>
  <r>
    <x v="4"/>
  </r>
  <r>
    <x v="4"/>
  </r>
  <r>
    <x v="4"/>
  </r>
  <r>
    <x v="4"/>
  </r>
  <r>
    <x v="53"/>
  </r>
  <r>
    <x v="4"/>
  </r>
  <r>
    <x v="7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45"/>
  </r>
  <r>
    <x v="45"/>
  </r>
  <r>
    <x v="10"/>
  </r>
  <r>
    <x v="3"/>
  </r>
  <r>
    <x v="10"/>
  </r>
  <r>
    <x v="34"/>
  </r>
  <r>
    <x v="7"/>
  </r>
  <r>
    <x v="42"/>
  </r>
  <r>
    <x v="152"/>
  </r>
  <r>
    <x v="126"/>
  </r>
  <r>
    <x v="12"/>
  </r>
  <r>
    <x v="17"/>
  </r>
  <r>
    <x v="0"/>
  </r>
  <r>
    <x v="28"/>
  </r>
  <r>
    <x v="28"/>
  </r>
  <r>
    <x v="28"/>
  </r>
  <r>
    <x v="7"/>
  </r>
  <r>
    <x v="28"/>
  </r>
  <r>
    <x v="28"/>
  </r>
  <r>
    <x v="28"/>
  </r>
  <r>
    <x v="2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81"/>
  </r>
  <r>
    <x v="14"/>
  </r>
  <r>
    <x v="14"/>
  </r>
  <r>
    <x v="14"/>
  </r>
  <r>
    <x v="14"/>
  </r>
  <r>
    <x v="48"/>
  </r>
  <r>
    <x v="108"/>
  </r>
  <r>
    <x v="14"/>
  </r>
  <r>
    <x v="28"/>
  </r>
  <r>
    <x v="80"/>
  </r>
  <r>
    <x v="80"/>
  </r>
  <r>
    <x v="162"/>
  </r>
  <r>
    <x v="28"/>
  </r>
  <r>
    <x v="80"/>
  </r>
  <r>
    <x v="80"/>
  </r>
  <r>
    <x v="50"/>
  </r>
  <r>
    <x v="12"/>
  </r>
  <r>
    <x v="12"/>
  </r>
  <r>
    <x v="4"/>
  </r>
  <r>
    <x v="14"/>
  </r>
  <r>
    <x v="0"/>
  </r>
  <r>
    <x v="4"/>
  </r>
  <r>
    <x v="37"/>
  </r>
  <r>
    <x v="29"/>
  </r>
  <r>
    <x v="4"/>
  </r>
  <r>
    <x v="4"/>
  </r>
  <r>
    <x v="16"/>
  </r>
  <r>
    <x v="15"/>
  </r>
  <r>
    <x v="15"/>
  </r>
  <r>
    <x v="15"/>
  </r>
  <r>
    <x v="53"/>
  </r>
  <r>
    <x v="12"/>
  </r>
  <r>
    <x v="287"/>
  </r>
  <r>
    <x v="287"/>
  </r>
  <r>
    <x v="12"/>
  </r>
  <r>
    <x v="10"/>
  </r>
  <r>
    <x v="31"/>
  </r>
  <r>
    <x v="10"/>
  </r>
  <r>
    <x v="12"/>
  </r>
  <r>
    <x v="4"/>
  </r>
  <r>
    <x v="36"/>
  </r>
  <r>
    <x v="10"/>
  </r>
  <r>
    <x v="10"/>
  </r>
  <r>
    <x v="63"/>
  </r>
  <r>
    <x v="10"/>
  </r>
  <r>
    <x v="1"/>
  </r>
  <r>
    <x v="24"/>
  </r>
  <r>
    <x v="78"/>
  </r>
  <r>
    <x v="123"/>
  </r>
  <r>
    <x v="78"/>
  </r>
  <r>
    <x v="78"/>
  </r>
  <r>
    <x v="46"/>
  </r>
  <r>
    <x v="46"/>
  </r>
  <r>
    <x v="45"/>
  </r>
  <r>
    <x v="78"/>
  </r>
  <r>
    <x v="78"/>
  </r>
  <r>
    <x v="10"/>
  </r>
  <r>
    <x v="52"/>
  </r>
  <r>
    <x v="2"/>
  </r>
  <r>
    <x v="36"/>
  </r>
  <r>
    <x v="26"/>
  </r>
  <r>
    <x v="0"/>
  </r>
  <r>
    <x v="14"/>
  </r>
  <r>
    <x v="112"/>
  </r>
  <r>
    <x v="112"/>
  </r>
  <r>
    <x v="52"/>
  </r>
  <r>
    <x v="51"/>
  </r>
  <r>
    <x v="146"/>
  </r>
  <r>
    <x v="77"/>
  </r>
  <r>
    <x v="14"/>
  </r>
  <r>
    <x v="6"/>
  </r>
  <r>
    <x v="28"/>
  </r>
  <r>
    <x v="0"/>
  </r>
  <r>
    <x v="12"/>
  </r>
  <r>
    <x v="86"/>
  </r>
  <r>
    <x v="7"/>
  </r>
  <r>
    <x v="4"/>
  </r>
  <r>
    <x v="4"/>
  </r>
  <r>
    <x v="24"/>
  </r>
  <r>
    <x v="12"/>
  </r>
  <r>
    <x v="12"/>
  </r>
  <r>
    <x v="42"/>
  </r>
  <r>
    <x v="42"/>
  </r>
  <r>
    <x v="42"/>
  </r>
  <r>
    <x v="87"/>
  </r>
  <r>
    <x v="9"/>
  </r>
  <r>
    <x v="76"/>
  </r>
  <r>
    <x v="42"/>
  </r>
  <r>
    <x v="42"/>
  </r>
  <r>
    <x v="42"/>
  </r>
  <r>
    <x v="42"/>
  </r>
  <r>
    <x v="42"/>
  </r>
  <r>
    <x v="42"/>
  </r>
  <r>
    <x v="42"/>
  </r>
  <r>
    <x v="42"/>
  </r>
  <r>
    <x v="36"/>
  </r>
  <r>
    <x v="42"/>
  </r>
  <r>
    <x v="42"/>
  </r>
  <r>
    <x v="42"/>
  </r>
  <r>
    <x v="42"/>
  </r>
  <r>
    <x v="42"/>
  </r>
  <r>
    <x v="42"/>
  </r>
  <r>
    <x v="123"/>
  </r>
  <r>
    <x v="42"/>
  </r>
  <r>
    <x v="42"/>
  </r>
  <r>
    <x v="14"/>
  </r>
  <r>
    <x v="85"/>
  </r>
  <r>
    <x v="45"/>
  </r>
  <r>
    <x v="45"/>
  </r>
  <r>
    <x v="85"/>
  </r>
  <r>
    <x v="85"/>
  </r>
  <r>
    <x v="45"/>
  </r>
  <r>
    <x v="55"/>
  </r>
  <r>
    <x v="0"/>
  </r>
  <r>
    <x v="0"/>
  </r>
  <r>
    <x v="55"/>
  </r>
  <r>
    <x v="36"/>
  </r>
  <r>
    <x v="10"/>
  </r>
  <r>
    <x v="36"/>
  </r>
  <r>
    <x v="45"/>
  </r>
  <r>
    <x v="10"/>
  </r>
  <r>
    <x v="10"/>
  </r>
  <r>
    <x v="28"/>
  </r>
  <r>
    <x v="130"/>
  </r>
  <r>
    <x v="85"/>
  </r>
  <r>
    <x v="12"/>
  </r>
  <r>
    <x v="17"/>
  </r>
  <r>
    <x v="12"/>
  </r>
  <r>
    <x v="12"/>
  </r>
  <r>
    <x v="8"/>
  </r>
  <r>
    <x v="8"/>
  </r>
  <r>
    <x v="8"/>
  </r>
  <r>
    <x v="76"/>
  </r>
  <r>
    <x v="41"/>
  </r>
  <r>
    <x v="14"/>
  </r>
  <r>
    <x v="64"/>
  </r>
  <r>
    <x v="32"/>
  </r>
  <r>
    <x v="32"/>
  </r>
  <r>
    <x v="7"/>
  </r>
  <r>
    <x v="45"/>
  </r>
  <r>
    <x v="6"/>
  </r>
  <r>
    <x v="45"/>
  </r>
  <r>
    <x v="33"/>
  </r>
  <r>
    <x v="10"/>
  </r>
  <r>
    <x v="77"/>
  </r>
  <r>
    <x v="69"/>
  </r>
  <r>
    <x v="21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34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81"/>
  </r>
  <r>
    <x v="6"/>
  </r>
  <r>
    <x v="188"/>
  </r>
  <r>
    <x v="4"/>
  </r>
  <r>
    <x v="4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91"/>
  </r>
  <r>
    <x v="10"/>
  </r>
  <r>
    <x v="183"/>
  </r>
  <r>
    <x v="77"/>
  </r>
  <r>
    <x v="115"/>
  </r>
  <r>
    <x v="115"/>
  </r>
  <r>
    <x v="0"/>
  </r>
  <r>
    <x v="8"/>
  </r>
  <r>
    <x v="16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8"/>
  </r>
  <r>
    <x v="8"/>
  </r>
  <r>
    <x v="8"/>
  </r>
  <r>
    <x v="28"/>
  </r>
  <r>
    <x v="91"/>
  </r>
  <r>
    <x v="112"/>
  </r>
  <r>
    <x v="10"/>
  </r>
  <r>
    <x v="36"/>
  </r>
  <r>
    <x v="36"/>
  </r>
  <r>
    <x v="12"/>
  </r>
  <r>
    <x v="0"/>
  </r>
  <r>
    <x v="12"/>
  </r>
  <r>
    <x v="12"/>
  </r>
  <r>
    <x v="12"/>
  </r>
  <r>
    <x v="12"/>
  </r>
  <r>
    <x v="12"/>
  </r>
  <r>
    <x v="12"/>
  </r>
  <r>
    <x v="12"/>
  </r>
  <r>
    <x v="12"/>
  </r>
  <r>
    <x v="42"/>
  </r>
  <r>
    <x v="42"/>
  </r>
  <r>
    <x v="0"/>
  </r>
  <r>
    <x v="42"/>
  </r>
  <r>
    <x v="87"/>
  </r>
  <r>
    <x v="87"/>
  </r>
  <r>
    <x v="87"/>
  </r>
  <r>
    <x v="87"/>
  </r>
  <r>
    <x v="87"/>
  </r>
  <r>
    <x v="87"/>
  </r>
  <r>
    <x v="87"/>
  </r>
  <r>
    <x v="108"/>
  </r>
  <r>
    <x v="108"/>
  </r>
  <r>
    <x v="108"/>
  </r>
  <r>
    <x v="108"/>
  </r>
  <r>
    <x v="24"/>
  </r>
  <r>
    <x v="24"/>
  </r>
  <r>
    <x v="212"/>
  </r>
  <r>
    <x v="24"/>
  </r>
  <r>
    <x v="212"/>
  </r>
  <r>
    <x v="24"/>
  </r>
  <r>
    <x v="10"/>
  </r>
  <r>
    <x v="2"/>
  </r>
  <r>
    <x v="24"/>
  </r>
  <r>
    <x v="24"/>
  </r>
  <r>
    <x v="24"/>
  </r>
  <r>
    <x v="87"/>
  </r>
  <r>
    <x v="87"/>
  </r>
  <r>
    <x v="87"/>
  </r>
  <r>
    <x v="12"/>
  </r>
  <r>
    <x v="87"/>
  </r>
  <r>
    <x v="87"/>
  </r>
  <r>
    <x v="4"/>
  </r>
  <r>
    <x v="55"/>
  </r>
  <r>
    <x v="78"/>
  </r>
  <r>
    <x v="78"/>
  </r>
  <r>
    <x v="87"/>
  </r>
  <r>
    <x v="14"/>
  </r>
  <r>
    <x v="14"/>
  </r>
  <r>
    <x v="87"/>
  </r>
  <r>
    <x v="14"/>
  </r>
  <r>
    <x v="87"/>
  </r>
  <r>
    <x v="87"/>
  </r>
  <r>
    <x v="14"/>
  </r>
  <r>
    <x v="14"/>
  </r>
  <r>
    <x v="87"/>
  </r>
  <r>
    <x v="87"/>
  </r>
  <r>
    <x v="87"/>
  </r>
  <r>
    <x v="87"/>
  </r>
  <r>
    <x v="24"/>
  </r>
  <r>
    <x v="108"/>
  </r>
  <r>
    <x v="87"/>
  </r>
  <r>
    <x v="87"/>
  </r>
  <r>
    <x v="387"/>
  </r>
  <r>
    <x v="87"/>
  </r>
  <r>
    <x v="87"/>
  </r>
  <r>
    <x v="100"/>
  </r>
  <r>
    <x v="87"/>
  </r>
  <r>
    <x v="87"/>
  </r>
  <r>
    <x v="0"/>
  </r>
  <r>
    <x v="87"/>
  </r>
  <r>
    <x v="87"/>
  </r>
  <r>
    <x v="33"/>
  </r>
  <r>
    <x v="87"/>
  </r>
  <r>
    <x v="87"/>
  </r>
  <r>
    <x v="87"/>
  </r>
  <r>
    <x v="87"/>
  </r>
  <r>
    <x v="87"/>
  </r>
  <r>
    <x v="45"/>
  </r>
  <r>
    <x v="87"/>
  </r>
  <r>
    <x v="87"/>
  </r>
  <r>
    <x v="8"/>
  </r>
  <r>
    <x v="8"/>
  </r>
  <r>
    <x v="87"/>
  </r>
  <r>
    <x v="87"/>
  </r>
  <r>
    <x v="8"/>
  </r>
  <r>
    <x v="87"/>
  </r>
  <r>
    <x v="87"/>
  </r>
  <r>
    <x v="87"/>
  </r>
  <r>
    <x v="63"/>
  </r>
  <r>
    <x v="56"/>
  </r>
  <r>
    <x v="56"/>
  </r>
  <r>
    <x v="56"/>
  </r>
  <r>
    <x v="56"/>
  </r>
  <r>
    <x v="56"/>
  </r>
  <r>
    <x v="87"/>
  </r>
  <r>
    <x v="8"/>
  </r>
  <r>
    <x v="8"/>
  </r>
  <r>
    <x v="87"/>
  </r>
  <r>
    <x v="67"/>
  </r>
  <r>
    <x v="8"/>
  </r>
  <r>
    <x v="87"/>
  </r>
  <r>
    <x v="87"/>
  </r>
  <r>
    <x v="3"/>
  </r>
  <r>
    <x v="22"/>
  </r>
  <r>
    <x v="22"/>
  </r>
  <r>
    <x v="87"/>
  </r>
  <r>
    <x v="87"/>
  </r>
  <r>
    <x v="67"/>
  </r>
  <r>
    <x v="67"/>
  </r>
  <r>
    <x v="87"/>
  </r>
  <r>
    <x v="87"/>
  </r>
  <r>
    <x v="63"/>
  </r>
  <r>
    <x v="63"/>
  </r>
  <r>
    <x v="87"/>
  </r>
  <r>
    <x v="63"/>
  </r>
  <r>
    <x v="63"/>
  </r>
  <r>
    <x v="278"/>
  </r>
  <r>
    <x v="87"/>
  </r>
  <r>
    <x v="278"/>
  </r>
  <r>
    <x v="278"/>
  </r>
  <r>
    <x v="87"/>
  </r>
  <r>
    <x v="87"/>
  </r>
  <r>
    <x v="123"/>
  </r>
  <r>
    <x v="0"/>
  </r>
  <r>
    <x v="0"/>
  </r>
  <r>
    <x v="4"/>
  </r>
  <r>
    <x v="76"/>
  </r>
  <r>
    <x v="42"/>
  </r>
  <r>
    <x v="42"/>
  </r>
  <r>
    <x v="42"/>
  </r>
  <r>
    <x v="42"/>
  </r>
  <r>
    <x v="42"/>
  </r>
  <r>
    <x v="77"/>
  </r>
  <r>
    <x v="77"/>
  </r>
  <r>
    <x v="77"/>
  </r>
  <r>
    <x v="165"/>
  </r>
  <r>
    <x v="165"/>
  </r>
  <r>
    <x v="9"/>
  </r>
  <r>
    <x v="42"/>
  </r>
  <r>
    <x v="42"/>
  </r>
  <r>
    <x v="42"/>
  </r>
  <r>
    <x v="42"/>
  </r>
  <r>
    <x v="42"/>
  </r>
  <r>
    <x v="39"/>
  </r>
  <r>
    <x v="87"/>
  </r>
  <r>
    <x v="87"/>
  </r>
  <r>
    <x v="87"/>
  </r>
  <r>
    <x v="87"/>
  </r>
  <r>
    <x v="87"/>
  </r>
  <r>
    <x v="87"/>
  </r>
  <r>
    <x v="87"/>
  </r>
  <r>
    <x v="87"/>
  </r>
  <r>
    <x v="12"/>
  </r>
  <r>
    <x v="87"/>
  </r>
  <r>
    <x v="87"/>
  </r>
  <r>
    <x v="87"/>
  </r>
  <r>
    <x v="87"/>
  </r>
  <r>
    <x v="87"/>
  </r>
  <r>
    <x v="138"/>
  </r>
  <r>
    <x v="87"/>
  </r>
  <r>
    <x v="87"/>
  </r>
  <r>
    <x v="4"/>
  </r>
  <r>
    <x v="2"/>
  </r>
  <r>
    <x v="77"/>
  </r>
  <r>
    <x v="77"/>
  </r>
  <r>
    <x v="77"/>
  </r>
  <r>
    <x v="2"/>
  </r>
  <r>
    <x v="138"/>
  </r>
  <r>
    <x v="45"/>
  </r>
  <r>
    <x v="12"/>
  </r>
  <r>
    <x v="45"/>
  </r>
  <r>
    <x v="165"/>
  </r>
  <r>
    <x v="87"/>
  </r>
  <r>
    <x v="77"/>
  </r>
  <r>
    <x v="85"/>
  </r>
  <r>
    <x v="77"/>
  </r>
  <r>
    <x v="143"/>
  </r>
  <r>
    <x v="4"/>
  </r>
  <r>
    <x v="4"/>
  </r>
  <r>
    <x v="4"/>
  </r>
  <r>
    <x v="4"/>
  </r>
  <r>
    <x v="4"/>
  </r>
  <r>
    <x v="10"/>
  </r>
  <r>
    <x v="166"/>
  </r>
  <r>
    <x v="16"/>
  </r>
  <r>
    <x v="41"/>
  </r>
  <r>
    <x v="12"/>
  </r>
  <r>
    <x v="22"/>
  </r>
  <r>
    <x v="77"/>
  </r>
  <r>
    <x v="100"/>
  </r>
  <r>
    <x v="77"/>
  </r>
  <r>
    <x v="142"/>
  </r>
  <r>
    <x v="234"/>
  </r>
  <r>
    <x v="138"/>
  </r>
  <r>
    <x v="46"/>
  </r>
  <r>
    <x v="138"/>
  </r>
  <r>
    <x v="63"/>
  </r>
  <r>
    <x v="63"/>
  </r>
  <r>
    <x v="63"/>
  </r>
  <r>
    <x v="63"/>
  </r>
  <r>
    <x v="63"/>
  </r>
  <r>
    <x v="0"/>
  </r>
  <r>
    <x v="4"/>
  </r>
  <r>
    <x v="10"/>
  </r>
  <r>
    <x v="12"/>
  </r>
  <r>
    <x v="0"/>
  </r>
  <r>
    <x v="0"/>
  </r>
  <r>
    <x v="0"/>
  </r>
  <r>
    <x v="76"/>
  </r>
  <r>
    <x v="0"/>
  </r>
  <r>
    <x v="0"/>
  </r>
  <r>
    <x v="0"/>
  </r>
  <r>
    <x v="10"/>
  </r>
  <r>
    <x v="0"/>
  </r>
  <r>
    <x v="0"/>
  </r>
  <r>
    <x v="10"/>
  </r>
  <r>
    <x v="0"/>
  </r>
  <r>
    <x v="0"/>
  </r>
  <r>
    <x v="0"/>
  </r>
  <r>
    <x v="0"/>
  </r>
  <r>
    <x v="0"/>
  </r>
  <r>
    <x v="14"/>
  </r>
  <r>
    <x v="3"/>
  </r>
  <r>
    <x v="14"/>
  </r>
  <r>
    <x v="45"/>
  </r>
  <r>
    <x v="45"/>
  </r>
  <r>
    <x v="14"/>
  </r>
  <r>
    <x v="14"/>
  </r>
  <r>
    <x v="62"/>
  </r>
  <r>
    <x v="12"/>
  </r>
  <r>
    <x v="152"/>
  </r>
  <r>
    <x v="152"/>
  </r>
  <r>
    <x v="152"/>
  </r>
  <r>
    <x v="63"/>
  </r>
  <r>
    <x v="152"/>
  </r>
  <r>
    <x v="4"/>
  </r>
  <r>
    <x v="10"/>
  </r>
  <r>
    <x v="14"/>
  </r>
  <r>
    <x v="4"/>
  </r>
  <r>
    <x v="130"/>
  </r>
  <r>
    <x v="10"/>
  </r>
  <r>
    <x v="10"/>
  </r>
  <r>
    <x v="87"/>
  </r>
  <r>
    <x v="87"/>
  </r>
  <r>
    <x v="87"/>
  </r>
  <r>
    <x v="22"/>
  </r>
  <r>
    <x v="22"/>
  </r>
  <r>
    <x v="22"/>
  </r>
  <r>
    <x v="22"/>
  </r>
  <r>
    <x v="22"/>
  </r>
  <r>
    <x v="22"/>
  </r>
  <r>
    <x v="22"/>
  </r>
  <r>
    <x v="123"/>
  </r>
  <r>
    <x v="123"/>
  </r>
  <r>
    <x v="21"/>
  </r>
  <r>
    <x v="42"/>
  </r>
  <r>
    <x v="42"/>
  </r>
  <r>
    <x v="42"/>
  </r>
  <r>
    <x v="42"/>
  </r>
  <r>
    <x v="42"/>
  </r>
  <r>
    <x v="4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87"/>
  </r>
  <r>
    <x v="87"/>
  </r>
  <r>
    <x v="40"/>
  </r>
  <r>
    <x v="77"/>
  </r>
  <r>
    <x v="79"/>
  </r>
  <r>
    <x v="87"/>
  </r>
  <r>
    <x v="141"/>
  </r>
  <r>
    <x v="141"/>
  </r>
  <r>
    <x v="10"/>
  </r>
  <r>
    <x v="141"/>
  </r>
  <r>
    <x v="4"/>
  </r>
  <r>
    <x v="59"/>
  </r>
  <r>
    <x v="199"/>
  </r>
  <r>
    <x v="118"/>
  </r>
  <r>
    <x v="59"/>
  </r>
  <r>
    <x v="20"/>
  </r>
  <r>
    <x v="12"/>
  </r>
  <r>
    <x v="12"/>
  </r>
  <r>
    <x v="20"/>
  </r>
  <r>
    <x v="80"/>
  </r>
  <r>
    <x v="10"/>
  </r>
  <r>
    <x v="10"/>
  </r>
  <r>
    <x v="105"/>
  </r>
  <r>
    <x v="4"/>
  </r>
  <r>
    <x v="4"/>
  </r>
  <r>
    <x v="4"/>
  </r>
  <r>
    <x v="4"/>
  </r>
  <r>
    <x v="4"/>
  </r>
  <r>
    <x v="4"/>
  </r>
  <r>
    <x v="78"/>
  </r>
  <r>
    <x v="0"/>
  </r>
  <r>
    <x v="12"/>
  </r>
  <r>
    <x v="7"/>
  </r>
  <r>
    <x v="7"/>
  </r>
  <r>
    <x v="7"/>
  </r>
  <r>
    <x v="7"/>
  </r>
  <r>
    <x v="36"/>
  </r>
  <r>
    <x v="7"/>
  </r>
  <r>
    <x v="31"/>
  </r>
  <r>
    <x v="36"/>
  </r>
  <r>
    <x v="12"/>
  </r>
  <r>
    <x v="42"/>
  </r>
  <r>
    <x v="4"/>
  </r>
  <r>
    <x v="36"/>
  </r>
  <r>
    <x v="36"/>
  </r>
  <r>
    <x v="36"/>
  </r>
  <r>
    <x v="4"/>
  </r>
  <r>
    <x v="28"/>
  </r>
  <r>
    <x v="4"/>
  </r>
  <r>
    <x v="16"/>
  </r>
  <r>
    <x v="12"/>
  </r>
  <r>
    <x v="12"/>
  </r>
  <r>
    <x v="25"/>
  </r>
  <r>
    <x v="12"/>
  </r>
  <r>
    <x v="12"/>
  </r>
  <r>
    <x v="12"/>
  </r>
  <r>
    <x v="12"/>
  </r>
  <r>
    <x v="63"/>
  </r>
  <r>
    <x v="12"/>
  </r>
  <r>
    <x v="12"/>
  </r>
  <r>
    <x v="12"/>
  </r>
  <r>
    <x v="12"/>
  </r>
  <r>
    <x v="12"/>
  </r>
  <r>
    <x v="131"/>
  </r>
  <r>
    <x v="12"/>
  </r>
  <r>
    <x v="12"/>
  </r>
  <r>
    <x v="7"/>
  </r>
  <r>
    <x v="12"/>
  </r>
  <r>
    <x v="56"/>
  </r>
  <r>
    <x v="12"/>
  </r>
  <r>
    <x v="12"/>
  </r>
  <r>
    <x v="12"/>
  </r>
  <r>
    <x v="12"/>
  </r>
  <r>
    <x v="12"/>
  </r>
  <r>
    <x v="12"/>
  </r>
  <r>
    <x v="14"/>
  </r>
  <r>
    <x v="16"/>
  </r>
  <r>
    <x v="12"/>
  </r>
  <r>
    <x v="42"/>
  </r>
  <r>
    <x v="42"/>
  </r>
  <r>
    <x v="42"/>
  </r>
  <r>
    <x v="42"/>
  </r>
  <r>
    <x v="10"/>
  </r>
  <r>
    <x v="42"/>
  </r>
  <r>
    <x v="42"/>
  </r>
  <r>
    <x v="33"/>
  </r>
  <r>
    <x v="33"/>
  </r>
  <r>
    <x v="86"/>
  </r>
  <r>
    <x v="50"/>
  </r>
  <r>
    <x v="50"/>
  </r>
  <r>
    <x v="50"/>
  </r>
  <r>
    <x v="57"/>
  </r>
  <r>
    <x v="126"/>
  </r>
  <r>
    <x v="126"/>
  </r>
  <r>
    <x v="4"/>
  </r>
  <r>
    <x v="4"/>
  </r>
  <r>
    <x v="4"/>
  </r>
  <r>
    <x v="4"/>
  </r>
  <r>
    <x v="71"/>
  </r>
  <r>
    <x v="71"/>
  </r>
  <r>
    <x v="115"/>
  </r>
  <r>
    <x v="4"/>
  </r>
  <r>
    <x v="4"/>
  </r>
  <r>
    <x v="4"/>
  </r>
  <r>
    <x v="2"/>
  </r>
  <r>
    <x v="4"/>
  </r>
  <r>
    <x v="2"/>
  </r>
  <r>
    <x v="4"/>
  </r>
  <r>
    <x v="2"/>
  </r>
  <r>
    <x v="10"/>
  </r>
  <r>
    <x v="10"/>
  </r>
  <r>
    <x v="4"/>
  </r>
  <r>
    <x v="4"/>
  </r>
  <r>
    <x v="28"/>
  </r>
  <r>
    <x v="28"/>
  </r>
  <r>
    <x v="77"/>
  </r>
  <r>
    <x v="12"/>
  </r>
  <r>
    <x v="63"/>
  </r>
  <r>
    <x v="42"/>
  </r>
  <r>
    <x v="32"/>
  </r>
  <r>
    <x v="14"/>
  </r>
  <r>
    <x v="79"/>
  </r>
  <r>
    <x v="36"/>
  </r>
  <r>
    <x v="12"/>
  </r>
  <r>
    <x v="71"/>
  </r>
  <r>
    <x v="12"/>
  </r>
  <r>
    <x v="12"/>
  </r>
  <r>
    <x v="12"/>
  </r>
  <r>
    <x v="12"/>
  </r>
  <r>
    <x v="12"/>
  </r>
  <r>
    <x v="42"/>
  </r>
  <r>
    <x v="12"/>
  </r>
  <r>
    <x v="36"/>
  </r>
  <r>
    <x v="12"/>
  </r>
  <r>
    <x v="12"/>
  </r>
  <r>
    <x v="36"/>
  </r>
  <r>
    <x v="12"/>
  </r>
  <r>
    <x v="36"/>
  </r>
  <r>
    <x v="12"/>
  </r>
  <r>
    <x v="36"/>
  </r>
  <r>
    <x v="42"/>
  </r>
  <r>
    <x v="51"/>
  </r>
  <r>
    <x v="51"/>
  </r>
  <r>
    <x v="86"/>
  </r>
  <r>
    <x v="86"/>
  </r>
  <r>
    <x v="86"/>
  </r>
  <r>
    <x v="56"/>
  </r>
  <r>
    <x v="56"/>
  </r>
  <r>
    <x v="24"/>
  </r>
  <r>
    <x v="24"/>
  </r>
  <r>
    <x v="24"/>
  </r>
  <r>
    <x v="24"/>
  </r>
  <r>
    <x v="6"/>
  </r>
  <r>
    <x v="24"/>
  </r>
  <r>
    <x v="42"/>
  </r>
  <r>
    <x v="87"/>
  </r>
  <r>
    <x v="34"/>
  </r>
  <r>
    <x v="12"/>
  </r>
  <r>
    <x v="2"/>
  </r>
  <r>
    <x v="42"/>
  </r>
  <r>
    <x v="4"/>
  </r>
  <r>
    <x v="78"/>
  </r>
  <r>
    <x v="6"/>
  </r>
  <r>
    <x v="3"/>
  </r>
  <r>
    <x v="126"/>
  </r>
  <r>
    <x v="76"/>
  </r>
  <r>
    <x v="76"/>
  </r>
  <r>
    <x v="122"/>
  </r>
  <r>
    <x v="25"/>
  </r>
  <r>
    <x v="123"/>
  </r>
  <r>
    <x v="26"/>
  </r>
  <r>
    <x v="29"/>
  </r>
  <r>
    <x v="29"/>
  </r>
  <r>
    <x v="42"/>
  </r>
  <r>
    <x v="0"/>
  </r>
  <r>
    <x v="0"/>
  </r>
  <r>
    <x v="28"/>
  </r>
  <r>
    <x v="36"/>
  </r>
  <r>
    <x v="42"/>
  </r>
  <r>
    <x v="36"/>
  </r>
  <r>
    <x v="24"/>
  </r>
  <r>
    <x v="12"/>
  </r>
  <r>
    <x v="12"/>
  </r>
  <r>
    <x v="36"/>
  </r>
  <r>
    <x v="36"/>
  </r>
  <r>
    <x v="12"/>
  </r>
  <r>
    <x v="36"/>
  </r>
  <r>
    <x v="10"/>
  </r>
  <r>
    <x v="10"/>
  </r>
  <r>
    <x v="10"/>
  </r>
  <r>
    <x v="10"/>
  </r>
  <r>
    <x v="28"/>
  </r>
  <r>
    <x v="28"/>
  </r>
  <r>
    <x v="28"/>
  </r>
  <r>
    <x v="28"/>
  </r>
  <r>
    <x v="28"/>
  </r>
  <r>
    <x v="10"/>
  </r>
  <r>
    <x v="10"/>
  </r>
  <r>
    <x v="10"/>
  </r>
  <r>
    <x v="10"/>
  </r>
  <r>
    <x v="10"/>
  </r>
  <r>
    <x v="10"/>
  </r>
  <r>
    <x v="10"/>
  </r>
  <r>
    <x v="123"/>
  </r>
  <r>
    <x v="123"/>
  </r>
  <r>
    <x v="10"/>
  </r>
  <r>
    <x v="10"/>
  </r>
  <r>
    <x v="10"/>
  </r>
  <r>
    <x v="10"/>
  </r>
  <r>
    <x v="10"/>
  </r>
  <r>
    <x v="10"/>
  </r>
  <r>
    <x v="42"/>
  </r>
  <r>
    <x v="42"/>
  </r>
  <r>
    <x v="42"/>
  </r>
  <r>
    <x v="42"/>
  </r>
  <r>
    <x v="10"/>
  </r>
  <r>
    <x v="10"/>
  </r>
  <r>
    <x v="42"/>
  </r>
  <r>
    <x v="42"/>
  </r>
  <r>
    <x v="42"/>
  </r>
  <r>
    <x v="42"/>
  </r>
  <r>
    <x v="42"/>
  </r>
  <r>
    <x v="123"/>
  </r>
  <r>
    <x v="42"/>
  </r>
  <r>
    <x v="152"/>
  </r>
  <r>
    <x v="42"/>
  </r>
  <r>
    <x v="10"/>
  </r>
  <r>
    <x v="126"/>
  </r>
  <r>
    <x v="10"/>
  </r>
  <r>
    <x v="10"/>
  </r>
  <r>
    <x v="10"/>
  </r>
  <r>
    <x v="86"/>
  </r>
  <r>
    <x v="86"/>
  </r>
  <r>
    <x v="10"/>
  </r>
  <r>
    <x v="10"/>
  </r>
  <r>
    <x v="10"/>
  </r>
  <r>
    <x v="10"/>
  </r>
  <r>
    <x v="10"/>
  </r>
  <r>
    <x v="26"/>
  </r>
  <r>
    <x v="10"/>
  </r>
  <r>
    <x v="126"/>
  </r>
  <r>
    <x v="10"/>
  </r>
  <r>
    <x v="10"/>
  </r>
  <r>
    <x v="14"/>
  </r>
  <r>
    <x v="14"/>
  </r>
  <r>
    <x v="0"/>
  </r>
  <r>
    <x v="14"/>
  </r>
  <r>
    <x v="10"/>
  </r>
  <r>
    <x v="71"/>
  </r>
  <r>
    <x v="71"/>
  </r>
  <r>
    <x v="57"/>
  </r>
  <r>
    <x v="71"/>
  </r>
  <r>
    <x v="71"/>
  </r>
  <r>
    <x v="71"/>
  </r>
  <r>
    <x v="17"/>
  </r>
  <r>
    <x v="14"/>
  </r>
  <r>
    <x v="24"/>
  </r>
  <r>
    <x v="81"/>
  </r>
  <r>
    <x v="2"/>
  </r>
  <r>
    <x v="2"/>
  </r>
  <r>
    <x v="2"/>
  </r>
  <r>
    <x v="10"/>
  </r>
  <r>
    <x v="10"/>
  </r>
  <r>
    <x v="10"/>
  </r>
  <r>
    <x v="12"/>
  </r>
  <r>
    <x v="115"/>
  </r>
  <r>
    <x v="42"/>
  </r>
  <r>
    <x v="36"/>
  </r>
  <r>
    <x v="42"/>
  </r>
  <r>
    <x v="12"/>
  </r>
  <r>
    <x v="12"/>
  </r>
  <r>
    <x v="42"/>
  </r>
  <r>
    <x v="63"/>
  </r>
  <r>
    <x v="63"/>
  </r>
  <r>
    <x v="42"/>
  </r>
  <r>
    <x v="44"/>
  </r>
  <r>
    <x v="42"/>
  </r>
  <r>
    <x v="42"/>
  </r>
  <r>
    <x v="12"/>
  </r>
  <r>
    <x v="36"/>
  </r>
  <r>
    <x v="42"/>
  </r>
  <r>
    <x v="71"/>
  </r>
  <r>
    <x v="36"/>
  </r>
  <r>
    <x v="71"/>
  </r>
  <r>
    <x v="36"/>
  </r>
  <r>
    <x v="11"/>
  </r>
  <r>
    <x v="11"/>
  </r>
  <r>
    <x v="77"/>
  </r>
  <r>
    <x v="12"/>
  </r>
  <r>
    <x v="128"/>
  </r>
  <r>
    <x v="11"/>
  </r>
  <r>
    <x v="12"/>
  </r>
  <r>
    <x v="87"/>
  </r>
  <r>
    <x v="87"/>
  </r>
  <r>
    <x v="87"/>
  </r>
  <r>
    <x v="87"/>
  </r>
  <r>
    <x v="123"/>
  </r>
  <r>
    <x v="123"/>
  </r>
  <r>
    <x v="123"/>
  </r>
  <r>
    <x v="123"/>
  </r>
  <r>
    <x v="123"/>
  </r>
  <r>
    <x v="56"/>
  </r>
  <r>
    <x v="71"/>
  </r>
  <r>
    <x v="71"/>
  </r>
  <r>
    <x v="71"/>
  </r>
  <r>
    <x v="123"/>
  </r>
  <r>
    <x v="71"/>
  </r>
  <r>
    <x v="71"/>
  </r>
  <r>
    <x v="42"/>
  </r>
  <r>
    <x v="42"/>
  </r>
  <r>
    <x v="87"/>
  </r>
  <r>
    <x v="42"/>
  </r>
  <r>
    <x v="87"/>
  </r>
  <r>
    <x v="26"/>
  </r>
  <r>
    <x v="42"/>
  </r>
  <r>
    <x v="16"/>
  </r>
  <r>
    <x v="16"/>
  </r>
  <r>
    <x v="6"/>
  </r>
  <r>
    <x v="52"/>
  </r>
  <r>
    <x v="10"/>
  </r>
  <r>
    <x v="4"/>
  </r>
  <r>
    <x v="162"/>
  </r>
  <r>
    <x v="4"/>
  </r>
  <r>
    <x v="4"/>
  </r>
  <r>
    <x v="77"/>
  </r>
  <r>
    <x v="4"/>
  </r>
  <r>
    <x v="4"/>
  </r>
  <r>
    <x v="39"/>
  </r>
  <r>
    <x v="17"/>
  </r>
  <r>
    <x v="14"/>
  </r>
  <r>
    <x v="123"/>
  </r>
  <r>
    <x v="4"/>
  </r>
  <r>
    <x v="4"/>
  </r>
  <r>
    <x v="123"/>
  </r>
  <r>
    <x v="10"/>
  </r>
  <r>
    <x v="42"/>
  </r>
  <r>
    <x v="4"/>
  </r>
  <r>
    <x v="4"/>
  </r>
  <r>
    <x v="40"/>
  </r>
  <r>
    <x v="0"/>
  </r>
  <r>
    <x v="63"/>
  </r>
  <r>
    <x v="63"/>
  </r>
  <r>
    <x v="63"/>
  </r>
  <r>
    <x v="14"/>
  </r>
  <r>
    <x v="63"/>
  </r>
  <r>
    <x v="63"/>
  </r>
  <r>
    <x v="128"/>
  </r>
  <r>
    <x v="128"/>
  </r>
  <r>
    <x v="128"/>
  </r>
  <r>
    <x v="128"/>
  </r>
  <r>
    <x v="10"/>
  </r>
  <r>
    <x v="10"/>
  </r>
  <r>
    <x v="77"/>
  </r>
  <r>
    <x v="123"/>
  </r>
  <r>
    <x v="42"/>
  </r>
  <r>
    <x v="12"/>
  </r>
  <r>
    <x v="12"/>
  </r>
  <r>
    <x v="10"/>
  </r>
  <r>
    <x v="10"/>
  </r>
  <r>
    <x v="10"/>
  </r>
  <r>
    <x v="126"/>
  </r>
  <r>
    <x v="10"/>
  </r>
  <r>
    <x v="10"/>
  </r>
  <r>
    <x v="10"/>
  </r>
  <r>
    <x v="10"/>
  </r>
  <r>
    <x v="10"/>
  </r>
  <r>
    <x v="10"/>
  </r>
  <r>
    <x v="10"/>
  </r>
  <r>
    <x v="0"/>
  </r>
  <r>
    <x v="114"/>
  </r>
  <r>
    <x v="0"/>
  </r>
  <r>
    <x v="0"/>
  </r>
  <r>
    <x v="28"/>
  </r>
  <r>
    <x v="1"/>
  </r>
  <r>
    <x v="7"/>
  </r>
  <r>
    <x v="7"/>
  </r>
  <r>
    <x v="7"/>
  </r>
  <r>
    <x v="7"/>
  </r>
  <r>
    <x v="7"/>
  </r>
  <r>
    <x v="123"/>
  </r>
  <r>
    <x v="123"/>
  </r>
  <r>
    <x v="12"/>
  </r>
  <r>
    <x v="10"/>
  </r>
  <r>
    <x v="51"/>
  </r>
  <r>
    <x v="51"/>
  </r>
  <r>
    <x v="51"/>
  </r>
  <r>
    <x v="51"/>
  </r>
  <r>
    <x v="51"/>
  </r>
  <r>
    <x v="87"/>
  </r>
  <r>
    <x v="10"/>
  </r>
  <r>
    <x v="10"/>
  </r>
  <r>
    <x v="10"/>
  </r>
  <r>
    <x v="10"/>
  </r>
  <r>
    <x v="10"/>
  </r>
  <r>
    <x v="10"/>
  </r>
  <r>
    <x v="10"/>
  </r>
  <r>
    <x v="10"/>
  </r>
  <r>
    <x v="51"/>
  </r>
  <r>
    <x v="51"/>
  </r>
  <r>
    <x v="86"/>
  </r>
  <r>
    <x v="10"/>
  </r>
  <r>
    <x v="10"/>
  </r>
  <r>
    <x v="10"/>
  </r>
  <r>
    <x v="12"/>
  </r>
  <r>
    <x v="42"/>
  </r>
  <r>
    <x v="123"/>
  </r>
  <r>
    <x v="12"/>
  </r>
  <r>
    <x v="63"/>
  </r>
  <r>
    <x v="86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0"/>
  </r>
  <r>
    <x v="12"/>
  </r>
  <r>
    <x v="52"/>
  </r>
  <r>
    <x v="4"/>
  </r>
  <r>
    <x v="4"/>
  </r>
  <r>
    <x v="10"/>
  </r>
  <r>
    <x v="10"/>
  </r>
  <r>
    <x v="10"/>
  </r>
  <r>
    <x v="10"/>
  </r>
  <r>
    <x v="87"/>
  </r>
  <r>
    <x v="87"/>
  </r>
  <r>
    <x v="87"/>
  </r>
  <r>
    <x v="77"/>
  </r>
  <r>
    <x v="86"/>
  </r>
  <r>
    <x v="77"/>
  </r>
  <r>
    <x v="87"/>
  </r>
  <r>
    <x v="87"/>
  </r>
  <r>
    <x v="4"/>
  </r>
  <r>
    <x v="87"/>
  </r>
  <r>
    <x v="87"/>
  </r>
  <r>
    <x v="87"/>
  </r>
  <r>
    <x v="87"/>
  </r>
  <r>
    <x v="87"/>
  </r>
  <r>
    <x v="242"/>
  </r>
  <r>
    <x v="87"/>
  </r>
  <r>
    <x v="12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5"/>
  </r>
  <r>
    <x v="76"/>
  </r>
  <r>
    <x v="242"/>
  </r>
  <r>
    <x v="108"/>
  </r>
  <r>
    <x v="25"/>
  </r>
  <r>
    <x v="12"/>
  </r>
  <r>
    <x v="12"/>
  </r>
  <r>
    <x v="12"/>
  </r>
  <r>
    <x v="68"/>
  </r>
  <r>
    <x v="12"/>
  </r>
  <r>
    <x v="12"/>
  </r>
  <r>
    <x v="12"/>
  </r>
  <r>
    <x v="12"/>
  </r>
  <r>
    <x v="12"/>
  </r>
  <r>
    <x v="11"/>
  </r>
  <r>
    <x v="12"/>
  </r>
  <r>
    <x v="12"/>
  </r>
  <r>
    <x v="12"/>
  </r>
  <r>
    <x v="12"/>
  </r>
  <r>
    <x v="12"/>
  </r>
  <r>
    <x v="12"/>
  </r>
  <r>
    <x v="12"/>
  </r>
  <r>
    <x v="68"/>
  </r>
  <r>
    <x v="68"/>
  </r>
  <r>
    <x v="12"/>
  </r>
  <r>
    <x v="12"/>
  </r>
  <r>
    <x v="12"/>
  </r>
  <r>
    <x v="6"/>
  </r>
  <r>
    <x v="12"/>
  </r>
  <r>
    <x v="12"/>
  </r>
  <r>
    <x v="12"/>
  </r>
  <r>
    <x v="12"/>
  </r>
  <r>
    <x v="12"/>
  </r>
  <r>
    <x v="28"/>
  </r>
  <r>
    <x v="12"/>
  </r>
  <r>
    <x v="7"/>
  </r>
  <r>
    <x v="4"/>
  </r>
  <r>
    <x v="12"/>
  </r>
  <r>
    <x v="28"/>
  </r>
  <r>
    <x v="165"/>
  </r>
  <r>
    <x v="12"/>
  </r>
  <r>
    <x v="36"/>
  </r>
  <r>
    <x v="36"/>
  </r>
  <r>
    <x v="36"/>
  </r>
  <r>
    <x v="36"/>
  </r>
  <r>
    <x v="36"/>
  </r>
  <r>
    <x v="12"/>
  </r>
  <r>
    <x v="36"/>
  </r>
  <r>
    <x v="36"/>
  </r>
  <r>
    <x v="10"/>
  </r>
  <r>
    <x v="10"/>
  </r>
  <r>
    <x v="36"/>
  </r>
  <r>
    <x v="10"/>
  </r>
  <r>
    <x v="102"/>
  </r>
  <r>
    <x v="10"/>
  </r>
  <r>
    <x v="10"/>
  </r>
  <r>
    <x v="12"/>
  </r>
  <r>
    <x v="7"/>
  </r>
  <r>
    <x v="7"/>
  </r>
  <r>
    <x v="28"/>
  </r>
  <r>
    <x v="123"/>
  </r>
  <r>
    <x v="130"/>
  </r>
  <r>
    <x v="10"/>
  </r>
  <r>
    <x v="10"/>
  </r>
  <r>
    <x v="10"/>
  </r>
  <r>
    <x v="10"/>
  </r>
  <r>
    <x v="34"/>
  </r>
  <r>
    <x v="10"/>
  </r>
  <r>
    <x v="10"/>
  </r>
  <r>
    <x v="36"/>
  </r>
  <r>
    <x v="10"/>
  </r>
  <r>
    <x v="36"/>
  </r>
  <r>
    <x v="36"/>
  </r>
  <r>
    <x v="10"/>
  </r>
  <r>
    <x v="22"/>
  </r>
  <r>
    <x v="10"/>
  </r>
  <r>
    <x v="10"/>
  </r>
  <r>
    <x v="34"/>
  </r>
  <r>
    <x v="10"/>
  </r>
  <r>
    <x v="12"/>
  </r>
  <r>
    <x v="14"/>
  </r>
  <r>
    <x v="34"/>
  </r>
  <r>
    <x v="14"/>
  </r>
  <r>
    <x v="2"/>
  </r>
  <r>
    <x v="76"/>
  </r>
  <r>
    <x v="75"/>
  </r>
  <r>
    <x v="4"/>
  </r>
  <r>
    <x v="12"/>
  </r>
  <r>
    <x v="12"/>
  </r>
  <r>
    <x v="12"/>
  </r>
  <r>
    <x v="12"/>
  </r>
  <r>
    <x v="4"/>
  </r>
  <r>
    <x v="34"/>
  </r>
  <r>
    <x v="28"/>
  </r>
  <r>
    <x v="165"/>
  </r>
  <r>
    <x v="63"/>
  </r>
  <r>
    <x v="87"/>
  </r>
  <r>
    <x v="126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6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87"/>
  </r>
  <r>
    <x v="87"/>
  </r>
  <r>
    <x v="87"/>
  </r>
  <r>
    <x v="4"/>
  </r>
  <r>
    <x v="4"/>
  </r>
  <r>
    <x v="4"/>
  </r>
  <r>
    <x v="4"/>
  </r>
  <r>
    <x v="4"/>
  </r>
  <r>
    <x v="4"/>
  </r>
  <r>
    <x v="55"/>
  </r>
  <r>
    <x v="11"/>
  </r>
  <r>
    <x v="11"/>
  </r>
  <r>
    <x v="11"/>
  </r>
  <r>
    <x v="11"/>
  </r>
  <r>
    <x v="10"/>
  </r>
  <r>
    <x v="77"/>
  </r>
  <r>
    <x v="10"/>
  </r>
  <r>
    <x v="4"/>
  </r>
  <r>
    <x v="10"/>
  </r>
  <r>
    <x v="10"/>
  </r>
  <r>
    <x v="10"/>
  </r>
  <r>
    <x v="77"/>
  </r>
  <r>
    <x v="10"/>
  </r>
  <r>
    <x v="10"/>
  </r>
  <r>
    <x v="53"/>
  </r>
  <r>
    <x v="10"/>
  </r>
  <r>
    <x v="10"/>
  </r>
  <r>
    <x v="10"/>
  </r>
  <r>
    <x v="4"/>
  </r>
  <r>
    <x v="4"/>
  </r>
  <r>
    <x v="4"/>
  </r>
  <r>
    <x v="10"/>
  </r>
  <r>
    <x v="10"/>
  </r>
  <r>
    <x v="4"/>
  </r>
  <r>
    <x v="12"/>
  </r>
  <r>
    <x v="12"/>
  </r>
  <r>
    <x v="12"/>
  </r>
  <r>
    <x v="10"/>
  </r>
  <r>
    <x v="10"/>
  </r>
  <r>
    <x v="10"/>
  </r>
  <r>
    <x v="10"/>
  </r>
  <r>
    <x v="12"/>
  </r>
  <r>
    <x v="10"/>
  </r>
  <r>
    <x v="10"/>
  </r>
  <r>
    <x v="86"/>
  </r>
  <r>
    <x v="86"/>
  </r>
  <r>
    <x v="10"/>
  </r>
  <r>
    <x v="10"/>
  </r>
  <r>
    <x v="10"/>
  </r>
  <r>
    <x v="10"/>
  </r>
  <r>
    <x v="10"/>
  </r>
  <r>
    <x v="10"/>
  </r>
  <r>
    <x v="173"/>
  </r>
  <r>
    <x v="1"/>
  </r>
  <r>
    <x v="12"/>
  </r>
  <r>
    <x v="142"/>
  </r>
  <r>
    <x v="63"/>
  </r>
  <r>
    <x v="14"/>
  </r>
  <r>
    <x v="14"/>
  </r>
  <r>
    <x v="12"/>
  </r>
  <r>
    <x v="12"/>
  </r>
  <r>
    <x v="12"/>
  </r>
  <r>
    <x v="12"/>
  </r>
  <r>
    <x v="12"/>
  </r>
  <r>
    <x v="10"/>
  </r>
  <r>
    <x v="10"/>
  </r>
  <r>
    <x v="142"/>
  </r>
  <r>
    <x v="142"/>
  </r>
  <r>
    <x v="142"/>
  </r>
  <r>
    <x v="12"/>
  </r>
  <r>
    <x v="12"/>
  </r>
  <r>
    <x v="48"/>
  </r>
  <r>
    <x v="12"/>
  </r>
  <r>
    <x v="108"/>
  </r>
  <r>
    <x v="10"/>
  </r>
  <r>
    <x v="12"/>
  </r>
  <r>
    <x v="12"/>
  </r>
  <r>
    <x v="12"/>
  </r>
  <r>
    <x v="12"/>
  </r>
  <r>
    <x v="39"/>
  </r>
  <r>
    <x v="12"/>
  </r>
  <r>
    <x v="12"/>
  </r>
  <r>
    <x v="12"/>
  </r>
  <r>
    <x v="12"/>
  </r>
  <r>
    <x v="12"/>
  </r>
  <r>
    <x v="12"/>
  </r>
  <r>
    <x v="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27"/>
  </r>
  <r>
    <x v="227"/>
  </r>
  <r>
    <x v="227"/>
  </r>
  <r>
    <x v="78"/>
  </r>
  <r>
    <x v="12"/>
  </r>
  <r>
    <x v="12"/>
  </r>
  <r>
    <x v="12"/>
  </r>
  <r>
    <x v="12"/>
  </r>
  <r>
    <x v="10"/>
  </r>
  <r>
    <x v="10"/>
  </r>
  <r>
    <x v="250"/>
  </r>
  <r>
    <x v="12"/>
  </r>
  <r>
    <x v="12"/>
  </r>
  <r>
    <x v="10"/>
  </r>
  <r>
    <x v="68"/>
  </r>
  <r>
    <x v="48"/>
  </r>
  <r>
    <x v="52"/>
  </r>
  <r>
    <x v="85"/>
  </r>
  <r>
    <x v="77"/>
  </r>
  <r>
    <x v="12"/>
  </r>
  <r>
    <x v="10"/>
  </r>
  <r>
    <x v="10"/>
  </r>
  <r>
    <x v="10"/>
  </r>
  <r>
    <x v="10"/>
  </r>
  <r>
    <x v="33"/>
  </r>
  <r>
    <x v="10"/>
  </r>
  <r>
    <x v="10"/>
  </r>
  <r>
    <x v="10"/>
  </r>
  <r>
    <x v="10"/>
  </r>
  <r>
    <x v="10"/>
  </r>
  <r>
    <x v="10"/>
  </r>
  <r>
    <x v="10"/>
  </r>
  <r>
    <x v="28"/>
  </r>
  <r>
    <x v="123"/>
  </r>
  <r>
    <x v="123"/>
  </r>
  <r>
    <x v="123"/>
  </r>
  <r>
    <x v="123"/>
  </r>
  <r>
    <x v="152"/>
  </r>
  <r>
    <x v="123"/>
  </r>
  <r>
    <x v="123"/>
  </r>
  <r>
    <x v="123"/>
  </r>
  <r>
    <x v="123"/>
  </r>
  <r>
    <x v="123"/>
  </r>
  <r>
    <x v="123"/>
  </r>
  <r>
    <x v="123"/>
  </r>
  <r>
    <x v="123"/>
  </r>
  <r>
    <x v="42"/>
  </r>
  <r>
    <x v="123"/>
  </r>
  <r>
    <x v="10"/>
  </r>
  <r>
    <x v="42"/>
  </r>
  <r>
    <x v="42"/>
  </r>
  <r>
    <x v="42"/>
  </r>
  <r>
    <x v="36"/>
  </r>
  <r>
    <x v="42"/>
  </r>
  <r>
    <x v="42"/>
  </r>
  <r>
    <x v="42"/>
  </r>
  <r>
    <x v="42"/>
  </r>
  <r>
    <x v="42"/>
  </r>
  <r>
    <x v="87"/>
  </r>
  <r>
    <x v="87"/>
  </r>
  <r>
    <x v="87"/>
  </r>
  <r>
    <x v="87"/>
  </r>
  <r>
    <x v="87"/>
  </r>
  <r>
    <x v="87"/>
  </r>
  <r>
    <x v="87"/>
  </r>
  <r>
    <x v="14"/>
  </r>
  <r>
    <x v="14"/>
  </r>
  <r>
    <x v="14"/>
  </r>
  <r>
    <x v="87"/>
  </r>
  <r>
    <x v="87"/>
  </r>
  <r>
    <x v="45"/>
  </r>
  <r>
    <x v="87"/>
  </r>
  <r>
    <x v="12"/>
  </r>
  <r>
    <x v="87"/>
  </r>
  <r>
    <x v="87"/>
  </r>
  <r>
    <x v="87"/>
  </r>
  <r>
    <x v="87"/>
  </r>
  <r>
    <x v="87"/>
  </r>
  <r>
    <x v="87"/>
  </r>
  <r>
    <x v="87"/>
  </r>
  <r>
    <x v="87"/>
  </r>
  <r>
    <x v="10"/>
  </r>
  <r>
    <x v="10"/>
  </r>
  <r>
    <x v="87"/>
  </r>
  <r>
    <x v="87"/>
  </r>
  <r>
    <x v="115"/>
  </r>
  <r>
    <x v="115"/>
  </r>
  <r>
    <x v="115"/>
  </r>
  <r>
    <x v="115"/>
  </r>
  <r>
    <x v="115"/>
  </r>
  <r>
    <x v="48"/>
  </r>
  <r>
    <x v="115"/>
  </r>
  <r>
    <x v="33"/>
  </r>
  <r>
    <x v="115"/>
  </r>
  <r>
    <x v="115"/>
  </r>
  <r>
    <x v="12"/>
  </r>
  <r>
    <x v="12"/>
  </r>
  <r>
    <x v="12"/>
  </r>
  <r>
    <x v="12"/>
  </r>
  <r>
    <x v="63"/>
  </r>
  <r>
    <x v="48"/>
  </r>
  <r>
    <x v="12"/>
  </r>
  <r>
    <x v="87"/>
  </r>
  <r>
    <x v="12"/>
  </r>
  <r>
    <x v="165"/>
  </r>
  <r>
    <x v="87"/>
  </r>
  <r>
    <x v="87"/>
  </r>
  <r>
    <x v="87"/>
  </r>
  <r>
    <x v="87"/>
  </r>
  <r>
    <x v="87"/>
  </r>
  <r>
    <x v="11"/>
  </r>
  <r>
    <x v="87"/>
  </r>
  <r>
    <x v="87"/>
  </r>
  <r>
    <x v="87"/>
  </r>
  <r>
    <x v="87"/>
  </r>
  <r>
    <x v="87"/>
  </r>
  <r>
    <x v="22"/>
  </r>
  <r>
    <x v="87"/>
  </r>
  <r>
    <x v="45"/>
  </r>
  <r>
    <x v="87"/>
  </r>
  <r>
    <x v="78"/>
  </r>
  <r>
    <x v="78"/>
  </r>
  <r>
    <x v="78"/>
  </r>
  <r>
    <x v="78"/>
  </r>
  <r>
    <x v="42"/>
  </r>
  <r>
    <x v="128"/>
  </r>
  <r>
    <x v="0"/>
  </r>
  <r>
    <x v="128"/>
  </r>
  <r>
    <x v="42"/>
  </r>
  <r>
    <x v="128"/>
  </r>
  <r>
    <x v="42"/>
  </r>
  <r>
    <x v="128"/>
  </r>
  <r>
    <x v="42"/>
  </r>
  <r>
    <x v="36"/>
  </r>
  <r>
    <x v="36"/>
  </r>
  <r>
    <x v="36"/>
  </r>
  <r>
    <x v="36"/>
  </r>
  <r>
    <x v="42"/>
  </r>
  <r>
    <x v="42"/>
  </r>
  <r>
    <x v="42"/>
  </r>
  <r>
    <x v="42"/>
  </r>
  <r>
    <x v="1"/>
  </r>
  <r>
    <x v="42"/>
  </r>
  <r>
    <x v="42"/>
  </r>
  <r>
    <x v="48"/>
  </r>
  <r>
    <x v="48"/>
  </r>
  <r>
    <x v="36"/>
  </r>
  <r>
    <x v="36"/>
  </r>
  <r>
    <x v="36"/>
  </r>
  <r>
    <x v="36"/>
  </r>
  <r>
    <x v="12"/>
  </r>
  <r>
    <x v="72"/>
  </r>
  <r>
    <x v="1"/>
  </r>
  <r>
    <x v="56"/>
  </r>
  <r>
    <x v="48"/>
  </r>
  <r>
    <x v="123"/>
  </r>
  <r>
    <x v="123"/>
  </r>
  <r>
    <x v="45"/>
  </r>
  <r>
    <x v="112"/>
  </r>
  <r>
    <x v="115"/>
  </r>
  <r>
    <x v="115"/>
  </r>
  <r>
    <x v="115"/>
  </r>
  <r>
    <x v="115"/>
  </r>
  <r>
    <x v="115"/>
  </r>
  <r>
    <x v="12"/>
  </r>
  <r>
    <x v="22"/>
  </r>
  <r>
    <x v="16"/>
  </r>
  <r>
    <x v="22"/>
  </r>
  <r>
    <x v="12"/>
  </r>
  <r>
    <x v="12"/>
  </r>
  <r>
    <x v="115"/>
  </r>
  <r>
    <x v="24"/>
  </r>
  <r>
    <x v="14"/>
  </r>
  <r>
    <x v="14"/>
  </r>
  <r>
    <x v="42"/>
  </r>
  <r>
    <x v="42"/>
  </r>
  <r>
    <x v="190"/>
  </r>
  <r>
    <x v="128"/>
  </r>
  <r>
    <x v="128"/>
  </r>
  <r>
    <x v="42"/>
  </r>
  <r>
    <x v="42"/>
  </r>
  <r>
    <x v="115"/>
  </r>
  <r>
    <x v="42"/>
  </r>
  <r>
    <x v="42"/>
  </r>
  <r>
    <x v="123"/>
  </r>
  <r>
    <x v="42"/>
  </r>
  <r>
    <x v="89"/>
  </r>
  <r>
    <x v="89"/>
  </r>
  <r>
    <x v="89"/>
  </r>
  <r>
    <x v="89"/>
  </r>
  <r>
    <x v="10"/>
  </r>
  <r>
    <x v="89"/>
  </r>
  <r>
    <x v="63"/>
  </r>
  <r>
    <x v="63"/>
  </r>
  <r>
    <x v="63"/>
  </r>
  <r>
    <x v="63"/>
  </r>
  <r>
    <x v="89"/>
  </r>
  <r>
    <x v="89"/>
  </r>
  <r>
    <x v="89"/>
  </r>
  <r>
    <x v="89"/>
  </r>
  <r>
    <x v="2"/>
  </r>
  <r>
    <x v="12"/>
  </r>
  <r>
    <x v="63"/>
  </r>
  <r>
    <x v="63"/>
  </r>
  <r>
    <x v="63"/>
  </r>
  <r>
    <x v="63"/>
  </r>
  <r>
    <x v="89"/>
  </r>
  <r>
    <x v="89"/>
  </r>
  <r>
    <x v="89"/>
  </r>
  <r>
    <x v="2"/>
  </r>
  <r>
    <x v="89"/>
  </r>
  <r>
    <x v="2"/>
  </r>
  <r>
    <x v="89"/>
  </r>
  <r>
    <x v="2"/>
  </r>
  <r>
    <x v="89"/>
  </r>
  <r>
    <x v="89"/>
  </r>
  <r>
    <x v="22"/>
  </r>
  <r>
    <x v="22"/>
  </r>
  <r>
    <x v="89"/>
  </r>
  <r>
    <x v="63"/>
  </r>
  <r>
    <x v="63"/>
  </r>
  <r>
    <x v="63"/>
  </r>
  <r>
    <x v="63"/>
  </r>
  <r>
    <x v="63"/>
  </r>
  <r>
    <x v="63"/>
  </r>
  <r>
    <x v="89"/>
  </r>
  <r>
    <x v="89"/>
  </r>
  <r>
    <x v="89"/>
  </r>
  <r>
    <x v="89"/>
  </r>
  <r>
    <x v="89"/>
  </r>
  <r>
    <x v="89"/>
  </r>
  <r>
    <x v="64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10"/>
  </r>
  <r>
    <x v="0"/>
  </r>
  <r>
    <x v="0"/>
  </r>
  <r>
    <x v="79"/>
  </r>
  <r>
    <x v="79"/>
  </r>
  <r>
    <x v="79"/>
  </r>
  <r>
    <x v="12"/>
  </r>
  <r>
    <x v="12"/>
  </r>
  <r>
    <x v="79"/>
  </r>
  <r>
    <x v="79"/>
  </r>
  <r>
    <x v="79"/>
  </r>
  <r>
    <x v="79"/>
  </r>
  <r>
    <x v="0"/>
  </r>
  <r>
    <x v="53"/>
  </r>
  <r>
    <x v="10"/>
  </r>
  <r>
    <x v="56"/>
  </r>
  <r>
    <x v="25"/>
  </r>
  <r>
    <x v="75"/>
  </r>
  <r>
    <x v="45"/>
  </r>
  <r>
    <x v="45"/>
  </r>
  <r>
    <x v="45"/>
  </r>
  <r>
    <x v="45"/>
  </r>
  <r>
    <x v="12"/>
  </r>
  <r>
    <x v="126"/>
  </r>
  <r>
    <x v="126"/>
  </r>
  <r>
    <x v="126"/>
  </r>
  <r>
    <x v="126"/>
  </r>
  <r>
    <x v="10"/>
  </r>
  <r>
    <x v="39"/>
  </r>
  <r>
    <x v="10"/>
  </r>
  <r>
    <x v="138"/>
  </r>
  <r>
    <x v="10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2"/>
  </r>
  <r>
    <x v="10"/>
  </r>
  <r>
    <x v="10"/>
  </r>
  <r>
    <x v="2"/>
  </r>
  <r>
    <x v="10"/>
  </r>
  <r>
    <x v="10"/>
  </r>
  <r>
    <x v="10"/>
  </r>
  <r>
    <x v="10"/>
  </r>
  <r>
    <x v="10"/>
  </r>
  <r>
    <x v="10"/>
  </r>
  <r>
    <x v="64"/>
  </r>
  <r>
    <x v="12"/>
  </r>
  <r>
    <x v="0"/>
  </r>
  <r>
    <x v="12"/>
  </r>
  <r>
    <x v="12"/>
  </r>
  <r>
    <x v="12"/>
  </r>
  <r>
    <x v="0"/>
  </r>
  <r>
    <x v="12"/>
  </r>
  <r>
    <x v="12"/>
  </r>
  <r>
    <x v="12"/>
  </r>
  <r>
    <x v="16"/>
  </r>
  <r>
    <x v="16"/>
  </r>
  <r>
    <x v="77"/>
  </r>
  <r>
    <x v="16"/>
  </r>
  <r>
    <x v="16"/>
  </r>
  <r>
    <x v="16"/>
  </r>
  <r>
    <x v="4"/>
  </r>
  <r>
    <x v="25"/>
  </r>
  <r>
    <x v="77"/>
  </r>
  <r>
    <x v="4"/>
  </r>
  <r>
    <x v="35"/>
  </r>
  <r>
    <x v="10"/>
  </r>
  <r>
    <x v="10"/>
  </r>
  <r>
    <x v="12"/>
  </r>
  <r>
    <x v="10"/>
  </r>
  <r>
    <x v="10"/>
  </r>
  <r>
    <x v="10"/>
  </r>
  <r>
    <x v="10"/>
  </r>
  <r>
    <x v="4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36"/>
  </r>
  <r>
    <x v="10"/>
  </r>
  <r>
    <x v="12"/>
  </r>
  <r>
    <x v="36"/>
  </r>
  <r>
    <x v="36"/>
  </r>
  <r>
    <x v="10"/>
  </r>
  <r>
    <x v="10"/>
  </r>
  <r>
    <x v="10"/>
  </r>
  <r>
    <x v="10"/>
  </r>
  <r>
    <x v="10"/>
  </r>
  <r>
    <x v="10"/>
  </r>
  <r>
    <x v="10"/>
  </r>
  <r>
    <x v="7"/>
  </r>
  <r>
    <x v="12"/>
  </r>
  <r>
    <x v="10"/>
  </r>
  <r>
    <x v="229"/>
  </r>
  <r>
    <x v="7"/>
  </r>
  <r>
    <x v="7"/>
  </r>
  <r>
    <x v="229"/>
  </r>
  <r>
    <x v="229"/>
  </r>
  <r>
    <x v="115"/>
  </r>
  <r>
    <x v="4"/>
  </r>
  <r>
    <x v="115"/>
  </r>
  <r>
    <x v="4"/>
  </r>
  <r>
    <x v="25"/>
  </r>
  <r>
    <x v="22"/>
  </r>
  <r>
    <x v="10"/>
  </r>
  <r>
    <x v="22"/>
  </r>
  <r>
    <x v="22"/>
  </r>
  <r>
    <x v="80"/>
  </r>
  <r>
    <x v="24"/>
  </r>
  <r>
    <x v="22"/>
  </r>
  <r>
    <x v="22"/>
  </r>
  <r>
    <x v="22"/>
  </r>
  <r>
    <x v="28"/>
  </r>
  <r>
    <x v="87"/>
  </r>
  <r>
    <x v="0"/>
  </r>
  <r>
    <x v="3"/>
  </r>
  <r>
    <x v="36"/>
  </r>
  <r>
    <x v="4"/>
  </r>
  <r>
    <x v="4"/>
  </r>
  <r>
    <x v="36"/>
  </r>
  <r>
    <x v="36"/>
  </r>
  <r>
    <x v="4"/>
  </r>
  <r>
    <x v="4"/>
  </r>
  <r>
    <x v="4"/>
  </r>
  <r>
    <x v="81"/>
  </r>
  <r>
    <x v="10"/>
  </r>
  <r>
    <x v="10"/>
  </r>
  <r>
    <x v="76"/>
  </r>
  <r>
    <x v="42"/>
  </r>
  <r>
    <x v="42"/>
  </r>
  <r>
    <x v="4"/>
  </r>
  <r>
    <x v="4"/>
  </r>
  <r>
    <x v="182"/>
  </r>
  <r>
    <x v="138"/>
  </r>
  <r>
    <x v="12"/>
  </r>
  <r>
    <x v="12"/>
  </r>
  <r>
    <x v="42"/>
  </r>
  <r>
    <x v="42"/>
  </r>
  <r>
    <x v="42"/>
  </r>
  <r>
    <x v="42"/>
  </r>
  <r>
    <x v="12"/>
  </r>
  <r>
    <x v="12"/>
  </r>
  <r>
    <x v="12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37"/>
  </r>
  <r>
    <x v="2"/>
  </r>
  <r>
    <x v="10"/>
  </r>
  <r>
    <x v="31"/>
  </r>
  <r>
    <x v="12"/>
  </r>
  <r>
    <x v="12"/>
  </r>
  <r>
    <x v="25"/>
  </r>
  <r>
    <x v="12"/>
  </r>
  <r>
    <x v="12"/>
  </r>
  <r>
    <x v="12"/>
  </r>
  <r>
    <x v="12"/>
  </r>
  <r>
    <x v="12"/>
  </r>
  <r>
    <x v="0"/>
  </r>
  <r>
    <x v="12"/>
  </r>
  <r>
    <x v="12"/>
  </r>
  <r>
    <x v="12"/>
  </r>
  <r>
    <x v="12"/>
  </r>
  <r>
    <x v="12"/>
  </r>
  <r>
    <x v="29"/>
  </r>
  <r>
    <x v="4"/>
  </r>
  <r>
    <x v="10"/>
  </r>
  <r>
    <x v="25"/>
  </r>
  <r>
    <x v="12"/>
  </r>
  <r>
    <x v="25"/>
  </r>
  <r>
    <x v="12"/>
  </r>
  <r>
    <x v="48"/>
  </r>
  <r>
    <x v="388"/>
  </r>
  <r>
    <x v="165"/>
  </r>
  <r>
    <x v="242"/>
  </r>
  <r>
    <x v="242"/>
  </r>
  <r>
    <x v="126"/>
  </r>
  <r>
    <x v="77"/>
  </r>
  <r>
    <x v="14"/>
  </r>
  <r>
    <x v="75"/>
  </r>
  <r>
    <x v="86"/>
  </r>
  <r>
    <x v="30"/>
  </r>
  <r>
    <x v="10"/>
  </r>
  <r>
    <x v="56"/>
  </r>
  <r>
    <x v="56"/>
  </r>
  <r>
    <x v="56"/>
  </r>
  <r>
    <x v="1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23"/>
  </r>
  <r>
    <x v="48"/>
  </r>
  <r>
    <x v="10"/>
  </r>
  <r>
    <x v="48"/>
  </r>
  <r>
    <x v="63"/>
  </r>
  <r>
    <x v="63"/>
  </r>
  <r>
    <x v="87"/>
  </r>
  <r>
    <x v="63"/>
  </r>
  <r>
    <x v="63"/>
  </r>
  <r>
    <x v="108"/>
  </r>
  <r>
    <x v="114"/>
  </r>
  <r>
    <x v="57"/>
  </r>
  <r>
    <x v="77"/>
  </r>
  <r>
    <x v="28"/>
  </r>
  <r>
    <x v="40"/>
  </r>
  <r>
    <x v="52"/>
  </r>
  <r>
    <x v="39"/>
  </r>
  <r>
    <x v="28"/>
  </r>
  <r>
    <x v="59"/>
  </r>
  <r>
    <x v="52"/>
  </r>
  <r>
    <x v="42"/>
  </r>
  <r>
    <x v="72"/>
  </r>
  <r>
    <x v="24"/>
  </r>
  <r>
    <x v="24"/>
  </r>
  <r>
    <x v="10"/>
  </r>
  <r>
    <x v="4"/>
  </r>
  <r>
    <x v="2"/>
  </r>
  <r>
    <x v="59"/>
  </r>
  <r>
    <x v="59"/>
  </r>
  <r>
    <x v="70"/>
  </r>
  <r>
    <x v="81"/>
  </r>
  <r>
    <x v="64"/>
  </r>
  <r>
    <x v="59"/>
  </r>
  <r>
    <x v="77"/>
  </r>
  <r>
    <x v="14"/>
  </r>
  <r>
    <x v="14"/>
  </r>
  <r>
    <x v="2"/>
  </r>
  <r>
    <x v="53"/>
  </r>
  <r>
    <x v="85"/>
  </r>
  <r>
    <x v="77"/>
  </r>
  <r>
    <x v="77"/>
  </r>
  <r>
    <x v="80"/>
  </r>
  <r>
    <x v="12"/>
  </r>
  <r>
    <x v="12"/>
  </r>
  <r>
    <x v="10"/>
  </r>
  <r>
    <x v="126"/>
  </r>
  <r>
    <x v="4"/>
  </r>
  <r>
    <x v="4"/>
  </r>
  <r>
    <x v="123"/>
  </r>
  <r>
    <x v="126"/>
  </r>
  <r>
    <x v="10"/>
  </r>
  <r>
    <x v="56"/>
  </r>
  <r>
    <x v="81"/>
  </r>
  <r>
    <x v="81"/>
  </r>
  <r>
    <x v="115"/>
  </r>
  <r>
    <x v="112"/>
  </r>
  <r>
    <x v="30"/>
  </r>
  <r>
    <x v="77"/>
  </r>
  <r>
    <x v="122"/>
  </r>
  <r>
    <x v="77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37"/>
  </r>
  <r>
    <x v="87"/>
  </r>
  <r>
    <x v="87"/>
  </r>
  <r>
    <x v="87"/>
  </r>
  <r>
    <x v="87"/>
  </r>
  <r>
    <x v="87"/>
  </r>
  <r>
    <x v="10"/>
  </r>
  <r>
    <x v="87"/>
  </r>
  <r>
    <x v="87"/>
  </r>
  <r>
    <x v="87"/>
  </r>
  <r>
    <x v="87"/>
  </r>
  <r>
    <x v="87"/>
  </r>
  <r>
    <x v="10"/>
  </r>
  <r>
    <x v="10"/>
  </r>
  <r>
    <x v="87"/>
  </r>
  <r>
    <x v="87"/>
  </r>
  <r>
    <x v="87"/>
  </r>
  <r>
    <x v="87"/>
  </r>
  <r>
    <x v="87"/>
  </r>
  <r>
    <x v="87"/>
  </r>
  <r>
    <x v="87"/>
  </r>
  <r>
    <x v="87"/>
  </r>
  <r>
    <x v="86"/>
  </r>
  <r>
    <x v="86"/>
  </r>
  <r>
    <x v="123"/>
  </r>
  <r>
    <x v="123"/>
  </r>
  <r>
    <x v="123"/>
  </r>
  <r>
    <x v="123"/>
  </r>
  <r>
    <x v="123"/>
  </r>
  <r>
    <x v="123"/>
  </r>
  <r>
    <x v="10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7"/>
  </r>
  <r>
    <x v="10"/>
  </r>
  <r>
    <x v="10"/>
  </r>
  <r>
    <x v="10"/>
  </r>
  <r>
    <x v="4"/>
  </r>
  <r>
    <x v="4"/>
  </r>
  <r>
    <x v="77"/>
  </r>
  <r>
    <x v="77"/>
  </r>
  <r>
    <x v="16"/>
  </r>
  <r>
    <x v="18"/>
  </r>
  <r>
    <x v="34"/>
  </r>
  <r>
    <x v="57"/>
  </r>
  <r>
    <x v="2"/>
  </r>
  <r>
    <x v="16"/>
  </r>
  <r>
    <x v="16"/>
  </r>
  <r>
    <x v="4"/>
  </r>
  <r>
    <x v="16"/>
  </r>
  <r>
    <x v="17"/>
  </r>
  <r>
    <x v="64"/>
  </r>
  <r>
    <x v="1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6"/>
  </r>
  <r>
    <x v="0"/>
  </r>
  <r>
    <x v="42"/>
  </r>
  <r>
    <x v="42"/>
  </r>
  <r>
    <x v="42"/>
  </r>
  <r>
    <x v="16"/>
  </r>
  <r>
    <x v="0"/>
  </r>
  <r>
    <x v="69"/>
  </r>
  <r>
    <x v="28"/>
  </r>
  <r>
    <x v="28"/>
  </r>
  <r>
    <x v="16"/>
  </r>
  <r>
    <x v="16"/>
  </r>
  <r>
    <x v="16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15"/>
  </r>
  <r>
    <x v="115"/>
  </r>
  <r>
    <x v="16"/>
  </r>
  <r>
    <x v="39"/>
  </r>
  <r>
    <x v="115"/>
  </r>
  <r>
    <x v="16"/>
  </r>
  <r>
    <x v="115"/>
  </r>
  <r>
    <x v="16"/>
  </r>
  <r>
    <x v="16"/>
  </r>
  <r>
    <x v="16"/>
  </r>
  <r>
    <x v="16"/>
  </r>
  <r>
    <x v="16"/>
  </r>
  <r>
    <x v="39"/>
  </r>
  <r>
    <x v="16"/>
  </r>
  <r>
    <x v="57"/>
  </r>
  <r>
    <x v="10"/>
  </r>
  <r>
    <x v="10"/>
  </r>
  <r>
    <x v="21"/>
  </r>
  <r>
    <x v="57"/>
  </r>
  <r>
    <x v="28"/>
  </r>
  <r>
    <x v="28"/>
  </r>
  <r>
    <x v="28"/>
  </r>
  <r>
    <x v="115"/>
  </r>
  <r>
    <x v="7"/>
  </r>
  <r>
    <x v="14"/>
  </r>
  <r>
    <x v="0"/>
  </r>
  <r>
    <x v="0"/>
  </r>
  <r>
    <x v="0"/>
  </r>
  <r>
    <x v="163"/>
  </r>
  <r>
    <x v="68"/>
  </r>
  <r>
    <x v="12"/>
  </r>
  <r>
    <x v="163"/>
  </r>
  <r>
    <x v="21"/>
  </r>
  <r>
    <x v="42"/>
  </r>
  <r>
    <x v="14"/>
  </r>
  <r>
    <x v="14"/>
  </r>
  <r>
    <x v="16"/>
  </r>
  <r>
    <x v="29"/>
  </r>
  <r>
    <x v="14"/>
  </r>
  <r>
    <x v="37"/>
  </r>
  <r>
    <x v="14"/>
  </r>
  <r>
    <x v="14"/>
  </r>
  <r>
    <x v="28"/>
  </r>
  <r>
    <x v="0"/>
  </r>
  <r>
    <x v="28"/>
  </r>
  <r>
    <x v="28"/>
  </r>
  <r>
    <x v="4"/>
  </r>
  <r>
    <x v="10"/>
  </r>
  <r>
    <x v="4"/>
  </r>
  <r>
    <x v="0"/>
  </r>
  <r>
    <x v="16"/>
  </r>
  <r>
    <x v="4"/>
  </r>
  <r>
    <x v="57"/>
  </r>
  <r>
    <x v="64"/>
  </r>
  <r>
    <x v="64"/>
  </r>
  <r>
    <x v="64"/>
  </r>
  <r>
    <x v="16"/>
  </r>
  <r>
    <x v="14"/>
  </r>
  <r>
    <x v="0"/>
  </r>
  <r>
    <x v="0"/>
  </r>
  <r>
    <x v="0"/>
  </r>
  <r>
    <x v="16"/>
  </r>
  <r>
    <x v="62"/>
  </r>
  <r>
    <x v="10"/>
  </r>
  <r>
    <x v="16"/>
  </r>
  <r>
    <x v="16"/>
  </r>
  <r>
    <x v="10"/>
  </r>
  <r>
    <x v="19"/>
  </r>
  <r>
    <x v="16"/>
  </r>
  <r>
    <x v="0"/>
  </r>
  <r>
    <x v="12"/>
  </r>
  <r>
    <x v="21"/>
  </r>
  <r>
    <x v="4"/>
  </r>
  <r>
    <x v="57"/>
  </r>
  <r>
    <x v="16"/>
  </r>
  <r>
    <x v="65"/>
  </r>
  <r>
    <x v="130"/>
  </r>
  <r>
    <x v="16"/>
  </r>
  <r>
    <x v="11"/>
  </r>
  <r>
    <x v="28"/>
  </r>
  <r>
    <x v="28"/>
  </r>
  <r>
    <x v="14"/>
  </r>
  <r>
    <x v="14"/>
  </r>
  <r>
    <x v="39"/>
  </r>
  <r>
    <x v="39"/>
  </r>
  <r>
    <x v="39"/>
  </r>
  <r>
    <x v="39"/>
  </r>
  <r>
    <x v="39"/>
  </r>
  <r>
    <x v="39"/>
  </r>
  <r>
    <x v="39"/>
  </r>
  <r>
    <x v="86"/>
  </r>
  <r>
    <x v="16"/>
  </r>
  <r>
    <x v="42"/>
  </r>
  <r>
    <x v="14"/>
  </r>
  <r>
    <x v="14"/>
  </r>
  <r>
    <x v="16"/>
  </r>
  <r>
    <x v="16"/>
  </r>
  <r>
    <x v="34"/>
  </r>
  <r>
    <x v="34"/>
  </r>
  <r>
    <x v="37"/>
  </r>
  <r>
    <x v="34"/>
  </r>
  <r>
    <x v="1"/>
  </r>
  <r>
    <x v="1"/>
  </r>
  <r>
    <x v="76"/>
  </r>
  <r>
    <x v="138"/>
  </r>
  <r>
    <x v="10"/>
  </r>
  <r>
    <x v="28"/>
  </r>
  <r>
    <x v="28"/>
  </r>
  <r>
    <x v="37"/>
  </r>
  <r>
    <x v="2"/>
  </r>
  <r>
    <x v="1"/>
  </r>
  <r>
    <x v="42"/>
  </r>
  <r>
    <x v="42"/>
  </r>
  <r>
    <x v="57"/>
  </r>
  <r>
    <x v="57"/>
  </r>
  <r>
    <x v="115"/>
  </r>
  <r>
    <x v="47"/>
  </r>
  <r>
    <x v="53"/>
  </r>
  <r>
    <x v="11"/>
  </r>
  <r>
    <x v="28"/>
  </r>
  <r>
    <x v="64"/>
  </r>
  <r>
    <x v="2"/>
  </r>
  <r>
    <x v="42"/>
  </r>
  <r>
    <x v="131"/>
  </r>
  <r>
    <x v="131"/>
  </r>
  <r>
    <x v="131"/>
  </r>
  <r>
    <x v="28"/>
  </r>
  <r>
    <x v="16"/>
  </r>
  <r>
    <x v="10"/>
  </r>
  <r>
    <x v="4"/>
  </r>
  <r>
    <x v="28"/>
  </r>
  <r>
    <x v="14"/>
  </r>
  <r>
    <x v="14"/>
  </r>
  <r>
    <x v="28"/>
  </r>
  <r>
    <x v="28"/>
  </r>
  <r>
    <x v="14"/>
  </r>
  <r>
    <x v="57"/>
  </r>
  <r>
    <x v="47"/>
  </r>
  <r>
    <x v="12"/>
  </r>
  <r>
    <x v="143"/>
  </r>
  <r>
    <x v="9"/>
  </r>
  <r>
    <x v="37"/>
  </r>
  <r>
    <x v="10"/>
  </r>
  <r>
    <x v="28"/>
  </r>
  <r>
    <x v="126"/>
  </r>
  <r>
    <x v="8"/>
  </r>
  <r>
    <x v="8"/>
  </r>
  <r>
    <x v="8"/>
  </r>
  <r>
    <x v="12"/>
  </r>
  <r>
    <x v="4"/>
  </r>
  <r>
    <x v="183"/>
  </r>
  <r>
    <x v="12"/>
  </r>
  <r>
    <x v="12"/>
  </r>
  <r>
    <x v="16"/>
  </r>
  <r>
    <x v="21"/>
  </r>
  <r>
    <x v="21"/>
  </r>
  <r>
    <x v="4"/>
  </r>
  <r>
    <x v="8"/>
  </r>
  <r>
    <x v="15"/>
  </r>
  <r>
    <x v="12"/>
  </r>
  <r>
    <x v="12"/>
  </r>
  <r>
    <x v="46"/>
  </r>
  <r>
    <x v="0"/>
  </r>
  <r>
    <x v="53"/>
  </r>
  <r>
    <x v="53"/>
  </r>
  <r>
    <x v="0"/>
  </r>
  <r>
    <x v="87"/>
  </r>
  <r>
    <x v="87"/>
  </r>
  <r>
    <x v="46"/>
  </r>
  <r>
    <x v="46"/>
  </r>
  <r>
    <x v="1"/>
  </r>
  <r>
    <x v="27"/>
  </r>
  <r>
    <x v="14"/>
  </r>
  <r>
    <x v="14"/>
  </r>
  <r>
    <x v="14"/>
  </r>
  <r>
    <x v="11"/>
  </r>
  <r>
    <x v="11"/>
  </r>
  <r>
    <x v="11"/>
  </r>
  <r>
    <x v="39"/>
  </r>
  <r>
    <x v="12"/>
  </r>
  <r>
    <x v="4"/>
  </r>
  <r>
    <x v="0"/>
  </r>
  <r>
    <x v="78"/>
  </r>
  <r>
    <x v="78"/>
  </r>
  <r>
    <x v="37"/>
  </r>
  <r>
    <x v="37"/>
  </r>
  <r>
    <x v="28"/>
  </r>
  <r>
    <x v="28"/>
  </r>
  <r>
    <x v="7"/>
  </r>
  <r>
    <x v="16"/>
  </r>
  <r>
    <x v="28"/>
  </r>
  <r>
    <x v="27"/>
  </r>
  <r>
    <x v="27"/>
  </r>
  <r>
    <x v="52"/>
  </r>
  <r>
    <x v="1"/>
  </r>
  <r>
    <x v="52"/>
  </r>
  <r>
    <x v="52"/>
  </r>
  <r>
    <x v="16"/>
  </r>
  <r>
    <x v="47"/>
  </r>
  <r>
    <x v="1"/>
  </r>
  <r>
    <x v="69"/>
  </r>
  <r>
    <x v="69"/>
  </r>
  <r>
    <x v="69"/>
  </r>
  <r>
    <x v="69"/>
  </r>
  <r>
    <x v="143"/>
  </r>
  <r>
    <x v="143"/>
  </r>
  <r>
    <x v="42"/>
  </r>
  <r>
    <x v="42"/>
  </r>
  <r>
    <x v="42"/>
  </r>
  <r>
    <x v="42"/>
  </r>
  <r>
    <x v="39"/>
  </r>
  <r>
    <x v="39"/>
  </r>
  <r>
    <x v="21"/>
  </r>
  <r>
    <x v="37"/>
  </r>
  <r>
    <x v="12"/>
  </r>
  <r>
    <x v="21"/>
  </r>
  <r>
    <x v="4"/>
  </r>
  <r>
    <x v="31"/>
  </r>
  <r>
    <x v="10"/>
  </r>
  <r>
    <x v="10"/>
  </r>
  <r>
    <x v="1"/>
  </r>
  <r>
    <x v="0"/>
  </r>
  <r>
    <x v="64"/>
  </r>
  <r>
    <x v="64"/>
  </r>
  <r>
    <x v="64"/>
  </r>
  <r>
    <x v="75"/>
  </r>
  <r>
    <x v="8"/>
  </r>
  <r>
    <x v="57"/>
  </r>
  <r>
    <x v="6"/>
  </r>
  <r>
    <x v="4"/>
  </r>
  <r>
    <x v="9"/>
  </r>
  <r>
    <x v="8"/>
  </r>
  <r>
    <x v="8"/>
  </r>
  <r>
    <x v="16"/>
  </r>
  <r>
    <x v="8"/>
  </r>
  <r>
    <x v="8"/>
  </r>
  <r>
    <x v="8"/>
  </r>
  <r>
    <x v="1"/>
  </r>
  <r>
    <x v="1"/>
  </r>
  <r>
    <x v="42"/>
  </r>
  <r>
    <x v="42"/>
  </r>
  <r>
    <x v="42"/>
  </r>
  <r>
    <x v="16"/>
  </r>
  <r>
    <x v="16"/>
  </r>
  <r>
    <x v="16"/>
  </r>
  <r>
    <x v="16"/>
  </r>
  <r>
    <x v="1"/>
  </r>
  <r>
    <x v="1"/>
  </r>
  <r>
    <x v="185"/>
  </r>
  <r>
    <x v="14"/>
  </r>
  <r>
    <x v="14"/>
  </r>
  <r>
    <x v="42"/>
  </r>
  <r>
    <x v="42"/>
  </r>
  <r>
    <x v="42"/>
  </r>
  <r>
    <x v="37"/>
  </r>
  <r>
    <x v="16"/>
  </r>
  <r>
    <x v="12"/>
  </r>
  <r>
    <x v="68"/>
  </r>
  <r>
    <x v="2"/>
  </r>
  <r>
    <x v="57"/>
  </r>
  <r>
    <x v="15"/>
  </r>
  <r>
    <x v="42"/>
  </r>
  <r>
    <x v="10"/>
  </r>
  <r>
    <x v="16"/>
  </r>
  <r>
    <x v="16"/>
  </r>
  <r>
    <x v="52"/>
  </r>
  <r>
    <x v="52"/>
  </r>
  <r>
    <x v="52"/>
  </r>
  <r>
    <x v="52"/>
  </r>
  <r>
    <x v="21"/>
  </r>
  <r>
    <x v="14"/>
  </r>
  <r>
    <x v="42"/>
  </r>
  <r>
    <x v="42"/>
  </r>
  <r>
    <x v="42"/>
  </r>
  <r>
    <x v="53"/>
  </r>
  <r>
    <x v="14"/>
  </r>
  <r>
    <x v="57"/>
  </r>
  <r>
    <x v="86"/>
  </r>
  <r>
    <x v="57"/>
  </r>
  <r>
    <x v="57"/>
  </r>
  <r>
    <x v="57"/>
  </r>
  <r>
    <x v="45"/>
  </r>
  <r>
    <x v="143"/>
  </r>
  <r>
    <x v="16"/>
  </r>
  <r>
    <x v="17"/>
  </r>
  <r>
    <x v="1"/>
  </r>
  <r>
    <x v="17"/>
  </r>
  <r>
    <x v="64"/>
  </r>
  <r>
    <x v="57"/>
  </r>
  <r>
    <x v="8"/>
  </r>
  <r>
    <x v="8"/>
  </r>
  <r>
    <x v="8"/>
  </r>
  <r>
    <x v="8"/>
  </r>
  <r>
    <x v="8"/>
  </r>
  <r>
    <x v="8"/>
  </r>
  <r>
    <x v="8"/>
  </r>
  <r>
    <x v="8"/>
  </r>
  <r>
    <x v="52"/>
  </r>
  <r>
    <x v="52"/>
  </r>
  <r>
    <x v="52"/>
  </r>
  <r>
    <x v="21"/>
  </r>
  <r>
    <x v="21"/>
  </r>
  <r>
    <x v="42"/>
  </r>
  <r>
    <x v="155"/>
  </r>
  <r>
    <x v="155"/>
  </r>
  <r>
    <x v="155"/>
  </r>
  <r>
    <x v="155"/>
  </r>
  <r>
    <x v="155"/>
  </r>
  <r>
    <x v="155"/>
  </r>
  <r>
    <x v="155"/>
  </r>
  <r>
    <x v="1"/>
  </r>
  <r>
    <x v="12"/>
  </r>
  <r>
    <x v="14"/>
  </r>
  <r>
    <x v="8"/>
  </r>
  <r>
    <x v="8"/>
  </r>
  <r>
    <x v="8"/>
  </r>
  <r>
    <x v="8"/>
  </r>
  <r>
    <x v="8"/>
  </r>
  <r>
    <x v="8"/>
  </r>
  <r>
    <x v="8"/>
  </r>
  <r>
    <x v="8"/>
  </r>
  <r>
    <x v="8"/>
  </r>
  <r>
    <x v="12"/>
  </r>
  <r>
    <x v="12"/>
  </r>
  <r>
    <x v="12"/>
  </r>
  <r>
    <x v="12"/>
  </r>
  <r>
    <x v="12"/>
  </r>
  <r>
    <x v="34"/>
  </r>
  <r>
    <x v="22"/>
  </r>
  <r>
    <x v="21"/>
  </r>
  <r>
    <x v="8"/>
  </r>
  <r>
    <x v="8"/>
  </r>
  <r>
    <x v="8"/>
  </r>
  <r>
    <x v="69"/>
  </r>
  <r>
    <x v="0"/>
  </r>
  <r>
    <x v="115"/>
  </r>
  <r>
    <x v="115"/>
  </r>
  <r>
    <x v="42"/>
  </r>
  <r>
    <x v="12"/>
  </r>
  <r>
    <x v="14"/>
  </r>
  <r>
    <x v="12"/>
  </r>
  <r>
    <x v="21"/>
  </r>
  <r>
    <x v="8"/>
  </r>
  <r>
    <x v="1"/>
  </r>
  <r>
    <x v="1"/>
  </r>
  <r>
    <x v="16"/>
  </r>
  <r>
    <x v="42"/>
  </r>
  <r>
    <x v="42"/>
  </r>
  <r>
    <x v="42"/>
  </r>
  <r>
    <x v="42"/>
  </r>
  <r>
    <x v="42"/>
  </r>
  <r>
    <x v="14"/>
  </r>
  <r>
    <x v="115"/>
  </r>
  <r>
    <x v="115"/>
  </r>
  <r>
    <x v="4"/>
  </r>
  <r>
    <x v="42"/>
  </r>
  <r>
    <x v="4"/>
  </r>
  <r>
    <x v="39"/>
  </r>
  <r>
    <x v="24"/>
  </r>
  <r>
    <x v="16"/>
  </r>
  <r>
    <x v="16"/>
  </r>
  <r>
    <x v="42"/>
  </r>
  <r>
    <x v="0"/>
  </r>
  <r>
    <x v="0"/>
  </r>
  <r>
    <x v="0"/>
  </r>
  <r>
    <x v="0"/>
  </r>
  <r>
    <x v="1"/>
  </r>
  <r>
    <x v="0"/>
  </r>
  <r>
    <x v="0"/>
  </r>
  <r>
    <x v="0"/>
  </r>
  <r>
    <x v="11"/>
  </r>
  <r>
    <x v="11"/>
  </r>
  <r>
    <x v="11"/>
  </r>
  <r>
    <x v="16"/>
  </r>
  <r>
    <x v="10"/>
  </r>
  <r>
    <x v="0"/>
  </r>
  <r>
    <x v="0"/>
  </r>
  <r>
    <x v="84"/>
  </r>
  <r>
    <x v="84"/>
  </r>
  <r>
    <x v="115"/>
  </r>
  <r>
    <x v="11"/>
  </r>
  <r>
    <x v="1"/>
  </r>
  <r>
    <x v="21"/>
  </r>
  <r>
    <x v="115"/>
  </r>
  <r>
    <x v="1"/>
  </r>
  <r>
    <x v="1"/>
  </r>
  <r>
    <x v="17"/>
  </r>
  <r>
    <x v="17"/>
  </r>
  <r>
    <x v="2"/>
  </r>
  <r>
    <x v="57"/>
  </r>
  <r>
    <x v="57"/>
  </r>
  <r>
    <x v="57"/>
  </r>
  <r>
    <x v="57"/>
  </r>
  <r>
    <x v="57"/>
  </r>
  <r>
    <x v="12"/>
  </r>
  <r>
    <x v="52"/>
  </r>
  <r>
    <x v="52"/>
  </r>
  <r>
    <x v="52"/>
  </r>
  <r>
    <x v="52"/>
  </r>
  <r>
    <x v="52"/>
  </r>
  <r>
    <x v="59"/>
  </r>
  <r>
    <x v="16"/>
  </r>
  <r>
    <x v="45"/>
  </r>
  <r>
    <x v="19"/>
  </r>
  <r>
    <x v="163"/>
  </r>
  <r>
    <x v="163"/>
  </r>
  <r>
    <x v="19"/>
  </r>
  <r>
    <x v="163"/>
  </r>
  <r>
    <x v="19"/>
  </r>
  <r>
    <x v="163"/>
  </r>
  <r>
    <x v="163"/>
  </r>
  <r>
    <x v="163"/>
  </r>
  <r>
    <x v="19"/>
  </r>
  <r>
    <x v="48"/>
  </r>
  <r>
    <x v="48"/>
  </r>
  <r>
    <x v="76"/>
  </r>
  <r>
    <x v="52"/>
  </r>
  <r>
    <x v="52"/>
  </r>
  <r>
    <x v="0"/>
  </r>
  <r>
    <x v="0"/>
  </r>
  <r>
    <x v="0"/>
  </r>
  <r>
    <x v="0"/>
  </r>
  <r>
    <x v="28"/>
  </r>
  <r>
    <x v="28"/>
  </r>
  <r>
    <x v="15"/>
  </r>
  <r>
    <x v="16"/>
  </r>
  <r>
    <x v="6"/>
  </r>
  <r>
    <x v="42"/>
  </r>
  <r>
    <x v="52"/>
  </r>
  <r>
    <x v="52"/>
  </r>
  <r>
    <x v="52"/>
  </r>
  <r>
    <x v="52"/>
  </r>
  <r>
    <x v="52"/>
  </r>
  <r>
    <x v="115"/>
  </r>
  <r>
    <x v="12"/>
  </r>
  <r>
    <x v="0"/>
  </r>
  <r>
    <x v="21"/>
  </r>
  <r>
    <x v="1"/>
  </r>
  <r>
    <x v="1"/>
  </r>
  <r>
    <x v="69"/>
  </r>
  <r>
    <x v="0"/>
  </r>
  <r>
    <x v="45"/>
  </r>
  <r>
    <x v="12"/>
  </r>
  <r>
    <x v="12"/>
  </r>
  <r>
    <x v="12"/>
  </r>
  <r>
    <x v="12"/>
  </r>
  <r>
    <x v="12"/>
  </r>
  <r>
    <x v="115"/>
  </r>
  <r>
    <x v="115"/>
  </r>
  <r>
    <x v="21"/>
  </r>
  <r>
    <x v="21"/>
  </r>
  <r>
    <x v="21"/>
  </r>
  <r>
    <x v="21"/>
  </r>
  <r>
    <x v="21"/>
  </r>
  <r>
    <x v="21"/>
  </r>
  <r>
    <x v="21"/>
  </r>
  <r>
    <x v="21"/>
  </r>
  <r>
    <x v="57"/>
  </r>
  <r>
    <x v="57"/>
  </r>
  <r>
    <x v="115"/>
  </r>
  <r>
    <x v="115"/>
  </r>
  <r>
    <x v="0"/>
  </r>
  <r>
    <x v="0"/>
  </r>
  <r>
    <x v="4"/>
  </r>
  <r>
    <x v="163"/>
  </r>
  <r>
    <x v="163"/>
  </r>
  <r>
    <x v="19"/>
  </r>
  <r>
    <x v="163"/>
  </r>
  <r>
    <x v="163"/>
  </r>
  <r>
    <x v="163"/>
  </r>
  <r>
    <x v="14"/>
  </r>
  <r>
    <x v="14"/>
  </r>
  <r>
    <x v="11"/>
  </r>
  <r>
    <x v="11"/>
  </r>
  <r>
    <x v="11"/>
  </r>
  <r>
    <x v="12"/>
  </r>
  <r>
    <x v="22"/>
  </r>
  <r>
    <x v="12"/>
  </r>
  <r>
    <x v="12"/>
  </r>
  <r>
    <x v="163"/>
  </r>
  <r>
    <x v="48"/>
  </r>
  <r>
    <x v="28"/>
  </r>
  <r>
    <x v="16"/>
  </r>
  <r>
    <x v="115"/>
  </r>
  <r>
    <x v="21"/>
  </r>
  <r>
    <x v="28"/>
  </r>
  <r>
    <x v="56"/>
  </r>
  <r>
    <x v="10"/>
  </r>
  <r>
    <x v="11"/>
  </r>
  <r>
    <x v="57"/>
  </r>
  <r>
    <x v="163"/>
  </r>
  <r>
    <x v="163"/>
  </r>
  <r>
    <x v="12"/>
  </r>
  <r>
    <x v="12"/>
  </r>
  <r>
    <x v="0"/>
  </r>
  <r>
    <x v="12"/>
  </r>
  <r>
    <x v="12"/>
  </r>
  <r>
    <x v="0"/>
  </r>
  <r>
    <x v="0"/>
  </r>
  <r>
    <x v="123"/>
  </r>
  <r>
    <x v="19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2"/>
  </r>
  <r>
    <x v="12"/>
  </r>
  <r>
    <x v="0"/>
  </r>
  <r>
    <x v="16"/>
  </r>
  <r>
    <x v="10"/>
  </r>
  <r>
    <x v="7"/>
  </r>
  <r>
    <x v="163"/>
  </r>
  <r>
    <x v="12"/>
  </r>
  <r>
    <x v="4"/>
  </r>
  <r>
    <x v="42"/>
  </r>
  <r>
    <x v="42"/>
  </r>
  <r>
    <x v="163"/>
  </r>
  <r>
    <x v="163"/>
  </r>
  <r>
    <x v="73"/>
  </r>
  <r>
    <x v="73"/>
  </r>
  <r>
    <x v="16"/>
  </r>
  <r>
    <x v="16"/>
  </r>
  <r>
    <x v="48"/>
  </r>
  <r>
    <x v="37"/>
  </r>
  <r>
    <x v="37"/>
  </r>
  <r>
    <x v="37"/>
  </r>
  <r>
    <x v="12"/>
  </r>
  <r>
    <x v="0"/>
  </r>
  <r>
    <x v="163"/>
  </r>
  <r>
    <x v="0"/>
  </r>
  <r>
    <x v="0"/>
  </r>
  <r>
    <x v="155"/>
  </r>
  <r>
    <x v="155"/>
  </r>
  <r>
    <x v="155"/>
  </r>
  <r>
    <x v="155"/>
  </r>
  <r>
    <x v="0"/>
  </r>
  <r>
    <x v="57"/>
  </r>
  <r>
    <x v="71"/>
  </r>
  <r>
    <x v="42"/>
  </r>
  <r>
    <x v="0"/>
  </r>
  <r>
    <x v="4"/>
  </r>
  <r>
    <x v="12"/>
  </r>
  <r>
    <x v="19"/>
  </r>
  <r>
    <x v="68"/>
  </r>
  <r>
    <x v="24"/>
  </r>
  <r>
    <x v="115"/>
  </r>
  <r>
    <x v="12"/>
  </r>
  <r>
    <x v="12"/>
  </r>
  <r>
    <x v="12"/>
  </r>
  <r>
    <x v="12"/>
  </r>
  <r>
    <x v="37"/>
  </r>
  <r>
    <x v="9"/>
  </r>
  <r>
    <x v="42"/>
  </r>
  <r>
    <x v="42"/>
  </r>
  <r>
    <x v="42"/>
  </r>
  <r>
    <x v="42"/>
  </r>
  <r>
    <x v="131"/>
  </r>
  <r>
    <x v="131"/>
  </r>
  <r>
    <x v="37"/>
  </r>
  <r>
    <x v="14"/>
  </r>
  <r>
    <x v="14"/>
  </r>
  <r>
    <x v="14"/>
  </r>
  <r>
    <x v="2"/>
  </r>
  <r>
    <x v="115"/>
  </r>
  <r>
    <x v="19"/>
  </r>
  <r>
    <x v="19"/>
  </r>
  <r>
    <x v="19"/>
  </r>
  <r>
    <x v="16"/>
  </r>
  <r>
    <x v="34"/>
  </r>
  <r>
    <x v="21"/>
  </r>
  <r>
    <x v="12"/>
  </r>
  <r>
    <x v="12"/>
  </r>
  <r>
    <x v="42"/>
  </r>
  <r>
    <x v="42"/>
  </r>
  <r>
    <x v="42"/>
  </r>
  <r>
    <x v="19"/>
  </r>
  <r>
    <x v="163"/>
  </r>
  <r>
    <x v="12"/>
  </r>
  <r>
    <x v="143"/>
  </r>
  <r>
    <x v="68"/>
  </r>
  <r>
    <x v="68"/>
  </r>
  <r>
    <x v="68"/>
  </r>
  <r>
    <x v="68"/>
  </r>
  <r>
    <x v="163"/>
  </r>
  <r>
    <x v="19"/>
  </r>
  <r>
    <x v="9"/>
  </r>
  <r>
    <x v="19"/>
  </r>
  <r>
    <x v="19"/>
  </r>
  <r>
    <x v="19"/>
  </r>
  <r>
    <x v="87"/>
  </r>
  <r>
    <x v="0"/>
  </r>
  <r>
    <x v="69"/>
  </r>
  <r>
    <x v="69"/>
  </r>
  <r>
    <x v="69"/>
  </r>
  <r>
    <x v="12"/>
  </r>
  <r>
    <x v="69"/>
  </r>
  <r>
    <x v="10"/>
  </r>
  <r>
    <x v="19"/>
  </r>
  <r>
    <x v="19"/>
  </r>
  <r>
    <x v="115"/>
  </r>
  <r>
    <x v="115"/>
  </r>
  <r>
    <x v="0"/>
  </r>
  <r>
    <x v="87"/>
  </r>
  <r>
    <x v="16"/>
  </r>
  <r>
    <x v="0"/>
  </r>
  <r>
    <x v="0"/>
  </r>
  <r>
    <x v="0"/>
  </r>
  <r>
    <x v="42"/>
  </r>
  <r>
    <x v="42"/>
  </r>
  <r>
    <x v="42"/>
  </r>
  <r>
    <x v="0"/>
  </r>
  <r>
    <x v="64"/>
  </r>
  <r>
    <x v="64"/>
  </r>
  <r>
    <x v="64"/>
  </r>
  <r>
    <x v="42"/>
  </r>
  <r>
    <x v="19"/>
  </r>
  <r>
    <x v="278"/>
  </r>
  <r>
    <x v="87"/>
  </r>
  <r>
    <x v="48"/>
  </r>
  <r>
    <x v="14"/>
  </r>
  <r>
    <x v="10"/>
  </r>
  <r>
    <x v="10"/>
  </r>
  <r>
    <x v="10"/>
  </r>
  <r>
    <x v="16"/>
  </r>
  <r>
    <x v="12"/>
  </r>
  <r>
    <x v="123"/>
  </r>
  <r>
    <x v="123"/>
  </r>
  <r>
    <x v="64"/>
  </r>
  <r>
    <x v="64"/>
  </r>
  <r>
    <x v="29"/>
  </r>
  <r>
    <x v="25"/>
  </r>
  <r>
    <x v="19"/>
  </r>
  <r>
    <x v="16"/>
  </r>
  <r>
    <x v="16"/>
  </r>
  <r>
    <x v="16"/>
  </r>
  <r>
    <x v="16"/>
  </r>
  <r>
    <x v="16"/>
  </r>
  <r>
    <x v="16"/>
  </r>
  <r>
    <x v="16"/>
  </r>
  <r>
    <x v="57"/>
  </r>
  <r>
    <x v="16"/>
  </r>
  <r>
    <x v="16"/>
  </r>
  <r>
    <x v="21"/>
  </r>
  <r>
    <x v="21"/>
  </r>
  <r>
    <x v="72"/>
  </r>
  <r>
    <x v="21"/>
  </r>
  <r>
    <x v="21"/>
  </r>
  <r>
    <x v="139"/>
  </r>
  <r>
    <x v="72"/>
  </r>
  <r>
    <x v="124"/>
  </r>
  <r>
    <x v="0"/>
  </r>
  <r>
    <x v="39"/>
  </r>
  <r>
    <x v="42"/>
  </r>
  <r>
    <x v="45"/>
  </r>
  <r>
    <x v="37"/>
  </r>
  <r>
    <x v="25"/>
  </r>
  <r>
    <x v="57"/>
  </r>
  <r>
    <x v="57"/>
  </r>
  <r>
    <x v="14"/>
  </r>
  <r>
    <x v="11"/>
  </r>
  <r>
    <x v="163"/>
  </r>
  <r>
    <x v="11"/>
  </r>
  <r>
    <x v="45"/>
  </r>
  <r>
    <x v="0"/>
  </r>
  <r>
    <x v="57"/>
  </r>
  <r>
    <x v="57"/>
  </r>
  <r>
    <x v="57"/>
  </r>
  <r>
    <x v="57"/>
  </r>
  <r>
    <x v="57"/>
  </r>
  <r>
    <x v="42"/>
  </r>
  <r>
    <x v="10"/>
  </r>
  <r>
    <x v="111"/>
  </r>
  <r>
    <x v="111"/>
  </r>
  <r>
    <x v="24"/>
  </r>
  <r>
    <x v="81"/>
  </r>
  <r>
    <x v="9"/>
  </r>
  <r>
    <x v="12"/>
  </r>
  <r>
    <x v="10"/>
  </r>
  <r>
    <x v="48"/>
  </r>
  <r>
    <x v="0"/>
  </r>
  <r>
    <x v="68"/>
  </r>
  <r>
    <x v="53"/>
  </r>
  <r>
    <x v="91"/>
  </r>
  <r>
    <x v="14"/>
  </r>
  <r>
    <x v="4"/>
  </r>
  <r>
    <x v="16"/>
  </r>
  <r>
    <x v="16"/>
  </r>
  <r>
    <x v="11"/>
  </r>
  <r>
    <x v="76"/>
  </r>
  <r>
    <x v="76"/>
  </r>
  <r>
    <x v="10"/>
  </r>
  <r>
    <x v="87"/>
  </r>
  <r>
    <x v="12"/>
  </r>
  <r>
    <x v="11"/>
  </r>
  <r>
    <x v="0"/>
  </r>
  <r>
    <x v="115"/>
  </r>
  <r>
    <x v="115"/>
  </r>
  <r>
    <x v="184"/>
  </r>
  <r>
    <x v="184"/>
  </r>
  <r>
    <x v="21"/>
  </r>
  <r>
    <x v="87"/>
  </r>
  <r>
    <x v="87"/>
  </r>
  <r>
    <x v="4"/>
  </r>
  <r>
    <x v="73"/>
  </r>
  <r>
    <x v="70"/>
  </r>
  <r>
    <x v="63"/>
  </r>
  <r>
    <x v="19"/>
  </r>
  <r>
    <x v="0"/>
  </r>
  <r>
    <x v="63"/>
  </r>
  <r>
    <x v="63"/>
  </r>
  <r>
    <x v="63"/>
  </r>
  <r>
    <x v="63"/>
  </r>
  <r>
    <x v="12"/>
  </r>
  <r>
    <x v="78"/>
  </r>
  <r>
    <x v="78"/>
  </r>
  <r>
    <x v="78"/>
  </r>
  <r>
    <x v="78"/>
  </r>
  <r>
    <x v="48"/>
  </r>
  <r>
    <x v="48"/>
  </r>
  <r>
    <x v="48"/>
  </r>
  <r>
    <x v="48"/>
  </r>
  <r>
    <x v="48"/>
  </r>
  <r>
    <x v="48"/>
  </r>
  <r>
    <x v="48"/>
  </r>
  <r>
    <x v="48"/>
  </r>
  <r>
    <x v="63"/>
  </r>
  <r>
    <x v="63"/>
  </r>
  <r>
    <x v="45"/>
  </r>
  <r>
    <x v="63"/>
  </r>
  <r>
    <x v="45"/>
  </r>
  <r>
    <x v="48"/>
  </r>
  <r>
    <x v="48"/>
  </r>
  <r>
    <x v="48"/>
  </r>
  <r>
    <x v="12"/>
  </r>
  <r>
    <x v="11"/>
  </r>
  <r>
    <x v="4"/>
  </r>
  <r>
    <x v="123"/>
  </r>
  <r>
    <x v="0"/>
  </r>
  <r>
    <x v="12"/>
  </r>
  <r>
    <x v="1"/>
  </r>
  <r>
    <x v="123"/>
  </r>
  <r>
    <x v="123"/>
  </r>
  <r>
    <x v="2"/>
  </r>
  <r>
    <x v="12"/>
  </r>
  <r>
    <x v="12"/>
  </r>
  <r>
    <x v="2"/>
  </r>
  <r>
    <x v="16"/>
  </r>
  <r>
    <x v="4"/>
  </r>
  <r>
    <x v="53"/>
  </r>
  <r>
    <x v="14"/>
  </r>
  <r>
    <x v="77"/>
  </r>
  <r>
    <x v="324"/>
  </r>
  <r>
    <x v="28"/>
  </r>
  <r>
    <x v="28"/>
  </r>
  <r>
    <x v="28"/>
  </r>
  <r>
    <x v="28"/>
  </r>
  <r>
    <x v="4"/>
  </r>
  <r>
    <x v="4"/>
  </r>
  <r>
    <x v="19"/>
  </r>
  <r>
    <x v="10"/>
  </r>
  <r>
    <x v="51"/>
  </r>
  <r>
    <x v="63"/>
  </r>
  <r>
    <x v="48"/>
  </r>
  <r>
    <x v="150"/>
  </r>
  <r>
    <x v="0"/>
  </r>
  <r>
    <x v="0"/>
  </r>
  <r>
    <x v="0"/>
  </r>
  <r>
    <x v="0"/>
  </r>
  <r>
    <x v="0"/>
  </r>
  <r>
    <x v="130"/>
  </r>
  <r>
    <x v="12"/>
  </r>
  <r>
    <x v="10"/>
  </r>
  <r>
    <x v="84"/>
  </r>
  <r>
    <x v="81"/>
  </r>
  <r>
    <x v="52"/>
  </r>
  <r>
    <x v="12"/>
  </r>
  <r>
    <x v="12"/>
  </r>
  <r>
    <x v="0"/>
  </r>
  <r>
    <x v="0"/>
  </r>
  <r>
    <x v="0"/>
  </r>
  <r>
    <x v="0"/>
  </r>
  <r>
    <x v="16"/>
  </r>
  <r>
    <x v="21"/>
  </r>
  <r>
    <x v="4"/>
  </r>
  <r>
    <x v="14"/>
  </r>
  <r>
    <x v="130"/>
  </r>
  <r>
    <x v="16"/>
  </r>
  <r>
    <x v="28"/>
  </r>
  <r>
    <x v="12"/>
  </r>
  <r>
    <x v="4"/>
  </r>
  <r>
    <x v="130"/>
  </r>
  <r>
    <x v="130"/>
  </r>
  <r>
    <x v="10"/>
  </r>
  <r>
    <x v="10"/>
  </r>
  <r>
    <x v="10"/>
  </r>
  <r>
    <x v="130"/>
  </r>
  <r>
    <x v="2"/>
  </r>
  <r>
    <x v="2"/>
  </r>
  <r>
    <x v="25"/>
  </r>
  <r>
    <x v="9"/>
  </r>
  <r>
    <x v="22"/>
  </r>
  <r>
    <x v="57"/>
  </r>
  <r>
    <x v="0"/>
  </r>
  <r>
    <x v="12"/>
  </r>
  <r>
    <x v="8"/>
  </r>
  <r>
    <x v="0"/>
  </r>
  <r>
    <x v="0"/>
  </r>
  <r>
    <x v="0"/>
  </r>
  <r>
    <x v="77"/>
  </r>
  <r>
    <x v="11"/>
  </r>
  <r>
    <x v="11"/>
  </r>
  <r>
    <x v="77"/>
  </r>
  <r>
    <x v="77"/>
  </r>
  <r>
    <x v="78"/>
  </r>
  <r>
    <x v="78"/>
  </r>
  <r>
    <x v="28"/>
  </r>
  <r>
    <x v="141"/>
  </r>
  <r>
    <x v="141"/>
  </r>
  <r>
    <x v="141"/>
  </r>
  <r>
    <x v="141"/>
  </r>
  <r>
    <x v="39"/>
  </r>
  <r>
    <x v="21"/>
  </r>
  <r>
    <x v="45"/>
  </r>
  <r>
    <x v="42"/>
  </r>
  <r>
    <x v="163"/>
  </r>
  <r>
    <x v="14"/>
  </r>
  <r>
    <x v="14"/>
  </r>
  <r>
    <x v="48"/>
  </r>
  <r>
    <x v="4"/>
  </r>
  <r>
    <x v="16"/>
  </r>
  <r>
    <x v="16"/>
  </r>
  <r>
    <x v="128"/>
  </r>
  <r>
    <x v="14"/>
  </r>
  <r>
    <x v="14"/>
  </r>
  <r>
    <x v="4"/>
  </r>
  <r>
    <x v="10"/>
  </r>
  <r>
    <x v="184"/>
  </r>
  <r>
    <x v="1"/>
  </r>
  <r>
    <x v="0"/>
  </r>
  <r>
    <x v="19"/>
  </r>
  <r>
    <x v="12"/>
  </r>
  <r>
    <x v="2"/>
  </r>
  <r>
    <x v="11"/>
  </r>
  <r>
    <x v="11"/>
  </r>
  <r>
    <x v="11"/>
  </r>
  <r>
    <x v="11"/>
  </r>
  <r>
    <x v="45"/>
  </r>
  <r>
    <x v="12"/>
  </r>
  <r>
    <x v="0"/>
  </r>
  <r>
    <x v="10"/>
  </r>
  <r>
    <x v="93"/>
  </r>
  <r>
    <x v="71"/>
  </r>
  <r>
    <x v="51"/>
  </r>
  <r>
    <x v="4"/>
  </r>
  <r>
    <x v="115"/>
  </r>
  <r>
    <x v="9"/>
  </r>
  <r>
    <x v="48"/>
  </r>
  <r>
    <x v="115"/>
  </r>
  <r>
    <x v="10"/>
  </r>
  <r>
    <x v="28"/>
  </r>
  <r>
    <x v="16"/>
  </r>
  <r>
    <x v="16"/>
  </r>
  <r>
    <x v="11"/>
  </r>
  <r>
    <x v="16"/>
  </r>
  <r>
    <x v="16"/>
  </r>
  <r>
    <x v="16"/>
  </r>
  <r>
    <x v="16"/>
  </r>
  <r>
    <x v="16"/>
  </r>
  <r>
    <x v="16"/>
  </r>
  <r>
    <x v="45"/>
  </r>
  <r>
    <x v="45"/>
  </r>
  <r>
    <x v="45"/>
  </r>
  <r>
    <x v="45"/>
  </r>
  <r>
    <x v="57"/>
  </r>
  <r>
    <x v="16"/>
  </r>
  <r>
    <x v="16"/>
  </r>
  <r>
    <x v="16"/>
  </r>
  <r>
    <x v="16"/>
  </r>
  <r>
    <x v="19"/>
  </r>
  <r>
    <x v="14"/>
  </r>
  <r>
    <x v="48"/>
  </r>
  <r>
    <x v="37"/>
  </r>
  <r>
    <x v="37"/>
  </r>
  <r>
    <x v="4"/>
  </r>
  <r>
    <x v="16"/>
  </r>
  <r>
    <x v="1"/>
  </r>
  <r>
    <x v="68"/>
  </r>
  <r>
    <x v="19"/>
  </r>
  <r>
    <x v="12"/>
  </r>
  <r>
    <x v="12"/>
  </r>
  <r>
    <x v="12"/>
  </r>
  <r>
    <x v="12"/>
  </r>
  <r>
    <x v="12"/>
  </r>
  <r>
    <x v="12"/>
  </r>
  <r>
    <x v="9"/>
  </r>
  <r>
    <x v="1"/>
  </r>
  <r>
    <x v="19"/>
  </r>
  <r>
    <x v="14"/>
  </r>
  <r>
    <x v="0"/>
  </r>
  <r>
    <x v="0"/>
  </r>
  <r>
    <x v="8"/>
  </r>
  <r>
    <x v="8"/>
  </r>
  <r>
    <x v="8"/>
  </r>
  <r>
    <x v="8"/>
  </r>
  <r>
    <x v="8"/>
  </r>
  <r>
    <x v="8"/>
  </r>
  <r>
    <x v="0"/>
  </r>
  <r>
    <x v="4"/>
  </r>
  <r>
    <x v="11"/>
  </r>
  <r>
    <x v="16"/>
  </r>
  <r>
    <x v="9"/>
  </r>
  <r>
    <x v="76"/>
  </r>
  <r>
    <x v="72"/>
  </r>
  <r>
    <x v="4"/>
  </r>
  <r>
    <x v="14"/>
  </r>
  <r>
    <x v="25"/>
  </r>
  <r>
    <x v="25"/>
  </r>
  <r>
    <x v="10"/>
  </r>
  <r>
    <x v="112"/>
  </r>
  <r>
    <x v="59"/>
  </r>
  <r>
    <x v="7"/>
  </r>
  <r>
    <x v="12"/>
  </r>
  <r>
    <x v="30"/>
  </r>
  <r>
    <x v="25"/>
  </r>
  <r>
    <x v="71"/>
  </r>
  <r>
    <x v="68"/>
  </r>
  <r>
    <x v="57"/>
  </r>
  <r>
    <x v="57"/>
  </r>
  <r>
    <x v="17"/>
  </r>
  <r>
    <x v="16"/>
  </r>
  <r>
    <x v="16"/>
  </r>
  <r>
    <x v="16"/>
  </r>
  <r>
    <x v="1"/>
  </r>
  <r>
    <x v="1"/>
  </r>
  <r>
    <x v="12"/>
  </r>
  <r>
    <x v="12"/>
  </r>
  <r>
    <x v="9"/>
  </r>
  <r>
    <x v="53"/>
  </r>
  <r>
    <x v="9"/>
  </r>
  <r>
    <x v="1"/>
  </r>
  <r>
    <x v="16"/>
  </r>
  <r>
    <x v="16"/>
  </r>
  <r>
    <x v="11"/>
  </r>
  <r>
    <x v="1"/>
  </r>
  <r>
    <x v="14"/>
  </r>
  <r>
    <x v="11"/>
  </r>
  <r>
    <x v="16"/>
  </r>
  <r>
    <x v="0"/>
  </r>
  <r>
    <x v="28"/>
  </r>
  <r>
    <x v="12"/>
  </r>
  <r>
    <x v="45"/>
  </r>
  <r>
    <x v="12"/>
  </r>
  <r>
    <x v="16"/>
  </r>
  <r>
    <x v="16"/>
  </r>
  <r>
    <x v="4"/>
  </r>
  <r>
    <x v="4"/>
  </r>
  <r>
    <x v="21"/>
  </r>
  <r>
    <x v="59"/>
  </r>
  <r>
    <x v="11"/>
  </r>
  <r>
    <x v="48"/>
  </r>
  <r>
    <x v="37"/>
  </r>
  <r>
    <x v="14"/>
  </r>
  <r>
    <x v="16"/>
  </r>
  <r>
    <x v="12"/>
  </r>
  <r>
    <x v="24"/>
  </r>
  <r>
    <x v="77"/>
  </r>
  <r>
    <x v="9"/>
  </r>
  <r>
    <x v="9"/>
  </r>
  <r>
    <x v="25"/>
  </r>
  <r>
    <x v="37"/>
  </r>
  <r>
    <x v="33"/>
  </r>
  <r>
    <x v="12"/>
  </r>
  <r>
    <x v="12"/>
  </r>
  <r>
    <x v="46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6"/>
  </r>
  <r>
    <x v="12"/>
  </r>
  <r>
    <x v="2"/>
  </r>
  <r>
    <x v="9"/>
  </r>
  <r>
    <x v="9"/>
  </r>
  <r>
    <x v="11"/>
  </r>
  <r>
    <x v="11"/>
  </r>
  <r>
    <x v="28"/>
  </r>
  <r>
    <x v="1"/>
  </r>
  <r>
    <x v="1"/>
  </r>
  <r>
    <x v="1"/>
  </r>
  <r>
    <x v="17"/>
  </r>
  <r>
    <x v="12"/>
  </r>
  <r>
    <x v="16"/>
  </r>
  <r>
    <x v="12"/>
  </r>
  <r>
    <x v="11"/>
  </r>
  <r>
    <x v="16"/>
  </r>
  <r>
    <x v="11"/>
  </r>
  <r>
    <x v="24"/>
  </r>
  <r>
    <x v="9"/>
  </r>
  <r>
    <x v="4"/>
  </r>
  <r>
    <x v="57"/>
  </r>
  <r>
    <x v="150"/>
  </r>
  <r>
    <x v="17"/>
  </r>
  <r>
    <x v="34"/>
  </r>
  <r>
    <x v="1"/>
  </r>
  <r>
    <x v="34"/>
  </r>
  <r>
    <x v="34"/>
  </r>
  <r>
    <x v="150"/>
  </r>
  <r>
    <x v="9"/>
  </r>
  <r>
    <x v="9"/>
  </r>
  <r>
    <x v="9"/>
  </r>
  <r>
    <x v="42"/>
  </r>
  <r>
    <x v="4"/>
  </r>
  <r>
    <x v="4"/>
  </r>
  <r>
    <x v="4"/>
  </r>
  <r>
    <x v="4"/>
  </r>
  <r>
    <x v="4"/>
  </r>
  <r>
    <x v="4"/>
  </r>
  <r>
    <x v="12"/>
  </r>
  <r>
    <x v="12"/>
  </r>
  <r>
    <x v="12"/>
  </r>
  <r>
    <x v="12"/>
  </r>
  <r>
    <x v="16"/>
  </r>
  <r>
    <x v="12"/>
  </r>
  <r>
    <x v="1"/>
  </r>
  <r>
    <x v="45"/>
  </r>
  <r>
    <x v="45"/>
  </r>
  <r>
    <x v="30"/>
  </r>
  <r>
    <x v="45"/>
  </r>
  <r>
    <x v="45"/>
  </r>
  <r>
    <x v="16"/>
  </r>
  <r>
    <x v="11"/>
  </r>
  <r>
    <x v="11"/>
  </r>
  <r>
    <x v="1"/>
  </r>
  <r>
    <x v="1"/>
  </r>
  <r>
    <x v="14"/>
  </r>
  <r>
    <x v="14"/>
  </r>
  <r>
    <x v="68"/>
  </r>
  <r>
    <x v="1"/>
  </r>
  <r>
    <x v="59"/>
  </r>
  <r>
    <x v="52"/>
  </r>
  <r>
    <x v="45"/>
  </r>
  <r>
    <x v="12"/>
  </r>
  <r>
    <x v="19"/>
  </r>
  <r>
    <x v="76"/>
  </r>
  <r>
    <x v="31"/>
  </r>
  <r>
    <x v="7"/>
  </r>
  <r>
    <x v="4"/>
  </r>
  <r>
    <x v="42"/>
  </r>
  <r>
    <x v="12"/>
  </r>
  <r>
    <x v="10"/>
  </r>
  <r>
    <x v="36"/>
  </r>
  <r>
    <x v="0"/>
  </r>
  <r>
    <x v="0"/>
  </r>
  <r>
    <x v="0"/>
  </r>
  <r>
    <x v="0"/>
  </r>
  <r>
    <x v="45"/>
  </r>
  <r>
    <x v="45"/>
  </r>
  <r>
    <x v="0"/>
  </r>
  <r>
    <x v="0"/>
  </r>
  <r>
    <x v="45"/>
  </r>
  <r>
    <x v="0"/>
  </r>
  <r>
    <x v="0"/>
  </r>
  <r>
    <x v="0"/>
  </r>
  <r>
    <x v="0"/>
  </r>
  <r>
    <x v="0"/>
  </r>
  <r>
    <x v="4"/>
  </r>
  <r>
    <x v="12"/>
  </r>
  <r>
    <x v="12"/>
  </r>
  <r>
    <x v="0"/>
  </r>
  <r>
    <x v="0"/>
  </r>
  <r>
    <x v="0"/>
  </r>
  <r>
    <x v="0"/>
  </r>
  <r>
    <x v="45"/>
  </r>
  <r>
    <x v="0"/>
  </r>
  <r>
    <x v="12"/>
  </r>
  <r>
    <x v="24"/>
  </r>
  <r>
    <x v="45"/>
  </r>
  <r>
    <x v="9"/>
  </r>
  <r>
    <x v="0"/>
  </r>
  <r>
    <x v="0"/>
  </r>
  <r>
    <x v="0"/>
  </r>
  <r>
    <x v="0"/>
  </r>
  <r>
    <x v="45"/>
  </r>
  <r>
    <x v="42"/>
  </r>
  <r>
    <x v="2"/>
  </r>
  <r>
    <x v="2"/>
  </r>
  <r>
    <x v="17"/>
  </r>
  <r>
    <x v="115"/>
  </r>
  <r>
    <x v="12"/>
  </r>
  <r>
    <x v="12"/>
  </r>
  <r>
    <x v="12"/>
  </r>
  <r>
    <x v="12"/>
  </r>
  <r>
    <x v="39"/>
  </r>
  <r>
    <x v="12"/>
  </r>
  <r>
    <x v="12"/>
  </r>
  <r>
    <x v="12"/>
  </r>
  <r>
    <x v="28"/>
  </r>
  <r>
    <x v="1"/>
  </r>
  <r>
    <x v="1"/>
  </r>
  <r>
    <x v="1"/>
  </r>
  <r>
    <x v="1"/>
  </r>
  <r>
    <x v="84"/>
  </r>
  <r>
    <x v="37"/>
  </r>
  <r>
    <x v="1"/>
  </r>
  <r>
    <x v="68"/>
  </r>
  <r>
    <x v="68"/>
  </r>
  <r>
    <x v="55"/>
  </r>
  <r>
    <x v="4"/>
  </r>
  <r>
    <x v="4"/>
  </r>
  <r>
    <x v="15"/>
  </r>
  <r>
    <x v="115"/>
  </r>
  <r>
    <x v="16"/>
  </r>
  <r>
    <x v="22"/>
  </r>
  <r>
    <x v="22"/>
  </r>
  <r>
    <x v="10"/>
  </r>
  <r>
    <x v="10"/>
  </r>
  <r>
    <x v="2"/>
  </r>
  <r>
    <x v="2"/>
  </r>
  <r>
    <x v="2"/>
  </r>
  <r>
    <x v="1"/>
  </r>
  <r>
    <x v="1"/>
  </r>
  <r>
    <x v="24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45"/>
  </r>
  <r>
    <x v="1"/>
  </r>
  <r>
    <x v="1"/>
  </r>
  <r>
    <x v="16"/>
  </r>
  <r>
    <x v="16"/>
  </r>
  <r>
    <x v="45"/>
  </r>
  <r>
    <x v="108"/>
  </r>
  <r>
    <x v="28"/>
  </r>
  <r>
    <x v="11"/>
  </r>
  <r>
    <x v="28"/>
  </r>
  <r>
    <x v="57"/>
  </r>
  <r>
    <x v="14"/>
  </r>
  <r>
    <x v="19"/>
  </r>
  <r>
    <x v="19"/>
  </r>
  <r>
    <x v="31"/>
  </r>
  <r>
    <x v="81"/>
  </r>
  <r>
    <x v="12"/>
  </r>
  <r>
    <x v="19"/>
  </r>
  <r>
    <x v="19"/>
  </r>
  <r>
    <x v="84"/>
  </r>
  <r>
    <x v="84"/>
  </r>
  <r>
    <x v="37"/>
  </r>
  <r>
    <x v="84"/>
  </r>
  <r>
    <x v="84"/>
  </r>
  <r>
    <x v="84"/>
  </r>
  <r>
    <x v="84"/>
  </r>
  <r>
    <x v="37"/>
  </r>
  <r>
    <x v="37"/>
  </r>
  <r>
    <x v="84"/>
  </r>
  <r>
    <x v="84"/>
  </r>
  <r>
    <x v="28"/>
  </r>
  <r>
    <x v="28"/>
  </r>
  <r>
    <x v="21"/>
  </r>
  <r>
    <x v="39"/>
  </r>
  <r>
    <x v="150"/>
  </r>
  <r>
    <x v="4"/>
  </r>
  <r>
    <x v="4"/>
  </r>
  <r>
    <x v="1"/>
  </r>
  <r>
    <x v="53"/>
  </r>
  <r>
    <x v="53"/>
  </r>
  <r>
    <x v="10"/>
  </r>
  <r>
    <x v="53"/>
  </r>
  <r>
    <x v="4"/>
  </r>
  <r>
    <x v="21"/>
  </r>
  <r>
    <x v="21"/>
  </r>
  <r>
    <x v="21"/>
  </r>
  <r>
    <x v="21"/>
  </r>
  <r>
    <x v="21"/>
  </r>
  <r>
    <x v="17"/>
  </r>
  <r>
    <x v="17"/>
  </r>
  <r>
    <x v="0"/>
  </r>
  <r>
    <x v="4"/>
  </r>
  <r>
    <x v="12"/>
  </r>
  <r>
    <x v="6"/>
  </r>
  <r>
    <x v="0"/>
  </r>
  <r>
    <x v="39"/>
  </r>
  <r>
    <x v="39"/>
  </r>
  <r>
    <x v="39"/>
  </r>
  <r>
    <x v="39"/>
  </r>
  <r>
    <x v="39"/>
  </r>
  <r>
    <x v="39"/>
  </r>
  <r>
    <x v="17"/>
  </r>
  <r>
    <x v="17"/>
  </r>
  <r>
    <x v="17"/>
  </r>
  <r>
    <x v="4"/>
  </r>
  <r>
    <x v="39"/>
  </r>
  <r>
    <x v="184"/>
  </r>
  <r>
    <x v="12"/>
  </r>
  <r>
    <x v="14"/>
  </r>
  <r>
    <x v="2"/>
  </r>
  <r>
    <x v="28"/>
  </r>
  <r>
    <x v="12"/>
  </r>
  <r>
    <x v="4"/>
  </r>
  <r>
    <x v="4"/>
  </r>
  <r>
    <x v="150"/>
  </r>
  <r>
    <x v="57"/>
  </r>
  <r>
    <x v="22"/>
  </r>
  <r>
    <x v="0"/>
  </r>
  <r>
    <x v="4"/>
  </r>
  <r>
    <x v="12"/>
  </r>
  <r>
    <x v="39"/>
  </r>
  <r>
    <x v="21"/>
  </r>
  <r>
    <x v="45"/>
  </r>
  <r>
    <x v="16"/>
  </r>
  <r>
    <x v="28"/>
  </r>
  <r>
    <x v="6"/>
  </r>
  <r>
    <x v="11"/>
  </r>
  <r>
    <x v="4"/>
  </r>
  <r>
    <x v="53"/>
  </r>
  <r>
    <x v="45"/>
  </r>
  <r>
    <x v="10"/>
  </r>
  <r>
    <x v="4"/>
  </r>
  <r>
    <x v="28"/>
  </r>
  <r>
    <x v="4"/>
  </r>
  <r>
    <x v="4"/>
  </r>
  <r>
    <x v="28"/>
  </r>
  <r>
    <x v="16"/>
  </r>
  <r>
    <x v="21"/>
  </r>
  <r>
    <x v="53"/>
  </r>
  <r>
    <x v="16"/>
  </r>
  <r>
    <x v="15"/>
  </r>
  <r>
    <x v="9"/>
  </r>
  <r>
    <x v="15"/>
  </r>
  <r>
    <x v="112"/>
  </r>
  <r>
    <x v="3"/>
  </r>
  <r>
    <x v="3"/>
  </r>
  <r>
    <x v="190"/>
  </r>
  <r>
    <x v="190"/>
  </r>
  <r>
    <x v="17"/>
  </r>
  <r>
    <x v="9"/>
  </r>
  <r>
    <x v="9"/>
  </r>
  <r>
    <x v="17"/>
  </r>
  <r>
    <x v="17"/>
  </r>
  <r>
    <x v="45"/>
  </r>
  <r>
    <x v="12"/>
  </r>
  <r>
    <x v="12"/>
  </r>
  <r>
    <x v="12"/>
  </r>
  <r>
    <x v="12"/>
  </r>
  <r>
    <x v="12"/>
  </r>
  <r>
    <x v="12"/>
  </r>
  <r>
    <x v="25"/>
  </r>
  <r>
    <x v="17"/>
  </r>
  <r>
    <x v="16"/>
  </r>
  <r>
    <x v="17"/>
  </r>
  <r>
    <x v="130"/>
  </r>
  <r>
    <x v="52"/>
  </r>
  <r>
    <x v="6"/>
  </r>
  <r>
    <x v="9"/>
  </r>
  <r>
    <x v="4"/>
  </r>
  <r>
    <x v="14"/>
  </r>
  <r>
    <x v="30"/>
  </r>
  <r>
    <x v="4"/>
  </r>
  <r>
    <x v="4"/>
  </r>
  <r>
    <x v="30"/>
  </r>
  <r>
    <x v="30"/>
  </r>
  <r>
    <x v="30"/>
  </r>
  <r>
    <x v="30"/>
  </r>
  <r>
    <x v="28"/>
  </r>
  <r>
    <x v="53"/>
  </r>
  <r>
    <x v="53"/>
  </r>
  <r>
    <x v="16"/>
  </r>
  <r>
    <x v="16"/>
  </r>
  <r>
    <x v="28"/>
  </r>
  <r>
    <x v="10"/>
  </r>
  <r>
    <x v="31"/>
  </r>
  <r>
    <x v="11"/>
  </r>
  <r>
    <x v="0"/>
  </r>
  <r>
    <x v="139"/>
  </r>
  <r>
    <x v="130"/>
  </r>
  <r>
    <x v="0"/>
  </r>
  <r>
    <x v="39"/>
  </r>
  <r>
    <x v="3"/>
  </r>
  <r>
    <x v="53"/>
  </r>
  <r>
    <x v="87"/>
  </r>
  <r>
    <x v="115"/>
  </r>
  <r>
    <x v="29"/>
  </r>
  <r>
    <x v="0"/>
  </r>
  <r>
    <x v="0"/>
  </r>
  <r>
    <x v="79"/>
  </r>
  <r>
    <x v="11"/>
  </r>
  <r>
    <x v="48"/>
  </r>
  <r>
    <x v="16"/>
  </r>
  <r>
    <x v="6"/>
  </r>
  <r>
    <x v="28"/>
  </r>
  <r>
    <x v="45"/>
  </r>
  <r>
    <x v="16"/>
  </r>
  <r>
    <x v="0"/>
  </r>
  <r>
    <x v="4"/>
  </r>
  <r>
    <x v="0"/>
  </r>
  <r>
    <x v="4"/>
  </r>
  <r>
    <x v="30"/>
  </r>
  <r>
    <x v="16"/>
  </r>
  <r>
    <x v="11"/>
  </r>
  <r>
    <x v="16"/>
  </r>
  <r>
    <x v="4"/>
  </r>
  <r>
    <x v="28"/>
  </r>
  <r>
    <x v="6"/>
  </r>
  <r>
    <x v="21"/>
  </r>
  <r>
    <x v="42"/>
  </r>
  <r>
    <x v="150"/>
  </r>
  <r>
    <x v="4"/>
  </r>
  <r>
    <x v="24"/>
  </r>
  <r>
    <x v="39"/>
  </r>
  <r>
    <x v="87"/>
  </r>
  <r>
    <x v="4"/>
  </r>
  <r>
    <x v="4"/>
  </r>
  <r>
    <x v="11"/>
  </r>
  <r>
    <x v="16"/>
  </r>
  <r>
    <x v="14"/>
  </r>
  <r>
    <x v="19"/>
  </r>
  <r>
    <x v="19"/>
  </r>
  <r>
    <x v="10"/>
  </r>
  <r>
    <x v="3"/>
  </r>
  <r>
    <x v="16"/>
  </r>
  <r>
    <x v="53"/>
  </r>
  <r>
    <x v="4"/>
  </r>
  <r>
    <x v="4"/>
  </r>
  <r>
    <x v="14"/>
  </r>
  <r>
    <x v="14"/>
  </r>
  <r>
    <x v="14"/>
  </r>
  <r>
    <x v="4"/>
  </r>
  <r>
    <x v="37"/>
  </r>
  <r>
    <x v="48"/>
  </r>
  <r>
    <x v="4"/>
  </r>
  <r>
    <x v="4"/>
  </r>
  <r>
    <x v="14"/>
  </r>
  <r>
    <x v="19"/>
  </r>
  <r>
    <x v="16"/>
  </r>
  <r>
    <x v="16"/>
  </r>
  <r>
    <x v="16"/>
  </r>
  <r>
    <x v="16"/>
  </r>
  <r>
    <x v="16"/>
  </r>
  <r>
    <x v="16"/>
  </r>
  <r>
    <x v="19"/>
  </r>
  <r>
    <x v="37"/>
  </r>
  <r>
    <x v="18"/>
  </r>
  <r>
    <x v="0"/>
  </r>
  <r>
    <x v="4"/>
  </r>
  <r>
    <x v="45"/>
  </r>
  <r>
    <x v="0"/>
  </r>
  <r>
    <x v="12"/>
  </r>
  <r>
    <x v="0"/>
  </r>
  <r>
    <x v="4"/>
  </r>
  <r>
    <x v="4"/>
  </r>
  <r>
    <x v="17"/>
  </r>
  <r>
    <x v="29"/>
  </r>
  <r>
    <x v="29"/>
  </r>
  <r>
    <x v="29"/>
  </r>
  <r>
    <x v="4"/>
  </r>
  <r>
    <x v="57"/>
  </r>
  <r>
    <x v="1"/>
  </r>
  <r>
    <x v="1"/>
  </r>
  <r>
    <x v="21"/>
  </r>
  <r>
    <x v="1"/>
  </r>
  <r>
    <x v="263"/>
  </r>
  <r>
    <x v="12"/>
  </r>
  <r>
    <x v="19"/>
  </r>
  <r>
    <x v="16"/>
  </r>
  <r>
    <x v="12"/>
  </r>
  <r>
    <x v="0"/>
  </r>
  <r>
    <x v="16"/>
  </r>
  <r>
    <x v="16"/>
  </r>
  <r>
    <x v="12"/>
  </r>
  <r>
    <x v="11"/>
  </r>
  <r>
    <x v="1"/>
  </r>
  <r>
    <x v="0"/>
  </r>
  <r>
    <x v="14"/>
  </r>
  <r>
    <x v="123"/>
  </r>
  <r>
    <x v="4"/>
  </r>
  <r>
    <x v="0"/>
  </r>
  <r>
    <x v="12"/>
  </r>
  <r>
    <x v="40"/>
  </r>
  <r>
    <x v="6"/>
  </r>
  <r>
    <x v="4"/>
  </r>
  <r>
    <x v="12"/>
  </r>
  <r>
    <x v="4"/>
  </r>
  <r>
    <x v="23"/>
  </r>
  <r>
    <x v="64"/>
  </r>
  <r>
    <x v="64"/>
  </r>
  <r>
    <x v="10"/>
  </r>
  <r>
    <x v="45"/>
  </r>
  <r>
    <x v="81"/>
  </r>
  <r>
    <x v="9"/>
  </r>
  <r>
    <x v="10"/>
  </r>
  <r>
    <x v="42"/>
  </r>
  <r>
    <x v="9"/>
  </r>
  <r>
    <x v="4"/>
  </r>
  <r>
    <x v="45"/>
  </r>
  <r>
    <x v="4"/>
  </r>
  <r>
    <x v="4"/>
  </r>
  <r>
    <x v="4"/>
  </r>
  <r>
    <x v="4"/>
  </r>
  <r>
    <x v="12"/>
  </r>
  <r>
    <x v="1"/>
  </r>
  <r>
    <x v="6"/>
  </r>
  <r>
    <x v="16"/>
  </r>
  <r>
    <x v="4"/>
  </r>
  <r>
    <x v="14"/>
  </r>
  <r>
    <x v="12"/>
  </r>
  <r>
    <x v="16"/>
  </r>
  <r>
    <x v="4"/>
  </r>
  <r>
    <x v="14"/>
  </r>
  <r>
    <x v="45"/>
  </r>
  <r>
    <x v="45"/>
  </r>
  <r>
    <x v="115"/>
  </r>
  <r>
    <x v="14"/>
  </r>
  <r>
    <x v="21"/>
  </r>
  <r>
    <x v="19"/>
  </r>
  <r>
    <x v="14"/>
  </r>
  <r>
    <x v="12"/>
  </r>
  <r>
    <x v="188"/>
  </r>
  <r>
    <x v="45"/>
  </r>
  <r>
    <x v="45"/>
  </r>
  <r>
    <x v="6"/>
  </r>
  <r>
    <x v="45"/>
  </r>
  <r>
    <x v="78"/>
  </r>
  <r>
    <x v="55"/>
  </r>
  <r>
    <x v="15"/>
  </r>
  <r>
    <x v="7"/>
  </r>
  <r>
    <x v="10"/>
  </r>
  <r>
    <x v="115"/>
  </r>
  <r>
    <x v="16"/>
  </r>
  <r>
    <x v="10"/>
  </r>
  <r>
    <x v="19"/>
  </r>
  <r>
    <x v="4"/>
  </r>
  <r>
    <x v="4"/>
  </r>
  <r>
    <x v="45"/>
  </r>
  <r>
    <x v="48"/>
  </r>
  <r>
    <x v="48"/>
  </r>
  <r>
    <x v="48"/>
  </r>
  <r>
    <x v="48"/>
  </r>
  <r>
    <x v="48"/>
  </r>
  <r>
    <x v="25"/>
  </r>
  <r>
    <x v="11"/>
  </r>
  <r>
    <x v="19"/>
  </r>
  <r>
    <x v="11"/>
  </r>
  <r>
    <x v="21"/>
  </r>
  <r>
    <x v="9"/>
  </r>
  <r>
    <x v="9"/>
  </r>
  <r>
    <x v="9"/>
  </r>
  <r>
    <x v="17"/>
  </r>
  <r>
    <x v="11"/>
  </r>
  <r>
    <x v="22"/>
  </r>
  <r>
    <x v="0"/>
  </r>
  <r>
    <x v="0"/>
  </r>
  <r>
    <x v="0"/>
  </r>
  <r>
    <x v="0"/>
  </r>
  <r>
    <x v="0"/>
  </r>
  <r>
    <x v="0"/>
  </r>
  <r>
    <x v="17"/>
  </r>
  <r>
    <x v="17"/>
  </r>
  <r>
    <x v="118"/>
  </r>
  <r>
    <x v="17"/>
  </r>
  <r>
    <x v="17"/>
  </r>
  <r>
    <x v="17"/>
  </r>
  <r>
    <x v="17"/>
  </r>
  <r>
    <x v="12"/>
  </r>
  <r>
    <x v="16"/>
  </r>
  <r>
    <x v="11"/>
  </r>
  <r>
    <x v="11"/>
  </r>
  <r>
    <x v="17"/>
  </r>
  <r>
    <x v="17"/>
  </r>
  <r>
    <x v="17"/>
  </r>
  <r>
    <x v="4"/>
  </r>
  <r>
    <x v="17"/>
  </r>
  <r>
    <x v="17"/>
  </r>
  <r>
    <x v="17"/>
  </r>
  <r>
    <x v="17"/>
  </r>
  <r>
    <x v="12"/>
  </r>
  <r>
    <x v="16"/>
  </r>
  <r>
    <x v="16"/>
  </r>
  <r>
    <x v="39"/>
  </r>
  <r>
    <x v="16"/>
  </r>
  <r>
    <x v="81"/>
  </r>
  <r>
    <x v="81"/>
  </r>
  <r>
    <x v="81"/>
  </r>
  <r>
    <x v="81"/>
  </r>
  <r>
    <x v="8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8"/>
  </r>
  <r>
    <x v="12"/>
  </r>
  <r>
    <x v="59"/>
  </r>
  <r>
    <x v="14"/>
  </r>
  <r>
    <x v="28"/>
  </r>
  <r>
    <x v="48"/>
  </r>
  <r>
    <x v="48"/>
  </r>
  <r>
    <x v="48"/>
  </r>
  <r>
    <x v="9"/>
  </r>
  <r>
    <x v="22"/>
  </r>
  <r>
    <x v="22"/>
  </r>
  <r>
    <x v="22"/>
  </r>
  <r>
    <x v="16"/>
  </r>
  <r>
    <x v="16"/>
  </r>
  <r>
    <x v="10"/>
  </r>
  <r>
    <x v="28"/>
  </r>
  <r>
    <x v="28"/>
  </r>
  <r>
    <x v="30"/>
  </r>
  <r>
    <x v="30"/>
  </r>
  <r>
    <x v="12"/>
  </r>
  <r>
    <x v="9"/>
  </r>
  <r>
    <x v="12"/>
  </r>
  <r>
    <x v="171"/>
  </r>
  <r>
    <x v="40"/>
  </r>
  <r>
    <x v="17"/>
  </r>
  <r>
    <x v="4"/>
  </r>
  <r>
    <x v="9"/>
  </r>
  <r>
    <x v="14"/>
  </r>
  <r>
    <x v="14"/>
  </r>
  <r>
    <x v="22"/>
  </r>
  <r>
    <x v="22"/>
  </r>
  <r>
    <x v="12"/>
  </r>
  <r>
    <x v="16"/>
  </r>
  <r>
    <x v="28"/>
  </r>
  <r>
    <x v="62"/>
  </r>
  <r>
    <x v="62"/>
  </r>
  <r>
    <x v="62"/>
  </r>
  <r>
    <x v="28"/>
  </r>
  <r>
    <x v="0"/>
  </r>
  <r>
    <x v="34"/>
  </r>
  <r>
    <x v="28"/>
  </r>
  <r>
    <x v="48"/>
  </r>
  <r>
    <x v="84"/>
  </r>
  <r>
    <x v="12"/>
  </r>
  <r>
    <x v="14"/>
  </r>
  <r>
    <x v="16"/>
  </r>
  <r>
    <x v="12"/>
  </r>
  <r>
    <x v="12"/>
  </r>
  <r>
    <x v="40"/>
  </r>
  <r>
    <x v="0"/>
  </r>
  <r>
    <x v="22"/>
  </r>
  <r>
    <x v="22"/>
  </r>
  <r>
    <x v="22"/>
  </r>
  <r>
    <x v="14"/>
  </r>
  <r>
    <x v="48"/>
  </r>
  <r>
    <x v="48"/>
  </r>
  <r>
    <x v="28"/>
  </r>
  <r>
    <x v="28"/>
  </r>
  <r>
    <x v="91"/>
  </r>
  <r>
    <x v="130"/>
  </r>
  <r>
    <x v="40"/>
  </r>
  <r>
    <x v="28"/>
  </r>
  <r>
    <x v="37"/>
  </r>
  <r>
    <x v="48"/>
  </r>
  <r>
    <x v="136"/>
  </r>
  <r>
    <x v="48"/>
  </r>
  <r>
    <x v="12"/>
  </r>
  <r>
    <x v="17"/>
  </r>
  <r>
    <x v="24"/>
  </r>
  <r>
    <x v="30"/>
  </r>
  <r>
    <x v="22"/>
  </r>
  <r>
    <x v="22"/>
  </r>
  <r>
    <x v="30"/>
  </r>
  <r>
    <x v="12"/>
  </r>
  <r>
    <x v="40"/>
  </r>
  <r>
    <x v="30"/>
  </r>
  <r>
    <x v="17"/>
  </r>
  <r>
    <x v="40"/>
  </r>
  <r>
    <x v="10"/>
  </r>
  <r>
    <x v="16"/>
  </r>
  <r>
    <x v="16"/>
  </r>
  <r>
    <x v="16"/>
  </r>
  <r>
    <x v="10"/>
  </r>
  <r>
    <x v="28"/>
  </r>
  <r>
    <x v="16"/>
  </r>
  <r>
    <x v="30"/>
  </r>
  <r>
    <x v="48"/>
  </r>
  <r>
    <x v="48"/>
  </r>
  <r>
    <x v="87"/>
  </r>
  <r>
    <x v="2"/>
  </r>
  <r>
    <x v="14"/>
  </r>
  <r>
    <x v="14"/>
  </r>
  <r>
    <x v="49"/>
  </r>
  <r>
    <x v="48"/>
  </r>
  <r>
    <x v="21"/>
  </r>
  <r>
    <x v="16"/>
  </r>
  <r>
    <x v="12"/>
  </r>
  <r>
    <x v="62"/>
  </r>
  <r>
    <x v="17"/>
  </r>
  <r>
    <x v="17"/>
  </r>
  <r>
    <x v="81"/>
  </r>
  <r>
    <x v="6"/>
  </r>
  <r>
    <x v="32"/>
  </r>
  <r>
    <x v="48"/>
  </r>
  <r>
    <x v="14"/>
  </r>
  <r>
    <x v="28"/>
  </r>
  <r>
    <x v="45"/>
  </r>
  <r>
    <x v="14"/>
  </r>
  <r>
    <x v="14"/>
  </r>
  <r>
    <x v="14"/>
  </r>
  <r>
    <x v="45"/>
  </r>
  <r>
    <x v="45"/>
  </r>
  <r>
    <x v="64"/>
  </r>
  <r>
    <x v="64"/>
  </r>
  <r>
    <x v="64"/>
  </r>
  <r>
    <x v="64"/>
  </r>
  <r>
    <x v="64"/>
  </r>
  <r>
    <x v="45"/>
  </r>
  <r>
    <x v="10"/>
  </r>
  <r>
    <x v="16"/>
  </r>
  <r>
    <x v="64"/>
  </r>
  <r>
    <x v="45"/>
  </r>
  <r>
    <x v="17"/>
  </r>
  <r>
    <x v="17"/>
  </r>
  <r>
    <x v="17"/>
  </r>
  <r>
    <x v="17"/>
  </r>
  <r>
    <x v="17"/>
  </r>
  <r>
    <x v="28"/>
  </r>
  <r>
    <x v="41"/>
  </r>
  <r>
    <x v="12"/>
  </r>
  <r>
    <x v="93"/>
  </r>
  <r>
    <x v="37"/>
  </r>
  <r>
    <x v="37"/>
  </r>
  <r>
    <x v="17"/>
  </r>
  <r>
    <x v="17"/>
  </r>
  <r>
    <x v="17"/>
  </r>
  <r>
    <x v="41"/>
  </r>
  <r>
    <x v="28"/>
  </r>
  <r>
    <x v="28"/>
  </r>
  <r>
    <x v="45"/>
  </r>
  <r>
    <x v="46"/>
  </r>
  <r>
    <x v="24"/>
  </r>
  <r>
    <x v="46"/>
  </r>
  <r>
    <x v="131"/>
  </r>
  <r>
    <x v="62"/>
  </r>
  <r>
    <x v="388"/>
  </r>
  <r>
    <x v="388"/>
  </r>
  <r>
    <x v="10"/>
  </r>
  <r>
    <x v="84"/>
  </r>
  <r>
    <x v="34"/>
  </r>
  <r>
    <x v="16"/>
  </r>
  <r>
    <x v="16"/>
  </r>
  <r>
    <x v="14"/>
  </r>
  <r>
    <x v="10"/>
  </r>
  <r>
    <x v="16"/>
  </r>
  <r>
    <x v="10"/>
  </r>
  <r>
    <x v="62"/>
  </r>
  <r>
    <x v="78"/>
  </r>
  <r>
    <x v="249"/>
  </r>
  <r>
    <x v="30"/>
  </r>
  <r>
    <x v="39"/>
  </r>
  <r>
    <x v="130"/>
  </r>
  <r>
    <x v="64"/>
  </r>
  <r>
    <x v="78"/>
  </r>
  <r>
    <x v="78"/>
  </r>
  <r>
    <x v="28"/>
  </r>
  <r>
    <x v="0"/>
  </r>
  <r>
    <x v="7"/>
  </r>
  <r>
    <x v="14"/>
  </r>
  <r>
    <x v="64"/>
  </r>
  <r>
    <x v="14"/>
  </r>
  <r>
    <x v="10"/>
  </r>
  <r>
    <x v="22"/>
  </r>
  <r>
    <x v="46"/>
  </r>
  <r>
    <x v="29"/>
  </r>
  <r>
    <x v="17"/>
  </r>
  <r>
    <x v="17"/>
  </r>
  <r>
    <x v="7"/>
  </r>
  <r>
    <x v="22"/>
  </r>
  <r>
    <x v="64"/>
  </r>
  <r>
    <x v="28"/>
  </r>
  <r>
    <x v="28"/>
  </r>
  <r>
    <x v="34"/>
  </r>
  <r>
    <x v="34"/>
  </r>
  <r>
    <x v="2"/>
  </r>
  <r>
    <x v="2"/>
  </r>
  <r>
    <x v="2"/>
  </r>
  <r>
    <x v="30"/>
  </r>
  <r>
    <x v="30"/>
  </r>
  <r>
    <x v="40"/>
  </r>
  <r>
    <x v="46"/>
  </r>
  <r>
    <x v="56"/>
  </r>
  <r>
    <x v="56"/>
  </r>
  <r>
    <x v="56"/>
  </r>
  <r>
    <x v="14"/>
  </r>
  <r>
    <x v="17"/>
  </r>
  <r>
    <x v="28"/>
  </r>
  <r>
    <x v="28"/>
  </r>
  <r>
    <x v="28"/>
  </r>
  <r>
    <x v="16"/>
  </r>
  <r>
    <x v="16"/>
  </r>
  <r>
    <x v="14"/>
  </r>
  <r>
    <x v="130"/>
  </r>
  <r>
    <x v="17"/>
  </r>
  <r>
    <x v="130"/>
  </r>
  <r>
    <x v="61"/>
  </r>
  <r>
    <x v="17"/>
  </r>
  <r>
    <x v="171"/>
  </r>
  <r>
    <x v="17"/>
  </r>
  <r>
    <x v="17"/>
  </r>
  <r>
    <x v="14"/>
  </r>
  <r>
    <x v="14"/>
  </r>
  <r>
    <x v="16"/>
  </r>
  <r>
    <x v="16"/>
  </r>
  <r>
    <x v="16"/>
  </r>
  <r>
    <x v="28"/>
  </r>
  <r>
    <x v="24"/>
  </r>
  <r>
    <x v="6"/>
  </r>
  <r>
    <x v="12"/>
  </r>
  <r>
    <x v="21"/>
  </r>
  <r>
    <x v="21"/>
  </r>
  <r>
    <x v="21"/>
  </r>
  <r>
    <x v="0"/>
  </r>
  <r>
    <x v="0"/>
  </r>
  <r>
    <x v="62"/>
  </r>
  <r>
    <x v="62"/>
  </r>
  <r>
    <x v="62"/>
  </r>
  <r>
    <x v="389"/>
  </r>
  <r>
    <x v="389"/>
  </r>
  <r>
    <x v="132"/>
  </r>
  <r>
    <x v="132"/>
  </r>
  <r>
    <x v="14"/>
  </r>
  <r>
    <x v="14"/>
  </r>
  <r>
    <x v="64"/>
  </r>
  <r>
    <x v="7"/>
  </r>
  <r>
    <x v="22"/>
  </r>
  <r>
    <x v="22"/>
  </r>
  <r>
    <x v="130"/>
  </r>
  <r>
    <x v="130"/>
  </r>
  <r>
    <x v="53"/>
  </r>
  <r>
    <x v="53"/>
  </r>
  <r>
    <x v="0"/>
  </r>
  <r>
    <x v="0"/>
  </r>
  <r>
    <x v="0"/>
  </r>
  <r>
    <x v="0"/>
  </r>
  <r>
    <x v="42"/>
  </r>
  <r>
    <x v="42"/>
  </r>
  <r>
    <x v="42"/>
  </r>
  <r>
    <x v="42"/>
  </r>
  <r>
    <x v="42"/>
  </r>
  <r>
    <x v="10"/>
  </r>
  <r>
    <x v="10"/>
  </r>
  <r>
    <x v="22"/>
  </r>
  <r>
    <x v="64"/>
  </r>
  <r>
    <x v="64"/>
  </r>
  <r>
    <x v="22"/>
  </r>
  <r>
    <x v="115"/>
  </r>
  <r>
    <x v="42"/>
  </r>
  <r>
    <x v="42"/>
  </r>
  <r>
    <x v="28"/>
  </r>
  <r>
    <x v="28"/>
  </r>
  <r>
    <x v="28"/>
  </r>
  <r>
    <x v="78"/>
  </r>
  <r>
    <x v="28"/>
  </r>
  <r>
    <x v="28"/>
  </r>
  <r>
    <x v="17"/>
  </r>
  <r>
    <x v="14"/>
  </r>
  <r>
    <x v="14"/>
  </r>
  <r>
    <x v="14"/>
  </r>
  <r>
    <x v="12"/>
  </r>
  <r>
    <x v="14"/>
  </r>
  <r>
    <x v="28"/>
  </r>
  <r>
    <x v="14"/>
  </r>
  <r>
    <x v="28"/>
  </r>
  <r>
    <x v="17"/>
  </r>
  <r>
    <x v="17"/>
  </r>
  <r>
    <x v="12"/>
  </r>
  <r>
    <x v="0"/>
  </r>
  <r>
    <x v="0"/>
  </r>
  <r>
    <x v="0"/>
  </r>
  <r>
    <x v="28"/>
  </r>
  <r>
    <x v="20"/>
  </r>
  <r>
    <x v="119"/>
  </r>
  <r>
    <x v="192"/>
  </r>
  <r>
    <x v="192"/>
  </r>
  <r>
    <x v="141"/>
  </r>
  <r>
    <x v="22"/>
  </r>
  <r>
    <x v="141"/>
  </r>
  <r>
    <x v="112"/>
  </r>
  <r>
    <x v="76"/>
  </r>
  <r>
    <x v="76"/>
  </r>
  <r>
    <x v="25"/>
  </r>
  <r>
    <x v="55"/>
  </r>
  <r>
    <x v="118"/>
  </r>
  <r>
    <x v="25"/>
  </r>
  <r>
    <x v="22"/>
  </r>
  <r>
    <x v="125"/>
  </r>
  <r>
    <x v="59"/>
  </r>
  <r>
    <x v="59"/>
  </r>
  <r>
    <x v="63"/>
  </r>
  <r>
    <x v="87"/>
  </r>
  <r>
    <x v="134"/>
  </r>
  <r>
    <x v="125"/>
  </r>
  <r>
    <x v="113"/>
  </r>
  <r>
    <x v="125"/>
  </r>
  <r>
    <x v="157"/>
  </r>
  <r>
    <x v="233"/>
  </r>
  <r>
    <x v="81"/>
  </r>
  <r>
    <x v="63"/>
  </r>
  <r>
    <x v="83"/>
  </r>
  <r>
    <x v="91"/>
  </r>
  <r>
    <x v="110"/>
  </r>
  <r>
    <x v="25"/>
  </r>
  <r>
    <x v="24"/>
  </r>
  <r>
    <x v="25"/>
  </r>
  <r>
    <x v="25"/>
  </r>
  <r>
    <x v="292"/>
  </r>
  <r>
    <x v="25"/>
  </r>
  <r>
    <x v="25"/>
  </r>
  <r>
    <x v="25"/>
  </r>
  <r>
    <x v="76"/>
  </r>
  <r>
    <x v="25"/>
  </r>
  <r>
    <x v="64"/>
  </r>
  <r>
    <x v="48"/>
  </r>
  <r>
    <x v="477"/>
  </r>
  <r>
    <x v="72"/>
  </r>
  <r>
    <x v="25"/>
  </r>
  <r>
    <x v="25"/>
  </r>
  <r>
    <x v="77"/>
  </r>
  <r>
    <x v="105"/>
  </r>
  <r>
    <x v="118"/>
  </r>
  <r>
    <x v="70"/>
  </r>
  <r>
    <x v="76"/>
  </r>
  <r>
    <x v="76"/>
  </r>
  <r>
    <x v="76"/>
  </r>
  <r>
    <x v="76"/>
  </r>
  <r>
    <x v="88"/>
  </r>
  <r>
    <x v="25"/>
  </r>
  <r>
    <x v="81"/>
  </r>
  <r>
    <x v="76"/>
  </r>
  <r>
    <x v="76"/>
  </r>
  <r>
    <x v="216"/>
  </r>
  <r>
    <x v="216"/>
  </r>
  <r>
    <x v="72"/>
  </r>
  <r>
    <x v="94"/>
  </r>
  <r>
    <x v="76"/>
  </r>
  <r>
    <x v="105"/>
  </r>
  <r>
    <x v="25"/>
  </r>
  <r>
    <x v="25"/>
  </r>
  <r>
    <x v="48"/>
  </r>
  <r>
    <x v="203"/>
  </r>
  <r>
    <x v="203"/>
  </r>
  <r>
    <x v="203"/>
  </r>
  <r>
    <x v="203"/>
  </r>
  <r>
    <x v="203"/>
  </r>
  <r>
    <x v="76"/>
  </r>
  <r>
    <x v="76"/>
  </r>
  <r>
    <x v="76"/>
  </r>
  <r>
    <x v="76"/>
  </r>
  <r>
    <x v="30"/>
  </r>
  <r>
    <x v="30"/>
  </r>
  <r>
    <x v="81"/>
  </r>
  <r>
    <x v="57"/>
  </r>
  <r>
    <x v="83"/>
  </r>
  <r>
    <x v="83"/>
  </r>
  <r>
    <x v="76"/>
  </r>
  <r>
    <x v="68"/>
  </r>
  <r>
    <x v="154"/>
  </r>
  <r>
    <x v="25"/>
  </r>
  <r>
    <x v="112"/>
  </r>
  <r>
    <x v="25"/>
  </r>
  <r>
    <x v="25"/>
  </r>
  <r>
    <x v="76"/>
  </r>
  <r>
    <x v="76"/>
  </r>
  <r>
    <x v="76"/>
  </r>
  <r>
    <x v="48"/>
  </r>
  <r>
    <x v="76"/>
  </r>
  <r>
    <x v="76"/>
  </r>
  <r>
    <x v="76"/>
  </r>
  <r>
    <x v="76"/>
  </r>
  <r>
    <x v="76"/>
  </r>
  <r>
    <x v="76"/>
  </r>
  <r>
    <x v="30"/>
  </r>
  <r>
    <x v="76"/>
  </r>
  <r>
    <x v="76"/>
  </r>
  <r>
    <x v="81"/>
  </r>
  <r>
    <x v="0"/>
  </r>
  <r>
    <x v="0"/>
  </r>
  <r>
    <x v="16"/>
  </r>
  <r>
    <x v="129"/>
  </r>
  <r>
    <x v="96"/>
  </r>
  <r>
    <x v="96"/>
  </r>
  <r>
    <x v="116"/>
  </r>
  <r>
    <x v="86"/>
  </r>
  <r>
    <x v="25"/>
  </r>
  <r>
    <x v="30"/>
  </r>
  <r>
    <x v="82"/>
  </r>
  <r>
    <x v="93"/>
  </r>
  <r>
    <x v="390"/>
  </r>
  <r>
    <x v="390"/>
  </r>
  <r>
    <x v="390"/>
  </r>
  <r>
    <x v="390"/>
  </r>
  <r>
    <x v="81"/>
  </r>
  <r>
    <x v="81"/>
  </r>
  <r>
    <x v="93"/>
  </r>
  <r>
    <x v="93"/>
  </r>
  <r>
    <x v="93"/>
  </r>
  <r>
    <x v="31"/>
  </r>
  <r>
    <x v="31"/>
  </r>
  <r>
    <x v="31"/>
  </r>
  <r>
    <x v="31"/>
  </r>
  <r>
    <x v="31"/>
  </r>
  <r>
    <x v="31"/>
  </r>
  <r>
    <x v="31"/>
  </r>
  <r>
    <x v="31"/>
  </r>
  <r>
    <x v="18"/>
  </r>
  <r>
    <x v="25"/>
  </r>
  <r>
    <x v="14"/>
  </r>
  <r>
    <x v="14"/>
  </r>
  <r>
    <x v="14"/>
  </r>
  <r>
    <x v="30"/>
  </r>
  <r>
    <x v="72"/>
  </r>
  <r>
    <x v="103"/>
  </r>
  <r>
    <x v="20"/>
  </r>
  <r>
    <x v="20"/>
  </r>
  <r>
    <x v="304"/>
  </r>
  <r>
    <x v="76"/>
  </r>
  <r>
    <x v="76"/>
  </r>
  <r>
    <x v="113"/>
  </r>
  <r>
    <x v="25"/>
  </r>
  <r>
    <x v="192"/>
  </r>
  <r>
    <x v="192"/>
  </r>
  <r>
    <x v="9"/>
  </r>
  <r>
    <x v="9"/>
  </r>
  <r>
    <x v="82"/>
  </r>
  <r>
    <x v="113"/>
  </r>
  <r>
    <x v="113"/>
  </r>
  <r>
    <x v="76"/>
  </r>
  <r>
    <x v="72"/>
  </r>
  <r>
    <x v="25"/>
  </r>
  <r>
    <x v="72"/>
  </r>
  <r>
    <x v="423"/>
  </r>
  <r>
    <x v="25"/>
  </r>
  <r>
    <x v="12"/>
  </r>
  <r>
    <x v="76"/>
  </r>
  <r>
    <x v="68"/>
  </r>
  <r>
    <x v="112"/>
  </r>
  <r>
    <x v="36"/>
  </r>
  <r>
    <x v="36"/>
  </r>
  <r>
    <x v="112"/>
  </r>
  <r>
    <x v="76"/>
  </r>
  <r>
    <x v="7"/>
  </r>
  <r>
    <x v="112"/>
  </r>
  <r>
    <x v="4"/>
  </r>
  <r>
    <x v="22"/>
  </r>
  <r>
    <x v="22"/>
  </r>
  <r>
    <x v="14"/>
  </r>
  <r>
    <x v="14"/>
  </r>
  <r>
    <x v="115"/>
  </r>
  <r>
    <x v="76"/>
  </r>
  <r>
    <x v="76"/>
  </r>
  <r>
    <x v="76"/>
  </r>
  <r>
    <x v="76"/>
  </r>
  <r>
    <x v="76"/>
  </r>
  <r>
    <x v="25"/>
  </r>
  <r>
    <x v="76"/>
  </r>
  <r>
    <x v="76"/>
  </r>
  <r>
    <x v="76"/>
  </r>
  <r>
    <x v="81"/>
  </r>
  <r>
    <x v="105"/>
  </r>
  <r>
    <x v="76"/>
  </r>
  <r>
    <x v="76"/>
  </r>
  <r>
    <x v="76"/>
  </r>
  <r>
    <x v="25"/>
  </r>
  <r>
    <x v="76"/>
  </r>
  <r>
    <x v="199"/>
  </r>
  <r>
    <x v="76"/>
  </r>
  <r>
    <x v="199"/>
  </r>
  <r>
    <x v="76"/>
  </r>
  <r>
    <x v="76"/>
  </r>
  <r>
    <x v="82"/>
  </r>
  <r>
    <x v="29"/>
  </r>
  <r>
    <x v="29"/>
  </r>
  <r>
    <x v="25"/>
  </r>
  <r>
    <x v="47"/>
  </r>
  <r>
    <x v="112"/>
  </r>
  <r>
    <x v="59"/>
  </r>
  <r>
    <x v="10"/>
  </r>
  <r>
    <x v="29"/>
  </r>
  <r>
    <x v="113"/>
  </r>
  <r>
    <x v="10"/>
  </r>
  <r>
    <x v="76"/>
  </r>
  <r>
    <x v="90"/>
  </r>
  <r>
    <x v="10"/>
  </r>
  <r>
    <x v="392"/>
  </r>
  <r>
    <x v="21"/>
  </r>
  <r>
    <x v="21"/>
  </r>
  <r>
    <x v="118"/>
  </r>
  <r>
    <x v="23"/>
  </r>
  <r>
    <x v="25"/>
  </r>
  <r>
    <x v="51"/>
  </r>
  <r>
    <x v="29"/>
  </r>
  <r>
    <x v="112"/>
  </r>
  <r>
    <x v="102"/>
  </r>
  <r>
    <x v="68"/>
  </r>
  <r>
    <x v="68"/>
  </r>
  <r>
    <x v="68"/>
  </r>
  <r>
    <x v="8"/>
  </r>
  <r>
    <x v="8"/>
  </r>
  <r>
    <x v="108"/>
  </r>
  <r>
    <x v="76"/>
  </r>
  <r>
    <x v="7"/>
  </r>
  <r>
    <x v="25"/>
  </r>
  <r>
    <x v="76"/>
  </r>
  <r>
    <x v="76"/>
  </r>
  <r>
    <x v="25"/>
  </r>
  <r>
    <x v="76"/>
  </r>
  <r>
    <x v="76"/>
  </r>
  <r>
    <x v="76"/>
  </r>
  <r>
    <x v="76"/>
  </r>
  <r>
    <x v="25"/>
  </r>
  <r>
    <x v="25"/>
  </r>
  <r>
    <x v="63"/>
  </r>
  <r>
    <x v="25"/>
  </r>
  <r>
    <x v="25"/>
  </r>
  <r>
    <x v="88"/>
  </r>
  <r>
    <x v="7"/>
  </r>
  <r>
    <x v="7"/>
  </r>
  <r>
    <x v="12"/>
  </r>
  <r>
    <x v="20"/>
  </r>
  <r>
    <x v="134"/>
  </r>
  <r>
    <x v="76"/>
  </r>
  <r>
    <x v="25"/>
  </r>
  <r>
    <x v="76"/>
  </r>
  <r>
    <x v="76"/>
  </r>
  <r>
    <x v="76"/>
  </r>
  <r>
    <x v="76"/>
  </r>
  <r>
    <x v="76"/>
  </r>
  <r>
    <x v="76"/>
  </r>
  <r>
    <x v="76"/>
  </r>
  <r>
    <x v="25"/>
  </r>
  <r>
    <x v="76"/>
  </r>
  <r>
    <x v="134"/>
  </r>
  <r>
    <x v="25"/>
  </r>
  <r>
    <x v="76"/>
  </r>
  <r>
    <x v="76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59"/>
  </r>
  <r>
    <x v="298"/>
  </r>
  <r>
    <x v="70"/>
  </r>
  <r>
    <x v="30"/>
  </r>
  <r>
    <x v="10"/>
  </r>
  <r>
    <x v="10"/>
  </r>
  <r>
    <x v="17"/>
  </r>
  <r>
    <x v="151"/>
  </r>
  <r>
    <x v="151"/>
  </r>
  <r>
    <x v="199"/>
  </r>
  <r>
    <x v="72"/>
  </r>
  <r>
    <x v="76"/>
  </r>
  <r>
    <x v="76"/>
  </r>
  <r>
    <x v="9"/>
  </r>
  <r>
    <x v="9"/>
  </r>
  <r>
    <x v="9"/>
  </r>
  <r>
    <x v="9"/>
  </r>
  <r>
    <x v="9"/>
  </r>
  <r>
    <x v="10"/>
  </r>
  <r>
    <x v="10"/>
  </r>
  <r>
    <x v="29"/>
  </r>
  <r>
    <x v="10"/>
  </r>
  <r>
    <x v="91"/>
  </r>
  <r>
    <x v="3"/>
  </r>
  <r>
    <x v="2"/>
  </r>
  <r>
    <x v="31"/>
  </r>
  <r>
    <x v="31"/>
  </r>
  <r>
    <x v="138"/>
  </r>
  <r>
    <x v="76"/>
  </r>
  <r>
    <x v="138"/>
  </r>
  <r>
    <x v="116"/>
  </r>
  <r>
    <x v="50"/>
  </r>
  <r>
    <x v="134"/>
  </r>
  <r>
    <x v="26"/>
  </r>
  <r>
    <x v="26"/>
  </r>
  <r>
    <x v="331"/>
  </r>
  <r>
    <x v="77"/>
  </r>
  <r>
    <x v="77"/>
  </r>
  <r>
    <x v="86"/>
  </r>
  <r>
    <x v="21"/>
  </r>
  <r>
    <x v="59"/>
  </r>
  <r>
    <x v="21"/>
  </r>
  <r>
    <x v="81"/>
  </r>
  <r>
    <x v="238"/>
  </r>
  <r>
    <x v="16"/>
  </r>
  <r>
    <x v="75"/>
  </r>
  <r>
    <x v="35"/>
  </r>
  <r>
    <x v="35"/>
  </r>
  <r>
    <x v="10"/>
  </r>
  <r>
    <x v="23"/>
  </r>
  <r>
    <x v="10"/>
  </r>
  <r>
    <x v="122"/>
  </r>
  <r>
    <x v="53"/>
  </r>
  <r>
    <x v="14"/>
  </r>
  <r>
    <x v="28"/>
  </r>
  <r>
    <x v="21"/>
  </r>
  <r>
    <x v="14"/>
  </r>
  <r>
    <x v="76"/>
  </r>
  <r>
    <x v="80"/>
  </r>
  <r>
    <x v="80"/>
  </r>
  <r>
    <x v="25"/>
  </r>
  <r>
    <x v="25"/>
  </r>
  <r>
    <x v="254"/>
  </r>
  <r>
    <x v="277"/>
  </r>
  <r>
    <x v="14"/>
  </r>
  <r>
    <x v="14"/>
  </r>
  <r>
    <x v="76"/>
  </r>
  <r>
    <x v="76"/>
  </r>
  <r>
    <x v="79"/>
  </r>
  <r>
    <x v="14"/>
  </r>
  <r>
    <x v="63"/>
  </r>
  <r>
    <x v="3"/>
  </r>
  <r>
    <x v="25"/>
  </r>
  <r>
    <x v="25"/>
  </r>
  <r>
    <x v="143"/>
  </r>
  <r>
    <x v="55"/>
  </r>
  <r>
    <x v="67"/>
  </r>
  <r>
    <x v="67"/>
  </r>
  <r>
    <x v="108"/>
  </r>
  <r>
    <x v="14"/>
  </r>
  <r>
    <x v="10"/>
  </r>
  <r>
    <x v="10"/>
  </r>
  <r>
    <x v="46"/>
  </r>
  <r>
    <x v="10"/>
  </r>
  <r>
    <x v="10"/>
  </r>
  <r>
    <x v="25"/>
  </r>
  <r>
    <x v="25"/>
  </r>
  <r>
    <x v="245"/>
  </r>
  <r>
    <x v="76"/>
  </r>
  <r>
    <x v="25"/>
  </r>
  <r>
    <x v="67"/>
  </r>
  <r>
    <x v="67"/>
  </r>
  <r>
    <x v="100"/>
  </r>
  <r>
    <x v="23"/>
  </r>
  <r>
    <x v="23"/>
  </r>
  <r>
    <x v="116"/>
  </r>
  <r>
    <x v="257"/>
  </r>
  <r>
    <x v="257"/>
  </r>
  <r>
    <x v="89"/>
  </r>
  <r>
    <x v="116"/>
  </r>
  <r>
    <x v="116"/>
  </r>
  <r>
    <x v="27"/>
  </r>
  <r>
    <x v="0"/>
  </r>
  <r>
    <x v="0"/>
  </r>
  <r>
    <x v="15"/>
  </r>
  <r>
    <x v="152"/>
  </r>
  <r>
    <x v="45"/>
  </r>
  <r>
    <x v="174"/>
  </r>
  <r>
    <x v="23"/>
  </r>
  <r>
    <x v="90"/>
  </r>
  <r>
    <x v="29"/>
  </r>
  <r>
    <x v="29"/>
  </r>
  <r>
    <x v="3"/>
  </r>
  <r>
    <x v="93"/>
  </r>
  <r>
    <x v="14"/>
  </r>
  <r>
    <x v="93"/>
  </r>
  <r>
    <x v="93"/>
  </r>
  <r>
    <x v="90"/>
  </r>
  <r>
    <x v="76"/>
  </r>
  <r>
    <x v="25"/>
  </r>
  <r>
    <x v="25"/>
  </r>
  <r>
    <x v="105"/>
  </r>
  <r>
    <x v="36"/>
  </r>
  <r>
    <x v="3"/>
  </r>
  <r>
    <x v="3"/>
  </r>
  <r>
    <x v="298"/>
  </r>
  <r>
    <x v="158"/>
  </r>
  <r>
    <x v="134"/>
  </r>
  <r>
    <x v="42"/>
  </r>
  <r>
    <x v="138"/>
  </r>
  <r>
    <x v="328"/>
  </r>
  <r>
    <x v="138"/>
  </r>
  <r>
    <x v="292"/>
  </r>
  <r>
    <x v="292"/>
  </r>
  <r>
    <x v="23"/>
  </r>
  <r>
    <x v="9"/>
  </r>
  <r>
    <x v="10"/>
  </r>
  <r>
    <x v="175"/>
  </r>
  <r>
    <x v="304"/>
  </r>
  <r>
    <x v="23"/>
  </r>
  <r>
    <x v="8"/>
  </r>
  <r>
    <x v="8"/>
  </r>
  <r>
    <x v="8"/>
  </r>
  <r>
    <x v="8"/>
  </r>
  <r>
    <x v="8"/>
  </r>
  <r>
    <x v="82"/>
  </r>
  <r>
    <x v="113"/>
  </r>
  <r>
    <x v="113"/>
  </r>
  <r>
    <x v="82"/>
  </r>
  <r>
    <x v="9"/>
  </r>
  <r>
    <x v="110"/>
  </r>
  <r>
    <x v="9"/>
  </r>
  <r>
    <x v="95"/>
  </r>
  <r>
    <x v="3"/>
  </r>
  <r>
    <x v="3"/>
  </r>
  <r>
    <x v="31"/>
  </r>
  <r>
    <x v="81"/>
  </r>
  <r>
    <x v="81"/>
  </r>
  <r>
    <x v="41"/>
  </r>
  <r>
    <x v="21"/>
  </r>
  <r>
    <x v="10"/>
  </r>
  <r>
    <x v="34"/>
  </r>
  <r>
    <x v="23"/>
  </r>
  <r>
    <x v="83"/>
  </r>
  <r>
    <x v="9"/>
  </r>
  <r>
    <x v="9"/>
  </r>
  <r>
    <x v="9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124"/>
  </r>
  <r>
    <x v="124"/>
  </r>
  <r>
    <x v="113"/>
  </r>
  <r>
    <x v="52"/>
  </r>
  <r>
    <x v="336"/>
  </r>
  <r>
    <x v="134"/>
  </r>
  <r>
    <x v="15"/>
  </r>
  <r>
    <x v="52"/>
  </r>
  <r>
    <x v="112"/>
  </r>
  <r>
    <x v="112"/>
  </r>
  <r>
    <x v="112"/>
  </r>
  <r>
    <x v="108"/>
  </r>
  <r>
    <x v="108"/>
  </r>
  <r>
    <x v="52"/>
  </r>
  <r>
    <x v="76"/>
  </r>
  <r>
    <x v="16"/>
  </r>
  <r>
    <x v="12"/>
  </r>
  <r>
    <x v="6"/>
  </r>
  <r>
    <x v="63"/>
  </r>
  <r>
    <x v="154"/>
  </r>
  <r>
    <x v="2"/>
  </r>
  <r>
    <x v="155"/>
  </r>
  <r>
    <x v="289"/>
  </r>
  <r>
    <x v="31"/>
  </r>
  <r>
    <x v="3"/>
  </r>
  <r>
    <x v="3"/>
  </r>
  <r>
    <x v="154"/>
  </r>
  <r>
    <x v="76"/>
  </r>
  <r>
    <x v="42"/>
  </r>
  <r>
    <x v="25"/>
  </r>
  <r>
    <x v="12"/>
  </r>
  <r>
    <x v="114"/>
  </r>
  <r>
    <x v="4"/>
  </r>
  <r>
    <x v="25"/>
  </r>
  <r>
    <x v="95"/>
  </r>
  <r>
    <x v="24"/>
  </r>
  <r>
    <x v="110"/>
  </r>
  <r>
    <x v="14"/>
  </r>
  <r>
    <x v="31"/>
  </r>
  <r>
    <x v="31"/>
  </r>
  <r>
    <x v="30"/>
  </r>
  <r>
    <x v="154"/>
  </r>
  <r>
    <x v="155"/>
  </r>
  <r>
    <x v="31"/>
  </r>
  <r>
    <x v="116"/>
  </r>
  <r>
    <x v="86"/>
  </r>
  <r>
    <x v="86"/>
  </r>
  <r>
    <x v="31"/>
  </r>
  <r>
    <x v="76"/>
  </r>
  <r>
    <x v="70"/>
  </r>
  <r>
    <x v="204"/>
  </r>
  <r>
    <x v="31"/>
  </r>
  <r>
    <x v="48"/>
  </r>
  <r>
    <x v="103"/>
  </r>
  <r>
    <x v="14"/>
  </r>
  <r>
    <x v="393"/>
  </r>
  <r>
    <x v="14"/>
  </r>
  <r>
    <x v="29"/>
  </r>
  <r>
    <x v="98"/>
  </r>
  <r>
    <x v="31"/>
  </r>
  <r>
    <x v="24"/>
  </r>
  <r>
    <x v="174"/>
  </r>
  <r>
    <x v="31"/>
  </r>
  <r>
    <x v="103"/>
  </r>
  <r>
    <x v="204"/>
  </r>
  <r>
    <x v="28"/>
  </r>
  <r>
    <x v="28"/>
  </r>
  <r>
    <x v="2"/>
  </r>
  <r>
    <x v="144"/>
  </r>
  <r>
    <x v="81"/>
  </r>
  <r>
    <x v="76"/>
  </r>
  <r>
    <x v="110"/>
  </r>
  <r>
    <x v="3"/>
  </r>
  <r>
    <x v="269"/>
  </r>
  <r>
    <x v="162"/>
  </r>
  <r>
    <x v="28"/>
  </r>
  <r>
    <x v="28"/>
  </r>
  <r>
    <x v="113"/>
  </r>
  <r>
    <x v="3"/>
  </r>
  <r>
    <x v="3"/>
  </r>
  <r>
    <x v="3"/>
  </r>
  <r>
    <x v="25"/>
  </r>
  <r>
    <x v="3"/>
  </r>
  <r>
    <x v="56"/>
  </r>
  <r>
    <x v="56"/>
  </r>
  <r>
    <x v="30"/>
  </r>
  <r>
    <x v="30"/>
  </r>
  <r>
    <x v="63"/>
  </r>
  <r>
    <x v="14"/>
  </r>
  <r>
    <x v="86"/>
  </r>
  <r>
    <x v="14"/>
  </r>
  <r>
    <x v="82"/>
  </r>
  <r>
    <x v="14"/>
  </r>
  <r>
    <x v="21"/>
  </r>
  <r>
    <x v="14"/>
  </r>
  <r>
    <x v="90"/>
  </r>
  <r>
    <x v="16"/>
  </r>
  <r>
    <x v="188"/>
  </r>
  <r>
    <x v="113"/>
  </r>
  <r>
    <x v="63"/>
  </r>
  <r>
    <x v="149"/>
  </r>
  <r>
    <x v="25"/>
  </r>
  <r>
    <x v="25"/>
  </r>
  <r>
    <x v="25"/>
  </r>
  <r>
    <x v="25"/>
  </r>
  <r>
    <x v="25"/>
  </r>
  <r>
    <x v="25"/>
  </r>
  <r>
    <x v="103"/>
  </r>
  <r>
    <x v="43"/>
  </r>
  <r>
    <x v="43"/>
  </r>
  <r>
    <x v="43"/>
  </r>
  <r>
    <x v="87"/>
  </r>
  <r>
    <x v="43"/>
  </r>
  <r>
    <x v="43"/>
  </r>
  <r>
    <x v="43"/>
  </r>
  <r>
    <x v="24"/>
  </r>
  <r>
    <x v="10"/>
  </r>
  <r>
    <x v="24"/>
  </r>
  <r>
    <x v="24"/>
  </r>
  <r>
    <x v="22"/>
  </r>
  <r>
    <x v="136"/>
  </r>
  <r>
    <x v="14"/>
  </r>
  <r>
    <x v="93"/>
  </r>
  <r>
    <x v="70"/>
  </r>
  <r>
    <x v="122"/>
  </r>
  <r>
    <x v="25"/>
  </r>
  <r>
    <x v="108"/>
  </r>
  <r>
    <x v="24"/>
  </r>
  <r>
    <x v="25"/>
  </r>
  <r>
    <x v="25"/>
  </r>
  <r>
    <x v="25"/>
  </r>
  <r>
    <x v="25"/>
  </r>
  <r>
    <x v="63"/>
  </r>
  <r>
    <x v="63"/>
  </r>
  <r>
    <x v="361"/>
  </r>
  <r>
    <x v="340"/>
  </r>
  <r>
    <x v="199"/>
  </r>
  <r>
    <x v="25"/>
  </r>
  <r>
    <x v="81"/>
  </r>
  <r>
    <x v="29"/>
  </r>
  <r>
    <x v="10"/>
  </r>
  <r>
    <x v="102"/>
  </r>
  <r>
    <x v="76"/>
  </r>
  <r>
    <x v="93"/>
  </r>
  <r>
    <x v="93"/>
  </r>
  <r>
    <x v="25"/>
  </r>
  <r>
    <x v="76"/>
  </r>
  <r>
    <x v="0"/>
  </r>
  <r>
    <x v="78"/>
  </r>
  <r>
    <x v="108"/>
  </r>
  <r>
    <x v="24"/>
  </r>
  <r>
    <x v="227"/>
  </r>
  <r>
    <x v="77"/>
  </r>
  <r>
    <x v="81"/>
  </r>
  <r>
    <x v="63"/>
  </r>
  <r>
    <x v="31"/>
  </r>
  <r>
    <x v="63"/>
  </r>
  <r>
    <x v="25"/>
  </r>
  <r>
    <x v="113"/>
  </r>
  <r>
    <x v="138"/>
  </r>
  <r>
    <x v="88"/>
  </r>
  <r>
    <x v="138"/>
  </r>
  <r>
    <x v="181"/>
  </r>
  <r>
    <x v="81"/>
  </r>
  <r>
    <x v="102"/>
  </r>
  <r>
    <x v="31"/>
  </r>
  <r>
    <x v="25"/>
  </r>
  <r>
    <x v="86"/>
  </r>
  <r>
    <x v="24"/>
  </r>
  <r>
    <x v="55"/>
  </r>
  <r>
    <x v="31"/>
  </r>
  <r>
    <x v="31"/>
  </r>
  <r>
    <x v="24"/>
  </r>
  <r>
    <x v="183"/>
  </r>
  <r>
    <x v="6"/>
  </r>
  <r>
    <x v="95"/>
  </r>
  <r>
    <x v="392"/>
  </r>
  <r>
    <x v="113"/>
  </r>
  <r>
    <x v="331"/>
  </r>
  <r>
    <x v="31"/>
  </r>
  <r>
    <x v="119"/>
  </r>
  <r>
    <x v="24"/>
  </r>
  <r>
    <x v="113"/>
  </r>
  <r>
    <x v="63"/>
  </r>
  <r>
    <x v="44"/>
  </r>
  <r>
    <x v="31"/>
  </r>
  <r>
    <x v="81"/>
  </r>
  <r>
    <x v="113"/>
  </r>
  <r>
    <x v="81"/>
  </r>
  <r>
    <x v="81"/>
  </r>
  <r>
    <x v="25"/>
  </r>
  <r>
    <x v="25"/>
  </r>
  <r>
    <x v="25"/>
  </r>
  <r>
    <x v="31"/>
  </r>
  <r>
    <x v="67"/>
  </r>
  <r>
    <x v="31"/>
  </r>
  <r>
    <x v="48"/>
  </r>
  <r>
    <x v="113"/>
  </r>
  <r>
    <x v="67"/>
  </r>
  <r>
    <x v="86"/>
  </r>
  <r>
    <x v="86"/>
  </r>
  <r>
    <x v="86"/>
  </r>
  <r>
    <x v="29"/>
  </r>
  <r>
    <x v="108"/>
  </r>
  <r>
    <x v="72"/>
  </r>
  <r>
    <x v="63"/>
  </r>
  <r>
    <x v="76"/>
  </r>
  <r>
    <x v="76"/>
  </r>
  <r>
    <x v="25"/>
  </r>
  <r>
    <x v="108"/>
  </r>
  <r>
    <x v="29"/>
  </r>
  <r>
    <x v="29"/>
  </r>
  <r>
    <x v="396"/>
  </r>
  <r>
    <x v="320"/>
  </r>
  <r>
    <x v="76"/>
  </r>
  <r>
    <x v="23"/>
  </r>
  <r>
    <x v="31"/>
  </r>
  <r>
    <x v="155"/>
  </r>
  <r>
    <x v="113"/>
  </r>
  <r>
    <x v="320"/>
  </r>
  <r>
    <x v="113"/>
  </r>
  <r>
    <x v="113"/>
  </r>
  <r>
    <x v="113"/>
  </r>
  <r>
    <x v="113"/>
  </r>
  <r>
    <x v="68"/>
  </r>
  <r>
    <x v="113"/>
  </r>
  <r>
    <x v="31"/>
  </r>
  <r>
    <x v="31"/>
  </r>
  <r>
    <x v="280"/>
  </r>
  <r>
    <x v="93"/>
  </r>
  <r>
    <x v="93"/>
  </r>
  <r>
    <x v="93"/>
  </r>
  <r>
    <x v="25"/>
  </r>
  <r>
    <x v="77"/>
  </r>
  <r>
    <x v="24"/>
  </r>
  <r>
    <x v="349"/>
  </r>
  <r>
    <x v="113"/>
  </r>
  <r>
    <x v="203"/>
  </r>
  <r>
    <x v="119"/>
  </r>
  <r>
    <x v="181"/>
  </r>
  <r>
    <x v="113"/>
  </r>
  <r>
    <x v="31"/>
  </r>
  <r>
    <x v="121"/>
  </r>
  <r>
    <x v="119"/>
  </r>
  <r>
    <x v="31"/>
  </r>
  <r>
    <x v="4"/>
  </r>
  <r>
    <x v="122"/>
  </r>
  <r>
    <x v="113"/>
  </r>
  <r>
    <x v="113"/>
  </r>
  <r>
    <x v="12"/>
  </r>
  <r>
    <x v="199"/>
  </r>
  <r>
    <x v="138"/>
  </r>
  <r>
    <x v="188"/>
  </r>
  <r>
    <x v="181"/>
  </r>
  <r>
    <x v="76"/>
  </r>
  <r>
    <x v="63"/>
  </r>
  <r>
    <x v="113"/>
  </r>
  <r>
    <x v="100"/>
  </r>
  <r>
    <x v="25"/>
  </r>
  <r>
    <x v="48"/>
  </r>
  <r>
    <x v="108"/>
  </r>
  <r>
    <x v="108"/>
  </r>
  <r>
    <x v="113"/>
  </r>
  <r>
    <x v="113"/>
  </r>
  <r>
    <x v="27"/>
  </r>
  <r>
    <x v="93"/>
  </r>
  <r>
    <x v="93"/>
  </r>
  <r>
    <x v="280"/>
  </r>
  <r>
    <x v="280"/>
  </r>
  <r>
    <x v="280"/>
  </r>
  <r>
    <x v="93"/>
  </r>
  <r>
    <x v="93"/>
  </r>
  <r>
    <x v="77"/>
  </r>
  <r>
    <x v="31"/>
  </r>
  <r>
    <x v="31"/>
  </r>
  <r>
    <x v="24"/>
  </r>
  <r>
    <x v="25"/>
  </r>
  <r>
    <x v="31"/>
  </r>
  <r>
    <x v="31"/>
  </r>
  <r>
    <x v="10"/>
  </r>
  <r>
    <x v="478"/>
  </r>
  <r>
    <x v="445"/>
  </r>
  <r>
    <x v="324"/>
  </r>
  <r>
    <x v="113"/>
  </r>
  <r>
    <x v="113"/>
  </r>
  <r>
    <x v="113"/>
  </r>
  <r>
    <x v="21"/>
  </r>
  <r>
    <x v="10"/>
  </r>
  <r>
    <x v="119"/>
  </r>
  <r>
    <x v="63"/>
  </r>
  <r>
    <x v="124"/>
  </r>
  <r>
    <x v="144"/>
  </r>
  <r>
    <x v="113"/>
  </r>
  <r>
    <x v="12"/>
  </r>
  <r>
    <x v="108"/>
  </r>
  <r>
    <x v="52"/>
  </r>
  <r>
    <x v="76"/>
  </r>
  <r>
    <x v="156"/>
  </r>
  <r>
    <x v="112"/>
  </r>
  <r>
    <x v="63"/>
  </r>
  <r>
    <x v="230"/>
  </r>
  <r>
    <x v="230"/>
  </r>
  <r>
    <x v="127"/>
  </r>
  <r>
    <x v="81"/>
  </r>
  <r>
    <x v="70"/>
  </r>
  <r>
    <x v="111"/>
  </r>
  <r>
    <x v="111"/>
  </r>
  <r>
    <x v="392"/>
  </r>
  <r>
    <x v="155"/>
  </r>
  <r>
    <x v="83"/>
  </r>
  <r>
    <x v="281"/>
  </r>
  <r>
    <x v="345"/>
  </r>
  <r>
    <x v="281"/>
  </r>
  <r>
    <x v="119"/>
  </r>
  <r>
    <x v="173"/>
  </r>
  <r>
    <x v="121"/>
  </r>
  <r>
    <x v="229"/>
  </r>
  <r>
    <x v="32"/>
  </r>
  <r>
    <x v="400"/>
  </r>
  <r>
    <x v="31"/>
  </r>
  <r>
    <x v="406"/>
  </r>
  <r>
    <x v="31"/>
  </r>
  <r>
    <x v="90"/>
  </r>
  <r>
    <x v="113"/>
  </r>
  <r>
    <x v="406"/>
  </r>
  <r>
    <x v="392"/>
  </r>
  <r>
    <x v="321"/>
  </r>
  <r>
    <x v="113"/>
  </r>
  <r>
    <x v="6"/>
  </r>
  <r>
    <x v="121"/>
  </r>
  <r>
    <x v="113"/>
  </r>
  <r>
    <x v="121"/>
  </r>
  <r>
    <x v="216"/>
  </r>
  <r>
    <x v="227"/>
  </r>
  <r>
    <x v="340"/>
  </r>
  <r>
    <x v="424"/>
  </r>
  <r>
    <x v="93"/>
  </r>
  <r>
    <x v="304"/>
  </r>
  <r>
    <x v="281"/>
  </r>
  <r>
    <x v="4"/>
  </r>
  <r>
    <x v="31"/>
  </r>
  <r>
    <x v="154"/>
  </r>
  <r>
    <x v="25"/>
  </r>
  <r>
    <x v="398"/>
  </r>
  <r>
    <x v="110"/>
  </r>
  <r>
    <x v="31"/>
  </r>
  <r>
    <x v="155"/>
  </r>
  <r>
    <x v="31"/>
  </r>
  <r>
    <x v="230"/>
  </r>
  <r>
    <x v="230"/>
  </r>
  <r>
    <x v="399"/>
  </r>
  <r>
    <x v="403"/>
  </r>
  <r>
    <x v="113"/>
  </r>
  <r>
    <x v="113"/>
  </r>
  <r>
    <x v="113"/>
  </r>
  <r>
    <x v="94"/>
  </r>
  <r>
    <x v="25"/>
  </r>
  <r>
    <x v="25"/>
  </r>
  <r>
    <x v="93"/>
  </r>
  <r>
    <x v="25"/>
  </r>
  <r>
    <x v="93"/>
  </r>
  <r>
    <x v="25"/>
  </r>
  <r>
    <x v="99"/>
  </r>
  <r>
    <x v="23"/>
  </r>
  <r>
    <x v="22"/>
  </r>
  <r>
    <x v="59"/>
  </r>
  <r>
    <x v="14"/>
  </r>
  <r>
    <x v="25"/>
  </r>
  <r>
    <x v="93"/>
  </r>
  <r>
    <x v="45"/>
  </r>
  <r>
    <x v="12"/>
  </r>
  <r>
    <x v="26"/>
  </r>
  <r>
    <x v="12"/>
  </r>
  <r>
    <x v="82"/>
  </r>
  <r>
    <x v="31"/>
  </r>
  <r>
    <x v="31"/>
  </r>
  <r>
    <x v="23"/>
  </r>
  <r>
    <x v="25"/>
  </r>
  <r>
    <x v="25"/>
  </r>
  <r>
    <x v="76"/>
  </r>
  <r>
    <x v="42"/>
  </r>
  <r>
    <x v="42"/>
  </r>
  <r>
    <x v="25"/>
  </r>
  <r>
    <x v="25"/>
  </r>
  <r>
    <x v="28"/>
  </r>
  <r>
    <x v="111"/>
  </r>
  <r>
    <x v="79"/>
  </r>
  <r>
    <x v="158"/>
  </r>
  <r>
    <x v="23"/>
  </r>
  <r>
    <x v="23"/>
  </r>
  <r>
    <x v="23"/>
  </r>
  <r>
    <x v="23"/>
  </r>
  <r>
    <x v="23"/>
  </r>
  <r>
    <x v="134"/>
  </r>
  <r>
    <x v="0"/>
  </r>
  <r>
    <x v="23"/>
  </r>
  <r>
    <x v="23"/>
  </r>
  <r>
    <x v="98"/>
  </r>
  <r>
    <x v="4"/>
  </r>
  <r>
    <x v="71"/>
  </r>
  <r>
    <x v="71"/>
  </r>
  <r>
    <x v="71"/>
  </r>
  <r>
    <x v="71"/>
  </r>
  <r>
    <x v="113"/>
  </r>
  <r>
    <x v="82"/>
  </r>
  <r>
    <x v="20"/>
  </r>
  <r>
    <x v="20"/>
  </r>
  <r>
    <x v="97"/>
  </r>
  <r>
    <x v="34"/>
  </r>
  <r>
    <x v="76"/>
  </r>
  <r>
    <x v="52"/>
  </r>
  <r>
    <x v="25"/>
  </r>
  <r>
    <x v="25"/>
  </r>
  <r>
    <x v="14"/>
  </r>
  <r>
    <x v="93"/>
  </r>
  <r>
    <x v="72"/>
  </r>
  <r>
    <x v="93"/>
  </r>
  <r>
    <x v="87"/>
  </r>
  <r>
    <x v="25"/>
  </r>
  <r>
    <x v="87"/>
  </r>
  <r>
    <x v="72"/>
  </r>
  <r>
    <x v="72"/>
  </r>
  <r>
    <x v="72"/>
  </r>
  <r>
    <x v="72"/>
  </r>
  <r>
    <x v="72"/>
  </r>
  <r>
    <x v="72"/>
  </r>
  <r>
    <x v="63"/>
  </r>
  <r>
    <x v="25"/>
  </r>
  <r>
    <x v="25"/>
  </r>
  <r>
    <x v="25"/>
  </r>
  <r>
    <x v="29"/>
  </r>
  <r>
    <x v="76"/>
  </r>
  <r>
    <x v="56"/>
  </r>
  <r>
    <x v="6"/>
  </r>
  <r>
    <x v="76"/>
  </r>
  <r>
    <x v="76"/>
  </r>
  <r>
    <x v="122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25"/>
  </r>
  <r>
    <x v="76"/>
  </r>
  <r>
    <x v="63"/>
  </r>
  <r>
    <x v="76"/>
  </r>
  <r>
    <x v="76"/>
  </r>
  <r>
    <x v="76"/>
  </r>
  <r>
    <x v="76"/>
  </r>
  <r>
    <x v="76"/>
  </r>
  <r>
    <x v="76"/>
  </r>
  <r>
    <x v="76"/>
  </r>
  <r>
    <x v="25"/>
  </r>
  <r>
    <x v="25"/>
  </r>
  <r>
    <x v="25"/>
  </r>
  <r>
    <x v="25"/>
  </r>
  <r>
    <x v="25"/>
  </r>
  <r>
    <x v="25"/>
  </r>
  <r>
    <x v="72"/>
  </r>
  <r>
    <x v="72"/>
  </r>
  <r>
    <x v="72"/>
  </r>
  <r>
    <x v="72"/>
  </r>
  <r>
    <x v="238"/>
  </r>
  <r>
    <x v="238"/>
  </r>
  <r>
    <x v="238"/>
  </r>
  <r>
    <x v="238"/>
  </r>
  <r>
    <x v="238"/>
  </r>
  <r>
    <x v="238"/>
  </r>
  <r>
    <x v="75"/>
  </r>
  <r>
    <x v="25"/>
  </r>
  <r>
    <x v="27"/>
  </r>
  <r>
    <x v="188"/>
  </r>
  <r>
    <x v="6"/>
  </r>
  <r>
    <x v="1"/>
  </r>
  <r>
    <x v="12"/>
  </r>
  <r>
    <x v="31"/>
  </r>
  <r>
    <x v="1"/>
  </r>
  <r>
    <x v="10"/>
  </r>
  <r>
    <x v="46"/>
  </r>
  <r>
    <x v="2"/>
  </r>
  <r>
    <x v="27"/>
  </r>
  <r>
    <x v="14"/>
  </r>
  <r>
    <x v="97"/>
  </r>
  <r>
    <x v="122"/>
  </r>
  <r>
    <x v="17"/>
  </r>
  <r>
    <x v="17"/>
  </r>
  <r>
    <x v="17"/>
  </r>
  <r>
    <x v="10"/>
  </r>
  <r>
    <x v="14"/>
  </r>
  <r>
    <x v="14"/>
  </r>
  <r>
    <x v="242"/>
  </r>
  <r>
    <x v="23"/>
  </r>
  <r>
    <x v="87"/>
  </r>
  <r>
    <x v="87"/>
  </r>
  <r>
    <x v="87"/>
  </r>
  <r>
    <x v="236"/>
  </r>
  <r>
    <x v="52"/>
  </r>
  <r>
    <x v="12"/>
  </r>
  <r>
    <x v="12"/>
  </r>
  <r>
    <x v="12"/>
  </r>
  <r>
    <x v="14"/>
  </r>
  <r>
    <x v="82"/>
  </r>
  <r>
    <x v="91"/>
  </r>
  <r>
    <x v="93"/>
  </r>
  <r>
    <x v="93"/>
  </r>
  <r>
    <x v="93"/>
  </r>
  <r>
    <x v="93"/>
  </r>
  <r>
    <x v="93"/>
  </r>
  <r>
    <x v="27"/>
  </r>
  <r>
    <x v="97"/>
  </r>
  <r>
    <x v="97"/>
  </r>
  <r>
    <x v="93"/>
  </r>
  <r>
    <x v="76"/>
  </r>
  <r>
    <x v="42"/>
  </r>
  <r>
    <x v="76"/>
  </r>
  <r>
    <x v="76"/>
  </r>
  <r>
    <x v="10"/>
  </r>
  <r>
    <x v="25"/>
  </r>
  <r>
    <x v="25"/>
  </r>
  <r>
    <x v="48"/>
  </r>
  <r>
    <x v="48"/>
  </r>
  <r>
    <x v="25"/>
  </r>
  <r>
    <x v="25"/>
  </r>
  <r>
    <x v="25"/>
  </r>
  <r>
    <x v="48"/>
  </r>
  <r>
    <x v="48"/>
  </r>
  <r>
    <x v="48"/>
  </r>
  <r>
    <x v="52"/>
  </r>
  <r>
    <x v="48"/>
  </r>
  <r>
    <x v="48"/>
  </r>
  <r>
    <x v="42"/>
  </r>
  <r>
    <x v="99"/>
  </r>
  <r>
    <x v="29"/>
  </r>
  <r>
    <x v="34"/>
  </r>
  <r>
    <x v="72"/>
  </r>
  <r>
    <x v="14"/>
  </r>
  <r>
    <x v="14"/>
  </r>
  <r>
    <x v="14"/>
  </r>
  <r>
    <x v="29"/>
  </r>
  <r>
    <x v="29"/>
  </r>
  <r>
    <x v="94"/>
  </r>
  <r>
    <x v="29"/>
  </r>
  <r>
    <x v="72"/>
  </r>
  <r>
    <x v="72"/>
  </r>
  <r>
    <x v="72"/>
  </r>
  <r>
    <x v="42"/>
  </r>
  <r>
    <x v="0"/>
  </r>
  <r>
    <x v="62"/>
  </r>
  <r>
    <x v="42"/>
  </r>
  <r>
    <x v="17"/>
  </r>
  <r>
    <x v="37"/>
  </r>
  <r>
    <x v="12"/>
  </r>
  <r>
    <x v="9"/>
  </r>
  <r>
    <x v="9"/>
  </r>
  <r>
    <x v="9"/>
  </r>
  <r>
    <x v="0"/>
  </r>
  <r>
    <x v="0"/>
  </r>
  <r>
    <x v="31"/>
  </r>
  <r>
    <x v="2"/>
  </r>
  <r>
    <x v="321"/>
  </r>
  <r>
    <x v="6"/>
  </r>
  <r>
    <x v="105"/>
  </r>
  <r>
    <x v="24"/>
  </r>
  <r>
    <x v="14"/>
  </r>
  <r>
    <x v="3"/>
  </r>
  <r>
    <x v="44"/>
  </r>
  <r>
    <x v="44"/>
  </r>
  <r>
    <x v="82"/>
  </r>
  <r>
    <x v="25"/>
  </r>
  <r>
    <x v="105"/>
  </r>
  <r>
    <x v="25"/>
  </r>
  <r>
    <x v="93"/>
  </r>
  <r>
    <x v="93"/>
  </r>
  <r>
    <x v="78"/>
  </r>
  <r>
    <x v="93"/>
  </r>
  <r>
    <x v="25"/>
  </r>
  <r>
    <x v="25"/>
  </r>
  <r>
    <x v="25"/>
  </r>
  <r>
    <x v="25"/>
  </r>
  <r>
    <x v="25"/>
  </r>
  <r>
    <x v="22"/>
  </r>
  <r>
    <x v="93"/>
  </r>
  <r>
    <x v="76"/>
  </r>
  <r>
    <x v="25"/>
  </r>
  <r>
    <x v="78"/>
  </r>
  <r>
    <x v="78"/>
  </r>
  <r>
    <x v="78"/>
  </r>
  <r>
    <x v="78"/>
  </r>
  <r>
    <x v="82"/>
  </r>
  <r>
    <x v="87"/>
  </r>
  <r>
    <x v="4"/>
  </r>
  <r>
    <x v="14"/>
  </r>
  <r>
    <x v="249"/>
  </r>
  <r>
    <x v="78"/>
  </r>
  <r>
    <x v="63"/>
  </r>
  <r>
    <x v="89"/>
  </r>
  <r>
    <x v="63"/>
  </r>
  <r>
    <x v="89"/>
  </r>
  <r>
    <x v="81"/>
  </r>
  <r>
    <x v="48"/>
  </r>
  <r>
    <x v="23"/>
  </r>
  <r>
    <x v="23"/>
  </r>
  <r>
    <x v="23"/>
  </r>
  <r>
    <x v="23"/>
  </r>
  <r>
    <x v="122"/>
  </r>
  <r>
    <x v="63"/>
  </r>
  <r>
    <x v="63"/>
  </r>
  <r>
    <x v="63"/>
  </r>
  <r>
    <x v="63"/>
  </r>
  <r>
    <x v="63"/>
  </r>
  <r>
    <x v="63"/>
  </r>
  <r>
    <x v="63"/>
  </r>
  <r>
    <x v="8"/>
  </r>
  <r>
    <x v="8"/>
  </r>
  <r>
    <x v="87"/>
  </r>
  <r>
    <x v="12"/>
  </r>
  <r>
    <x v="42"/>
  </r>
  <r>
    <x v="86"/>
  </r>
  <r>
    <x v="86"/>
  </r>
  <r>
    <x v="86"/>
  </r>
  <r>
    <x v="99"/>
  </r>
  <r>
    <x v="8"/>
  </r>
  <r>
    <x v="50"/>
  </r>
  <r>
    <x v="36"/>
  </r>
  <r>
    <x v="36"/>
  </r>
  <r>
    <x v="36"/>
  </r>
  <r>
    <x v="200"/>
  </r>
  <r>
    <x v="81"/>
  </r>
  <r>
    <x v="50"/>
  </r>
  <r>
    <x v="12"/>
  </r>
  <r>
    <x v="32"/>
  </r>
  <r>
    <x v="2"/>
  </r>
  <r>
    <x v="72"/>
  </r>
  <r>
    <x v="12"/>
  </r>
  <r>
    <x v="14"/>
  </r>
  <r>
    <x v="31"/>
  </r>
  <r>
    <x v="25"/>
  </r>
  <r>
    <x v="79"/>
  </r>
  <r>
    <x v="48"/>
  </r>
  <r>
    <x v="82"/>
  </r>
  <r>
    <x v="83"/>
  </r>
  <r>
    <x v="6"/>
  </r>
  <r>
    <x v="3"/>
  </r>
  <r>
    <x v="6"/>
  </r>
  <r>
    <x v="29"/>
  </r>
  <r>
    <x v="31"/>
  </r>
  <r>
    <x v="8"/>
  </r>
  <r>
    <x v="30"/>
  </r>
  <r>
    <x v="6"/>
  </r>
  <r>
    <x v="100"/>
  </r>
  <r>
    <x v="30"/>
  </r>
  <r>
    <x v="223"/>
  </r>
  <r>
    <x v="82"/>
  </r>
  <r>
    <x v="188"/>
  </r>
  <r>
    <x v="11"/>
  </r>
  <r>
    <x v="111"/>
  </r>
  <r>
    <x v="82"/>
  </r>
  <r>
    <x v="82"/>
  </r>
  <r>
    <x v="48"/>
  </r>
  <r>
    <x v="216"/>
  </r>
  <r>
    <x v="31"/>
  </r>
  <r>
    <x v="91"/>
  </r>
  <r>
    <x v="31"/>
  </r>
  <r>
    <x v="31"/>
  </r>
  <r>
    <x v="31"/>
  </r>
  <r>
    <x v="31"/>
  </r>
  <r>
    <x v="31"/>
  </r>
  <r>
    <x v="31"/>
  </r>
  <r>
    <x v="31"/>
  </r>
  <r>
    <x v="121"/>
  </r>
  <r>
    <x v="31"/>
  </r>
  <r>
    <x v="82"/>
  </r>
  <r>
    <x v="85"/>
  </r>
  <r>
    <x v="52"/>
  </r>
  <r>
    <x v="83"/>
  </r>
  <r>
    <x v="31"/>
  </r>
  <r>
    <x v="183"/>
  </r>
  <r>
    <x v="71"/>
  </r>
  <r>
    <x v="31"/>
  </r>
  <r>
    <x v="31"/>
  </r>
  <r>
    <x v="83"/>
  </r>
  <r>
    <x v="14"/>
  </r>
  <r>
    <x v="82"/>
  </r>
  <r>
    <x v="89"/>
  </r>
  <r>
    <x v="91"/>
  </r>
  <r>
    <x v="55"/>
  </r>
  <r>
    <x v="48"/>
  </r>
  <r>
    <x v="25"/>
  </r>
  <r>
    <x v="48"/>
  </r>
  <r>
    <x v="83"/>
  </r>
  <r>
    <x v="31"/>
  </r>
  <r>
    <x v="45"/>
  </r>
  <r>
    <x v="30"/>
  </r>
  <r>
    <x v="22"/>
  </r>
  <r>
    <x v="25"/>
  </r>
  <r>
    <x v="87"/>
  </r>
  <r>
    <x v="25"/>
  </r>
  <r>
    <x v="23"/>
  </r>
  <r>
    <x v="151"/>
  </r>
  <r>
    <x v="83"/>
  </r>
  <r>
    <x v="83"/>
  </r>
  <r>
    <x v="48"/>
  </r>
  <r>
    <x v="72"/>
  </r>
  <r>
    <x v="183"/>
  </r>
  <r>
    <x v="188"/>
  </r>
  <r>
    <x v="91"/>
  </r>
  <r>
    <x v="83"/>
  </r>
  <r>
    <x v="96"/>
  </r>
  <r>
    <x v="96"/>
  </r>
  <r>
    <x v="25"/>
  </r>
  <r>
    <x v="83"/>
  </r>
  <r>
    <x v="76"/>
  </r>
  <r>
    <x v="72"/>
  </r>
  <r>
    <x v="31"/>
  </r>
  <r>
    <x v="31"/>
  </r>
  <r>
    <x v="30"/>
  </r>
  <r>
    <x v="91"/>
  </r>
  <r>
    <x v="48"/>
  </r>
  <r>
    <x v="48"/>
  </r>
  <r>
    <x v="48"/>
  </r>
  <r>
    <x v="48"/>
  </r>
  <r>
    <x v="155"/>
  </r>
  <r>
    <x v="155"/>
  </r>
  <r>
    <x v="6"/>
  </r>
  <r>
    <x v="83"/>
  </r>
  <r>
    <x v="3"/>
  </r>
  <r>
    <x v="31"/>
  </r>
  <r>
    <x v="31"/>
  </r>
  <r>
    <x v="48"/>
  </r>
  <r>
    <x v="31"/>
  </r>
  <r>
    <x v="36"/>
  </r>
  <r>
    <x v="71"/>
  </r>
  <r>
    <x v="87"/>
  </r>
  <r>
    <x v="48"/>
  </r>
  <r>
    <x v="48"/>
  </r>
  <r>
    <x v="87"/>
  </r>
  <r>
    <x v="48"/>
  </r>
  <r>
    <x v="48"/>
  </r>
  <r>
    <x v="31"/>
  </r>
  <r>
    <x v="10"/>
  </r>
  <r>
    <x v="83"/>
  </r>
  <r>
    <x v="86"/>
  </r>
  <r>
    <x v="3"/>
  </r>
  <r>
    <x v="3"/>
  </r>
  <r>
    <x v="288"/>
  </r>
  <r>
    <x v="48"/>
  </r>
  <r>
    <x v="48"/>
  </r>
  <r>
    <x v="3"/>
  </r>
  <r>
    <x v="10"/>
  </r>
  <r>
    <x v="48"/>
  </r>
  <r>
    <x v="30"/>
  </r>
  <r>
    <x v="142"/>
  </r>
  <r>
    <x v="10"/>
  </r>
  <r>
    <x v="10"/>
  </r>
  <r>
    <x v="77"/>
  </r>
  <r>
    <x v="45"/>
  </r>
  <r>
    <x v="10"/>
  </r>
  <r>
    <x v="81"/>
  </r>
  <r>
    <x v="77"/>
  </r>
  <r>
    <x v="77"/>
  </r>
  <r>
    <x v="14"/>
  </r>
  <r>
    <x v="2"/>
  </r>
  <r>
    <x v="14"/>
  </r>
  <r>
    <x v="12"/>
  </r>
  <r>
    <x v="296"/>
  </r>
  <r>
    <x v="42"/>
  </r>
  <r>
    <x v="83"/>
  </r>
  <r>
    <x v="31"/>
  </r>
  <r>
    <x v="31"/>
  </r>
  <r>
    <x v="31"/>
  </r>
  <r>
    <x v="10"/>
  </r>
  <r>
    <x v="31"/>
  </r>
  <r>
    <x v="100"/>
  </r>
  <r>
    <x v="56"/>
  </r>
  <r>
    <x v="59"/>
  </r>
  <r>
    <x v="59"/>
  </r>
  <r>
    <x v="59"/>
  </r>
  <r>
    <x v="80"/>
  </r>
  <r>
    <x v="45"/>
  </r>
  <r>
    <x v="77"/>
  </r>
  <r>
    <x v="29"/>
  </r>
  <r>
    <x v="42"/>
  </r>
  <r>
    <x v="78"/>
  </r>
  <r>
    <x v="86"/>
  </r>
  <r>
    <x v="86"/>
  </r>
  <r>
    <x v="36"/>
  </r>
  <r>
    <x v="48"/>
  </r>
  <r>
    <x v="86"/>
  </r>
  <r>
    <x v="105"/>
  </r>
  <r>
    <x v="75"/>
  </r>
  <r>
    <x v="48"/>
  </r>
  <r>
    <x v="48"/>
  </r>
  <r>
    <x v="0"/>
  </r>
  <r>
    <x v="72"/>
  </r>
  <r>
    <x v="72"/>
  </r>
  <r>
    <x v="48"/>
  </r>
  <r>
    <x v="72"/>
  </r>
  <r>
    <x v="12"/>
  </r>
  <r>
    <x v="87"/>
  </r>
  <r>
    <x v="48"/>
  </r>
  <r>
    <x v="42"/>
  </r>
  <r>
    <x v="14"/>
  </r>
  <r>
    <x v="63"/>
  </r>
  <r>
    <x v="87"/>
  </r>
  <r>
    <x v="72"/>
  </r>
  <r>
    <x v="72"/>
  </r>
  <r>
    <x v="36"/>
  </r>
  <r>
    <x v="136"/>
  </r>
  <r>
    <x v="42"/>
  </r>
  <r>
    <x v="85"/>
  </r>
  <r>
    <x v="219"/>
  </r>
  <r>
    <x v="89"/>
  </r>
  <r>
    <x v="89"/>
  </r>
  <r>
    <x v="48"/>
  </r>
  <r>
    <x v="87"/>
  </r>
  <r>
    <x v="85"/>
  </r>
  <r>
    <x v="36"/>
  </r>
  <r>
    <x v="87"/>
  </r>
  <r>
    <x v="42"/>
  </r>
  <r>
    <x v="42"/>
  </r>
  <r>
    <x v="155"/>
  </r>
  <r>
    <x v="42"/>
  </r>
  <r>
    <x v="3"/>
  </r>
  <r>
    <x v="3"/>
  </r>
  <r>
    <x v="78"/>
  </r>
  <r>
    <x v="100"/>
  </r>
  <r>
    <x v="154"/>
  </r>
  <r>
    <x v="107"/>
  </r>
  <r>
    <x v="98"/>
  </r>
  <r>
    <x v="48"/>
  </r>
  <r>
    <x v="31"/>
  </r>
  <r>
    <x v="57"/>
  </r>
  <r>
    <x v="57"/>
  </r>
  <r>
    <x v="57"/>
  </r>
  <r>
    <x v="57"/>
  </r>
  <r>
    <x v="57"/>
  </r>
  <r>
    <x v="57"/>
  </r>
  <r>
    <x v="57"/>
  </r>
  <r>
    <x v="57"/>
  </r>
  <r>
    <x v="115"/>
  </r>
  <r>
    <x v="108"/>
  </r>
  <r>
    <x v="99"/>
  </r>
  <r>
    <x v="57"/>
  </r>
  <r>
    <x v="108"/>
  </r>
  <r>
    <x v="95"/>
  </r>
  <r>
    <x v="2"/>
  </r>
  <r>
    <x v="45"/>
  </r>
  <r>
    <x v="45"/>
  </r>
  <r>
    <x v="45"/>
  </r>
  <r>
    <x v="45"/>
  </r>
  <r>
    <x v="131"/>
  </r>
  <r>
    <x v="131"/>
  </r>
  <r>
    <x v="131"/>
  </r>
  <r>
    <x v="81"/>
  </r>
  <r>
    <x v="42"/>
  </r>
  <r>
    <x v="12"/>
  </r>
  <r>
    <x v="42"/>
  </r>
  <r>
    <x v="12"/>
  </r>
  <r>
    <x v="42"/>
  </r>
  <r>
    <x v="113"/>
  </r>
  <r>
    <x v="12"/>
  </r>
  <r>
    <x v="75"/>
  </r>
  <r>
    <x v="117"/>
  </r>
  <r>
    <x v="12"/>
  </r>
  <r>
    <x v="12"/>
  </r>
  <r>
    <x v="22"/>
  </r>
  <r>
    <x v="22"/>
  </r>
  <r>
    <x v="22"/>
  </r>
  <r>
    <x v="22"/>
  </r>
  <r>
    <x v="57"/>
  </r>
  <r>
    <x v="57"/>
  </r>
  <r>
    <x v="57"/>
  </r>
  <r>
    <x v="57"/>
  </r>
  <r>
    <x v="57"/>
  </r>
  <r>
    <x v="57"/>
  </r>
  <r>
    <x v="57"/>
  </r>
  <r>
    <x v="0"/>
  </r>
  <r>
    <x v="0"/>
  </r>
  <r>
    <x v="159"/>
  </r>
  <r>
    <x v="0"/>
  </r>
  <r>
    <x v="48"/>
  </r>
  <r>
    <x v="2"/>
  </r>
  <r>
    <x v="2"/>
  </r>
  <r>
    <x v="2"/>
  </r>
  <r>
    <x v="45"/>
  </r>
  <r>
    <x v="45"/>
  </r>
  <r>
    <x v="45"/>
  </r>
  <r>
    <x v="57"/>
  </r>
  <r>
    <x v="75"/>
  </r>
  <r>
    <x v="42"/>
  </r>
  <r>
    <x v="42"/>
  </r>
  <r>
    <x v="42"/>
  </r>
  <r>
    <x v="57"/>
  </r>
  <r>
    <x v="78"/>
  </r>
  <r>
    <x v="78"/>
  </r>
  <r>
    <x v="82"/>
  </r>
  <r>
    <x v="22"/>
  </r>
  <r>
    <x v="22"/>
  </r>
  <r>
    <x v="78"/>
  </r>
  <r>
    <x v="57"/>
  </r>
  <r>
    <x v="57"/>
  </r>
  <r>
    <x v="12"/>
  </r>
  <r>
    <x v="12"/>
  </r>
  <r>
    <x v="78"/>
  </r>
  <r>
    <x v="22"/>
  </r>
  <r>
    <x v="76"/>
  </r>
  <r>
    <x v="76"/>
  </r>
  <r>
    <x v="81"/>
  </r>
  <r>
    <x v="76"/>
  </r>
  <r>
    <x v="82"/>
  </r>
  <r>
    <x v="82"/>
  </r>
  <r>
    <x v="30"/>
  </r>
  <r>
    <x v="12"/>
  </r>
  <r>
    <x v="82"/>
  </r>
  <r>
    <x v="82"/>
  </r>
  <r>
    <x v="82"/>
  </r>
  <r>
    <x v="82"/>
  </r>
  <r>
    <x v="82"/>
  </r>
  <r>
    <x v="82"/>
  </r>
  <r>
    <x v="82"/>
  </r>
  <r>
    <x v="82"/>
  </r>
  <r>
    <x v="72"/>
  </r>
  <r>
    <x v="208"/>
  </r>
  <r>
    <x v="208"/>
  </r>
  <r>
    <x v="10"/>
  </r>
  <r>
    <x v="48"/>
  </r>
  <r>
    <x v="83"/>
  </r>
  <r>
    <x v="3"/>
  </r>
  <r>
    <x v="31"/>
  </r>
  <r>
    <x v="82"/>
  </r>
  <r>
    <x v="31"/>
  </r>
  <r>
    <x v="117"/>
  </r>
  <r>
    <x v="78"/>
  </r>
  <r>
    <x v="83"/>
  </r>
  <r>
    <x v="72"/>
  </r>
  <r>
    <x v="72"/>
  </r>
  <r>
    <x v="72"/>
  </r>
  <r>
    <x v="72"/>
  </r>
  <r>
    <x v="10"/>
  </r>
  <r>
    <x v="10"/>
  </r>
  <r>
    <x v="31"/>
  </r>
  <r>
    <x v="31"/>
  </r>
  <r>
    <x v="56"/>
  </r>
  <r>
    <x v="56"/>
  </r>
  <r>
    <x v="56"/>
  </r>
  <r>
    <x v="25"/>
  </r>
  <r>
    <x v="25"/>
  </r>
  <r>
    <x v="97"/>
  </r>
  <r>
    <x v="12"/>
  </r>
  <r>
    <x v="12"/>
  </r>
  <r>
    <x v="12"/>
  </r>
  <r>
    <x v="78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82"/>
  </r>
  <r>
    <x v="22"/>
  </r>
  <r>
    <x v="22"/>
  </r>
  <r>
    <x v="288"/>
  </r>
  <r>
    <x v="288"/>
  </r>
  <r>
    <x v="31"/>
  </r>
  <r>
    <x v="31"/>
  </r>
  <r>
    <x v="112"/>
  </r>
  <r>
    <x v="112"/>
  </r>
  <r>
    <x v="96"/>
  </r>
  <r>
    <x v="112"/>
  </r>
  <r>
    <x v="112"/>
  </r>
  <r>
    <x v="14"/>
  </r>
  <r>
    <x v="14"/>
  </r>
  <r>
    <x v="76"/>
  </r>
  <r>
    <x v="14"/>
  </r>
  <r>
    <x v="48"/>
  </r>
  <r>
    <x v="48"/>
  </r>
  <r>
    <x v="112"/>
  </r>
  <r>
    <x v="14"/>
  </r>
  <r>
    <x v="14"/>
  </r>
  <r>
    <x v="112"/>
  </r>
  <r>
    <x v="86"/>
  </r>
  <r>
    <x v="86"/>
  </r>
  <r>
    <x v="112"/>
  </r>
  <r>
    <x v="56"/>
  </r>
  <r>
    <x v="36"/>
  </r>
  <r>
    <x v="86"/>
  </r>
  <r>
    <x v="86"/>
  </r>
  <r>
    <x v="72"/>
  </r>
  <r>
    <x v="0"/>
  </r>
  <r>
    <x v="78"/>
  </r>
  <r>
    <x v="78"/>
  </r>
  <r>
    <x v="78"/>
  </r>
  <r>
    <x v="36"/>
  </r>
  <r>
    <x v="10"/>
  </r>
  <r>
    <x v="82"/>
  </r>
  <r>
    <x v="82"/>
  </r>
  <r>
    <x v="82"/>
  </r>
  <r>
    <x v="78"/>
  </r>
  <r>
    <x v="78"/>
  </r>
  <r>
    <x v="82"/>
  </r>
  <r>
    <x v="75"/>
  </r>
  <r>
    <x v="75"/>
  </r>
  <r>
    <x v="75"/>
  </r>
  <r>
    <x v="75"/>
  </r>
  <r>
    <x v="31"/>
  </r>
  <r>
    <x v="82"/>
  </r>
  <r>
    <x v="82"/>
  </r>
  <r>
    <x v="12"/>
  </r>
  <r>
    <x v="0"/>
  </r>
  <r>
    <x v="82"/>
  </r>
  <r>
    <x v="97"/>
  </r>
  <r>
    <x v="0"/>
  </r>
  <r>
    <x v="75"/>
  </r>
  <r>
    <x v="75"/>
  </r>
  <r>
    <x v="25"/>
  </r>
  <r>
    <x v="25"/>
  </r>
  <r>
    <x v="76"/>
  </r>
  <r>
    <x v="25"/>
  </r>
  <r>
    <x v="25"/>
  </r>
  <r>
    <x v="370"/>
  </r>
  <r>
    <x v="36"/>
  </r>
  <r>
    <x v="87"/>
  </r>
  <r>
    <x v="24"/>
  </r>
  <r>
    <x v="10"/>
  </r>
  <r>
    <x v="76"/>
  </r>
  <r>
    <x v="24"/>
  </r>
  <r>
    <x v="10"/>
  </r>
  <r>
    <x v="63"/>
  </r>
  <r>
    <x v="52"/>
  </r>
  <r>
    <x v="25"/>
  </r>
  <r>
    <x v="25"/>
  </r>
  <r>
    <x v="76"/>
  </r>
  <r>
    <x v="10"/>
  </r>
  <r>
    <x v="76"/>
  </r>
  <r>
    <x v="122"/>
  </r>
  <r>
    <x v="122"/>
  </r>
  <r>
    <x v="122"/>
  </r>
  <r>
    <x v="122"/>
  </r>
  <r>
    <x v="122"/>
  </r>
  <r>
    <x v="25"/>
  </r>
  <r>
    <x v="100"/>
  </r>
  <r>
    <x v="25"/>
  </r>
  <r>
    <x v="479"/>
  </r>
  <r>
    <x v="78"/>
  </r>
  <r>
    <x v="65"/>
  </r>
  <r>
    <x v="65"/>
  </r>
  <r>
    <x v="25"/>
  </r>
  <r>
    <x v="93"/>
  </r>
  <r>
    <x v="21"/>
  </r>
  <r>
    <x v="76"/>
  </r>
  <r>
    <x v="14"/>
  </r>
  <r>
    <x v="14"/>
  </r>
  <r>
    <x v="108"/>
  </r>
  <r>
    <x v="25"/>
  </r>
  <r>
    <x v="57"/>
  </r>
  <r>
    <x v="76"/>
  </r>
  <r>
    <x v="102"/>
  </r>
  <r>
    <x v="102"/>
  </r>
  <r>
    <x v="93"/>
  </r>
  <r>
    <x v="10"/>
  </r>
  <r>
    <x v="10"/>
  </r>
  <r>
    <x v="10"/>
  </r>
  <r>
    <x v="102"/>
  </r>
  <r>
    <x v="108"/>
  </r>
  <r>
    <x v="73"/>
  </r>
  <r>
    <x v="93"/>
  </r>
  <r>
    <x v="93"/>
  </r>
  <r>
    <x v="25"/>
  </r>
  <r>
    <x v="102"/>
  </r>
  <r>
    <x v="72"/>
  </r>
  <r>
    <x v="100"/>
  </r>
  <r>
    <x v="100"/>
  </r>
  <r>
    <x v="77"/>
  </r>
  <r>
    <x v="31"/>
  </r>
  <r>
    <x v="434"/>
  </r>
  <r>
    <x v="31"/>
  </r>
  <r>
    <x v="31"/>
  </r>
  <r>
    <x v="31"/>
  </r>
  <r>
    <x v="31"/>
  </r>
  <r>
    <x v="24"/>
  </r>
  <r>
    <x v="24"/>
  </r>
  <r>
    <x v="21"/>
  </r>
  <r>
    <x v="112"/>
  </r>
  <r>
    <x v="63"/>
  </r>
  <r>
    <x v="77"/>
  </r>
  <r>
    <x v="88"/>
  </r>
  <r>
    <x v="9"/>
  </r>
  <r>
    <x v="63"/>
  </r>
  <r>
    <x v="42"/>
  </r>
  <r>
    <x v="42"/>
  </r>
  <r>
    <x v="25"/>
  </r>
  <r>
    <x v="25"/>
  </r>
  <r>
    <x v="181"/>
  </r>
  <r>
    <x v="108"/>
  </r>
  <r>
    <x v="112"/>
  </r>
  <r>
    <x v="6"/>
  </r>
  <r>
    <x v="108"/>
  </r>
  <r>
    <x v="127"/>
  </r>
  <r>
    <x v="31"/>
  </r>
  <r>
    <x v="108"/>
  </r>
  <r>
    <x v="48"/>
  </r>
  <r>
    <x v="31"/>
  </r>
  <r>
    <x v="30"/>
  </r>
  <r>
    <x v="112"/>
  </r>
  <r>
    <x v="113"/>
  </r>
  <r>
    <x v="81"/>
  </r>
  <r>
    <x v="25"/>
  </r>
  <r>
    <x v="25"/>
  </r>
  <r>
    <x v="67"/>
  </r>
  <r>
    <x v="67"/>
  </r>
  <r>
    <x v="211"/>
  </r>
  <r>
    <x v="25"/>
  </r>
  <r>
    <x v="113"/>
  </r>
  <r>
    <x v="83"/>
  </r>
  <r>
    <x v="158"/>
  </r>
  <r>
    <x v="31"/>
  </r>
  <r>
    <x v="70"/>
  </r>
  <r>
    <x v="70"/>
  </r>
  <r>
    <x v="70"/>
  </r>
  <r>
    <x v="31"/>
  </r>
  <r>
    <x v="76"/>
  </r>
  <r>
    <x v="25"/>
  </r>
  <r>
    <x v="113"/>
  </r>
  <r>
    <x v="227"/>
  </r>
  <r>
    <x v="21"/>
  </r>
  <r>
    <x v="213"/>
  </r>
  <r>
    <x v="289"/>
  </r>
  <r>
    <x v="406"/>
  </r>
  <r>
    <x v="83"/>
  </r>
  <r>
    <x v="86"/>
  </r>
  <r>
    <x v="112"/>
  </r>
  <r>
    <x v="113"/>
  </r>
  <r>
    <x v="392"/>
  </r>
  <r>
    <x v="324"/>
  </r>
  <r>
    <x v="20"/>
  </r>
  <r>
    <x v="20"/>
  </r>
  <r>
    <x v="20"/>
  </r>
  <r>
    <x v="0"/>
  </r>
  <r>
    <x v="42"/>
  </r>
  <r>
    <x v="25"/>
  </r>
  <r>
    <x v="25"/>
  </r>
  <r>
    <x v="85"/>
  </r>
  <r>
    <x v="25"/>
  </r>
  <r>
    <x v="25"/>
  </r>
  <r>
    <x v="105"/>
  </r>
  <r>
    <x v="25"/>
  </r>
  <r>
    <x v="25"/>
  </r>
  <r>
    <x v="25"/>
  </r>
  <r>
    <x v="25"/>
  </r>
  <r>
    <x v="76"/>
  </r>
  <r>
    <x v="52"/>
  </r>
  <r>
    <x v="93"/>
  </r>
  <r>
    <x v="52"/>
  </r>
  <r>
    <x v="23"/>
  </r>
  <r>
    <x v="23"/>
  </r>
  <r>
    <x v="25"/>
  </r>
  <r>
    <x v="25"/>
  </r>
  <r>
    <x v="105"/>
  </r>
  <r>
    <x v="105"/>
  </r>
  <r>
    <x v="105"/>
  </r>
  <r>
    <x v="105"/>
  </r>
  <r>
    <x v="25"/>
  </r>
  <r>
    <x v="25"/>
  </r>
  <r>
    <x v="105"/>
  </r>
  <r>
    <x v="149"/>
  </r>
  <r>
    <x v="21"/>
  </r>
  <r>
    <x v="105"/>
  </r>
  <r>
    <x v="25"/>
  </r>
  <r>
    <x v="72"/>
  </r>
  <r>
    <x v="199"/>
  </r>
  <r>
    <x v="199"/>
  </r>
  <r>
    <x v="48"/>
  </r>
  <r>
    <x v="111"/>
  </r>
  <r>
    <x v="25"/>
  </r>
  <r>
    <x v="78"/>
  </r>
  <r>
    <x v="25"/>
  </r>
  <r>
    <x v="78"/>
  </r>
  <r>
    <x v="78"/>
  </r>
  <r>
    <x v="25"/>
  </r>
  <r>
    <x v="25"/>
  </r>
  <r>
    <x v="25"/>
  </r>
  <r>
    <x v="23"/>
  </r>
  <r>
    <x v="23"/>
  </r>
  <r>
    <x v="76"/>
  </r>
  <r>
    <x v="76"/>
  </r>
  <r>
    <x v="76"/>
  </r>
  <r>
    <x v="105"/>
  </r>
  <r>
    <x v="76"/>
  </r>
  <r>
    <x v="199"/>
  </r>
  <r>
    <x v="199"/>
  </r>
  <r>
    <x v="199"/>
  </r>
  <r>
    <x v="76"/>
  </r>
  <r>
    <x v="76"/>
  </r>
  <r>
    <x v="199"/>
  </r>
  <r>
    <x v="199"/>
  </r>
  <r>
    <x v="76"/>
  </r>
  <r>
    <x v="76"/>
  </r>
  <r>
    <x v="199"/>
  </r>
  <r>
    <x v="199"/>
  </r>
  <r>
    <x v="199"/>
  </r>
  <r>
    <x v="25"/>
  </r>
  <r>
    <x v="99"/>
  </r>
  <r>
    <x v="7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5"/>
  </r>
  <r>
    <x v="25"/>
  </r>
  <r>
    <x v="23"/>
  </r>
  <r>
    <x v="177"/>
  </r>
  <r>
    <x v="14"/>
  </r>
  <r>
    <x v="92"/>
  </r>
  <r>
    <x v="25"/>
  </r>
  <r>
    <x v="25"/>
  </r>
  <r>
    <x v="25"/>
  </r>
  <r>
    <x v="23"/>
  </r>
  <r>
    <x v="25"/>
  </r>
  <r>
    <x v="23"/>
  </r>
  <r>
    <x v="22"/>
  </r>
  <r>
    <x v="126"/>
  </r>
  <r>
    <x v="76"/>
  </r>
  <r>
    <x v="199"/>
  </r>
  <r>
    <x v="76"/>
  </r>
  <r>
    <x v="199"/>
  </r>
  <r>
    <x v="199"/>
  </r>
  <r>
    <x v="76"/>
  </r>
  <r>
    <x v="199"/>
  </r>
  <r>
    <x v="76"/>
  </r>
  <r>
    <x v="78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8"/>
  </r>
  <r>
    <x v="78"/>
  </r>
  <r>
    <x v="76"/>
  </r>
  <r>
    <x v="76"/>
  </r>
  <r>
    <x v="76"/>
  </r>
  <r>
    <x v="76"/>
  </r>
  <r>
    <x v="76"/>
  </r>
  <r>
    <x v="76"/>
  </r>
  <r>
    <x v="76"/>
  </r>
  <r>
    <x v="76"/>
  </r>
  <r>
    <x v="14"/>
  </r>
  <r>
    <x v="105"/>
  </r>
  <r>
    <x v="76"/>
  </r>
  <r>
    <x v="76"/>
  </r>
  <r>
    <x v="85"/>
  </r>
  <r>
    <x v="78"/>
  </r>
  <r>
    <x v="25"/>
  </r>
  <r>
    <x v="25"/>
  </r>
  <r>
    <x v="76"/>
  </r>
  <r>
    <x v="93"/>
  </r>
  <r>
    <x v="72"/>
  </r>
  <r>
    <x v="25"/>
  </r>
  <r>
    <x v="25"/>
  </r>
  <r>
    <x v="25"/>
  </r>
  <r>
    <x v="72"/>
  </r>
  <r>
    <x v="25"/>
  </r>
  <r>
    <x v="78"/>
  </r>
  <r>
    <x v="25"/>
  </r>
  <r>
    <x v="25"/>
  </r>
  <r>
    <x v="25"/>
  </r>
  <r>
    <x v="91"/>
  </r>
  <r>
    <x v="91"/>
  </r>
  <r>
    <x v="23"/>
  </r>
  <r>
    <x v="25"/>
  </r>
  <r>
    <x v="25"/>
  </r>
  <r>
    <x v="199"/>
  </r>
  <r>
    <x v="25"/>
  </r>
  <r>
    <x v="72"/>
  </r>
  <r>
    <x v="72"/>
  </r>
  <r>
    <x v="76"/>
  </r>
  <r>
    <x v="76"/>
  </r>
  <r>
    <x v="199"/>
  </r>
  <r>
    <x v="72"/>
  </r>
  <r>
    <x v="76"/>
  </r>
  <r>
    <x v="76"/>
  </r>
  <r>
    <x v="76"/>
  </r>
  <r>
    <x v="76"/>
  </r>
  <r>
    <x v="199"/>
  </r>
  <r>
    <x v="199"/>
  </r>
  <r>
    <x v="12"/>
  </r>
  <r>
    <x v="72"/>
  </r>
  <r>
    <x v="199"/>
  </r>
  <r>
    <x v="25"/>
  </r>
  <r>
    <x v="82"/>
  </r>
  <r>
    <x v="25"/>
  </r>
  <r>
    <x v="25"/>
  </r>
  <r>
    <x v="76"/>
  </r>
  <r>
    <x v="76"/>
  </r>
  <r>
    <x v="25"/>
  </r>
  <r>
    <x v="25"/>
  </r>
  <r>
    <x v="76"/>
  </r>
  <r>
    <x v="76"/>
  </r>
  <r>
    <x v="76"/>
  </r>
  <r>
    <x v="76"/>
  </r>
  <r>
    <x v="76"/>
  </r>
  <r>
    <x v="76"/>
  </r>
  <r>
    <x v="82"/>
  </r>
  <r>
    <x v="82"/>
  </r>
  <r>
    <x v="23"/>
  </r>
  <r>
    <x v="25"/>
  </r>
  <r>
    <x v="25"/>
  </r>
  <r>
    <x v="93"/>
  </r>
  <r>
    <x v="25"/>
  </r>
  <r>
    <x v="25"/>
  </r>
  <r>
    <x v="25"/>
  </r>
  <r>
    <x v="25"/>
  </r>
  <r>
    <x v="78"/>
  </r>
  <r>
    <x v="25"/>
  </r>
  <r>
    <x v="25"/>
  </r>
  <r>
    <x v="25"/>
  </r>
  <r>
    <x v="25"/>
  </r>
  <r>
    <x v="25"/>
  </r>
  <r>
    <x v="25"/>
  </r>
  <r>
    <x v="76"/>
  </r>
  <r>
    <x v="199"/>
  </r>
  <r>
    <x v="199"/>
  </r>
  <r>
    <x v="199"/>
  </r>
  <r>
    <x v="76"/>
  </r>
  <r>
    <x v="25"/>
  </r>
  <r>
    <x v="25"/>
  </r>
  <r>
    <x v="76"/>
  </r>
  <r>
    <x v="76"/>
  </r>
  <r>
    <x v="76"/>
  </r>
  <r>
    <x v="76"/>
  </r>
  <r>
    <x v="25"/>
  </r>
  <r>
    <x v="25"/>
  </r>
  <r>
    <x v="23"/>
  </r>
  <r>
    <x v="76"/>
  </r>
  <r>
    <x v="76"/>
  </r>
  <r>
    <x v="23"/>
  </r>
  <r>
    <x v="25"/>
  </r>
  <r>
    <x v="480"/>
  </r>
  <r>
    <x v="199"/>
  </r>
  <r>
    <x v="25"/>
  </r>
  <r>
    <x v="25"/>
  </r>
  <r>
    <x v="25"/>
  </r>
  <r>
    <x v="76"/>
  </r>
  <r>
    <x v="14"/>
  </r>
  <r>
    <x v="85"/>
  </r>
  <r>
    <x v="12"/>
  </r>
  <r>
    <x v="12"/>
  </r>
  <r>
    <x v="25"/>
  </r>
  <r>
    <x v="42"/>
  </r>
  <r>
    <x v="76"/>
  </r>
  <r>
    <x v="25"/>
  </r>
  <r>
    <x v="42"/>
  </r>
  <r>
    <x v="42"/>
  </r>
  <r>
    <x v="199"/>
  </r>
  <r>
    <x v="76"/>
  </r>
  <r>
    <x v="25"/>
  </r>
  <r>
    <x v="25"/>
  </r>
  <r>
    <x v="76"/>
  </r>
  <r>
    <x v="59"/>
  </r>
  <r>
    <x v="78"/>
  </r>
  <r>
    <x v="78"/>
  </r>
  <r>
    <x v="59"/>
  </r>
  <r>
    <x v="59"/>
  </r>
  <r>
    <x v="20"/>
  </r>
  <r>
    <x v="20"/>
  </r>
  <r>
    <x v="42"/>
  </r>
  <r>
    <x v="42"/>
  </r>
  <r>
    <x v="76"/>
  </r>
  <r>
    <x v="76"/>
  </r>
  <r>
    <x v="76"/>
  </r>
  <r>
    <x v="76"/>
  </r>
  <r>
    <x v="25"/>
  </r>
  <r>
    <x v="25"/>
  </r>
  <r>
    <x v="25"/>
  </r>
  <r>
    <x v="25"/>
  </r>
  <r>
    <x v="25"/>
  </r>
  <r>
    <x v="22"/>
  </r>
  <r>
    <x v="152"/>
  </r>
  <r>
    <x v="152"/>
  </r>
  <r>
    <x v="82"/>
  </r>
  <r>
    <x v="25"/>
  </r>
  <r>
    <x v="59"/>
  </r>
  <r>
    <x v="25"/>
  </r>
  <r>
    <x v="12"/>
  </r>
  <r>
    <x v="25"/>
  </r>
  <r>
    <x v="25"/>
  </r>
  <r>
    <x v="25"/>
  </r>
  <r>
    <x v="25"/>
  </r>
  <r>
    <x v="23"/>
  </r>
  <r>
    <x v="93"/>
  </r>
  <r>
    <x v="93"/>
  </r>
  <r>
    <x v="93"/>
  </r>
  <r>
    <x v="12"/>
  </r>
  <r>
    <x v="45"/>
  </r>
  <r>
    <x v="113"/>
  </r>
  <r>
    <x v="48"/>
  </r>
  <r>
    <x v="23"/>
  </r>
  <r>
    <x v="23"/>
  </r>
  <r>
    <x v="25"/>
  </r>
  <r>
    <x v="76"/>
  </r>
  <r>
    <x v="25"/>
  </r>
  <r>
    <x v="23"/>
  </r>
  <r>
    <x v="23"/>
  </r>
  <r>
    <x v="76"/>
  </r>
  <r>
    <x v="75"/>
  </r>
  <r>
    <x v="25"/>
  </r>
  <r>
    <x v="76"/>
  </r>
  <r>
    <x v="42"/>
  </r>
  <r>
    <x v="76"/>
  </r>
  <r>
    <x v="23"/>
  </r>
  <r>
    <x v="42"/>
  </r>
  <r>
    <x v="23"/>
  </r>
  <r>
    <x v="25"/>
  </r>
  <r>
    <x v="25"/>
  </r>
  <r>
    <x v="76"/>
  </r>
  <r>
    <x v="76"/>
  </r>
  <r>
    <x v="93"/>
  </r>
  <r>
    <x v="77"/>
  </r>
  <r>
    <x v="25"/>
  </r>
  <r>
    <x v="25"/>
  </r>
  <r>
    <x v="25"/>
  </r>
  <r>
    <x v="25"/>
  </r>
  <r>
    <x v="211"/>
  </r>
  <r>
    <x v="25"/>
  </r>
  <r>
    <x v="25"/>
  </r>
  <r>
    <x v="25"/>
  </r>
  <r>
    <x v="77"/>
  </r>
  <r>
    <x v="50"/>
  </r>
  <r>
    <x v="75"/>
  </r>
  <r>
    <x v="193"/>
  </r>
  <r>
    <x v="168"/>
  </r>
  <r>
    <x v="25"/>
  </r>
  <r>
    <x v="25"/>
  </r>
  <r>
    <x v="25"/>
  </r>
  <r>
    <x v="75"/>
  </r>
  <r>
    <x v="75"/>
  </r>
  <r>
    <x v="75"/>
  </r>
  <r>
    <x v="82"/>
  </r>
  <r>
    <x v="82"/>
  </r>
  <r>
    <x v="25"/>
  </r>
  <r>
    <x v="75"/>
  </r>
  <r>
    <x v="75"/>
  </r>
  <r>
    <x v="25"/>
  </r>
  <r>
    <x v="75"/>
  </r>
  <r>
    <x v="25"/>
  </r>
  <r>
    <x v="25"/>
  </r>
  <r>
    <x v="25"/>
  </r>
  <r>
    <x v="25"/>
  </r>
  <r>
    <x v="25"/>
  </r>
  <r>
    <x v="25"/>
  </r>
  <r>
    <x v="25"/>
  </r>
  <r>
    <x v="82"/>
  </r>
  <r>
    <x v="25"/>
  </r>
  <r>
    <x v="25"/>
  </r>
  <r>
    <x v="25"/>
  </r>
  <r>
    <x v="75"/>
  </r>
  <r>
    <x v="25"/>
  </r>
  <r>
    <x v="75"/>
  </r>
  <r>
    <x v="25"/>
  </r>
  <r>
    <x v="25"/>
  </r>
  <r>
    <x v="25"/>
  </r>
  <r>
    <x v="25"/>
  </r>
  <r>
    <x v="25"/>
  </r>
  <r>
    <x v="25"/>
  </r>
  <r>
    <x v="75"/>
  </r>
  <r>
    <x v="52"/>
  </r>
  <r>
    <x v="48"/>
  </r>
  <r>
    <x v="25"/>
  </r>
  <r>
    <x v="59"/>
  </r>
  <r>
    <x v="78"/>
  </r>
  <r>
    <x v="93"/>
  </r>
  <r>
    <x v="25"/>
  </r>
  <r>
    <x v="85"/>
  </r>
  <r>
    <x v="85"/>
  </r>
  <r>
    <x v="75"/>
  </r>
  <r>
    <x v="105"/>
  </r>
  <r>
    <x v="105"/>
  </r>
  <r>
    <x v="76"/>
  </r>
  <r>
    <x v="75"/>
  </r>
  <r>
    <x v="14"/>
  </r>
  <r>
    <x v="105"/>
  </r>
  <r>
    <x v="75"/>
  </r>
  <r>
    <x v="75"/>
  </r>
  <r>
    <x v="75"/>
  </r>
  <r>
    <x v="25"/>
  </r>
  <r>
    <x v="25"/>
  </r>
  <r>
    <x v="25"/>
  </r>
  <r>
    <x v="25"/>
  </r>
  <r>
    <x v="25"/>
  </r>
  <r>
    <x v="25"/>
  </r>
  <r>
    <x v="25"/>
  </r>
  <r>
    <x v="25"/>
  </r>
  <r>
    <x v="93"/>
  </r>
  <r>
    <x v="25"/>
  </r>
  <r>
    <x v="25"/>
  </r>
  <r>
    <x v="75"/>
  </r>
  <r>
    <x v="25"/>
  </r>
  <r>
    <x v="52"/>
  </r>
  <r>
    <x v="93"/>
  </r>
  <r>
    <x v="12"/>
  </r>
  <r>
    <x v="81"/>
  </r>
  <r>
    <x v="25"/>
  </r>
  <r>
    <x v="82"/>
  </r>
  <r>
    <x v="82"/>
  </r>
  <r>
    <x v="82"/>
  </r>
  <r>
    <x v="31"/>
  </r>
  <r>
    <x v="25"/>
  </r>
  <r>
    <x v="25"/>
  </r>
  <r>
    <x v="48"/>
  </r>
  <r>
    <x v="25"/>
  </r>
  <r>
    <x v="48"/>
  </r>
  <r>
    <x v="25"/>
  </r>
  <r>
    <x v="25"/>
  </r>
  <r>
    <x v="25"/>
  </r>
  <r>
    <x v="48"/>
  </r>
  <r>
    <x v="48"/>
  </r>
  <r>
    <x v="82"/>
  </r>
  <r>
    <x v="25"/>
  </r>
  <r>
    <x v="48"/>
  </r>
  <r>
    <x v="48"/>
  </r>
  <r>
    <x v="48"/>
  </r>
  <r>
    <x v="48"/>
  </r>
  <r>
    <x v="48"/>
  </r>
  <r>
    <x v="48"/>
  </r>
  <r>
    <x v="48"/>
  </r>
  <r>
    <x v="25"/>
  </r>
  <r>
    <x v="25"/>
  </r>
  <r>
    <x v="48"/>
  </r>
  <r>
    <x v="93"/>
  </r>
  <r>
    <x v="48"/>
  </r>
  <r>
    <x v="48"/>
  </r>
  <r>
    <x v="48"/>
  </r>
  <r>
    <x v="48"/>
  </r>
  <r>
    <x v="48"/>
  </r>
  <r>
    <x v="48"/>
  </r>
  <r>
    <x v="48"/>
  </r>
  <r>
    <x v="30"/>
  </r>
  <r>
    <x v="30"/>
  </r>
  <r>
    <x v="48"/>
  </r>
  <r>
    <x v="93"/>
  </r>
  <r>
    <x v="78"/>
  </r>
  <r>
    <x v="30"/>
  </r>
  <r>
    <x v="30"/>
  </r>
  <r>
    <x v="25"/>
  </r>
  <r>
    <x v="56"/>
  </r>
  <r>
    <x v="56"/>
  </r>
  <r>
    <x v="7"/>
  </r>
  <r>
    <x v="89"/>
  </r>
  <r>
    <x v="35"/>
  </r>
  <r>
    <x v="56"/>
  </r>
  <r>
    <x v="56"/>
  </r>
  <r>
    <x v="56"/>
  </r>
  <r>
    <x v="59"/>
  </r>
  <r>
    <x v="35"/>
  </r>
  <r>
    <x v="7"/>
  </r>
  <r>
    <x v="90"/>
  </r>
  <r>
    <x v="17"/>
  </r>
  <r>
    <x v="90"/>
  </r>
  <r>
    <x v="90"/>
  </r>
  <r>
    <x v="7"/>
  </r>
  <r>
    <x v="56"/>
  </r>
  <r>
    <x v="56"/>
  </r>
  <r>
    <x v="56"/>
  </r>
  <r>
    <x v="56"/>
  </r>
  <r>
    <x v="80"/>
  </r>
  <r>
    <x v="80"/>
  </r>
  <r>
    <x v="56"/>
  </r>
  <r>
    <x v="56"/>
  </r>
  <r>
    <x v="130"/>
  </r>
  <r>
    <x v="0"/>
  </r>
  <r>
    <x v="0"/>
  </r>
  <r>
    <x v="48"/>
  </r>
  <r>
    <x v="83"/>
  </r>
  <r>
    <x v="14"/>
  </r>
  <r>
    <x v="21"/>
  </r>
  <r>
    <x v="45"/>
  </r>
  <r>
    <x v="55"/>
  </r>
  <r>
    <x v="14"/>
  </r>
  <r>
    <x v="0"/>
  </r>
  <r>
    <x v="14"/>
  </r>
  <r>
    <x v="4"/>
  </r>
  <r>
    <x v="4"/>
  </r>
  <r>
    <x v="36"/>
  </r>
  <r>
    <x v="31"/>
  </r>
  <r>
    <x v="4"/>
  </r>
  <r>
    <x v="4"/>
  </r>
  <r>
    <x v="48"/>
  </r>
  <r>
    <x v="78"/>
  </r>
  <r>
    <x v="78"/>
  </r>
  <r>
    <x v="78"/>
  </r>
  <r>
    <x v="48"/>
  </r>
  <r>
    <x v="130"/>
  </r>
  <r>
    <x v="130"/>
  </r>
  <r>
    <x v="130"/>
  </r>
  <r>
    <x v="130"/>
  </r>
  <r>
    <x v="27"/>
  </r>
  <r>
    <x v="27"/>
  </r>
  <r>
    <x v="0"/>
  </r>
  <r>
    <x v="0"/>
  </r>
  <r>
    <x v="0"/>
  </r>
  <r>
    <x v="0"/>
  </r>
  <r>
    <x v="37"/>
  </r>
  <r>
    <x v="8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93"/>
  </r>
  <r>
    <x v="93"/>
  </r>
  <r>
    <x v="42"/>
  </r>
  <r>
    <x v="42"/>
  </r>
  <r>
    <x v="93"/>
  </r>
  <r>
    <x v="87"/>
  </r>
  <r>
    <x v="25"/>
  </r>
  <r>
    <x v="75"/>
  </r>
  <r>
    <x v="25"/>
  </r>
  <r>
    <x v="81"/>
  </r>
  <r>
    <x v="25"/>
  </r>
  <r>
    <x v="25"/>
  </r>
  <r>
    <x v="81"/>
  </r>
  <r>
    <x v="25"/>
  </r>
  <r>
    <x v="25"/>
  </r>
  <r>
    <x v="25"/>
  </r>
  <r>
    <x v="75"/>
  </r>
  <r>
    <x v="25"/>
  </r>
  <r>
    <x v="25"/>
  </r>
  <r>
    <x v="93"/>
  </r>
  <r>
    <x v="25"/>
  </r>
  <r>
    <x v="25"/>
  </r>
  <r>
    <x v="25"/>
  </r>
  <r>
    <x v="87"/>
  </r>
  <r>
    <x v="35"/>
  </r>
  <r>
    <x v="93"/>
  </r>
  <r>
    <x v="25"/>
  </r>
  <r>
    <x v="93"/>
  </r>
  <r>
    <x v="25"/>
  </r>
  <r>
    <x v="25"/>
  </r>
  <r>
    <x v="93"/>
  </r>
  <r>
    <x v="93"/>
  </r>
  <r>
    <x v="93"/>
  </r>
  <r>
    <x v="93"/>
  </r>
  <r>
    <x v="25"/>
  </r>
  <r>
    <x v="93"/>
  </r>
  <r>
    <x v="25"/>
  </r>
  <r>
    <x v="93"/>
  </r>
  <r>
    <x v="25"/>
  </r>
  <r>
    <x v="25"/>
  </r>
  <r>
    <x v="25"/>
  </r>
  <r>
    <x v="78"/>
  </r>
  <r>
    <x v="25"/>
  </r>
  <r>
    <x v="93"/>
  </r>
  <r>
    <x v="25"/>
  </r>
  <r>
    <x v="25"/>
  </r>
  <r>
    <x v="25"/>
  </r>
  <r>
    <x v="25"/>
  </r>
  <r>
    <x v="93"/>
  </r>
  <r>
    <x v="25"/>
  </r>
  <r>
    <x v="96"/>
  </r>
  <r>
    <x v="35"/>
  </r>
  <r>
    <x v="105"/>
  </r>
  <r>
    <x v="242"/>
  </r>
  <r>
    <x v="52"/>
  </r>
  <r>
    <x v="52"/>
  </r>
  <r>
    <x v="72"/>
  </r>
  <r>
    <x v="82"/>
  </r>
  <r>
    <x v="75"/>
  </r>
  <r>
    <x v="75"/>
  </r>
  <r>
    <x v="75"/>
  </r>
  <r>
    <x v="35"/>
  </r>
  <r>
    <x v="113"/>
  </r>
  <r>
    <x v="75"/>
  </r>
  <r>
    <x v="75"/>
  </r>
  <r>
    <x v="75"/>
  </r>
  <r>
    <x v="75"/>
  </r>
  <r>
    <x v="75"/>
  </r>
  <r>
    <x v="82"/>
  </r>
  <r>
    <x v="25"/>
  </r>
  <r>
    <x v="75"/>
  </r>
  <r>
    <x v="75"/>
  </r>
  <r>
    <x v="75"/>
  </r>
  <r>
    <x v="75"/>
  </r>
  <r>
    <x v="75"/>
  </r>
  <r>
    <x v="10"/>
  </r>
  <r>
    <x v="82"/>
  </r>
  <r>
    <x v="75"/>
  </r>
  <r>
    <x v="82"/>
  </r>
  <r>
    <x v="75"/>
  </r>
  <r>
    <x v="75"/>
  </r>
  <r>
    <x v="93"/>
  </r>
  <r>
    <x v="25"/>
  </r>
  <r>
    <x v="25"/>
  </r>
  <r>
    <x v="25"/>
  </r>
  <r>
    <x v="25"/>
  </r>
  <r>
    <x v="25"/>
  </r>
  <r>
    <x v="93"/>
  </r>
  <r>
    <x v="25"/>
  </r>
  <r>
    <x v="76"/>
  </r>
  <r>
    <x v="25"/>
  </r>
  <r>
    <x v="25"/>
  </r>
  <r>
    <x v="25"/>
  </r>
  <r>
    <x v="9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05"/>
  </r>
  <r>
    <x v="76"/>
  </r>
  <r>
    <x v="105"/>
  </r>
  <r>
    <x v="105"/>
  </r>
  <r>
    <x v="105"/>
  </r>
  <r>
    <x v="78"/>
  </r>
  <r>
    <x v="76"/>
  </r>
  <r>
    <x v="76"/>
  </r>
  <r>
    <x v="82"/>
  </r>
  <r>
    <x v="78"/>
  </r>
  <r>
    <x v="78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8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5"/>
  </r>
  <r>
    <x v="25"/>
  </r>
  <r>
    <x v="25"/>
  </r>
  <r>
    <x v="93"/>
  </r>
  <r>
    <x v="25"/>
  </r>
  <r>
    <x v="25"/>
  </r>
  <r>
    <x v="75"/>
  </r>
  <r>
    <x v="25"/>
  </r>
  <r>
    <x v="82"/>
  </r>
  <r>
    <x v="82"/>
  </r>
  <r>
    <x v="25"/>
  </r>
  <r>
    <x v="25"/>
  </r>
  <r>
    <x v="25"/>
  </r>
  <r>
    <x v="76"/>
  </r>
  <r>
    <x v="76"/>
  </r>
  <r>
    <x v="199"/>
  </r>
  <r>
    <x v="309"/>
  </r>
  <r>
    <x v="75"/>
  </r>
  <r>
    <x v="72"/>
  </r>
  <r>
    <x v="72"/>
  </r>
  <r>
    <x v="25"/>
  </r>
  <r>
    <x v="21"/>
  </r>
  <r>
    <x v="72"/>
  </r>
  <r>
    <x v="72"/>
  </r>
  <r>
    <x v="75"/>
  </r>
  <r>
    <x v="126"/>
  </r>
  <r>
    <x v="21"/>
  </r>
  <r>
    <x v="21"/>
  </r>
  <r>
    <x v="180"/>
  </r>
  <r>
    <x v="180"/>
  </r>
  <r>
    <x v="180"/>
  </r>
  <r>
    <x v="75"/>
  </r>
  <r>
    <x v="126"/>
  </r>
  <r>
    <x v="126"/>
  </r>
  <r>
    <x v="75"/>
  </r>
  <r>
    <x v="126"/>
  </r>
  <r>
    <x v="75"/>
  </r>
  <r>
    <x v="75"/>
  </r>
  <r>
    <x v="34"/>
  </r>
  <r>
    <x v="96"/>
  </r>
  <r>
    <x v="75"/>
  </r>
  <r>
    <x v="76"/>
  </r>
  <r>
    <x v="168"/>
  </r>
  <r>
    <x v="168"/>
  </r>
  <r>
    <x v="168"/>
  </r>
  <r>
    <x v="93"/>
  </r>
  <r>
    <x v="93"/>
  </r>
  <r>
    <x v="12"/>
  </r>
  <r>
    <x v="129"/>
  </r>
  <r>
    <x v="72"/>
  </r>
  <r>
    <x v="8"/>
  </r>
  <r>
    <x v="12"/>
  </r>
  <r>
    <x v="7"/>
  </r>
  <r>
    <x v="14"/>
  </r>
  <r>
    <x v="14"/>
  </r>
  <r>
    <x v="79"/>
  </r>
  <r>
    <x v="79"/>
  </r>
  <r>
    <x v="3"/>
  </r>
  <r>
    <x v="3"/>
  </r>
  <r>
    <x v="3"/>
  </r>
  <r>
    <x v="82"/>
  </r>
  <r>
    <x v="11"/>
  </r>
  <r>
    <x v="87"/>
  </r>
  <r>
    <x v="87"/>
  </r>
  <r>
    <x v="4"/>
  </r>
  <r>
    <x v="27"/>
  </r>
  <r>
    <x v="27"/>
  </r>
  <r>
    <x v="48"/>
  </r>
  <r>
    <x v="26"/>
  </r>
  <r>
    <x v="6"/>
  </r>
  <r>
    <x v="59"/>
  </r>
  <r>
    <x v="481"/>
  </r>
  <r>
    <x v="59"/>
  </r>
  <r>
    <x v="6"/>
  </r>
  <r>
    <x v="72"/>
  </r>
  <r>
    <x v="37"/>
  </r>
  <r>
    <x v="72"/>
  </r>
  <r>
    <x v="106"/>
  </r>
  <r>
    <x v="48"/>
  </r>
  <r>
    <x v="59"/>
  </r>
  <r>
    <x v="25"/>
  </r>
  <r>
    <x v="59"/>
  </r>
  <r>
    <x v="25"/>
  </r>
  <r>
    <x v="71"/>
  </r>
  <r>
    <x v="25"/>
  </r>
  <r>
    <x v="94"/>
  </r>
  <r>
    <x v="26"/>
  </r>
  <r>
    <x v="48"/>
  </r>
  <r>
    <x v="26"/>
  </r>
  <r>
    <x v="53"/>
  </r>
  <r>
    <x v="48"/>
  </r>
  <r>
    <x v="79"/>
  </r>
  <r>
    <x v="79"/>
  </r>
  <r>
    <x v="93"/>
  </r>
  <r>
    <x v="2"/>
  </r>
  <r>
    <x v="94"/>
  </r>
  <r>
    <x v="29"/>
  </r>
  <r>
    <x v="134"/>
  </r>
  <r>
    <x v="56"/>
  </r>
  <r>
    <x v="57"/>
  </r>
  <r>
    <x v="96"/>
  </r>
  <r>
    <x v="10"/>
  </r>
  <r>
    <x v="71"/>
  </r>
  <r>
    <x v="0"/>
  </r>
  <r>
    <x v="82"/>
  </r>
  <r>
    <x v="82"/>
  </r>
  <r>
    <x v="113"/>
  </r>
  <r>
    <x v="113"/>
  </r>
  <r>
    <x v="82"/>
  </r>
  <r>
    <x v="23"/>
  </r>
  <r>
    <x v="23"/>
  </r>
  <r>
    <x v="23"/>
  </r>
  <r>
    <x v="23"/>
  </r>
  <r>
    <x v="23"/>
  </r>
  <r>
    <x v="48"/>
  </r>
  <r>
    <x v="48"/>
  </r>
  <r>
    <x v="22"/>
  </r>
  <r>
    <x v="111"/>
  </r>
  <r>
    <x v="111"/>
  </r>
  <r>
    <x v="111"/>
  </r>
  <r>
    <x v="111"/>
  </r>
  <r>
    <x v="111"/>
  </r>
  <r>
    <x v="78"/>
  </r>
  <r>
    <x v="72"/>
  </r>
  <r>
    <x v="0"/>
  </r>
  <r>
    <x v="72"/>
  </r>
  <r>
    <x v="72"/>
  </r>
  <r>
    <x v="72"/>
  </r>
  <r>
    <x v="90"/>
  </r>
  <r>
    <x v="72"/>
  </r>
  <r>
    <x v="72"/>
  </r>
  <r>
    <x v="72"/>
  </r>
  <r>
    <x v="90"/>
  </r>
  <r>
    <x v="111"/>
  </r>
  <r>
    <x v="111"/>
  </r>
  <r>
    <x v="96"/>
  </r>
  <r>
    <x v="82"/>
  </r>
  <r>
    <x v="22"/>
  </r>
  <r>
    <x v="155"/>
  </r>
  <r>
    <x v="10"/>
  </r>
  <r>
    <x v="30"/>
  </r>
  <r>
    <x v="71"/>
  </r>
  <r>
    <x v="82"/>
  </r>
  <r>
    <x v="82"/>
  </r>
  <r>
    <x v="113"/>
  </r>
  <r>
    <x v="113"/>
  </r>
  <r>
    <x v="113"/>
  </r>
  <r>
    <x v="122"/>
  </r>
  <r>
    <x v="12"/>
  </r>
  <r>
    <x v="25"/>
  </r>
  <r>
    <x v="25"/>
  </r>
  <r>
    <x v="25"/>
  </r>
  <r>
    <x v="25"/>
  </r>
  <r>
    <x v="25"/>
  </r>
  <r>
    <x v="212"/>
  </r>
  <r>
    <x v="112"/>
  </r>
  <r>
    <x v="77"/>
  </r>
  <r>
    <x v="31"/>
  </r>
  <r>
    <x v="14"/>
  </r>
  <r>
    <x v="78"/>
  </r>
  <r>
    <x v="99"/>
  </r>
  <r>
    <x v="81"/>
  </r>
  <r>
    <x v="31"/>
  </r>
  <r>
    <x v="31"/>
  </r>
  <r>
    <x v="81"/>
  </r>
  <r>
    <x v="31"/>
  </r>
  <r>
    <x v="157"/>
  </r>
  <r>
    <x v="157"/>
  </r>
  <r>
    <x v="10"/>
  </r>
  <r>
    <x v="72"/>
  </r>
  <r>
    <x v="0"/>
  </r>
  <r>
    <x v="81"/>
  </r>
  <r>
    <x v="108"/>
  </r>
  <r>
    <x v="78"/>
  </r>
  <r>
    <x v="57"/>
  </r>
  <r>
    <x v="36"/>
  </r>
  <r>
    <x v="77"/>
  </r>
  <r>
    <x v="31"/>
  </r>
  <r>
    <x v="77"/>
  </r>
  <r>
    <x v="81"/>
  </r>
  <r>
    <x v="81"/>
  </r>
  <r>
    <x v="25"/>
  </r>
  <r>
    <x v="25"/>
  </r>
  <r>
    <x v="31"/>
  </r>
  <r>
    <x v="113"/>
  </r>
  <r>
    <x v="6"/>
  </r>
  <r>
    <x v="77"/>
  </r>
  <r>
    <x v="10"/>
  </r>
  <r>
    <x v="10"/>
  </r>
  <r>
    <x v="10"/>
  </r>
  <r>
    <x v="10"/>
  </r>
  <r>
    <x v="10"/>
  </r>
  <r>
    <x v="21"/>
  </r>
  <r>
    <x v="77"/>
  </r>
  <r>
    <x v="77"/>
  </r>
  <r>
    <x v="109"/>
  </r>
  <r>
    <x v="109"/>
  </r>
  <r>
    <x v="30"/>
  </r>
  <r>
    <x v="30"/>
  </r>
  <r>
    <x v="30"/>
  </r>
  <r>
    <x v="112"/>
  </r>
  <r>
    <x v="14"/>
  </r>
  <r>
    <x v="14"/>
  </r>
  <r>
    <x v="14"/>
  </r>
  <r>
    <x v="35"/>
  </r>
  <r>
    <x v="81"/>
  </r>
  <r>
    <x v="94"/>
  </r>
  <r>
    <x v="52"/>
  </r>
  <r>
    <x v="93"/>
  </r>
  <r>
    <x v="112"/>
  </r>
  <r>
    <x v="93"/>
  </r>
  <r>
    <x v="93"/>
  </r>
  <r>
    <x v="93"/>
  </r>
  <r>
    <x v="81"/>
  </r>
  <r>
    <x v="0"/>
  </r>
  <r>
    <x v="48"/>
  </r>
  <r>
    <x v="48"/>
  </r>
  <r>
    <x v="75"/>
  </r>
  <r>
    <x v="99"/>
  </r>
  <r>
    <x v="82"/>
  </r>
  <r>
    <x v="103"/>
  </r>
  <r>
    <x v="99"/>
  </r>
  <r>
    <x v="103"/>
  </r>
  <r>
    <x v="81"/>
  </r>
  <r>
    <x v="112"/>
  </r>
  <r>
    <x v="118"/>
  </r>
  <r>
    <x v="93"/>
  </r>
  <r>
    <x v="93"/>
  </r>
  <r>
    <x v="72"/>
  </r>
  <r>
    <x v="72"/>
  </r>
  <r>
    <x v="121"/>
  </r>
  <r>
    <x v="94"/>
  </r>
  <r>
    <x v="72"/>
  </r>
  <r>
    <x v="318"/>
  </r>
  <r>
    <x v="93"/>
  </r>
  <r>
    <x v="183"/>
  </r>
  <r>
    <x v="26"/>
  </r>
  <r>
    <x v="76"/>
  </r>
  <r>
    <x v="72"/>
  </r>
  <r>
    <x v="72"/>
  </r>
  <r>
    <x v="72"/>
  </r>
  <r>
    <x v="23"/>
  </r>
  <r>
    <x v="155"/>
  </r>
  <r>
    <x v="208"/>
  </r>
  <r>
    <x v="117"/>
  </r>
  <r>
    <x v="93"/>
  </r>
  <r>
    <x v="12"/>
  </r>
  <r>
    <x v="188"/>
  </r>
  <r>
    <x v="66"/>
  </r>
  <r>
    <x v="66"/>
  </r>
  <r>
    <x v="0"/>
  </r>
  <r>
    <x v="14"/>
  </r>
  <r>
    <x v="86"/>
  </r>
  <r>
    <x v="31"/>
  </r>
  <r>
    <x v="0"/>
  </r>
  <r>
    <x v="134"/>
  </r>
  <r>
    <x v="0"/>
  </r>
  <r>
    <x v="0"/>
  </r>
  <r>
    <x v="48"/>
  </r>
  <r>
    <x v="10"/>
  </r>
  <r>
    <x v="63"/>
  </r>
  <r>
    <x v="76"/>
  </r>
  <r>
    <x v="56"/>
  </r>
  <r>
    <x v="56"/>
  </r>
  <r>
    <x v="25"/>
  </r>
  <r>
    <x v="25"/>
  </r>
  <r>
    <x v="25"/>
  </r>
  <r>
    <x v="76"/>
  </r>
  <r>
    <x v="76"/>
  </r>
  <r>
    <x v="52"/>
  </r>
  <r>
    <x v="48"/>
  </r>
  <r>
    <x v="56"/>
  </r>
  <r>
    <x v="56"/>
  </r>
  <r>
    <x v="0"/>
  </r>
  <r>
    <x v="0"/>
  </r>
  <r>
    <x v="52"/>
  </r>
  <r>
    <x v="52"/>
  </r>
  <r>
    <x v="0"/>
  </r>
  <r>
    <x v="48"/>
  </r>
  <r>
    <x v="48"/>
  </r>
  <r>
    <x v="48"/>
  </r>
  <r>
    <x v="48"/>
  </r>
  <r>
    <x v="57"/>
  </r>
  <r>
    <x v="14"/>
  </r>
  <r>
    <x v="56"/>
  </r>
  <r>
    <x v="151"/>
  </r>
  <r>
    <x v="56"/>
  </r>
  <r>
    <x v="141"/>
  </r>
  <r>
    <x v="141"/>
  </r>
  <r>
    <x v="22"/>
  </r>
  <r>
    <x v="56"/>
  </r>
  <r>
    <x v="56"/>
  </r>
  <r>
    <x v="63"/>
  </r>
  <r>
    <x v="63"/>
  </r>
  <r>
    <x v="56"/>
  </r>
  <r>
    <x v="56"/>
  </r>
  <r>
    <x v="76"/>
  </r>
  <r>
    <x v="76"/>
  </r>
  <r>
    <x v="56"/>
  </r>
  <r>
    <x v="42"/>
  </r>
  <r>
    <x v="0"/>
  </r>
  <r>
    <x v="118"/>
  </r>
  <r>
    <x v="59"/>
  </r>
  <r>
    <x v="184"/>
  </r>
  <r>
    <x v="118"/>
  </r>
  <r>
    <x v="25"/>
  </r>
  <r>
    <x v="56"/>
  </r>
  <r>
    <x v="63"/>
  </r>
  <r>
    <x v="63"/>
  </r>
  <r>
    <x v="42"/>
  </r>
  <r>
    <x v="6"/>
  </r>
  <r>
    <x v="94"/>
  </r>
  <r>
    <x v="55"/>
  </r>
  <r>
    <x v="20"/>
  </r>
  <r>
    <x v="55"/>
  </r>
  <r>
    <x v="6"/>
  </r>
  <r>
    <x v="48"/>
  </r>
  <r>
    <x v="14"/>
  </r>
  <r>
    <x v="188"/>
  </r>
  <r>
    <x v="6"/>
  </r>
  <r>
    <x v="48"/>
  </r>
  <r>
    <x v="48"/>
  </r>
  <r>
    <x v="30"/>
  </r>
  <r>
    <x v="10"/>
  </r>
  <r>
    <x v="83"/>
  </r>
  <r>
    <x v="10"/>
  </r>
  <r>
    <x v="87"/>
  </r>
  <r>
    <x v="25"/>
  </r>
  <r>
    <x v="6"/>
  </r>
  <r>
    <x v="2"/>
  </r>
  <r>
    <x v="79"/>
  </r>
  <r>
    <x v="14"/>
  </r>
  <r>
    <x v="22"/>
  </r>
  <r>
    <x v="86"/>
  </r>
  <r>
    <x v="99"/>
  </r>
  <r>
    <x v="23"/>
  </r>
  <r>
    <x v="14"/>
  </r>
  <r>
    <x v="23"/>
  </r>
  <r>
    <x v="23"/>
  </r>
  <r>
    <x v="81"/>
  </r>
  <r>
    <x v="25"/>
  </r>
  <r>
    <x v="81"/>
  </r>
  <r>
    <x v="23"/>
  </r>
  <r>
    <x v="23"/>
  </r>
  <r>
    <x v="23"/>
  </r>
  <r>
    <x v="81"/>
  </r>
  <r>
    <x v="7"/>
  </r>
  <r>
    <x v="7"/>
  </r>
  <r>
    <x v="25"/>
  </r>
  <r>
    <x v="126"/>
  </r>
  <r>
    <x v="25"/>
  </r>
  <r>
    <x v="56"/>
  </r>
  <r>
    <x v="23"/>
  </r>
  <r>
    <x v="23"/>
  </r>
  <r>
    <x v="4"/>
  </r>
  <r>
    <x v="48"/>
  </r>
  <r>
    <x v="48"/>
  </r>
  <r>
    <x v="4"/>
  </r>
  <r>
    <x v="12"/>
  </r>
  <r>
    <x v="12"/>
  </r>
  <r>
    <x v="79"/>
  </r>
  <r>
    <x v="28"/>
  </r>
  <r>
    <x v="28"/>
  </r>
  <r>
    <x v="28"/>
  </r>
  <r>
    <x v="28"/>
  </r>
  <r>
    <x v="28"/>
  </r>
  <r>
    <x v="28"/>
  </r>
  <r>
    <x v="23"/>
  </r>
  <r>
    <x v="12"/>
  </r>
  <r>
    <x v="23"/>
  </r>
  <r>
    <x v="23"/>
  </r>
  <r>
    <x v="23"/>
  </r>
  <r>
    <x v="4"/>
  </r>
  <r>
    <x v="23"/>
  </r>
  <r>
    <x v="71"/>
  </r>
  <r>
    <x v="28"/>
  </r>
  <r>
    <x v="53"/>
  </r>
  <r>
    <x v="4"/>
  </r>
  <r>
    <x v="23"/>
  </r>
  <r>
    <x v="23"/>
  </r>
  <r>
    <x v="23"/>
  </r>
  <r>
    <x v="23"/>
  </r>
  <r>
    <x v="126"/>
  </r>
  <r>
    <x v="25"/>
  </r>
  <r>
    <x v="23"/>
  </r>
  <r>
    <x v="23"/>
  </r>
  <r>
    <x v="34"/>
  </r>
  <r>
    <x v="23"/>
  </r>
  <r>
    <x v="23"/>
  </r>
  <r>
    <x v="23"/>
  </r>
  <r>
    <x v="23"/>
  </r>
  <r>
    <x v="12"/>
  </r>
  <r>
    <x v="12"/>
  </r>
  <r>
    <x v="12"/>
  </r>
  <r>
    <x v="25"/>
  </r>
  <r>
    <x v="25"/>
  </r>
  <r>
    <x v="23"/>
  </r>
  <r>
    <x v="12"/>
  </r>
  <r>
    <x v="25"/>
  </r>
  <r>
    <x v="4"/>
  </r>
  <r>
    <x v="25"/>
  </r>
  <r>
    <x v="25"/>
  </r>
  <r>
    <x v="23"/>
  </r>
  <r>
    <x v="25"/>
  </r>
  <r>
    <x v="23"/>
  </r>
  <r>
    <x v="23"/>
  </r>
  <r>
    <x v="4"/>
  </r>
  <r>
    <x v="23"/>
  </r>
  <r>
    <x v="25"/>
  </r>
  <r>
    <x v="25"/>
  </r>
  <r>
    <x v="25"/>
  </r>
  <r>
    <x v="25"/>
  </r>
  <r>
    <x v="126"/>
  </r>
  <r>
    <x v="126"/>
  </r>
  <r>
    <x v="99"/>
  </r>
  <r>
    <x v="12"/>
  </r>
  <r>
    <x v="112"/>
  </r>
  <r>
    <x v="112"/>
  </r>
  <r>
    <x v="112"/>
  </r>
  <r>
    <x v="96"/>
  </r>
  <r>
    <x v="112"/>
  </r>
  <r>
    <x v="112"/>
  </r>
  <r>
    <x v="168"/>
  </r>
  <r>
    <x v="28"/>
  </r>
  <r>
    <x v="277"/>
  </r>
  <r>
    <x v="2"/>
  </r>
  <r>
    <x v="57"/>
  </r>
  <r>
    <x v="55"/>
  </r>
  <r>
    <x v="25"/>
  </r>
  <r>
    <x v="48"/>
  </r>
  <r>
    <x v="28"/>
  </r>
  <r>
    <x v="24"/>
  </r>
  <r>
    <x v="24"/>
  </r>
  <r>
    <x v="25"/>
  </r>
  <r>
    <x v="126"/>
  </r>
  <r>
    <x v="129"/>
  </r>
  <r>
    <x v="85"/>
  </r>
  <r>
    <x v="28"/>
  </r>
  <r>
    <x v="28"/>
  </r>
  <r>
    <x v="28"/>
  </r>
  <r>
    <x v="28"/>
  </r>
  <r>
    <x v="25"/>
  </r>
  <r>
    <x v="28"/>
  </r>
  <r>
    <x v="23"/>
  </r>
  <r>
    <x v="12"/>
  </r>
  <r>
    <x v="12"/>
  </r>
  <r>
    <x v="23"/>
  </r>
  <r>
    <x v="25"/>
  </r>
  <r>
    <x v="25"/>
  </r>
  <r>
    <x v="25"/>
  </r>
  <r>
    <x v="25"/>
  </r>
  <r>
    <x v="99"/>
  </r>
  <r>
    <x v="12"/>
  </r>
  <r>
    <x v="12"/>
  </r>
  <r>
    <x v="6"/>
  </r>
  <r>
    <x v="6"/>
  </r>
  <r>
    <x v="6"/>
  </r>
  <r>
    <x v="12"/>
  </r>
  <r>
    <x v="12"/>
  </r>
  <r>
    <x v="25"/>
  </r>
  <r>
    <x v="91"/>
  </r>
  <r>
    <x v="91"/>
  </r>
  <r>
    <x v="91"/>
  </r>
  <r>
    <x v="25"/>
  </r>
  <r>
    <x v="25"/>
  </r>
  <r>
    <x v="12"/>
  </r>
  <r>
    <x v="25"/>
  </r>
  <r>
    <x v="10"/>
  </r>
  <r>
    <x v="23"/>
  </r>
  <r>
    <x v="23"/>
  </r>
  <r>
    <x v="23"/>
  </r>
  <r>
    <x v="25"/>
  </r>
  <r>
    <x v="93"/>
  </r>
  <r>
    <x v="93"/>
  </r>
  <r>
    <x v="14"/>
  </r>
  <r>
    <x v="152"/>
  </r>
  <r>
    <x v="14"/>
  </r>
  <r>
    <x v="14"/>
  </r>
  <r>
    <x v="152"/>
  </r>
  <r>
    <x v="14"/>
  </r>
  <r>
    <x v="152"/>
  </r>
  <r>
    <x v="91"/>
  </r>
  <r>
    <x v="91"/>
  </r>
  <r>
    <x v="132"/>
  </r>
  <r>
    <x v="30"/>
  </r>
  <r>
    <x v="55"/>
  </r>
  <r>
    <x v="25"/>
  </r>
  <r>
    <x v="25"/>
  </r>
  <r>
    <x v="25"/>
  </r>
  <r>
    <x v="155"/>
  </r>
  <r>
    <x v="76"/>
  </r>
  <r>
    <x v="76"/>
  </r>
  <r>
    <x v="76"/>
  </r>
  <r>
    <x v="105"/>
  </r>
  <r>
    <x v="76"/>
  </r>
  <r>
    <x v="76"/>
  </r>
  <r>
    <x v="76"/>
  </r>
  <r>
    <x v="76"/>
  </r>
  <r>
    <x v="76"/>
  </r>
  <r>
    <x v="76"/>
  </r>
  <r>
    <x v="76"/>
  </r>
  <r>
    <x v="25"/>
  </r>
  <r>
    <x v="25"/>
  </r>
  <r>
    <x v="23"/>
  </r>
  <r>
    <x v="81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4"/>
  </r>
  <r>
    <x v="63"/>
  </r>
  <r>
    <x v="63"/>
  </r>
  <r>
    <x v="77"/>
  </r>
  <r>
    <x v="81"/>
  </r>
  <r>
    <x v="126"/>
  </r>
  <r>
    <x v="126"/>
  </r>
  <r>
    <x v="0"/>
  </r>
  <r>
    <x v="0"/>
  </r>
  <r>
    <x v="0"/>
  </r>
  <r>
    <x v="144"/>
  </r>
  <r>
    <x v="144"/>
  </r>
  <r>
    <x v="144"/>
  </r>
  <r>
    <x v="144"/>
  </r>
  <r>
    <x v="23"/>
  </r>
  <r>
    <x v="42"/>
  </r>
  <r>
    <x v="42"/>
  </r>
  <r>
    <x v="42"/>
  </r>
  <r>
    <x v="23"/>
  </r>
  <r>
    <x v="23"/>
  </r>
  <r>
    <x v="31"/>
  </r>
  <r>
    <x v="25"/>
  </r>
  <r>
    <x v="91"/>
  </r>
  <r>
    <x v="25"/>
  </r>
  <r>
    <x v="25"/>
  </r>
  <r>
    <x v="25"/>
  </r>
  <r>
    <x v="31"/>
  </r>
  <r>
    <x v="76"/>
  </r>
  <r>
    <x v="199"/>
  </r>
  <r>
    <x v="76"/>
  </r>
  <r>
    <x v="75"/>
  </r>
  <r>
    <x v="1"/>
  </r>
  <r>
    <x v="23"/>
  </r>
  <r>
    <x v="0"/>
  </r>
  <r>
    <x v="0"/>
  </r>
  <r>
    <x v="25"/>
  </r>
  <r>
    <x v="0"/>
  </r>
  <r>
    <x v="0"/>
  </r>
  <r>
    <x v="76"/>
  </r>
  <r>
    <x v="129"/>
  </r>
  <r>
    <x v="23"/>
  </r>
  <r>
    <x v="23"/>
  </r>
  <r>
    <x v="12"/>
  </r>
  <r>
    <x v="12"/>
  </r>
  <r>
    <x v="25"/>
  </r>
  <r>
    <x v="25"/>
  </r>
  <r>
    <x v="81"/>
  </r>
  <r>
    <x v="81"/>
  </r>
  <r>
    <x v="91"/>
  </r>
  <r>
    <x v="126"/>
  </r>
  <r>
    <x v="12"/>
  </r>
  <r>
    <x v="42"/>
  </r>
  <r>
    <x v="25"/>
  </r>
  <r>
    <x v="42"/>
  </r>
  <r>
    <x v="42"/>
  </r>
  <r>
    <x v="42"/>
  </r>
  <r>
    <x v="42"/>
  </r>
  <r>
    <x v="12"/>
  </r>
  <r>
    <x v="29"/>
  </r>
  <r>
    <x v="29"/>
  </r>
  <r>
    <x v="29"/>
  </r>
  <r>
    <x v="25"/>
  </r>
  <r>
    <x v="76"/>
  </r>
  <r>
    <x v="76"/>
  </r>
  <r>
    <x v="6"/>
  </r>
  <r>
    <x v="6"/>
  </r>
  <r>
    <x v="29"/>
  </r>
  <r>
    <x v="25"/>
  </r>
  <r>
    <x v="29"/>
  </r>
  <r>
    <x v="12"/>
  </r>
  <r>
    <x v="42"/>
  </r>
  <r>
    <x v="23"/>
  </r>
  <r>
    <x v="25"/>
  </r>
  <r>
    <x v="25"/>
  </r>
  <r>
    <x v="25"/>
  </r>
  <r>
    <x v="25"/>
  </r>
  <r>
    <x v="25"/>
  </r>
  <r>
    <x v="25"/>
  </r>
  <r>
    <x v="75"/>
  </r>
  <r>
    <x v="21"/>
  </r>
  <r>
    <x v="25"/>
  </r>
  <r>
    <x v="21"/>
  </r>
  <r>
    <x v="25"/>
  </r>
  <r>
    <x v="14"/>
  </r>
  <r>
    <x v="23"/>
  </r>
  <r>
    <x v="12"/>
  </r>
  <r>
    <x v="81"/>
  </r>
  <r>
    <x v="81"/>
  </r>
  <r>
    <x v="25"/>
  </r>
  <r>
    <x v="25"/>
  </r>
  <r>
    <x v="75"/>
  </r>
  <r>
    <x v="25"/>
  </r>
  <r>
    <x v="25"/>
  </r>
  <r>
    <x v="81"/>
  </r>
  <r>
    <x v="25"/>
  </r>
  <r>
    <x v="76"/>
  </r>
  <r>
    <x v="25"/>
  </r>
  <r>
    <x v="25"/>
  </r>
  <r>
    <x v="112"/>
  </r>
  <r>
    <x v="25"/>
  </r>
  <r>
    <x v="72"/>
  </r>
  <r>
    <x v="25"/>
  </r>
  <r>
    <x v="25"/>
  </r>
  <r>
    <x v="12"/>
  </r>
  <r>
    <x v="12"/>
  </r>
  <r>
    <x v="12"/>
  </r>
  <r>
    <x v="12"/>
  </r>
  <r>
    <x v="81"/>
  </r>
  <r>
    <x v="25"/>
  </r>
  <r>
    <x v="25"/>
  </r>
  <r>
    <x v="81"/>
  </r>
  <r>
    <x v="42"/>
  </r>
  <r>
    <x v="42"/>
  </r>
  <r>
    <x v="42"/>
  </r>
  <r>
    <x v="42"/>
  </r>
  <r>
    <x v="42"/>
  </r>
  <r>
    <x v="76"/>
  </r>
  <r>
    <x v="105"/>
  </r>
  <r>
    <x v="22"/>
  </r>
  <r>
    <x v="91"/>
  </r>
  <r>
    <x v="23"/>
  </r>
  <r>
    <x v="29"/>
  </r>
  <r>
    <x v="112"/>
  </r>
  <r>
    <x v="23"/>
  </r>
  <r>
    <x v="23"/>
  </r>
  <r>
    <x v="23"/>
  </r>
  <r>
    <x v="28"/>
  </r>
  <r>
    <x v="23"/>
  </r>
  <r>
    <x v="23"/>
  </r>
  <r>
    <x v="25"/>
  </r>
  <r>
    <x v="23"/>
  </r>
  <r>
    <x v="28"/>
  </r>
  <r>
    <x v="23"/>
  </r>
  <r>
    <x v="28"/>
  </r>
  <r>
    <x v="23"/>
  </r>
  <r>
    <x v="122"/>
  </r>
  <r>
    <x v="122"/>
  </r>
  <r>
    <x v="122"/>
  </r>
  <r>
    <x v="28"/>
  </r>
  <r>
    <x v="42"/>
  </r>
  <r>
    <x v="25"/>
  </r>
  <r>
    <x v="28"/>
  </r>
  <r>
    <x v="25"/>
  </r>
  <r>
    <x v="12"/>
  </r>
  <r>
    <x v="25"/>
  </r>
  <r>
    <x v="23"/>
  </r>
  <r>
    <x v="23"/>
  </r>
  <r>
    <x v="28"/>
  </r>
  <r>
    <x v="45"/>
  </r>
  <r>
    <x v="25"/>
  </r>
  <r>
    <x v="28"/>
  </r>
  <r>
    <x v="28"/>
  </r>
  <r>
    <x v="23"/>
  </r>
  <r>
    <x v="23"/>
  </r>
  <r>
    <x v="28"/>
  </r>
  <r>
    <x v="12"/>
  </r>
  <r>
    <x v="25"/>
  </r>
  <r>
    <x v="25"/>
  </r>
  <r>
    <x v="23"/>
  </r>
  <r>
    <x v="23"/>
  </r>
  <r>
    <x v="25"/>
  </r>
  <r>
    <x v="23"/>
  </r>
  <r>
    <x v="28"/>
  </r>
  <r>
    <x v="23"/>
  </r>
  <r>
    <x v="23"/>
  </r>
  <r>
    <x v="25"/>
  </r>
  <r>
    <x v="105"/>
  </r>
  <r>
    <x v="25"/>
  </r>
  <r>
    <x v="14"/>
  </r>
  <r>
    <x v="25"/>
  </r>
  <r>
    <x v="28"/>
  </r>
  <r>
    <x v="28"/>
  </r>
  <r>
    <x v="4"/>
  </r>
  <r>
    <x v="112"/>
  </r>
  <r>
    <x v="105"/>
  </r>
  <r>
    <x v="23"/>
  </r>
  <r>
    <x v="4"/>
  </r>
  <r>
    <x v="25"/>
  </r>
  <r>
    <x v="25"/>
  </r>
  <r>
    <x v="25"/>
  </r>
  <r>
    <x v="112"/>
  </r>
  <r>
    <x v="111"/>
  </r>
  <r>
    <x v="28"/>
  </r>
  <r>
    <x v="28"/>
  </r>
  <r>
    <x v="25"/>
  </r>
  <r>
    <x v="25"/>
  </r>
  <r>
    <x v="31"/>
  </r>
  <r>
    <x v="25"/>
  </r>
  <r>
    <x v="25"/>
  </r>
  <r>
    <x v="6"/>
  </r>
  <r>
    <x v="77"/>
  </r>
  <r>
    <x v="77"/>
  </r>
  <r>
    <x v="77"/>
  </r>
  <r>
    <x v="77"/>
  </r>
  <r>
    <x v="152"/>
  </r>
  <r>
    <x v="6"/>
  </r>
  <r>
    <x v="77"/>
  </r>
  <r>
    <x v="77"/>
  </r>
  <r>
    <x v="20"/>
  </r>
  <r>
    <x v="20"/>
  </r>
  <r>
    <x v="20"/>
  </r>
  <r>
    <x v="20"/>
  </r>
  <r>
    <x v="25"/>
  </r>
  <r>
    <x v="3"/>
  </r>
  <r>
    <x v="83"/>
  </r>
  <r>
    <x v="83"/>
  </r>
  <r>
    <x v="83"/>
  </r>
  <r>
    <x v="25"/>
  </r>
  <r>
    <x v="25"/>
  </r>
  <r>
    <x v="6"/>
  </r>
  <r>
    <x v="213"/>
  </r>
  <r>
    <x v="20"/>
  </r>
  <r>
    <x v="91"/>
  </r>
  <r>
    <x v="91"/>
  </r>
  <r>
    <x v="100"/>
  </r>
  <r>
    <x v="100"/>
  </r>
  <r>
    <x v="4"/>
  </r>
  <r>
    <x v="4"/>
  </r>
  <r>
    <x v="0"/>
  </r>
  <r>
    <x v="14"/>
  </r>
  <r>
    <x v="10"/>
  </r>
  <r>
    <x v="25"/>
  </r>
  <r>
    <x v="25"/>
  </r>
  <r>
    <x v="111"/>
  </r>
  <r>
    <x v="22"/>
  </r>
  <r>
    <x v="79"/>
  </r>
  <r>
    <x v="152"/>
  </r>
  <r>
    <x v="28"/>
  </r>
  <r>
    <x v="23"/>
  </r>
  <r>
    <x v="4"/>
  </r>
  <r>
    <x v="4"/>
  </r>
  <r>
    <x v="12"/>
  </r>
  <r>
    <x v="4"/>
  </r>
  <r>
    <x v="12"/>
  </r>
  <r>
    <x v="4"/>
  </r>
  <r>
    <x v="4"/>
  </r>
  <r>
    <x v="4"/>
  </r>
  <r>
    <x v="23"/>
  </r>
  <r>
    <x v="23"/>
  </r>
  <r>
    <x v="14"/>
  </r>
  <r>
    <x v="42"/>
  </r>
  <r>
    <x v="93"/>
  </r>
  <r>
    <x v="12"/>
  </r>
  <r>
    <x v="7"/>
  </r>
  <r>
    <x v="78"/>
  </r>
  <r>
    <x v="78"/>
  </r>
  <r>
    <x v="93"/>
  </r>
  <r>
    <x v="78"/>
  </r>
  <r>
    <x v="78"/>
  </r>
  <r>
    <x v="81"/>
  </r>
  <r>
    <x v="81"/>
  </r>
  <r>
    <x v="93"/>
  </r>
  <r>
    <x v="81"/>
  </r>
  <r>
    <x v="81"/>
  </r>
  <r>
    <x v="126"/>
  </r>
  <r>
    <x v="12"/>
  </r>
  <r>
    <x v="25"/>
  </r>
  <r>
    <x v="25"/>
  </r>
  <r>
    <x v="12"/>
  </r>
  <r>
    <x v="25"/>
  </r>
  <r>
    <x v="25"/>
  </r>
  <r>
    <x v="25"/>
  </r>
  <r>
    <x v="25"/>
  </r>
  <r>
    <x v="25"/>
  </r>
  <r>
    <x v="25"/>
  </r>
  <r>
    <x v="25"/>
  </r>
  <r>
    <x v="25"/>
  </r>
  <r>
    <x v="78"/>
  </r>
  <r>
    <x v="78"/>
  </r>
  <r>
    <x v="78"/>
  </r>
  <r>
    <x v="14"/>
  </r>
  <r>
    <x v="14"/>
  </r>
  <r>
    <x v="14"/>
  </r>
  <r>
    <x v="14"/>
  </r>
  <r>
    <x v="14"/>
  </r>
  <r>
    <x v="25"/>
  </r>
  <r>
    <x v="14"/>
  </r>
  <r>
    <x v="14"/>
  </r>
  <r>
    <x v="25"/>
  </r>
  <r>
    <x v="14"/>
  </r>
  <r>
    <x v="25"/>
  </r>
  <r>
    <x v="25"/>
  </r>
  <r>
    <x v="25"/>
  </r>
  <r>
    <x v="112"/>
  </r>
  <r>
    <x v="112"/>
  </r>
  <r>
    <x v="94"/>
  </r>
  <r>
    <x v="112"/>
  </r>
  <r>
    <x v="82"/>
  </r>
  <r>
    <x v="25"/>
  </r>
  <r>
    <x v="25"/>
  </r>
  <r>
    <x v="78"/>
  </r>
  <r>
    <x v="25"/>
  </r>
  <r>
    <x v="63"/>
  </r>
  <r>
    <x v="110"/>
  </r>
  <r>
    <x v="63"/>
  </r>
  <r>
    <x v="63"/>
  </r>
  <r>
    <x v="110"/>
  </r>
  <r>
    <x v="63"/>
  </r>
  <r>
    <x v="23"/>
  </r>
  <r>
    <x v="23"/>
  </r>
  <r>
    <x v="94"/>
  </r>
  <r>
    <x v="23"/>
  </r>
  <r>
    <x v="94"/>
  </r>
  <r>
    <x v="23"/>
  </r>
  <r>
    <x v="94"/>
  </r>
  <r>
    <x v="23"/>
  </r>
  <r>
    <x v="25"/>
  </r>
  <r>
    <x v="21"/>
  </r>
  <r>
    <x v="23"/>
  </r>
  <r>
    <x v="23"/>
  </r>
  <r>
    <x v="23"/>
  </r>
  <r>
    <x v="21"/>
  </r>
  <r>
    <x v="4"/>
  </r>
  <r>
    <x v="105"/>
  </r>
  <r>
    <x v="105"/>
  </r>
  <r>
    <x v="20"/>
  </r>
  <r>
    <x v="119"/>
  </r>
  <r>
    <x v="77"/>
  </r>
  <r>
    <x v="22"/>
  </r>
  <r>
    <x v="30"/>
  </r>
  <r>
    <x v="48"/>
  </r>
  <r>
    <x v="57"/>
  </r>
  <r>
    <x v="0"/>
  </r>
  <r>
    <x v="0"/>
  </r>
  <r>
    <x v="0"/>
  </r>
  <r>
    <x v="10"/>
  </r>
  <r>
    <x v="10"/>
  </r>
  <r>
    <x v="194"/>
  </r>
  <r>
    <x v="86"/>
  </r>
  <r>
    <x v="52"/>
  </r>
  <r>
    <x v="10"/>
  </r>
  <r>
    <x v="48"/>
  </r>
  <r>
    <x v="31"/>
  </r>
  <r>
    <x v="194"/>
  </r>
  <r>
    <x v="81"/>
  </r>
  <r>
    <x v="48"/>
  </r>
  <r>
    <x v="48"/>
  </r>
  <r>
    <x v="48"/>
  </r>
  <r>
    <x v="68"/>
  </r>
  <r>
    <x v="68"/>
  </r>
  <r>
    <x v="68"/>
  </r>
  <r>
    <x v="29"/>
  </r>
  <r>
    <x v="29"/>
  </r>
  <r>
    <x v="56"/>
  </r>
  <r>
    <x v="132"/>
  </r>
  <r>
    <x v="48"/>
  </r>
  <r>
    <x v="48"/>
  </r>
  <r>
    <x v="48"/>
  </r>
  <r>
    <x v="48"/>
  </r>
  <r>
    <x v="79"/>
  </r>
  <r>
    <x v="79"/>
  </r>
  <r>
    <x v="79"/>
  </r>
  <r>
    <x v="79"/>
  </r>
  <r>
    <x v="79"/>
  </r>
  <r>
    <x v="79"/>
  </r>
  <r>
    <x v="42"/>
  </r>
  <r>
    <x v="42"/>
  </r>
  <r>
    <x v="10"/>
  </r>
  <r>
    <x v="0"/>
  </r>
  <r>
    <x v="0"/>
  </r>
  <r>
    <x v="22"/>
  </r>
  <r>
    <x v="79"/>
  </r>
  <r>
    <x v="22"/>
  </r>
  <r>
    <x v="22"/>
  </r>
  <r>
    <x v="9"/>
  </r>
  <r>
    <x v="78"/>
  </r>
  <r>
    <x v="78"/>
  </r>
  <r>
    <x v="78"/>
  </r>
  <r>
    <x v="28"/>
  </r>
  <r>
    <x v="12"/>
  </r>
  <r>
    <x v="12"/>
  </r>
  <r>
    <x v="12"/>
  </r>
  <r>
    <x v="12"/>
  </r>
  <r>
    <x v="3"/>
  </r>
  <r>
    <x v="42"/>
  </r>
  <r>
    <x v="0"/>
  </r>
  <r>
    <x v="79"/>
  </r>
  <r>
    <x v="86"/>
  </r>
  <r>
    <x v="86"/>
  </r>
  <r>
    <x v="0"/>
  </r>
  <r>
    <x v="86"/>
  </r>
  <r>
    <x v="79"/>
  </r>
  <r>
    <x v="97"/>
  </r>
  <r>
    <x v="92"/>
  </r>
  <r>
    <x v="2"/>
  </r>
  <r>
    <x v="2"/>
  </r>
  <r>
    <x v="7"/>
  </r>
  <r>
    <x v="71"/>
  </r>
  <r>
    <x v="25"/>
  </r>
  <r>
    <x v="7"/>
  </r>
  <r>
    <x v="2"/>
  </r>
  <r>
    <x v="7"/>
  </r>
  <r>
    <x v="64"/>
  </r>
  <r>
    <x v="7"/>
  </r>
  <r>
    <x v="12"/>
  </r>
  <r>
    <x v="71"/>
  </r>
  <r>
    <x v="71"/>
  </r>
  <r>
    <x v="71"/>
  </r>
  <r>
    <x v="71"/>
  </r>
  <r>
    <x v="71"/>
  </r>
  <r>
    <x v="2"/>
  </r>
  <r>
    <x v="0"/>
  </r>
  <r>
    <x v="87"/>
  </r>
  <r>
    <x v="117"/>
  </r>
  <r>
    <x v="30"/>
  </r>
  <r>
    <x v="78"/>
  </r>
  <r>
    <x v="4"/>
  </r>
  <r>
    <x v="4"/>
  </r>
  <r>
    <x v="12"/>
  </r>
  <r>
    <x v="134"/>
  </r>
  <r>
    <x v="108"/>
  </r>
  <r>
    <x v="3"/>
  </r>
  <r>
    <x v="123"/>
  </r>
  <r>
    <x v="123"/>
  </r>
  <r>
    <x v="123"/>
  </r>
  <r>
    <x v="123"/>
  </r>
  <r>
    <x v="123"/>
  </r>
  <r>
    <x v="4"/>
  </r>
  <r>
    <x v="8"/>
  </r>
  <r>
    <x v="81"/>
  </r>
  <r>
    <x v="81"/>
  </r>
  <r>
    <x v="123"/>
  </r>
  <r>
    <x v="31"/>
  </r>
  <r>
    <x v="135"/>
  </r>
  <r>
    <x v="154"/>
  </r>
  <r>
    <x v="48"/>
  </r>
  <r>
    <x v="134"/>
  </r>
  <r>
    <x v="134"/>
  </r>
  <r>
    <x v="26"/>
  </r>
  <r>
    <x v="134"/>
  </r>
  <r>
    <x v="108"/>
  </r>
  <r>
    <x v="78"/>
  </r>
  <r>
    <x v="0"/>
  </r>
  <r>
    <x v="0"/>
  </r>
  <r>
    <x v="0"/>
  </r>
  <r>
    <x v="78"/>
  </r>
  <r>
    <x v="0"/>
  </r>
  <r>
    <x v="17"/>
  </r>
  <r>
    <x v="7"/>
  </r>
  <r>
    <x v="78"/>
  </r>
  <r>
    <x v="3"/>
  </r>
  <r>
    <x v="93"/>
  </r>
  <r>
    <x v="25"/>
  </r>
  <r>
    <x v="25"/>
  </r>
  <r>
    <x v="25"/>
  </r>
  <r>
    <x v="25"/>
  </r>
  <r>
    <x v="25"/>
  </r>
  <r>
    <x v="25"/>
  </r>
  <r>
    <x v="79"/>
  </r>
  <r>
    <x v="79"/>
  </r>
  <r>
    <x v="3"/>
  </r>
  <r>
    <x v="72"/>
  </r>
  <r>
    <x v="87"/>
  </r>
  <r>
    <x v="72"/>
  </r>
  <r>
    <x v="0"/>
  </r>
  <r>
    <x v="132"/>
  </r>
  <r>
    <x v="31"/>
  </r>
  <r>
    <x v="31"/>
  </r>
  <r>
    <x v="31"/>
  </r>
  <r>
    <x v="31"/>
  </r>
  <r>
    <x v="31"/>
  </r>
  <r>
    <x v="10"/>
  </r>
  <r>
    <x v="10"/>
  </r>
  <r>
    <x v="81"/>
  </r>
  <r>
    <x v="112"/>
  </r>
  <r>
    <x v="78"/>
  </r>
  <r>
    <x v="59"/>
  </r>
  <r>
    <x v="3"/>
  </r>
  <r>
    <x v="3"/>
  </r>
  <r>
    <x v="3"/>
  </r>
  <r>
    <x v="64"/>
  </r>
  <r>
    <x v="82"/>
  </r>
  <r>
    <x v="3"/>
  </r>
  <r>
    <x v="76"/>
  </r>
  <r>
    <x v="7"/>
  </r>
  <r>
    <x v="93"/>
  </r>
  <r>
    <x v="3"/>
  </r>
  <r>
    <x v="93"/>
  </r>
  <r>
    <x v="17"/>
  </r>
  <r>
    <x v="4"/>
  </r>
  <r>
    <x v="68"/>
  </r>
  <r>
    <x v="82"/>
  </r>
  <r>
    <x v="82"/>
  </r>
  <r>
    <x v="10"/>
  </r>
  <r>
    <x v="55"/>
  </r>
  <r>
    <x v="28"/>
  </r>
  <r>
    <x v="78"/>
  </r>
  <r>
    <x v="2"/>
  </r>
  <r>
    <x v="187"/>
  </r>
  <r>
    <x v="71"/>
  </r>
  <r>
    <x v="82"/>
  </r>
  <r>
    <x v="31"/>
  </r>
  <r>
    <x v="112"/>
  </r>
  <r>
    <x v="75"/>
  </r>
  <r>
    <x v="80"/>
  </r>
  <r>
    <x v="78"/>
  </r>
  <r>
    <x v="78"/>
  </r>
  <r>
    <x v="78"/>
  </r>
  <r>
    <x v="78"/>
  </r>
  <r>
    <x v="78"/>
  </r>
  <r>
    <x v="31"/>
  </r>
  <r>
    <x v="31"/>
  </r>
  <r>
    <x v="31"/>
  </r>
  <r>
    <x v="31"/>
  </r>
  <r>
    <x v="31"/>
  </r>
  <r>
    <x v="83"/>
  </r>
  <r>
    <x v="83"/>
  </r>
  <r>
    <x v="83"/>
  </r>
  <r>
    <x v="83"/>
  </r>
  <r>
    <x v="82"/>
  </r>
  <r>
    <x v="78"/>
  </r>
  <r>
    <x v="99"/>
  </r>
  <r>
    <x v="93"/>
  </r>
  <r>
    <x v="93"/>
  </r>
  <r>
    <x v="78"/>
  </r>
  <r>
    <x v="93"/>
  </r>
  <r>
    <x v="78"/>
  </r>
  <r>
    <x v="78"/>
  </r>
  <r>
    <x v="93"/>
  </r>
  <r>
    <x v="78"/>
  </r>
  <r>
    <x v="78"/>
  </r>
  <r>
    <x v="93"/>
  </r>
  <r>
    <x v="56"/>
  </r>
  <r>
    <x v="56"/>
  </r>
  <r>
    <x v="10"/>
  </r>
  <r>
    <x v="0"/>
  </r>
  <r>
    <x v="76"/>
  </r>
  <r>
    <x v="76"/>
  </r>
  <r>
    <x v="76"/>
  </r>
  <r>
    <x v="75"/>
  </r>
  <r>
    <x v="0"/>
  </r>
  <r>
    <x v="2"/>
  </r>
  <r>
    <x v="2"/>
  </r>
  <r>
    <x v="2"/>
  </r>
  <r>
    <x v="2"/>
  </r>
  <r>
    <x v="10"/>
  </r>
  <r>
    <x v="10"/>
  </r>
  <r>
    <x v="76"/>
  </r>
  <r>
    <x v="75"/>
  </r>
  <r>
    <x v="76"/>
  </r>
  <r>
    <x v="76"/>
  </r>
  <r>
    <x v="76"/>
  </r>
  <r>
    <x v="42"/>
  </r>
  <r>
    <x v="83"/>
  </r>
  <r>
    <x v="104"/>
  </r>
  <r>
    <x v="107"/>
  </r>
  <r>
    <x v="48"/>
  </r>
  <r>
    <x v="90"/>
  </r>
  <r>
    <x v="108"/>
  </r>
  <r>
    <x v="0"/>
  </r>
  <r>
    <x v="57"/>
  </r>
  <r>
    <x v="114"/>
  </r>
  <r>
    <x v="0"/>
  </r>
  <r>
    <x v="22"/>
  </r>
  <r>
    <x v="0"/>
  </r>
  <r>
    <x v="0"/>
  </r>
  <r>
    <x v="93"/>
  </r>
  <r>
    <x v="2"/>
  </r>
  <r>
    <x v="2"/>
  </r>
  <r>
    <x v="78"/>
  </r>
  <r>
    <x v="2"/>
  </r>
  <r>
    <x v="2"/>
  </r>
  <r>
    <x v="2"/>
  </r>
  <r>
    <x v="2"/>
  </r>
  <r>
    <x v="2"/>
  </r>
  <r>
    <x v="75"/>
  </r>
  <r>
    <x v="93"/>
  </r>
  <r>
    <x v="93"/>
  </r>
  <r>
    <x v="93"/>
  </r>
  <r>
    <x v="93"/>
  </r>
  <r>
    <x v="93"/>
  </r>
  <r>
    <x v="12"/>
  </r>
  <r>
    <x v="12"/>
  </r>
  <r>
    <x v="12"/>
  </r>
  <r>
    <x v="22"/>
  </r>
  <r>
    <x v="115"/>
  </r>
  <r>
    <x v="12"/>
  </r>
  <r>
    <x v="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2"/>
  </r>
  <r>
    <x v="32"/>
  </r>
  <r>
    <x v="55"/>
  </r>
  <r>
    <x v="55"/>
  </r>
  <r>
    <x v="14"/>
  </r>
  <r>
    <x v="108"/>
  </r>
  <r>
    <x v="0"/>
  </r>
  <r>
    <x v="0"/>
  </r>
  <r>
    <x v="0"/>
  </r>
  <r>
    <x v="25"/>
  </r>
  <r>
    <x v="48"/>
  </r>
  <r>
    <x v="48"/>
  </r>
  <r>
    <x v="48"/>
  </r>
  <r>
    <x v="48"/>
  </r>
  <r>
    <x v="48"/>
  </r>
  <r>
    <x v="12"/>
  </r>
  <r>
    <x v="108"/>
  </r>
  <r>
    <x v="25"/>
  </r>
  <r>
    <x v="72"/>
  </r>
  <r>
    <x v="72"/>
  </r>
  <r>
    <x v="76"/>
  </r>
  <r>
    <x v="76"/>
  </r>
  <r>
    <x v="25"/>
  </r>
  <r>
    <x v="76"/>
  </r>
  <r>
    <x v="76"/>
  </r>
  <r>
    <x v="48"/>
  </r>
  <r>
    <x v="0"/>
  </r>
  <r>
    <x v="48"/>
  </r>
  <r>
    <x v="48"/>
  </r>
  <r>
    <x v="48"/>
  </r>
  <r>
    <x v="75"/>
  </r>
  <r>
    <x v="75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0"/>
  </r>
  <r>
    <x v="76"/>
  </r>
  <r>
    <x v="76"/>
  </r>
  <r>
    <x v="76"/>
  </r>
  <r>
    <x v="0"/>
  </r>
  <r>
    <x v="76"/>
  </r>
  <r>
    <x v="76"/>
  </r>
  <r>
    <x v="76"/>
  </r>
  <r>
    <x v="0"/>
  </r>
  <r>
    <x v="76"/>
  </r>
  <r>
    <x v="0"/>
  </r>
  <r>
    <x v="76"/>
  </r>
  <r>
    <x v="117"/>
  </r>
  <r>
    <x v="76"/>
  </r>
  <r>
    <x v="117"/>
  </r>
  <r>
    <x v="117"/>
  </r>
  <r>
    <x v="117"/>
  </r>
  <r>
    <x v="76"/>
  </r>
  <r>
    <x v="76"/>
  </r>
  <r>
    <x v="76"/>
  </r>
  <r>
    <x v="117"/>
  </r>
  <r>
    <x v="76"/>
  </r>
  <r>
    <x v="76"/>
  </r>
  <r>
    <x v="76"/>
  </r>
  <r>
    <x v="76"/>
  </r>
  <r>
    <x v="76"/>
  </r>
  <r>
    <x v="76"/>
  </r>
  <r>
    <x v="75"/>
  </r>
  <r>
    <x v="76"/>
  </r>
  <r>
    <x v="75"/>
  </r>
  <r>
    <x v="75"/>
  </r>
  <r>
    <x v="75"/>
  </r>
  <r>
    <x v="105"/>
  </r>
  <r>
    <x v="112"/>
  </r>
  <r>
    <x v="87"/>
  </r>
  <r>
    <x v="78"/>
  </r>
  <r>
    <x v="78"/>
  </r>
  <r>
    <x v="112"/>
  </r>
  <r>
    <x v="10"/>
  </r>
  <r>
    <x v="112"/>
  </r>
  <r>
    <x v="78"/>
  </r>
  <r>
    <x v="25"/>
  </r>
  <r>
    <x v="93"/>
  </r>
  <r>
    <x v="25"/>
  </r>
  <r>
    <x v="25"/>
  </r>
  <r>
    <x v="25"/>
  </r>
  <r>
    <x v="10"/>
  </r>
  <r>
    <x v="87"/>
  </r>
  <r>
    <x v="76"/>
  </r>
  <r>
    <x v="76"/>
  </r>
  <r>
    <x v="76"/>
  </r>
  <r>
    <x v="75"/>
  </r>
  <r>
    <x v="7"/>
  </r>
  <r>
    <x v="7"/>
  </r>
  <r>
    <x v="7"/>
  </r>
  <r>
    <x v="7"/>
  </r>
  <r>
    <x v="7"/>
  </r>
  <r>
    <x v="7"/>
  </r>
  <r>
    <x v="7"/>
  </r>
  <r>
    <x v="25"/>
  </r>
  <r>
    <x v="25"/>
  </r>
  <r>
    <x v="25"/>
  </r>
  <r>
    <x v="25"/>
  </r>
  <r>
    <x v="87"/>
  </r>
  <r>
    <x v="142"/>
  </r>
  <r>
    <x v="25"/>
  </r>
  <r>
    <x v="25"/>
  </r>
  <r>
    <x v="87"/>
  </r>
  <r>
    <x v="0"/>
  </r>
  <r>
    <x v="0"/>
  </r>
  <r>
    <x v="0"/>
  </r>
  <r>
    <x v="25"/>
  </r>
  <r>
    <x v="3"/>
  </r>
  <r>
    <x v="3"/>
  </r>
  <r>
    <x v="29"/>
  </r>
  <r>
    <x v="93"/>
  </r>
  <r>
    <x v="78"/>
  </r>
  <r>
    <x v="76"/>
  </r>
  <r>
    <x v="76"/>
  </r>
  <r>
    <x v="25"/>
  </r>
  <r>
    <x v="76"/>
  </r>
  <r>
    <x v="76"/>
  </r>
  <r>
    <x v="108"/>
  </r>
  <r>
    <x v="108"/>
  </r>
  <r>
    <x v="108"/>
  </r>
  <r>
    <x v="102"/>
  </r>
  <r>
    <x v="4"/>
  </r>
  <r>
    <x v="81"/>
  </r>
  <r>
    <x v="81"/>
  </r>
  <r>
    <x v="81"/>
  </r>
  <r>
    <x v="4"/>
  </r>
  <r>
    <x v="4"/>
  </r>
  <r>
    <x v="4"/>
  </r>
  <r>
    <x v="59"/>
  </r>
  <r>
    <x v="59"/>
  </r>
  <r>
    <x v="76"/>
  </r>
  <r>
    <x v="87"/>
  </r>
  <r>
    <x v="87"/>
  </r>
  <r>
    <x v="87"/>
  </r>
  <r>
    <x v="76"/>
  </r>
  <r>
    <x v="76"/>
  </r>
  <r>
    <x v="76"/>
  </r>
  <r>
    <x v="76"/>
  </r>
  <r>
    <x v="76"/>
  </r>
  <r>
    <x v="76"/>
  </r>
  <r>
    <x v="102"/>
  </r>
  <r>
    <x v="76"/>
  </r>
  <r>
    <x v="108"/>
  </r>
  <r>
    <x v="108"/>
  </r>
  <r>
    <x v="108"/>
  </r>
  <r>
    <x v="108"/>
  </r>
  <r>
    <x v="108"/>
  </r>
  <r>
    <x v="87"/>
  </r>
  <r>
    <x v="87"/>
  </r>
  <r>
    <x v="154"/>
  </r>
  <r>
    <x v="34"/>
  </r>
  <r>
    <x v="34"/>
  </r>
  <r>
    <x v="34"/>
  </r>
  <r>
    <x v="34"/>
  </r>
  <r>
    <x v="34"/>
  </r>
  <r>
    <x v="14"/>
  </r>
  <r>
    <x v="34"/>
  </r>
  <r>
    <x v="34"/>
  </r>
  <r>
    <x v="34"/>
  </r>
  <r>
    <x v="34"/>
  </r>
  <r>
    <x v="87"/>
  </r>
  <r>
    <x v="87"/>
  </r>
  <r>
    <x v="93"/>
  </r>
  <r>
    <x v="93"/>
  </r>
  <r>
    <x v="93"/>
  </r>
  <r>
    <x v="93"/>
  </r>
  <r>
    <x v="93"/>
  </r>
  <r>
    <x v="81"/>
  </r>
  <r>
    <x v="81"/>
  </r>
  <r>
    <x v="76"/>
  </r>
  <r>
    <x v="198"/>
  </r>
  <r>
    <x v="76"/>
  </r>
  <r>
    <x v="72"/>
  </r>
  <r>
    <x v="25"/>
  </r>
  <r>
    <x v="104"/>
  </r>
  <r>
    <x v="104"/>
  </r>
  <r>
    <x v="83"/>
  </r>
  <r>
    <x v="56"/>
  </r>
  <r>
    <x v="56"/>
  </r>
  <r>
    <x v="56"/>
  </r>
  <r>
    <x v="56"/>
  </r>
  <r>
    <x v="56"/>
  </r>
  <r>
    <x v="94"/>
  </r>
  <r>
    <x v="76"/>
  </r>
  <r>
    <x v="112"/>
  </r>
  <r>
    <x v="56"/>
  </r>
  <r>
    <x v="56"/>
  </r>
  <r>
    <x v="105"/>
  </r>
  <r>
    <x v="201"/>
  </r>
  <r>
    <x v="86"/>
  </r>
  <r>
    <x v="56"/>
  </r>
  <r>
    <x v="86"/>
  </r>
  <r>
    <x v="63"/>
  </r>
  <r>
    <x v="81"/>
  </r>
  <r>
    <x v="93"/>
  </r>
  <r>
    <x v="12"/>
  </r>
  <r>
    <x v="99"/>
  </r>
  <r>
    <x v="46"/>
  </r>
  <r>
    <x v="99"/>
  </r>
  <r>
    <x v="99"/>
  </r>
  <r>
    <x v="48"/>
  </r>
  <r>
    <x v="103"/>
  </r>
  <r>
    <x v="0"/>
  </r>
  <r>
    <x v="0"/>
  </r>
  <r>
    <x v="79"/>
  </r>
  <r>
    <x v="76"/>
  </r>
  <r>
    <x v="76"/>
  </r>
  <r>
    <x v="76"/>
  </r>
  <r>
    <x v="78"/>
  </r>
  <r>
    <x v="78"/>
  </r>
  <r>
    <x v="46"/>
  </r>
  <r>
    <x v="112"/>
  </r>
  <r>
    <x v="25"/>
  </r>
  <r>
    <x v="25"/>
  </r>
  <r>
    <x v="63"/>
  </r>
  <r>
    <x v="78"/>
  </r>
  <r>
    <x v="0"/>
  </r>
  <r>
    <x v="48"/>
  </r>
  <r>
    <x v="76"/>
  </r>
  <r>
    <x v="57"/>
  </r>
  <r>
    <x v="36"/>
  </r>
  <r>
    <x v="57"/>
  </r>
  <r>
    <x v="79"/>
  </r>
  <r>
    <x v="0"/>
  </r>
  <r>
    <x v="28"/>
  </r>
  <r>
    <x v="102"/>
  </r>
  <r>
    <x v="184"/>
  </r>
  <r>
    <x v="331"/>
  </r>
  <r>
    <x v="0"/>
  </r>
  <r>
    <x v="48"/>
  </r>
  <r>
    <x v="82"/>
  </r>
  <r>
    <x v="0"/>
  </r>
  <r>
    <x v="50"/>
  </r>
  <r>
    <x v="1"/>
  </r>
  <r>
    <x v="15"/>
  </r>
  <r>
    <x v="48"/>
  </r>
  <r>
    <x v="15"/>
  </r>
  <r>
    <x v="15"/>
  </r>
  <r>
    <x v="124"/>
  </r>
  <r>
    <x v="78"/>
  </r>
  <r>
    <x v="17"/>
  </r>
  <r>
    <x v="76"/>
  </r>
  <r>
    <x v="124"/>
  </r>
  <r>
    <x v="10"/>
  </r>
  <r>
    <x v="98"/>
  </r>
  <r>
    <x v="45"/>
  </r>
  <r>
    <x v="45"/>
  </r>
  <r>
    <x v="82"/>
  </r>
  <r>
    <x v="154"/>
  </r>
  <r>
    <x v="113"/>
  </r>
  <r>
    <x v="45"/>
  </r>
  <r>
    <x v="45"/>
  </r>
  <r>
    <x v="154"/>
  </r>
  <r>
    <x v="45"/>
  </r>
  <r>
    <x v="30"/>
  </r>
  <r>
    <x v="34"/>
  </r>
  <r>
    <x v="10"/>
  </r>
  <r>
    <x v="216"/>
  </r>
  <r>
    <x v="290"/>
  </r>
  <r>
    <x v="29"/>
  </r>
  <r>
    <x v="0"/>
  </r>
  <r>
    <x v="0"/>
  </r>
  <r>
    <x v="129"/>
  </r>
  <r>
    <x v="8"/>
  </r>
  <r>
    <x v="8"/>
  </r>
  <r>
    <x v="25"/>
  </r>
  <r>
    <x v="217"/>
  </r>
  <r>
    <x v="106"/>
  </r>
  <r>
    <x v="2"/>
  </r>
  <r>
    <x v="99"/>
  </r>
  <r>
    <x v="25"/>
  </r>
  <r>
    <x v="25"/>
  </r>
  <r>
    <x v="25"/>
  </r>
  <r>
    <x v="93"/>
  </r>
  <r>
    <x v="78"/>
  </r>
  <r>
    <x v="93"/>
  </r>
  <r>
    <x v="6"/>
  </r>
  <r>
    <x v="87"/>
  </r>
  <r>
    <x v="55"/>
  </r>
  <r>
    <x v="93"/>
  </r>
  <r>
    <x v="30"/>
  </r>
  <r>
    <x v="78"/>
  </r>
  <r>
    <x v="93"/>
  </r>
  <r>
    <x v="93"/>
  </r>
  <r>
    <x v="25"/>
  </r>
  <r>
    <x v="25"/>
  </r>
  <r>
    <x v="23"/>
  </r>
  <r>
    <x v="0"/>
  </r>
  <r>
    <x v="0"/>
  </r>
  <r>
    <x v="0"/>
  </r>
  <r>
    <x v="105"/>
  </r>
  <r>
    <x v="52"/>
  </r>
  <r>
    <x v="87"/>
  </r>
  <r>
    <x v="93"/>
  </r>
  <r>
    <x v="25"/>
  </r>
  <r>
    <x v="25"/>
  </r>
  <r>
    <x v="25"/>
  </r>
  <r>
    <x v="0"/>
  </r>
  <r>
    <x v="25"/>
  </r>
  <r>
    <x v="25"/>
  </r>
  <r>
    <x v="0"/>
  </r>
  <r>
    <x v="25"/>
  </r>
  <r>
    <x v="25"/>
  </r>
  <r>
    <x v="25"/>
  </r>
  <r>
    <x v="25"/>
  </r>
  <r>
    <x v="25"/>
  </r>
  <r>
    <x v="2"/>
  </r>
  <r>
    <x v="2"/>
  </r>
  <r>
    <x v="83"/>
  </r>
  <r>
    <x v="76"/>
  </r>
  <r>
    <x v="120"/>
  </r>
  <r>
    <x v="80"/>
  </r>
  <r>
    <x v="0"/>
  </r>
  <r>
    <x v="0"/>
  </r>
  <r>
    <x v="113"/>
  </r>
  <r>
    <x v="48"/>
  </r>
  <r>
    <x v="48"/>
  </r>
  <r>
    <x v="25"/>
  </r>
  <r>
    <x v="113"/>
  </r>
  <r>
    <x v="79"/>
  </r>
  <r>
    <x v="25"/>
  </r>
  <r>
    <x v="25"/>
  </r>
  <r>
    <x v="25"/>
  </r>
  <r>
    <x v="0"/>
  </r>
  <r>
    <x v="102"/>
  </r>
  <r>
    <x v="25"/>
  </r>
  <r>
    <x v="25"/>
  </r>
  <r>
    <x v="108"/>
  </r>
  <r>
    <x v="99"/>
  </r>
  <r>
    <x v="99"/>
  </r>
  <r>
    <x v="52"/>
  </r>
  <r>
    <x v="151"/>
  </r>
  <r>
    <x v="14"/>
  </r>
  <r>
    <x v="198"/>
  </r>
  <r>
    <x v="198"/>
  </r>
  <r>
    <x v="78"/>
  </r>
  <r>
    <x v="14"/>
  </r>
  <r>
    <x v="78"/>
  </r>
  <r>
    <x v="377"/>
  </r>
  <r>
    <x v="115"/>
  </r>
  <r>
    <x v="115"/>
  </r>
  <r>
    <x v="52"/>
  </r>
  <r>
    <x v="52"/>
  </r>
  <r>
    <x v="182"/>
  </r>
  <r>
    <x v="154"/>
  </r>
  <r>
    <x v="0"/>
  </r>
  <r>
    <x v="10"/>
  </r>
  <r>
    <x v="10"/>
  </r>
  <r>
    <x v="10"/>
  </r>
  <r>
    <x v="89"/>
  </r>
  <r>
    <x v="41"/>
  </r>
  <r>
    <x v="2"/>
  </r>
  <r>
    <x v="48"/>
  </r>
  <r>
    <x v="89"/>
  </r>
  <r>
    <x v="22"/>
  </r>
  <r>
    <x v="22"/>
  </r>
  <r>
    <x v="10"/>
  </r>
  <r>
    <x v="87"/>
  </r>
  <r>
    <x v="36"/>
  </r>
  <r>
    <x v="56"/>
  </r>
  <r>
    <x v="56"/>
  </r>
  <r>
    <x v="22"/>
  </r>
  <r>
    <x v="10"/>
  </r>
  <r>
    <x v="21"/>
  </r>
  <r>
    <x v="48"/>
  </r>
  <r>
    <x v="10"/>
  </r>
  <r>
    <x v="48"/>
  </r>
  <r>
    <x v="16"/>
  </r>
  <r>
    <x v="22"/>
  </r>
  <r>
    <x v="56"/>
  </r>
  <r>
    <x v="59"/>
  </r>
  <r>
    <x v="59"/>
  </r>
  <r>
    <x v="31"/>
  </r>
  <r>
    <x v="112"/>
  </r>
  <r>
    <x v="112"/>
  </r>
  <r>
    <x v="82"/>
  </r>
  <r>
    <x v="10"/>
  </r>
  <r>
    <x v="56"/>
  </r>
  <r>
    <x v="208"/>
  </r>
  <r>
    <x v="208"/>
  </r>
  <r>
    <x v="56"/>
  </r>
  <r>
    <x v="81"/>
  </r>
  <r>
    <x v="208"/>
  </r>
  <r>
    <x v="208"/>
  </r>
  <r>
    <x v="208"/>
  </r>
  <r>
    <x v="208"/>
  </r>
  <r>
    <x v="208"/>
  </r>
  <r>
    <x v="28"/>
  </r>
  <r>
    <x v="59"/>
  </r>
  <r>
    <x v="28"/>
  </r>
  <r>
    <x v="31"/>
  </r>
  <r>
    <x v="208"/>
  </r>
  <r>
    <x v="31"/>
  </r>
  <r>
    <x v="208"/>
  </r>
  <r>
    <x v="59"/>
  </r>
  <r>
    <x v="118"/>
  </r>
  <r>
    <x v="59"/>
  </r>
  <r>
    <x v="112"/>
  </r>
  <r>
    <x v="32"/>
  </r>
  <r>
    <x v="25"/>
  </r>
  <r>
    <x v="208"/>
  </r>
  <r>
    <x v="81"/>
  </r>
  <r>
    <x v="208"/>
  </r>
  <r>
    <x v="208"/>
  </r>
  <r>
    <x v="208"/>
  </r>
  <r>
    <x v="208"/>
  </r>
  <r>
    <x v="208"/>
  </r>
  <r>
    <x v="208"/>
  </r>
  <r>
    <x v="208"/>
  </r>
  <r>
    <x v="208"/>
  </r>
  <r>
    <x v="208"/>
  </r>
  <r>
    <x v="208"/>
  </r>
  <r>
    <x v="208"/>
  </r>
  <r>
    <x v="208"/>
  </r>
  <r>
    <x v="208"/>
  </r>
  <r>
    <x v="208"/>
  </r>
  <r>
    <x v="208"/>
  </r>
  <r>
    <x v="28"/>
  </r>
  <r>
    <x v="28"/>
  </r>
  <r>
    <x v="36"/>
  </r>
  <r>
    <x v="36"/>
  </r>
  <r>
    <x v="210"/>
  </r>
  <r>
    <x v="210"/>
  </r>
  <r>
    <x v="210"/>
  </r>
  <r>
    <x v="210"/>
  </r>
  <r>
    <x v="36"/>
  </r>
  <r>
    <x v="36"/>
  </r>
  <r>
    <x v="36"/>
  </r>
  <r>
    <x v="36"/>
  </r>
  <r>
    <x v="36"/>
  </r>
  <r>
    <x v="81"/>
  </r>
  <r>
    <x v="10"/>
  </r>
  <r>
    <x v="78"/>
  </r>
  <r>
    <x v="14"/>
  </r>
  <r>
    <x v="72"/>
  </r>
  <r>
    <x v="36"/>
  </r>
  <r>
    <x v="78"/>
  </r>
  <r>
    <x v="82"/>
  </r>
  <r>
    <x v="93"/>
  </r>
  <r>
    <x v="208"/>
  </r>
  <r>
    <x v="208"/>
  </r>
  <r>
    <x v="208"/>
  </r>
  <r>
    <x v="208"/>
  </r>
  <r>
    <x v="10"/>
  </r>
  <r>
    <x v="10"/>
  </r>
  <r>
    <x v="31"/>
  </r>
  <r>
    <x v="31"/>
  </r>
  <r>
    <x v="10"/>
  </r>
  <r>
    <x v="10"/>
  </r>
  <r>
    <x v="10"/>
  </r>
  <r>
    <x v="12"/>
  </r>
  <r>
    <x v="208"/>
  </r>
  <r>
    <x v="208"/>
  </r>
  <r>
    <x v="181"/>
  </r>
  <r>
    <x v="208"/>
  </r>
  <r>
    <x v="181"/>
  </r>
  <r>
    <x v="208"/>
  </r>
  <r>
    <x v="0"/>
  </r>
  <r>
    <x v="28"/>
  </r>
  <r>
    <x v="28"/>
  </r>
  <r>
    <x v="45"/>
  </r>
  <r>
    <x v="45"/>
  </r>
  <r>
    <x v="45"/>
  </r>
  <r>
    <x v="45"/>
  </r>
  <r>
    <x v="45"/>
  </r>
  <r>
    <x v="208"/>
  </r>
  <r>
    <x v="208"/>
  </r>
  <r>
    <x v="208"/>
  </r>
  <r>
    <x v="48"/>
  </r>
  <r>
    <x v="4"/>
  </r>
  <r>
    <x v="48"/>
  </r>
  <r>
    <x v="50"/>
  </r>
  <r>
    <x v="48"/>
  </r>
  <r>
    <x v="48"/>
  </r>
  <r>
    <x v="72"/>
  </r>
  <r>
    <x v="72"/>
  </r>
  <r>
    <x v="14"/>
  </r>
  <r>
    <x v="10"/>
  </r>
  <r>
    <x v="10"/>
  </r>
  <r>
    <x v="173"/>
  </r>
  <r>
    <x v="25"/>
  </r>
  <r>
    <x v="50"/>
  </r>
  <r>
    <x v="112"/>
  </r>
  <r>
    <x v="112"/>
  </r>
  <r>
    <x v="72"/>
  </r>
  <r>
    <x v="36"/>
  </r>
  <r>
    <x v="4"/>
  </r>
  <r>
    <x v="82"/>
  </r>
  <r>
    <x v="72"/>
  </r>
  <r>
    <x v="10"/>
  </r>
  <r>
    <x v="173"/>
  </r>
  <r>
    <x v="187"/>
  </r>
  <r>
    <x v="482"/>
  </r>
  <r>
    <x v="21"/>
  </r>
  <r>
    <x v="31"/>
  </r>
  <r>
    <x v="76"/>
  </r>
  <r>
    <x v="76"/>
  </r>
  <r>
    <x v="10"/>
  </r>
  <r>
    <x v="10"/>
  </r>
  <r>
    <x v="48"/>
  </r>
  <r>
    <x v="113"/>
  </r>
  <r>
    <x v="26"/>
  </r>
  <r>
    <x v="113"/>
  </r>
  <r>
    <x v="48"/>
  </r>
  <r>
    <x v="81"/>
  </r>
  <r>
    <x v="48"/>
  </r>
  <r>
    <x v="37"/>
  </r>
  <r>
    <x v="31"/>
  </r>
  <r>
    <x v="31"/>
  </r>
  <r>
    <x v="81"/>
  </r>
  <r>
    <x v="31"/>
  </r>
  <r>
    <x v="31"/>
  </r>
  <r>
    <x v="2"/>
  </r>
  <r>
    <x v="32"/>
  </r>
  <r>
    <x v="56"/>
  </r>
  <r>
    <x v="108"/>
  </r>
  <r>
    <x v="36"/>
  </r>
  <r>
    <x v="98"/>
  </r>
  <r>
    <x v="29"/>
  </r>
  <r>
    <x v="127"/>
  </r>
  <r>
    <x v="31"/>
  </r>
  <r>
    <x v="30"/>
  </r>
  <r>
    <x v="10"/>
  </r>
  <r>
    <x v="79"/>
  </r>
  <r>
    <x v="2"/>
  </r>
  <r>
    <x v="81"/>
  </r>
  <r>
    <x v="24"/>
  </r>
  <r>
    <x v="24"/>
  </r>
  <r>
    <x v="24"/>
  </r>
  <r>
    <x v="56"/>
  </r>
  <r>
    <x v="56"/>
  </r>
  <r>
    <x v="2"/>
  </r>
  <r>
    <x v="2"/>
  </r>
  <r>
    <x v="177"/>
  </r>
  <r>
    <x v="10"/>
  </r>
  <r>
    <x v="182"/>
  </r>
  <r>
    <x v="63"/>
  </r>
  <r>
    <x v="77"/>
  </r>
  <r>
    <x v="154"/>
  </r>
  <r>
    <x v="36"/>
  </r>
  <r>
    <x v="119"/>
  </r>
  <r>
    <x v="154"/>
  </r>
  <r>
    <x v="31"/>
  </r>
  <r>
    <x v="31"/>
  </r>
  <r>
    <x v="154"/>
  </r>
  <r>
    <x v="182"/>
  </r>
  <r>
    <x v="108"/>
  </r>
  <r>
    <x v="77"/>
  </r>
  <r>
    <x v="10"/>
  </r>
  <r>
    <x v="10"/>
  </r>
  <r>
    <x v="77"/>
  </r>
  <r>
    <x v="48"/>
  </r>
  <r>
    <x v="81"/>
  </r>
  <r>
    <x v="72"/>
  </r>
  <r>
    <x v="212"/>
  </r>
  <r>
    <x v="99"/>
  </r>
  <r>
    <x v="36"/>
  </r>
  <r>
    <x v="30"/>
  </r>
  <r>
    <x v="30"/>
  </r>
  <r>
    <x v="25"/>
  </r>
  <r>
    <x v="122"/>
  </r>
  <r>
    <x v="25"/>
  </r>
  <r>
    <x v="21"/>
  </r>
  <r>
    <x v="63"/>
  </r>
  <r>
    <x v="48"/>
  </r>
  <r>
    <x v="48"/>
  </r>
  <r>
    <x v="48"/>
  </r>
  <r>
    <x v="85"/>
  </r>
  <r>
    <x v="56"/>
  </r>
  <r>
    <x v="76"/>
  </r>
  <r>
    <x v="25"/>
  </r>
  <r>
    <x v="56"/>
  </r>
  <r>
    <x v="82"/>
  </r>
  <r>
    <x v="93"/>
  </r>
  <r>
    <x v="93"/>
  </r>
  <r>
    <x v="93"/>
  </r>
  <r>
    <x v="93"/>
  </r>
  <r>
    <x v="82"/>
  </r>
  <r>
    <x v="82"/>
  </r>
  <r>
    <x v="30"/>
  </r>
  <r>
    <x v="63"/>
  </r>
  <r>
    <x v="72"/>
  </r>
  <r>
    <x v="127"/>
  </r>
  <r>
    <x v="25"/>
  </r>
  <r>
    <x v="22"/>
  </r>
  <r>
    <x v="83"/>
  </r>
  <r>
    <x v="31"/>
  </r>
  <r>
    <x v="76"/>
  </r>
  <r>
    <x v="63"/>
  </r>
  <r>
    <x v="214"/>
  </r>
  <r>
    <x v="71"/>
  </r>
  <r>
    <x v="278"/>
  </r>
  <r>
    <x v="82"/>
  </r>
  <r>
    <x v="82"/>
  </r>
  <r>
    <x v="30"/>
  </r>
  <r>
    <x v="30"/>
  </r>
  <r>
    <x v="81"/>
  </r>
  <r>
    <x v="149"/>
  </r>
  <r>
    <x v="149"/>
  </r>
  <r>
    <x v="6"/>
  </r>
  <r>
    <x v="6"/>
  </r>
  <r>
    <x v="71"/>
  </r>
  <r>
    <x v="93"/>
  </r>
  <r>
    <x v="72"/>
  </r>
  <r>
    <x v="82"/>
  </r>
  <r>
    <x v="82"/>
  </r>
  <r>
    <x v="28"/>
  </r>
  <r>
    <x v="72"/>
  </r>
  <r>
    <x v="105"/>
  </r>
  <r>
    <x v="76"/>
  </r>
  <r>
    <x v="105"/>
  </r>
  <r>
    <x v="105"/>
  </r>
  <r>
    <x v="105"/>
  </r>
  <r>
    <x v="28"/>
  </r>
  <r>
    <x v="105"/>
  </r>
  <r>
    <x v="87"/>
  </r>
  <r>
    <x v="25"/>
  </r>
  <r>
    <x v="87"/>
  </r>
  <r>
    <x v="87"/>
  </r>
  <r>
    <x v="87"/>
  </r>
  <r>
    <x v="149"/>
  </r>
  <r>
    <x v="25"/>
  </r>
  <r>
    <x v="85"/>
  </r>
  <r>
    <x v="76"/>
  </r>
  <r>
    <x v="105"/>
  </r>
  <r>
    <x v="76"/>
  </r>
  <r>
    <x v="4"/>
  </r>
  <r>
    <x v="4"/>
  </r>
  <r>
    <x v="48"/>
  </r>
  <r>
    <x v="34"/>
  </r>
  <r>
    <x v="87"/>
  </r>
  <r>
    <x v="78"/>
  </r>
  <r>
    <x v="26"/>
  </r>
  <r>
    <x v="25"/>
  </r>
  <r>
    <x v="25"/>
  </r>
  <r>
    <x v="25"/>
  </r>
  <r>
    <x v="25"/>
  </r>
  <r>
    <x v="25"/>
  </r>
  <r>
    <x v="25"/>
  </r>
  <r>
    <x v="25"/>
  </r>
  <r>
    <x v="72"/>
  </r>
  <r>
    <x v="25"/>
  </r>
  <r>
    <x v="25"/>
  </r>
  <r>
    <x v="48"/>
  </r>
  <r>
    <x v="25"/>
  </r>
  <r>
    <x v="25"/>
  </r>
  <r>
    <x v="37"/>
  </r>
  <r>
    <x v="25"/>
  </r>
  <r>
    <x v="82"/>
  </r>
  <r>
    <x v="76"/>
  </r>
  <r>
    <x v="25"/>
  </r>
  <r>
    <x v="76"/>
  </r>
  <r>
    <x v="76"/>
  </r>
  <r>
    <x v="72"/>
  </r>
  <r>
    <x v="200"/>
  </r>
  <r>
    <x v="200"/>
  </r>
  <r>
    <x v="200"/>
  </r>
  <r>
    <x v="76"/>
  </r>
  <r>
    <x v="93"/>
  </r>
  <r>
    <x v="30"/>
  </r>
  <r>
    <x v="230"/>
  </r>
  <r>
    <x v="25"/>
  </r>
  <r>
    <x v="93"/>
  </r>
  <r>
    <x v="26"/>
  </r>
  <r>
    <x v="76"/>
  </r>
  <r>
    <x v="183"/>
  </r>
  <r>
    <x v="82"/>
  </r>
  <r>
    <x v="76"/>
  </r>
  <r>
    <x v="63"/>
  </r>
  <r>
    <x v="183"/>
  </r>
  <r>
    <x v="76"/>
  </r>
  <r>
    <x v="76"/>
  </r>
  <r>
    <x v="81"/>
  </r>
  <r>
    <x v="99"/>
  </r>
  <r>
    <x v="48"/>
  </r>
  <r>
    <x v="81"/>
  </r>
  <r>
    <x v="81"/>
  </r>
  <r>
    <x v="81"/>
  </r>
  <r>
    <x v="93"/>
  </r>
  <r>
    <x v="93"/>
  </r>
  <r>
    <x v="36"/>
  </r>
  <r>
    <x v="36"/>
  </r>
  <r>
    <x v="93"/>
  </r>
  <r>
    <x v="93"/>
  </r>
  <r>
    <x v="93"/>
  </r>
  <r>
    <x v="36"/>
  </r>
  <r>
    <x v="93"/>
  </r>
  <r>
    <x v="93"/>
  </r>
  <r>
    <x v="76"/>
  </r>
  <r>
    <x v="76"/>
  </r>
  <r>
    <x v="93"/>
  </r>
  <r>
    <x v="93"/>
  </r>
  <r>
    <x v="93"/>
  </r>
  <r>
    <x v="93"/>
  </r>
  <r>
    <x v="48"/>
  </r>
  <r>
    <x v="76"/>
  </r>
  <r>
    <x v="93"/>
  </r>
  <r>
    <x v="48"/>
  </r>
  <r>
    <x v="48"/>
  </r>
  <r>
    <x v="48"/>
  </r>
  <r>
    <x v="48"/>
  </r>
  <r>
    <x v="12"/>
  </r>
  <r>
    <x v="34"/>
  </r>
  <r>
    <x v="72"/>
  </r>
  <r>
    <x v="36"/>
  </r>
  <r>
    <x v="32"/>
  </r>
  <r>
    <x v="60"/>
  </r>
  <r>
    <x v="94"/>
  </r>
  <r>
    <x v="81"/>
  </r>
  <r>
    <x v="81"/>
  </r>
  <r>
    <x v="31"/>
  </r>
  <r>
    <x v="93"/>
  </r>
  <r>
    <x v="483"/>
  </r>
  <r>
    <x v="93"/>
  </r>
  <r>
    <x v="81"/>
  </r>
  <r>
    <x v="93"/>
  </r>
  <r>
    <x v="72"/>
  </r>
  <r>
    <x v="0"/>
  </r>
  <r>
    <x v="0"/>
  </r>
  <r>
    <x v="0"/>
  </r>
  <r>
    <x v="0"/>
  </r>
  <r>
    <x v="2"/>
  </r>
  <r>
    <x v="2"/>
  </r>
  <r>
    <x v="182"/>
  </r>
  <r>
    <x v="56"/>
  </r>
  <r>
    <x v="56"/>
  </r>
  <r>
    <x v="56"/>
  </r>
  <r>
    <x v="112"/>
  </r>
  <r>
    <x v="36"/>
  </r>
  <r>
    <x v="154"/>
  </r>
  <r>
    <x v="115"/>
  </r>
  <r>
    <x v="0"/>
  </r>
  <r>
    <x v="0"/>
  </r>
  <r>
    <x v="0"/>
  </r>
  <r>
    <x v="0"/>
  </r>
  <r>
    <x v="25"/>
  </r>
  <r>
    <x v="25"/>
  </r>
  <r>
    <x v="115"/>
  </r>
  <r>
    <x v="115"/>
  </r>
  <r>
    <x v="111"/>
  </r>
  <r>
    <x v="111"/>
  </r>
  <r>
    <x v="111"/>
  </r>
  <r>
    <x v="115"/>
  </r>
  <r>
    <x v="0"/>
  </r>
  <r>
    <x v="10"/>
  </r>
  <r>
    <x v="10"/>
  </r>
  <r>
    <x v="115"/>
  </r>
  <r>
    <x v="10"/>
  </r>
  <r>
    <x v="10"/>
  </r>
  <r>
    <x v="76"/>
  </r>
  <r>
    <x v="25"/>
  </r>
  <r>
    <x v="25"/>
  </r>
  <r>
    <x v="12"/>
  </r>
  <r>
    <x v="17"/>
  </r>
  <r>
    <x v="93"/>
  </r>
  <r>
    <x v="93"/>
  </r>
  <r>
    <x v="208"/>
  </r>
  <r>
    <x v="14"/>
  </r>
  <r>
    <x v="29"/>
  </r>
  <r>
    <x v="29"/>
  </r>
  <r>
    <x v="29"/>
  </r>
  <r>
    <x v="29"/>
  </r>
  <r>
    <x v="14"/>
  </r>
  <r>
    <x v="72"/>
  </r>
  <r>
    <x v="48"/>
  </r>
  <r>
    <x v="12"/>
  </r>
  <r>
    <x v="99"/>
  </r>
  <r>
    <x v="82"/>
  </r>
  <r>
    <x v="36"/>
  </r>
  <r>
    <x v="48"/>
  </r>
  <r>
    <x v="12"/>
  </r>
  <r>
    <x v="49"/>
  </r>
  <r>
    <x v="48"/>
  </r>
  <r>
    <x v="29"/>
  </r>
  <r>
    <x v="82"/>
  </r>
  <r>
    <x v="78"/>
  </r>
  <r>
    <x v="78"/>
  </r>
  <r>
    <x v="78"/>
  </r>
  <r>
    <x v="25"/>
  </r>
  <r>
    <x v="82"/>
  </r>
  <r>
    <x v="87"/>
  </r>
  <r>
    <x v="93"/>
  </r>
  <r>
    <x v="93"/>
  </r>
  <r>
    <x v="9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6"/>
  </r>
  <r>
    <x v="25"/>
  </r>
  <r>
    <x v="25"/>
  </r>
  <r>
    <x v="48"/>
  </r>
  <r>
    <x v="48"/>
  </r>
  <r>
    <x v="82"/>
  </r>
  <r>
    <x v="85"/>
  </r>
  <r>
    <x v="25"/>
  </r>
  <r>
    <x v="12"/>
  </r>
  <r>
    <x v="83"/>
  </r>
  <r>
    <x v="0"/>
  </r>
  <r>
    <x v="0"/>
  </r>
  <r>
    <x v="21"/>
  </r>
  <r>
    <x v="216"/>
  </r>
  <r>
    <x v="83"/>
  </r>
  <r>
    <x v="83"/>
  </r>
  <r>
    <x v="83"/>
  </r>
  <r>
    <x v="31"/>
  </r>
  <r>
    <x v="157"/>
  </r>
  <r>
    <x v="76"/>
  </r>
  <r>
    <x v="17"/>
  </r>
  <r>
    <x v="85"/>
  </r>
  <r>
    <x v="35"/>
  </r>
  <r>
    <x v="25"/>
  </r>
  <r>
    <x v="76"/>
  </r>
  <r>
    <x v="25"/>
  </r>
  <r>
    <x v="25"/>
  </r>
  <r>
    <x v="25"/>
  </r>
  <r>
    <x v="72"/>
  </r>
  <r>
    <x v="25"/>
  </r>
  <r>
    <x v="29"/>
  </r>
  <r>
    <x v="25"/>
  </r>
  <r>
    <x v="25"/>
  </r>
  <r>
    <x v="25"/>
  </r>
  <r>
    <x v="36"/>
  </r>
  <r>
    <x v="121"/>
  </r>
  <r>
    <x v="12"/>
  </r>
  <r>
    <x v="96"/>
  </r>
  <r>
    <x v="200"/>
  </r>
  <r>
    <x v="217"/>
  </r>
  <r>
    <x v="200"/>
  </r>
  <r>
    <x v="183"/>
  </r>
  <r>
    <x v="56"/>
  </r>
  <r>
    <x v="3"/>
  </r>
  <r>
    <x v="55"/>
  </r>
  <r>
    <x v="133"/>
  </r>
  <r>
    <x v="83"/>
  </r>
  <r>
    <x v="83"/>
  </r>
  <r>
    <x v="83"/>
  </r>
  <r>
    <x v="83"/>
  </r>
  <r>
    <x v="83"/>
  </r>
  <r>
    <x v="83"/>
  </r>
  <r>
    <x v="111"/>
  </r>
  <r>
    <x v="111"/>
  </r>
  <r>
    <x v="83"/>
  </r>
  <r>
    <x v="30"/>
  </r>
  <r>
    <x v="31"/>
  </r>
  <r>
    <x v="394"/>
  </r>
  <r>
    <x v="59"/>
  </r>
  <r>
    <x v="116"/>
  </r>
  <r>
    <x v="83"/>
  </r>
  <r>
    <x v="82"/>
  </r>
  <r>
    <x v="424"/>
  </r>
  <r>
    <x v="113"/>
  </r>
  <r>
    <x v="424"/>
  </r>
  <r>
    <x v="109"/>
  </r>
  <r>
    <x v="157"/>
  </r>
  <r>
    <x v="157"/>
  </r>
  <r>
    <x v="76"/>
  </r>
  <r>
    <x v="48"/>
  </r>
  <r>
    <x v="126"/>
  </r>
  <r>
    <x v="52"/>
  </r>
  <r>
    <x v="78"/>
  </r>
  <r>
    <x v="484"/>
  </r>
  <r>
    <x v="119"/>
  </r>
  <r>
    <x v="4"/>
  </r>
  <r>
    <x v="48"/>
  </r>
  <r>
    <x v="72"/>
  </r>
  <r>
    <x v="21"/>
  </r>
  <r>
    <x v="21"/>
  </r>
  <r>
    <x v="113"/>
  </r>
  <r>
    <x v="27"/>
  </r>
  <r>
    <x v="78"/>
  </r>
  <r>
    <x v="78"/>
  </r>
  <r>
    <x v="76"/>
  </r>
  <r>
    <x v="182"/>
  </r>
  <r>
    <x v="20"/>
  </r>
  <r>
    <x v="78"/>
  </r>
  <r>
    <x v="82"/>
  </r>
  <r>
    <x v="25"/>
  </r>
  <r>
    <x v="46"/>
  </r>
  <r>
    <x v="77"/>
  </r>
  <r>
    <x v="10"/>
  </r>
  <r>
    <x v="25"/>
  </r>
  <r>
    <x v="25"/>
  </r>
  <r>
    <x v="93"/>
  </r>
  <r>
    <x v="93"/>
  </r>
  <r>
    <x v="45"/>
  </r>
  <r>
    <x v="45"/>
  </r>
  <r>
    <x v="45"/>
  </r>
  <r>
    <x v="10"/>
  </r>
  <r>
    <x v="10"/>
  </r>
  <r>
    <x v="10"/>
  </r>
  <r>
    <x v="112"/>
  </r>
  <r>
    <x v="45"/>
  </r>
  <r>
    <x v="59"/>
  </r>
  <r>
    <x v="112"/>
  </r>
  <r>
    <x v="81"/>
  </r>
  <r>
    <x v="124"/>
  </r>
  <r>
    <x v="124"/>
  </r>
  <r>
    <x v="76"/>
  </r>
  <r>
    <x v="93"/>
  </r>
  <r>
    <x v="134"/>
  </r>
  <r>
    <x v="14"/>
  </r>
  <r>
    <x v="52"/>
  </r>
  <r>
    <x v="109"/>
  </r>
  <r>
    <x v="81"/>
  </r>
  <r>
    <x v="81"/>
  </r>
  <r>
    <x v="14"/>
  </r>
  <r>
    <x v="14"/>
  </r>
  <r>
    <x v="6"/>
  </r>
  <r>
    <x v="25"/>
  </r>
  <r>
    <x v="78"/>
  </r>
  <r>
    <x v="63"/>
  </r>
  <r>
    <x v="81"/>
  </r>
  <r>
    <x v="113"/>
  </r>
  <r>
    <x v="56"/>
  </r>
  <r>
    <x v="56"/>
  </r>
  <r>
    <x v="56"/>
  </r>
  <r>
    <x v="56"/>
  </r>
  <r>
    <x v="24"/>
  </r>
  <r>
    <x v="24"/>
  </r>
  <r>
    <x v="24"/>
  </r>
  <r>
    <x v="24"/>
  </r>
  <r>
    <x v="24"/>
  </r>
  <r>
    <x v="56"/>
  </r>
  <r>
    <x v="163"/>
  </r>
  <r>
    <x v="75"/>
  </r>
  <r>
    <x v="25"/>
  </r>
  <r>
    <x v="93"/>
  </r>
  <r>
    <x v="31"/>
  </r>
  <r>
    <x v="10"/>
  </r>
  <r>
    <x v="10"/>
  </r>
  <r>
    <x v="10"/>
  </r>
  <r>
    <x v="10"/>
  </r>
  <r>
    <x v="10"/>
  </r>
  <r>
    <x v="10"/>
  </r>
  <r>
    <x v="10"/>
  </r>
  <r>
    <x v="10"/>
  </r>
  <r>
    <x v="23"/>
  </r>
  <r>
    <x v="99"/>
  </r>
  <r>
    <x v="10"/>
  </r>
  <r>
    <x v="10"/>
  </r>
  <r>
    <x v="10"/>
  </r>
  <r>
    <x v="6"/>
  </r>
  <r>
    <x v="208"/>
  </r>
  <r>
    <x v="0"/>
  </r>
  <r>
    <x v="0"/>
  </r>
  <r>
    <x v="0"/>
  </r>
  <r>
    <x v="78"/>
  </r>
  <r>
    <x v="75"/>
  </r>
  <r>
    <x v="48"/>
  </r>
  <r>
    <x v="48"/>
  </r>
  <r>
    <x v="176"/>
  </r>
  <r>
    <x v="45"/>
  </r>
  <r>
    <x v="45"/>
  </r>
  <r>
    <x v="45"/>
  </r>
  <r>
    <x v="45"/>
  </r>
  <r>
    <x v="45"/>
  </r>
  <r>
    <x v="45"/>
  </r>
  <r>
    <x v="45"/>
  </r>
  <r>
    <x v="45"/>
  </r>
  <r>
    <x v="143"/>
  </r>
  <r>
    <x v="31"/>
  </r>
  <r>
    <x v="31"/>
  </r>
  <r>
    <x v="31"/>
  </r>
  <r>
    <x v="42"/>
  </r>
  <r>
    <x v="20"/>
  </r>
  <r>
    <x v="25"/>
  </r>
  <r>
    <x v="20"/>
  </r>
  <r>
    <x v="20"/>
  </r>
  <r>
    <x v="31"/>
  </r>
  <r>
    <x v="20"/>
  </r>
  <r>
    <x v="113"/>
  </r>
  <r>
    <x v="110"/>
  </r>
  <r>
    <x v="0"/>
  </r>
  <r>
    <x v="78"/>
  </r>
  <r>
    <x v="0"/>
  </r>
  <r>
    <x v="48"/>
  </r>
  <r>
    <x v="48"/>
  </r>
  <r>
    <x v="122"/>
  </r>
  <r>
    <x v="48"/>
  </r>
  <r>
    <x v="2"/>
  </r>
  <r>
    <x v="110"/>
  </r>
  <r>
    <x v="12"/>
  </r>
  <r>
    <x v="2"/>
  </r>
  <r>
    <x v="229"/>
  </r>
  <r>
    <x v="229"/>
  </r>
  <r>
    <x v="21"/>
  </r>
  <r>
    <x v="21"/>
  </r>
  <r>
    <x v="14"/>
  </r>
  <r>
    <x v="11"/>
  </r>
  <r>
    <x v="16"/>
  </r>
  <r>
    <x v="21"/>
  </r>
  <r>
    <x v="4"/>
  </r>
  <r>
    <x v="128"/>
  </r>
  <r>
    <x v="213"/>
  </r>
  <r>
    <x v="25"/>
  </r>
  <r>
    <x v="42"/>
  </r>
  <r>
    <x v="83"/>
  </r>
  <r>
    <x v="117"/>
  </r>
  <r>
    <x v="117"/>
  </r>
  <r>
    <x v="117"/>
  </r>
  <r>
    <x v="36"/>
  </r>
  <r>
    <x v="10"/>
  </r>
  <r>
    <x v="128"/>
  </r>
  <r>
    <x v="42"/>
  </r>
  <r>
    <x v="187"/>
  </r>
  <r>
    <x v="82"/>
  </r>
  <r>
    <x v="25"/>
  </r>
  <r>
    <x v="46"/>
  </r>
  <r>
    <x v="111"/>
  </r>
  <r>
    <x v="111"/>
  </r>
  <r>
    <x v="36"/>
  </r>
  <r>
    <x v="83"/>
  </r>
  <r>
    <x v="82"/>
  </r>
  <r>
    <x v="82"/>
  </r>
  <r>
    <x v="72"/>
  </r>
  <r>
    <x v="83"/>
  </r>
  <r>
    <x v="83"/>
  </r>
  <r>
    <x v="36"/>
  </r>
  <r>
    <x v="80"/>
  </r>
  <r>
    <x v="12"/>
  </r>
  <r>
    <x v="72"/>
  </r>
  <r>
    <x v="72"/>
  </r>
  <r>
    <x v="83"/>
  </r>
  <r>
    <x v="31"/>
  </r>
  <r>
    <x v="95"/>
  </r>
  <r>
    <x v="88"/>
  </r>
  <r>
    <x v="25"/>
  </r>
  <r>
    <x v="25"/>
  </r>
  <r>
    <x v="30"/>
  </r>
  <r>
    <x v="30"/>
  </r>
  <r>
    <x v="63"/>
  </r>
  <r>
    <x v="25"/>
  </r>
  <r>
    <x v="211"/>
  </r>
  <r>
    <x v="52"/>
  </r>
  <r>
    <x v="82"/>
  </r>
  <r>
    <x v="78"/>
  </r>
  <r>
    <x v="10"/>
  </r>
  <r>
    <x v="3"/>
  </r>
  <r>
    <x v="6"/>
  </r>
  <r>
    <x v="24"/>
  </r>
  <r>
    <x v="30"/>
  </r>
  <r>
    <x v="59"/>
  </r>
  <r>
    <x v="59"/>
  </r>
  <r>
    <x v="85"/>
  </r>
  <r>
    <x v="23"/>
  </r>
  <r>
    <x v="52"/>
  </r>
  <r>
    <x v="25"/>
  </r>
  <r>
    <x v="25"/>
  </r>
  <r>
    <x v="91"/>
  </r>
  <r>
    <x v="30"/>
  </r>
  <r>
    <x v="48"/>
  </r>
  <r>
    <x v="102"/>
  </r>
  <r>
    <x v="6"/>
  </r>
  <r>
    <x v="102"/>
  </r>
  <r>
    <x v="25"/>
  </r>
  <r>
    <x v="82"/>
  </r>
  <r>
    <x v="82"/>
  </r>
  <r>
    <x v="25"/>
  </r>
  <r>
    <x v="25"/>
  </r>
  <r>
    <x v="76"/>
  </r>
  <r>
    <x v="23"/>
  </r>
  <r>
    <x v="59"/>
  </r>
  <r>
    <x v="59"/>
  </r>
  <r>
    <x v="103"/>
  </r>
  <r>
    <x v="79"/>
  </r>
  <r>
    <x v="94"/>
  </r>
  <r>
    <x v="102"/>
  </r>
  <r>
    <x v="31"/>
  </r>
  <r>
    <x v="14"/>
  </r>
  <r>
    <x v="154"/>
  </r>
  <r>
    <x v="119"/>
  </r>
  <r>
    <x v="83"/>
  </r>
  <r>
    <x v="86"/>
  </r>
  <r>
    <x v="82"/>
  </r>
  <r>
    <x v="70"/>
  </r>
  <r>
    <x v="10"/>
  </r>
  <r>
    <x v="25"/>
  </r>
  <r>
    <x v="12"/>
  </r>
  <r>
    <x v="25"/>
  </r>
  <r>
    <x v="95"/>
  </r>
  <r>
    <x v="123"/>
  </r>
  <r>
    <x v="95"/>
  </r>
  <r>
    <x v="95"/>
  </r>
  <r>
    <x v="12"/>
  </r>
  <r>
    <x v="95"/>
  </r>
  <r>
    <x v="36"/>
  </r>
  <r>
    <x v="12"/>
  </r>
  <r>
    <x v="6"/>
  </r>
  <r>
    <x v="119"/>
  </r>
  <r>
    <x v="14"/>
  </r>
  <r>
    <x v="46"/>
  </r>
  <r>
    <x v="179"/>
  </r>
  <r>
    <x v="82"/>
  </r>
  <r>
    <x v="25"/>
  </r>
  <r>
    <x v="59"/>
  </r>
  <r>
    <x v="87"/>
  </r>
  <r>
    <x v="2"/>
  </r>
  <r>
    <x v="187"/>
  </r>
  <r>
    <x v="76"/>
  </r>
  <r>
    <x v="154"/>
  </r>
  <r>
    <x v="87"/>
  </r>
  <r>
    <x v="36"/>
  </r>
  <r>
    <x v="87"/>
  </r>
  <r>
    <x v="87"/>
  </r>
  <r>
    <x v="87"/>
  </r>
  <r>
    <x v="56"/>
  </r>
  <r>
    <x v="485"/>
  </r>
  <r>
    <x v="30"/>
  </r>
  <r>
    <x v="215"/>
  </r>
  <r>
    <x v="229"/>
  </r>
  <r>
    <x v="25"/>
  </r>
  <r>
    <x v="77"/>
  </r>
  <r>
    <x v="14"/>
  </r>
  <r>
    <x v="118"/>
  </r>
  <r>
    <x v="82"/>
  </r>
  <r>
    <x v="79"/>
  </r>
  <r>
    <x v="82"/>
  </r>
  <r>
    <x v="36"/>
  </r>
  <r>
    <x v="36"/>
  </r>
  <r>
    <x v="48"/>
  </r>
  <r>
    <x v="2"/>
  </r>
  <r>
    <x v="143"/>
  </r>
  <r>
    <x v="100"/>
  </r>
  <r>
    <x v="56"/>
  </r>
  <r>
    <x v="37"/>
  </r>
  <r>
    <x v="82"/>
  </r>
  <r>
    <x v="56"/>
  </r>
  <r>
    <x v="56"/>
  </r>
  <r>
    <x v="78"/>
  </r>
  <r>
    <x v="82"/>
  </r>
  <r>
    <x v="72"/>
  </r>
  <r>
    <x v="72"/>
  </r>
  <r>
    <x v="48"/>
  </r>
  <r>
    <x v="48"/>
  </r>
  <r>
    <x v="12"/>
  </r>
  <r>
    <x v="48"/>
  </r>
  <r>
    <x v="48"/>
  </r>
  <r>
    <x v="12"/>
  </r>
  <r>
    <x v="72"/>
  </r>
  <r>
    <x v="25"/>
  </r>
  <r>
    <x v="82"/>
  </r>
  <r>
    <x v="25"/>
  </r>
  <r>
    <x v="25"/>
  </r>
  <r>
    <x v="25"/>
  </r>
  <r>
    <x v="25"/>
  </r>
  <r>
    <x v="72"/>
  </r>
  <r>
    <x v="82"/>
  </r>
  <r>
    <x v="25"/>
  </r>
  <r>
    <x v="25"/>
  </r>
  <r>
    <x v="25"/>
  </r>
  <r>
    <x v="76"/>
  </r>
  <r>
    <x v="76"/>
  </r>
  <r>
    <x v="104"/>
  </r>
  <r>
    <x v="25"/>
  </r>
  <r>
    <x v="25"/>
  </r>
  <r>
    <x v="25"/>
  </r>
  <r>
    <x v="76"/>
  </r>
  <r>
    <x v="82"/>
  </r>
  <r>
    <x v="25"/>
  </r>
  <r>
    <x v="76"/>
  </r>
  <r>
    <x v="76"/>
  </r>
  <r>
    <x v="76"/>
  </r>
  <r>
    <x v="81"/>
  </r>
  <r>
    <x v="113"/>
  </r>
  <r>
    <x v="82"/>
  </r>
  <r>
    <x v="54"/>
  </r>
  <r>
    <x v="72"/>
  </r>
  <r>
    <x v="25"/>
  </r>
  <r>
    <x v="72"/>
  </r>
  <r>
    <x v="25"/>
  </r>
  <r>
    <x v="104"/>
  </r>
  <r>
    <x v="94"/>
  </r>
  <r>
    <x v="72"/>
  </r>
  <r>
    <x v="78"/>
  </r>
  <r>
    <x v="78"/>
  </r>
  <r>
    <x v="76"/>
  </r>
  <r>
    <x v="78"/>
  </r>
  <r>
    <x v="200"/>
  </r>
  <r>
    <x v="48"/>
  </r>
  <r>
    <x v="10"/>
  </r>
  <r>
    <x v="72"/>
  </r>
  <r>
    <x v="72"/>
  </r>
  <r>
    <x v="72"/>
  </r>
  <r>
    <x v="78"/>
  </r>
  <r>
    <x v="10"/>
  </r>
  <r>
    <x v="23"/>
  </r>
  <r>
    <x v="72"/>
  </r>
  <r>
    <x v="76"/>
  </r>
  <r>
    <x v="76"/>
  </r>
  <r>
    <x v="12"/>
  </r>
  <r>
    <x v="12"/>
  </r>
  <r>
    <x v="48"/>
  </r>
  <r>
    <x v="25"/>
  </r>
  <r>
    <x v="31"/>
  </r>
  <r>
    <x v="31"/>
  </r>
  <r>
    <x v="31"/>
  </r>
  <r>
    <x v="48"/>
  </r>
  <r>
    <x v="31"/>
  </r>
  <r>
    <x v="31"/>
  </r>
  <r>
    <x v="218"/>
  </r>
  <r>
    <x v="24"/>
  </r>
  <r>
    <x v="86"/>
  </r>
  <r>
    <x v="10"/>
  </r>
  <r>
    <x v="25"/>
  </r>
  <r>
    <x v="25"/>
  </r>
  <r>
    <x v="24"/>
  </r>
  <r>
    <x v="317"/>
  </r>
  <r>
    <x v="31"/>
  </r>
  <r>
    <x v="25"/>
  </r>
  <r>
    <x v="135"/>
  </r>
  <r>
    <x v="10"/>
  </r>
  <r>
    <x v="72"/>
  </r>
  <r>
    <x v="25"/>
  </r>
  <r>
    <x v="27"/>
  </r>
  <r>
    <x v="113"/>
  </r>
  <r>
    <x v="31"/>
  </r>
  <r>
    <x v="113"/>
  </r>
  <r>
    <x v="55"/>
  </r>
  <r>
    <x v="86"/>
  </r>
  <r>
    <x v="82"/>
  </r>
  <r>
    <x v="102"/>
  </r>
  <r>
    <x v="25"/>
  </r>
  <r>
    <x v="82"/>
  </r>
  <r>
    <x v="216"/>
  </r>
  <r>
    <x v="216"/>
  </r>
  <r>
    <x v="42"/>
  </r>
  <r>
    <x v="86"/>
  </r>
  <r>
    <x v="86"/>
  </r>
  <r>
    <x v="48"/>
  </r>
  <r>
    <x v="113"/>
  </r>
  <r>
    <x v="76"/>
  </r>
  <r>
    <x v="113"/>
  </r>
  <r>
    <x v="23"/>
  </r>
  <r>
    <x v="25"/>
  </r>
  <r>
    <x v="100"/>
  </r>
  <r>
    <x v="82"/>
  </r>
  <r>
    <x v="48"/>
  </r>
  <r>
    <x v="82"/>
  </r>
  <r>
    <x v="72"/>
  </r>
  <r>
    <x v="72"/>
  </r>
  <r>
    <x v="52"/>
  </r>
  <r>
    <x v="113"/>
  </r>
  <r>
    <x v="221"/>
  </r>
  <r>
    <x v="6"/>
  </r>
  <r>
    <x v="91"/>
  </r>
  <r>
    <x v="77"/>
  </r>
  <r>
    <x v="113"/>
  </r>
  <r>
    <x v="25"/>
  </r>
  <r>
    <x v="102"/>
  </r>
  <r>
    <x v="10"/>
  </r>
  <r>
    <x v="24"/>
  </r>
  <r>
    <x v="28"/>
  </r>
  <r>
    <x v="25"/>
  </r>
  <r>
    <x v="78"/>
  </r>
  <r>
    <x v="124"/>
  </r>
  <r>
    <x v="124"/>
  </r>
  <r>
    <x v="23"/>
  </r>
  <r>
    <x v="23"/>
  </r>
  <r>
    <x v="14"/>
  </r>
  <r>
    <x v="32"/>
  </r>
  <r>
    <x v="80"/>
  </r>
  <r>
    <x v="80"/>
  </r>
  <r>
    <x v="80"/>
  </r>
  <r>
    <x v="80"/>
  </r>
  <r>
    <x v="31"/>
  </r>
  <r>
    <x v="3"/>
  </r>
  <r>
    <x v="80"/>
  </r>
  <r>
    <x v="63"/>
  </r>
  <r>
    <x v="63"/>
  </r>
  <r>
    <x v="80"/>
  </r>
  <r>
    <x v="80"/>
  </r>
  <r>
    <x v="63"/>
  </r>
  <r>
    <x v="63"/>
  </r>
  <r>
    <x v="63"/>
  </r>
  <r>
    <x v="55"/>
  </r>
  <r>
    <x v="37"/>
  </r>
  <r>
    <x v="55"/>
  </r>
  <r>
    <x v="55"/>
  </r>
  <r>
    <x v="6"/>
  </r>
  <r>
    <x v="55"/>
  </r>
  <r>
    <x v="6"/>
  </r>
  <r>
    <x v="83"/>
  </r>
  <r>
    <x v="48"/>
  </r>
  <r>
    <x v="6"/>
  </r>
  <r>
    <x v="48"/>
  </r>
  <r>
    <x v="80"/>
  </r>
  <r>
    <x v="80"/>
  </r>
  <r>
    <x v="80"/>
  </r>
  <r>
    <x v="80"/>
  </r>
  <r>
    <x v="80"/>
  </r>
  <r>
    <x v="90"/>
  </r>
  <r>
    <x v="48"/>
  </r>
  <r>
    <x v="63"/>
  </r>
  <r>
    <x v="63"/>
  </r>
  <r>
    <x v="63"/>
  </r>
  <r>
    <x v="14"/>
  </r>
  <r>
    <x v="83"/>
  </r>
  <r>
    <x v="63"/>
  </r>
  <r>
    <x v="31"/>
  </r>
  <r>
    <x v="31"/>
  </r>
  <r>
    <x v="63"/>
  </r>
  <r>
    <x v="100"/>
  </r>
  <r>
    <x v="100"/>
  </r>
  <r>
    <x v="100"/>
  </r>
  <r>
    <x v="100"/>
  </r>
  <r>
    <x v="100"/>
  </r>
  <r>
    <x v="100"/>
  </r>
  <r>
    <x v="81"/>
  </r>
  <r>
    <x v="71"/>
  </r>
  <r>
    <x v="48"/>
  </r>
  <r>
    <x v="23"/>
  </r>
  <r>
    <x v="30"/>
  </r>
  <r>
    <x v="83"/>
  </r>
  <r>
    <x v="25"/>
  </r>
  <r>
    <x v="25"/>
  </r>
  <r>
    <x v="25"/>
  </r>
  <r>
    <x v="25"/>
  </r>
  <r>
    <x v="25"/>
  </r>
  <r>
    <x v="93"/>
  </r>
  <r>
    <x v="93"/>
  </r>
  <r>
    <x v="14"/>
  </r>
  <r>
    <x v="14"/>
  </r>
  <r>
    <x v="14"/>
  </r>
  <r>
    <x v="25"/>
  </r>
  <r>
    <x v="25"/>
  </r>
  <r>
    <x v="25"/>
  </r>
  <r>
    <x v="25"/>
  </r>
  <r>
    <x v="25"/>
  </r>
  <r>
    <x v="25"/>
  </r>
  <r>
    <x v="25"/>
  </r>
  <r>
    <x v="78"/>
  </r>
  <r>
    <x v="78"/>
  </r>
  <r>
    <x v="78"/>
  </r>
  <r>
    <x v="78"/>
  </r>
  <r>
    <x v="78"/>
  </r>
  <r>
    <x v="79"/>
  </r>
  <r>
    <x v="86"/>
  </r>
  <r>
    <x v="112"/>
  </r>
  <r>
    <x v="56"/>
  </r>
  <r>
    <x v="0"/>
  </r>
  <r>
    <x v="81"/>
  </r>
  <r>
    <x v="0"/>
  </r>
  <r>
    <x v="0"/>
  </r>
  <r>
    <x v="12"/>
  </r>
  <r>
    <x v="12"/>
  </r>
  <r>
    <x v="78"/>
  </r>
  <r>
    <x v="10"/>
  </r>
  <r>
    <x v="10"/>
  </r>
  <r>
    <x v="10"/>
  </r>
  <r>
    <x v="17"/>
  </r>
  <r>
    <x v="17"/>
  </r>
  <r>
    <x v="8"/>
  </r>
  <r>
    <x v="48"/>
  </r>
  <r>
    <x v="112"/>
  </r>
  <r>
    <x v="80"/>
  </r>
  <r>
    <x v="89"/>
  </r>
  <r>
    <x v="112"/>
  </r>
  <r>
    <x v="87"/>
  </r>
  <r>
    <x v="12"/>
  </r>
  <r>
    <x v="12"/>
  </r>
  <r>
    <x v="25"/>
  </r>
  <r>
    <x v="25"/>
  </r>
  <r>
    <x v="25"/>
  </r>
  <r>
    <x v="25"/>
  </r>
  <r>
    <x v="25"/>
  </r>
  <r>
    <x v="12"/>
  </r>
  <r>
    <x v="102"/>
  </r>
  <r>
    <x v="87"/>
  </r>
  <r>
    <x v="23"/>
  </r>
  <r>
    <x v="23"/>
  </r>
  <r>
    <x v="23"/>
  </r>
  <r>
    <x v="8"/>
  </r>
  <r>
    <x v="112"/>
  </r>
  <r>
    <x v="14"/>
  </r>
  <r>
    <x v="112"/>
  </r>
  <r>
    <x v="10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3"/>
  </r>
  <r>
    <x v="52"/>
  </r>
  <r>
    <x v="25"/>
  </r>
  <r>
    <x v="23"/>
  </r>
  <r>
    <x v="48"/>
  </r>
  <r>
    <x v="25"/>
  </r>
  <r>
    <x v="48"/>
  </r>
  <r>
    <x v="3"/>
  </r>
  <r>
    <x v="10"/>
  </r>
  <r>
    <x v="2"/>
  </r>
  <r>
    <x v="6"/>
  </r>
  <r>
    <x v="199"/>
  </r>
  <r>
    <x v="99"/>
  </r>
  <r>
    <x v="296"/>
  </r>
  <r>
    <x v="48"/>
  </r>
  <r>
    <x v="44"/>
  </r>
  <r>
    <x v="4"/>
  </r>
  <r>
    <x v="25"/>
  </r>
  <r>
    <x v="102"/>
  </r>
  <r>
    <x v="25"/>
  </r>
  <r>
    <x v="25"/>
  </r>
  <r>
    <x v="25"/>
  </r>
  <r>
    <x v="25"/>
  </r>
  <r>
    <x v="25"/>
  </r>
  <r>
    <x v="25"/>
  </r>
  <r>
    <x v="108"/>
  </r>
  <r>
    <x v="25"/>
  </r>
  <r>
    <x v="72"/>
  </r>
  <r>
    <x v="25"/>
  </r>
  <r>
    <x v="25"/>
  </r>
  <r>
    <x v="25"/>
  </r>
  <r>
    <x v="25"/>
  </r>
  <r>
    <x v="102"/>
  </r>
  <r>
    <x v="25"/>
  </r>
  <r>
    <x v="25"/>
  </r>
  <r>
    <x v="25"/>
  </r>
  <r>
    <x v="25"/>
  </r>
  <r>
    <x v="25"/>
  </r>
  <r>
    <x v="25"/>
  </r>
  <r>
    <x v="25"/>
  </r>
  <r>
    <x v="108"/>
  </r>
  <r>
    <x v="25"/>
  </r>
  <r>
    <x v="25"/>
  </r>
  <r>
    <x v="25"/>
  </r>
  <r>
    <x v="25"/>
  </r>
  <r>
    <x v="25"/>
  </r>
  <r>
    <x v="25"/>
  </r>
  <r>
    <x v="25"/>
  </r>
  <r>
    <x v="25"/>
  </r>
  <r>
    <x v="87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29"/>
  </r>
  <r>
    <x v="3"/>
  </r>
  <r>
    <x v="29"/>
  </r>
  <r>
    <x v="99"/>
  </r>
  <r>
    <x v="99"/>
  </r>
  <r>
    <x v="103"/>
  </r>
  <r>
    <x v="42"/>
  </r>
  <r>
    <x v="99"/>
  </r>
  <r>
    <x v="25"/>
  </r>
  <r>
    <x v="25"/>
  </r>
  <r>
    <x v="25"/>
  </r>
  <r>
    <x v="25"/>
  </r>
  <r>
    <x v="10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56"/>
  </r>
  <r>
    <x v="25"/>
  </r>
  <r>
    <x v="25"/>
  </r>
  <r>
    <x v="0"/>
  </r>
  <r>
    <x v="29"/>
  </r>
  <r>
    <x v="29"/>
  </r>
  <r>
    <x v="25"/>
  </r>
  <r>
    <x v="10"/>
  </r>
  <r>
    <x v="10"/>
  </r>
  <r>
    <x v="35"/>
  </r>
  <r>
    <x v="35"/>
  </r>
  <r>
    <x v="63"/>
  </r>
  <r>
    <x v="76"/>
  </r>
  <r>
    <x v="25"/>
  </r>
  <r>
    <x v="25"/>
  </r>
  <r>
    <x v="76"/>
  </r>
  <r>
    <x v="25"/>
  </r>
  <r>
    <x v="25"/>
  </r>
  <r>
    <x v="63"/>
  </r>
  <r>
    <x v="72"/>
  </r>
  <r>
    <x v="76"/>
  </r>
  <r>
    <x v="76"/>
  </r>
  <r>
    <x v="82"/>
  </r>
  <r>
    <x v="25"/>
  </r>
  <r>
    <x v="72"/>
  </r>
  <r>
    <x v="29"/>
  </r>
  <r>
    <x v="25"/>
  </r>
  <r>
    <x v="76"/>
  </r>
  <r>
    <x v="25"/>
  </r>
  <r>
    <x v="25"/>
  </r>
  <r>
    <x v="25"/>
  </r>
  <r>
    <x v="72"/>
  </r>
  <r>
    <x v="72"/>
  </r>
  <r>
    <x v="72"/>
  </r>
  <r>
    <x v="72"/>
  </r>
  <r>
    <x v="72"/>
  </r>
  <r>
    <x v="29"/>
  </r>
  <r>
    <x v="25"/>
  </r>
  <r>
    <x v="108"/>
  </r>
  <r>
    <x v="25"/>
  </r>
  <r>
    <x v="42"/>
  </r>
  <r>
    <x v="72"/>
  </r>
  <r>
    <x v="25"/>
  </r>
  <r>
    <x v="25"/>
  </r>
  <r>
    <x v="25"/>
  </r>
  <r>
    <x v="25"/>
  </r>
  <r>
    <x v="25"/>
  </r>
  <r>
    <x v="25"/>
  </r>
  <r>
    <x v="25"/>
  </r>
  <r>
    <x v="42"/>
  </r>
  <r>
    <x v="76"/>
  </r>
  <r>
    <x v="25"/>
  </r>
  <r>
    <x v="25"/>
  </r>
  <r>
    <x v="25"/>
  </r>
  <r>
    <x v="25"/>
  </r>
  <r>
    <x v="76"/>
  </r>
  <r>
    <x v="25"/>
  </r>
  <r>
    <x v="25"/>
  </r>
  <r>
    <x v="25"/>
  </r>
  <r>
    <x v="25"/>
  </r>
  <r>
    <x v="85"/>
  </r>
  <r>
    <x v="82"/>
  </r>
  <r>
    <x v="21"/>
  </r>
  <r>
    <x v="31"/>
  </r>
  <r>
    <x v="48"/>
  </r>
  <r>
    <x v="10"/>
  </r>
  <r>
    <x v="22"/>
  </r>
  <r>
    <x v="25"/>
  </r>
  <r>
    <x v="14"/>
  </r>
  <r>
    <x v="25"/>
  </r>
  <r>
    <x v="72"/>
  </r>
  <r>
    <x v="25"/>
  </r>
  <r>
    <x v="25"/>
  </r>
  <r>
    <x v="72"/>
  </r>
  <r>
    <x v="199"/>
  </r>
  <r>
    <x v="25"/>
  </r>
  <r>
    <x v="72"/>
  </r>
  <r>
    <x v="32"/>
  </r>
  <r>
    <x v="31"/>
  </r>
  <r>
    <x v="107"/>
  </r>
  <r>
    <x v="107"/>
  </r>
  <r>
    <x v="8"/>
  </r>
  <r>
    <x v="109"/>
  </r>
  <r>
    <x v="109"/>
  </r>
  <r>
    <x v="31"/>
  </r>
  <r>
    <x v="245"/>
  </r>
  <r>
    <x v="30"/>
  </r>
  <r>
    <x v="30"/>
  </r>
  <r>
    <x v="30"/>
  </r>
  <r>
    <x v="72"/>
  </r>
  <r>
    <x v="3"/>
  </r>
  <r>
    <x v="25"/>
  </r>
  <r>
    <x v="25"/>
  </r>
  <r>
    <x v="25"/>
  </r>
  <r>
    <x v="25"/>
  </r>
  <r>
    <x v="25"/>
  </r>
  <r>
    <x v="82"/>
  </r>
  <r>
    <x v="76"/>
  </r>
  <r>
    <x v="76"/>
  </r>
  <r>
    <x v="25"/>
  </r>
  <r>
    <x v="10"/>
  </r>
  <r>
    <x v="112"/>
  </r>
  <r>
    <x v="37"/>
  </r>
  <r>
    <x v="37"/>
  </r>
  <r>
    <x v="31"/>
  </r>
  <r>
    <x v="72"/>
  </r>
  <r>
    <x v="31"/>
  </r>
  <r>
    <x v="71"/>
  </r>
  <r>
    <x v="76"/>
  </r>
  <r>
    <x v="76"/>
  </r>
  <r>
    <x v="72"/>
  </r>
  <r>
    <x v="30"/>
  </r>
  <r>
    <x v="72"/>
  </r>
  <r>
    <x v="72"/>
  </r>
  <r>
    <x v="82"/>
  </r>
  <r>
    <x v="4"/>
  </r>
  <r>
    <x v="37"/>
  </r>
  <r>
    <x v="42"/>
  </r>
  <r>
    <x v="48"/>
  </r>
  <r>
    <x v="12"/>
  </r>
  <r>
    <x v="30"/>
  </r>
  <r>
    <x v="111"/>
  </r>
  <r>
    <x v="83"/>
  </r>
  <r>
    <x v="81"/>
  </r>
  <r>
    <x v="81"/>
  </r>
  <r>
    <x v="111"/>
  </r>
  <r>
    <x v="4"/>
  </r>
  <r>
    <x v="4"/>
  </r>
  <r>
    <x v="14"/>
  </r>
  <r>
    <x v="59"/>
  </r>
  <r>
    <x v="59"/>
  </r>
  <r>
    <x v="80"/>
  </r>
  <r>
    <x v="0"/>
  </r>
  <r>
    <x v="0"/>
  </r>
  <r>
    <x v="59"/>
  </r>
  <r>
    <x v="59"/>
  </r>
  <r>
    <x v="59"/>
  </r>
  <r>
    <x v="59"/>
  </r>
  <r>
    <x v="48"/>
  </r>
  <r>
    <x v="72"/>
  </r>
  <r>
    <x v="0"/>
  </r>
  <r>
    <x v="63"/>
  </r>
  <r>
    <x v="63"/>
  </r>
  <r>
    <x v="103"/>
  </r>
  <r>
    <x v="63"/>
  </r>
  <r>
    <x v="63"/>
  </r>
  <r>
    <x v="80"/>
  </r>
  <r>
    <x v="10"/>
  </r>
  <r>
    <x v="0"/>
  </r>
  <r>
    <x v="0"/>
  </r>
  <r>
    <x v="86"/>
  </r>
  <r>
    <x v="0"/>
  </r>
  <r>
    <x v="82"/>
  </r>
  <r>
    <x v="82"/>
  </r>
  <r>
    <x v="81"/>
  </r>
  <r>
    <x v="80"/>
  </r>
  <r>
    <x v="34"/>
  </r>
  <r>
    <x v="34"/>
  </r>
  <r>
    <x v="25"/>
  </r>
  <r>
    <x v="113"/>
  </r>
  <r>
    <x v="76"/>
  </r>
  <r>
    <x v="81"/>
  </r>
  <r>
    <x v="81"/>
  </r>
  <r>
    <x v="114"/>
  </r>
  <r>
    <x v="114"/>
  </r>
  <r>
    <x v="25"/>
  </r>
  <r>
    <x v="76"/>
  </r>
  <r>
    <x v="25"/>
  </r>
  <r>
    <x v="42"/>
  </r>
  <r>
    <x v="0"/>
  </r>
  <r>
    <x v="10"/>
  </r>
  <r>
    <x v="42"/>
  </r>
  <r>
    <x v="42"/>
  </r>
  <r>
    <x v="42"/>
  </r>
  <r>
    <x v="42"/>
  </r>
  <r>
    <x v="22"/>
  </r>
  <r>
    <x v="48"/>
  </r>
  <r>
    <x v="68"/>
  </r>
  <r>
    <x v="42"/>
  </r>
  <r>
    <x v="80"/>
  </r>
  <r>
    <x v="80"/>
  </r>
  <r>
    <x v="25"/>
  </r>
  <r>
    <x v="3"/>
  </r>
  <r>
    <x v="76"/>
  </r>
  <r>
    <x v="132"/>
  </r>
  <r>
    <x v="42"/>
  </r>
  <r>
    <x v="42"/>
  </r>
  <r>
    <x v="71"/>
  </r>
  <r>
    <x v="173"/>
  </r>
  <r>
    <x v="42"/>
  </r>
  <r>
    <x v="198"/>
  </r>
  <r>
    <x v="115"/>
  </r>
  <r>
    <x v="71"/>
  </r>
  <r>
    <x v="28"/>
  </r>
  <r>
    <x v="28"/>
  </r>
  <r>
    <x v="10"/>
  </r>
  <r>
    <x v="10"/>
  </r>
  <r>
    <x v="75"/>
  </r>
  <r>
    <x v="4"/>
  </r>
  <r>
    <x v="22"/>
  </r>
  <r>
    <x v="22"/>
  </r>
  <r>
    <x v="25"/>
  </r>
  <r>
    <x v="82"/>
  </r>
  <r>
    <x v="25"/>
  </r>
  <r>
    <x v="4"/>
  </r>
  <r>
    <x v="15"/>
  </r>
  <r>
    <x v="42"/>
  </r>
  <r>
    <x v="115"/>
  </r>
  <r>
    <x v="86"/>
  </r>
  <r>
    <x v="0"/>
  </r>
  <r>
    <x v="0"/>
  </r>
  <r>
    <x v="0"/>
  </r>
  <r>
    <x v="0"/>
  </r>
  <r>
    <x v="17"/>
  </r>
  <r>
    <x v="71"/>
  </r>
  <r>
    <x v="115"/>
  </r>
  <r>
    <x v="17"/>
  </r>
  <r>
    <x v="0"/>
  </r>
  <r>
    <x v="6"/>
  </r>
  <r>
    <x v="71"/>
  </r>
  <r>
    <x v="28"/>
  </r>
  <r>
    <x v="28"/>
  </r>
  <r>
    <x v="28"/>
  </r>
  <r>
    <x v="112"/>
  </r>
  <r>
    <x v="28"/>
  </r>
  <r>
    <x v="28"/>
  </r>
  <r>
    <x v="89"/>
  </r>
  <r>
    <x v="89"/>
  </r>
  <r>
    <x v="87"/>
  </r>
  <r>
    <x v="87"/>
  </r>
  <r>
    <x v="116"/>
  </r>
  <r>
    <x v="116"/>
  </r>
  <r>
    <x v="48"/>
  </r>
  <r>
    <x v="142"/>
  </r>
  <r>
    <x v="48"/>
  </r>
  <r>
    <x v="108"/>
  </r>
  <r>
    <x v="48"/>
  </r>
  <r>
    <x v="48"/>
  </r>
  <r>
    <x v="142"/>
  </r>
  <r>
    <x v="79"/>
  </r>
  <r>
    <x v="79"/>
  </r>
  <r>
    <x v="71"/>
  </r>
  <r>
    <x v="45"/>
  </r>
  <r>
    <x v="37"/>
  </r>
  <r>
    <x v="55"/>
  </r>
  <r>
    <x v="55"/>
  </r>
  <r>
    <x v="55"/>
  </r>
  <r>
    <x v="25"/>
  </r>
  <r>
    <x v="25"/>
  </r>
  <r>
    <x v="52"/>
  </r>
  <r>
    <x v="10"/>
  </r>
  <r>
    <x v="71"/>
  </r>
  <r>
    <x v="30"/>
  </r>
  <r>
    <x v="25"/>
  </r>
  <r>
    <x v="45"/>
  </r>
  <r>
    <x v="86"/>
  </r>
  <r>
    <x v="0"/>
  </r>
  <r>
    <x v="144"/>
  </r>
  <r>
    <x v="78"/>
  </r>
  <r>
    <x v="80"/>
  </r>
  <r>
    <x v="0"/>
  </r>
  <r>
    <x v="0"/>
  </r>
  <r>
    <x v="0"/>
  </r>
  <r>
    <x v="86"/>
  </r>
  <r>
    <x v="99"/>
  </r>
  <r>
    <x v="112"/>
  </r>
  <r>
    <x v="111"/>
  </r>
  <r>
    <x v="112"/>
  </r>
  <r>
    <x v="14"/>
  </r>
  <r>
    <x v="78"/>
  </r>
  <r>
    <x v="21"/>
  </r>
  <r>
    <x v="77"/>
  </r>
  <r>
    <x v="115"/>
  </r>
  <r>
    <x v="25"/>
  </r>
  <r>
    <x v="25"/>
  </r>
  <r>
    <x v="83"/>
  </r>
  <r>
    <x v="25"/>
  </r>
  <r>
    <x v="2"/>
  </r>
  <r>
    <x v="0"/>
  </r>
  <r>
    <x v="78"/>
  </r>
  <r>
    <x v="14"/>
  </r>
  <r>
    <x v="14"/>
  </r>
  <r>
    <x v="14"/>
  </r>
  <r>
    <x v="85"/>
  </r>
  <r>
    <x v="25"/>
  </r>
  <r>
    <x v="85"/>
  </r>
  <r>
    <x v="85"/>
  </r>
  <r>
    <x v="0"/>
  </r>
  <r>
    <x v="0"/>
  </r>
  <r>
    <x v="86"/>
  </r>
  <r>
    <x v="25"/>
  </r>
  <r>
    <x v="75"/>
  </r>
  <r>
    <x v="10"/>
  </r>
  <r>
    <x v="10"/>
  </r>
  <r>
    <x v="0"/>
  </r>
  <r>
    <x v="0"/>
  </r>
  <r>
    <x v="0"/>
  </r>
  <r>
    <x v="17"/>
  </r>
  <r>
    <x v="17"/>
  </r>
  <r>
    <x v="86"/>
  </r>
  <r>
    <x v="86"/>
  </r>
  <r>
    <x v="20"/>
  </r>
  <r>
    <x v="48"/>
  </r>
  <r>
    <x v="12"/>
  </r>
  <r>
    <x v="12"/>
  </r>
  <r>
    <x v="12"/>
  </r>
  <r>
    <x v="82"/>
  </r>
  <r>
    <x v="12"/>
  </r>
  <r>
    <x v="78"/>
  </r>
  <r>
    <x v="12"/>
  </r>
  <r>
    <x v="48"/>
  </r>
  <r>
    <x v="48"/>
  </r>
  <r>
    <x v="48"/>
  </r>
  <r>
    <x v="24"/>
  </r>
  <r>
    <x v="56"/>
  </r>
  <r>
    <x v="56"/>
  </r>
  <r>
    <x v="76"/>
  </r>
  <r>
    <x v="56"/>
  </r>
  <r>
    <x v="76"/>
  </r>
  <r>
    <x v="52"/>
  </r>
  <r>
    <x v="52"/>
  </r>
  <r>
    <x v="93"/>
  </r>
  <r>
    <x v="93"/>
  </r>
  <r>
    <x v="93"/>
  </r>
  <r>
    <x v="25"/>
  </r>
  <r>
    <x v="85"/>
  </r>
  <r>
    <x v="26"/>
  </r>
  <r>
    <x v="20"/>
  </r>
  <r>
    <x v="82"/>
  </r>
  <r>
    <x v="20"/>
  </r>
  <r>
    <x v="34"/>
  </r>
  <r>
    <x v="76"/>
  </r>
  <r>
    <x v="71"/>
  </r>
  <r>
    <x v="93"/>
  </r>
  <r>
    <x v="93"/>
  </r>
  <r>
    <x v="93"/>
  </r>
  <r>
    <x v="76"/>
  </r>
  <r>
    <x v="76"/>
  </r>
  <r>
    <x v="130"/>
  </r>
  <r>
    <x v="130"/>
  </r>
  <r>
    <x v="12"/>
  </r>
  <r>
    <x v="95"/>
  </r>
  <r>
    <x v="13"/>
  </r>
  <r>
    <x v="13"/>
  </r>
  <r>
    <x v="28"/>
  </r>
  <r>
    <x v="123"/>
  </r>
  <r>
    <x v="78"/>
  </r>
  <r>
    <x v="25"/>
  </r>
  <r>
    <x v="85"/>
  </r>
  <r>
    <x v="94"/>
  </r>
  <r>
    <x v="25"/>
  </r>
  <r>
    <x v="25"/>
  </r>
  <r>
    <x v="25"/>
  </r>
  <r>
    <x v="113"/>
  </r>
  <r>
    <x v="85"/>
  </r>
  <r>
    <x v="25"/>
  </r>
  <r>
    <x v="78"/>
  </r>
  <r>
    <x v="78"/>
  </r>
  <r>
    <x v="82"/>
  </r>
  <r>
    <x v="78"/>
  </r>
  <r>
    <x v="78"/>
  </r>
  <r>
    <x v="78"/>
  </r>
  <r>
    <x v="78"/>
  </r>
  <r>
    <x v="25"/>
  </r>
  <r>
    <x v="25"/>
  </r>
  <r>
    <x v="25"/>
  </r>
  <r>
    <x v="93"/>
  </r>
  <r>
    <x v="85"/>
  </r>
  <r>
    <x v="56"/>
  </r>
  <r>
    <x v="85"/>
  </r>
  <r>
    <x v="85"/>
  </r>
  <r>
    <x v="85"/>
  </r>
  <r>
    <x v="121"/>
  </r>
  <r>
    <x v="82"/>
  </r>
  <r>
    <x v="121"/>
  </r>
  <r>
    <x v="93"/>
  </r>
  <r>
    <x v="121"/>
  </r>
  <r>
    <x v="15"/>
  </r>
  <r>
    <x v="106"/>
  </r>
  <r>
    <x v="15"/>
  </r>
  <r>
    <x v="76"/>
  </r>
  <r>
    <x v="10"/>
  </r>
  <r>
    <x v="93"/>
  </r>
  <r>
    <x v="76"/>
  </r>
  <r>
    <x v="76"/>
  </r>
  <r>
    <x v="10"/>
  </r>
  <r>
    <x v="56"/>
  </r>
  <r>
    <x v="25"/>
  </r>
  <r>
    <x v="56"/>
  </r>
  <r>
    <x v="56"/>
  </r>
  <r>
    <x v="10"/>
  </r>
  <r>
    <x v="56"/>
  </r>
  <r>
    <x v="56"/>
  </r>
  <r>
    <x v="25"/>
  </r>
  <r>
    <x v="56"/>
  </r>
  <r>
    <x v="85"/>
  </r>
  <r>
    <x v="56"/>
  </r>
  <r>
    <x v="106"/>
  </r>
  <r>
    <x v="111"/>
  </r>
  <r>
    <x v="56"/>
  </r>
  <r>
    <x v="200"/>
  </r>
  <r>
    <x v="34"/>
  </r>
  <r>
    <x v="56"/>
  </r>
  <r>
    <x v="117"/>
  </r>
  <r>
    <x v="76"/>
  </r>
  <r>
    <x v="1"/>
  </r>
  <r>
    <x v="76"/>
  </r>
  <r>
    <x v="76"/>
  </r>
  <r>
    <x v="15"/>
  </r>
  <r>
    <x v="486"/>
  </r>
  <r>
    <x v="78"/>
  </r>
  <r>
    <x v="78"/>
  </r>
  <r>
    <x v="78"/>
  </r>
  <r>
    <x v="78"/>
  </r>
  <r>
    <x v="78"/>
  </r>
  <r>
    <x v="56"/>
  </r>
  <r>
    <x v="76"/>
  </r>
  <r>
    <x v="30"/>
  </r>
  <r>
    <x v="25"/>
  </r>
  <r>
    <x v="94"/>
  </r>
  <r>
    <x v="86"/>
  </r>
  <r>
    <x v="86"/>
  </r>
  <r>
    <x v="48"/>
  </r>
  <r>
    <x v="25"/>
  </r>
  <r>
    <x v="31"/>
  </r>
  <r>
    <x v="12"/>
  </r>
  <r>
    <x v="55"/>
  </r>
  <r>
    <x v="76"/>
  </r>
  <r>
    <x v="92"/>
  </r>
  <r>
    <x v="76"/>
  </r>
  <r>
    <x v="81"/>
  </r>
  <r>
    <x v="48"/>
  </r>
  <r>
    <x v="113"/>
  </r>
  <r>
    <x v="31"/>
  </r>
  <r>
    <x v="2"/>
  </r>
  <r>
    <x v="42"/>
  </r>
  <r>
    <x v="17"/>
  </r>
  <r>
    <x v="17"/>
  </r>
  <r>
    <x v="85"/>
  </r>
  <r>
    <x v="25"/>
  </r>
  <r>
    <x v="30"/>
  </r>
  <r>
    <x v="56"/>
  </r>
  <r>
    <x v="30"/>
  </r>
  <r>
    <x v="56"/>
  </r>
  <r>
    <x v="122"/>
  </r>
  <r>
    <x v="25"/>
  </r>
  <r>
    <x v="103"/>
  </r>
  <r>
    <x v="14"/>
  </r>
  <r>
    <x v="62"/>
  </r>
  <r>
    <x v="92"/>
  </r>
  <r>
    <x v="17"/>
  </r>
  <r>
    <x v="81"/>
  </r>
  <r>
    <x v="6"/>
  </r>
  <r>
    <x v="155"/>
  </r>
  <r>
    <x v="76"/>
  </r>
  <r>
    <x v="76"/>
  </r>
  <r>
    <x v="111"/>
  </r>
  <r>
    <x v="25"/>
  </r>
  <r>
    <x v="56"/>
  </r>
  <r>
    <x v="93"/>
  </r>
  <r>
    <x v="25"/>
  </r>
  <r>
    <x v="331"/>
  </r>
  <r>
    <x v="76"/>
  </r>
  <r>
    <x v="12"/>
  </r>
  <r>
    <x v="48"/>
  </r>
  <r>
    <x v="93"/>
  </r>
  <r>
    <x v="22"/>
  </r>
  <r>
    <x v="82"/>
  </r>
  <r>
    <x v="92"/>
  </r>
  <r>
    <x v="56"/>
  </r>
  <r>
    <x v="0"/>
  </r>
  <r>
    <x v="56"/>
  </r>
  <r>
    <x v="124"/>
  </r>
  <r>
    <x v="48"/>
  </r>
  <r>
    <x v="81"/>
  </r>
  <r>
    <x v="92"/>
  </r>
  <r>
    <x v="86"/>
  </r>
  <r>
    <x v="93"/>
  </r>
  <r>
    <x v="123"/>
  </r>
  <r>
    <x v="123"/>
  </r>
  <r>
    <x v="123"/>
  </r>
  <r>
    <x v="93"/>
  </r>
  <r>
    <x v="56"/>
  </r>
  <r>
    <x v="93"/>
  </r>
  <r>
    <x v="93"/>
  </r>
  <r>
    <x v="93"/>
  </r>
  <r>
    <x v="0"/>
  </r>
  <r>
    <x v="0"/>
  </r>
  <r>
    <x v="78"/>
  </r>
  <r>
    <x v="93"/>
  </r>
  <r>
    <x v="93"/>
  </r>
  <r>
    <x v="93"/>
  </r>
  <r>
    <x v="93"/>
  </r>
  <r>
    <x v="93"/>
  </r>
  <r>
    <x v="78"/>
  </r>
  <r>
    <x v="78"/>
  </r>
  <r>
    <x v="78"/>
  </r>
  <r>
    <x v="93"/>
  </r>
  <r>
    <x v="93"/>
  </r>
  <r>
    <x v="78"/>
  </r>
  <r>
    <x v="48"/>
  </r>
  <r>
    <x v="25"/>
  </r>
  <r>
    <x v="0"/>
  </r>
  <r>
    <x v="0"/>
  </r>
  <r>
    <x v="112"/>
  </r>
  <r>
    <x v="0"/>
  </r>
  <r>
    <x v="0"/>
  </r>
  <r>
    <x v="56"/>
  </r>
  <r>
    <x v="0"/>
  </r>
  <r>
    <x v="0"/>
  </r>
  <r>
    <x v="0"/>
  </r>
  <r>
    <x v="76"/>
  </r>
  <r>
    <x v="56"/>
  </r>
  <r>
    <x v="198"/>
  </r>
  <r>
    <x v="56"/>
  </r>
  <r>
    <x v="56"/>
  </r>
  <r>
    <x v="56"/>
  </r>
  <r>
    <x v="331"/>
  </r>
  <r>
    <x v="56"/>
  </r>
  <r>
    <x v="56"/>
  </r>
  <r>
    <x v="93"/>
  </r>
  <r>
    <x v="82"/>
  </r>
  <r>
    <x v="93"/>
  </r>
  <r>
    <x v="78"/>
  </r>
  <r>
    <x v="14"/>
  </r>
  <r>
    <x v="112"/>
  </r>
  <r>
    <x v="0"/>
  </r>
  <r>
    <x v="82"/>
  </r>
  <r>
    <x v="12"/>
  </r>
  <r>
    <x v="12"/>
  </r>
  <r>
    <x v="12"/>
  </r>
  <r>
    <x v="14"/>
  </r>
  <r>
    <x v="2"/>
  </r>
  <r>
    <x v="78"/>
  </r>
  <r>
    <x v="78"/>
  </r>
  <r>
    <x v="78"/>
  </r>
  <r>
    <x v="93"/>
  </r>
  <r>
    <x v="78"/>
  </r>
  <r>
    <x v="82"/>
  </r>
  <r>
    <x v="93"/>
  </r>
  <r>
    <x v="93"/>
  </r>
  <r>
    <x v="93"/>
  </r>
  <r>
    <x v="93"/>
  </r>
  <r>
    <x v="93"/>
  </r>
  <r>
    <x v="93"/>
  </r>
  <r>
    <x v="93"/>
  </r>
  <r>
    <x v="78"/>
  </r>
  <r>
    <x v="93"/>
  </r>
  <r>
    <x v="78"/>
  </r>
  <r>
    <x v="93"/>
  </r>
  <r>
    <x v="113"/>
  </r>
  <r>
    <x v="113"/>
  </r>
  <r>
    <x v="113"/>
  </r>
  <r>
    <x v="113"/>
  </r>
  <r>
    <x v="113"/>
  </r>
  <r>
    <x v="113"/>
  </r>
  <r>
    <x v="113"/>
  </r>
  <r>
    <x v="48"/>
  </r>
  <r>
    <x v="47"/>
  </r>
  <r>
    <x v="48"/>
  </r>
  <r>
    <x v="48"/>
  </r>
  <r>
    <x v="78"/>
  </r>
  <r>
    <x v="93"/>
  </r>
  <r>
    <x v="93"/>
  </r>
  <r>
    <x v="93"/>
  </r>
  <r>
    <x v="48"/>
  </r>
  <r>
    <x v="34"/>
  </r>
  <r>
    <x v="93"/>
  </r>
  <r>
    <x v="93"/>
  </r>
  <r>
    <x v="14"/>
  </r>
  <r>
    <x v="14"/>
  </r>
  <r>
    <x v="14"/>
  </r>
  <r>
    <x v="75"/>
  </r>
  <r>
    <x v="75"/>
  </r>
  <r>
    <x v="14"/>
  </r>
  <r>
    <x v="14"/>
  </r>
  <r>
    <x v="133"/>
  </r>
  <r>
    <x v="34"/>
  </r>
  <r>
    <x v="47"/>
  </r>
  <r>
    <x v="34"/>
  </r>
  <r>
    <x v="0"/>
  </r>
  <r>
    <x v="112"/>
  </r>
  <r>
    <x v="112"/>
  </r>
  <r>
    <x v="14"/>
  </r>
  <r>
    <x v="0"/>
  </r>
  <r>
    <x v="78"/>
  </r>
  <r>
    <x v="78"/>
  </r>
  <r>
    <x v="125"/>
  </r>
  <r>
    <x v="2"/>
  </r>
  <r>
    <x v="0"/>
  </r>
  <r>
    <x v="2"/>
  </r>
  <r>
    <x v="0"/>
  </r>
  <r>
    <x v="0"/>
  </r>
  <r>
    <x v="10"/>
  </r>
  <r>
    <x v="0"/>
  </r>
  <r>
    <x v="0"/>
  </r>
  <r>
    <x v="116"/>
  </r>
  <r>
    <x v="3"/>
  </r>
  <r>
    <x v="77"/>
  </r>
  <r>
    <x v="0"/>
  </r>
  <r>
    <x v="56"/>
  </r>
  <r>
    <x v="56"/>
  </r>
  <r>
    <x v="14"/>
  </r>
  <r>
    <x v="25"/>
  </r>
  <r>
    <x v="78"/>
  </r>
  <r>
    <x v="56"/>
  </r>
  <r>
    <x v="56"/>
  </r>
  <r>
    <x v="219"/>
  </r>
  <r>
    <x v="59"/>
  </r>
  <r>
    <x v="0"/>
  </r>
  <r>
    <x v="0"/>
  </r>
  <r>
    <x v="85"/>
  </r>
  <r>
    <x v="0"/>
  </r>
  <r>
    <x v="10"/>
  </r>
  <r>
    <x v="75"/>
  </r>
  <r>
    <x v="75"/>
  </r>
  <r>
    <x v="0"/>
  </r>
  <r>
    <x v="12"/>
  </r>
  <r>
    <x v="99"/>
  </r>
  <r>
    <x v="25"/>
  </r>
  <r>
    <x v="45"/>
  </r>
  <r>
    <x v="12"/>
  </r>
  <r>
    <x v="82"/>
  </r>
  <r>
    <x v="30"/>
  </r>
  <r>
    <x v="30"/>
  </r>
  <r>
    <x v="14"/>
  </r>
  <r>
    <x v="99"/>
  </r>
  <r>
    <x v="78"/>
  </r>
  <r>
    <x v="78"/>
  </r>
  <r>
    <x v="2"/>
  </r>
  <r>
    <x v="93"/>
  </r>
  <r>
    <x v="78"/>
  </r>
  <r>
    <x v="93"/>
  </r>
  <r>
    <x v="93"/>
  </r>
  <r>
    <x v="93"/>
  </r>
  <r>
    <x v="78"/>
  </r>
  <r>
    <x v="78"/>
  </r>
  <r>
    <x v="25"/>
  </r>
  <r>
    <x v="99"/>
  </r>
  <r>
    <x v="34"/>
  </r>
  <r>
    <x v="34"/>
  </r>
  <r>
    <x v="34"/>
  </r>
  <r>
    <x v="99"/>
  </r>
  <r>
    <x v="93"/>
  </r>
  <r>
    <x v="93"/>
  </r>
  <r>
    <x v="78"/>
  </r>
  <r>
    <x v="93"/>
  </r>
  <r>
    <x v="93"/>
  </r>
  <r>
    <x v="93"/>
  </r>
  <r>
    <x v="93"/>
  </r>
  <r>
    <x v="57"/>
  </r>
  <r>
    <x v="99"/>
  </r>
  <r>
    <x v="99"/>
  </r>
  <r>
    <x v="117"/>
  </r>
  <r>
    <x v="99"/>
  </r>
  <r>
    <x v="99"/>
  </r>
  <r>
    <x v="63"/>
  </r>
  <r>
    <x v="93"/>
  </r>
  <r>
    <x v="78"/>
  </r>
  <r>
    <x v="93"/>
  </r>
  <r>
    <x v="78"/>
  </r>
  <r>
    <x v="78"/>
  </r>
  <r>
    <x v="78"/>
  </r>
  <r>
    <x v="78"/>
  </r>
  <r>
    <x v="78"/>
  </r>
  <r>
    <x v="93"/>
  </r>
  <r>
    <x v="93"/>
  </r>
  <r>
    <x v="93"/>
  </r>
  <r>
    <x v="93"/>
  </r>
  <r>
    <x v="93"/>
  </r>
  <r>
    <x v="78"/>
  </r>
  <r>
    <x v="93"/>
  </r>
  <r>
    <x v="117"/>
  </r>
  <r>
    <x v="93"/>
  </r>
  <r>
    <x v="93"/>
  </r>
  <r>
    <x v="93"/>
  </r>
  <r>
    <x v="34"/>
  </r>
  <r>
    <x v="20"/>
  </r>
  <r>
    <x v="0"/>
  </r>
  <r>
    <x v="0"/>
  </r>
  <r>
    <x v="0"/>
  </r>
  <r>
    <x v="25"/>
  </r>
  <r>
    <x v="71"/>
  </r>
  <r>
    <x v="14"/>
  </r>
  <r>
    <x v="29"/>
  </r>
  <r>
    <x v="29"/>
  </r>
  <r>
    <x v="48"/>
  </r>
  <r>
    <x v="2"/>
  </r>
  <r>
    <x v="25"/>
  </r>
  <r>
    <x v="93"/>
  </r>
  <r>
    <x v="25"/>
  </r>
  <r>
    <x v="85"/>
  </r>
  <r>
    <x v="0"/>
  </r>
  <r>
    <x v="0"/>
  </r>
  <r>
    <x v="0"/>
  </r>
  <r>
    <x v="0"/>
  </r>
  <r>
    <x v="99"/>
  </r>
  <r>
    <x v="184"/>
  </r>
  <r>
    <x v="14"/>
  </r>
  <r>
    <x v="0"/>
  </r>
  <r>
    <x v="76"/>
  </r>
  <r>
    <x v="56"/>
  </r>
  <r>
    <x v="56"/>
  </r>
  <r>
    <x v="56"/>
  </r>
  <r>
    <x v="56"/>
  </r>
  <r>
    <x v="56"/>
  </r>
  <r>
    <x v="0"/>
  </r>
  <r>
    <x v="34"/>
  </r>
  <r>
    <x v="25"/>
  </r>
  <r>
    <x v="100"/>
  </r>
  <r>
    <x v="126"/>
  </r>
  <r>
    <x v="100"/>
  </r>
  <r>
    <x v="111"/>
  </r>
  <r>
    <x v="149"/>
  </r>
  <r>
    <x v="149"/>
  </r>
  <r>
    <x v="111"/>
  </r>
  <r>
    <x v="188"/>
  </r>
  <r>
    <x v="111"/>
  </r>
  <r>
    <x v="85"/>
  </r>
  <r>
    <x v="20"/>
  </r>
  <r>
    <x v="20"/>
  </r>
  <r>
    <x v="20"/>
  </r>
  <r>
    <x v="20"/>
  </r>
  <r>
    <x v="99"/>
  </r>
  <r>
    <x v="0"/>
  </r>
  <r>
    <x v="0"/>
  </r>
  <r>
    <x v="12"/>
  </r>
  <r>
    <x v="12"/>
  </r>
  <r>
    <x v="79"/>
  </r>
  <r>
    <x v="79"/>
  </r>
  <r>
    <x v="25"/>
  </r>
  <r>
    <x v="25"/>
  </r>
  <r>
    <x v="25"/>
  </r>
  <r>
    <x v="127"/>
  </r>
  <r>
    <x v="128"/>
  </r>
  <r>
    <x v="128"/>
  </r>
  <r>
    <x v="30"/>
  </r>
  <r>
    <x v="81"/>
  </r>
  <r>
    <x v="81"/>
  </r>
  <r>
    <x v="0"/>
  </r>
  <r>
    <x v="0"/>
  </r>
  <r>
    <x v="0"/>
  </r>
  <r>
    <x v="14"/>
  </r>
  <r>
    <x v="0"/>
  </r>
  <r>
    <x v="78"/>
  </r>
  <r>
    <x v="76"/>
  </r>
  <r>
    <x v="0"/>
  </r>
  <r>
    <x v="0"/>
  </r>
  <r>
    <x v="0"/>
  </r>
  <r>
    <x v="0"/>
  </r>
  <r>
    <x v="2"/>
  </r>
  <r>
    <x v="72"/>
  </r>
  <r>
    <x v="0"/>
  </r>
  <r>
    <x v="0"/>
  </r>
  <r>
    <x v="0"/>
  </r>
  <r>
    <x v="0"/>
  </r>
  <r>
    <x v="29"/>
  </r>
  <r>
    <x v="31"/>
  </r>
  <r>
    <x v="72"/>
  </r>
  <r>
    <x v="25"/>
  </r>
  <r>
    <x v="25"/>
  </r>
  <r>
    <x v="111"/>
  </r>
  <r>
    <x v="111"/>
  </r>
  <r>
    <x v="12"/>
  </r>
  <r>
    <x v="111"/>
  </r>
  <r>
    <x v="23"/>
  </r>
  <r>
    <x v="111"/>
  </r>
  <r>
    <x v="25"/>
  </r>
  <r>
    <x v="25"/>
  </r>
  <r>
    <x v="25"/>
  </r>
  <r>
    <x v="96"/>
  </r>
  <r>
    <x v="25"/>
  </r>
  <r>
    <x v="111"/>
  </r>
  <r>
    <x v="25"/>
  </r>
  <r>
    <x v="25"/>
  </r>
  <r>
    <x v="16"/>
  </r>
  <r>
    <x v="88"/>
  </r>
  <r>
    <x v="25"/>
  </r>
  <r>
    <x v="25"/>
  </r>
  <r>
    <x v="25"/>
  </r>
  <r>
    <x v="78"/>
  </r>
  <r>
    <x v="78"/>
  </r>
  <r>
    <x v="25"/>
  </r>
  <r>
    <x v="23"/>
  </r>
  <r>
    <x v="0"/>
  </r>
  <r>
    <x v="0"/>
  </r>
  <r>
    <x v="96"/>
  </r>
  <r>
    <x v="96"/>
  </r>
  <r>
    <x v="25"/>
  </r>
  <r>
    <x v="80"/>
  </r>
  <r>
    <x v="81"/>
  </r>
  <r>
    <x v="76"/>
  </r>
  <r>
    <x v="3"/>
  </r>
  <r>
    <x v="71"/>
  </r>
  <r>
    <x v="10"/>
  </r>
  <r>
    <x v="10"/>
  </r>
  <r>
    <x v="10"/>
  </r>
  <r>
    <x v="56"/>
  </r>
  <r>
    <x v="56"/>
  </r>
  <r>
    <x v="56"/>
  </r>
  <r>
    <x v="12"/>
  </r>
  <r>
    <x v="174"/>
  </r>
  <r>
    <x v="99"/>
  </r>
  <r>
    <x v="25"/>
  </r>
  <r>
    <x v="48"/>
  </r>
  <r>
    <x v="14"/>
  </r>
  <r>
    <x v="14"/>
  </r>
  <r>
    <x v="81"/>
  </r>
  <r>
    <x v="14"/>
  </r>
  <r>
    <x v="0"/>
  </r>
  <r>
    <x v="25"/>
  </r>
  <r>
    <x v="113"/>
  </r>
  <r>
    <x v="113"/>
  </r>
  <r>
    <x v="75"/>
  </r>
  <r>
    <x v="75"/>
  </r>
  <r>
    <x v="134"/>
  </r>
  <r>
    <x v="13"/>
  </r>
  <r>
    <x v="134"/>
  </r>
  <r>
    <x v="134"/>
  </r>
  <r>
    <x v="10"/>
  </r>
  <r>
    <x v="10"/>
  </r>
  <r>
    <x v="10"/>
  </r>
  <r>
    <x v="0"/>
  </r>
  <r>
    <x v="0"/>
  </r>
  <r>
    <x v="2"/>
  </r>
  <r>
    <x v="99"/>
  </r>
  <r>
    <x v="45"/>
  </r>
  <r>
    <x v="25"/>
  </r>
  <r>
    <x v="45"/>
  </r>
  <r>
    <x v="25"/>
  </r>
  <r>
    <x v="25"/>
  </r>
  <r>
    <x v="25"/>
  </r>
  <r>
    <x v="79"/>
  </r>
  <r>
    <x v="81"/>
  </r>
  <r>
    <x v="81"/>
  </r>
  <r>
    <x v="81"/>
  </r>
  <r>
    <x v="76"/>
  </r>
  <r>
    <x v="81"/>
  </r>
  <r>
    <x v="113"/>
  </r>
  <r>
    <x v="2"/>
  </r>
  <r>
    <x v="37"/>
  </r>
  <r>
    <x v="0"/>
  </r>
  <r>
    <x v="3"/>
  </r>
  <r>
    <x v="11"/>
  </r>
  <r>
    <x v="17"/>
  </r>
  <r>
    <x v="17"/>
  </r>
  <r>
    <x v="22"/>
  </r>
  <r>
    <x v="42"/>
  </r>
  <r>
    <x v="28"/>
  </r>
  <r>
    <x v="0"/>
  </r>
  <r>
    <x v="12"/>
  </r>
  <r>
    <x v="0"/>
  </r>
  <r>
    <x v="4"/>
  </r>
  <r>
    <x v="4"/>
  </r>
  <r>
    <x v="159"/>
  </r>
  <r>
    <x v="0"/>
  </r>
  <r>
    <x v="2"/>
  </r>
  <r>
    <x v="4"/>
  </r>
  <r>
    <x v="11"/>
  </r>
  <r>
    <x v="4"/>
  </r>
  <r>
    <x v="0"/>
  </r>
  <r>
    <x v="20"/>
  </r>
  <r>
    <x v="24"/>
  </r>
  <r>
    <x v="7"/>
  </r>
  <r>
    <x v="0"/>
  </r>
  <r>
    <x v="7"/>
  </r>
  <r>
    <x v="0"/>
  </r>
  <r>
    <x v="2"/>
  </r>
  <r>
    <x v="2"/>
  </r>
  <r>
    <x v="9"/>
  </r>
  <r>
    <x v="6"/>
  </r>
  <r>
    <x v="6"/>
  </r>
  <r>
    <x v="37"/>
  </r>
  <r>
    <x v="0"/>
  </r>
  <r>
    <x v="0"/>
  </r>
  <r>
    <x v="14"/>
  </r>
  <r>
    <x v="2"/>
  </r>
  <r>
    <x v="4"/>
  </r>
  <r>
    <x v="4"/>
  </r>
  <r>
    <x v="28"/>
  </r>
  <r>
    <x v="9"/>
  </r>
  <r>
    <x v="9"/>
  </r>
  <r>
    <x v="42"/>
  </r>
  <r>
    <x v="2"/>
  </r>
  <r>
    <x v="33"/>
  </r>
  <r>
    <x v="33"/>
  </r>
  <r>
    <x v="17"/>
  </r>
  <r>
    <x v="28"/>
  </r>
  <r>
    <x v="42"/>
  </r>
  <r>
    <x v="4"/>
  </r>
  <r>
    <x v="22"/>
  </r>
  <r>
    <x v="21"/>
  </r>
  <r>
    <x v="10"/>
  </r>
  <r>
    <x v="14"/>
  </r>
  <r>
    <x v="0"/>
  </r>
  <r>
    <x v="12"/>
  </r>
  <r>
    <x v="48"/>
  </r>
  <r>
    <x v="35"/>
  </r>
  <r>
    <x v="35"/>
  </r>
  <r>
    <x v="12"/>
  </r>
  <r>
    <x v="12"/>
  </r>
  <r>
    <x v="26"/>
  </r>
  <r>
    <x v="0"/>
  </r>
  <r>
    <x v="4"/>
  </r>
  <r>
    <x v="17"/>
  </r>
  <r>
    <x v="4"/>
  </r>
  <r>
    <x v="6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2"/>
  </r>
  <r>
    <x v="2"/>
  </r>
  <r>
    <x v="2"/>
  </r>
  <r>
    <x v="2"/>
  </r>
  <r>
    <x v="2"/>
  </r>
  <r>
    <x v="2"/>
  </r>
  <r>
    <x v="57"/>
  </r>
  <r>
    <x v="21"/>
  </r>
  <r>
    <x v="15"/>
  </r>
  <r>
    <x v="2"/>
  </r>
  <r>
    <x v="0"/>
  </r>
  <r>
    <x v="43"/>
  </r>
  <r>
    <x v="50"/>
  </r>
  <r>
    <x v="53"/>
  </r>
  <r>
    <x v="26"/>
  </r>
  <r>
    <x v="4"/>
  </r>
  <r>
    <x v="17"/>
  </r>
  <r>
    <x v="19"/>
  </r>
  <r>
    <x v="4"/>
  </r>
  <r>
    <x v="39"/>
  </r>
  <r>
    <x v="39"/>
  </r>
  <r>
    <x v="39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0"/>
  </r>
  <r>
    <x v="2"/>
  </r>
  <r>
    <x v="46"/>
  </r>
  <r>
    <x v="4"/>
  </r>
  <r>
    <x v="22"/>
  </r>
  <r>
    <x v="34"/>
  </r>
  <r>
    <x v="12"/>
  </r>
  <r>
    <x v="70"/>
  </r>
  <r>
    <x v="42"/>
  </r>
  <r>
    <x v="42"/>
  </r>
  <r>
    <x v="31"/>
  </r>
  <r>
    <x v="31"/>
  </r>
  <r>
    <x v="9"/>
  </r>
  <r>
    <x v="4"/>
  </r>
  <r>
    <x v="12"/>
  </r>
  <r>
    <x v="41"/>
  </r>
  <r>
    <x v="30"/>
  </r>
  <r>
    <x v="30"/>
  </r>
  <r>
    <x v="30"/>
  </r>
  <r>
    <x v="30"/>
  </r>
  <r>
    <x v="18"/>
  </r>
  <r>
    <x v="9"/>
  </r>
  <r>
    <x v="45"/>
  </r>
  <r>
    <x v="1"/>
  </r>
  <r>
    <x v="41"/>
  </r>
  <r>
    <x v="41"/>
  </r>
  <r>
    <x v="40"/>
  </r>
  <r>
    <x v="4"/>
  </r>
  <r>
    <x v="0"/>
  </r>
  <r>
    <x v="0"/>
  </r>
  <r>
    <x v="12"/>
  </r>
  <r>
    <x v="24"/>
  </r>
  <r>
    <x v="9"/>
  </r>
  <r>
    <x v="43"/>
  </r>
  <r>
    <x v="8"/>
  </r>
  <r>
    <x v="4"/>
  </r>
  <r>
    <x v="4"/>
  </r>
  <r>
    <x v="26"/>
  </r>
  <r>
    <x v="0"/>
  </r>
  <r>
    <x v="0"/>
  </r>
  <r>
    <x v="33"/>
  </r>
  <r>
    <x v="0"/>
  </r>
  <r>
    <x v="46"/>
  </r>
  <r>
    <x v="4"/>
  </r>
  <r>
    <x v="10"/>
  </r>
  <r>
    <x v="14"/>
  </r>
  <r>
    <x v="44"/>
  </r>
  <r>
    <x v="39"/>
  </r>
  <r>
    <x v="21"/>
  </r>
  <r>
    <x v="2"/>
  </r>
  <r>
    <x v="0"/>
  </r>
  <r>
    <x v="24"/>
  </r>
  <r>
    <x v="53"/>
  </r>
  <r>
    <x v="16"/>
  </r>
  <r>
    <x v="4"/>
  </r>
  <r>
    <x v="42"/>
  </r>
  <r>
    <x v="42"/>
  </r>
  <r>
    <x v="14"/>
  </r>
  <r>
    <x v="1"/>
  </r>
  <r>
    <x v="42"/>
  </r>
  <r>
    <x v="4"/>
  </r>
  <r>
    <x v="0"/>
  </r>
  <r>
    <x v="10"/>
  </r>
  <r>
    <x v="42"/>
  </r>
  <r>
    <x v="10"/>
  </r>
  <r>
    <x v="2"/>
  </r>
  <r>
    <x v="2"/>
  </r>
  <r>
    <x v="0"/>
  </r>
  <r>
    <x v="2"/>
  </r>
  <r>
    <x v="10"/>
  </r>
  <r>
    <x v="42"/>
  </r>
  <r>
    <x v="0"/>
  </r>
  <r>
    <x v="2"/>
  </r>
  <r>
    <x v="12"/>
  </r>
  <r>
    <x v="12"/>
  </r>
  <r>
    <x v="10"/>
  </r>
  <r>
    <x v="15"/>
  </r>
  <r>
    <x v="12"/>
  </r>
  <r>
    <x v="9"/>
  </r>
  <r>
    <x v="9"/>
  </r>
  <r>
    <x v="2"/>
  </r>
  <r>
    <x v="2"/>
  </r>
  <r>
    <x v="2"/>
  </r>
  <r>
    <x v="30"/>
  </r>
  <r>
    <x v="22"/>
  </r>
  <r>
    <x v="201"/>
  </r>
  <r>
    <x v="14"/>
  </r>
  <r>
    <x v="14"/>
  </r>
  <r>
    <x v="14"/>
  </r>
  <r>
    <x v="14"/>
  </r>
  <r>
    <x v="9"/>
  </r>
  <r>
    <x v="2"/>
  </r>
  <r>
    <x v="14"/>
  </r>
  <r>
    <x v="37"/>
  </r>
  <r>
    <x v="33"/>
  </r>
  <r>
    <x v="16"/>
  </r>
  <r>
    <x v="53"/>
  </r>
  <r>
    <x v="70"/>
  </r>
  <r>
    <x v="12"/>
  </r>
  <r>
    <x v="4"/>
  </r>
  <r>
    <x v="2"/>
  </r>
  <r>
    <x v="24"/>
  </r>
  <r>
    <x v="14"/>
  </r>
  <r>
    <x v="28"/>
  </r>
  <r>
    <x v="28"/>
  </r>
  <r>
    <x v="34"/>
  </r>
  <r>
    <x v="4"/>
  </r>
  <r>
    <x v="12"/>
  </r>
  <r>
    <x v="12"/>
  </r>
  <r>
    <x v="16"/>
  </r>
  <r>
    <x v="0"/>
  </r>
  <r>
    <x v="12"/>
  </r>
  <r>
    <x v="12"/>
  </r>
  <r>
    <x v="16"/>
  </r>
  <r>
    <x v="31"/>
  </r>
  <r>
    <x v="8"/>
  </r>
  <r>
    <x v="43"/>
  </r>
  <r>
    <x v="87"/>
  </r>
  <r>
    <x v="15"/>
  </r>
  <r>
    <x v="0"/>
  </r>
  <r>
    <x v="37"/>
  </r>
  <r>
    <x v="16"/>
  </r>
  <r>
    <x v="45"/>
  </r>
  <r>
    <x v="45"/>
  </r>
  <r>
    <x v="12"/>
  </r>
  <r>
    <x v="0"/>
  </r>
  <r>
    <x v="0"/>
  </r>
  <r>
    <x v="7"/>
  </r>
  <r>
    <x v="42"/>
  </r>
  <r>
    <x v="6"/>
  </r>
  <r>
    <x v="4"/>
  </r>
  <r>
    <x v="12"/>
  </r>
  <r>
    <x v="14"/>
  </r>
  <r>
    <x v="14"/>
  </r>
  <r>
    <x v="2"/>
  </r>
  <r>
    <x v="14"/>
  </r>
  <r>
    <x v="12"/>
  </r>
  <r>
    <x v="1"/>
  </r>
  <r>
    <x v="1"/>
  </r>
  <r>
    <x v="55"/>
  </r>
  <r>
    <x v="0"/>
  </r>
  <r>
    <x v="47"/>
  </r>
  <r>
    <x v="47"/>
  </r>
  <r>
    <x v="2"/>
  </r>
  <r>
    <x v="28"/>
  </r>
  <r>
    <x v="14"/>
  </r>
  <r>
    <x v="42"/>
  </r>
  <r>
    <x v="0"/>
  </r>
  <r>
    <x v="7"/>
  </r>
  <r>
    <x v="42"/>
  </r>
  <r>
    <x v="47"/>
  </r>
  <r>
    <x v="12"/>
  </r>
  <r>
    <x v="39"/>
  </r>
  <r>
    <x v="42"/>
  </r>
  <r>
    <x v="39"/>
  </r>
  <r>
    <x v="39"/>
  </r>
  <r>
    <x v="39"/>
  </r>
  <r>
    <x v="0"/>
  </r>
  <r>
    <x v="27"/>
  </r>
  <r>
    <x v="16"/>
  </r>
  <r>
    <x v="10"/>
  </r>
  <r>
    <x v="4"/>
  </r>
  <r>
    <x v="2"/>
  </r>
  <r>
    <x v="10"/>
  </r>
  <r>
    <x v="9"/>
  </r>
  <r>
    <x v="4"/>
  </r>
  <r>
    <x v="4"/>
  </r>
  <r>
    <x v="2"/>
  </r>
  <r>
    <x v="2"/>
  </r>
  <r>
    <x v="14"/>
  </r>
  <r>
    <x v="33"/>
  </r>
  <r>
    <x v="31"/>
  </r>
  <r>
    <x v="2"/>
  </r>
  <r>
    <x v="12"/>
  </r>
  <r>
    <x v="14"/>
  </r>
  <r>
    <x v="0"/>
  </r>
  <r>
    <x v="31"/>
  </r>
  <r>
    <x v="14"/>
  </r>
  <r>
    <x v="2"/>
  </r>
  <r>
    <x v="2"/>
  </r>
  <r>
    <x v="15"/>
  </r>
  <r>
    <x v="9"/>
  </r>
  <r>
    <x v="14"/>
  </r>
  <r>
    <x v="14"/>
  </r>
  <r>
    <x v="9"/>
  </r>
  <r>
    <x v="14"/>
  </r>
  <r>
    <x v="26"/>
  </r>
  <r>
    <x v="2"/>
  </r>
  <r>
    <x v="2"/>
  </r>
  <r>
    <x v="14"/>
  </r>
  <r>
    <x v="14"/>
  </r>
  <r>
    <x v="14"/>
  </r>
  <r>
    <x v="2"/>
  </r>
  <r>
    <x v="4"/>
  </r>
  <r>
    <x v="4"/>
  </r>
  <r>
    <x v="4"/>
  </r>
  <r>
    <x v="15"/>
  </r>
  <r>
    <x v="104"/>
  </r>
  <r>
    <x v="12"/>
  </r>
  <r>
    <x v="17"/>
  </r>
  <r>
    <x v="12"/>
  </r>
  <r>
    <x v="2"/>
  </r>
  <r>
    <x v="9"/>
  </r>
  <r>
    <x v="30"/>
  </r>
  <r>
    <x v="39"/>
  </r>
  <r>
    <x v="17"/>
  </r>
  <r>
    <x v="17"/>
  </r>
  <r>
    <x v="12"/>
  </r>
  <r>
    <x v="0"/>
  </r>
  <r>
    <x v="4"/>
  </r>
  <r>
    <x v="0"/>
  </r>
  <r>
    <x v="87"/>
  </r>
  <r>
    <x v="2"/>
  </r>
  <r>
    <x v="0"/>
  </r>
  <r>
    <x v="2"/>
  </r>
  <r>
    <x v="14"/>
  </r>
  <r>
    <x v="4"/>
  </r>
  <r>
    <x v="10"/>
  </r>
  <r>
    <x v="8"/>
  </r>
  <r>
    <x v="10"/>
  </r>
  <r>
    <x v="53"/>
  </r>
  <r>
    <x v="87"/>
  </r>
  <r>
    <x v="52"/>
  </r>
  <r>
    <x v="0"/>
  </r>
  <r>
    <x v="2"/>
  </r>
  <r>
    <x v="14"/>
  </r>
  <r>
    <x v="22"/>
  </r>
  <r>
    <x v="8"/>
  </r>
  <r>
    <x v="22"/>
  </r>
  <r>
    <x v="12"/>
  </r>
  <r>
    <x v="12"/>
  </r>
  <r>
    <x v="22"/>
  </r>
  <r>
    <x v="22"/>
  </r>
  <r>
    <x v="24"/>
  </r>
  <r>
    <x v="2"/>
  </r>
  <r>
    <x v="22"/>
  </r>
  <r>
    <x v="0"/>
  </r>
  <r>
    <x v="26"/>
  </r>
  <r>
    <x v="7"/>
  </r>
  <r>
    <x v="10"/>
  </r>
  <r>
    <x v="12"/>
  </r>
  <r>
    <x v="49"/>
  </r>
  <r>
    <x v="22"/>
  </r>
  <r>
    <x v="14"/>
  </r>
  <r>
    <x v="22"/>
  </r>
  <r>
    <x v="24"/>
  </r>
  <r>
    <x v="21"/>
  </r>
  <r>
    <x v="14"/>
  </r>
  <r>
    <x v="4"/>
  </r>
  <r>
    <x v="17"/>
  </r>
  <r>
    <x v="28"/>
  </r>
  <r>
    <x v="0"/>
  </r>
  <r>
    <x v="4"/>
  </r>
  <r>
    <x v="2"/>
  </r>
  <r>
    <x v="24"/>
  </r>
  <r>
    <x v="183"/>
  </r>
  <r>
    <x v="4"/>
  </r>
  <r>
    <x v="77"/>
  </r>
  <r>
    <x v="2"/>
  </r>
  <r>
    <x v="0"/>
  </r>
  <r>
    <x v="22"/>
  </r>
  <r>
    <x v="22"/>
  </r>
  <r>
    <x v="55"/>
  </r>
  <r>
    <x v="55"/>
  </r>
  <r>
    <x v="42"/>
  </r>
  <r>
    <x v="42"/>
  </r>
  <r>
    <x v="42"/>
  </r>
  <r>
    <x v="42"/>
  </r>
  <r>
    <x v="42"/>
  </r>
  <r>
    <x v="56"/>
  </r>
  <r>
    <x v="17"/>
  </r>
  <r>
    <x v="21"/>
  </r>
  <r>
    <x v="55"/>
  </r>
  <r>
    <x v="31"/>
  </r>
  <r>
    <x v="44"/>
  </r>
  <r>
    <x v="12"/>
  </r>
  <r>
    <x v="12"/>
  </r>
  <r>
    <x v="12"/>
  </r>
  <r>
    <x v="26"/>
  </r>
  <r>
    <x v="12"/>
  </r>
  <r>
    <x v="12"/>
  </r>
  <r>
    <x v="56"/>
  </r>
  <r>
    <x v="64"/>
  </r>
  <r>
    <x v="171"/>
  </r>
  <r>
    <x v="12"/>
  </r>
  <r>
    <x v="0"/>
  </r>
  <r>
    <x v="0"/>
  </r>
  <r>
    <x v="12"/>
  </r>
  <r>
    <x v="0"/>
  </r>
  <r>
    <x v="26"/>
  </r>
  <r>
    <x v="17"/>
  </r>
  <r>
    <x v="17"/>
  </r>
  <r>
    <x v="14"/>
  </r>
  <r>
    <x v="10"/>
  </r>
  <r>
    <x v="22"/>
  </r>
  <r>
    <x v="10"/>
  </r>
  <r>
    <x v="4"/>
  </r>
  <r>
    <x v="26"/>
  </r>
  <r>
    <x v="2"/>
  </r>
  <r>
    <x v="10"/>
  </r>
  <r>
    <x v="42"/>
  </r>
  <r>
    <x v="14"/>
  </r>
  <r>
    <x v="0"/>
  </r>
  <r>
    <x v="0"/>
  </r>
  <r>
    <x v="26"/>
  </r>
  <r>
    <x v="16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"/>
  </r>
  <r>
    <x v="16"/>
  </r>
  <r>
    <x v="28"/>
  </r>
  <r>
    <x v="9"/>
  </r>
  <r>
    <x v="28"/>
  </r>
  <r>
    <x v="10"/>
  </r>
  <r>
    <x v="0"/>
  </r>
  <r>
    <x v="9"/>
  </r>
  <r>
    <x v="34"/>
  </r>
  <r>
    <x v="4"/>
  </r>
  <r>
    <x v="2"/>
  </r>
  <r>
    <x v="45"/>
  </r>
  <r>
    <x v="24"/>
  </r>
  <r>
    <x v="56"/>
  </r>
  <r>
    <x v="28"/>
  </r>
  <r>
    <x v="28"/>
  </r>
  <r>
    <x v="28"/>
  </r>
  <r>
    <x v="48"/>
  </r>
  <r>
    <x v="48"/>
  </r>
  <r>
    <x v="2"/>
  </r>
  <r>
    <x v="3"/>
  </r>
  <r>
    <x v="10"/>
  </r>
  <r>
    <x v="21"/>
  </r>
  <r>
    <x v="108"/>
  </r>
  <r>
    <x v="12"/>
  </r>
  <r>
    <x v="14"/>
  </r>
  <r>
    <x v="37"/>
  </r>
  <r>
    <x v="45"/>
  </r>
  <r>
    <x v="30"/>
  </r>
  <r>
    <x v="90"/>
  </r>
  <r>
    <x v="39"/>
  </r>
  <r>
    <x v="15"/>
  </r>
  <r>
    <x v="10"/>
  </r>
  <r>
    <x v="10"/>
  </r>
  <r>
    <x v="10"/>
  </r>
  <r>
    <x v="10"/>
  </r>
  <r>
    <x v="64"/>
  </r>
  <r>
    <x v="72"/>
  </r>
  <r>
    <x v="2"/>
  </r>
  <r>
    <x v="7"/>
  </r>
  <r>
    <x v="12"/>
  </r>
  <r>
    <x v="9"/>
  </r>
  <r>
    <x v="0"/>
  </r>
  <r>
    <x v="4"/>
  </r>
  <r>
    <x v="4"/>
  </r>
  <r>
    <x v="12"/>
  </r>
  <r>
    <x v="282"/>
  </r>
  <r>
    <x v="4"/>
  </r>
  <r>
    <x v="0"/>
  </r>
  <r>
    <x v="24"/>
  </r>
  <r>
    <x v="48"/>
  </r>
  <r>
    <x v="4"/>
  </r>
  <r>
    <x v="2"/>
  </r>
  <r>
    <x v="4"/>
  </r>
  <r>
    <x v="34"/>
  </r>
  <r>
    <x v="0"/>
  </r>
  <r>
    <x v="8"/>
  </r>
  <r>
    <x v="31"/>
  </r>
  <r>
    <x v="4"/>
  </r>
  <r>
    <x v="4"/>
  </r>
  <r>
    <x v="2"/>
  </r>
  <r>
    <x v="14"/>
  </r>
  <r>
    <x v="12"/>
  </r>
  <r>
    <x v="27"/>
  </r>
  <r>
    <x v="4"/>
  </r>
  <r>
    <x v="2"/>
  </r>
  <r>
    <x v="84"/>
  </r>
  <r>
    <x v="10"/>
  </r>
  <r>
    <x v="37"/>
  </r>
  <r>
    <x v="2"/>
  </r>
  <r>
    <x v="10"/>
  </r>
  <r>
    <x v="22"/>
  </r>
  <r>
    <x v="14"/>
  </r>
  <r>
    <x v="2"/>
  </r>
  <r>
    <x v="10"/>
  </r>
  <r>
    <x v="21"/>
  </r>
  <r>
    <x v="12"/>
  </r>
  <r>
    <x v="12"/>
  </r>
  <r>
    <x v="12"/>
  </r>
  <r>
    <x v="4"/>
  </r>
  <r>
    <x v="12"/>
  </r>
  <r>
    <x v="4"/>
  </r>
  <r>
    <x v="9"/>
  </r>
  <r>
    <x v="17"/>
  </r>
  <r>
    <x v="16"/>
  </r>
  <r>
    <x v="16"/>
  </r>
  <r>
    <x v="10"/>
  </r>
  <r>
    <x v="10"/>
  </r>
  <r>
    <x v="0"/>
  </r>
  <r>
    <x v="7"/>
  </r>
  <r>
    <x v="1"/>
  </r>
  <r>
    <x v="50"/>
  </r>
  <r>
    <x v="78"/>
  </r>
  <r>
    <x v="22"/>
  </r>
  <r>
    <x v="6"/>
  </r>
  <r>
    <x v="4"/>
  </r>
  <r>
    <x v="0"/>
  </r>
  <r>
    <x v="4"/>
  </r>
  <r>
    <x v="4"/>
  </r>
  <r>
    <x v="24"/>
  </r>
  <r>
    <x v="24"/>
  </r>
  <r>
    <x v="4"/>
  </r>
  <r>
    <x v="9"/>
  </r>
  <r>
    <x v="0"/>
  </r>
  <r>
    <x v="14"/>
  </r>
  <r>
    <x v="28"/>
  </r>
  <r>
    <x v="24"/>
  </r>
  <r>
    <x v="12"/>
  </r>
  <r>
    <x v="26"/>
  </r>
  <r>
    <x v="56"/>
  </r>
  <r>
    <x v="42"/>
  </r>
  <r>
    <x v="7"/>
  </r>
  <r>
    <x v="7"/>
  </r>
  <r>
    <x v="9"/>
  </r>
  <r>
    <x v="4"/>
  </r>
  <r>
    <x v="7"/>
  </r>
  <r>
    <x v="21"/>
  </r>
  <r>
    <x v="21"/>
  </r>
  <r>
    <x v="49"/>
  </r>
  <r>
    <x v="16"/>
  </r>
  <r>
    <x v="2"/>
  </r>
  <r>
    <x v="2"/>
  </r>
  <r>
    <x v="28"/>
  </r>
  <r>
    <x v="4"/>
  </r>
  <r>
    <x v="39"/>
  </r>
  <r>
    <x v="15"/>
  </r>
  <r>
    <x v="1"/>
  </r>
  <r>
    <x v="4"/>
  </r>
  <r>
    <x v="37"/>
  </r>
  <r>
    <x v="10"/>
  </r>
  <r>
    <x v="4"/>
  </r>
  <r>
    <x v="7"/>
  </r>
  <r>
    <x v="64"/>
  </r>
  <r>
    <x v="4"/>
  </r>
  <r>
    <x v="24"/>
  </r>
  <r>
    <x v="24"/>
  </r>
  <r>
    <x v="24"/>
  </r>
  <r>
    <x v="2"/>
  </r>
  <r>
    <x v="0"/>
  </r>
  <r>
    <x v="0"/>
  </r>
  <r>
    <x v="0"/>
  </r>
  <r>
    <x v="24"/>
  </r>
  <r>
    <x v="0"/>
  </r>
  <r>
    <x v="0"/>
  </r>
  <r>
    <x v="0"/>
  </r>
  <r>
    <x v="0"/>
  </r>
  <r>
    <x v="7"/>
  </r>
  <r>
    <x v="4"/>
  </r>
  <r>
    <x v="10"/>
  </r>
  <r>
    <x v="34"/>
  </r>
  <r>
    <x v="7"/>
  </r>
  <r>
    <x v="55"/>
  </r>
  <r>
    <x v="10"/>
  </r>
  <r>
    <x v="4"/>
  </r>
  <r>
    <x v="9"/>
  </r>
  <r>
    <x v="4"/>
  </r>
  <r>
    <x v="7"/>
  </r>
  <r>
    <x v="42"/>
  </r>
  <r>
    <x v="21"/>
  </r>
  <r>
    <x v="30"/>
  </r>
  <r>
    <x v="30"/>
  </r>
  <r>
    <x v="58"/>
  </r>
  <r>
    <x v="10"/>
  </r>
  <r>
    <x v="17"/>
  </r>
  <r>
    <x v="4"/>
  </r>
  <r>
    <x v="21"/>
  </r>
  <r>
    <x v="55"/>
  </r>
  <r>
    <x v="14"/>
  </r>
  <r>
    <x v="28"/>
  </r>
  <r>
    <x v="37"/>
  </r>
  <r>
    <x v="4"/>
  </r>
  <r>
    <x v="12"/>
  </r>
  <r>
    <x v="12"/>
  </r>
  <r>
    <x v="9"/>
  </r>
  <r>
    <x v="55"/>
  </r>
  <r>
    <x v="0"/>
  </r>
  <r>
    <x v="0"/>
  </r>
  <r>
    <x v="21"/>
  </r>
  <r>
    <x v="4"/>
  </r>
  <r>
    <x v="9"/>
  </r>
  <r>
    <x v="136"/>
  </r>
  <r>
    <x v="60"/>
  </r>
  <r>
    <x v="60"/>
  </r>
  <r>
    <x v="46"/>
  </r>
  <r>
    <x v="34"/>
  </r>
  <r>
    <x v="34"/>
  </r>
  <r>
    <x v="21"/>
  </r>
  <r>
    <x v="1"/>
  </r>
  <r>
    <x v="14"/>
  </r>
  <r>
    <x v="9"/>
  </r>
  <r>
    <x v="1"/>
  </r>
  <r>
    <x v="10"/>
  </r>
  <r>
    <x v="4"/>
  </r>
  <r>
    <x v="1"/>
  </r>
  <r>
    <x v="22"/>
  </r>
  <r>
    <x v="10"/>
  </r>
  <r>
    <x v="4"/>
  </r>
  <r>
    <x v="10"/>
  </r>
  <r>
    <x v="19"/>
  </r>
  <r>
    <x v="28"/>
  </r>
  <r>
    <x v="123"/>
  </r>
  <r>
    <x v="24"/>
  </r>
  <r>
    <x v="4"/>
  </r>
  <r>
    <x v="0"/>
  </r>
  <r>
    <x v="28"/>
  </r>
  <r>
    <x v="28"/>
  </r>
  <r>
    <x v="4"/>
  </r>
  <r>
    <x v="2"/>
  </r>
  <r>
    <x v="2"/>
  </r>
  <r>
    <x v="14"/>
  </r>
  <r>
    <x v="0"/>
  </r>
  <r>
    <x v="0"/>
  </r>
  <r>
    <x v="79"/>
  </r>
  <r>
    <x v="37"/>
  </r>
  <r>
    <x v="9"/>
  </r>
  <r>
    <x v="19"/>
  </r>
  <r>
    <x v="4"/>
  </r>
  <r>
    <x v="17"/>
  </r>
  <r>
    <x v="28"/>
  </r>
  <r>
    <x v="28"/>
  </r>
  <r>
    <x v="2"/>
  </r>
  <r>
    <x v="37"/>
  </r>
  <r>
    <x v="42"/>
  </r>
  <r>
    <x v="4"/>
  </r>
  <r>
    <x v="17"/>
  </r>
  <r>
    <x v="7"/>
  </r>
  <r>
    <x v="1"/>
  </r>
  <r>
    <x v="4"/>
  </r>
  <r>
    <x v="10"/>
  </r>
  <r>
    <x v="76"/>
  </r>
  <r>
    <x v="71"/>
  </r>
  <r>
    <x v="17"/>
  </r>
  <r>
    <x v="10"/>
  </r>
  <r>
    <x v="0"/>
  </r>
  <r>
    <x v="12"/>
  </r>
  <r>
    <x v="8"/>
  </r>
  <r>
    <x v="22"/>
  </r>
  <r>
    <x v="17"/>
  </r>
  <r>
    <x v="42"/>
  </r>
  <r>
    <x v="2"/>
  </r>
  <r>
    <x v="2"/>
  </r>
  <r>
    <x v="64"/>
  </r>
  <r>
    <x v="0"/>
  </r>
  <r>
    <x v="4"/>
  </r>
  <r>
    <x v="9"/>
  </r>
  <r>
    <x v="33"/>
  </r>
  <r>
    <x v="28"/>
  </r>
  <r>
    <x v="22"/>
  </r>
  <r>
    <x v="6"/>
  </r>
  <r>
    <x v="17"/>
  </r>
  <r>
    <x v="21"/>
  </r>
  <r>
    <x v="10"/>
  </r>
  <r>
    <x v="22"/>
  </r>
  <r>
    <x v="0"/>
  </r>
  <r>
    <x v="4"/>
  </r>
  <r>
    <x v="0"/>
  </r>
  <r>
    <x v="4"/>
  </r>
  <r>
    <x v="17"/>
  </r>
  <r>
    <x v="42"/>
  </r>
  <r>
    <x v="0"/>
  </r>
  <r>
    <x v="14"/>
  </r>
  <r>
    <x v="45"/>
  </r>
  <r>
    <x v="0"/>
  </r>
  <r>
    <x v="0"/>
  </r>
  <r>
    <x v="0"/>
  </r>
  <r>
    <x v="17"/>
  </r>
  <r>
    <x v="4"/>
  </r>
  <r>
    <x v="73"/>
  </r>
  <r>
    <x v="10"/>
  </r>
  <r>
    <x v="0"/>
  </r>
  <r>
    <x v="0"/>
  </r>
  <r>
    <x v="17"/>
  </r>
  <r>
    <x v="26"/>
  </r>
  <r>
    <x v="44"/>
  </r>
  <r>
    <x v="11"/>
  </r>
  <r>
    <x v="0"/>
  </r>
  <r>
    <x v="7"/>
  </r>
  <r>
    <x v="4"/>
  </r>
  <r>
    <x v="0"/>
  </r>
  <r>
    <x v="21"/>
  </r>
  <r>
    <x v="10"/>
  </r>
  <r>
    <x v="2"/>
  </r>
  <r>
    <x v="17"/>
  </r>
  <r>
    <x v="40"/>
  </r>
  <r>
    <x v="40"/>
  </r>
  <r>
    <x v="40"/>
  </r>
  <r>
    <x v="34"/>
  </r>
  <r>
    <x v="14"/>
  </r>
  <r>
    <x v="12"/>
  </r>
  <r>
    <x v="14"/>
  </r>
  <r>
    <x v="4"/>
  </r>
  <r>
    <x v="2"/>
  </r>
  <r>
    <x v="2"/>
  </r>
  <r>
    <x v="4"/>
  </r>
  <r>
    <x v="53"/>
  </r>
  <r>
    <x v="12"/>
  </r>
  <r>
    <x v="4"/>
  </r>
  <r>
    <x v="4"/>
  </r>
  <r>
    <x v="9"/>
  </r>
  <r>
    <x v="14"/>
  </r>
  <r>
    <x v="0"/>
  </r>
  <r>
    <x v="17"/>
  </r>
  <r>
    <x v="4"/>
  </r>
  <r>
    <x v="21"/>
  </r>
  <r>
    <x v="4"/>
  </r>
  <r>
    <x v="10"/>
  </r>
  <r>
    <x v="10"/>
  </r>
  <r>
    <x v="14"/>
  </r>
  <r>
    <x v="0"/>
  </r>
  <r>
    <x v="0"/>
  </r>
  <r>
    <x v="4"/>
  </r>
  <r>
    <x v="10"/>
  </r>
  <r>
    <x v="33"/>
  </r>
  <r>
    <x v="28"/>
  </r>
  <r>
    <x v="4"/>
  </r>
  <r>
    <x v="14"/>
  </r>
  <r>
    <x v="4"/>
  </r>
  <r>
    <x v="14"/>
  </r>
  <r>
    <x v="9"/>
  </r>
  <r>
    <x v="11"/>
  </r>
  <r>
    <x v="11"/>
  </r>
  <r>
    <x v="39"/>
  </r>
  <r>
    <x v="10"/>
  </r>
  <r>
    <x v="4"/>
  </r>
  <r>
    <x v="22"/>
  </r>
  <r>
    <x v="2"/>
  </r>
  <r>
    <x v="7"/>
  </r>
  <r>
    <x v="7"/>
  </r>
  <r>
    <x v="0"/>
  </r>
  <r>
    <x v="10"/>
  </r>
  <r>
    <x v="28"/>
  </r>
  <r>
    <x v="33"/>
  </r>
  <r>
    <x v="0"/>
  </r>
  <r>
    <x v="28"/>
  </r>
  <r>
    <x v="1"/>
  </r>
  <r>
    <x v="79"/>
  </r>
  <r>
    <x v="0"/>
  </r>
  <r>
    <x v="12"/>
  </r>
  <r>
    <x v="7"/>
  </r>
  <r>
    <x v="14"/>
  </r>
  <r>
    <x v="14"/>
  </r>
  <r>
    <x v="10"/>
  </r>
  <r>
    <x v="17"/>
  </r>
  <r>
    <x v="48"/>
  </r>
  <r>
    <x v="4"/>
  </r>
  <r>
    <x v="9"/>
  </r>
  <r>
    <x v="9"/>
  </r>
  <r>
    <x v="9"/>
  </r>
  <r>
    <x v="14"/>
  </r>
  <r>
    <x v="37"/>
  </r>
  <r>
    <x v="10"/>
  </r>
  <r>
    <x v="10"/>
  </r>
  <r>
    <x v="14"/>
  </r>
  <r>
    <x v="21"/>
  </r>
  <r>
    <x v="48"/>
  </r>
  <r>
    <x v="15"/>
  </r>
  <r>
    <x v="28"/>
  </r>
  <r>
    <x v="4"/>
  </r>
  <r>
    <x v="4"/>
  </r>
  <r>
    <x v="14"/>
  </r>
  <r>
    <x v="28"/>
  </r>
  <r>
    <x v="0"/>
  </r>
  <r>
    <x v="7"/>
  </r>
  <r>
    <x v="69"/>
  </r>
  <r>
    <x v="0"/>
  </r>
  <r>
    <x v="37"/>
  </r>
  <r>
    <x v="39"/>
  </r>
  <r>
    <x v="21"/>
  </r>
  <r>
    <x v="12"/>
  </r>
  <r>
    <x v="4"/>
  </r>
  <r>
    <x v="4"/>
  </r>
  <r>
    <x v="4"/>
  </r>
  <r>
    <x v="0"/>
  </r>
  <r>
    <x v="0"/>
  </r>
  <r>
    <x v="0"/>
  </r>
  <r>
    <x v="0"/>
  </r>
  <r>
    <x v="0"/>
  </r>
  <r>
    <x v="11"/>
  </r>
  <r>
    <x v="37"/>
  </r>
  <r>
    <x v="12"/>
  </r>
  <r>
    <x v="10"/>
  </r>
  <r>
    <x v="11"/>
  </r>
  <r>
    <x v="14"/>
  </r>
  <r>
    <x v="9"/>
  </r>
  <r>
    <x v="4"/>
  </r>
  <r>
    <x v="8"/>
  </r>
  <r>
    <x v="16"/>
  </r>
  <r>
    <x v="37"/>
  </r>
  <r>
    <x v="4"/>
  </r>
  <r>
    <x v="17"/>
  </r>
  <r>
    <x v="9"/>
  </r>
  <r>
    <x v="22"/>
  </r>
  <r>
    <x v="17"/>
  </r>
  <r>
    <x v="9"/>
  </r>
  <r>
    <x v="11"/>
  </r>
  <r>
    <x v="28"/>
  </r>
  <r>
    <x v="28"/>
  </r>
  <r>
    <x v="28"/>
  </r>
  <r>
    <x v="0"/>
  </r>
  <r>
    <x v="1"/>
  </r>
  <r>
    <x v="12"/>
  </r>
  <r>
    <x v="9"/>
  </r>
  <r>
    <x v="9"/>
  </r>
  <r>
    <x v="9"/>
  </r>
  <r>
    <x v="28"/>
  </r>
  <r>
    <x v="0"/>
  </r>
  <r>
    <x v="32"/>
  </r>
  <r>
    <x v="39"/>
  </r>
  <r>
    <x v="10"/>
  </r>
  <r>
    <x v="10"/>
  </r>
  <r>
    <x v="10"/>
  </r>
  <r>
    <x v="39"/>
  </r>
  <r>
    <x v="0"/>
  </r>
  <r>
    <x v="9"/>
  </r>
  <r>
    <x v="14"/>
  </r>
  <r>
    <x v="34"/>
  </r>
  <r>
    <x v="30"/>
  </r>
  <r>
    <x v="0"/>
  </r>
  <r>
    <x v="49"/>
  </r>
  <r>
    <x v="14"/>
  </r>
  <r>
    <x v="9"/>
  </r>
  <r>
    <x v="15"/>
  </r>
  <r>
    <x v="4"/>
  </r>
  <r>
    <x v="17"/>
  </r>
  <r>
    <x v="14"/>
  </r>
  <r>
    <x v="0"/>
  </r>
  <r>
    <x v="29"/>
  </r>
  <r>
    <x v="39"/>
  </r>
  <r>
    <x v="10"/>
  </r>
  <r>
    <x v="9"/>
  </r>
  <r>
    <x v="12"/>
  </r>
  <r>
    <x v="63"/>
  </r>
  <r>
    <x v="9"/>
  </r>
  <r>
    <x v="16"/>
  </r>
  <r>
    <x v="21"/>
  </r>
  <r>
    <x v="17"/>
  </r>
  <r>
    <x v="16"/>
  </r>
  <r>
    <x v="2"/>
  </r>
  <r>
    <x v="14"/>
  </r>
  <r>
    <x v="14"/>
  </r>
  <r>
    <x v="1"/>
  </r>
  <r>
    <x v="4"/>
  </r>
  <r>
    <x v="4"/>
  </r>
  <r>
    <x v="10"/>
  </r>
  <r>
    <x v="10"/>
  </r>
  <r>
    <x v="28"/>
  </r>
  <r>
    <x v="11"/>
  </r>
  <r>
    <x v="45"/>
  </r>
  <r>
    <x v="45"/>
  </r>
  <r>
    <x v="0"/>
  </r>
  <r>
    <x v="0"/>
  </r>
  <r>
    <x v="34"/>
  </r>
  <r>
    <x v="34"/>
  </r>
  <r>
    <x v="45"/>
  </r>
  <r>
    <x v="45"/>
  </r>
  <r>
    <x v="16"/>
  </r>
  <r>
    <x v="16"/>
  </r>
  <r>
    <x v="10"/>
  </r>
  <r>
    <x v="10"/>
  </r>
  <r>
    <x v="55"/>
  </r>
  <r>
    <x v="55"/>
  </r>
  <r>
    <x v="4"/>
  </r>
  <r>
    <x v="4"/>
  </r>
  <r>
    <x v="0"/>
  </r>
  <r>
    <x v="0"/>
  </r>
  <r>
    <x v="34"/>
  </r>
  <r>
    <x v="34"/>
  </r>
  <r>
    <x v="34"/>
  </r>
  <r>
    <x v="71"/>
  </r>
  <r>
    <x v="71"/>
  </r>
  <r>
    <x v="71"/>
  </r>
  <r>
    <x v="21"/>
  </r>
  <r>
    <x v="17"/>
  </r>
  <r>
    <x v="17"/>
  </r>
  <r>
    <x v="17"/>
  </r>
  <r>
    <x v="34"/>
  </r>
  <r>
    <x v="17"/>
  </r>
  <r>
    <x v="14"/>
  </r>
  <r>
    <x v="14"/>
  </r>
  <r>
    <x v="16"/>
  </r>
  <r>
    <x v="14"/>
  </r>
  <r>
    <x v="8"/>
  </r>
  <r>
    <x v="49"/>
  </r>
  <r>
    <x v="55"/>
  </r>
  <r>
    <x v="55"/>
  </r>
  <r>
    <x v="0"/>
  </r>
  <r>
    <x v="28"/>
  </r>
  <r>
    <x v="28"/>
  </r>
  <r>
    <x v="17"/>
  </r>
  <r>
    <x v="8"/>
  </r>
  <r>
    <x v="17"/>
  </r>
  <r>
    <x v="21"/>
  </r>
  <r>
    <x v="21"/>
  </r>
  <r>
    <x v="6"/>
  </r>
  <r>
    <x v="6"/>
  </r>
  <r>
    <x v="6"/>
  </r>
  <r>
    <x v="8"/>
  </r>
  <r>
    <x v="8"/>
  </r>
  <r>
    <x v="34"/>
  </r>
  <r>
    <x v="34"/>
  </r>
  <r>
    <x v="12"/>
  </r>
  <r>
    <x v="12"/>
  </r>
  <r>
    <x v="16"/>
  </r>
  <r>
    <x v="34"/>
  </r>
  <r>
    <x v="17"/>
  </r>
  <r>
    <x v="17"/>
  </r>
  <r>
    <x v="17"/>
  </r>
  <r>
    <x v="17"/>
  </r>
  <r>
    <x v="10"/>
  </r>
  <r>
    <x v="10"/>
  </r>
  <r>
    <x v="17"/>
  </r>
  <r>
    <x v="49"/>
  </r>
  <r>
    <x v="49"/>
  </r>
  <r>
    <x v="10"/>
  </r>
  <r>
    <x v="16"/>
  </r>
  <r>
    <x v="31"/>
  </r>
  <r>
    <x v="31"/>
  </r>
  <r>
    <x v="31"/>
  </r>
  <r>
    <x v="31"/>
  </r>
  <r>
    <x v="31"/>
  </r>
  <r>
    <x v="31"/>
  </r>
  <r>
    <x v="31"/>
  </r>
  <r>
    <x v="31"/>
  </r>
  <r>
    <x v="53"/>
  </r>
  <r>
    <x v="8"/>
  </r>
  <r>
    <x v="14"/>
  </r>
  <r>
    <x v="31"/>
  </r>
  <r>
    <x v="48"/>
  </r>
  <r>
    <x v="48"/>
  </r>
  <r>
    <x v="39"/>
  </r>
  <r>
    <x v="53"/>
  </r>
  <r>
    <x v="39"/>
  </r>
  <r>
    <x v="53"/>
  </r>
  <r>
    <x v="53"/>
  </r>
  <r>
    <x v="39"/>
  </r>
  <r>
    <x v="31"/>
  </r>
  <r>
    <x v="55"/>
  </r>
  <r>
    <x v="55"/>
  </r>
  <r>
    <x v="55"/>
  </r>
  <r>
    <x v="21"/>
  </r>
  <r>
    <x v="21"/>
  </r>
  <r>
    <x v="21"/>
  </r>
  <r>
    <x v="21"/>
  </r>
  <r>
    <x v="55"/>
  </r>
  <r>
    <x v="14"/>
  </r>
  <r>
    <x v="14"/>
  </r>
  <r>
    <x v="8"/>
  </r>
  <r>
    <x v="9"/>
  </r>
  <r>
    <x v="17"/>
  </r>
  <r>
    <x v="8"/>
  </r>
  <r>
    <x v="28"/>
  </r>
  <r>
    <x v="28"/>
  </r>
  <r>
    <x v="9"/>
  </r>
  <r>
    <x v="0"/>
  </r>
  <r>
    <x v="0"/>
  </r>
  <r>
    <x v="11"/>
  </r>
  <r>
    <x v="49"/>
  </r>
  <r>
    <x v="16"/>
  </r>
  <r>
    <x v="14"/>
  </r>
  <r>
    <x v="17"/>
  </r>
  <r>
    <x v="17"/>
  </r>
  <r>
    <x v="17"/>
  </r>
  <r>
    <x v="17"/>
  </r>
  <r>
    <x v="17"/>
  </r>
  <r>
    <x v="17"/>
  </r>
  <r>
    <x v="14"/>
  </r>
  <r>
    <x v="21"/>
  </r>
  <r>
    <x v="46"/>
  </r>
  <r>
    <x v="46"/>
  </r>
  <r>
    <x v="14"/>
  </r>
  <r>
    <x v="46"/>
  </r>
  <r>
    <x v="16"/>
  </r>
  <r>
    <x v="16"/>
  </r>
  <r>
    <x v="17"/>
  </r>
  <r>
    <x v="17"/>
  </r>
  <r>
    <x v="49"/>
  </r>
  <r>
    <x v="49"/>
  </r>
  <r>
    <x v="49"/>
  </r>
  <r>
    <x v="9"/>
  </r>
  <r>
    <x v="12"/>
  </r>
  <r>
    <x v="12"/>
  </r>
  <r>
    <x v="9"/>
  </r>
  <r>
    <x v="21"/>
  </r>
  <r>
    <x v="21"/>
  </r>
  <r>
    <x v="0"/>
  </r>
  <r>
    <x v="21"/>
  </r>
  <r>
    <x v="52"/>
  </r>
  <r>
    <x v="21"/>
  </r>
  <r>
    <x v="7"/>
  </r>
  <r>
    <x v="17"/>
  </r>
  <r>
    <x v="10"/>
  </r>
  <r>
    <x v="10"/>
  </r>
  <r>
    <x v="36"/>
  </r>
  <r>
    <x v="25"/>
  </r>
  <r>
    <x v="2"/>
  </r>
  <r>
    <x v="50"/>
  </r>
  <r>
    <x v="50"/>
  </r>
  <r>
    <x v="50"/>
  </r>
  <r>
    <x v="31"/>
  </r>
  <r>
    <x v="174"/>
  </r>
  <r>
    <x v="0"/>
  </r>
  <r>
    <x v="0"/>
  </r>
  <r>
    <x v="217"/>
  </r>
  <r>
    <x v="157"/>
  </r>
  <r>
    <x v="279"/>
  </r>
  <r>
    <x v="279"/>
  </r>
  <r>
    <x v="279"/>
  </r>
  <r>
    <x v="279"/>
  </r>
  <r>
    <x v="279"/>
  </r>
  <r>
    <x v="279"/>
  </r>
  <r>
    <x v="279"/>
  </r>
  <r>
    <x v="207"/>
  </r>
  <r>
    <x v="207"/>
  </r>
  <r>
    <x v="28"/>
  </r>
  <r>
    <x v="126"/>
  </r>
  <r>
    <x v="28"/>
  </r>
  <r>
    <x v="28"/>
  </r>
  <r>
    <x v="70"/>
  </r>
  <r>
    <x v="70"/>
  </r>
  <r>
    <x v="77"/>
  </r>
  <r>
    <x v="77"/>
  </r>
  <r>
    <x v="77"/>
  </r>
  <r>
    <x v="70"/>
  </r>
  <r>
    <x v="70"/>
  </r>
  <r>
    <x v="77"/>
  </r>
  <r>
    <x v="77"/>
  </r>
  <r>
    <x v="86"/>
  </r>
  <r>
    <x v="138"/>
  </r>
  <r>
    <x v="138"/>
  </r>
  <r>
    <x v="251"/>
  </r>
  <r>
    <x v="86"/>
  </r>
  <r>
    <x v="4"/>
  </r>
  <r>
    <x v="251"/>
  </r>
  <r>
    <x v="86"/>
  </r>
  <r>
    <x v="112"/>
  </r>
  <r>
    <x v="14"/>
  </r>
  <r>
    <x v="12"/>
  </r>
  <r>
    <x v="72"/>
  </r>
  <r>
    <x v="115"/>
  </r>
  <r>
    <x v="4"/>
  </r>
  <r>
    <x v="10"/>
  </r>
  <r>
    <x v="72"/>
  </r>
  <r>
    <x v="115"/>
  </r>
  <r>
    <x v="12"/>
  </r>
  <r>
    <x v="4"/>
  </r>
  <r>
    <x v="108"/>
  </r>
  <r>
    <x v="4"/>
  </r>
  <r>
    <x v="16"/>
  </r>
  <r>
    <x v="31"/>
  </r>
  <r>
    <x v="12"/>
  </r>
  <r>
    <x v="76"/>
  </r>
  <r>
    <x v="76"/>
  </r>
  <r>
    <x v="31"/>
  </r>
  <r>
    <x v="16"/>
  </r>
  <r>
    <x v="57"/>
  </r>
  <r>
    <x v="12"/>
  </r>
  <r>
    <x v="34"/>
  </r>
  <r>
    <x v="45"/>
  </r>
  <r>
    <x v="34"/>
  </r>
  <r>
    <x v="0"/>
  </r>
  <r>
    <x v="72"/>
  </r>
  <r>
    <x v="7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39"/>
  </r>
  <r>
    <x v="12"/>
  </r>
  <r>
    <x v="12"/>
  </r>
  <r>
    <x v="12"/>
  </r>
  <r>
    <x v="42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42"/>
  </r>
  <r>
    <x v="50"/>
  </r>
  <r>
    <x v="42"/>
  </r>
  <r>
    <x v="42"/>
  </r>
  <r>
    <x v="50"/>
  </r>
  <r>
    <x v="50"/>
  </r>
  <r>
    <x v="50"/>
  </r>
  <r>
    <x v="42"/>
  </r>
  <r>
    <x v="50"/>
  </r>
  <r>
    <x v="50"/>
  </r>
  <r>
    <x v="50"/>
  </r>
  <r>
    <x v="50"/>
  </r>
  <r>
    <x v="42"/>
  </r>
  <r>
    <x v="42"/>
  </r>
  <r>
    <x v="50"/>
  </r>
  <r>
    <x v="50"/>
  </r>
  <r>
    <x v="42"/>
  </r>
  <r>
    <x v="50"/>
  </r>
  <r>
    <x v="50"/>
  </r>
  <r>
    <x v="50"/>
  </r>
  <r>
    <x v="50"/>
  </r>
  <r>
    <x v="42"/>
  </r>
  <r>
    <x v="42"/>
  </r>
  <r>
    <x v="72"/>
  </r>
  <r>
    <x v="152"/>
  </r>
  <r>
    <x v="9"/>
  </r>
  <r>
    <x v="9"/>
  </r>
  <r>
    <x v="9"/>
  </r>
  <r>
    <x v="9"/>
  </r>
  <r>
    <x v="9"/>
  </r>
  <r>
    <x v="9"/>
  </r>
  <r>
    <x v="28"/>
  </r>
  <r>
    <x v="25"/>
  </r>
  <r>
    <x v="4"/>
  </r>
  <r>
    <x v="28"/>
  </r>
  <r>
    <x v="165"/>
  </r>
  <r>
    <x v="4"/>
  </r>
  <r>
    <x v="4"/>
  </r>
  <r>
    <x v="217"/>
  </r>
  <r>
    <x v="280"/>
  </r>
  <r>
    <x v="280"/>
  </r>
  <r>
    <x v="280"/>
  </r>
  <r>
    <x v="4"/>
  </r>
  <r>
    <x v="4"/>
  </r>
  <r>
    <x v="280"/>
  </r>
  <r>
    <x v="78"/>
  </r>
  <r>
    <x v="50"/>
  </r>
  <r>
    <x v="280"/>
  </r>
  <r>
    <x v="37"/>
  </r>
  <r>
    <x v="280"/>
  </r>
  <r>
    <x v="280"/>
  </r>
  <r>
    <x v="280"/>
  </r>
  <r>
    <x v="280"/>
  </r>
  <r>
    <x v="280"/>
  </r>
  <r>
    <x v="142"/>
  </r>
  <r>
    <x v="12"/>
  </r>
  <r>
    <x v="45"/>
  </r>
  <r>
    <x v="7"/>
  </r>
  <r>
    <x v="28"/>
  </r>
  <r>
    <x v="142"/>
  </r>
  <r>
    <x v="28"/>
  </r>
  <r>
    <x v="28"/>
  </r>
  <r>
    <x v="28"/>
  </r>
  <r>
    <x v="28"/>
  </r>
  <r>
    <x v="28"/>
  </r>
  <r>
    <x v="28"/>
  </r>
  <r>
    <x v="28"/>
  </r>
  <r>
    <x v="28"/>
  </r>
  <r>
    <x v="113"/>
  </r>
  <r>
    <x v="81"/>
  </r>
  <r>
    <x v="25"/>
  </r>
  <r>
    <x v="113"/>
  </r>
  <r>
    <x v="14"/>
  </r>
  <r>
    <x v="144"/>
  </r>
  <r>
    <x v="144"/>
  </r>
  <r>
    <x v="144"/>
  </r>
  <r>
    <x v="144"/>
  </r>
  <r>
    <x v="48"/>
  </r>
  <r>
    <x v="99"/>
  </r>
  <r>
    <x v="99"/>
  </r>
  <r>
    <x v="138"/>
  </r>
  <r>
    <x v="37"/>
  </r>
  <r>
    <x v="10"/>
  </r>
  <r>
    <x v="10"/>
  </r>
  <r>
    <x v="10"/>
  </r>
  <r>
    <x v="10"/>
  </r>
  <r>
    <x v="123"/>
  </r>
  <r>
    <x v="10"/>
  </r>
  <r>
    <x v="10"/>
  </r>
  <r>
    <x v="10"/>
  </r>
  <r>
    <x v="10"/>
  </r>
  <r>
    <x v="48"/>
  </r>
  <r>
    <x v="36"/>
  </r>
  <r>
    <x v="76"/>
  </r>
  <r>
    <x v="12"/>
  </r>
  <r>
    <x v="12"/>
  </r>
  <r>
    <x v="12"/>
  </r>
  <r>
    <x v="12"/>
  </r>
  <r>
    <x v="12"/>
  </r>
  <r>
    <x v="165"/>
  </r>
  <r>
    <x v="165"/>
  </r>
  <r>
    <x v="12"/>
  </r>
  <r>
    <x v="12"/>
  </r>
  <r>
    <x v="108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8"/>
  </r>
  <r>
    <x v="28"/>
  </r>
  <r>
    <x v="36"/>
  </r>
  <r>
    <x v="36"/>
  </r>
  <r>
    <x v="36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57"/>
  </r>
  <r>
    <x v="36"/>
  </r>
  <r>
    <x v="36"/>
  </r>
  <r>
    <x v="36"/>
  </r>
  <r>
    <x v="36"/>
  </r>
  <r>
    <x v="36"/>
  </r>
  <r>
    <x v="36"/>
  </r>
  <r>
    <x v="12"/>
  </r>
  <r>
    <x v="36"/>
  </r>
  <r>
    <x v="36"/>
  </r>
  <r>
    <x v="36"/>
  </r>
  <r>
    <x v="36"/>
  </r>
  <r>
    <x v="36"/>
  </r>
  <r>
    <x v="36"/>
  </r>
  <r>
    <x v="36"/>
  </r>
  <r>
    <x v="251"/>
  </r>
  <r>
    <x v="251"/>
  </r>
  <r>
    <x v="251"/>
  </r>
  <r>
    <x v="36"/>
  </r>
  <r>
    <x v="36"/>
  </r>
  <r>
    <x v="36"/>
  </r>
  <r>
    <x v="100"/>
  </r>
  <r>
    <x v="165"/>
  </r>
  <r>
    <x v="1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8"/>
  </r>
  <r>
    <x v="28"/>
  </r>
  <r>
    <x v="28"/>
  </r>
  <r>
    <x v="28"/>
  </r>
  <r>
    <x v="4"/>
  </r>
  <r>
    <x v="10"/>
  </r>
  <r>
    <x v="64"/>
  </r>
  <r>
    <x v="108"/>
  </r>
  <r>
    <x v="100"/>
  </r>
  <r>
    <x v="0"/>
  </r>
  <r>
    <x v="77"/>
  </r>
  <r>
    <x v="7"/>
  </r>
  <r>
    <x v="77"/>
  </r>
  <r>
    <x v="12"/>
  </r>
  <r>
    <x v="45"/>
  </r>
  <r>
    <x v="37"/>
  </r>
  <r>
    <x v="37"/>
  </r>
  <r>
    <x v="37"/>
  </r>
  <r>
    <x v="37"/>
  </r>
  <r>
    <x v="12"/>
  </r>
  <r>
    <x v="10"/>
  </r>
  <r>
    <x v="36"/>
  </r>
  <r>
    <x v="36"/>
  </r>
  <r>
    <x v="77"/>
  </r>
  <r>
    <x v="77"/>
  </r>
  <r>
    <x v="32"/>
  </r>
  <r>
    <x v="12"/>
  </r>
  <r>
    <x v="12"/>
  </r>
  <r>
    <x v="77"/>
  </r>
  <r>
    <x v="10"/>
  </r>
  <r>
    <x v="12"/>
  </r>
  <r>
    <x v="49"/>
  </r>
  <r>
    <x v="10"/>
  </r>
  <r>
    <x v="37"/>
  </r>
  <r>
    <x v="49"/>
  </r>
  <r>
    <x v="10"/>
  </r>
  <r>
    <x v="10"/>
  </r>
  <r>
    <x v="10"/>
  </r>
  <r>
    <x v="34"/>
  </r>
  <r>
    <x v="113"/>
  </r>
  <r>
    <x v="4"/>
  </r>
  <r>
    <x v="113"/>
  </r>
  <r>
    <x v="23"/>
  </r>
  <r>
    <x v="80"/>
  </r>
  <r>
    <x v="80"/>
  </r>
  <r>
    <x v="10"/>
  </r>
  <r>
    <x v="4"/>
  </r>
  <r>
    <x v="4"/>
  </r>
  <r>
    <x v="4"/>
  </r>
  <r>
    <x v="10"/>
  </r>
  <r>
    <x v="48"/>
  </r>
  <r>
    <x v="12"/>
  </r>
  <r>
    <x v="12"/>
  </r>
  <r>
    <x v="12"/>
  </r>
  <r>
    <x v="12"/>
  </r>
  <r>
    <x v="12"/>
  </r>
  <r>
    <x v="12"/>
  </r>
  <r>
    <x v="12"/>
  </r>
  <r>
    <x v="139"/>
  </r>
  <r>
    <x v="139"/>
  </r>
  <r>
    <x v="78"/>
  </r>
  <r>
    <x v="78"/>
  </r>
  <r>
    <x v="78"/>
  </r>
  <r>
    <x v="78"/>
  </r>
  <r>
    <x v="78"/>
  </r>
  <r>
    <x v="78"/>
  </r>
  <r>
    <x v="33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115"/>
  </r>
  <r>
    <x v="78"/>
  </r>
  <r>
    <x v="36"/>
  </r>
  <r>
    <x v="36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142"/>
  </r>
  <r>
    <x v="113"/>
  </r>
  <r>
    <x v="4"/>
  </r>
  <r>
    <x v="4"/>
  </r>
  <r>
    <x v="4"/>
  </r>
  <r>
    <x v="4"/>
  </r>
  <r>
    <x v="4"/>
  </r>
  <r>
    <x v="4"/>
  </r>
  <r>
    <x v="4"/>
  </r>
  <r>
    <x v="113"/>
  </r>
  <r>
    <x v="50"/>
  </r>
  <r>
    <x v="10"/>
  </r>
  <r>
    <x v="10"/>
  </r>
  <r>
    <x v="10"/>
  </r>
  <r>
    <x v="10"/>
  </r>
  <r>
    <x v="10"/>
  </r>
  <r>
    <x v="10"/>
  </r>
  <r>
    <x v="10"/>
  </r>
  <r>
    <x v="8"/>
  </r>
  <r>
    <x v="24"/>
  </r>
  <r>
    <x v="24"/>
  </r>
  <r>
    <x v="24"/>
  </r>
  <r>
    <x v="24"/>
  </r>
  <r>
    <x v="24"/>
  </r>
  <r>
    <x v="24"/>
  </r>
  <r>
    <x v="8"/>
  </r>
  <r>
    <x v="24"/>
  </r>
  <r>
    <x v="10"/>
  </r>
  <r>
    <x v="10"/>
  </r>
  <r>
    <x v="144"/>
  </r>
  <r>
    <x v="10"/>
  </r>
  <r>
    <x v="10"/>
  </r>
  <r>
    <x v="10"/>
  </r>
  <r>
    <x v="10"/>
  </r>
  <r>
    <x v="10"/>
  </r>
  <r>
    <x v="10"/>
  </r>
  <r>
    <x v="0"/>
  </r>
  <r>
    <x v="10"/>
  </r>
  <r>
    <x v="10"/>
  </r>
  <r>
    <x v="10"/>
  </r>
  <r>
    <x v="10"/>
  </r>
  <r>
    <x v="10"/>
  </r>
  <r>
    <x v="10"/>
  </r>
  <r>
    <x v="0"/>
  </r>
  <r>
    <x v="126"/>
  </r>
  <r>
    <x v="126"/>
  </r>
  <r>
    <x v="77"/>
  </r>
  <r>
    <x v="126"/>
  </r>
  <r>
    <x v="31"/>
  </r>
  <r>
    <x v="21"/>
  </r>
  <r>
    <x v="126"/>
  </r>
  <r>
    <x v="76"/>
  </r>
  <r>
    <x v="25"/>
  </r>
  <r>
    <x v="25"/>
  </r>
  <r>
    <x v="1"/>
  </r>
  <r>
    <x v="0"/>
  </r>
  <r>
    <x v="12"/>
  </r>
  <r>
    <x v="12"/>
  </r>
  <r>
    <x v="126"/>
  </r>
  <r>
    <x v="126"/>
  </r>
  <r>
    <x v="0"/>
  </r>
  <r>
    <x v="0"/>
  </r>
  <r>
    <x v="12"/>
  </r>
  <r>
    <x v="10"/>
  </r>
  <r>
    <x v="0"/>
  </r>
  <r>
    <x v="126"/>
  </r>
  <r>
    <x v="126"/>
  </r>
  <r>
    <x v="126"/>
  </r>
  <r>
    <x v="113"/>
  </r>
  <r>
    <x v="104"/>
  </r>
  <r>
    <x v="104"/>
  </r>
  <r>
    <x v="48"/>
  </r>
  <r>
    <x v="126"/>
  </r>
  <r>
    <x v="10"/>
  </r>
  <r>
    <x v="126"/>
  </r>
  <r>
    <x v="45"/>
  </r>
  <r>
    <x v="75"/>
  </r>
  <r>
    <x v="75"/>
  </r>
  <r>
    <x v="75"/>
  </r>
  <r>
    <x v="75"/>
  </r>
  <r>
    <x v="23"/>
  </r>
  <r>
    <x v="10"/>
  </r>
  <r>
    <x v="169"/>
  </r>
  <r>
    <x v="10"/>
  </r>
  <r>
    <x v="10"/>
  </r>
  <r>
    <x v="23"/>
  </r>
  <r>
    <x v="23"/>
  </r>
  <r>
    <x v="130"/>
  </r>
  <r>
    <x v="10"/>
  </r>
  <r>
    <x v="12"/>
  </r>
  <r>
    <x v="40"/>
  </r>
  <r>
    <x v="0"/>
  </r>
  <r>
    <x v="12"/>
  </r>
  <r>
    <x v="12"/>
  </r>
  <r>
    <x v="12"/>
  </r>
  <r>
    <x v="12"/>
  </r>
  <r>
    <x v="9"/>
  </r>
  <r>
    <x v="169"/>
  </r>
  <r>
    <x v="35"/>
  </r>
  <r>
    <x v="35"/>
  </r>
  <r>
    <x v="78"/>
  </r>
  <r>
    <x v="12"/>
  </r>
  <r>
    <x v="12"/>
  </r>
  <r>
    <x v="12"/>
  </r>
  <r>
    <x v="12"/>
  </r>
  <r>
    <x v="10"/>
  </r>
  <r>
    <x v="12"/>
  </r>
  <r>
    <x v="31"/>
  </r>
  <r>
    <x v="21"/>
  </r>
  <r>
    <x v="37"/>
  </r>
  <r>
    <x v="10"/>
  </r>
  <r>
    <x v="21"/>
  </r>
  <r>
    <x v="10"/>
  </r>
  <r>
    <x v="21"/>
  </r>
  <r>
    <x v="21"/>
  </r>
  <r>
    <x v="78"/>
  </r>
  <r>
    <x v="21"/>
  </r>
  <r>
    <x v="10"/>
  </r>
  <r>
    <x v="77"/>
  </r>
  <r>
    <x v="78"/>
  </r>
  <r>
    <x v="78"/>
  </r>
  <r>
    <x v="10"/>
  </r>
  <r>
    <x v="16"/>
  </r>
  <r>
    <x v="10"/>
  </r>
  <r>
    <x v="10"/>
  </r>
  <r>
    <x v="10"/>
  </r>
  <r>
    <x v="10"/>
  </r>
  <r>
    <x v="10"/>
  </r>
  <r>
    <x v="0"/>
  </r>
  <r>
    <x v="0"/>
  </r>
  <r>
    <x v="7"/>
  </r>
  <r>
    <x v="146"/>
  </r>
  <r>
    <x v="131"/>
  </r>
  <r>
    <x v="57"/>
  </r>
  <r>
    <x v="45"/>
  </r>
  <r>
    <x v="45"/>
  </r>
  <r>
    <x v="13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38"/>
  </r>
  <r>
    <x v="138"/>
  </r>
  <r>
    <x v="3"/>
  </r>
  <r>
    <x v="123"/>
  </r>
  <r>
    <x v="16"/>
  </r>
  <r>
    <x v="4"/>
  </r>
  <r>
    <x v="12"/>
  </r>
  <r>
    <x v="10"/>
  </r>
  <r>
    <x v="10"/>
  </r>
  <r>
    <x v="42"/>
  </r>
  <r>
    <x v="12"/>
  </r>
  <r>
    <x v="22"/>
  </r>
  <r>
    <x v="22"/>
  </r>
  <r>
    <x v="22"/>
  </r>
  <r>
    <x v="0"/>
  </r>
  <r>
    <x v="22"/>
  </r>
  <r>
    <x v="12"/>
  </r>
  <r>
    <x v="12"/>
  </r>
  <r>
    <x v="24"/>
  </r>
  <r>
    <x v="24"/>
  </r>
  <r>
    <x v="0"/>
  </r>
  <r>
    <x v="24"/>
  </r>
  <r>
    <x v="24"/>
  </r>
  <r>
    <x v="8"/>
  </r>
  <r>
    <x v="4"/>
  </r>
  <r>
    <x v="4"/>
  </r>
  <r>
    <x v="24"/>
  </r>
  <r>
    <x v="24"/>
  </r>
  <r>
    <x v="24"/>
  </r>
  <r>
    <x v="24"/>
  </r>
  <r>
    <x v="28"/>
  </r>
  <r>
    <x v="24"/>
  </r>
  <r>
    <x v="24"/>
  </r>
  <r>
    <x v="14"/>
  </r>
  <r>
    <x v="24"/>
  </r>
  <r>
    <x v="12"/>
  </r>
  <r>
    <x v="12"/>
  </r>
  <r>
    <x v="12"/>
  </r>
  <r>
    <x v="12"/>
  </r>
  <r>
    <x v="12"/>
  </r>
  <r>
    <x v="165"/>
  </r>
  <r>
    <x v="165"/>
  </r>
  <r>
    <x v="133"/>
  </r>
  <r>
    <x v="139"/>
  </r>
  <r>
    <x v="157"/>
  </r>
  <r>
    <x v="217"/>
  </r>
  <r>
    <x v="217"/>
  </r>
  <r>
    <x v="217"/>
  </r>
  <r>
    <x v="240"/>
  </r>
  <r>
    <x v="217"/>
  </r>
  <r>
    <x v="48"/>
  </r>
  <r>
    <x v="177"/>
  </r>
  <r>
    <x v="48"/>
  </r>
  <r>
    <x v="104"/>
  </r>
  <r>
    <x v="104"/>
  </r>
  <r>
    <x v="27"/>
  </r>
  <r>
    <x v="102"/>
  </r>
  <r>
    <x v="102"/>
  </r>
  <r>
    <x v="25"/>
  </r>
  <r>
    <x v="25"/>
  </r>
  <r>
    <x v="25"/>
  </r>
  <r>
    <x v="76"/>
  </r>
  <r>
    <x v="76"/>
  </r>
  <r>
    <x v="0"/>
  </r>
  <r>
    <x v="52"/>
  </r>
  <r>
    <x v="46"/>
  </r>
  <r>
    <x v="62"/>
  </r>
  <r>
    <x v="62"/>
  </r>
  <r>
    <x v="76"/>
  </r>
  <r>
    <x v="4"/>
  </r>
  <r>
    <x v="16"/>
  </r>
  <r>
    <x v="75"/>
  </r>
  <r>
    <x v="75"/>
  </r>
  <r>
    <x v="72"/>
  </r>
  <r>
    <x v="72"/>
  </r>
  <r>
    <x v="72"/>
  </r>
  <r>
    <x v="139"/>
  </r>
  <r>
    <x v="12"/>
  </r>
  <r>
    <x v="48"/>
  </r>
  <r>
    <x v="12"/>
  </r>
  <r>
    <x v="139"/>
  </r>
  <r>
    <x v="139"/>
  </r>
  <r>
    <x v="139"/>
  </r>
  <r>
    <x v="139"/>
  </r>
  <r>
    <x v="23"/>
  </r>
  <r>
    <x v="217"/>
  </r>
  <r>
    <x v="217"/>
  </r>
  <r>
    <x v="217"/>
  </r>
  <r>
    <x v="217"/>
  </r>
  <r>
    <x v="217"/>
  </r>
  <r>
    <x v="217"/>
  </r>
  <r>
    <x v="104"/>
  </r>
  <r>
    <x v="104"/>
  </r>
  <r>
    <x v="104"/>
  </r>
  <r>
    <x v="48"/>
  </r>
  <r>
    <x v="48"/>
  </r>
  <r>
    <x v="123"/>
  </r>
  <r>
    <x v="36"/>
  </r>
  <r>
    <x v="10"/>
  </r>
  <r>
    <x v="36"/>
  </r>
  <r>
    <x v="10"/>
  </r>
  <r>
    <x v="76"/>
  </r>
  <r>
    <x v="10"/>
  </r>
  <r>
    <x v="108"/>
  </r>
  <r>
    <x v="8"/>
  </r>
  <r>
    <x v="36"/>
  </r>
  <r>
    <x v="108"/>
  </r>
  <r>
    <x v="89"/>
  </r>
  <r>
    <x v="48"/>
  </r>
  <r>
    <x v="89"/>
  </r>
  <r>
    <x v="89"/>
  </r>
  <r>
    <x v="36"/>
  </r>
  <r>
    <x v="36"/>
  </r>
  <r>
    <x v="89"/>
  </r>
  <r>
    <x v="89"/>
  </r>
  <r>
    <x v="89"/>
  </r>
  <r>
    <x v="36"/>
  </r>
  <r>
    <x v="10"/>
  </r>
  <r>
    <x v="28"/>
  </r>
  <r>
    <x v="4"/>
  </r>
  <r>
    <x v="4"/>
  </r>
  <r>
    <x v="4"/>
  </r>
  <r>
    <x v="10"/>
  </r>
  <r>
    <x v="10"/>
  </r>
  <r>
    <x v="10"/>
  </r>
  <r>
    <x v="4"/>
  </r>
  <r>
    <x v="4"/>
  </r>
  <r>
    <x v="31"/>
  </r>
  <r>
    <x v="29"/>
  </r>
  <r>
    <x v="29"/>
  </r>
  <r>
    <x v="6"/>
  </r>
  <r>
    <x v="29"/>
  </r>
  <r>
    <x v="199"/>
  </r>
  <r>
    <x v="29"/>
  </r>
  <r>
    <x v="29"/>
  </r>
  <r>
    <x v="45"/>
  </r>
  <r>
    <x v="123"/>
  </r>
  <r>
    <x v="123"/>
  </r>
  <r>
    <x v="87"/>
  </r>
  <r>
    <x v="72"/>
  </r>
  <r>
    <x v="123"/>
  </r>
  <r>
    <x v="123"/>
  </r>
  <r>
    <x v="123"/>
  </r>
  <r>
    <x v="87"/>
  </r>
  <r>
    <x v="123"/>
  </r>
  <r>
    <x v="123"/>
  </r>
  <r>
    <x v="123"/>
  </r>
  <r>
    <x v="123"/>
  </r>
  <r>
    <x v="123"/>
  </r>
  <r>
    <x v="123"/>
  </r>
  <r>
    <x v="123"/>
  </r>
  <r>
    <x v="123"/>
  </r>
  <r>
    <x v="162"/>
  </r>
  <r>
    <x v="16"/>
  </r>
  <r>
    <x v="16"/>
  </r>
  <r>
    <x v="16"/>
  </r>
  <r>
    <x v="16"/>
  </r>
  <r>
    <x v="76"/>
  </r>
  <r>
    <x v="12"/>
  </r>
  <r>
    <x v="86"/>
  </r>
  <r>
    <x v="48"/>
  </r>
  <r>
    <x v="8"/>
  </r>
  <r>
    <x v="36"/>
  </r>
  <r>
    <x v="36"/>
  </r>
  <r>
    <x v="36"/>
  </r>
  <r>
    <x v="36"/>
  </r>
  <r>
    <x v="36"/>
  </r>
  <r>
    <x v="36"/>
  </r>
  <r>
    <x v="12"/>
  </r>
  <r>
    <x v="12"/>
  </r>
  <r>
    <x v="12"/>
  </r>
  <r>
    <x v="36"/>
  </r>
  <r>
    <x v="36"/>
  </r>
  <r>
    <x v="36"/>
  </r>
  <r>
    <x v="36"/>
  </r>
  <r>
    <x v="36"/>
  </r>
  <r>
    <x v="123"/>
  </r>
  <r>
    <x v="123"/>
  </r>
  <r>
    <x v="36"/>
  </r>
  <r>
    <x v="123"/>
  </r>
  <r>
    <x v="36"/>
  </r>
  <r>
    <x v="36"/>
  </r>
  <r>
    <x v="36"/>
  </r>
  <r>
    <x v="36"/>
  </r>
  <r>
    <x v="36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0"/>
  </r>
  <r>
    <x v="0"/>
  </r>
  <r>
    <x v="0"/>
  </r>
  <r>
    <x v="10"/>
  </r>
  <r>
    <x v="12"/>
  </r>
  <r>
    <x v="4"/>
  </r>
  <r>
    <x v="22"/>
  </r>
  <r>
    <x v="131"/>
  </r>
  <r>
    <x v="123"/>
  </r>
  <r>
    <x v="24"/>
  </r>
  <r>
    <x v="24"/>
  </r>
  <r>
    <x v="24"/>
  </r>
  <r>
    <x v="24"/>
  </r>
  <r>
    <x v="24"/>
  </r>
  <r>
    <x v="2"/>
  </r>
  <r>
    <x v="24"/>
  </r>
  <r>
    <x v="24"/>
  </r>
  <r>
    <x v="24"/>
  </r>
  <r>
    <x v="24"/>
  </r>
  <r>
    <x v="24"/>
  </r>
  <r>
    <x v="24"/>
  </r>
  <r>
    <x v="24"/>
  </r>
  <r>
    <x v="24"/>
  </r>
  <r>
    <x v="4"/>
  </r>
  <r>
    <x v="83"/>
  </r>
  <r>
    <x v="83"/>
  </r>
  <r>
    <x v="28"/>
  </r>
  <r>
    <x v="28"/>
  </r>
  <r>
    <x v="28"/>
  </r>
  <r>
    <x v="28"/>
  </r>
  <r>
    <x v="152"/>
  </r>
  <r>
    <x v="42"/>
  </r>
  <r>
    <x v="0"/>
  </r>
  <r>
    <x v="62"/>
  </r>
  <r>
    <x v="42"/>
  </r>
  <r>
    <x v="42"/>
  </r>
  <r>
    <x v="42"/>
  </r>
  <r>
    <x v="42"/>
  </r>
  <r>
    <x v="0"/>
  </r>
  <r>
    <x v="0"/>
  </r>
  <r>
    <x v="0"/>
  </r>
  <r>
    <x v="0"/>
  </r>
  <r>
    <x v="14"/>
  </r>
  <r>
    <x v="0"/>
  </r>
  <r>
    <x v="1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6"/>
  </r>
  <r>
    <x v="16"/>
  </r>
  <r>
    <x v="56"/>
  </r>
  <r>
    <x v="56"/>
  </r>
  <r>
    <x v="16"/>
  </r>
  <r>
    <x v="72"/>
  </r>
  <r>
    <x v="56"/>
  </r>
  <r>
    <x v="56"/>
  </r>
  <r>
    <x v="113"/>
  </r>
  <r>
    <x v="56"/>
  </r>
  <r>
    <x v="113"/>
  </r>
  <r>
    <x v="10"/>
  </r>
  <r>
    <x v="0"/>
  </r>
  <r>
    <x v="0"/>
  </r>
  <r>
    <x v="26"/>
  </r>
  <r>
    <x v="0"/>
  </r>
  <r>
    <x v="12"/>
  </r>
  <r>
    <x v="199"/>
  </r>
  <r>
    <x v="2"/>
  </r>
  <r>
    <x v="2"/>
  </r>
  <r>
    <x v="2"/>
  </r>
  <r>
    <x v="31"/>
  </r>
  <r>
    <x v="45"/>
  </r>
  <r>
    <x v="48"/>
  </r>
  <r>
    <x v="48"/>
  </r>
  <r>
    <x v="0"/>
  </r>
  <r>
    <x v="0"/>
  </r>
  <r>
    <x v="48"/>
  </r>
  <r>
    <x v="48"/>
  </r>
  <r>
    <x v="48"/>
  </r>
  <r>
    <x v="138"/>
  </r>
  <r>
    <x v="12"/>
  </r>
  <r>
    <x v="21"/>
  </r>
  <r>
    <x v="21"/>
  </r>
  <r>
    <x v="21"/>
  </r>
  <r>
    <x v="29"/>
  </r>
  <r>
    <x v="25"/>
  </r>
  <r>
    <x v="152"/>
  </r>
  <r>
    <x v="154"/>
  </r>
  <r>
    <x v="152"/>
  </r>
  <r>
    <x v="44"/>
  </r>
  <r>
    <x v="141"/>
  </r>
  <r>
    <x v="44"/>
  </r>
  <r>
    <x v="4"/>
  </r>
  <r>
    <x v="3"/>
  </r>
  <r>
    <x v="4"/>
  </r>
  <r>
    <x v="4"/>
  </r>
  <r>
    <x v="4"/>
  </r>
  <r>
    <x v="3"/>
  </r>
  <r>
    <x v="31"/>
  </r>
  <r>
    <x v="4"/>
  </r>
  <r>
    <x v="3"/>
  </r>
  <r>
    <x v="14"/>
  </r>
  <r>
    <x v="10"/>
  </r>
  <r>
    <x v="10"/>
  </r>
  <r>
    <x v="3"/>
  </r>
  <r>
    <x v="48"/>
  </r>
  <r>
    <x v="3"/>
  </r>
  <r>
    <x v="55"/>
  </r>
  <r>
    <x v="3"/>
  </r>
  <r>
    <x v="41"/>
  </r>
  <r>
    <x v="12"/>
  </r>
  <r>
    <x v="128"/>
  </r>
  <r>
    <x v="12"/>
  </r>
  <r>
    <x v="12"/>
  </r>
  <r>
    <x v="28"/>
  </r>
  <r>
    <x v="28"/>
  </r>
  <r>
    <x v="28"/>
  </r>
  <r>
    <x v="45"/>
  </r>
  <r>
    <x v="4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4"/>
  </r>
  <r>
    <x v="24"/>
  </r>
  <r>
    <x v="24"/>
  </r>
  <r>
    <x v="24"/>
  </r>
  <r>
    <x v="123"/>
  </r>
  <r>
    <x v="123"/>
  </r>
  <r>
    <x v="48"/>
  </r>
  <r>
    <x v="123"/>
  </r>
  <r>
    <x v="48"/>
  </r>
  <r>
    <x v="12"/>
  </r>
  <r>
    <x v="123"/>
  </r>
  <r>
    <x v="123"/>
  </r>
  <r>
    <x v="24"/>
  </r>
  <r>
    <x v="11"/>
  </r>
  <r>
    <x v="51"/>
  </r>
  <r>
    <x v="51"/>
  </r>
  <r>
    <x v="126"/>
  </r>
  <r>
    <x v="126"/>
  </r>
  <r>
    <x v="126"/>
  </r>
  <r>
    <x v="126"/>
  </r>
  <r>
    <x v="126"/>
  </r>
  <r>
    <x v="126"/>
  </r>
  <r>
    <x v="126"/>
  </r>
  <r>
    <x v="33"/>
  </r>
  <r>
    <x v="33"/>
  </r>
  <r>
    <x v="10"/>
  </r>
  <r>
    <x v="10"/>
  </r>
  <r>
    <x v="10"/>
  </r>
  <r>
    <x v="10"/>
  </r>
  <r>
    <x v="8"/>
  </r>
  <r>
    <x v="10"/>
  </r>
  <r>
    <x v="10"/>
  </r>
  <r>
    <x v="4"/>
  </r>
  <r>
    <x v="53"/>
  </r>
  <r>
    <x v="141"/>
  </r>
  <r>
    <x v="126"/>
  </r>
  <r>
    <x v="53"/>
  </r>
  <r>
    <x v="53"/>
  </r>
  <r>
    <x v="10"/>
  </r>
  <r>
    <x v="36"/>
  </r>
  <r>
    <x v="36"/>
  </r>
  <r>
    <x v="10"/>
  </r>
  <r>
    <x v="10"/>
  </r>
  <r>
    <x v="4"/>
  </r>
  <r>
    <x v="4"/>
  </r>
  <r>
    <x v="10"/>
  </r>
  <r>
    <x v="10"/>
  </r>
  <r>
    <x v="25"/>
  </r>
  <r>
    <x v="14"/>
  </r>
  <r>
    <x v="10"/>
  </r>
  <r>
    <x v="10"/>
  </r>
  <r>
    <x v="71"/>
  </r>
  <r>
    <x v="71"/>
  </r>
  <r>
    <x v="71"/>
  </r>
  <r>
    <x v="71"/>
  </r>
  <r>
    <x v="10"/>
  </r>
  <r>
    <x v="10"/>
  </r>
  <r>
    <x v="10"/>
  </r>
  <r>
    <x v="10"/>
  </r>
  <r>
    <x v="10"/>
  </r>
  <r>
    <x v="10"/>
  </r>
  <r>
    <x v="10"/>
  </r>
  <r>
    <x v="13"/>
  </r>
  <r>
    <x v="16"/>
  </r>
  <r>
    <x v="62"/>
  </r>
  <r>
    <x v="261"/>
  </r>
  <r>
    <x v="34"/>
  </r>
  <r>
    <x v="79"/>
  </r>
  <r>
    <x v="79"/>
  </r>
  <r>
    <x v="34"/>
  </r>
  <r>
    <x v="0"/>
  </r>
  <r>
    <x v="0"/>
  </r>
  <r>
    <x v="0"/>
  </r>
  <r>
    <x v="14"/>
  </r>
  <r>
    <x v="22"/>
  </r>
  <r>
    <x v="26"/>
  </r>
  <r>
    <x v="48"/>
  </r>
  <r>
    <x v="42"/>
  </r>
  <r>
    <x v="42"/>
  </r>
  <r>
    <x v="42"/>
  </r>
  <r>
    <x v="12"/>
  </r>
  <r>
    <x v="146"/>
  </r>
  <r>
    <x v="146"/>
  </r>
  <r>
    <x v="22"/>
  </r>
  <r>
    <x v="1"/>
  </r>
  <r>
    <x v="1"/>
  </r>
  <r>
    <x v="16"/>
  </r>
  <r>
    <x v="1"/>
  </r>
  <r>
    <x v="49"/>
  </r>
  <r>
    <x v="42"/>
  </r>
  <r>
    <x v="49"/>
  </r>
  <r>
    <x v="45"/>
  </r>
  <r>
    <x v="12"/>
  </r>
  <r>
    <x v="34"/>
  </r>
  <r>
    <x v="0"/>
  </r>
  <r>
    <x v="14"/>
  </r>
  <r>
    <x v="123"/>
  </r>
  <r>
    <x v="123"/>
  </r>
  <r>
    <x v="1"/>
  </r>
  <r>
    <x v="42"/>
  </r>
  <r>
    <x v="87"/>
  </r>
  <r>
    <x v="42"/>
  </r>
  <r>
    <x v="42"/>
  </r>
  <r>
    <x v="42"/>
  </r>
  <r>
    <x v="42"/>
  </r>
  <r>
    <x v="29"/>
  </r>
  <r>
    <x v="14"/>
  </r>
  <r>
    <x v="0"/>
  </r>
  <r>
    <x v="0"/>
  </r>
  <r>
    <x v="10"/>
  </r>
  <r>
    <x v="0"/>
  </r>
  <r>
    <x v="0"/>
  </r>
  <r>
    <x v="0"/>
  </r>
  <r>
    <x v="123"/>
  </r>
  <r>
    <x v="123"/>
  </r>
  <r>
    <x v="102"/>
  </r>
  <r>
    <x v="45"/>
  </r>
  <r>
    <x v="10"/>
  </r>
  <r>
    <x v="14"/>
  </r>
  <r>
    <x v="4"/>
  </r>
  <r>
    <x v="123"/>
  </r>
  <r>
    <x v="123"/>
  </r>
  <r>
    <x v="123"/>
  </r>
  <r>
    <x v="77"/>
  </r>
  <r>
    <x v="12"/>
  </r>
  <r>
    <x v="68"/>
  </r>
  <r>
    <x v="77"/>
  </r>
  <r>
    <x v="1"/>
  </r>
  <r>
    <x v="77"/>
  </r>
  <r>
    <x v="77"/>
  </r>
  <r>
    <x v="4"/>
  </r>
  <r>
    <x v="77"/>
  </r>
  <r>
    <x v="77"/>
  </r>
  <r>
    <x v="0"/>
  </r>
  <r>
    <x v="52"/>
  </r>
  <r>
    <x v="1"/>
  </r>
  <r>
    <x v="77"/>
  </r>
  <r>
    <x v="233"/>
  </r>
  <r>
    <x v="16"/>
  </r>
  <r>
    <x v="68"/>
  </r>
  <r>
    <x v="50"/>
  </r>
  <r>
    <x v="4"/>
  </r>
  <r>
    <x v="4"/>
  </r>
  <r>
    <x v="29"/>
  </r>
  <r>
    <x v="72"/>
  </r>
  <r>
    <x v="87"/>
  </r>
  <r>
    <x v="16"/>
  </r>
  <r>
    <x v="16"/>
  </r>
  <r>
    <x v="87"/>
  </r>
  <r>
    <x v="56"/>
  </r>
  <r>
    <x v="77"/>
  </r>
  <r>
    <x v="10"/>
  </r>
  <r>
    <x v="10"/>
  </r>
  <r>
    <x v="10"/>
  </r>
  <r>
    <x v="10"/>
  </r>
  <r>
    <x v="10"/>
  </r>
  <r>
    <x v="10"/>
  </r>
  <r>
    <x v="4"/>
  </r>
  <r>
    <x v="7"/>
  </r>
  <r>
    <x v="7"/>
  </r>
  <r>
    <x v="7"/>
  </r>
  <r>
    <x v="7"/>
  </r>
  <r>
    <x v="7"/>
  </r>
  <r>
    <x v="4"/>
  </r>
  <r>
    <x v="7"/>
  </r>
  <r>
    <x v="7"/>
  </r>
  <r>
    <x v="0"/>
  </r>
  <r>
    <x v="0"/>
  </r>
  <r>
    <x v="0"/>
  </r>
  <r>
    <x v="0"/>
  </r>
  <r>
    <x v="16"/>
  </r>
  <r>
    <x v="28"/>
  </r>
  <r>
    <x v="1"/>
  </r>
  <r>
    <x v="16"/>
  </r>
  <r>
    <x v="123"/>
  </r>
  <r>
    <x v="16"/>
  </r>
  <r>
    <x v="28"/>
  </r>
  <r>
    <x v="40"/>
  </r>
  <r>
    <x v="28"/>
  </r>
  <r>
    <x v="40"/>
  </r>
  <r>
    <x v="28"/>
  </r>
  <r>
    <x v="28"/>
  </r>
  <r>
    <x v="28"/>
  </r>
  <r>
    <x v="28"/>
  </r>
  <r>
    <x v="40"/>
  </r>
  <r>
    <x v="40"/>
  </r>
  <r>
    <x v="108"/>
  </r>
  <r>
    <x v="40"/>
  </r>
  <r>
    <x v="40"/>
  </r>
  <r>
    <x v="40"/>
  </r>
  <r>
    <x v="40"/>
  </r>
  <r>
    <x v="40"/>
  </r>
  <r>
    <x v="40"/>
  </r>
  <r>
    <x v="40"/>
  </r>
  <r>
    <x v="123"/>
  </r>
  <r>
    <x v="12"/>
  </r>
  <r>
    <x v="12"/>
  </r>
  <r>
    <x v="1"/>
  </r>
  <r>
    <x v="19"/>
  </r>
  <r>
    <x v="14"/>
  </r>
  <r>
    <x v="14"/>
  </r>
  <r>
    <x v="79"/>
  </r>
  <r>
    <x v="11"/>
  </r>
  <r>
    <x v="16"/>
  </r>
  <r>
    <x v="6"/>
  </r>
  <r>
    <x v="12"/>
  </r>
  <r>
    <x v="7"/>
  </r>
  <r>
    <x v="7"/>
  </r>
  <r>
    <x v="87"/>
  </r>
  <r>
    <x v="14"/>
  </r>
  <r>
    <x v="87"/>
  </r>
  <r>
    <x v="7"/>
  </r>
  <r>
    <x v="7"/>
  </r>
  <r>
    <x v="7"/>
  </r>
  <r>
    <x v="7"/>
  </r>
  <r>
    <x v="12"/>
  </r>
  <r>
    <x v="7"/>
  </r>
  <r>
    <x v="7"/>
  </r>
  <r>
    <x v="7"/>
  </r>
  <r>
    <x v="7"/>
  </r>
  <r>
    <x v="7"/>
  </r>
  <r>
    <x v="7"/>
  </r>
  <r>
    <x v="7"/>
  </r>
  <r>
    <x v="7"/>
  </r>
  <r>
    <x v="7"/>
  </r>
  <r>
    <x v="42"/>
  </r>
  <r>
    <x v="42"/>
  </r>
  <r>
    <x v="16"/>
  </r>
  <r>
    <x v="80"/>
  </r>
  <r>
    <x v="80"/>
  </r>
  <r>
    <x v="112"/>
  </r>
  <r>
    <x v="112"/>
  </r>
  <r>
    <x v="87"/>
  </r>
  <r>
    <x v="12"/>
  </r>
  <r>
    <x v="1"/>
  </r>
  <r>
    <x v="12"/>
  </r>
  <r>
    <x v="1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2"/>
  </r>
  <r>
    <x v="12"/>
  </r>
  <r>
    <x v="43"/>
  </r>
  <r>
    <x v="7"/>
  </r>
  <r>
    <x v="7"/>
  </r>
  <r>
    <x v="6"/>
  </r>
  <r>
    <x v="1"/>
  </r>
  <r>
    <x v="1"/>
  </r>
  <r>
    <x v="1"/>
  </r>
  <r>
    <x v="1"/>
  </r>
  <r>
    <x v="17"/>
  </r>
  <r>
    <x v="0"/>
  </r>
  <r>
    <x v="263"/>
  </r>
  <r>
    <x v="4"/>
  </r>
  <r>
    <x v="10"/>
  </r>
  <r>
    <x v="10"/>
  </r>
  <r>
    <x v="10"/>
  </r>
  <r>
    <x v="0"/>
  </r>
  <r>
    <x v="12"/>
  </r>
  <r>
    <x v="36"/>
  </r>
  <r>
    <x v="36"/>
  </r>
  <r>
    <x v="36"/>
  </r>
  <r>
    <x v="36"/>
  </r>
  <r>
    <x v="36"/>
  </r>
  <r>
    <x v="36"/>
  </r>
  <r>
    <x v="78"/>
  </r>
  <r>
    <x v="36"/>
  </r>
  <r>
    <x v="36"/>
  </r>
  <r>
    <x v="36"/>
  </r>
  <r>
    <x v="72"/>
  </r>
  <r>
    <x v="0"/>
  </r>
  <r>
    <x v="37"/>
  </r>
  <r>
    <x v="78"/>
  </r>
  <r>
    <x v="78"/>
  </r>
  <r>
    <x v="78"/>
  </r>
  <r>
    <x v="59"/>
  </r>
  <r>
    <x v="56"/>
  </r>
  <r>
    <x v="45"/>
  </r>
  <r>
    <x v="78"/>
  </r>
  <r>
    <x v="45"/>
  </r>
  <r>
    <x v="78"/>
  </r>
  <r>
    <x v="78"/>
  </r>
  <r>
    <x v="78"/>
  </r>
  <r>
    <x v="11"/>
  </r>
  <r>
    <x v="42"/>
  </r>
  <r>
    <x v="33"/>
  </r>
  <r>
    <x v="24"/>
  </r>
  <r>
    <x v="12"/>
  </r>
  <r>
    <x v="12"/>
  </r>
  <r>
    <x v="12"/>
  </r>
  <r>
    <x v="4"/>
  </r>
  <r>
    <x v="12"/>
  </r>
  <r>
    <x v="12"/>
  </r>
  <r>
    <x v="12"/>
  </r>
  <r>
    <x v="10"/>
  </r>
  <r>
    <x v="10"/>
  </r>
  <r>
    <x v="10"/>
  </r>
  <r>
    <x v="10"/>
  </r>
  <r>
    <x v="45"/>
  </r>
  <r>
    <x v="43"/>
  </r>
  <r>
    <x v="43"/>
  </r>
  <r>
    <x v="43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126"/>
  </r>
  <r>
    <x v="126"/>
  </r>
  <r>
    <x v="19"/>
  </r>
  <r>
    <x v="112"/>
  </r>
  <r>
    <x v="0"/>
  </r>
  <r>
    <x v="0"/>
  </r>
  <r>
    <x v="0"/>
  </r>
  <r>
    <x v="0"/>
  </r>
  <r>
    <x v="0"/>
  </r>
  <r>
    <x v="0"/>
  </r>
  <r>
    <x v="45"/>
  </r>
  <r>
    <x v="8"/>
  </r>
  <r>
    <x v="30"/>
  </r>
  <r>
    <x v="123"/>
  </r>
  <r>
    <x v="1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76"/>
  </r>
  <r>
    <x v="123"/>
  </r>
  <r>
    <x v="146"/>
  </r>
  <r>
    <x v="123"/>
  </r>
  <r>
    <x v="4"/>
  </r>
  <r>
    <x v="22"/>
  </r>
  <r>
    <x v="12"/>
  </r>
  <r>
    <x v="37"/>
  </r>
  <r>
    <x v="31"/>
  </r>
  <r>
    <x v="26"/>
  </r>
  <r>
    <x v="14"/>
  </r>
  <r>
    <x v="14"/>
  </r>
  <r>
    <x v="10"/>
  </r>
  <r>
    <x v="12"/>
  </r>
  <r>
    <x v="9"/>
  </r>
  <r>
    <x v="4"/>
  </r>
  <r>
    <x v="17"/>
  </r>
  <r>
    <x v="4"/>
  </r>
  <r>
    <x v="4"/>
  </r>
  <r>
    <x v="4"/>
  </r>
  <r>
    <x v="4"/>
  </r>
  <r>
    <x v="4"/>
  </r>
  <r>
    <x v="87"/>
  </r>
  <r>
    <x v="4"/>
  </r>
  <r>
    <x v="57"/>
  </r>
  <r>
    <x v="10"/>
  </r>
  <r>
    <x v="17"/>
  </r>
  <r>
    <x v="12"/>
  </r>
  <r>
    <x v="4"/>
  </r>
  <r>
    <x v="10"/>
  </r>
  <r>
    <x v="4"/>
  </r>
  <r>
    <x v="4"/>
  </r>
  <r>
    <x v="0"/>
  </r>
  <r>
    <x v="19"/>
  </r>
  <r>
    <x v="71"/>
  </r>
  <r>
    <x v="71"/>
  </r>
  <r>
    <x v="4"/>
  </r>
  <r>
    <x v="10"/>
  </r>
  <r>
    <x v="4"/>
  </r>
  <r>
    <x v="10"/>
  </r>
  <r>
    <x v="10"/>
  </r>
  <r>
    <x v="16"/>
  </r>
  <r>
    <x v="4"/>
  </r>
  <r>
    <x v="10"/>
  </r>
  <r>
    <x v="7"/>
  </r>
  <r>
    <x v="10"/>
  </r>
  <r>
    <x v="30"/>
  </r>
  <r>
    <x v="16"/>
  </r>
  <r>
    <x v="30"/>
  </r>
  <r>
    <x v="10"/>
  </r>
  <r>
    <x v="10"/>
  </r>
  <r>
    <x v="10"/>
  </r>
  <r>
    <x v="10"/>
  </r>
  <r>
    <x v="14"/>
  </r>
  <r>
    <x v="42"/>
  </r>
  <r>
    <x v="0"/>
  </r>
  <r>
    <x v="42"/>
  </r>
  <r>
    <x v="131"/>
  </r>
  <r>
    <x v="0"/>
  </r>
  <r>
    <x v="12"/>
  </r>
  <r>
    <x v="0"/>
  </r>
  <r>
    <x v="30"/>
  </r>
  <r>
    <x v="10"/>
  </r>
  <r>
    <x v="10"/>
  </r>
  <r>
    <x v="10"/>
  </r>
  <r>
    <x v="10"/>
  </r>
  <r>
    <x v="10"/>
  </r>
  <r>
    <x v="30"/>
  </r>
  <r>
    <x v="131"/>
  </r>
  <r>
    <x v="11"/>
  </r>
  <r>
    <x v="165"/>
  </r>
  <r>
    <x v="11"/>
  </r>
  <r>
    <x v="0"/>
  </r>
  <r>
    <x v="31"/>
  </r>
  <r>
    <x v="14"/>
  </r>
  <r>
    <x v="59"/>
  </r>
  <r>
    <x v="2"/>
  </r>
  <r>
    <x v="46"/>
  </r>
  <r>
    <x v="30"/>
  </r>
  <r>
    <x v="88"/>
  </r>
  <r>
    <x v="42"/>
  </r>
  <r>
    <x v="42"/>
  </r>
  <r>
    <x v="190"/>
  </r>
  <r>
    <x v="87"/>
  </r>
  <r>
    <x v="77"/>
  </r>
  <r>
    <x v="12"/>
  </r>
  <r>
    <x v="12"/>
  </r>
  <r>
    <x v="12"/>
  </r>
  <r>
    <x v="12"/>
  </r>
  <r>
    <x v="12"/>
  </r>
  <r>
    <x v="12"/>
  </r>
  <r>
    <x v="36"/>
  </r>
  <r>
    <x v="128"/>
  </r>
  <r>
    <x v="165"/>
  </r>
  <r>
    <x v="42"/>
  </r>
  <r>
    <x v="42"/>
  </r>
  <r>
    <x v="42"/>
  </r>
  <r>
    <x v="56"/>
  </r>
  <r>
    <x v="4"/>
  </r>
  <r>
    <x v="19"/>
  </r>
  <r>
    <x v="17"/>
  </r>
  <r>
    <x v="4"/>
  </r>
  <r>
    <x v="4"/>
  </r>
  <r>
    <x v="10"/>
  </r>
  <r>
    <x v="186"/>
  </r>
  <r>
    <x v="10"/>
  </r>
  <r>
    <x v="19"/>
  </r>
  <r>
    <x v="25"/>
  </r>
  <r>
    <x v="45"/>
  </r>
  <r>
    <x v="76"/>
  </r>
  <r>
    <x v="19"/>
  </r>
  <r>
    <x v="21"/>
  </r>
  <r>
    <x v="4"/>
  </r>
  <r>
    <x v="80"/>
  </r>
  <r>
    <x v="4"/>
  </r>
  <r>
    <x v="31"/>
  </r>
  <r>
    <x v="163"/>
  </r>
  <r>
    <x v="31"/>
  </r>
  <r>
    <x v="37"/>
  </r>
  <r>
    <x v="31"/>
  </r>
  <r>
    <x v="7"/>
  </r>
  <r>
    <x v="131"/>
  </r>
  <r>
    <x v="31"/>
  </r>
  <r>
    <x v="6"/>
  </r>
  <r>
    <x v="12"/>
  </r>
  <r>
    <x v="45"/>
  </r>
  <r>
    <x v="4"/>
  </r>
  <r>
    <x v="0"/>
  </r>
  <r>
    <x v="12"/>
  </r>
  <r>
    <x v="11"/>
  </r>
  <r>
    <x v="37"/>
  </r>
  <r>
    <x v="11"/>
  </r>
  <r>
    <x v="44"/>
  </r>
  <r>
    <x v="42"/>
  </r>
  <r>
    <x v="42"/>
  </r>
  <r>
    <x v="31"/>
  </r>
  <r>
    <x v="14"/>
  </r>
  <r>
    <x v="46"/>
  </r>
  <r>
    <x v="24"/>
  </r>
  <r>
    <x v="14"/>
  </r>
  <r>
    <x v="45"/>
  </r>
  <r>
    <x v="112"/>
  </r>
  <r>
    <x v="112"/>
  </r>
  <r>
    <x v="25"/>
  </r>
  <r>
    <x v="10"/>
  </r>
  <r>
    <x v="12"/>
  </r>
  <r>
    <x v="10"/>
  </r>
  <r>
    <x v="10"/>
  </r>
  <r>
    <x v="22"/>
  </r>
  <r>
    <x v="22"/>
  </r>
  <r>
    <x v="12"/>
  </r>
  <r>
    <x v="12"/>
  </r>
  <r>
    <x v="12"/>
  </r>
  <r>
    <x v="12"/>
  </r>
  <r>
    <x v="12"/>
  </r>
  <r>
    <x v="12"/>
  </r>
  <r>
    <x v="12"/>
  </r>
  <r>
    <x v="77"/>
  </r>
  <r>
    <x v="12"/>
  </r>
  <r>
    <x v="12"/>
  </r>
  <r>
    <x v="7"/>
  </r>
  <r>
    <x v="78"/>
  </r>
  <r>
    <x v="87"/>
  </r>
  <r>
    <x v="8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6"/>
  </r>
  <r>
    <x v="12"/>
  </r>
  <r>
    <x v="12"/>
  </r>
  <r>
    <x v="12"/>
  </r>
  <r>
    <x v="12"/>
  </r>
  <r>
    <x v="12"/>
  </r>
  <r>
    <x v="12"/>
  </r>
  <r>
    <x v="57"/>
  </r>
  <r>
    <x v="12"/>
  </r>
  <r>
    <x v="25"/>
  </r>
  <r>
    <x v="12"/>
  </r>
  <r>
    <x v="12"/>
  </r>
  <r>
    <x v="12"/>
  </r>
  <r>
    <x v="12"/>
  </r>
  <r>
    <x v="12"/>
  </r>
  <r>
    <x v="12"/>
  </r>
  <r>
    <x v="9"/>
  </r>
  <r>
    <x v="6"/>
  </r>
  <r>
    <x v="62"/>
  </r>
  <r>
    <x v="32"/>
  </r>
  <r>
    <x v="12"/>
  </r>
  <r>
    <x v="87"/>
  </r>
  <r>
    <x v="12"/>
  </r>
  <r>
    <x v="12"/>
  </r>
  <r>
    <x v="14"/>
  </r>
  <r>
    <x v="16"/>
  </r>
  <r>
    <x v="12"/>
  </r>
  <r>
    <x v="131"/>
  </r>
  <r>
    <x v="14"/>
  </r>
  <r>
    <x v="14"/>
  </r>
  <r>
    <x v="131"/>
  </r>
  <r>
    <x v="64"/>
  </r>
  <r>
    <x v="40"/>
  </r>
  <r>
    <x v="40"/>
  </r>
  <r>
    <x v="60"/>
  </r>
  <r>
    <x v="115"/>
  </r>
  <r>
    <x v="175"/>
  </r>
  <r>
    <x v="24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6"/>
  </r>
  <r>
    <x v="9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152"/>
  </r>
  <r>
    <x v="16"/>
  </r>
  <r>
    <x v="16"/>
  </r>
  <r>
    <x v="28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12"/>
  </r>
  <r>
    <x v="12"/>
  </r>
  <r>
    <x v="0"/>
  </r>
  <r>
    <x v="0"/>
  </r>
  <r>
    <x v="14"/>
  </r>
  <r>
    <x v="12"/>
  </r>
  <r>
    <x v="0"/>
  </r>
  <r>
    <x v="0"/>
  </r>
  <r>
    <x v="0"/>
  </r>
  <r>
    <x v="0"/>
  </r>
  <r>
    <x v="42"/>
  </r>
  <r>
    <x v="0"/>
  </r>
  <r>
    <x v="0"/>
  </r>
  <r>
    <x v="123"/>
  </r>
  <r>
    <x v="123"/>
  </r>
  <r>
    <x v="0"/>
  </r>
  <r>
    <x v="129"/>
  </r>
  <r>
    <x v="0"/>
  </r>
  <r>
    <x v="0"/>
  </r>
  <r>
    <x v="0"/>
  </r>
  <r>
    <x v="0"/>
  </r>
  <r>
    <x v="0"/>
  </r>
  <r>
    <x v="0"/>
  </r>
  <r>
    <x v="115"/>
  </r>
  <r>
    <x v="102"/>
  </r>
  <r>
    <x v="22"/>
  </r>
  <r>
    <x v="1"/>
  </r>
  <r>
    <x v="14"/>
  </r>
  <r>
    <x v="11"/>
  </r>
  <r>
    <x v="123"/>
  </r>
  <r>
    <x v="123"/>
  </r>
  <r>
    <x v="25"/>
  </r>
  <r>
    <x v="1"/>
  </r>
  <r>
    <x v="1"/>
  </r>
  <r>
    <x v="1"/>
  </r>
  <r>
    <x v="0"/>
  </r>
  <r>
    <x v="0"/>
  </r>
  <r>
    <x v="0"/>
  </r>
  <r>
    <x v="33"/>
  </r>
  <r>
    <x v="33"/>
  </r>
  <r>
    <x v="10"/>
  </r>
  <r>
    <x v="16"/>
  </r>
  <r>
    <x v="16"/>
  </r>
  <r>
    <x v="12"/>
  </r>
  <r>
    <x v="0"/>
  </r>
  <r>
    <x v="0"/>
  </r>
  <r>
    <x v="51"/>
  </r>
  <r>
    <x v="24"/>
  </r>
  <r>
    <x v="0"/>
  </r>
  <r>
    <x v="0"/>
  </r>
  <r>
    <x v="0"/>
  </r>
  <r>
    <x v="31"/>
  </r>
  <r>
    <x v="10"/>
  </r>
  <r>
    <x v="64"/>
  </r>
  <r>
    <x v="33"/>
  </r>
  <r>
    <x v="4"/>
  </r>
  <r>
    <x v="152"/>
  </r>
  <r>
    <x v="4"/>
  </r>
  <r>
    <x v="12"/>
  </r>
  <r>
    <x v="19"/>
  </r>
  <r>
    <x v="36"/>
  </r>
  <r>
    <x v="14"/>
  </r>
  <r>
    <x v="36"/>
  </r>
  <r>
    <x v="36"/>
  </r>
  <r>
    <x v="36"/>
  </r>
  <r>
    <x v="87"/>
  </r>
  <r>
    <x v="0"/>
  </r>
  <r>
    <x v="87"/>
  </r>
  <r>
    <x v="71"/>
  </r>
  <r>
    <x v="87"/>
  </r>
  <r>
    <x v="87"/>
  </r>
  <r>
    <x v="10"/>
  </r>
  <r>
    <x v="43"/>
  </r>
  <r>
    <x v="4"/>
  </r>
  <r>
    <x v="9"/>
  </r>
  <r>
    <x v="87"/>
  </r>
  <r>
    <x v="43"/>
  </r>
  <r>
    <x v="80"/>
  </r>
  <r>
    <x v="165"/>
  </r>
  <r>
    <x v="138"/>
  </r>
  <r>
    <x v="0"/>
  </r>
  <r>
    <x v="16"/>
  </r>
  <r>
    <x v="16"/>
  </r>
  <r>
    <x v="25"/>
  </r>
  <r>
    <x v="79"/>
  </r>
  <r>
    <x v="14"/>
  </r>
  <r>
    <x v="87"/>
  </r>
  <r>
    <x v="136"/>
  </r>
  <r>
    <x v="87"/>
  </r>
  <r>
    <x v="87"/>
  </r>
  <r>
    <x v="87"/>
  </r>
  <r>
    <x v="87"/>
  </r>
  <r>
    <x v="29"/>
  </r>
  <r>
    <x v="0"/>
  </r>
  <r>
    <x v="12"/>
  </r>
  <r>
    <x v="28"/>
  </r>
  <r>
    <x v="123"/>
  </r>
  <r>
    <x v="4"/>
  </r>
  <r>
    <x v="183"/>
  </r>
  <r>
    <x v="183"/>
  </r>
  <r>
    <x v="4"/>
  </r>
  <r>
    <x v="123"/>
  </r>
  <r>
    <x v="123"/>
  </r>
  <r>
    <x v="12"/>
  </r>
  <r>
    <x v="22"/>
  </r>
  <r>
    <x v="63"/>
  </r>
  <r>
    <x v="25"/>
  </r>
  <r>
    <x v="10"/>
  </r>
  <r>
    <x v="10"/>
  </r>
  <r>
    <x v="10"/>
  </r>
  <r>
    <x v="10"/>
  </r>
  <r>
    <x v="0"/>
  </r>
  <r>
    <x v="10"/>
  </r>
  <r>
    <x v="10"/>
  </r>
  <r>
    <x v="0"/>
  </r>
  <r>
    <x v="6"/>
  </r>
  <r>
    <x v="40"/>
  </r>
  <r>
    <x v="0"/>
  </r>
  <r>
    <x v="12"/>
  </r>
  <r>
    <x v="22"/>
  </r>
  <r>
    <x v="12"/>
  </r>
  <r>
    <x v="12"/>
  </r>
  <r>
    <x v="14"/>
  </r>
  <r>
    <x v="17"/>
  </r>
  <r>
    <x v="14"/>
  </r>
  <r>
    <x v="46"/>
  </r>
  <r>
    <x v="46"/>
  </r>
  <r>
    <x v="59"/>
  </r>
  <r>
    <x v="31"/>
  </r>
  <r>
    <x v="14"/>
  </r>
  <r>
    <x v="24"/>
  </r>
  <r>
    <x v="16"/>
  </r>
  <r>
    <x v="166"/>
  </r>
  <r>
    <x v="28"/>
  </r>
  <r>
    <x v="0"/>
  </r>
  <r>
    <x v="0"/>
  </r>
  <r>
    <x v="28"/>
  </r>
  <r>
    <x v="3"/>
  </r>
  <r>
    <x v="12"/>
  </r>
  <r>
    <x v="7"/>
  </r>
  <r>
    <x v="7"/>
  </r>
  <r>
    <x v="7"/>
  </r>
  <r>
    <x v="7"/>
  </r>
  <r>
    <x v="7"/>
  </r>
  <r>
    <x v="12"/>
  </r>
  <r>
    <x v="0"/>
  </r>
  <r>
    <x v="7"/>
  </r>
  <r>
    <x v="7"/>
  </r>
  <r>
    <x v="7"/>
  </r>
  <r>
    <x v="7"/>
  </r>
  <r>
    <x v="7"/>
  </r>
  <r>
    <x v="7"/>
  </r>
  <r>
    <x v="7"/>
  </r>
  <r>
    <x v="10"/>
  </r>
  <r>
    <x v="10"/>
  </r>
  <r>
    <x v="10"/>
  </r>
  <r>
    <x v="86"/>
  </r>
  <r>
    <x v="39"/>
  </r>
  <r>
    <x v="4"/>
  </r>
  <r>
    <x v="16"/>
  </r>
  <r>
    <x v="3"/>
  </r>
  <r>
    <x v="10"/>
  </r>
  <r>
    <x v="11"/>
  </r>
  <r>
    <x v="123"/>
  </r>
  <r>
    <x v="123"/>
  </r>
  <r>
    <x v="59"/>
  </r>
  <r>
    <x v="14"/>
  </r>
  <r>
    <x v="31"/>
  </r>
  <r>
    <x v="29"/>
  </r>
  <r>
    <x v="4"/>
  </r>
  <r>
    <x v="10"/>
  </r>
  <r>
    <x v="12"/>
  </r>
  <r>
    <x v="4"/>
  </r>
  <r>
    <x v="4"/>
  </r>
  <r>
    <x v="12"/>
  </r>
  <r>
    <x v="4"/>
  </r>
  <r>
    <x v="4"/>
  </r>
  <r>
    <x v="10"/>
  </r>
  <r>
    <x v="42"/>
  </r>
  <r>
    <x v="10"/>
  </r>
  <r>
    <x v="10"/>
  </r>
  <r>
    <x v="72"/>
  </r>
  <r>
    <x v="87"/>
  </r>
  <r>
    <x v="87"/>
  </r>
  <r>
    <x v="87"/>
  </r>
  <r>
    <x v="86"/>
  </r>
  <r>
    <x v="86"/>
  </r>
  <r>
    <x v="20"/>
  </r>
  <r>
    <x v="12"/>
  </r>
  <r>
    <x v="42"/>
  </r>
  <r>
    <x v="87"/>
  </r>
  <r>
    <x v="12"/>
  </r>
  <r>
    <x v="77"/>
  </r>
  <r>
    <x v="10"/>
  </r>
  <r>
    <x v="24"/>
  </r>
  <r>
    <x v="24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4"/>
  </r>
  <r>
    <x v="10"/>
  </r>
  <r>
    <x v="50"/>
  </r>
  <r>
    <x v="48"/>
  </r>
  <r>
    <x v="48"/>
  </r>
  <r>
    <x v="56"/>
  </r>
  <r>
    <x v="12"/>
  </r>
  <r>
    <x v="10"/>
  </r>
  <r>
    <x v="10"/>
  </r>
  <r>
    <x v="56"/>
  </r>
  <r>
    <x v="56"/>
  </r>
  <r>
    <x v="56"/>
  </r>
  <r>
    <x v="56"/>
  </r>
  <r>
    <x v="56"/>
  </r>
  <r>
    <x v="0"/>
  </r>
  <r>
    <x v="12"/>
  </r>
  <r>
    <x v="12"/>
  </r>
  <r>
    <x v="56"/>
  </r>
  <r>
    <x v="56"/>
  </r>
  <r>
    <x v="56"/>
  </r>
  <r>
    <x v="56"/>
  </r>
  <r>
    <x v="0"/>
  </r>
  <r>
    <x v="7"/>
  </r>
  <r>
    <x v="4"/>
  </r>
  <r>
    <x v="81"/>
  </r>
  <r>
    <x v="16"/>
  </r>
  <r>
    <x v="10"/>
  </r>
  <r>
    <x v="10"/>
  </r>
  <r>
    <x v="12"/>
  </r>
  <r>
    <x v="138"/>
  </r>
  <r>
    <x v="201"/>
  </r>
  <r>
    <x v="138"/>
  </r>
  <r>
    <x v="175"/>
  </r>
  <r>
    <x v="138"/>
  </r>
  <r>
    <x v="138"/>
  </r>
  <r>
    <x v="112"/>
  </r>
  <r>
    <x v="10"/>
  </r>
  <r>
    <x v="78"/>
  </r>
  <r>
    <x v="152"/>
  </r>
  <r>
    <x v="36"/>
  </r>
  <r>
    <x v="36"/>
  </r>
  <r>
    <x v="42"/>
  </r>
  <r>
    <x v="14"/>
  </r>
  <r>
    <x v="12"/>
  </r>
  <r>
    <x v="12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1"/>
  </r>
  <r>
    <x v="42"/>
  </r>
  <r>
    <x v="42"/>
  </r>
  <r>
    <x v="123"/>
  </r>
  <r>
    <x v="123"/>
  </r>
  <r>
    <x v="123"/>
  </r>
  <r>
    <x v="123"/>
  </r>
  <r>
    <x v="76"/>
  </r>
  <r>
    <x v="87"/>
  </r>
  <r>
    <x v="87"/>
  </r>
  <r>
    <x v="87"/>
  </r>
  <r>
    <x v="87"/>
  </r>
  <r>
    <x v="87"/>
  </r>
  <r>
    <x v="87"/>
  </r>
  <r>
    <x v="0"/>
  </r>
  <r>
    <x v="0"/>
  </r>
  <r>
    <x v="87"/>
  </r>
  <r>
    <x v="87"/>
  </r>
  <r>
    <x v="87"/>
  </r>
  <r>
    <x v="87"/>
  </r>
  <r>
    <x v="29"/>
  </r>
  <r>
    <x v="87"/>
  </r>
  <r>
    <x v="7"/>
  </r>
  <r>
    <x v="14"/>
  </r>
  <r>
    <x v="28"/>
  </r>
  <r>
    <x v="10"/>
  </r>
  <r>
    <x v="10"/>
  </r>
  <r>
    <x v="28"/>
  </r>
  <r>
    <x v="40"/>
  </r>
  <r>
    <x v="40"/>
  </r>
  <r>
    <x v="40"/>
  </r>
  <r>
    <x v="40"/>
  </r>
  <r>
    <x v="40"/>
  </r>
  <r>
    <x v="14"/>
  </r>
  <r>
    <x v="40"/>
  </r>
  <r>
    <x v="24"/>
  </r>
  <r>
    <x v="24"/>
  </r>
  <r>
    <x v="24"/>
  </r>
  <r>
    <x v="24"/>
  </r>
  <r>
    <x v="24"/>
  </r>
  <r>
    <x v="24"/>
  </r>
  <r>
    <x v="10"/>
  </r>
  <r>
    <x v="0"/>
  </r>
  <r>
    <x v="0"/>
  </r>
  <r>
    <x v="0"/>
  </r>
  <r>
    <x v="25"/>
  </r>
  <r>
    <x v="152"/>
  </r>
  <r>
    <x v="146"/>
  </r>
  <r>
    <x v="152"/>
  </r>
  <r>
    <x v="0"/>
  </r>
  <r>
    <x v="0"/>
  </r>
  <r>
    <x v="0"/>
  </r>
  <r>
    <x v="0"/>
  </r>
  <r>
    <x v="14"/>
  </r>
  <r>
    <x v="10"/>
  </r>
  <r>
    <x v="14"/>
  </r>
  <r>
    <x v="42"/>
  </r>
  <r>
    <x v="79"/>
  </r>
  <r>
    <x v="16"/>
  </r>
  <r>
    <x v="36"/>
  </r>
  <r>
    <x v="36"/>
  </r>
  <r>
    <x v="86"/>
  </r>
  <r>
    <x v="36"/>
  </r>
  <r>
    <x v="48"/>
  </r>
  <r>
    <x v="86"/>
  </r>
  <r>
    <x v="86"/>
  </r>
  <r>
    <x v="86"/>
  </r>
  <r>
    <x v="86"/>
  </r>
  <r>
    <x v="86"/>
  </r>
  <r>
    <x v="86"/>
  </r>
  <r>
    <x v="86"/>
  </r>
  <r>
    <x v="86"/>
  </r>
  <r>
    <x v="86"/>
  </r>
  <r>
    <x v="87"/>
  </r>
  <r>
    <x v="4"/>
  </r>
  <r>
    <x v="4"/>
  </r>
  <r>
    <x v="4"/>
  </r>
  <r>
    <x v="4"/>
  </r>
  <r>
    <x v="4"/>
  </r>
  <r>
    <x v="76"/>
  </r>
  <r>
    <x v="76"/>
  </r>
  <r>
    <x v="76"/>
  </r>
  <r>
    <x v="25"/>
  </r>
  <r>
    <x v="4"/>
  </r>
  <r>
    <x v="42"/>
  </r>
  <r>
    <x v="42"/>
  </r>
  <r>
    <x v="10"/>
  </r>
  <r>
    <x v="10"/>
  </r>
  <r>
    <x v="10"/>
  </r>
  <r>
    <x v="16"/>
  </r>
  <r>
    <x v="16"/>
  </r>
  <r>
    <x v="12"/>
  </r>
  <r>
    <x v="12"/>
  </r>
  <r>
    <x v="16"/>
  </r>
  <r>
    <x v="12"/>
  </r>
  <r>
    <x v="12"/>
  </r>
  <r>
    <x v="7"/>
  </r>
  <r>
    <x v="12"/>
  </r>
  <r>
    <x v="16"/>
  </r>
  <r>
    <x v="7"/>
  </r>
  <r>
    <x v="1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3"/>
  </r>
  <r>
    <x v="12"/>
  </r>
  <r>
    <x v="16"/>
  </r>
  <r>
    <x v="24"/>
  </r>
  <r>
    <x v="4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19"/>
  </r>
  <r>
    <x v="4"/>
  </r>
  <r>
    <x v="14"/>
  </r>
  <r>
    <x v="4"/>
  </r>
  <r>
    <x v="0"/>
  </r>
  <r>
    <x v="21"/>
  </r>
  <r>
    <x v="45"/>
  </r>
  <r>
    <x v="14"/>
  </r>
  <r>
    <x v="86"/>
  </r>
  <r>
    <x v="86"/>
  </r>
  <r>
    <x v="14"/>
  </r>
  <r>
    <x v="14"/>
  </r>
  <r>
    <x v="14"/>
  </r>
  <r>
    <x v="14"/>
  </r>
  <r>
    <x v="14"/>
  </r>
  <r>
    <x v="130"/>
  </r>
  <r>
    <x v="63"/>
  </r>
  <r>
    <x v="40"/>
  </r>
  <r>
    <x v="138"/>
  </r>
  <r>
    <x v="138"/>
  </r>
  <r>
    <x v="138"/>
  </r>
  <r>
    <x v="10"/>
  </r>
  <r>
    <x v="10"/>
  </r>
  <r>
    <x v="31"/>
  </r>
  <r>
    <x v="0"/>
  </r>
  <r>
    <x v="0"/>
  </r>
  <r>
    <x v="0"/>
  </r>
  <r>
    <x v="10"/>
  </r>
  <r>
    <x v="155"/>
  </r>
  <r>
    <x v="165"/>
  </r>
  <r>
    <x v="155"/>
  </r>
  <r>
    <x v="33"/>
  </r>
  <r>
    <x v="10"/>
  </r>
  <r>
    <x v="33"/>
  </r>
  <r>
    <x v="33"/>
  </r>
  <r>
    <x v="4"/>
  </r>
  <r>
    <x v="2"/>
  </r>
  <r>
    <x v="33"/>
  </r>
  <r>
    <x v="33"/>
  </r>
  <r>
    <x v="0"/>
  </r>
  <r>
    <x v="0"/>
  </r>
  <r>
    <x v="36"/>
  </r>
  <r>
    <x v="0"/>
  </r>
  <r>
    <x v="33"/>
  </r>
  <r>
    <x v="0"/>
  </r>
  <r>
    <x v="0"/>
  </r>
  <r>
    <x v="0"/>
  </r>
  <r>
    <x v="0"/>
  </r>
  <r>
    <x v="0"/>
  </r>
  <r>
    <x v="10"/>
  </r>
  <r>
    <x v="10"/>
  </r>
  <r>
    <x v="33"/>
  </r>
  <r>
    <x v="33"/>
  </r>
  <r>
    <x v="12"/>
  </r>
  <r>
    <x v="12"/>
  </r>
  <r>
    <x v="0"/>
  </r>
  <r>
    <x v="72"/>
  </r>
  <r>
    <x v="123"/>
  </r>
  <r>
    <x v="123"/>
  </r>
  <r>
    <x v="4"/>
  </r>
  <r>
    <x v="30"/>
  </r>
  <r>
    <x v="76"/>
  </r>
  <r>
    <x v="42"/>
  </r>
  <r>
    <x v="42"/>
  </r>
  <r>
    <x v="42"/>
  </r>
  <r>
    <x v="25"/>
  </r>
  <r>
    <x v="42"/>
  </r>
  <r>
    <x v="199"/>
  </r>
  <r>
    <x v="42"/>
  </r>
  <r>
    <x v="2"/>
  </r>
  <r>
    <x v="12"/>
  </r>
  <r>
    <x v="4"/>
  </r>
  <r>
    <x v="76"/>
  </r>
  <r>
    <x v="76"/>
  </r>
  <r>
    <x v="7"/>
  </r>
  <r>
    <x v="7"/>
  </r>
  <r>
    <x v="10"/>
  </r>
  <r>
    <x v="10"/>
  </r>
  <r>
    <x v="42"/>
  </r>
  <r>
    <x v="42"/>
  </r>
  <r>
    <x v="12"/>
  </r>
  <r>
    <x v="4"/>
  </r>
  <r>
    <x v="10"/>
  </r>
  <r>
    <x v="24"/>
  </r>
  <r>
    <x v="10"/>
  </r>
  <r>
    <x v="77"/>
  </r>
  <r>
    <x v="126"/>
  </r>
  <r>
    <x v="0"/>
  </r>
  <r>
    <x v="0"/>
  </r>
  <r>
    <x v="57"/>
  </r>
  <r>
    <x v="0"/>
  </r>
  <r>
    <x v="0"/>
  </r>
  <r>
    <x v="0"/>
  </r>
  <r>
    <x v="0"/>
  </r>
  <r>
    <x v="0"/>
  </r>
  <r>
    <x v="22"/>
  </r>
  <r>
    <x v="123"/>
  </r>
  <r>
    <x v="123"/>
  </r>
  <r>
    <x v="25"/>
  </r>
  <r>
    <x v="10"/>
  </r>
  <r>
    <x v="0"/>
  </r>
  <r>
    <x v="0"/>
  </r>
  <r>
    <x v="0"/>
  </r>
  <r>
    <x v="0"/>
  </r>
  <r>
    <x v="0"/>
  </r>
  <r>
    <x v="14"/>
  </r>
  <r>
    <x v="10"/>
  </r>
  <r>
    <x v="21"/>
  </r>
  <r>
    <x v="86"/>
  </r>
  <r>
    <x v="86"/>
  </r>
  <r>
    <x v="115"/>
  </r>
  <r>
    <x v="115"/>
  </r>
  <r>
    <x v="86"/>
  </r>
  <r>
    <x v="4"/>
  </r>
  <r>
    <x v="42"/>
  </r>
  <r>
    <x v="10"/>
  </r>
  <r>
    <x v="10"/>
  </r>
  <r>
    <x v="42"/>
  </r>
  <r>
    <x v="42"/>
  </r>
  <r>
    <x v="10"/>
  </r>
  <r>
    <x v="10"/>
  </r>
  <r>
    <x v="30"/>
  </r>
  <r>
    <x v="21"/>
  </r>
  <r>
    <x v="10"/>
  </r>
  <r>
    <x v="28"/>
  </r>
  <r>
    <x v="0"/>
  </r>
  <r>
    <x v="0"/>
  </r>
  <r>
    <x v="28"/>
  </r>
  <r>
    <x v="4"/>
  </r>
  <r>
    <x v="4"/>
  </r>
  <r>
    <x v="4"/>
  </r>
  <r>
    <x v="4"/>
  </r>
  <r>
    <x v="4"/>
  </r>
  <r>
    <x v="10"/>
  </r>
  <r>
    <x v="10"/>
  </r>
  <r>
    <x v="10"/>
  </r>
  <r>
    <x v="64"/>
  </r>
  <r>
    <x v="0"/>
  </r>
  <r>
    <x v="33"/>
  </r>
  <r>
    <x v="30"/>
  </r>
  <r>
    <x v="19"/>
  </r>
  <r>
    <x v="53"/>
  </r>
  <r>
    <x v="87"/>
  </r>
  <r>
    <x v="14"/>
  </r>
  <r>
    <x v="138"/>
  </r>
  <r>
    <x v="68"/>
  </r>
  <r>
    <x v="68"/>
  </r>
  <r>
    <x v="138"/>
  </r>
  <r>
    <x v="14"/>
  </r>
  <r>
    <x v="138"/>
  </r>
  <r>
    <x v="138"/>
  </r>
  <r>
    <x v="138"/>
  </r>
  <r>
    <x v="14"/>
  </r>
  <r>
    <x v="9"/>
  </r>
  <r>
    <x v="9"/>
  </r>
  <r>
    <x v="24"/>
  </r>
  <r>
    <x v="24"/>
  </r>
  <r>
    <x v="24"/>
  </r>
  <r>
    <x v="24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2"/>
  </r>
  <r>
    <x v="21"/>
  </r>
  <r>
    <x v="12"/>
  </r>
  <r>
    <x v="227"/>
  </r>
  <r>
    <x v="77"/>
  </r>
  <r>
    <x v="10"/>
  </r>
  <r>
    <x v="227"/>
  </r>
  <r>
    <x v="12"/>
  </r>
  <r>
    <x v="12"/>
  </r>
  <r>
    <x v="115"/>
  </r>
  <r>
    <x v="4"/>
  </r>
  <r>
    <x v="14"/>
  </r>
  <r>
    <x v="10"/>
  </r>
  <r>
    <x v="8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10"/>
  </r>
  <r>
    <x v="10"/>
  </r>
  <r>
    <x v="10"/>
  </r>
  <r>
    <x v="138"/>
  </r>
  <r>
    <x v="138"/>
  </r>
  <r>
    <x v="4"/>
  </r>
  <r>
    <x v="10"/>
  </r>
  <r>
    <x v="14"/>
  </r>
  <r>
    <x v="12"/>
  </r>
  <r>
    <x v="79"/>
  </r>
  <r>
    <x v="79"/>
  </r>
  <r>
    <x v="79"/>
  </r>
  <r>
    <x v="79"/>
  </r>
  <r>
    <x v="79"/>
  </r>
  <r>
    <x v="45"/>
  </r>
  <r>
    <x v="45"/>
  </r>
  <r>
    <x v="45"/>
  </r>
  <r>
    <x v="68"/>
  </r>
  <r>
    <x v="1"/>
  </r>
  <r>
    <x v="183"/>
  </r>
  <r>
    <x v="4"/>
  </r>
  <r>
    <x v="4"/>
  </r>
  <r>
    <x v="4"/>
  </r>
  <r>
    <x v="28"/>
  </r>
  <r>
    <x v="7"/>
  </r>
  <r>
    <x v="4"/>
  </r>
  <r>
    <x v="53"/>
  </r>
  <r>
    <x v="39"/>
  </r>
  <r>
    <x v="12"/>
  </r>
  <r>
    <x v="12"/>
  </r>
  <r>
    <x v="79"/>
  </r>
  <r>
    <x v="4"/>
  </r>
  <r>
    <x v="4"/>
  </r>
  <r>
    <x v="183"/>
  </r>
  <r>
    <x v="25"/>
  </r>
  <r>
    <x v="4"/>
  </r>
  <r>
    <x v="68"/>
  </r>
  <r>
    <x v="1"/>
  </r>
  <r>
    <x v="10"/>
  </r>
  <r>
    <x v="165"/>
  </r>
  <r>
    <x v="4"/>
  </r>
  <r>
    <x v="10"/>
  </r>
  <r>
    <x v="4"/>
  </r>
  <r>
    <x v="86"/>
  </r>
  <r>
    <x v="86"/>
  </r>
  <r>
    <x v="63"/>
  </r>
  <r>
    <x v="12"/>
  </r>
  <r>
    <x v="12"/>
  </r>
  <r>
    <x v="78"/>
  </r>
  <r>
    <x v="87"/>
  </r>
  <r>
    <x v="79"/>
  </r>
  <r>
    <x v="12"/>
  </r>
  <r>
    <x v="79"/>
  </r>
  <r>
    <x v="79"/>
  </r>
  <r>
    <x v="10"/>
  </r>
  <r>
    <x v="45"/>
  </r>
  <r>
    <x v="43"/>
  </r>
  <r>
    <x v="4"/>
  </r>
  <r>
    <x v="4"/>
  </r>
  <r>
    <x v="70"/>
  </r>
  <r>
    <x v="4"/>
  </r>
  <r>
    <x v="4"/>
  </r>
  <r>
    <x v="42"/>
  </r>
  <r>
    <x v="4"/>
  </r>
  <r>
    <x v="4"/>
  </r>
  <r>
    <x v="4"/>
  </r>
  <r>
    <x v="4"/>
  </r>
  <r>
    <x v="4"/>
  </r>
  <r>
    <x v="4"/>
  </r>
  <r>
    <x v="4"/>
  </r>
  <r>
    <x v="17"/>
  </r>
  <r>
    <x v="19"/>
  </r>
  <r>
    <x v="19"/>
  </r>
  <r>
    <x v="50"/>
  </r>
  <r>
    <x v="50"/>
  </r>
  <r>
    <x v="10"/>
  </r>
  <r>
    <x v="10"/>
  </r>
  <r>
    <x v="28"/>
  </r>
  <r>
    <x v="28"/>
  </r>
  <r>
    <x v="9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0"/>
  </r>
  <r>
    <x v="10"/>
  </r>
  <r>
    <x v="10"/>
  </r>
  <r>
    <x v="123"/>
  </r>
  <r>
    <x v="0"/>
  </r>
  <r>
    <x v="4"/>
  </r>
  <r>
    <x v="4"/>
  </r>
  <r>
    <x v="42"/>
  </r>
  <r>
    <x v="77"/>
  </r>
  <r>
    <x v="12"/>
  </r>
  <r>
    <x v="19"/>
  </r>
  <r>
    <x v="154"/>
  </r>
  <r>
    <x v="0"/>
  </r>
  <r>
    <x v="11"/>
  </r>
  <r>
    <x v="0"/>
  </r>
  <r>
    <x v="0"/>
  </r>
  <r>
    <x v="0"/>
  </r>
  <r>
    <x v="0"/>
  </r>
  <r>
    <x v="0"/>
  </r>
  <r>
    <x v="0"/>
  </r>
  <r>
    <x v="165"/>
  </r>
  <r>
    <x v="77"/>
  </r>
  <r>
    <x v="16"/>
  </r>
  <r>
    <x v="16"/>
  </r>
  <r>
    <x v="1"/>
  </r>
  <r>
    <x v="287"/>
  </r>
  <r>
    <x v="10"/>
  </r>
  <r>
    <x v="0"/>
  </r>
  <r>
    <x v="0"/>
  </r>
  <r>
    <x v="0"/>
  </r>
  <r>
    <x v="0"/>
  </r>
  <r>
    <x v="0"/>
  </r>
  <r>
    <x v="1"/>
  </r>
  <r>
    <x v="10"/>
  </r>
  <r>
    <x v="115"/>
  </r>
  <r>
    <x v="0"/>
  </r>
  <r>
    <x v="0"/>
  </r>
  <r>
    <x v="12"/>
  </r>
  <r>
    <x v="12"/>
  </r>
  <r>
    <x v="12"/>
  </r>
  <r>
    <x v="45"/>
  </r>
  <r>
    <x v="45"/>
  </r>
  <r>
    <x v="10"/>
  </r>
  <r>
    <x v="14"/>
  </r>
  <r>
    <x v="19"/>
  </r>
  <r>
    <x v="28"/>
  </r>
  <r>
    <x v="19"/>
  </r>
  <r>
    <x v="19"/>
  </r>
  <r>
    <x v="42"/>
  </r>
  <r>
    <x v="0"/>
  </r>
  <r>
    <x v="0"/>
  </r>
  <r>
    <x v="0"/>
  </r>
  <r>
    <x v="0"/>
  </r>
  <r>
    <x v="0"/>
  </r>
  <r>
    <x v="14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21"/>
  </r>
  <r>
    <x v="56"/>
  </r>
  <r>
    <x v="56"/>
  </r>
  <r>
    <x v="7"/>
  </r>
  <r>
    <x v="7"/>
  </r>
  <r>
    <x v="14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0"/>
  </r>
  <r>
    <x v="0"/>
  </r>
  <r>
    <x v="79"/>
  </r>
  <r>
    <x v="11"/>
  </r>
  <r>
    <x v="16"/>
  </r>
  <r>
    <x v="14"/>
  </r>
  <r>
    <x v="79"/>
  </r>
  <r>
    <x v="22"/>
  </r>
  <r>
    <x v="22"/>
  </r>
  <r>
    <x v="56"/>
  </r>
  <r>
    <x v="22"/>
  </r>
  <r>
    <x v="28"/>
  </r>
  <r>
    <x v="68"/>
  </r>
  <r>
    <x v="10"/>
  </r>
  <r>
    <x v="152"/>
  </r>
  <r>
    <x v="86"/>
  </r>
  <r>
    <x v="86"/>
  </r>
  <r>
    <x v="86"/>
  </r>
  <r>
    <x v="39"/>
  </r>
  <r>
    <x v="16"/>
  </r>
  <r>
    <x v="77"/>
  </r>
  <r>
    <x v="16"/>
  </r>
  <r>
    <x v="16"/>
  </r>
  <r>
    <x v="10"/>
  </r>
  <r>
    <x v="10"/>
  </r>
  <r>
    <x v="36"/>
  </r>
  <r>
    <x v="36"/>
  </r>
  <r>
    <x v="36"/>
  </r>
  <r>
    <x v="36"/>
  </r>
  <r>
    <x v="12"/>
  </r>
  <r>
    <x v="36"/>
  </r>
  <r>
    <x v="36"/>
  </r>
  <r>
    <x v="12"/>
  </r>
  <r>
    <x v="14"/>
  </r>
  <r>
    <x v="1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12"/>
  </r>
  <r>
    <x v="4"/>
  </r>
  <r>
    <x v="10"/>
  </r>
  <r>
    <x v="4"/>
  </r>
  <r>
    <x v="4"/>
  </r>
  <r>
    <x v="4"/>
  </r>
  <r>
    <x v="10"/>
  </r>
  <r>
    <x v="10"/>
  </r>
  <r>
    <x v="10"/>
  </r>
  <r>
    <x v="10"/>
  </r>
  <r>
    <x v="68"/>
  </r>
  <r>
    <x v="68"/>
  </r>
  <r>
    <x v="123"/>
  </r>
  <r>
    <x v="14"/>
  </r>
  <r>
    <x v="14"/>
  </r>
  <r>
    <x v="0"/>
  </r>
  <r>
    <x v="0"/>
  </r>
  <r>
    <x v="48"/>
  </r>
  <r>
    <x v="48"/>
  </r>
  <r>
    <x v="126"/>
  </r>
  <r>
    <x v="126"/>
  </r>
  <r>
    <x v="126"/>
  </r>
  <r>
    <x v="126"/>
  </r>
  <r>
    <x v="126"/>
  </r>
  <r>
    <x v="126"/>
  </r>
  <r>
    <x v="10"/>
  </r>
  <r>
    <x v="126"/>
  </r>
  <r>
    <x v="126"/>
  </r>
  <r>
    <x v="12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8"/>
  </r>
  <r>
    <x v="10"/>
  </r>
  <r>
    <x v="10"/>
  </r>
  <r>
    <x v="10"/>
  </r>
  <r>
    <x v="12"/>
  </r>
  <r>
    <x v="10"/>
  </r>
  <r>
    <x v="56"/>
  </r>
  <r>
    <x v="10"/>
  </r>
  <r>
    <x v="10"/>
  </r>
  <r>
    <x v="10"/>
  </r>
  <r>
    <x v="10"/>
  </r>
  <r>
    <x v="48"/>
  </r>
  <r>
    <x v="86"/>
  </r>
  <r>
    <x v="1"/>
  </r>
  <r>
    <x v="1"/>
  </r>
  <r>
    <x v="6"/>
  </r>
  <r>
    <x v="57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72"/>
  </r>
  <r>
    <x v="56"/>
  </r>
  <r>
    <x v="56"/>
  </r>
  <r>
    <x v="56"/>
  </r>
  <r>
    <x v="1"/>
  </r>
  <r>
    <x v="22"/>
  </r>
  <r>
    <x v="79"/>
  </r>
  <r>
    <x v="123"/>
  </r>
  <r>
    <x v="57"/>
  </r>
  <r>
    <x v="57"/>
  </r>
  <r>
    <x v="57"/>
  </r>
  <r>
    <x v="57"/>
  </r>
  <r>
    <x v="57"/>
  </r>
  <r>
    <x v="57"/>
  </r>
  <r>
    <x v="9"/>
  </r>
  <r>
    <x v="4"/>
  </r>
  <r>
    <x v="4"/>
  </r>
  <r>
    <x v="10"/>
  </r>
  <r>
    <x v="165"/>
  </r>
  <r>
    <x v="14"/>
  </r>
  <r>
    <x v="126"/>
  </r>
  <r>
    <x v="10"/>
  </r>
  <r>
    <x v="4"/>
  </r>
  <r>
    <x v="12"/>
  </r>
  <r>
    <x v="4"/>
  </r>
  <r>
    <x v="10"/>
  </r>
  <r>
    <x v="10"/>
  </r>
  <r>
    <x v="10"/>
  </r>
  <r>
    <x v="10"/>
  </r>
  <r>
    <x v="12"/>
  </r>
  <r>
    <x v="114"/>
  </r>
  <r>
    <x v="36"/>
  </r>
  <r>
    <x v="10"/>
  </r>
  <r>
    <x v="9"/>
  </r>
  <r>
    <x v="10"/>
  </r>
  <r>
    <x v="135"/>
  </r>
  <r>
    <x v="154"/>
  </r>
  <r>
    <x v="135"/>
  </r>
  <r>
    <x v="14"/>
  </r>
  <r>
    <x v="96"/>
  </r>
  <r>
    <x v="96"/>
  </r>
  <r>
    <x v="7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8"/>
  </r>
  <r>
    <x v="8"/>
  </r>
  <r>
    <x v="8"/>
  </r>
  <r>
    <x v="10"/>
  </r>
  <r>
    <x v="42"/>
  </r>
  <r>
    <x v="123"/>
  </r>
  <r>
    <x v="8"/>
  </r>
  <r>
    <x v="42"/>
  </r>
  <r>
    <x v="112"/>
  </r>
  <r>
    <x v="112"/>
  </r>
  <r>
    <x v="112"/>
  </r>
  <r>
    <x v="10"/>
  </r>
  <r>
    <x v="1"/>
  </r>
  <r>
    <x v="10"/>
  </r>
  <r>
    <x v="10"/>
  </r>
  <r>
    <x v="0"/>
  </r>
  <r>
    <x v="14"/>
  </r>
  <r>
    <x v="14"/>
  </r>
  <r>
    <x v="14"/>
  </r>
  <r>
    <x v="21"/>
  </r>
  <r>
    <x v="45"/>
  </r>
  <r>
    <x v="25"/>
  </r>
  <r>
    <x v="10"/>
  </r>
  <r>
    <x v="12"/>
  </r>
  <r>
    <x v="4"/>
  </r>
  <r>
    <x v="14"/>
  </r>
  <r>
    <x v="14"/>
  </r>
  <r>
    <x v="51"/>
  </r>
  <r>
    <x v="51"/>
  </r>
  <r>
    <x v="51"/>
  </r>
  <r>
    <x v="51"/>
  </r>
  <r>
    <x v="115"/>
  </r>
  <r>
    <x v="86"/>
  </r>
  <r>
    <x v="86"/>
  </r>
  <r>
    <x v="51"/>
  </r>
  <r>
    <x v="86"/>
  </r>
  <r>
    <x v="86"/>
  </r>
  <r>
    <x v="86"/>
  </r>
  <r>
    <x v="86"/>
  </r>
  <r>
    <x v="51"/>
  </r>
  <r>
    <x v="51"/>
  </r>
  <r>
    <x v="51"/>
  </r>
  <r>
    <x v="51"/>
  </r>
  <r>
    <x v="10"/>
  </r>
  <r>
    <x v="12"/>
  </r>
  <r>
    <x v="12"/>
  </r>
  <r>
    <x v="42"/>
  </r>
  <r>
    <x v="17"/>
  </r>
  <r>
    <x v="42"/>
  </r>
  <r>
    <x v="42"/>
  </r>
  <r>
    <x v="87"/>
  </r>
  <r>
    <x v="87"/>
  </r>
  <r>
    <x v="87"/>
  </r>
  <r>
    <x v="87"/>
  </r>
  <r>
    <x v="87"/>
  </r>
  <r>
    <x v="87"/>
  </r>
  <r>
    <x v="87"/>
  </r>
  <r>
    <x v="16"/>
  </r>
  <r>
    <x v="175"/>
  </r>
  <r>
    <x v="12"/>
  </r>
  <r>
    <x v="12"/>
  </r>
  <r>
    <x v="4"/>
  </r>
  <r>
    <x v="72"/>
  </r>
  <r>
    <x v="12"/>
  </r>
  <r>
    <x v="72"/>
  </r>
  <r>
    <x v="12"/>
  </r>
  <r>
    <x v="12"/>
  </r>
  <r>
    <x v="12"/>
  </r>
  <r>
    <x v="12"/>
  </r>
  <r>
    <x v="12"/>
  </r>
  <r>
    <x v="12"/>
  </r>
  <r>
    <x v="188"/>
  </r>
  <r>
    <x v="46"/>
  </r>
  <r>
    <x v="46"/>
  </r>
  <r>
    <x v="4"/>
  </r>
  <r>
    <x v="10"/>
  </r>
  <r>
    <x v="51"/>
  </r>
  <r>
    <x v="45"/>
  </r>
  <r>
    <x v="51"/>
  </r>
  <r>
    <x v="115"/>
  </r>
  <r>
    <x v="51"/>
  </r>
  <r>
    <x v="51"/>
  </r>
  <r>
    <x v="12"/>
  </r>
  <r>
    <x v="12"/>
  </r>
  <r>
    <x v="14"/>
  </r>
  <r>
    <x v="42"/>
  </r>
  <r>
    <x v="24"/>
  </r>
  <r>
    <x v="73"/>
  </r>
  <r>
    <x v="24"/>
  </r>
  <r>
    <x v="16"/>
  </r>
  <r>
    <x v="16"/>
  </r>
  <r>
    <x v="86"/>
  </r>
  <r>
    <x v="86"/>
  </r>
  <r>
    <x v="42"/>
  </r>
  <r>
    <x v="42"/>
  </r>
  <r>
    <x v="42"/>
  </r>
  <r>
    <x v="42"/>
  </r>
  <r>
    <x v="9"/>
  </r>
  <r>
    <x v="10"/>
  </r>
  <r>
    <x v="42"/>
  </r>
  <r>
    <x v="0"/>
  </r>
  <r>
    <x v="0"/>
  </r>
  <r>
    <x v="0"/>
  </r>
  <r>
    <x v="42"/>
  </r>
  <r>
    <x v="42"/>
  </r>
  <r>
    <x v="42"/>
  </r>
  <r>
    <x v="42"/>
  </r>
  <r>
    <x v="42"/>
  </r>
  <r>
    <x v="12"/>
  </r>
  <r>
    <x v="12"/>
  </r>
  <r>
    <x v="7"/>
  </r>
  <r>
    <x v="7"/>
  </r>
  <r>
    <x v="1"/>
  </r>
  <r>
    <x v="1"/>
  </r>
  <r>
    <x v="162"/>
  </r>
  <r>
    <x v="21"/>
  </r>
  <r>
    <x v="1"/>
  </r>
  <r>
    <x v="162"/>
  </r>
  <r>
    <x v="56"/>
  </r>
  <r>
    <x v="56"/>
  </r>
  <r>
    <x v="56"/>
  </r>
  <r>
    <x v="56"/>
  </r>
  <r>
    <x v="24"/>
  </r>
  <r>
    <x v="59"/>
  </r>
  <r>
    <x v="24"/>
  </r>
  <r>
    <x v="24"/>
  </r>
  <r>
    <x v="24"/>
  </r>
  <r>
    <x v="110"/>
  </r>
  <r>
    <x v="110"/>
  </r>
  <r>
    <x v="11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0"/>
  </r>
  <r>
    <x v="79"/>
  </r>
  <r>
    <x v="50"/>
  </r>
  <r>
    <x v="19"/>
  </r>
  <r>
    <x v="81"/>
  </r>
  <r>
    <x v="42"/>
  </r>
  <r>
    <x v="42"/>
  </r>
  <r>
    <x v="42"/>
  </r>
  <r>
    <x v="20"/>
  </r>
  <r>
    <x v="20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87"/>
  </r>
  <r>
    <x v="89"/>
  </r>
  <r>
    <x v="87"/>
  </r>
  <r>
    <x v="89"/>
  </r>
  <r>
    <x v="42"/>
  </r>
  <r>
    <x v="77"/>
  </r>
  <r>
    <x v="77"/>
  </r>
  <r>
    <x v="42"/>
  </r>
  <r>
    <x v="42"/>
  </r>
  <r>
    <x v="86"/>
  </r>
  <r>
    <x v="86"/>
  </r>
  <r>
    <x v="86"/>
  </r>
  <r>
    <x v="86"/>
  </r>
  <r>
    <x v="86"/>
  </r>
  <r>
    <x v="86"/>
  </r>
  <r>
    <x v="86"/>
  </r>
  <r>
    <x v="86"/>
  </r>
  <r>
    <x v="12"/>
  </r>
  <r>
    <x v="12"/>
  </r>
  <r>
    <x v="86"/>
  </r>
  <r>
    <x v="4"/>
  </r>
  <r>
    <x v="12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28"/>
  </r>
  <r>
    <x v="78"/>
  </r>
  <r>
    <x v="11"/>
  </r>
  <r>
    <x v="0"/>
  </r>
  <r>
    <x v="78"/>
  </r>
  <r>
    <x v="78"/>
  </r>
  <r>
    <x v="78"/>
  </r>
  <r>
    <x v="78"/>
  </r>
  <r>
    <x v="12"/>
  </r>
  <r>
    <x v="12"/>
  </r>
  <r>
    <x v="12"/>
  </r>
  <r>
    <x v="78"/>
  </r>
  <r>
    <x v="78"/>
  </r>
  <r>
    <x v="78"/>
  </r>
  <r>
    <x v="78"/>
  </r>
  <r>
    <x v="78"/>
  </r>
  <r>
    <x v="87"/>
  </r>
  <r>
    <x v="78"/>
  </r>
  <r>
    <x v="87"/>
  </r>
  <r>
    <x v="78"/>
  </r>
  <r>
    <x v="78"/>
  </r>
  <r>
    <x v="78"/>
  </r>
  <r>
    <x v="78"/>
  </r>
  <r>
    <x v="22"/>
  </r>
  <r>
    <x v="78"/>
  </r>
  <r>
    <x v="22"/>
  </r>
  <r>
    <x v="0"/>
  </r>
  <r>
    <x v="78"/>
  </r>
  <r>
    <x v="78"/>
  </r>
  <r>
    <x v="78"/>
  </r>
  <r>
    <x v="78"/>
  </r>
  <r>
    <x v="78"/>
  </r>
  <r>
    <x v="78"/>
  </r>
  <r>
    <x v="78"/>
  </r>
  <r>
    <x v="2"/>
  </r>
  <r>
    <x v="78"/>
  </r>
  <r>
    <x v="78"/>
  </r>
  <r>
    <x v="78"/>
  </r>
  <r>
    <x v="14"/>
  </r>
  <r>
    <x v="14"/>
  </r>
  <r>
    <x v="14"/>
  </r>
  <r>
    <x v="14"/>
  </r>
  <r>
    <x v="14"/>
  </r>
  <r>
    <x v="9"/>
  </r>
  <r>
    <x v="28"/>
  </r>
  <r>
    <x v="12"/>
  </r>
  <r>
    <x v="4"/>
  </r>
  <r>
    <x v="4"/>
  </r>
  <r>
    <x v="10"/>
  </r>
  <r>
    <x v="10"/>
  </r>
  <r>
    <x v="4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23"/>
  </r>
  <r>
    <x v="123"/>
  </r>
  <r>
    <x v="123"/>
  </r>
  <r>
    <x v="138"/>
  </r>
  <r>
    <x v="123"/>
  </r>
  <r>
    <x v="123"/>
  </r>
  <r>
    <x v="123"/>
  </r>
  <r>
    <x v="123"/>
  </r>
  <r>
    <x v="123"/>
  </r>
  <r>
    <x v="123"/>
  </r>
  <r>
    <x v="4"/>
  </r>
  <r>
    <x v="130"/>
  </r>
  <r>
    <x v="4"/>
  </r>
  <r>
    <x v="4"/>
  </r>
  <r>
    <x v="4"/>
  </r>
  <r>
    <x v="4"/>
  </r>
  <r>
    <x v="12"/>
  </r>
  <r>
    <x v="12"/>
  </r>
  <r>
    <x v="37"/>
  </r>
  <r>
    <x v="3"/>
  </r>
  <r>
    <x v="17"/>
  </r>
  <r>
    <x v="10"/>
  </r>
  <r>
    <x v="63"/>
  </r>
  <r>
    <x v="50"/>
  </r>
  <r>
    <x v="59"/>
  </r>
  <r>
    <x v="123"/>
  </r>
  <r>
    <x v="16"/>
  </r>
  <r>
    <x v="152"/>
  </r>
  <r>
    <x v="16"/>
  </r>
  <r>
    <x v="12"/>
  </r>
  <r>
    <x v="10"/>
  </r>
  <r>
    <x v="52"/>
  </r>
  <r>
    <x v="72"/>
  </r>
  <r>
    <x v="33"/>
  </r>
  <r>
    <x v="10"/>
  </r>
  <r>
    <x v="33"/>
  </r>
  <r>
    <x v="0"/>
  </r>
  <r>
    <x v="12"/>
  </r>
  <r>
    <x v="28"/>
  </r>
  <r>
    <x v="28"/>
  </r>
  <r>
    <x v="17"/>
  </r>
  <r>
    <x v="21"/>
  </r>
  <r>
    <x v="12"/>
  </r>
  <r>
    <x v="12"/>
  </r>
  <r>
    <x v="14"/>
  </r>
  <r>
    <x v="14"/>
  </r>
  <r>
    <x v="14"/>
  </r>
  <r>
    <x v="7"/>
  </r>
  <r>
    <x v="7"/>
  </r>
  <r>
    <x v="7"/>
  </r>
  <r>
    <x v="7"/>
  </r>
  <r>
    <x v="7"/>
  </r>
  <r>
    <x v="10"/>
  </r>
  <r>
    <x v="45"/>
  </r>
  <r>
    <x v="25"/>
  </r>
  <r>
    <x v="79"/>
  </r>
  <r>
    <x v="69"/>
  </r>
  <r>
    <x v="79"/>
  </r>
  <r>
    <x v="79"/>
  </r>
  <r>
    <x v="79"/>
  </r>
  <r>
    <x v="63"/>
  </r>
  <r>
    <x v="123"/>
  </r>
  <r>
    <x v="123"/>
  </r>
  <r>
    <x v="138"/>
  </r>
  <r>
    <x v="10"/>
  </r>
  <r>
    <x v="138"/>
  </r>
  <r>
    <x v="138"/>
  </r>
  <r>
    <x v="10"/>
  </r>
  <r>
    <x v="165"/>
  </r>
  <r>
    <x v="76"/>
  </r>
  <r>
    <x v="10"/>
  </r>
  <r>
    <x v="10"/>
  </r>
  <r>
    <x v="165"/>
  </r>
  <r>
    <x v="165"/>
  </r>
  <r>
    <x v="25"/>
  </r>
  <r>
    <x v="10"/>
  </r>
  <r>
    <x v="52"/>
  </r>
  <r>
    <x v="4"/>
  </r>
  <r>
    <x v="10"/>
  </r>
  <r>
    <x v="4"/>
  </r>
  <r>
    <x v="10"/>
  </r>
  <r>
    <x v="10"/>
  </r>
  <r>
    <x v="4"/>
  </r>
  <r>
    <x v="4"/>
  </r>
  <r>
    <x v="4"/>
  </r>
  <r>
    <x v="4"/>
  </r>
  <r>
    <x v="64"/>
  </r>
  <r>
    <x v="10"/>
  </r>
  <r>
    <x v="4"/>
  </r>
  <r>
    <x v="4"/>
  </r>
  <r>
    <x v="4"/>
  </r>
  <r>
    <x v="42"/>
  </r>
  <r>
    <x v="4"/>
  </r>
  <r>
    <x v="4"/>
  </r>
  <r>
    <x v="76"/>
  </r>
  <r>
    <x v="48"/>
  </r>
  <r>
    <x v="48"/>
  </r>
  <r>
    <x v="10"/>
  </r>
  <r>
    <x v="14"/>
  </r>
  <r>
    <x v="115"/>
  </r>
  <r>
    <x v="115"/>
  </r>
  <r>
    <x v="10"/>
  </r>
  <r>
    <x v="10"/>
  </r>
  <r>
    <x v="4"/>
  </r>
  <r>
    <x v="17"/>
  </r>
  <r>
    <x v="75"/>
  </r>
  <r>
    <x v="75"/>
  </r>
  <r>
    <x v="75"/>
  </r>
  <r>
    <x v="75"/>
  </r>
  <r>
    <x v="75"/>
  </r>
  <r>
    <x v="45"/>
  </r>
  <r>
    <x v="48"/>
  </r>
  <r>
    <x v="48"/>
  </r>
  <r>
    <x v="48"/>
  </r>
  <r>
    <x v="162"/>
  </r>
  <r>
    <x v="4"/>
  </r>
  <r>
    <x v="42"/>
  </r>
  <r>
    <x v="42"/>
  </r>
  <r>
    <x v="10"/>
  </r>
  <r>
    <x v="31"/>
  </r>
  <r>
    <x v="10"/>
  </r>
  <r>
    <x v="31"/>
  </r>
  <r>
    <x v="64"/>
  </r>
  <r>
    <x v="64"/>
  </r>
  <r>
    <x v="14"/>
  </r>
  <r>
    <x v="77"/>
  </r>
  <r>
    <x v="12"/>
  </r>
  <r>
    <x v="10"/>
  </r>
  <r>
    <x v="10"/>
  </r>
  <r>
    <x v="87"/>
  </r>
  <r>
    <x v="23"/>
  </r>
  <r>
    <x v="24"/>
  </r>
  <r>
    <x v="36"/>
  </r>
  <r>
    <x v="36"/>
  </r>
  <r>
    <x v="36"/>
  </r>
  <r>
    <x v="10"/>
  </r>
  <r>
    <x v="80"/>
  </r>
  <r>
    <x v="80"/>
  </r>
  <r>
    <x v="80"/>
  </r>
  <r>
    <x v="165"/>
  </r>
  <r>
    <x v="165"/>
  </r>
  <r>
    <x v="165"/>
  </r>
  <r>
    <x v="87"/>
  </r>
  <r>
    <x v="42"/>
  </r>
  <r>
    <x v="10"/>
  </r>
  <r>
    <x v="46"/>
  </r>
  <r>
    <x v="10"/>
  </r>
  <r>
    <x v="10"/>
  </r>
  <r>
    <x v="12"/>
  </r>
  <r>
    <x v="48"/>
  </r>
  <r>
    <x v="10"/>
  </r>
  <r>
    <x v="10"/>
  </r>
  <r>
    <x v="10"/>
  </r>
  <r>
    <x v="10"/>
  </r>
  <r>
    <x v="10"/>
  </r>
  <r>
    <x v="12"/>
  </r>
  <r>
    <x v="0"/>
  </r>
  <r>
    <x v="9"/>
  </r>
  <r>
    <x v="4"/>
  </r>
  <r>
    <x v="0"/>
  </r>
  <r>
    <x v="10"/>
  </r>
  <r>
    <x v="10"/>
  </r>
  <r>
    <x v="1"/>
  </r>
  <r>
    <x v="1"/>
  </r>
  <r>
    <x v="1"/>
  </r>
  <r>
    <x v="28"/>
  </r>
  <r>
    <x v="0"/>
  </r>
  <r>
    <x v="0"/>
  </r>
  <r>
    <x v="0"/>
  </r>
  <r>
    <x v="0"/>
  </r>
  <r>
    <x v="0"/>
  </r>
  <r>
    <x v="42"/>
  </r>
  <r>
    <x v="42"/>
  </r>
  <r>
    <x v="0"/>
  </r>
  <r>
    <x v="4"/>
  </r>
  <r>
    <x v="10"/>
  </r>
  <r>
    <x v="0"/>
  </r>
  <r>
    <x v="28"/>
  </r>
  <r>
    <x v="50"/>
  </r>
  <r>
    <x v="57"/>
  </r>
  <r>
    <x v="50"/>
  </r>
  <r>
    <x v="11"/>
  </r>
  <r>
    <x v="11"/>
  </r>
  <r>
    <x v="12"/>
  </r>
  <r>
    <x v="12"/>
  </r>
  <r>
    <x v="12"/>
  </r>
  <r>
    <x v="12"/>
  </r>
  <r>
    <x v="12"/>
  </r>
  <r>
    <x v="71"/>
  </r>
  <r>
    <x v="16"/>
  </r>
  <r>
    <x v="72"/>
  </r>
  <r>
    <x v="48"/>
  </r>
  <r>
    <x v="10"/>
  </r>
  <r>
    <x v="10"/>
  </r>
  <r>
    <x v="10"/>
  </r>
  <r>
    <x v="10"/>
  </r>
  <r>
    <x v="10"/>
  </r>
  <r>
    <x v="12"/>
  </r>
  <r>
    <x v="12"/>
  </r>
  <r>
    <x v="123"/>
  </r>
  <r>
    <x v="12"/>
  </r>
  <r>
    <x v="4"/>
  </r>
  <r>
    <x v="4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0"/>
  </r>
  <r>
    <x v="10"/>
  </r>
  <r>
    <x v="14"/>
  </r>
  <r>
    <x v="10"/>
  </r>
  <r>
    <x v="10"/>
  </r>
  <r>
    <x v="10"/>
  </r>
  <r>
    <x v="10"/>
  </r>
  <r>
    <x v="19"/>
  </r>
  <r>
    <x v="10"/>
  </r>
  <r>
    <x v="10"/>
  </r>
  <r>
    <x v="4"/>
  </r>
  <r>
    <x v="4"/>
  </r>
  <r>
    <x v="165"/>
  </r>
  <r>
    <x v="4"/>
  </r>
  <r>
    <x v="4"/>
  </r>
  <r>
    <x v="4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12"/>
  </r>
  <r>
    <x v="12"/>
  </r>
  <r>
    <x v="12"/>
  </r>
  <r>
    <x v="4"/>
  </r>
  <r>
    <x v="4"/>
  </r>
  <r>
    <x v="28"/>
  </r>
  <r>
    <x v="4"/>
  </r>
  <r>
    <x v="130"/>
  </r>
  <r>
    <x v="165"/>
  </r>
  <r>
    <x v="25"/>
  </r>
  <r>
    <x v="4"/>
  </r>
  <r>
    <x v="165"/>
  </r>
  <r>
    <x v="10"/>
  </r>
  <r>
    <x v="115"/>
  </r>
  <r>
    <x v="42"/>
  </r>
  <r>
    <x v="123"/>
  </r>
  <r>
    <x v="123"/>
  </r>
  <r>
    <x v="123"/>
  </r>
  <r>
    <x v="123"/>
  </r>
  <r>
    <x v="64"/>
  </r>
  <r>
    <x v="14"/>
  </r>
  <r>
    <x v="63"/>
  </r>
  <r>
    <x v="10"/>
  </r>
  <r>
    <x v="10"/>
  </r>
  <r>
    <x v="19"/>
  </r>
  <r>
    <x v="19"/>
  </r>
  <r>
    <x v="64"/>
  </r>
  <r>
    <x v="2"/>
  </r>
  <r>
    <x v="4"/>
  </r>
  <r>
    <x v="8"/>
  </r>
  <r>
    <x v="50"/>
  </r>
  <r>
    <x v="0"/>
  </r>
  <r>
    <x v="141"/>
  </r>
  <r>
    <x v="122"/>
  </r>
  <r>
    <x v="25"/>
  </r>
  <r>
    <x v="141"/>
  </r>
  <r>
    <x v="81"/>
  </r>
  <r>
    <x v="131"/>
  </r>
  <r>
    <x v="17"/>
  </r>
  <r>
    <x v="123"/>
  </r>
  <r>
    <x v="12"/>
  </r>
  <r>
    <x v="12"/>
  </r>
  <r>
    <x v="16"/>
  </r>
  <r>
    <x v="123"/>
  </r>
  <r>
    <x v="123"/>
  </r>
  <r>
    <x v="123"/>
  </r>
  <r>
    <x v="123"/>
  </r>
  <r>
    <x v="42"/>
  </r>
  <r>
    <x v="42"/>
  </r>
  <r>
    <x v="42"/>
  </r>
  <r>
    <x v="42"/>
  </r>
  <r>
    <x v="24"/>
  </r>
  <r>
    <x v="22"/>
  </r>
  <r>
    <x v="28"/>
  </r>
  <r>
    <x v="0"/>
  </r>
  <r>
    <x v="52"/>
  </r>
  <r>
    <x v="12"/>
  </r>
  <r>
    <x v="45"/>
  </r>
  <r>
    <x v="10"/>
  </r>
  <r>
    <x v="10"/>
  </r>
  <r>
    <x v="28"/>
  </r>
  <r>
    <x v="16"/>
  </r>
  <r>
    <x v="28"/>
  </r>
  <r>
    <x v="11"/>
  </r>
  <r>
    <x v="4"/>
  </r>
  <r>
    <x v="4"/>
  </r>
  <r>
    <x v="0"/>
  </r>
  <r>
    <x v="115"/>
  </r>
  <r>
    <x v="115"/>
  </r>
  <r>
    <x v="115"/>
  </r>
  <r>
    <x v="115"/>
  </r>
  <r>
    <x v="115"/>
  </r>
  <r>
    <x v="42"/>
  </r>
  <r>
    <x v="115"/>
  </r>
  <r>
    <x v="115"/>
  </r>
  <r>
    <x v="87"/>
  </r>
  <r>
    <x v="11"/>
  </r>
  <r>
    <x v="7"/>
  </r>
  <r>
    <x v="7"/>
  </r>
  <r>
    <x v="10"/>
  </r>
  <r>
    <x v="114"/>
  </r>
  <r>
    <x v="11"/>
  </r>
  <r>
    <x v="36"/>
  </r>
  <r>
    <x v="36"/>
  </r>
  <r>
    <x v="36"/>
  </r>
  <r>
    <x v="123"/>
  </r>
  <r>
    <x v="123"/>
  </r>
  <r>
    <x v="4"/>
  </r>
  <r>
    <x v="115"/>
  </r>
  <r>
    <x v="115"/>
  </r>
  <r>
    <x v="115"/>
  </r>
  <r>
    <x v="4"/>
  </r>
  <r>
    <x v="4"/>
  </r>
  <r>
    <x v="4"/>
  </r>
  <r>
    <x v="4"/>
  </r>
  <r>
    <x v="4"/>
  </r>
  <r>
    <x v="12"/>
  </r>
  <r>
    <x v="12"/>
  </r>
  <r>
    <x v="4"/>
  </r>
  <r>
    <x v="12"/>
  </r>
  <r>
    <x v="14"/>
  </r>
  <r>
    <x v="7"/>
  </r>
  <r>
    <x v="7"/>
  </r>
  <r>
    <x v="6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0"/>
  </r>
  <r>
    <x v="12"/>
  </r>
  <r>
    <x v="8"/>
  </r>
  <r>
    <x v="8"/>
  </r>
  <r>
    <x v="12"/>
  </r>
  <r>
    <x v="12"/>
  </r>
  <r>
    <x v="16"/>
  </r>
  <r>
    <x v="10"/>
  </r>
  <r>
    <x v="0"/>
  </r>
  <r>
    <x v="0"/>
  </r>
  <r>
    <x v="123"/>
  </r>
  <r>
    <x v="12"/>
  </r>
  <r>
    <x v="25"/>
  </r>
  <r>
    <x v="25"/>
  </r>
  <r>
    <x v="70"/>
  </r>
  <r>
    <x v="11"/>
  </r>
  <r>
    <x v="0"/>
  </r>
  <r>
    <x v="8"/>
  </r>
  <r>
    <x v="12"/>
  </r>
  <r>
    <x v="10"/>
  </r>
  <r>
    <x v="12"/>
  </r>
  <r>
    <x v="165"/>
  </r>
  <r>
    <x v="165"/>
  </r>
  <r>
    <x v="4"/>
  </r>
  <r>
    <x v="44"/>
  </r>
  <r>
    <x v="44"/>
  </r>
  <r>
    <x v="12"/>
  </r>
  <r>
    <x v="77"/>
  </r>
  <r>
    <x v="10"/>
  </r>
  <r>
    <x v="12"/>
  </r>
  <r>
    <x v="9"/>
  </r>
  <r>
    <x v="12"/>
  </r>
  <r>
    <x v="14"/>
  </r>
  <r>
    <x v="86"/>
  </r>
  <r>
    <x v="86"/>
  </r>
  <r>
    <x v="86"/>
  </r>
  <r>
    <x v="86"/>
  </r>
  <r>
    <x v="42"/>
  </r>
  <r>
    <x v="12"/>
  </r>
  <r>
    <x v="42"/>
  </r>
  <r>
    <x v="131"/>
  </r>
  <r>
    <x v="10"/>
  </r>
  <r>
    <x v="14"/>
  </r>
  <r>
    <x v="225"/>
  </r>
  <r>
    <x v="115"/>
  </r>
  <r>
    <x v="115"/>
  </r>
  <r>
    <x v="115"/>
  </r>
  <r>
    <x v="115"/>
  </r>
  <r>
    <x v="115"/>
  </r>
  <r>
    <x v="86"/>
  </r>
  <r>
    <x v="37"/>
  </r>
  <r>
    <x v="152"/>
  </r>
  <r>
    <x v="28"/>
  </r>
  <r>
    <x v="4"/>
  </r>
  <r>
    <x v="10"/>
  </r>
  <r>
    <x v="10"/>
  </r>
  <r>
    <x v="10"/>
  </r>
  <r>
    <x v="78"/>
  </r>
  <r>
    <x v="78"/>
  </r>
  <r>
    <x v="78"/>
  </r>
  <r>
    <x v="16"/>
  </r>
  <r>
    <x v="16"/>
  </r>
  <r>
    <x v="12"/>
  </r>
  <r>
    <x v="45"/>
  </r>
  <r>
    <x v="45"/>
  </r>
  <r>
    <x v="42"/>
  </r>
  <r>
    <x v="33"/>
  </r>
  <r>
    <x v="76"/>
  </r>
  <r>
    <x v="4"/>
  </r>
  <r>
    <x v="4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8"/>
  </r>
  <r>
    <x v="10"/>
  </r>
  <r>
    <x v="37"/>
  </r>
  <r>
    <x v="14"/>
  </r>
  <r>
    <x v="48"/>
  </r>
  <r>
    <x v="48"/>
  </r>
  <r>
    <x v="105"/>
  </r>
  <r>
    <x v="10"/>
  </r>
  <r>
    <x v="10"/>
  </r>
  <r>
    <x v="10"/>
  </r>
  <r>
    <x v="10"/>
  </r>
  <r>
    <x v="24"/>
  </r>
  <r>
    <x v="11"/>
  </r>
  <r>
    <x v="11"/>
  </r>
  <r>
    <x v="12"/>
  </r>
  <r>
    <x v="17"/>
  </r>
  <r>
    <x v="56"/>
  </r>
  <r>
    <x v="56"/>
  </r>
  <r>
    <x v="42"/>
  </r>
  <r>
    <x v="48"/>
  </r>
  <r>
    <x v="12"/>
  </r>
  <r>
    <x v="12"/>
  </r>
  <r>
    <x v="12"/>
  </r>
  <r>
    <x v="52"/>
  </r>
  <r>
    <x v="36"/>
  </r>
  <r>
    <x v="12"/>
  </r>
  <r>
    <x v="36"/>
  </r>
  <r>
    <x v="143"/>
  </r>
  <r>
    <x v="4"/>
  </r>
  <r>
    <x v="190"/>
  </r>
  <r>
    <x v="11"/>
  </r>
  <r>
    <x v="12"/>
  </r>
  <r>
    <x v="12"/>
  </r>
  <r>
    <x v="12"/>
  </r>
  <r>
    <x v="12"/>
  </r>
  <r>
    <x v="12"/>
  </r>
  <r>
    <x v="42"/>
  </r>
  <r>
    <x v="12"/>
  </r>
  <r>
    <x v="12"/>
  </r>
  <r>
    <x v="29"/>
  </r>
  <r>
    <x v="12"/>
  </r>
  <r>
    <x v="0"/>
  </r>
  <r>
    <x v="0"/>
  </r>
  <r>
    <x v="12"/>
  </r>
  <r>
    <x v="12"/>
  </r>
  <r>
    <x v="12"/>
  </r>
  <r>
    <x v="2"/>
  </r>
  <r>
    <x v="0"/>
  </r>
  <r>
    <x v="56"/>
  </r>
  <r>
    <x v="2"/>
  </r>
  <r>
    <x v="2"/>
  </r>
  <r>
    <x v="50"/>
  </r>
  <r>
    <x v="14"/>
  </r>
  <r>
    <x v="4"/>
  </r>
  <r>
    <x v="77"/>
  </r>
  <r>
    <x v="77"/>
  </r>
  <r>
    <x v="10"/>
  </r>
  <r>
    <x v="29"/>
  </r>
  <r>
    <x v="114"/>
  </r>
  <r>
    <x v="76"/>
  </r>
  <r>
    <x v="14"/>
  </r>
  <r>
    <x v="36"/>
  </r>
  <r>
    <x v="36"/>
  </r>
  <r>
    <x v="36"/>
  </r>
  <r>
    <x v="52"/>
  </r>
  <r>
    <x v="53"/>
  </r>
  <r>
    <x v="36"/>
  </r>
  <r>
    <x v="36"/>
  </r>
  <r>
    <x v="12"/>
  </r>
  <r>
    <x v="12"/>
  </r>
  <r>
    <x v="0"/>
  </r>
  <r>
    <x v="12"/>
  </r>
  <r>
    <x v="12"/>
  </r>
  <r>
    <x v="12"/>
  </r>
  <r>
    <x v="12"/>
  </r>
  <r>
    <x v="12"/>
  </r>
  <r>
    <x v="4"/>
  </r>
  <r>
    <x v="4"/>
  </r>
  <r>
    <x v="12"/>
  </r>
  <r>
    <x v="4"/>
  </r>
  <r>
    <x v="21"/>
  </r>
  <r>
    <x v="10"/>
  </r>
  <r>
    <x v="10"/>
  </r>
  <r>
    <x v="10"/>
  </r>
  <r>
    <x v="72"/>
  </r>
  <r>
    <x v="10"/>
  </r>
  <r>
    <x v="12"/>
  </r>
  <r>
    <x v="12"/>
  </r>
  <r>
    <x v="12"/>
  </r>
  <r>
    <x v="10"/>
  </r>
  <r>
    <x v="100"/>
  </r>
  <r>
    <x v="37"/>
  </r>
  <r>
    <x v="42"/>
  </r>
  <r>
    <x v="14"/>
  </r>
  <r>
    <x v="4"/>
  </r>
  <r>
    <x v="123"/>
  </r>
  <r>
    <x v="123"/>
  </r>
  <r>
    <x v="0"/>
  </r>
  <r>
    <x v="42"/>
  </r>
  <r>
    <x v="42"/>
  </r>
  <r>
    <x v="63"/>
  </r>
  <r>
    <x v="12"/>
  </r>
  <r>
    <x v="7"/>
  </r>
  <r>
    <x v="7"/>
  </r>
  <r>
    <x v="7"/>
  </r>
  <r>
    <x v="7"/>
  </r>
  <r>
    <x v="69"/>
  </r>
  <r>
    <x v="12"/>
  </r>
  <r>
    <x v="42"/>
  </r>
  <r>
    <x v="1"/>
  </r>
  <r>
    <x v="48"/>
  </r>
  <r>
    <x v="71"/>
  </r>
  <r>
    <x v="71"/>
  </r>
  <r>
    <x v="24"/>
  </r>
  <r>
    <x v="24"/>
  </r>
  <r>
    <x v="24"/>
  </r>
  <r>
    <x v="24"/>
  </r>
  <r>
    <x v="86"/>
  </r>
  <r>
    <x v="86"/>
  </r>
  <r>
    <x v="2"/>
  </r>
  <r>
    <x v="87"/>
  </r>
  <r>
    <x v="87"/>
  </r>
  <r>
    <x v="87"/>
  </r>
  <r>
    <x v="4"/>
  </r>
  <r>
    <x v="50"/>
  </r>
  <r>
    <x v="28"/>
  </r>
  <r>
    <x v="30"/>
  </r>
  <r>
    <x v="50"/>
  </r>
  <r>
    <x v="4"/>
  </r>
  <r>
    <x v="10"/>
  </r>
  <r>
    <x v="10"/>
  </r>
  <r>
    <x v="102"/>
  </r>
  <r>
    <x v="130"/>
  </r>
  <r>
    <x v="108"/>
  </r>
  <r>
    <x v="42"/>
  </r>
  <r>
    <x v="130"/>
  </r>
  <r>
    <x v="42"/>
  </r>
  <r>
    <x v="165"/>
  </r>
  <r>
    <x v="10"/>
  </r>
  <r>
    <x v="10"/>
  </r>
  <r>
    <x v="152"/>
  </r>
  <r>
    <x v="10"/>
  </r>
  <r>
    <x v="152"/>
  </r>
  <r>
    <x v="10"/>
  </r>
  <r>
    <x v="9"/>
  </r>
  <r>
    <x v="4"/>
  </r>
  <r>
    <x v="42"/>
  </r>
  <r>
    <x v="123"/>
  </r>
  <r>
    <x v="0"/>
  </r>
  <r>
    <x v="123"/>
  </r>
  <r>
    <x v="123"/>
  </r>
  <r>
    <x v="123"/>
  </r>
  <r>
    <x v="14"/>
  </r>
  <r>
    <x v="36"/>
  </r>
  <r>
    <x v="14"/>
  </r>
  <r>
    <x v="10"/>
  </r>
  <r>
    <x v="10"/>
  </r>
  <r>
    <x v="10"/>
  </r>
  <r>
    <x v="64"/>
  </r>
  <r>
    <x v="14"/>
  </r>
  <r>
    <x v="21"/>
  </r>
  <r>
    <x v="2"/>
  </r>
  <r>
    <x v="22"/>
  </r>
  <r>
    <x v="8"/>
  </r>
  <r>
    <x v="8"/>
  </r>
  <r>
    <x v="30"/>
  </r>
  <r>
    <x v="4"/>
  </r>
  <r>
    <x v="24"/>
  </r>
  <r>
    <x v="10"/>
  </r>
  <r>
    <x v="141"/>
  </r>
  <r>
    <x v="108"/>
  </r>
  <r>
    <x v="57"/>
  </r>
  <r>
    <x v="141"/>
  </r>
  <r>
    <x v="141"/>
  </r>
  <r>
    <x v="48"/>
  </r>
  <r>
    <x v="131"/>
  </r>
  <r>
    <x v="14"/>
  </r>
  <r>
    <x v="123"/>
  </r>
  <r>
    <x v="123"/>
  </r>
  <r>
    <x v="12"/>
  </r>
  <r>
    <x v="16"/>
  </r>
  <r>
    <x v="72"/>
  </r>
  <r>
    <x v="72"/>
  </r>
  <r>
    <x v="56"/>
  </r>
  <r>
    <x v="11"/>
  </r>
  <r>
    <x v="0"/>
  </r>
  <r>
    <x v="4"/>
  </r>
  <r>
    <x v="123"/>
  </r>
  <r>
    <x v="123"/>
  </r>
  <r>
    <x v="42"/>
  </r>
  <r>
    <x v="57"/>
  </r>
  <r>
    <x v="57"/>
  </r>
  <r>
    <x v="57"/>
  </r>
  <r>
    <x v="79"/>
  </r>
  <r>
    <x v="4"/>
  </r>
  <r>
    <x v="79"/>
  </r>
  <r>
    <x v="10"/>
  </r>
  <r>
    <x v="10"/>
  </r>
  <r>
    <x v="4"/>
  </r>
  <r>
    <x v="4"/>
  </r>
  <r>
    <x v="4"/>
  </r>
  <r>
    <x v="165"/>
  </r>
  <r>
    <x v="4"/>
  </r>
  <r>
    <x v="4"/>
  </r>
  <r>
    <x v="12"/>
  </r>
  <r>
    <x v="14"/>
  </r>
  <r>
    <x v="138"/>
  </r>
  <r>
    <x v="10"/>
  </r>
  <r>
    <x v="12"/>
  </r>
  <r>
    <x v="12"/>
  </r>
  <r>
    <x v="0"/>
  </r>
  <r>
    <x v="4"/>
  </r>
  <r>
    <x v="14"/>
  </r>
  <r>
    <x v="10"/>
  </r>
  <r>
    <x v="10"/>
  </r>
  <r>
    <x v="36"/>
  </r>
  <r>
    <x v="36"/>
  </r>
  <r>
    <x v="0"/>
  </r>
  <r>
    <x v="3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3"/>
  </r>
  <r>
    <x v="152"/>
  </r>
  <r>
    <x v="152"/>
  </r>
  <r>
    <x v="152"/>
  </r>
  <r>
    <x v="123"/>
  </r>
  <r>
    <x v="123"/>
  </r>
  <r>
    <x v="123"/>
  </r>
  <r>
    <x v="123"/>
  </r>
  <r>
    <x v="14"/>
  </r>
  <r>
    <x v="10"/>
  </r>
  <r>
    <x v="10"/>
  </r>
  <r>
    <x v="10"/>
  </r>
  <r>
    <x v="53"/>
  </r>
  <r>
    <x v="21"/>
  </r>
  <r>
    <x v="12"/>
  </r>
  <r>
    <x v="10"/>
  </r>
  <r>
    <x v="16"/>
  </r>
  <r>
    <x v="28"/>
  </r>
  <r>
    <x v="205"/>
  </r>
  <r>
    <x v="10"/>
  </r>
  <r>
    <x v="10"/>
  </r>
  <r>
    <x v="10"/>
  </r>
  <r>
    <x v="10"/>
  </r>
  <r>
    <x v="10"/>
  </r>
  <r>
    <x v="14"/>
  </r>
  <r>
    <x v="42"/>
  </r>
  <r>
    <x v="14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123"/>
  </r>
  <r>
    <x v="14"/>
  </r>
  <r>
    <x v="10"/>
  </r>
  <r>
    <x v="12"/>
  </r>
  <r>
    <x v="12"/>
  </r>
  <r>
    <x v="36"/>
  </r>
  <r>
    <x v="42"/>
  </r>
  <r>
    <x v="42"/>
  </r>
  <r>
    <x v="43"/>
  </r>
  <r>
    <x v="36"/>
  </r>
  <r>
    <x v="87"/>
  </r>
  <r>
    <x v="42"/>
  </r>
  <r>
    <x v="87"/>
  </r>
  <r>
    <x v="0"/>
  </r>
  <r>
    <x v="0"/>
  </r>
  <r>
    <x v="12"/>
  </r>
  <r>
    <x v="52"/>
  </r>
  <r>
    <x v="2"/>
  </r>
  <r>
    <x v="52"/>
  </r>
  <r>
    <x v="52"/>
  </r>
  <r>
    <x v="10"/>
  </r>
  <r>
    <x v="4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38"/>
  </r>
  <r>
    <x v="77"/>
  </r>
  <r>
    <x v="4"/>
  </r>
  <r>
    <x v="77"/>
  </r>
  <r>
    <x v="77"/>
  </r>
  <r>
    <x v="0"/>
  </r>
  <r>
    <x v="10"/>
  </r>
  <r>
    <x v="7"/>
  </r>
  <r>
    <x v="7"/>
  </r>
  <r>
    <x v="76"/>
  </r>
  <r>
    <x v="76"/>
  </r>
  <r>
    <x v="19"/>
  </r>
  <r>
    <x v="12"/>
  </r>
  <r>
    <x v="12"/>
  </r>
  <r>
    <x v="12"/>
  </r>
  <r>
    <x v="12"/>
  </r>
  <r>
    <x v="12"/>
  </r>
  <r>
    <x v="12"/>
  </r>
  <r>
    <x v="12"/>
  </r>
  <r>
    <x v="10"/>
  </r>
  <r>
    <x v="10"/>
  </r>
  <r>
    <x v="12"/>
  </r>
  <r>
    <x v="12"/>
  </r>
  <r>
    <x v="12"/>
  </r>
  <r>
    <x v="10"/>
  </r>
  <r>
    <x v="10"/>
  </r>
  <r>
    <x v="42"/>
  </r>
  <r>
    <x v="4"/>
  </r>
  <r>
    <x v="53"/>
  </r>
  <r>
    <x v="33"/>
  </r>
  <r>
    <x v="42"/>
  </r>
  <r>
    <x v="42"/>
  </r>
  <r>
    <x v="10"/>
  </r>
  <r>
    <x v="37"/>
  </r>
  <r>
    <x v="10"/>
  </r>
  <r>
    <x v="12"/>
  </r>
  <r>
    <x v="37"/>
  </r>
  <r>
    <x v="63"/>
  </r>
  <r>
    <x v="7"/>
  </r>
  <r>
    <x v="36"/>
  </r>
  <r>
    <x v="12"/>
  </r>
  <r>
    <x v="42"/>
  </r>
  <r>
    <x v="14"/>
  </r>
  <r>
    <x v="12"/>
  </r>
  <r>
    <x v="0"/>
  </r>
  <r>
    <x v="0"/>
  </r>
  <r>
    <x v="24"/>
  </r>
  <r>
    <x v="24"/>
  </r>
  <r>
    <x v="24"/>
  </r>
  <r>
    <x v="24"/>
  </r>
  <r>
    <x v="24"/>
  </r>
  <r>
    <x v="24"/>
  </r>
  <r>
    <x v="24"/>
  </r>
  <r>
    <x v="71"/>
  </r>
  <r>
    <x v="86"/>
  </r>
  <r>
    <x v="24"/>
  </r>
  <r>
    <x v="24"/>
  </r>
  <r>
    <x v="9"/>
  </r>
  <r>
    <x v="14"/>
  </r>
  <r>
    <x v="12"/>
  </r>
  <r>
    <x v="0"/>
  </r>
  <r>
    <x v="36"/>
  </r>
  <r>
    <x v="61"/>
  </r>
  <r>
    <x v="14"/>
  </r>
  <r>
    <x v="10"/>
  </r>
  <r>
    <x v="10"/>
  </r>
  <r>
    <x v="28"/>
  </r>
  <r>
    <x v="28"/>
  </r>
  <r>
    <x v="28"/>
  </r>
  <r>
    <x v="28"/>
  </r>
  <r>
    <x v="28"/>
  </r>
  <r>
    <x v="28"/>
  </r>
  <r>
    <x v="36"/>
  </r>
  <r>
    <x v="10"/>
  </r>
  <r>
    <x v="28"/>
  </r>
  <r>
    <x v="10"/>
  </r>
  <r>
    <x v="10"/>
  </r>
  <r>
    <x v="175"/>
  </r>
  <r>
    <x v="175"/>
  </r>
  <r>
    <x v="175"/>
  </r>
  <r>
    <x v="80"/>
  </r>
  <r>
    <x v="28"/>
  </r>
  <r>
    <x v="175"/>
  </r>
  <r>
    <x v="79"/>
  </r>
  <r>
    <x v="33"/>
  </r>
  <r>
    <x v="10"/>
  </r>
  <r>
    <x v="10"/>
  </r>
  <r>
    <x v="10"/>
  </r>
  <r>
    <x v="12"/>
  </r>
  <r>
    <x v="123"/>
  </r>
  <r>
    <x v="48"/>
  </r>
  <r>
    <x v="76"/>
  </r>
  <r>
    <x v="14"/>
  </r>
  <r>
    <x v="123"/>
  </r>
  <r>
    <x v="10"/>
  </r>
  <r>
    <x v="0"/>
  </r>
  <r>
    <x v="115"/>
  </r>
  <r>
    <x v="115"/>
  </r>
  <r>
    <x v="10"/>
  </r>
  <r>
    <x v="10"/>
  </r>
  <r>
    <x v="20"/>
  </r>
  <r>
    <x v="42"/>
  </r>
  <r>
    <x v="24"/>
  </r>
  <r>
    <x v="71"/>
  </r>
  <r>
    <x v="10"/>
  </r>
  <r>
    <x v="14"/>
  </r>
  <r>
    <x v="14"/>
  </r>
  <r>
    <x v="14"/>
  </r>
  <r>
    <x v="14"/>
  </r>
  <r>
    <x v="14"/>
  </r>
  <r>
    <x v="10"/>
  </r>
  <r>
    <x v="14"/>
  </r>
  <r>
    <x v="14"/>
  </r>
  <r>
    <x v="14"/>
  </r>
  <r>
    <x v="14"/>
  </r>
  <r>
    <x v="14"/>
  </r>
  <r>
    <x v="14"/>
  </r>
  <r>
    <x v="14"/>
  </r>
  <r>
    <x v="14"/>
  </r>
  <r>
    <x v="10"/>
  </r>
  <r>
    <x v="14"/>
  </r>
  <r>
    <x v="42"/>
  </r>
  <r>
    <x v="14"/>
  </r>
  <r>
    <x v="57"/>
  </r>
  <r>
    <x v="10"/>
  </r>
  <r>
    <x v="14"/>
  </r>
  <r>
    <x v="14"/>
  </r>
  <r>
    <x v="10"/>
  </r>
  <r>
    <x v="57"/>
  </r>
  <r>
    <x v="36"/>
  </r>
  <r>
    <x v="36"/>
  </r>
  <r>
    <x v="3"/>
  </r>
  <r>
    <x v="3"/>
  </r>
  <r>
    <x v="56"/>
  </r>
  <r>
    <x v="56"/>
  </r>
  <r>
    <x v="9"/>
  </r>
  <r>
    <x v="56"/>
  </r>
  <r>
    <x v="12"/>
  </r>
  <r>
    <x v="10"/>
  </r>
  <r>
    <x v="123"/>
  </r>
  <r>
    <x v="10"/>
  </r>
  <r>
    <x v="76"/>
  </r>
  <r>
    <x v="76"/>
  </r>
  <r>
    <x v="76"/>
  </r>
  <r>
    <x v="10"/>
  </r>
  <r>
    <x v="10"/>
  </r>
  <r>
    <x v="10"/>
  </r>
  <r>
    <x v="10"/>
  </r>
  <r>
    <x v="10"/>
  </r>
  <r>
    <x v="10"/>
  </r>
  <r>
    <x v="10"/>
  </r>
  <r>
    <x v="85"/>
  </r>
  <r>
    <x v="85"/>
  </r>
  <r>
    <x v="14"/>
  </r>
  <r>
    <x v="77"/>
  </r>
  <r>
    <x v="28"/>
  </r>
  <r>
    <x v="14"/>
  </r>
  <r>
    <x v="22"/>
  </r>
  <r>
    <x v="123"/>
  </r>
  <r>
    <x v="123"/>
  </r>
  <r>
    <x v="4"/>
  </r>
  <r>
    <x v="4"/>
  </r>
  <r>
    <x v="4"/>
  </r>
  <r>
    <x v="4"/>
  </r>
  <r>
    <x v="4"/>
  </r>
  <r>
    <x v="4"/>
  </r>
  <r>
    <x v="4"/>
  </r>
  <r>
    <x v="123"/>
  </r>
  <r>
    <x v="123"/>
  </r>
  <r>
    <x v="4"/>
  </r>
  <r>
    <x v="4"/>
  </r>
  <r>
    <x v="4"/>
  </r>
  <r>
    <x v="4"/>
  </r>
  <r>
    <x v="4"/>
  </r>
  <r>
    <x v="0"/>
  </r>
  <r>
    <x v="12"/>
  </r>
  <r>
    <x v="4"/>
  </r>
  <r>
    <x v="87"/>
  </r>
  <r>
    <x v="42"/>
  </r>
  <r>
    <x v="0"/>
  </r>
  <r>
    <x v="12"/>
  </r>
  <r>
    <x v="0"/>
  </r>
  <r>
    <x v="42"/>
  </r>
  <r>
    <x v="4"/>
  </r>
  <r>
    <x v="12"/>
  </r>
  <r>
    <x v="12"/>
  </r>
  <r>
    <x v="12"/>
  </r>
  <r>
    <x v="36"/>
  </r>
  <r>
    <x v="56"/>
  </r>
  <r>
    <x v="56"/>
  </r>
  <r>
    <x v="42"/>
  </r>
  <r>
    <x v="42"/>
  </r>
  <r>
    <x v="12"/>
  </r>
  <r>
    <x v="12"/>
  </r>
  <r>
    <x v="12"/>
  </r>
  <r>
    <x v="42"/>
  </r>
  <r>
    <x v="42"/>
  </r>
  <r>
    <x v="42"/>
  </r>
  <r>
    <x v="42"/>
  </r>
  <r>
    <x v="42"/>
  </r>
  <r>
    <x v="42"/>
  </r>
  <r>
    <x v="87"/>
  </r>
  <r>
    <x v="87"/>
  </r>
  <r>
    <x v="87"/>
  </r>
  <r>
    <x v="42"/>
  </r>
  <r>
    <x v="42"/>
  </r>
  <r>
    <x v="12"/>
  </r>
  <r>
    <x v="12"/>
  </r>
  <r>
    <x v="42"/>
  </r>
  <r>
    <x v="42"/>
  </r>
  <r>
    <x v="42"/>
  </r>
  <r>
    <x v="42"/>
  </r>
  <r>
    <x v="42"/>
  </r>
  <r>
    <x v="12"/>
  </r>
  <r>
    <x v="24"/>
  </r>
  <r>
    <x v="80"/>
  </r>
  <r>
    <x v="80"/>
  </r>
  <r>
    <x v="114"/>
  </r>
  <r>
    <x v="36"/>
  </r>
  <r>
    <x v="80"/>
  </r>
  <r>
    <x v="42"/>
  </r>
  <r>
    <x v="12"/>
  </r>
  <r>
    <x v="12"/>
  </r>
  <r>
    <x v="100"/>
  </r>
  <r>
    <x v="12"/>
  </r>
  <r>
    <x v="4"/>
  </r>
  <r>
    <x v="4"/>
  </r>
  <r>
    <x v="87"/>
  </r>
  <r>
    <x v="10"/>
  </r>
  <r>
    <x v="4"/>
  </r>
  <r>
    <x v="4"/>
  </r>
  <r>
    <x v="28"/>
  </r>
  <r>
    <x v="28"/>
  </r>
  <r>
    <x v="28"/>
  </r>
  <r>
    <x v="28"/>
  </r>
  <r>
    <x v="126"/>
  </r>
  <r>
    <x v="0"/>
  </r>
  <r>
    <x v="87"/>
  </r>
  <r>
    <x v="0"/>
  </r>
  <r>
    <x v="87"/>
  </r>
  <r>
    <x v="87"/>
  </r>
  <r>
    <x v="87"/>
  </r>
  <r>
    <x v="87"/>
  </r>
  <r>
    <x v="29"/>
  </r>
  <r>
    <x v="15"/>
  </r>
  <r>
    <x v="52"/>
  </r>
  <r>
    <x v="52"/>
  </r>
  <r>
    <x v="36"/>
  </r>
  <r>
    <x v="36"/>
  </r>
  <r>
    <x v="15"/>
  </r>
  <r>
    <x v="16"/>
  </r>
  <r>
    <x v="56"/>
  </r>
  <r>
    <x v="146"/>
  </r>
  <r>
    <x v="146"/>
  </r>
  <r>
    <x v="175"/>
  </r>
  <r>
    <x v="175"/>
  </r>
  <r>
    <x v="175"/>
  </r>
  <r>
    <x v="10"/>
  </r>
  <r>
    <x v="33"/>
  </r>
  <r>
    <x v="33"/>
  </r>
  <r>
    <x v="12"/>
  </r>
  <r>
    <x v="53"/>
  </r>
  <r>
    <x v="10"/>
  </r>
  <r>
    <x v="4"/>
  </r>
  <r>
    <x v="10"/>
  </r>
  <r>
    <x v="10"/>
  </r>
  <r>
    <x v="138"/>
  </r>
  <r>
    <x v="138"/>
  </r>
  <r>
    <x v="10"/>
  </r>
  <r>
    <x v="264"/>
  </r>
  <r>
    <x v="81"/>
  </r>
  <r>
    <x v="4"/>
  </r>
  <r>
    <x v="4"/>
  </r>
  <r>
    <x v="4"/>
  </r>
  <r>
    <x v="4"/>
  </r>
  <r>
    <x v="37"/>
  </r>
  <r>
    <x v="115"/>
  </r>
  <r>
    <x v="115"/>
  </r>
  <r>
    <x v="115"/>
  </r>
  <r>
    <x v="115"/>
  </r>
  <r>
    <x v="115"/>
  </r>
  <r>
    <x v="115"/>
  </r>
  <r>
    <x v="9"/>
  </r>
  <r>
    <x v="57"/>
  </r>
  <r>
    <x v="4"/>
  </r>
  <r>
    <x v="33"/>
  </r>
  <r>
    <x v="33"/>
  </r>
  <r>
    <x v="0"/>
  </r>
  <r>
    <x v="10"/>
  </r>
  <r>
    <x v="91"/>
  </r>
  <r>
    <x v="59"/>
  </r>
  <r>
    <x v="59"/>
  </r>
  <r>
    <x v="59"/>
  </r>
  <r>
    <x v="7"/>
  </r>
  <r>
    <x v="10"/>
  </r>
  <r>
    <x v="10"/>
  </r>
  <r>
    <x v="7"/>
  </r>
  <r>
    <x v="7"/>
  </r>
  <r>
    <x v="14"/>
  </r>
  <r>
    <x v="17"/>
  </r>
  <r>
    <x v="1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87"/>
  </r>
  <r>
    <x v="87"/>
  </r>
  <r>
    <x v="87"/>
  </r>
  <r>
    <x v="87"/>
  </r>
  <r>
    <x v="87"/>
  </r>
  <r>
    <x v="87"/>
  </r>
  <r>
    <x v="4"/>
  </r>
  <r>
    <x v="1"/>
  </r>
  <r>
    <x v="161"/>
  </r>
  <r>
    <x v="87"/>
  </r>
  <r>
    <x v="87"/>
  </r>
  <r>
    <x v="0"/>
  </r>
  <r>
    <x v="161"/>
  </r>
  <r>
    <x v="57"/>
  </r>
  <r>
    <x v="12"/>
  </r>
  <r>
    <x v="79"/>
  </r>
  <r>
    <x v="87"/>
  </r>
  <r>
    <x v="87"/>
  </r>
  <r>
    <x v="2"/>
  </r>
  <r>
    <x v="138"/>
  </r>
  <r>
    <x v="78"/>
  </r>
  <r>
    <x v="123"/>
  </r>
  <r>
    <x v="123"/>
  </r>
  <r>
    <x v="4"/>
  </r>
  <r>
    <x v="4"/>
  </r>
  <r>
    <x v="10"/>
  </r>
  <r>
    <x v="4"/>
  </r>
  <r>
    <x v="4"/>
  </r>
  <r>
    <x v="72"/>
  </r>
  <r>
    <x v="72"/>
  </r>
  <r>
    <x v="56"/>
  </r>
  <r>
    <x v="89"/>
  </r>
  <r>
    <x v="89"/>
  </r>
  <r>
    <x v="89"/>
  </r>
  <r>
    <x v="123"/>
  </r>
  <r>
    <x v="80"/>
  </r>
  <r>
    <x v="50"/>
  </r>
  <r>
    <x v="80"/>
  </r>
  <r>
    <x v="50"/>
  </r>
  <r>
    <x v="14"/>
  </r>
  <r>
    <x v="14"/>
  </r>
  <r>
    <x v="14"/>
  </r>
  <r>
    <x v="80"/>
  </r>
  <r>
    <x v="138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65"/>
  </r>
  <r>
    <x v="165"/>
  </r>
  <r>
    <x v="12"/>
  </r>
  <r>
    <x v="165"/>
  </r>
  <r>
    <x v="165"/>
  </r>
  <r>
    <x v="165"/>
  </r>
  <r>
    <x v="165"/>
  </r>
  <r>
    <x v="165"/>
  </r>
  <r>
    <x v="165"/>
  </r>
  <r>
    <x v="165"/>
  </r>
  <r>
    <x v="165"/>
  </r>
  <r>
    <x v="152"/>
  </r>
  <r>
    <x v="36"/>
  </r>
  <r>
    <x v="89"/>
  </r>
  <r>
    <x v="251"/>
  </r>
  <r>
    <x v="72"/>
  </r>
  <r>
    <x v="1"/>
  </r>
  <r>
    <x v="37"/>
  </r>
  <r>
    <x v="10"/>
  </r>
  <r>
    <x v="4"/>
  </r>
  <r>
    <x v="4"/>
  </r>
  <r>
    <x v="165"/>
  </r>
  <r>
    <x v="12"/>
  </r>
  <r>
    <x v="16"/>
  </r>
  <r>
    <x v="123"/>
  </r>
  <r>
    <x v="123"/>
  </r>
  <r>
    <x v="165"/>
  </r>
  <r>
    <x v="10"/>
  </r>
  <r>
    <x v="17"/>
  </r>
  <r>
    <x v="4"/>
  </r>
  <r>
    <x v="4"/>
  </r>
  <r>
    <x v="10"/>
  </r>
  <r>
    <x v="4"/>
  </r>
  <r>
    <x v="108"/>
  </r>
  <r>
    <x v="4"/>
  </r>
  <r>
    <x v="4"/>
  </r>
  <r>
    <x v="45"/>
  </r>
  <r>
    <x v="0"/>
  </r>
  <r>
    <x v="12"/>
  </r>
  <r>
    <x v="10"/>
  </r>
  <r>
    <x v="28"/>
  </r>
  <r>
    <x v="28"/>
  </r>
  <r>
    <x v="28"/>
  </r>
  <r>
    <x v="28"/>
  </r>
  <r>
    <x v="28"/>
  </r>
  <r>
    <x v="4"/>
  </r>
  <r>
    <x v="10"/>
  </r>
  <r>
    <x v="108"/>
  </r>
  <r>
    <x v="108"/>
  </r>
  <r>
    <x v="122"/>
  </r>
  <r>
    <x v="7"/>
  </r>
  <r>
    <x v="0"/>
  </r>
  <r>
    <x v="10"/>
  </r>
  <r>
    <x v="10"/>
  </r>
  <r>
    <x v="408"/>
  </r>
  <r>
    <x v="12"/>
  </r>
  <r>
    <x v="4"/>
  </r>
  <r>
    <x v="4"/>
  </r>
  <r>
    <x v="4"/>
  </r>
  <r>
    <x v="7"/>
  </r>
  <r>
    <x v="4"/>
  </r>
  <r>
    <x v="4"/>
  </r>
  <r>
    <x v="30"/>
  </r>
  <r>
    <x v="30"/>
  </r>
  <r>
    <x v="12"/>
  </r>
  <r>
    <x v="25"/>
  </r>
  <r>
    <x v="169"/>
  </r>
  <r>
    <x v="16"/>
  </r>
  <r>
    <x v="23"/>
  </r>
  <r>
    <x v="17"/>
  </r>
  <r>
    <x v="60"/>
  </r>
  <r>
    <x v="24"/>
  </r>
  <r>
    <x v="24"/>
  </r>
  <r>
    <x v="24"/>
  </r>
  <r>
    <x v="14"/>
  </r>
  <r>
    <x v="12"/>
  </r>
  <r>
    <x v="76"/>
  </r>
  <r>
    <x v="76"/>
  </r>
  <r>
    <x v="76"/>
  </r>
  <r>
    <x v="59"/>
  </r>
  <r>
    <x v="4"/>
  </r>
  <r>
    <x v="48"/>
  </r>
  <r>
    <x v="12"/>
  </r>
  <r>
    <x v="181"/>
  </r>
  <r>
    <x v="41"/>
  </r>
  <r>
    <x v="48"/>
  </r>
  <r>
    <x v="42"/>
  </r>
  <r>
    <x v="22"/>
  </r>
  <r>
    <x v="48"/>
  </r>
  <r>
    <x v="48"/>
  </r>
  <r>
    <x v="48"/>
  </r>
  <r>
    <x v="48"/>
  </r>
  <r>
    <x v="87"/>
  </r>
  <r>
    <x v="190"/>
  </r>
  <r>
    <x v="14"/>
  </r>
  <r>
    <x v="48"/>
  </r>
  <r>
    <x v="4"/>
  </r>
  <r>
    <x v="36"/>
  </r>
  <r>
    <x v="7"/>
  </r>
  <r>
    <x v="40"/>
  </r>
  <r>
    <x v="77"/>
  </r>
  <r>
    <x v="3"/>
  </r>
  <r>
    <x v="76"/>
  </r>
  <r>
    <x v="76"/>
  </r>
  <r>
    <x v="76"/>
  </r>
  <r>
    <x v="86"/>
  </r>
  <r>
    <x v="21"/>
  </r>
  <r>
    <x v="12"/>
  </r>
  <r>
    <x v="86"/>
  </r>
  <r>
    <x v="86"/>
  </r>
  <r>
    <x v="29"/>
  </r>
  <r>
    <x v="55"/>
  </r>
  <r>
    <x v="55"/>
  </r>
  <r>
    <x v="29"/>
  </r>
  <r>
    <x v="70"/>
  </r>
  <r>
    <x v="24"/>
  </r>
  <r>
    <x v="24"/>
  </r>
  <r>
    <x v="21"/>
  </r>
  <r>
    <x v="10"/>
  </r>
  <r>
    <x v="33"/>
  </r>
  <r>
    <x v="33"/>
  </r>
  <r>
    <x v="33"/>
  </r>
  <r>
    <x v="33"/>
  </r>
  <r>
    <x v="33"/>
  </r>
  <r>
    <x v="33"/>
  </r>
  <r>
    <x v="69"/>
  </r>
  <r>
    <x v="9"/>
  </r>
  <r>
    <x v="10"/>
  </r>
  <r>
    <x v="76"/>
  </r>
  <r>
    <x v="76"/>
  </r>
  <r>
    <x v="63"/>
  </r>
  <r>
    <x v="63"/>
  </r>
  <r>
    <x v="63"/>
  </r>
  <r>
    <x v="63"/>
  </r>
  <r>
    <x v="4"/>
  </r>
  <r>
    <x v="86"/>
  </r>
  <r>
    <x v="86"/>
  </r>
  <r>
    <x v="4"/>
  </r>
  <r>
    <x v="4"/>
  </r>
  <r>
    <x v="2"/>
  </r>
  <r>
    <x v="4"/>
  </r>
  <r>
    <x v="28"/>
  </r>
  <r>
    <x v="26"/>
  </r>
  <r>
    <x v="26"/>
  </r>
  <r>
    <x v="26"/>
  </r>
  <r>
    <x v="26"/>
  </r>
  <r>
    <x v="26"/>
  </r>
  <r>
    <x v="181"/>
  </r>
  <r>
    <x v="77"/>
  </r>
  <r>
    <x v="165"/>
  </r>
  <r>
    <x v="165"/>
  </r>
  <r>
    <x v="77"/>
  </r>
  <r>
    <x v="48"/>
  </r>
  <r>
    <x v="28"/>
  </r>
  <r>
    <x v="28"/>
  </r>
  <r>
    <x v="28"/>
  </r>
  <r>
    <x v="28"/>
  </r>
  <r>
    <x v="28"/>
  </r>
  <r>
    <x v="28"/>
  </r>
  <r>
    <x v="77"/>
  </r>
  <r>
    <x v="28"/>
  </r>
  <r>
    <x v="28"/>
  </r>
  <r>
    <x v="28"/>
  </r>
  <r>
    <x v="28"/>
  </r>
  <r>
    <x v="12"/>
  </r>
  <r>
    <x v="28"/>
  </r>
  <r>
    <x v="28"/>
  </r>
  <r>
    <x v="138"/>
  </r>
  <r>
    <x v="138"/>
  </r>
  <r>
    <x v="42"/>
  </r>
  <r>
    <x v="138"/>
  </r>
  <r>
    <x v="138"/>
  </r>
  <r>
    <x v="138"/>
  </r>
  <r>
    <x v="138"/>
  </r>
  <r>
    <x v="10"/>
  </r>
  <r>
    <x v="138"/>
  </r>
  <r>
    <x v="138"/>
  </r>
  <r>
    <x v="17"/>
  </r>
  <r>
    <x v="24"/>
  </r>
  <r>
    <x v="14"/>
  </r>
  <r>
    <x v="4"/>
  </r>
  <r>
    <x v="24"/>
  </r>
  <r>
    <x v="7"/>
  </r>
  <r>
    <x v="7"/>
  </r>
  <r>
    <x v="24"/>
  </r>
  <r>
    <x v="24"/>
  </r>
  <r>
    <x v="24"/>
  </r>
  <r>
    <x v="24"/>
  </r>
  <r>
    <x v="24"/>
  </r>
  <r>
    <x v="24"/>
  </r>
  <r>
    <x v="24"/>
  </r>
  <r>
    <x v="0"/>
  </r>
  <r>
    <x v="57"/>
  </r>
  <r>
    <x v="57"/>
  </r>
  <r>
    <x v="0"/>
  </r>
  <r>
    <x v="24"/>
  </r>
  <r>
    <x v="24"/>
  </r>
  <r>
    <x v="86"/>
  </r>
  <r>
    <x v="24"/>
  </r>
  <r>
    <x v="24"/>
  </r>
  <r>
    <x v="123"/>
  </r>
  <r>
    <x v="123"/>
  </r>
  <r>
    <x v="123"/>
  </r>
  <r>
    <x v="123"/>
  </r>
  <r>
    <x v="4"/>
  </r>
  <r>
    <x v="16"/>
  </r>
  <r>
    <x v="16"/>
  </r>
  <r>
    <x v="7"/>
  </r>
  <r>
    <x v="29"/>
  </r>
  <r>
    <x v="10"/>
  </r>
  <r>
    <x v="10"/>
  </r>
  <r>
    <x v="10"/>
  </r>
  <r>
    <x v="56"/>
  </r>
  <r>
    <x v="10"/>
  </r>
  <r>
    <x v="7"/>
  </r>
  <r>
    <x v="114"/>
  </r>
  <r>
    <x v="86"/>
  </r>
  <r>
    <x v="10"/>
  </r>
  <r>
    <x v="10"/>
  </r>
  <r>
    <x v="10"/>
  </r>
  <r>
    <x v="4"/>
  </r>
  <r>
    <x v="31"/>
  </r>
  <r>
    <x v="86"/>
  </r>
  <r>
    <x v="86"/>
  </r>
  <r>
    <x v="86"/>
  </r>
  <r>
    <x v="4"/>
  </r>
  <r>
    <x v="86"/>
  </r>
  <r>
    <x v="28"/>
  </r>
  <r>
    <x v="28"/>
  </r>
  <r>
    <x v="28"/>
  </r>
  <r>
    <x v="28"/>
  </r>
  <r>
    <x v="28"/>
  </r>
  <r>
    <x v="28"/>
  </r>
  <r>
    <x v="10"/>
  </r>
  <r>
    <x v="180"/>
  </r>
  <r>
    <x v="28"/>
  </r>
  <r>
    <x v="123"/>
  </r>
  <r>
    <x v="123"/>
  </r>
  <r>
    <x v="28"/>
  </r>
  <r>
    <x v="14"/>
  </r>
  <r>
    <x v="28"/>
  </r>
  <r>
    <x v="10"/>
  </r>
  <r>
    <x v="116"/>
  </r>
  <r>
    <x v="116"/>
  </r>
  <r>
    <x v="10"/>
  </r>
  <r>
    <x v="68"/>
  </r>
  <r>
    <x v="112"/>
  </r>
  <r>
    <x v="12"/>
  </r>
  <r>
    <x v="52"/>
  </r>
  <r>
    <x v="12"/>
  </r>
  <r>
    <x v="77"/>
  </r>
  <r>
    <x v="31"/>
  </r>
  <r>
    <x v="163"/>
  </r>
  <r>
    <x v="27"/>
  </r>
  <r>
    <x v="27"/>
  </r>
  <r>
    <x v="27"/>
  </r>
  <r>
    <x v="24"/>
  </r>
  <r>
    <x v="12"/>
  </r>
  <r>
    <x v="87"/>
  </r>
  <r>
    <x v="165"/>
  </r>
  <r>
    <x v="102"/>
  </r>
  <r>
    <x v="87"/>
  </r>
  <r>
    <x v="56"/>
  </r>
  <r>
    <x v="42"/>
  </r>
  <r>
    <x v="56"/>
  </r>
  <r>
    <x v="56"/>
  </r>
  <r>
    <x v="56"/>
  </r>
  <r>
    <x v="48"/>
  </r>
  <r>
    <x v="87"/>
  </r>
  <r>
    <x v="87"/>
  </r>
  <r>
    <x v="87"/>
  </r>
  <r>
    <x v="87"/>
  </r>
  <r>
    <x v="87"/>
  </r>
  <r>
    <x v="123"/>
  </r>
  <r>
    <x v="12"/>
  </r>
  <r>
    <x v="12"/>
  </r>
  <r>
    <x v="152"/>
  </r>
  <r>
    <x v="42"/>
  </r>
  <r>
    <x v="127"/>
  </r>
  <r>
    <x v="190"/>
  </r>
  <r>
    <x v="190"/>
  </r>
  <r>
    <x v="4"/>
  </r>
  <r>
    <x v="87"/>
  </r>
  <r>
    <x v="87"/>
  </r>
  <r>
    <x v="87"/>
  </r>
  <r>
    <x v="107"/>
  </r>
  <r>
    <x v="42"/>
  </r>
  <r>
    <x v="42"/>
  </r>
  <r>
    <x v="42"/>
  </r>
  <r>
    <x v="12"/>
  </r>
  <r>
    <x v="42"/>
  </r>
  <r>
    <x v="42"/>
  </r>
  <r>
    <x v="42"/>
  </r>
  <r>
    <x v="129"/>
  </r>
  <r>
    <x v="42"/>
  </r>
  <r>
    <x v="42"/>
  </r>
  <r>
    <x v="42"/>
  </r>
  <r>
    <x v="42"/>
  </r>
  <r>
    <x v="42"/>
  </r>
  <r>
    <x v="129"/>
  </r>
  <r>
    <x v="129"/>
  </r>
  <r>
    <x v="129"/>
  </r>
  <r>
    <x v="12"/>
  </r>
  <r>
    <x v="12"/>
  </r>
  <r>
    <x v="56"/>
  </r>
  <r>
    <x v="42"/>
  </r>
  <r>
    <x v="42"/>
  </r>
  <r>
    <x v="129"/>
  </r>
  <r>
    <x v="129"/>
  </r>
  <r>
    <x v="42"/>
  </r>
  <r>
    <x v="42"/>
  </r>
  <r>
    <x v="40"/>
  </r>
  <r>
    <x v="10"/>
  </r>
  <r>
    <x v="9"/>
  </r>
  <r>
    <x v="4"/>
  </r>
  <r>
    <x v="10"/>
  </r>
  <r>
    <x v="10"/>
  </r>
  <r>
    <x v="10"/>
  </r>
  <r>
    <x v="4"/>
  </r>
  <r>
    <x v="4"/>
  </r>
  <r>
    <x v="76"/>
  </r>
  <r>
    <x v="24"/>
  </r>
  <r>
    <x v="37"/>
  </r>
  <r>
    <x v="31"/>
  </r>
  <r>
    <x v="31"/>
  </r>
  <r>
    <x v="24"/>
  </r>
  <r>
    <x v="138"/>
  </r>
  <r>
    <x v="4"/>
  </r>
  <r>
    <x v="138"/>
  </r>
  <r>
    <x v="138"/>
  </r>
  <r>
    <x v="138"/>
  </r>
  <r>
    <x v="138"/>
  </r>
  <r>
    <x v="138"/>
  </r>
  <r>
    <x v="9"/>
  </r>
  <r>
    <x v="9"/>
  </r>
  <r>
    <x v="9"/>
  </r>
  <r>
    <x v="9"/>
  </r>
  <r>
    <x v="9"/>
  </r>
  <r>
    <x v="9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2"/>
  </r>
  <r>
    <x v="10"/>
  </r>
  <r>
    <x v="10"/>
  </r>
  <r>
    <x v="28"/>
  </r>
  <r>
    <x v="86"/>
  </r>
  <r>
    <x v="12"/>
  </r>
  <r>
    <x v="12"/>
  </r>
  <r>
    <x v="72"/>
  </r>
  <r>
    <x v="72"/>
  </r>
  <r>
    <x v="12"/>
  </r>
  <r>
    <x v="131"/>
  </r>
  <r>
    <x v="80"/>
  </r>
  <r>
    <x v="80"/>
  </r>
  <r>
    <x v="80"/>
  </r>
  <r>
    <x v="80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7"/>
  </r>
  <r>
    <x v="87"/>
  </r>
  <r>
    <x v="87"/>
  </r>
  <r>
    <x v="87"/>
  </r>
  <r>
    <x v="80"/>
  </r>
  <r>
    <x v="80"/>
  </r>
  <r>
    <x v="0"/>
  </r>
  <r>
    <x v="17"/>
  </r>
  <r>
    <x v="2"/>
  </r>
  <r>
    <x v="55"/>
  </r>
  <r>
    <x v="96"/>
  </r>
  <r>
    <x v="141"/>
  </r>
  <r>
    <x v="7"/>
  </r>
  <r>
    <x v="48"/>
  </r>
  <r>
    <x v="7"/>
  </r>
  <r>
    <x v="7"/>
  </r>
  <r>
    <x v="7"/>
  </r>
  <r>
    <x v="16"/>
  </r>
  <r>
    <x v="164"/>
  </r>
  <r>
    <x v="16"/>
  </r>
  <r>
    <x v="12"/>
  </r>
  <r>
    <x v="52"/>
  </r>
  <r>
    <x v="52"/>
  </r>
  <r>
    <x v="19"/>
  </r>
  <r>
    <x v="12"/>
  </r>
  <r>
    <x v="249"/>
  </r>
  <r>
    <x v="52"/>
  </r>
  <r>
    <x v="141"/>
  </r>
  <r>
    <x v="141"/>
  </r>
  <r>
    <x v="141"/>
  </r>
  <r>
    <x v="52"/>
  </r>
  <r>
    <x v="141"/>
  </r>
  <r>
    <x v="141"/>
  </r>
  <r>
    <x v="10"/>
  </r>
  <r>
    <x v="28"/>
  </r>
  <r>
    <x v="0"/>
  </r>
  <r>
    <x v="0"/>
  </r>
  <r>
    <x v="56"/>
  </r>
  <r>
    <x v="56"/>
  </r>
  <r>
    <x v="56"/>
  </r>
  <r>
    <x v="56"/>
  </r>
  <r>
    <x v="56"/>
  </r>
  <r>
    <x v="28"/>
  </r>
  <r>
    <x v="28"/>
  </r>
  <r>
    <x v="123"/>
  </r>
  <r>
    <x v="123"/>
  </r>
  <r>
    <x v="123"/>
  </r>
  <r>
    <x v="123"/>
  </r>
  <r>
    <x v="123"/>
  </r>
  <r>
    <x v="123"/>
  </r>
  <r>
    <x v="123"/>
  </r>
  <r>
    <x v="12"/>
  </r>
  <r>
    <x v="24"/>
  </r>
  <r>
    <x v="12"/>
  </r>
  <r>
    <x v="12"/>
  </r>
  <r>
    <x v="12"/>
  </r>
  <r>
    <x v="3"/>
  </r>
  <r>
    <x v="12"/>
  </r>
  <r>
    <x v="96"/>
  </r>
  <r>
    <x v="39"/>
  </r>
  <r>
    <x v="7"/>
  </r>
  <r>
    <x v="39"/>
  </r>
  <r>
    <x v="14"/>
  </r>
  <r>
    <x v="87"/>
  </r>
  <r>
    <x v="26"/>
  </r>
  <r>
    <x v="1"/>
  </r>
  <r>
    <x v="14"/>
  </r>
  <r>
    <x v="4"/>
  </r>
  <r>
    <x v="115"/>
  </r>
  <r>
    <x v="0"/>
  </r>
  <r>
    <x v="0"/>
  </r>
  <r>
    <x v="0"/>
  </r>
  <r>
    <x v="10"/>
  </r>
  <r>
    <x v="4"/>
  </r>
  <r>
    <x v="126"/>
  </r>
  <r>
    <x v="36"/>
  </r>
  <r>
    <x v="43"/>
  </r>
  <r>
    <x v="33"/>
  </r>
  <r>
    <x v="0"/>
  </r>
  <r>
    <x v="31"/>
  </r>
  <r>
    <x v="10"/>
  </r>
  <r>
    <x v="10"/>
  </r>
  <r>
    <x v="33"/>
  </r>
  <r>
    <x v="10"/>
  </r>
  <r>
    <x v="42"/>
  </r>
  <r>
    <x v="0"/>
  </r>
  <r>
    <x v="7"/>
  </r>
  <r>
    <x v="7"/>
  </r>
  <r>
    <x v="11"/>
  </r>
  <r>
    <x v="7"/>
  </r>
  <r>
    <x v="114"/>
  </r>
  <r>
    <x v="114"/>
  </r>
  <r>
    <x v="114"/>
  </r>
  <r>
    <x v="10"/>
  </r>
  <r>
    <x v="33"/>
  </r>
  <r>
    <x v="114"/>
  </r>
  <r>
    <x v="29"/>
  </r>
  <r>
    <x v="114"/>
  </r>
  <r>
    <x v="7"/>
  </r>
  <r>
    <x v="114"/>
  </r>
  <r>
    <x v="10"/>
  </r>
  <r>
    <x v="114"/>
  </r>
  <r>
    <x v="33"/>
  </r>
  <r>
    <x v="4"/>
  </r>
  <r>
    <x v="4"/>
  </r>
  <r>
    <x v="8"/>
  </r>
  <r>
    <x v="4"/>
  </r>
  <r>
    <x v="123"/>
  </r>
  <r>
    <x v="4"/>
  </r>
  <r>
    <x v="28"/>
  </r>
  <r>
    <x v="31"/>
  </r>
  <r>
    <x v="0"/>
  </r>
  <r>
    <x v="45"/>
  </r>
  <r>
    <x v="165"/>
  </r>
  <r>
    <x v="4"/>
  </r>
  <r>
    <x v="52"/>
  </r>
  <r>
    <x v="7"/>
  </r>
  <r>
    <x v="7"/>
  </r>
  <r>
    <x v="7"/>
  </r>
  <r>
    <x v="7"/>
  </r>
  <r>
    <x v="42"/>
  </r>
  <r>
    <x v="12"/>
  </r>
  <r>
    <x v="12"/>
  </r>
  <r>
    <x v="46"/>
  </r>
  <r>
    <x v="46"/>
  </r>
  <r>
    <x v="45"/>
  </r>
  <r>
    <x v="46"/>
  </r>
  <r>
    <x v="9"/>
  </r>
  <r>
    <x v="46"/>
  </r>
  <r>
    <x v="45"/>
  </r>
  <r>
    <x v="112"/>
  </r>
  <r>
    <x v="112"/>
  </r>
  <r>
    <x v="4"/>
  </r>
  <r>
    <x v="30"/>
  </r>
  <r>
    <x v="30"/>
  </r>
  <r>
    <x v="112"/>
  </r>
  <r>
    <x v="112"/>
  </r>
  <r>
    <x v="112"/>
  </r>
  <r>
    <x v="112"/>
  </r>
  <r>
    <x v="112"/>
  </r>
  <r>
    <x v="71"/>
  </r>
  <r>
    <x v="126"/>
  </r>
  <r>
    <x v="175"/>
  </r>
  <r>
    <x v="9"/>
  </r>
  <r>
    <x v="112"/>
  </r>
  <r>
    <x v="175"/>
  </r>
  <r>
    <x v="175"/>
  </r>
  <r>
    <x v="0"/>
  </r>
  <r>
    <x v="10"/>
  </r>
  <r>
    <x v="248"/>
  </r>
  <r>
    <x v="10"/>
  </r>
  <r>
    <x v="10"/>
  </r>
  <r>
    <x v="10"/>
  </r>
  <r>
    <x v="10"/>
  </r>
  <r>
    <x v="128"/>
  </r>
  <r>
    <x v="10"/>
  </r>
  <r>
    <x v="10"/>
  </r>
  <r>
    <x v="10"/>
  </r>
  <r>
    <x v="9"/>
  </r>
  <r>
    <x v="9"/>
  </r>
  <r>
    <x v="9"/>
  </r>
  <r>
    <x v="111"/>
  </r>
  <r>
    <x v="0"/>
  </r>
  <r>
    <x v="0"/>
  </r>
  <r>
    <x v="25"/>
  </r>
  <r>
    <x v="36"/>
  </r>
  <r>
    <x v="45"/>
  </r>
  <r>
    <x v="37"/>
  </r>
  <r>
    <x v="168"/>
  </r>
  <r>
    <x v="36"/>
  </r>
  <r>
    <x v="36"/>
  </r>
  <r>
    <x v="36"/>
  </r>
  <r>
    <x v="36"/>
  </r>
  <r>
    <x v="10"/>
  </r>
  <r>
    <x v="87"/>
  </r>
  <r>
    <x v="14"/>
  </r>
  <r>
    <x v="36"/>
  </r>
  <r>
    <x v="36"/>
  </r>
  <r>
    <x v="36"/>
  </r>
  <r>
    <x v="36"/>
  </r>
  <r>
    <x v="63"/>
  </r>
  <r>
    <x v="168"/>
  </r>
  <r>
    <x v="12"/>
  </r>
  <r>
    <x v="12"/>
  </r>
  <r>
    <x v="36"/>
  </r>
  <r>
    <x v="36"/>
  </r>
  <r>
    <x v="12"/>
  </r>
  <r>
    <x v="14"/>
  </r>
  <r>
    <x v="154"/>
  </r>
  <r>
    <x v="10"/>
  </r>
  <r>
    <x v="48"/>
  </r>
  <r>
    <x v="10"/>
  </r>
  <r>
    <x v="14"/>
  </r>
  <r>
    <x v="10"/>
  </r>
  <r>
    <x v="10"/>
  </r>
  <r>
    <x v="10"/>
  </r>
  <r>
    <x v="10"/>
  </r>
  <r>
    <x v="138"/>
  </r>
  <r>
    <x v="138"/>
  </r>
  <r>
    <x v="10"/>
  </r>
  <r>
    <x v="36"/>
  </r>
  <r>
    <x v="36"/>
  </r>
  <r>
    <x v="36"/>
  </r>
  <r>
    <x v="36"/>
  </r>
  <r>
    <x v="36"/>
  </r>
  <r>
    <x v="36"/>
  </r>
  <r>
    <x v="36"/>
  </r>
  <r>
    <x v="36"/>
  </r>
  <r>
    <x v="123"/>
  </r>
  <r>
    <x v="36"/>
  </r>
  <r>
    <x v="36"/>
  </r>
  <r>
    <x v="36"/>
  </r>
  <r>
    <x v="12"/>
  </r>
  <r>
    <x v="19"/>
  </r>
  <r>
    <x v="12"/>
  </r>
  <r>
    <x v="36"/>
  </r>
  <r>
    <x v="414"/>
  </r>
  <r>
    <x v="36"/>
  </r>
  <r>
    <x v="56"/>
  </r>
  <r>
    <x v="115"/>
  </r>
  <r>
    <x v="36"/>
  </r>
  <r>
    <x v="36"/>
  </r>
  <r>
    <x v="36"/>
  </r>
  <r>
    <x v="36"/>
  </r>
  <r>
    <x v="36"/>
  </r>
  <r>
    <x v="36"/>
  </r>
  <r>
    <x v="36"/>
  </r>
  <r>
    <x v="0"/>
  </r>
  <r>
    <x v="16"/>
  </r>
  <r>
    <x v="86"/>
  </r>
  <r>
    <x v="86"/>
  </r>
  <r>
    <x v="86"/>
  </r>
  <r>
    <x v="86"/>
  </r>
  <r>
    <x v="86"/>
  </r>
  <r>
    <x v="86"/>
  </r>
  <r>
    <x v="8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9"/>
  </r>
  <r>
    <x v="24"/>
  </r>
  <r>
    <x v="126"/>
  </r>
  <r>
    <x v="17"/>
  </r>
  <r>
    <x v="111"/>
  </r>
  <r>
    <x v="87"/>
  </r>
  <r>
    <x v="175"/>
  </r>
  <r>
    <x v="9"/>
  </r>
  <r>
    <x v="34"/>
  </r>
  <r>
    <x v="4"/>
  </r>
  <r>
    <x v="28"/>
  </r>
  <r>
    <x v="40"/>
  </r>
  <r>
    <x v="165"/>
  </r>
  <r>
    <x v="76"/>
  </r>
  <r>
    <x v="76"/>
  </r>
  <r>
    <x v="126"/>
  </r>
  <r>
    <x v="28"/>
  </r>
  <r>
    <x v="28"/>
  </r>
  <r>
    <x v="28"/>
  </r>
  <r>
    <x v="22"/>
  </r>
  <r>
    <x v="28"/>
  </r>
  <r>
    <x v="28"/>
  </r>
  <r>
    <x v="22"/>
  </r>
  <r>
    <x v="28"/>
  </r>
  <r>
    <x v="28"/>
  </r>
  <r>
    <x v="28"/>
  </r>
  <r>
    <x v="28"/>
  </r>
  <r>
    <x v="28"/>
  </r>
  <r>
    <x v="40"/>
  </r>
  <r>
    <x v="81"/>
  </r>
  <r>
    <x v="42"/>
  </r>
  <r>
    <x v="45"/>
  </r>
  <r>
    <x v="28"/>
  </r>
  <r>
    <x v="28"/>
  </r>
  <r>
    <x v="12"/>
  </r>
  <r>
    <x v="28"/>
  </r>
  <r>
    <x v="28"/>
  </r>
  <r>
    <x v="28"/>
  </r>
  <r>
    <x v="40"/>
  </r>
  <r>
    <x v="40"/>
  </r>
  <r>
    <x v="40"/>
  </r>
  <r>
    <x v="40"/>
  </r>
  <r>
    <x v="40"/>
  </r>
  <r>
    <x v="40"/>
  </r>
  <r>
    <x v="40"/>
  </r>
  <r>
    <x v="40"/>
  </r>
  <r>
    <x v="115"/>
  </r>
  <r>
    <x v="28"/>
  </r>
  <r>
    <x v="28"/>
  </r>
  <r>
    <x v="42"/>
  </r>
  <r>
    <x v="42"/>
  </r>
  <r>
    <x v="42"/>
  </r>
  <r>
    <x v="42"/>
  </r>
  <r>
    <x v="17"/>
  </r>
  <r>
    <x v="42"/>
  </r>
  <r>
    <x v="28"/>
  </r>
  <r>
    <x v="28"/>
  </r>
  <r>
    <x v="28"/>
  </r>
  <r>
    <x v="115"/>
  </r>
  <r>
    <x v="16"/>
  </r>
  <r>
    <x v="42"/>
  </r>
  <r>
    <x v="128"/>
  </r>
  <r>
    <x v="29"/>
  </r>
  <r>
    <x v="128"/>
  </r>
  <r>
    <x v="42"/>
  </r>
  <r>
    <x v="0"/>
  </r>
  <r>
    <x v="0"/>
  </r>
  <r>
    <x v="0"/>
  </r>
  <r>
    <x v="12"/>
  </r>
  <r>
    <x v="42"/>
  </r>
  <r>
    <x v="100"/>
  </r>
  <r>
    <x v="10"/>
  </r>
  <r>
    <x v="3"/>
  </r>
  <r>
    <x v="43"/>
  </r>
  <r>
    <x v="4"/>
  </r>
  <r>
    <x v="0"/>
  </r>
  <r>
    <x v="40"/>
  </r>
  <r>
    <x v="0"/>
  </r>
  <r>
    <x v="4"/>
  </r>
  <r>
    <x v="126"/>
  </r>
  <r>
    <x v="4"/>
  </r>
  <r>
    <x v="4"/>
  </r>
  <r>
    <x v="126"/>
  </r>
  <r>
    <x v="4"/>
  </r>
  <r>
    <x v="21"/>
  </r>
  <r>
    <x v="4"/>
  </r>
  <r>
    <x v="48"/>
  </r>
  <r>
    <x v="4"/>
  </r>
  <r>
    <x v="4"/>
  </r>
  <r>
    <x v="0"/>
  </r>
  <r>
    <x v="10"/>
  </r>
  <r>
    <x v="33"/>
  </r>
  <r>
    <x v="8"/>
  </r>
  <r>
    <x v="17"/>
  </r>
  <r>
    <x v="1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62"/>
  </r>
  <r>
    <x v="48"/>
  </r>
  <r>
    <x v="4"/>
  </r>
  <r>
    <x v="0"/>
  </r>
  <r>
    <x v="0"/>
  </r>
  <r>
    <x v="0"/>
  </r>
  <r>
    <x v="79"/>
  </r>
  <r>
    <x v="79"/>
  </r>
  <r>
    <x v="48"/>
  </r>
  <r>
    <x v="48"/>
  </r>
  <r>
    <x v="79"/>
  </r>
  <r>
    <x v="0"/>
  </r>
  <r>
    <x v="10"/>
  </r>
  <r>
    <x v="59"/>
  </r>
  <r>
    <x v="76"/>
  </r>
  <r>
    <x v="25"/>
  </r>
  <r>
    <x v="36"/>
  </r>
  <r>
    <x v="165"/>
  </r>
  <r>
    <x v="85"/>
  </r>
  <r>
    <x v="165"/>
  </r>
  <r>
    <x v="165"/>
  </r>
  <r>
    <x v="85"/>
  </r>
  <r>
    <x v="36"/>
  </r>
  <r>
    <x v="0"/>
  </r>
  <r>
    <x v="28"/>
  </r>
  <r>
    <x v="12"/>
  </r>
  <r>
    <x v="12"/>
  </r>
  <r>
    <x v="12"/>
  </r>
  <r>
    <x v="12"/>
  </r>
  <r>
    <x v="12"/>
  </r>
  <r>
    <x v="77"/>
  </r>
  <r>
    <x v="12"/>
  </r>
  <r>
    <x v="36"/>
  </r>
  <r>
    <x v="12"/>
  </r>
  <r>
    <x v="12"/>
  </r>
  <r>
    <x v="12"/>
  </r>
  <r>
    <x v="12"/>
  </r>
  <r>
    <x v="12"/>
  </r>
  <r>
    <x v="12"/>
  </r>
  <r>
    <x v="12"/>
  </r>
  <r>
    <x v="14"/>
  </r>
  <r>
    <x v="14"/>
  </r>
  <r>
    <x v="14"/>
  </r>
  <r>
    <x v="10"/>
  </r>
  <r>
    <x v="10"/>
  </r>
  <r>
    <x v="10"/>
  </r>
  <r>
    <x v="10"/>
  </r>
  <r>
    <x v="81"/>
  </r>
  <r>
    <x v="10"/>
  </r>
  <r>
    <x v="10"/>
  </r>
  <r>
    <x v="42"/>
  </r>
  <r>
    <x v="42"/>
  </r>
  <r>
    <x v="10"/>
  </r>
  <r>
    <x v="138"/>
  </r>
  <r>
    <x v="138"/>
  </r>
  <r>
    <x v="138"/>
  </r>
  <r>
    <x v="138"/>
  </r>
  <r>
    <x v="138"/>
  </r>
  <r>
    <x v="12"/>
  </r>
  <r>
    <x v="12"/>
  </r>
  <r>
    <x v="12"/>
  </r>
  <r>
    <x v="138"/>
  </r>
  <r>
    <x v="138"/>
  </r>
  <r>
    <x v="138"/>
  </r>
  <r>
    <x v="138"/>
  </r>
  <r>
    <x v="138"/>
  </r>
  <r>
    <x v="28"/>
  </r>
  <r>
    <x v="157"/>
  </r>
  <r>
    <x v="165"/>
  </r>
  <r>
    <x v="165"/>
  </r>
  <r>
    <x v="165"/>
  </r>
  <r>
    <x v="25"/>
  </r>
  <r>
    <x v="87"/>
  </r>
  <r>
    <x v="76"/>
  </r>
  <r>
    <x v="87"/>
  </r>
  <r>
    <x v="87"/>
  </r>
  <r>
    <x v="87"/>
  </r>
  <r>
    <x v="76"/>
  </r>
  <r>
    <x v="7"/>
  </r>
  <r>
    <x v="10"/>
  </r>
  <r>
    <x v="12"/>
  </r>
  <r>
    <x v="45"/>
  </r>
  <r>
    <x v="86"/>
  </r>
  <r>
    <x v="10"/>
  </r>
  <r>
    <x v="10"/>
  </r>
  <r>
    <x v="0"/>
  </r>
  <r>
    <x v="30"/>
  </r>
  <r>
    <x v="10"/>
  </r>
  <r>
    <x v="123"/>
  </r>
  <r>
    <x v="100"/>
  </r>
  <r>
    <x v="123"/>
  </r>
  <r>
    <x v="123"/>
  </r>
  <r>
    <x v="4"/>
  </r>
  <r>
    <x v="30"/>
  </r>
  <r>
    <x v="4"/>
  </r>
  <r>
    <x v="244"/>
  </r>
  <r>
    <x v="8"/>
  </r>
  <r>
    <x v="175"/>
  </r>
  <r>
    <x v="138"/>
  </r>
  <r>
    <x v="7"/>
  </r>
  <r>
    <x v="14"/>
  </r>
  <r>
    <x v="12"/>
  </r>
  <r>
    <x v="14"/>
  </r>
  <r>
    <x v="7"/>
  </r>
  <r>
    <x v="29"/>
  </r>
  <r>
    <x v="12"/>
  </r>
  <r>
    <x v="7"/>
  </r>
  <r>
    <x v="4"/>
  </r>
  <r>
    <x v="12"/>
  </r>
  <r>
    <x v="7"/>
  </r>
  <r>
    <x v="28"/>
  </r>
  <r>
    <x v="63"/>
  </r>
  <r>
    <x v="7"/>
  </r>
  <r>
    <x v="12"/>
  </r>
  <r>
    <x v="4"/>
  </r>
  <r>
    <x v="9"/>
  </r>
  <r>
    <x v="4"/>
  </r>
  <r>
    <x v="4"/>
  </r>
  <r>
    <x v="10"/>
  </r>
  <r>
    <x v="10"/>
  </r>
  <r>
    <x v="165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138"/>
  </r>
  <r>
    <x v="4"/>
  </r>
  <r>
    <x v="4"/>
  </r>
  <r>
    <x v="4"/>
  </r>
  <r>
    <x v="4"/>
  </r>
  <r>
    <x v="4"/>
  </r>
  <r>
    <x v="4"/>
  </r>
  <r>
    <x v="12"/>
  </r>
  <r>
    <x v="4"/>
  </r>
  <r>
    <x v="42"/>
  </r>
  <r>
    <x v="28"/>
  </r>
  <r>
    <x v="26"/>
  </r>
  <r>
    <x v="77"/>
  </r>
  <r>
    <x v="11"/>
  </r>
  <r>
    <x v="12"/>
  </r>
  <r>
    <x v="77"/>
  </r>
  <r>
    <x v="48"/>
  </r>
  <r>
    <x v="72"/>
  </r>
  <r>
    <x v="48"/>
  </r>
  <r>
    <x v="17"/>
  </r>
  <r>
    <x v="10"/>
  </r>
  <r>
    <x v="10"/>
  </r>
  <r>
    <x v="29"/>
  </r>
  <r>
    <x v="10"/>
  </r>
  <r>
    <x v="10"/>
  </r>
  <r>
    <x v="0"/>
  </r>
  <r>
    <x v="12"/>
  </r>
  <r>
    <x v="0"/>
  </r>
  <r>
    <x v="123"/>
  </r>
  <r>
    <x v="123"/>
  </r>
  <r>
    <x v="24"/>
  </r>
  <r>
    <x v="28"/>
  </r>
  <r>
    <x v="16"/>
  </r>
  <r>
    <x v="114"/>
  </r>
  <r>
    <x v="114"/>
  </r>
  <r>
    <x v="115"/>
  </r>
  <r>
    <x v="86"/>
  </r>
  <r>
    <x v="4"/>
  </r>
  <r>
    <x v="4"/>
  </r>
  <r>
    <x v="6"/>
  </r>
  <r>
    <x v="4"/>
  </r>
  <r>
    <x v="4"/>
  </r>
  <r>
    <x v="4"/>
  </r>
  <r>
    <x v="4"/>
  </r>
  <r>
    <x v="115"/>
  </r>
  <r>
    <x v="115"/>
  </r>
  <r>
    <x v="10"/>
  </r>
  <r>
    <x v="71"/>
  </r>
  <r>
    <x v="36"/>
  </r>
  <r>
    <x v="36"/>
  </r>
  <r>
    <x v="36"/>
  </r>
  <r>
    <x v="36"/>
  </r>
  <r>
    <x v="115"/>
  </r>
  <r>
    <x v="208"/>
  </r>
  <r>
    <x v="45"/>
  </r>
  <r>
    <x v="83"/>
  </r>
  <r>
    <x v="208"/>
  </r>
  <r>
    <x v="57"/>
  </r>
  <r>
    <x v="71"/>
  </r>
  <r>
    <x v="10"/>
  </r>
  <r>
    <x v="28"/>
  </r>
  <r>
    <x v="28"/>
  </r>
  <r>
    <x v="16"/>
  </r>
  <r>
    <x v="28"/>
  </r>
  <r>
    <x v="10"/>
  </r>
  <r>
    <x v="28"/>
  </r>
  <r>
    <x v="48"/>
  </r>
  <r>
    <x v="10"/>
  </r>
  <r>
    <x v="48"/>
  </r>
  <r>
    <x v="10"/>
  </r>
  <r>
    <x v="10"/>
  </r>
  <r>
    <x v="28"/>
  </r>
  <r>
    <x v="28"/>
  </r>
  <r>
    <x v="21"/>
  </r>
  <r>
    <x v="52"/>
  </r>
  <r>
    <x v="146"/>
  </r>
  <r>
    <x v="17"/>
  </r>
  <r>
    <x v="4"/>
  </r>
  <r>
    <x v="138"/>
  </r>
  <r>
    <x v="28"/>
  </r>
  <r>
    <x v="28"/>
  </r>
  <r>
    <x v="10"/>
  </r>
  <r>
    <x v="30"/>
  </r>
  <r>
    <x v="10"/>
  </r>
  <r>
    <x v="10"/>
  </r>
  <r>
    <x v="24"/>
  </r>
  <r>
    <x v="123"/>
  </r>
  <r>
    <x v="24"/>
  </r>
  <r>
    <x v="12"/>
  </r>
  <r>
    <x v="10"/>
  </r>
  <r>
    <x v="3"/>
  </r>
  <r>
    <x v="127"/>
  </r>
  <r>
    <x v="12"/>
  </r>
  <r>
    <x v="24"/>
  </r>
  <r>
    <x v="12"/>
  </r>
  <r>
    <x v="12"/>
  </r>
  <r>
    <x v="24"/>
  </r>
  <r>
    <x v="21"/>
  </r>
  <r>
    <x v="25"/>
  </r>
  <r>
    <x v="24"/>
  </r>
  <r>
    <x v="24"/>
  </r>
  <r>
    <x v="12"/>
  </r>
  <r>
    <x v="24"/>
  </r>
  <r>
    <x v="28"/>
  </r>
  <r>
    <x v="28"/>
  </r>
  <r>
    <x v="10"/>
  </r>
  <r>
    <x v="275"/>
  </r>
  <r>
    <x v="10"/>
  </r>
  <r>
    <x v="10"/>
  </r>
  <r>
    <x v="275"/>
  </r>
  <r>
    <x v="12"/>
  </r>
  <r>
    <x v="7"/>
  </r>
  <r>
    <x v="7"/>
  </r>
  <r>
    <x v="28"/>
  </r>
  <r>
    <x v="28"/>
  </r>
  <r>
    <x v="28"/>
  </r>
  <r>
    <x v="28"/>
  </r>
  <r>
    <x v="7"/>
  </r>
  <r>
    <x v="7"/>
  </r>
  <r>
    <x v="7"/>
  </r>
  <r>
    <x v="43"/>
  </r>
  <r>
    <x v="43"/>
  </r>
  <r>
    <x v="12"/>
  </r>
  <r>
    <x v="12"/>
  </r>
  <r>
    <x v="12"/>
  </r>
  <r>
    <x v="43"/>
  </r>
  <r>
    <x v="12"/>
  </r>
  <r>
    <x v="76"/>
  </r>
  <r>
    <x v="12"/>
  </r>
  <r>
    <x v="60"/>
  </r>
  <r>
    <x v="164"/>
  </r>
  <r>
    <x v="12"/>
  </r>
  <r>
    <x v="12"/>
  </r>
  <r>
    <x v="12"/>
  </r>
  <r>
    <x v="12"/>
  </r>
  <r>
    <x v="12"/>
  </r>
  <r>
    <x v="19"/>
  </r>
  <r>
    <x v="14"/>
  </r>
  <r>
    <x v="14"/>
  </r>
  <r>
    <x v="42"/>
  </r>
  <r>
    <x v="42"/>
  </r>
  <r>
    <x v="42"/>
  </r>
  <r>
    <x v="77"/>
  </r>
  <r>
    <x v="52"/>
  </r>
  <r>
    <x v="123"/>
  </r>
  <r>
    <x v="42"/>
  </r>
  <r>
    <x v="43"/>
  </r>
  <r>
    <x v="123"/>
  </r>
  <r>
    <x v="70"/>
  </r>
  <r>
    <x v="78"/>
  </r>
  <r>
    <x v="78"/>
  </r>
  <r>
    <x v="130"/>
  </r>
  <r>
    <x v="152"/>
  </r>
  <r>
    <x v="130"/>
  </r>
  <r>
    <x v="130"/>
  </r>
  <r>
    <x v="130"/>
  </r>
  <r>
    <x v="0"/>
  </r>
  <r>
    <x v="130"/>
  </r>
  <r>
    <x v="130"/>
  </r>
  <r>
    <x v="130"/>
  </r>
  <r>
    <x v="130"/>
  </r>
  <r>
    <x v="7"/>
  </r>
  <r>
    <x v="7"/>
  </r>
  <r>
    <x v="42"/>
  </r>
  <r>
    <x v="42"/>
  </r>
  <r>
    <x v="42"/>
  </r>
  <r>
    <x v="42"/>
  </r>
  <r>
    <x v="42"/>
  </r>
  <r>
    <x v="12"/>
  </r>
  <r>
    <x v="4"/>
  </r>
  <r>
    <x v="42"/>
  </r>
  <r>
    <x v="42"/>
  </r>
  <r>
    <x v="10"/>
  </r>
  <r>
    <x v="7"/>
  </r>
  <r>
    <x v="7"/>
  </r>
  <r>
    <x v="14"/>
  </r>
  <r>
    <x v="10"/>
  </r>
  <r>
    <x v="53"/>
  </r>
  <r>
    <x v="53"/>
  </r>
  <r>
    <x v="53"/>
  </r>
  <r>
    <x v="12"/>
  </r>
  <r>
    <x v="52"/>
  </r>
  <r>
    <x v="89"/>
  </r>
  <r>
    <x v="16"/>
  </r>
  <r>
    <x v="0"/>
  </r>
  <r>
    <x v="4"/>
  </r>
  <r>
    <x v="10"/>
  </r>
  <r>
    <x v="10"/>
  </r>
  <r>
    <x v="10"/>
  </r>
  <r>
    <x v="87"/>
  </r>
  <r>
    <x v="36"/>
  </r>
  <r>
    <x v="146"/>
  </r>
  <r>
    <x v="87"/>
  </r>
  <r>
    <x v="87"/>
  </r>
  <r>
    <x v="37"/>
  </r>
  <r>
    <x v="57"/>
  </r>
  <r>
    <x v="10"/>
  </r>
  <r>
    <x v="31"/>
  </r>
  <r>
    <x v="10"/>
  </r>
  <r>
    <x v="10"/>
  </r>
  <r>
    <x v="10"/>
  </r>
  <r>
    <x v="9"/>
  </r>
  <r>
    <x v="16"/>
  </r>
  <r>
    <x v="16"/>
  </r>
  <r>
    <x v="48"/>
  </r>
  <r>
    <x v="25"/>
  </r>
  <r>
    <x v="85"/>
  </r>
  <r>
    <x v="115"/>
  </r>
  <r>
    <x v="115"/>
  </r>
  <r>
    <x v="10"/>
  </r>
  <r>
    <x v="10"/>
  </r>
  <r>
    <x v="25"/>
  </r>
  <r>
    <x v="10"/>
  </r>
  <r>
    <x v="10"/>
  </r>
  <r>
    <x v="10"/>
  </r>
  <r>
    <x v="10"/>
  </r>
  <r>
    <x v="4"/>
  </r>
  <r>
    <x v="4"/>
  </r>
  <r>
    <x v="25"/>
  </r>
  <r>
    <x v="37"/>
  </r>
  <r>
    <x v="25"/>
  </r>
  <r>
    <x v="50"/>
  </r>
  <r>
    <x v="152"/>
  </r>
  <r>
    <x v="126"/>
  </r>
  <r>
    <x v="25"/>
  </r>
  <r>
    <x v="25"/>
  </r>
  <r>
    <x v="4"/>
  </r>
  <r>
    <x v="10"/>
  </r>
  <r>
    <x v="25"/>
  </r>
  <r>
    <x v="199"/>
  </r>
  <r>
    <x v="7"/>
  </r>
  <r>
    <x v="7"/>
  </r>
  <r>
    <x v="12"/>
  </r>
  <r>
    <x v="12"/>
  </r>
  <r>
    <x v="12"/>
  </r>
  <r>
    <x v="12"/>
  </r>
  <r>
    <x v="12"/>
  </r>
  <r>
    <x v="12"/>
  </r>
  <r>
    <x v="0"/>
  </r>
  <r>
    <x v="0"/>
  </r>
  <r>
    <x v="0"/>
  </r>
  <r>
    <x v="0"/>
  </r>
  <r>
    <x v="12"/>
  </r>
  <r>
    <x v="14"/>
  </r>
  <r>
    <x v="112"/>
  </r>
  <r>
    <x v="146"/>
  </r>
  <r>
    <x v="51"/>
  </r>
  <r>
    <x v="146"/>
  </r>
  <r>
    <x v="77"/>
  </r>
  <r>
    <x v="146"/>
  </r>
  <r>
    <x v="12"/>
  </r>
  <r>
    <x v="12"/>
  </r>
  <r>
    <x v="10"/>
  </r>
  <r>
    <x v="12"/>
  </r>
  <r>
    <x v="14"/>
  </r>
  <r>
    <x v="152"/>
  </r>
  <r>
    <x v="10"/>
  </r>
  <r>
    <x v="10"/>
  </r>
  <r>
    <x v="79"/>
  </r>
  <r>
    <x v="28"/>
  </r>
  <r>
    <x v="99"/>
  </r>
  <r>
    <x v="22"/>
  </r>
  <r>
    <x v="0"/>
  </r>
  <r>
    <x v="12"/>
  </r>
  <r>
    <x v="22"/>
  </r>
  <r>
    <x v="86"/>
  </r>
  <r>
    <x v="21"/>
  </r>
  <r>
    <x v="7"/>
  </r>
  <r>
    <x v="12"/>
  </r>
  <r>
    <x v="12"/>
  </r>
  <r>
    <x v="42"/>
  </r>
  <r>
    <x v="12"/>
  </r>
  <r>
    <x v="12"/>
  </r>
  <r>
    <x v="12"/>
  </r>
  <r>
    <x v="12"/>
  </r>
  <r>
    <x v="12"/>
  </r>
  <r>
    <x v="14"/>
  </r>
  <r>
    <x v="138"/>
  </r>
  <r>
    <x v="138"/>
  </r>
  <r>
    <x v="16"/>
  </r>
  <r>
    <x v="4"/>
  </r>
  <r>
    <x v="4"/>
  </r>
  <r>
    <x v="0"/>
  </r>
  <r>
    <x v="0"/>
  </r>
  <r>
    <x v="4"/>
  </r>
  <r>
    <x v="0"/>
  </r>
  <r>
    <x v="0"/>
  </r>
  <r>
    <x v="0"/>
  </r>
  <r>
    <x v="10"/>
  </r>
  <r>
    <x v="128"/>
  </r>
  <r>
    <x v="12"/>
  </r>
  <r>
    <x v="42"/>
  </r>
  <r>
    <x v="42"/>
  </r>
  <r>
    <x v="10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28"/>
  </r>
  <r>
    <x v="10"/>
  </r>
  <r>
    <x v="10"/>
  </r>
  <r>
    <x v="138"/>
  </r>
  <r>
    <x v="48"/>
  </r>
  <r>
    <x v="6"/>
  </r>
  <r>
    <x v="6"/>
  </r>
  <r>
    <x v="10"/>
  </r>
  <r>
    <x v="55"/>
  </r>
  <r>
    <x v="24"/>
  </r>
  <r>
    <x v="10"/>
  </r>
  <r>
    <x v="23"/>
  </r>
  <r>
    <x v="0"/>
  </r>
  <r>
    <x v="80"/>
  </r>
  <r>
    <x v="240"/>
  </r>
  <r>
    <x v="71"/>
  </r>
  <r>
    <x v="10"/>
  </r>
  <r>
    <x v="10"/>
  </r>
  <r>
    <x v="9"/>
  </r>
  <r>
    <x v="22"/>
  </r>
  <r>
    <x v="22"/>
  </r>
  <r>
    <x v="22"/>
  </r>
  <r>
    <x v="22"/>
  </r>
  <r>
    <x v="22"/>
  </r>
  <r>
    <x v="22"/>
  </r>
  <r>
    <x v="22"/>
  </r>
  <r>
    <x v="22"/>
  </r>
  <r>
    <x v="50"/>
  </r>
  <r>
    <x v="77"/>
  </r>
  <r>
    <x v="224"/>
  </r>
  <r>
    <x v="42"/>
  </r>
  <r>
    <x v="50"/>
  </r>
  <r>
    <x v="10"/>
  </r>
  <r>
    <x v="112"/>
  </r>
  <r>
    <x v="44"/>
  </r>
  <r>
    <x v="60"/>
  </r>
  <r>
    <x v="12"/>
  </r>
  <r>
    <x v="138"/>
  </r>
  <r>
    <x v="42"/>
  </r>
  <r>
    <x v="12"/>
  </r>
  <r>
    <x v="12"/>
  </r>
  <r>
    <x v="2"/>
  </r>
  <r>
    <x v="42"/>
  </r>
  <r>
    <x v="86"/>
  </r>
  <r>
    <x v="6"/>
  </r>
  <r>
    <x v="12"/>
  </r>
  <r>
    <x v="0"/>
  </r>
  <r>
    <x v="19"/>
  </r>
  <r>
    <x v="0"/>
  </r>
  <r>
    <x v="68"/>
  </r>
  <r>
    <x v="14"/>
  </r>
  <r>
    <x v="12"/>
  </r>
  <r>
    <x v="36"/>
  </r>
  <r>
    <x v="36"/>
  </r>
  <r>
    <x v="86"/>
  </r>
  <r>
    <x v="86"/>
  </r>
  <r>
    <x v="42"/>
  </r>
  <r>
    <x v="4"/>
  </r>
  <r>
    <x v="4"/>
  </r>
  <r>
    <x v="10"/>
  </r>
  <r>
    <x v="0"/>
  </r>
  <r>
    <x v="0"/>
  </r>
  <r>
    <x v="12"/>
  </r>
  <r>
    <x v="0"/>
  </r>
  <r>
    <x v="84"/>
  </r>
  <r>
    <x v="86"/>
  </r>
  <r>
    <x v="12"/>
  </r>
  <r>
    <x v="12"/>
  </r>
  <r>
    <x v="80"/>
  </r>
  <r>
    <x v="80"/>
  </r>
  <r>
    <x v="36"/>
  </r>
  <r>
    <x v="45"/>
  </r>
  <r>
    <x v="45"/>
  </r>
  <r>
    <x v="77"/>
  </r>
  <r>
    <x v="4"/>
  </r>
  <r>
    <x v="4"/>
  </r>
  <r>
    <x v="4"/>
  </r>
  <r>
    <x v="4"/>
  </r>
  <r>
    <x v="4"/>
  </r>
  <r>
    <x v="4"/>
  </r>
  <r>
    <x v="4"/>
  </r>
  <r>
    <x v="4"/>
  </r>
  <r>
    <x v="28"/>
  </r>
  <r>
    <x v="12"/>
  </r>
  <r>
    <x v="12"/>
  </r>
  <r>
    <x v="37"/>
  </r>
  <r>
    <x v="64"/>
  </r>
  <r>
    <x v="64"/>
  </r>
  <r>
    <x v="28"/>
  </r>
  <r>
    <x v="12"/>
  </r>
  <r>
    <x v="41"/>
  </r>
  <r>
    <x v="39"/>
  </r>
  <r>
    <x v="42"/>
  </r>
  <r>
    <x v="50"/>
  </r>
  <r>
    <x v="12"/>
  </r>
  <r>
    <x v="12"/>
  </r>
  <r>
    <x v="12"/>
  </r>
  <r>
    <x v="12"/>
  </r>
  <r>
    <x v="42"/>
  </r>
  <r>
    <x v="42"/>
  </r>
  <r>
    <x v="190"/>
  </r>
  <r>
    <x v="42"/>
  </r>
  <r>
    <x v="42"/>
  </r>
  <r>
    <x v="85"/>
  </r>
  <r>
    <x v="85"/>
  </r>
  <r>
    <x v="152"/>
  </r>
  <r>
    <x v="6"/>
  </r>
  <r>
    <x v="10"/>
  </r>
  <r>
    <x v="10"/>
  </r>
  <r>
    <x v="4"/>
  </r>
  <r>
    <x v="4"/>
  </r>
  <r>
    <x v="57"/>
  </r>
  <r>
    <x v="10"/>
  </r>
  <r>
    <x v="10"/>
  </r>
  <r>
    <x v="10"/>
  </r>
  <r>
    <x v="4"/>
  </r>
  <r>
    <x v="36"/>
  </r>
  <r>
    <x v="36"/>
  </r>
  <r>
    <x v="36"/>
  </r>
  <r>
    <x v="36"/>
  </r>
  <r>
    <x v="36"/>
  </r>
  <r>
    <x v="36"/>
  </r>
  <r>
    <x v="30"/>
  </r>
  <r>
    <x v="30"/>
  </r>
  <r>
    <x v="12"/>
  </r>
  <r>
    <x v="36"/>
  </r>
  <r>
    <x v="4"/>
  </r>
  <r>
    <x v="10"/>
  </r>
  <r>
    <x v="10"/>
  </r>
  <r>
    <x v="4"/>
  </r>
  <r>
    <x v="4"/>
  </r>
  <r>
    <x v="10"/>
  </r>
  <r>
    <x v="25"/>
  </r>
  <r>
    <x v="183"/>
  </r>
  <r>
    <x v="24"/>
  </r>
  <r>
    <x v="4"/>
  </r>
  <r>
    <x v="115"/>
  </r>
  <r>
    <x v="414"/>
  </r>
  <r>
    <x v="115"/>
  </r>
  <r>
    <x v="115"/>
  </r>
  <r>
    <x v="138"/>
  </r>
  <r>
    <x v="138"/>
  </r>
  <r>
    <x v="138"/>
  </r>
  <r>
    <x v="138"/>
  </r>
  <r>
    <x v="138"/>
  </r>
  <r>
    <x v="115"/>
  </r>
  <r>
    <x v="14"/>
  </r>
  <r>
    <x v="14"/>
  </r>
  <r>
    <x v="115"/>
  </r>
  <r>
    <x v="115"/>
  </r>
  <r>
    <x v="14"/>
  </r>
  <r>
    <x v="52"/>
  </r>
  <r>
    <x v="28"/>
  </r>
  <r>
    <x v="12"/>
  </r>
  <r>
    <x v="12"/>
  </r>
  <r>
    <x v="12"/>
  </r>
  <r>
    <x v="57"/>
  </r>
  <r>
    <x v="2"/>
  </r>
  <r>
    <x v="0"/>
  </r>
  <r>
    <x v="0"/>
  </r>
  <r>
    <x v="57"/>
  </r>
  <r>
    <x v="123"/>
  </r>
  <r>
    <x v="123"/>
  </r>
  <r>
    <x v="168"/>
  </r>
  <r>
    <x v="115"/>
  </r>
  <r>
    <x v="115"/>
  </r>
  <r>
    <x v="115"/>
  </r>
  <r>
    <x v="0"/>
  </r>
  <r>
    <x v="86"/>
  </r>
  <r>
    <x v="9"/>
  </r>
  <r>
    <x v="9"/>
  </r>
  <r>
    <x v="9"/>
  </r>
  <r>
    <x v="42"/>
  </r>
  <r>
    <x v="10"/>
  </r>
  <r>
    <x v="10"/>
  </r>
  <r>
    <x v="78"/>
  </r>
  <r>
    <x v="48"/>
  </r>
  <r>
    <x v="12"/>
  </r>
  <r>
    <x v="12"/>
  </r>
  <r>
    <x v="12"/>
  </r>
  <r>
    <x v="123"/>
  </r>
  <r>
    <x v="0"/>
  </r>
  <r>
    <x v="0"/>
  </r>
  <r>
    <x v="42"/>
  </r>
  <r>
    <x v="14"/>
  </r>
  <r>
    <x v="50"/>
  </r>
  <r>
    <x v="115"/>
  </r>
  <r>
    <x v="30"/>
  </r>
  <r>
    <x v="79"/>
  </r>
  <r>
    <x v="123"/>
  </r>
  <r>
    <x v="123"/>
  </r>
  <r>
    <x v="28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52"/>
  </r>
  <r>
    <x v="152"/>
  </r>
  <r>
    <x v="12"/>
  </r>
  <r>
    <x v="12"/>
  </r>
  <r>
    <x v="4"/>
  </r>
  <r>
    <x v="4"/>
  </r>
  <r>
    <x v="4"/>
  </r>
  <r>
    <x v="4"/>
  </r>
  <r>
    <x v="10"/>
  </r>
  <r>
    <x v="10"/>
  </r>
  <r>
    <x v="138"/>
  </r>
  <r>
    <x v="138"/>
  </r>
  <r>
    <x v="138"/>
  </r>
  <r>
    <x v="138"/>
  </r>
  <r>
    <x v="37"/>
  </r>
  <r>
    <x v="138"/>
  </r>
  <r>
    <x v="138"/>
  </r>
  <r>
    <x v="138"/>
  </r>
  <r>
    <x v="138"/>
  </r>
  <r>
    <x v="57"/>
  </r>
  <r>
    <x v="57"/>
  </r>
  <r>
    <x v="57"/>
  </r>
  <r>
    <x v="57"/>
  </r>
  <r>
    <x v="57"/>
  </r>
  <r>
    <x v="57"/>
  </r>
  <r>
    <x v="37"/>
  </r>
  <r>
    <x v="6"/>
  </r>
  <r>
    <x v="6"/>
  </r>
  <r>
    <x v="6"/>
  </r>
  <r>
    <x v="6"/>
  </r>
  <r>
    <x v="6"/>
  </r>
  <r>
    <x v="2"/>
  </r>
  <r>
    <x v="7"/>
  </r>
  <r>
    <x v="77"/>
  </r>
  <r>
    <x v="4"/>
  </r>
  <r>
    <x v="3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0"/>
  </r>
  <r>
    <x v="12"/>
  </r>
  <r>
    <x v="12"/>
  </r>
  <r>
    <x v="42"/>
  </r>
  <r>
    <x v="42"/>
  </r>
  <r>
    <x v="12"/>
  </r>
  <r>
    <x v="12"/>
  </r>
  <r>
    <x v="42"/>
  </r>
  <r>
    <x v="42"/>
  </r>
  <r>
    <x v="4"/>
  </r>
  <r>
    <x v="240"/>
  </r>
  <r>
    <x v="42"/>
  </r>
  <r>
    <x v="42"/>
  </r>
  <r>
    <x v="42"/>
  </r>
  <r>
    <x v="42"/>
  </r>
  <r>
    <x v="42"/>
  </r>
  <r>
    <x v="12"/>
  </r>
  <r>
    <x v="42"/>
  </r>
  <r>
    <x v="12"/>
  </r>
  <r>
    <x v="42"/>
  </r>
  <r>
    <x v="42"/>
  </r>
  <r>
    <x v="42"/>
  </r>
  <r>
    <x v="190"/>
  </r>
  <r>
    <x v="42"/>
  </r>
  <r>
    <x v="190"/>
  </r>
  <r>
    <x v="190"/>
  </r>
  <r>
    <x v="42"/>
  </r>
  <r>
    <x v="42"/>
  </r>
  <r>
    <x v="12"/>
  </r>
  <r>
    <x v="12"/>
  </r>
  <r>
    <x v="190"/>
  </r>
  <r>
    <x v="12"/>
  </r>
  <r>
    <x v="12"/>
  </r>
  <r>
    <x v="12"/>
  </r>
  <r>
    <x v="12"/>
  </r>
  <r>
    <x v="12"/>
  </r>
  <r>
    <x v="190"/>
  </r>
  <r>
    <x v="190"/>
  </r>
  <r>
    <x v="42"/>
  </r>
  <r>
    <x v="190"/>
  </r>
  <r>
    <x v="190"/>
  </r>
  <r>
    <x v="87"/>
  </r>
  <r>
    <x v="10"/>
  </r>
  <r>
    <x v="190"/>
  </r>
  <r>
    <x v="190"/>
  </r>
  <r>
    <x v="42"/>
  </r>
  <r>
    <x v="10"/>
  </r>
  <r>
    <x v="10"/>
  </r>
  <r>
    <x v="10"/>
  </r>
  <r>
    <x v="10"/>
  </r>
  <r>
    <x v="42"/>
  </r>
  <r>
    <x v="10"/>
  </r>
  <r>
    <x v="100"/>
  </r>
  <r>
    <x v="165"/>
  </r>
  <r>
    <x v="63"/>
  </r>
  <r>
    <x v="10"/>
  </r>
  <r>
    <x v="270"/>
  </r>
  <r>
    <x v="270"/>
  </r>
  <r>
    <x v="10"/>
  </r>
  <r>
    <x v="12"/>
  </r>
  <r>
    <x v="10"/>
  </r>
  <r>
    <x v="154"/>
  </r>
  <r>
    <x v="24"/>
  </r>
  <r>
    <x v="24"/>
  </r>
  <r>
    <x v="10"/>
  </r>
  <r>
    <x v="10"/>
  </r>
  <r>
    <x v="138"/>
  </r>
  <r>
    <x v="154"/>
  </r>
  <r>
    <x v="10"/>
  </r>
  <r>
    <x v="138"/>
  </r>
  <r>
    <x v="10"/>
  </r>
  <r>
    <x v="10"/>
  </r>
  <r>
    <x v="138"/>
  </r>
  <r>
    <x v="138"/>
  </r>
  <r>
    <x v="10"/>
  </r>
  <r>
    <x v="37"/>
  </r>
  <r>
    <x v="12"/>
  </r>
  <r>
    <x v="12"/>
  </r>
  <r>
    <x v="152"/>
  </r>
  <r>
    <x v="175"/>
  </r>
  <r>
    <x v="175"/>
  </r>
  <r>
    <x v="21"/>
  </r>
  <r>
    <x v="171"/>
  </r>
  <r>
    <x v="33"/>
  </r>
  <r>
    <x v="28"/>
  </r>
  <r>
    <x v="35"/>
  </r>
  <r>
    <x v="28"/>
  </r>
  <r>
    <x v="16"/>
  </r>
  <r>
    <x v="63"/>
  </r>
  <r>
    <x v="78"/>
  </r>
  <r>
    <x v="0"/>
  </r>
  <r>
    <x v="0"/>
  </r>
  <r>
    <x v="0"/>
  </r>
  <r>
    <x v="9"/>
  </r>
  <r>
    <x v="10"/>
  </r>
  <r>
    <x v="78"/>
  </r>
  <r>
    <x v="10"/>
  </r>
  <r>
    <x v="10"/>
  </r>
  <r>
    <x v="10"/>
  </r>
  <r>
    <x v="126"/>
  </r>
  <r>
    <x v="22"/>
  </r>
  <r>
    <x v="22"/>
  </r>
  <r>
    <x v="14"/>
  </r>
  <r>
    <x v="49"/>
  </r>
  <r>
    <x v="22"/>
  </r>
  <r>
    <x v="12"/>
  </r>
  <r>
    <x v="2"/>
  </r>
  <r>
    <x v="42"/>
  </r>
  <r>
    <x v="50"/>
  </r>
  <r>
    <x v="0"/>
  </r>
  <r>
    <x v="1"/>
  </r>
  <r>
    <x v="49"/>
  </r>
  <r>
    <x v="0"/>
  </r>
  <r>
    <x v="16"/>
  </r>
  <r>
    <x v="131"/>
  </r>
  <r>
    <x v="14"/>
  </r>
  <r>
    <x v="55"/>
  </r>
  <r>
    <x v="14"/>
  </r>
  <r>
    <x v="131"/>
  </r>
  <r>
    <x v="0"/>
  </r>
  <r>
    <x v="131"/>
  </r>
  <r>
    <x v="17"/>
  </r>
  <r>
    <x v="14"/>
  </r>
  <r>
    <x v="14"/>
  </r>
  <r>
    <x v="58"/>
  </r>
  <r>
    <x v="64"/>
  </r>
  <r>
    <x v="207"/>
  </r>
  <r>
    <x v="76"/>
  </r>
  <r>
    <x v="48"/>
  </r>
  <r>
    <x v="4"/>
  </r>
  <r>
    <x v="4"/>
  </r>
  <r>
    <x v="28"/>
  </r>
  <r>
    <x v="4"/>
  </r>
  <r>
    <x v="4"/>
  </r>
  <r>
    <x v="4"/>
  </r>
  <r>
    <x v="25"/>
  </r>
  <r>
    <x v="81"/>
  </r>
  <r>
    <x v="28"/>
  </r>
  <r>
    <x v="1"/>
  </r>
  <r>
    <x v="1"/>
  </r>
  <r>
    <x v="1"/>
  </r>
  <r>
    <x v="1"/>
  </r>
  <r>
    <x v="42"/>
  </r>
  <r>
    <x v="165"/>
  </r>
  <r>
    <x v="4"/>
  </r>
  <r>
    <x v="4"/>
  </r>
  <r>
    <x v="4"/>
  </r>
  <r>
    <x v="0"/>
  </r>
  <r>
    <x v="12"/>
  </r>
  <r>
    <x v="165"/>
  </r>
  <r>
    <x v="291"/>
  </r>
  <r>
    <x v="291"/>
  </r>
  <r>
    <x v="4"/>
  </r>
  <r>
    <x v="10"/>
  </r>
  <r>
    <x v="12"/>
  </r>
  <r>
    <x v="17"/>
  </r>
  <r>
    <x v="174"/>
  </r>
  <r>
    <x v="4"/>
  </r>
  <r>
    <x v="26"/>
  </r>
  <r>
    <x v="4"/>
  </r>
  <r>
    <x v="4"/>
  </r>
  <r>
    <x v="216"/>
  </r>
  <r>
    <x v="216"/>
  </r>
  <r>
    <x v="4"/>
  </r>
  <r>
    <x v="42"/>
  </r>
  <r>
    <x v="42"/>
  </r>
  <r>
    <x v="42"/>
  </r>
  <r>
    <x v="42"/>
  </r>
  <r>
    <x v="42"/>
  </r>
  <r>
    <x v="4"/>
  </r>
  <r>
    <x v="4"/>
  </r>
  <r>
    <x v="10"/>
  </r>
  <r>
    <x v="51"/>
  </r>
  <r>
    <x v="4"/>
  </r>
  <r>
    <x v="4"/>
  </r>
  <r>
    <x v="4"/>
  </r>
  <r>
    <x v="4"/>
  </r>
  <r>
    <x v="4"/>
  </r>
  <r>
    <x v="36"/>
  </r>
  <r>
    <x v="12"/>
  </r>
  <r>
    <x v="36"/>
  </r>
  <r>
    <x v="4"/>
  </r>
  <r>
    <x v="4"/>
  </r>
  <r>
    <x v="4"/>
  </r>
  <r>
    <x v="4"/>
  </r>
  <r>
    <x v="4"/>
  </r>
  <r>
    <x v="42"/>
  </r>
  <r>
    <x v="42"/>
  </r>
  <r>
    <x v="42"/>
  </r>
  <r>
    <x v="42"/>
  </r>
  <r>
    <x v="42"/>
  </r>
  <r>
    <x v="42"/>
  </r>
  <r>
    <x v="139"/>
  </r>
  <r>
    <x v="123"/>
  </r>
  <r>
    <x v="123"/>
  </r>
  <r>
    <x v="40"/>
  </r>
  <r>
    <x v="3"/>
  </r>
  <r>
    <x v="76"/>
  </r>
  <r>
    <x v="128"/>
  </r>
  <r>
    <x v="128"/>
  </r>
  <r>
    <x v="128"/>
  </r>
  <r>
    <x v="42"/>
  </r>
  <r>
    <x v="87"/>
  </r>
  <r>
    <x v="87"/>
  </r>
  <r>
    <x v="42"/>
  </r>
  <r>
    <x v="87"/>
  </r>
  <r>
    <x v="42"/>
  </r>
  <r>
    <x v="10"/>
  </r>
  <r>
    <x v="10"/>
  </r>
  <r>
    <x v="10"/>
  </r>
  <r>
    <x v="23"/>
  </r>
  <r>
    <x v="10"/>
  </r>
  <r>
    <x v="10"/>
  </r>
  <r>
    <x v="138"/>
  </r>
  <r>
    <x v="138"/>
  </r>
  <r>
    <x v="138"/>
  </r>
  <r>
    <x v="56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22"/>
  </r>
  <r>
    <x v="22"/>
  </r>
  <r>
    <x v="22"/>
  </r>
  <r>
    <x v="22"/>
  </r>
  <r>
    <x v="78"/>
  </r>
  <r>
    <x v="22"/>
  </r>
  <r>
    <x v="78"/>
  </r>
  <r>
    <x v="78"/>
  </r>
  <r>
    <x v="78"/>
  </r>
  <r>
    <x v="78"/>
  </r>
  <r>
    <x v="78"/>
  </r>
  <r>
    <x v="78"/>
  </r>
  <r>
    <x v="78"/>
  </r>
  <r>
    <x v="78"/>
  </r>
  <r>
    <x v="129"/>
  </r>
  <r>
    <x v="22"/>
  </r>
  <r>
    <x v="51"/>
  </r>
  <r>
    <x v="123"/>
  </r>
  <r>
    <x v="123"/>
  </r>
  <r>
    <x v="123"/>
  </r>
  <r>
    <x v="123"/>
  </r>
  <r>
    <x v="123"/>
  </r>
  <r>
    <x v="78"/>
  </r>
  <r>
    <x v="78"/>
  </r>
  <r>
    <x v="78"/>
  </r>
  <r>
    <x v="78"/>
  </r>
  <r>
    <x v="78"/>
  </r>
  <r>
    <x v="56"/>
  </r>
  <r>
    <x v="56"/>
  </r>
  <r>
    <x v="42"/>
  </r>
  <r>
    <x v="190"/>
  </r>
  <r>
    <x v="0"/>
  </r>
  <r>
    <x v="4"/>
  </r>
  <r>
    <x v="4"/>
  </r>
  <r>
    <x v="4"/>
  </r>
  <r>
    <x v="56"/>
  </r>
  <r>
    <x v="42"/>
  </r>
  <r>
    <x v="56"/>
  </r>
  <r>
    <x v="12"/>
  </r>
  <r>
    <x v="12"/>
  </r>
  <r>
    <x v="42"/>
  </r>
  <r>
    <x v="56"/>
  </r>
  <r>
    <x v="56"/>
  </r>
  <r>
    <x v="42"/>
  </r>
  <r>
    <x v="56"/>
  </r>
  <r>
    <x v="42"/>
  </r>
  <r>
    <x v="56"/>
  </r>
  <r>
    <x v="4"/>
  </r>
  <r>
    <x v="56"/>
  </r>
  <r>
    <x v="4"/>
  </r>
  <r>
    <x v="56"/>
  </r>
  <r>
    <x v="56"/>
  </r>
  <r>
    <x v="87"/>
  </r>
  <r>
    <x v="10"/>
  </r>
  <r>
    <x v="33"/>
  </r>
  <r>
    <x v="4"/>
  </r>
  <r>
    <x v="33"/>
  </r>
  <r>
    <x v="4"/>
  </r>
  <r>
    <x v="42"/>
  </r>
  <r>
    <x v="25"/>
  </r>
  <r>
    <x v="87"/>
  </r>
  <r>
    <x v="42"/>
  </r>
  <r>
    <x v="21"/>
  </r>
  <r>
    <x v="50"/>
  </r>
  <r>
    <x v="108"/>
  </r>
  <r>
    <x v="42"/>
  </r>
  <r>
    <x v="42"/>
  </r>
  <r>
    <x v="42"/>
  </r>
  <r>
    <x v="10"/>
  </r>
  <r>
    <x v="42"/>
  </r>
  <r>
    <x v="42"/>
  </r>
  <r>
    <x v="240"/>
  </r>
  <r>
    <x v="57"/>
  </r>
  <r>
    <x v="0"/>
  </r>
  <r>
    <x v="77"/>
  </r>
  <r>
    <x v="86"/>
  </r>
  <r>
    <x v="86"/>
  </r>
  <r>
    <x v="36"/>
  </r>
  <r>
    <x v="57"/>
  </r>
  <r>
    <x v="115"/>
  </r>
  <r>
    <x v="10"/>
  </r>
  <r>
    <x v="10"/>
  </r>
  <r>
    <x v="11"/>
  </r>
  <r>
    <x v="78"/>
  </r>
  <r>
    <x v="78"/>
  </r>
  <r>
    <x v="78"/>
  </r>
  <r>
    <x v="146"/>
  </r>
  <r>
    <x v="146"/>
  </r>
  <r>
    <x v="78"/>
  </r>
  <r>
    <x v="78"/>
  </r>
  <r>
    <x v="78"/>
  </r>
  <r>
    <x v="123"/>
  </r>
  <r>
    <x v="78"/>
  </r>
  <r>
    <x v="78"/>
  </r>
  <r>
    <x v="51"/>
  </r>
  <r>
    <x v="78"/>
  </r>
  <r>
    <x v="78"/>
  </r>
  <r>
    <x v="78"/>
  </r>
  <r>
    <x v="78"/>
  </r>
  <r>
    <x v="78"/>
  </r>
  <r>
    <x v="36"/>
  </r>
  <r>
    <x v="22"/>
  </r>
  <r>
    <x v="22"/>
  </r>
  <r>
    <x v="12"/>
  </r>
  <r>
    <x v="78"/>
  </r>
  <r>
    <x v="115"/>
  </r>
  <r>
    <x v="4"/>
  </r>
  <r>
    <x v="0"/>
  </r>
  <r>
    <x v="4"/>
  </r>
  <r>
    <x v="0"/>
  </r>
  <r>
    <x v="21"/>
  </r>
  <r>
    <x v="29"/>
  </r>
  <r>
    <x v="29"/>
  </r>
  <r>
    <x v="24"/>
  </r>
  <r>
    <x v="123"/>
  </r>
  <r>
    <x v="21"/>
  </r>
  <r>
    <x v="10"/>
  </r>
  <r>
    <x v="10"/>
  </r>
  <r>
    <x v="10"/>
  </r>
  <r>
    <x v="14"/>
  </r>
  <r>
    <x v="14"/>
  </r>
  <r>
    <x v="14"/>
  </r>
  <r>
    <x v="33"/>
  </r>
  <r>
    <x v="14"/>
  </r>
  <r>
    <x v="14"/>
  </r>
  <r>
    <x v="14"/>
  </r>
  <r>
    <x v="14"/>
  </r>
  <r>
    <x v="14"/>
  </r>
  <r>
    <x v="14"/>
  </r>
  <r>
    <x v="14"/>
  </r>
  <r>
    <x v="4"/>
  </r>
  <r>
    <x v="0"/>
  </r>
  <r>
    <x v="0"/>
  </r>
  <r>
    <x v="0"/>
  </r>
  <r>
    <x v="0"/>
  </r>
  <r>
    <x v="0"/>
  </r>
  <r>
    <x v="10"/>
  </r>
  <r>
    <x v="0"/>
  </r>
  <r>
    <x v="14"/>
  </r>
  <r>
    <x v="14"/>
  </r>
  <r>
    <x v="14"/>
  </r>
  <r>
    <x v="152"/>
  </r>
  <r>
    <x v="123"/>
  </r>
  <r>
    <x v="123"/>
  </r>
  <r>
    <x v="204"/>
  </r>
  <r>
    <x v="152"/>
  </r>
  <r>
    <x v="123"/>
  </r>
  <r>
    <x v="123"/>
  </r>
  <r>
    <x v="123"/>
  </r>
  <r>
    <x v="123"/>
  </r>
  <r>
    <x v="123"/>
  </r>
  <r>
    <x v="123"/>
  </r>
  <r>
    <x v="3"/>
  </r>
  <r>
    <x v="4"/>
  </r>
  <r>
    <x v="118"/>
  </r>
  <r>
    <x v="152"/>
  </r>
  <r>
    <x v="123"/>
  </r>
  <r>
    <x v="9"/>
  </r>
  <r>
    <x v="123"/>
  </r>
  <r>
    <x v="10"/>
  </r>
  <r>
    <x v="16"/>
  </r>
  <r>
    <x v="10"/>
  </r>
  <r>
    <x v="10"/>
  </r>
  <r>
    <x v="123"/>
  </r>
  <r>
    <x v="123"/>
  </r>
  <r>
    <x v="123"/>
  </r>
  <r>
    <x v="123"/>
  </r>
  <r>
    <x v="42"/>
  </r>
  <r>
    <x v="42"/>
  </r>
  <r>
    <x v="21"/>
  </r>
  <r>
    <x v="12"/>
  </r>
  <r>
    <x v="123"/>
  </r>
  <r>
    <x v="123"/>
  </r>
  <r>
    <x v="17"/>
  </r>
  <r>
    <x v="123"/>
  </r>
  <r>
    <x v="123"/>
  </r>
  <r>
    <x v="123"/>
  </r>
  <r>
    <x v="123"/>
  </r>
  <r>
    <x v="123"/>
  </r>
  <r>
    <x v="21"/>
  </r>
  <r>
    <x v="14"/>
  </r>
  <r>
    <x v="14"/>
  </r>
  <r>
    <x v="12"/>
  </r>
  <r>
    <x v="4"/>
  </r>
  <r>
    <x v="12"/>
  </r>
  <r>
    <x v="31"/>
  </r>
  <r>
    <x v="63"/>
  </r>
  <r>
    <x v="10"/>
  </r>
  <r>
    <x v="14"/>
  </r>
  <r>
    <x v="4"/>
  </r>
  <r>
    <x v="4"/>
  </r>
  <r>
    <x v="45"/>
  </r>
  <r>
    <x v="165"/>
  </r>
  <r>
    <x v="4"/>
  </r>
  <r>
    <x v="10"/>
  </r>
  <r>
    <x v="10"/>
  </r>
  <r>
    <x v="4"/>
  </r>
  <r>
    <x v="86"/>
  </r>
  <r>
    <x v="4"/>
  </r>
  <r>
    <x v="10"/>
  </r>
  <r>
    <x v="4"/>
  </r>
  <r>
    <x v="0"/>
  </r>
  <r>
    <x v="0"/>
  </r>
  <r>
    <x v="16"/>
  </r>
  <r>
    <x v="16"/>
  </r>
  <r>
    <x v="16"/>
  </r>
  <r>
    <x v="28"/>
  </r>
  <r>
    <x v="28"/>
  </r>
  <r>
    <x v="57"/>
  </r>
  <r>
    <x v="42"/>
  </r>
  <r>
    <x v="12"/>
  </r>
  <r>
    <x v="0"/>
  </r>
  <r>
    <x v="42"/>
  </r>
  <r>
    <x v="56"/>
  </r>
  <r>
    <x v="56"/>
  </r>
  <r>
    <x v="56"/>
  </r>
  <r>
    <x v="56"/>
  </r>
  <r>
    <x v="4"/>
  </r>
  <r>
    <x v="45"/>
  </r>
  <r>
    <x v="50"/>
  </r>
  <r>
    <x v="4"/>
  </r>
  <r>
    <x v="10"/>
  </r>
  <r>
    <x v="55"/>
  </r>
  <r>
    <x v="14"/>
  </r>
  <r>
    <x v="12"/>
  </r>
  <r>
    <x v="56"/>
  </r>
  <r>
    <x v="14"/>
  </r>
  <r>
    <x v="12"/>
  </r>
  <r>
    <x v="4"/>
  </r>
  <r>
    <x v="100"/>
  </r>
  <r>
    <x v="36"/>
  </r>
  <r>
    <x v="165"/>
  </r>
  <r>
    <x v="4"/>
  </r>
  <r>
    <x v="4"/>
  </r>
  <r>
    <x v="12"/>
  </r>
  <r>
    <x v="28"/>
  </r>
  <r>
    <x v="31"/>
  </r>
  <r>
    <x v="175"/>
  </r>
  <r>
    <x v="108"/>
  </r>
  <r>
    <x v="81"/>
  </r>
  <r>
    <x v="138"/>
  </r>
  <r>
    <x v="138"/>
  </r>
  <r>
    <x v="138"/>
  </r>
  <r>
    <x v="138"/>
  </r>
  <r>
    <x v="188"/>
  </r>
  <r>
    <x v="108"/>
  </r>
  <r>
    <x v="87"/>
  </r>
  <r>
    <x v="138"/>
  </r>
  <r>
    <x v="86"/>
  </r>
  <r>
    <x v="86"/>
  </r>
  <r>
    <x v="138"/>
  </r>
  <r>
    <x v="138"/>
  </r>
  <r>
    <x v="138"/>
  </r>
  <r>
    <x v="126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9"/>
  </r>
  <r>
    <x v="9"/>
  </r>
  <r>
    <x v="175"/>
  </r>
  <r>
    <x v="12"/>
  </r>
  <r>
    <x v="12"/>
  </r>
  <r>
    <x v="12"/>
  </r>
  <r>
    <x v="32"/>
  </r>
  <r>
    <x v="16"/>
  </r>
  <r>
    <x v="131"/>
  </r>
  <r>
    <x v="10"/>
  </r>
  <r>
    <x v="10"/>
  </r>
  <r>
    <x v="8"/>
  </r>
  <r>
    <x v="4"/>
  </r>
  <r>
    <x v="80"/>
  </r>
  <r>
    <x v="100"/>
  </r>
  <r>
    <x v="100"/>
  </r>
  <r>
    <x v="21"/>
  </r>
  <r>
    <x v="10"/>
  </r>
  <r>
    <x v="59"/>
  </r>
  <r>
    <x v="12"/>
  </r>
  <r>
    <x v="12"/>
  </r>
  <r>
    <x v="12"/>
  </r>
  <r>
    <x v="63"/>
  </r>
  <r>
    <x v="24"/>
  </r>
  <r>
    <x v="36"/>
  </r>
  <r>
    <x v="86"/>
  </r>
  <r>
    <x v="24"/>
  </r>
  <r>
    <x v="24"/>
  </r>
  <r>
    <x v="45"/>
  </r>
  <r>
    <x v="45"/>
  </r>
  <r>
    <x v="37"/>
  </r>
  <r>
    <x v="37"/>
  </r>
  <r>
    <x v="37"/>
  </r>
  <r>
    <x v="10"/>
  </r>
  <r>
    <x v="30"/>
  </r>
  <r>
    <x v="24"/>
  </r>
  <r>
    <x v="24"/>
  </r>
  <r>
    <x v="0"/>
  </r>
  <r>
    <x v="0"/>
  </r>
  <r>
    <x v="10"/>
  </r>
  <r>
    <x v="45"/>
  </r>
  <r>
    <x v="12"/>
  </r>
  <r>
    <x v="55"/>
  </r>
  <r>
    <x v="0"/>
  </r>
  <r>
    <x v="171"/>
  </r>
  <r>
    <x v="12"/>
  </r>
  <r>
    <x v="12"/>
  </r>
  <r>
    <x v="80"/>
  </r>
  <r>
    <x v="0"/>
  </r>
  <r>
    <x v="4"/>
  </r>
  <r>
    <x v="77"/>
  </r>
  <r>
    <x v="42"/>
  </r>
  <r>
    <x v="42"/>
  </r>
  <r>
    <x v="42"/>
  </r>
  <r>
    <x v="48"/>
  </r>
  <r>
    <x v="10"/>
  </r>
  <r>
    <x v="10"/>
  </r>
  <r>
    <x v="72"/>
  </r>
  <r>
    <x v="85"/>
  </r>
  <r>
    <x v="87"/>
  </r>
  <r>
    <x v="12"/>
  </r>
  <r>
    <x v="12"/>
  </r>
  <r>
    <x v="12"/>
  </r>
  <r>
    <x v="86"/>
  </r>
  <r>
    <x v="12"/>
  </r>
  <r>
    <x v="36"/>
  </r>
  <r>
    <x v="12"/>
  </r>
  <r>
    <x v="42"/>
  </r>
  <r>
    <x v="12"/>
  </r>
  <r>
    <x v="129"/>
  </r>
  <r>
    <x v="12"/>
  </r>
  <r>
    <x v="12"/>
  </r>
  <r>
    <x v="77"/>
  </r>
  <r>
    <x v="12"/>
  </r>
  <r>
    <x v="14"/>
  </r>
  <r>
    <x v="0"/>
  </r>
  <r>
    <x v="12"/>
  </r>
  <r>
    <x v="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73"/>
  </r>
  <r>
    <x v="24"/>
  </r>
  <r>
    <x v="24"/>
  </r>
  <r>
    <x v="50"/>
  </r>
  <r>
    <x v="50"/>
  </r>
  <r>
    <x v="12"/>
  </r>
  <r>
    <x v="80"/>
  </r>
  <r>
    <x v="86"/>
  </r>
  <r>
    <x v="14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2"/>
  </r>
  <r>
    <x v="22"/>
  </r>
  <r>
    <x v="2"/>
  </r>
  <r>
    <x v="2"/>
  </r>
  <r>
    <x v="14"/>
  </r>
  <r>
    <x v="22"/>
  </r>
  <r>
    <x v="22"/>
  </r>
  <r>
    <x v="22"/>
  </r>
  <r>
    <x v="22"/>
  </r>
  <r>
    <x v="22"/>
  </r>
  <r>
    <x v="22"/>
  </r>
  <r>
    <x v="12"/>
  </r>
  <r>
    <x v="56"/>
  </r>
  <r>
    <x v="56"/>
  </r>
  <r>
    <x v="4"/>
  </r>
  <r>
    <x v="56"/>
  </r>
  <r>
    <x v="12"/>
  </r>
  <r>
    <x v="56"/>
  </r>
  <r>
    <x v="80"/>
  </r>
  <r>
    <x v="240"/>
  </r>
  <r>
    <x v="4"/>
  </r>
  <r>
    <x v="80"/>
  </r>
  <r>
    <x v="77"/>
  </r>
  <r>
    <x v="175"/>
  </r>
  <r>
    <x v="175"/>
  </r>
  <r>
    <x v="4"/>
  </r>
  <r>
    <x v="56"/>
  </r>
  <r>
    <x v="56"/>
  </r>
  <r>
    <x v="56"/>
  </r>
  <r>
    <x v="56"/>
  </r>
  <r>
    <x v="56"/>
  </r>
  <r>
    <x v="56"/>
  </r>
  <r>
    <x v="56"/>
  </r>
  <r>
    <x v="42"/>
  </r>
  <r>
    <x v="42"/>
  </r>
  <r>
    <x v="86"/>
  </r>
  <r>
    <x v="42"/>
  </r>
  <r>
    <x v="42"/>
  </r>
  <r>
    <x v="57"/>
  </r>
  <r>
    <x v="0"/>
  </r>
  <r>
    <x v="12"/>
  </r>
  <r>
    <x v="42"/>
  </r>
  <r>
    <x v="56"/>
  </r>
  <r>
    <x v="56"/>
  </r>
  <r>
    <x v="56"/>
  </r>
  <r>
    <x v="56"/>
  </r>
  <r>
    <x v="10"/>
  </r>
  <r>
    <x v="56"/>
  </r>
  <r>
    <x v="56"/>
  </r>
  <r>
    <x v="7"/>
  </r>
  <r>
    <x v="7"/>
  </r>
  <r>
    <x v="7"/>
  </r>
  <r>
    <x v="36"/>
  </r>
  <r>
    <x v="81"/>
  </r>
  <r>
    <x v="9"/>
  </r>
  <r>
    <x v="29"/>
  </r>
  <r>
    <x v="42"/>
  </r>
  <r>
    <x v="17"/>
  </r>
  <r>
    <x v="116"/>
  </r>
  <r>
    <x v="116"/>
  </r>
  <r>
    <x v="81"/>
  </r>
  <r>
    <x v="79"/>
  </r>
  <r>
    <x v="79"/>
  </r>
  <r>
    <x v="112"/>
  </r>
  <r>
    <x v="25"/>
  </r>
  <r>
    <x v="112"/>
  </r>
  <r>
    <x v="48"/>
  </r>
  <r>
    <x v="79"/>
  </r>
  <r>
    <x v="12"/>
  </r>
  <r>
    <x v="79"/>
  </r>
  <r>
    <x v="79"/>
  </r>
  <r>
    <x v="10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6"/>
  </r>
  <r>
    <x v="81"/>
  </r>
  <r>
    <x v="86"/>
  </r>
  <r>
    <x v="63"/>
  </r>
  <r>
    <x v="183"/>
  </r>
  <r>
    <x v="183"/>
  </r>
  <r>
    <x v="12"/>
  </r>
  <r>
    <x v="138"/>
  </r>
  <r>
    <x v="138"/>
  </r>
  <r>
    <x v="138"/>
  </r>
  <r>
    <x v="12"/>
  </r>
  <r>
    <x v="45"/>
  </r>
  <r>
    <x v="45"/>
  </r>
  <r>
    <x v="45"/>
  </r>
  <r>
    <x v="10"/>
  </r>
  <r>
    <x v="10"/>
  </r>
  <r>
    <x v="10"/>
  </r>
  <r>
    <x v="10"/>
  </r>
  <r>
    <x v="10"/>
  </r>
  <r>
    <x v="10"/>
  </r>
  <r>
    <x v="22"/>
  </r>
  <r>
    <x v="42"/>
  </r>
  <r>
    <x v="42"/>
  </r>
  <r>
    <x v="42"/>
  </r>
  <r>
    <x v="42"/>
  </r>
  <r>
    <x v="42"/>
  </r>
  <r>
    <x v="0"/>
  </r>
  <r>
    <x v="10"/>
  </r>
  <r>
    <x v="10"/>
  </r>
  <r>
    <x v="10"/>
  </r>
  <r>
    <x v="10"/>
  </r>
  <r>
    <x v="28"/>
  </r>
  <r>
    <x v="63"/>
  </r>
  <r>
    <x v="10"/>
  </r>
  <r>
    <x v="10"/>
  </r>
  <r>
    <x v="10"/>
  </r>
  <r>
    <x v="7"/>
  </r>
  <r>
    <x v="7"/>
  </r>
  <r>
    <x v="7"/>
  </r>
  <r>
    <x v="7"/>
  </r>
  <r>
    <x v="7"/>
  </r>
  <r>
    <x v="7"/>
  </r>
  <r>
    <x v="7"/>
  </r>
  <r>
    <x v="7"/>
  </r>
  <r>
    <x v="4"/>
  </r>
  <r>
    <x v="4"/>
  </r>
  <r>
    <x v="4"/>
  </r>
  <r>
    <x v="4"/>
  </r>
  <r>
    <x v="4"/>
  </r>
  <r>
    <x v="4"/>
  </r>
  <r>
    <x v="4"/>
  </r>
  <r>
    <x v="11"/>
  </r>
  <r>
    <x v="4"/>
  </r>
  <r>
    <x v="4"/>
  </r>
  <r>
    <x v="0"/>
  </r>
  <r>
    <x v="10"/>
  </r>
  <r>
    <x v="71"/>
  </r>
  <r>
    <x v="45"/>
  </r>
  <r>
    <x v="14"/>
  </r>
  <r>
    <x v="4"/>
  </r>
  <r>
    <x v="165"/>
  </r>
  <r>
    <x v="165"/>
  </r>
  <r>
    <x v="57"/>
  </r>
  <r>
    <x v="26"/>
  </r>
  <r>
    <x v="4"/>
  </r>
  <r>
    <x v="165"/>
  </r>
  <r>
    <x v="4"/>
  </r>
  <r>
    <x v="4"/>
  </r>
  <r>
    <x v="6"/>
  </r>
  <r>
    <x v="6"/>
  </r>
  <r>
    <x v="6"/>
  </r>
  <r>
    <x v="6"/>
  </r>
  <r>
    <x v="6"/>
  </r>
  <r>
    <x v="60"/>
  </r>
  <r>
    <x v="60"/>
  </r>
  <r>
    <x v="17"/>
  </r>
  <r>
    <x v="14"/>
  </r>
  <r>
    <x v="22"/>
  </r>
  <r>
    <x v="48"/>
  </r>
  <r>
    <x v="45"/>
  </r>
  <r>
    <x v="3"/>
  </r>
  <r>
    <x v="152"/>
  </r>
  <r>
    <x v="30"/>
  </r>
  <r>
    <x v="48"/>
  </r>
  <r>
    <x v="10"/>
  </r>
  <r>
    <x v="4"/>
  </r>
  <r>
    <x v="10"/>
  </r>
  <r>
    <x v="12"/>
  </r>
  <r>
    <x v="10"/>
  </r>
  <r>
    <x v="29"/>
  </r>
  <r>
    <x v="63"/>
  </r>
  <r>
    <x v="22"/>
  </r>
  <r>
    <x v="63"/>
  </r>
  <r>
    <x v="63"/>
  </r>
  <r>
    <x v="63"/>
  </r>
  <r>
    <x v="78"/>
  </r>
  <r>
    <x v="63"/>
  </r>
  <r>
    <x v="63"/>
  </r>
  <r>
    <x v="63"/>
  </r>
  <r>
    <x v="63"/>
  </r>
  <r>
    <x v="0"/>
  </r>
  <r>
    <x v="30"/>
  </r>
  <r>
    <x v="77"/>
  </r>
  <r>
    <x v="30"/>
  </r>
  <r>
    <x v="30"/>
  </r>
  <r>
    <x v="0"/>
  </r>
  <r>
    <x v="0"/>
  </r>
  <r>
    <x v="0"/>
  </r>
  <r>
    <x v="0"/>
  </r>
  <r>
    <x v="0"/>
  </r>
  <r>
    <x v="16"/>
  </r>
  <r>
    <x v="115"/>
  </r>
  <r>
    <x v="72"/>
  </r>
  <r>
    <x v="72"/>
  </r>
  <r>
    <x v="10"/>
  </r>
  <r>
    <x v="87"/>
  </r>
  <r>
    <x v="14"/>
  </r>
  <r>
    <x v="10"/>
  </r>
  <r>
    <x v="10"/>
  </r>
  <r>
    <x v="10"/>
  </r>
  <r>
    <x v="10"/>
  </r>
  <r>
    <x v="63"/>
  </r>
  <r>
    <x v="10"/>
  </r>
  <r>
    <x v="10"/>
  </r>
  <r>
    <x v="4"/>
  </r>
  <r>
    <x v="21"/>
  </r>
  <r>
    <x v="8"/>
  </r>
  <r>
    <x v="10"/>
  </r>
  <r>
    <x v="10"/>
  </r>
  <r>
    <x v="0"/>
  </r>
  <r>
    <x v="14"/>
  </r>
  <r>
    <x v="77"/>
  </r>
  <r>
    <x v="6"/>
  </r>
  <r>
    <x v="6"/>
  </r>
  <r>
    <x v="28"/>
  </r>
  <r>
    <x v="12"/>
  </r>
  <r>
    <x v="159"/>
  </r>
  <r>
    <x v="56"/>
  </r>
  <r>
    <x v="4"/>
  </r>
  <r>
    <x v="4"/>
  </r>
  <r>
    <x v="4"/>
  </r>
  <r>
    <x v="14"/>
  </r>
  <r>
    <x v="190"/>
  </r>
  <r>
    <x v="22"/>
  </r>
  <r>
    <x v="81"/>
  </r>
  <r>
    <x v="81"/>
  </r>
  <r>
    <x v="115"/>
  </r>
  <r>
    <x v="0"/>
  </r>
  <r>
    <x v="0"/>
  </r>
  <r>
    <x v="0"/>
  </r>
  <r>
    <x v="0"/>
  </r>
  <r>
    <x v="0"/>
  </r>
  <r>
    <x v="56"/>
  </r>
  <r>
    <x v="56"/>
  </r>
  <r>
    <x v="56"/>
  </r>
  <r>
    <x v="123"/>
  </r>
  <r>
    <x v="123"/>
  </r>
  <r>
    <x v="0"/>
  </r>
  <r>
    <x v="0"/>
  </r>
  <r>
    <x v="12"/>
  </r>
  <r>
    <x v="12"/>
  </r>
  <r>
    <x v="22"/>
  </r>
  <r>
    <x v="12"/>
  </r>
  <r>
    <x v="12"/>
  </r>
  <r>
    <x v="162"/>
  </r>
  <r>
    <x v="12"/>
  </r>
  <r>
    <x v="12"/>
  </r>
  <r>
    <x v="12"/>
  </r>
  <r>
    <x v="12"/>
  </r>
  <r>
    <x v="12"/>
  </r>
  <r>
    <x v="0"/>
  </r>
  <r>
    <x v="0"/>
  </r>
  <r>
    <x v="0"/>
  </r>
  <r>
    <x v="0"/>
  </r>
  <r>
    <x v="0"/>
  </r>
  <r>
    <x v="7"/>
  </r>
  <r>
    <x v="7"/>
  </r>
  <r>
    <x v="0"/>
  </r>
  <r>
    <x v="1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59"/>
  </r>
  <r>
    <x v="36"/>
  </r>
  <r>
    <x v="12"/>
  </r>
  <r>
    <x v="12"/>
  </r>
  <r>
    <x v="10"/>
  </r>
  <r>
    <x v="10"/>
  </r>
  <r>
    <x v="10"/>
  </r>
  <r>
    <x v="4"/>
  </r>
  <r>
    <x v="10"/>
  </r>
  <r>
    <x v="7"/>
  </r>
  <r>
    <x v="4"/>
  </r>
  <r>
    <x v="42"/>
  </r>
  <r>
    <x v="28"/>
  </r>
  <r>
    <x v="28"/>
  </r>
  <r>
    <x v="28"/>
  </r>
  <r>
    <x v="22"/>
  </r>
  <r>
    <x v="152"/>
  </r>
  <r>
    <x v="4"/>
  </r>
  <r>
    <x v="42"/>
  </r>
  <r>
    <x v="42"/>
  </r>
  <r>
    <x v="4"/>
  </r>
  <r>
    <x v="42"/>
  </r>
  <r>
    <x v="42"/>
  </r>
  <r>
    <x v="42"/>
  </r>
  <r>
    <x v="42"/>
  </r>
  <r>
    <x v="42"/>
  </r>
  <r>
    <x v="42"/>
  </r>
  <r>
    <x v="10"/>
  </r>
  <r>
    <x v="10"/>
  </r>
  <r>
    <x v="165"/>
  </r>
  <r>
    <x v="128"/>
  </r>
  <r>
    <x v="128"/>
  </r>
  <r>
    <x v="10"/>
  </r>
  <r>
    <x v="80"/>
  </r>
  <r>
    <x v="12"/>
  </r>
  <r>
    <x v="10"/>
  </r>
  <r>
    <x v="12"/>
  </r>
  <r>
    <x v="12"/>
  </r>
  <r>
    <x v="165"/>
  </r>
  <r>
    <x v="165"/>
  </r>
  <r>
    <x v="28"/>
  </r>
  <r>
    <x v="290"/>
  </r>
  <r>
    <x v="10"/>
  </r>
  <r>
    <x v="123"/>
  </r>
  <r>
    <x v="9"/>
  </r>
  <r>
    <x v="122"/>
  </r>
  <r>
    <x v="4"/>
  </r>
  <r>
    <x v="24"/>
  </r>
  <r>
    <x v="6"/>
  </r>
  <r>
    <x v="108"/>
  </r>
  <r>
    <x v="108"/>
  </r>
  <r>
    <x v="108"/>
  </r>
  <r>
    <x v="108"/>
  </r>
  <r>
    <x v="6"/>
  </r>
  <r>
    <x v="108"/>
  </r>
  <r>
    <x v="6"/>
  </r>
  <r>
    <x v="108"/>
  </r>
  <r>
    <x v="22"/>
  </r>
  <r>
    <x v="77"/>
  </r>
  <r>
    <x v="113"/>
  </r>
  <r>
    <x v="123"/>
  </r>
  <r>
    <x v="4"/>
  </r>
  <r>
    <x v="10"/>
  </r>
  <r>
    <x v="36"/>
  </r>
  <r>
    <x v="12"/>
  </r>
  <r>
    <x v="130"/>
  </r>
  <r>
    <x v="4"/>
  </r>
  <r>
    <x v="12"/>
  </r>
  <r>
    <x v="52"/>
  </r>
  <r>
    <x v="0"/>
  </r>
  <r>
    <x v="0"/>
  </r>
  <r>
    <x v="16"/>
  </r>
  <r>
    <x v="10"/>
  </r>
  <r>
    <x v="138"/>
  </r>
  <r>
    <x v="138"/>
  </r>
  <r>
    <x v="12"/>
  </r>
  <r>
    <x v="138"/>
  </r>
  <r>
    <x v="146"/>
  </r>
  <r>
    <x v="146"/>
  </r>
  <r>
    <x v="146"/>
  </r>
  <r>
    <x v="77"/>
  </r>
  <r>
    <x v="138"/>
  </r>
  <r>
    <x v="138"/>
  </r>
  <r>
    <x v="4"/>
  </r>
  <r>
    <x v="4"/>
  </r>
  <r>
    <x v="4"/>
  </r>
  <r>
    <x v="4"/>
  </r>
  <r>
    <x v="4"/>
  </r>
  <r>
    <x v="87"/>
  </r>
  <r>
    <x v="87"/>
  </r>
  <r>
    <x v="4"/>
  </r>
  <r>
    <x v="4"/>
  </r>
  <r>
    <x v="10"/>
  </r>
  <r>
    <x v="29"/>
  </r>
  <r>
    <x v="17"/>
  </r>
  <r>
    <x v="174"/>
  </r>
  <r>
    <x v="89"/>
  </r>
  <r>
    <x v="89"/>
  </r>
  <r>
    <x v="56"/>
  </r>
  <r>
    <x v="56"/>
  </r>
  <r>
    <x v="56"/>
  </r>
  <r>
    <x v="12"/>
  </r>
  <r>
    <x v="12"/>
  </r>
  <r>
    <x v="12"/>
  </r>
  <r>
    <x v="12"/>
  </r>
  <r>
    <x v="12"/>
  </r>
  <r>
    <x v="12"/>
  </r>
  <r>
    <x v="10"/>
  </r>
  <r>
    <x v="17"/>
  </r>
  <r>
    <x v="0"/>
  </r>
  <r>
    <x v="0"/>
  </r>
  <r>
    <x v="36"/>
  </r>
  <r>
    <x v="77"/>
  </r>
  <r>
    <x v="42"/>
  </r>
  <r>
    <x v="75"/>
  </r>
  <r>
    <x v="14"/>
  </r>
  <r>
    <x v="154"/>
  </r>
  <r>
    <x v="42"/>
  </r>
  <r>
    <x v="42"/>
  </r>
  <r>
    <x v="23"/>
  </r>
  <r>
    <x v="4"/>
  </r>
  <r>
    <x v="4"/>
  </r>
  <r>
    <x v="10"/>
  </r>
  <r>
    <x v="4"/>
  </r>
  <r>
    <x v="4"/>
  </r>
  <r>
    <x v="10"/>
  </r>
  <r>
    <x v="10"/>
  </r>
  <r>
    <x v="45"/>
  </r>
  <r>
    <x v="4"/>
  </r>
  <r>
    <x v="10"/>
  </r>
  <r>
    <x v="126"/>
  </r>
  <r>
    <x v="4"/>
  </r>
  <r>
    <x v="4"/>
  </r>
  <r>
    <x v="4"/>
  </r>
  <r>
    <x v="7"/>
  </r>
  <r>
    <x v="111"/>
  </r>
  <r>
    <x v="138"/>
  </r>
  <r>
    <x v="63"/>
  </r>
  <r>
    <x v="59"/>
  </r>
  <r>
    <x v="52"/>
  </r>
  <r>
    <x v="77"/>
  </r>
  <r>
    <x v="77"/>
  </r>
  <r>
    <x v="77"/>
  </r>
  <r>
    <x v="12"/>
  </r>
  <r>
    <x v="12"/>
  </r>
  <r>
    <x v="2"/>
  </r>
  <r>
    <x v="87"/>
  </r>
  <r>
    <x v="7"/>
  </r>
  <r>
    <x v="25"/>
  </r>
  <r>
    <x v="91"/>
  </r>
  <r>
    <x v="86"/>
  </r>
  <r>
    <x v="31"/>
  </r>
  <r>
    <x v="86"/>
  </r>
  <r>
    <x v="86"/>
  </r>
  <r>
    <x v="4"/>
  </r>
  <r>
    <x v="4"/>
  </r>
  <r>
    <x v="4"/>
  </r>
  <r>
    <x v="41"/>
  </r>
  <r>
    <x v="10"/>
  </r>
  <r>
    <x v="10"/>
  </r>
  <r>
    <x v="10"/>
  </r>
  <r>
    <x v="10"/>
  </r>
  <r>
    <x v="10"/>
  </r>
  <r>
    <x v="3"/>
  </r>
  <r>
    <x v="10"/>
  </r>
  <r>
    <x v="41"/>
  </r>
  <r>
    <x v="150"/>
  </r>
  <r>
    <x v="33"/>
  </r>
  <r>
    <x v="30"/>
  </r>
  <r>
    <x v="10"/>
  </r>
  <r>
    <x v="113"/>
  </r>
  <r>
    <x v="42"/>
  </r>
  <r>
    <x v="81"/>
  </r>
  <r>
    <x v="16"/>
  </r>
  <r>
    <x v="33"/>
  </r>
  <r>
    <x v="25"/>
  </r>
  <r>
    <x v="25"/>
  </r>
  <r>
    <x v="28"/>
  </r>
  <r>
    <x v="4"/>
  </r>
  <r>
    <x v="33"/>
  </r>
  <r>
    <x v="10"/>
  </r>
  <r>
    <x v="4"/>
  </r>
  <r>
    <x v="25"/>
  </r>
  <r>
    <x v="63"/>
  </r>
  <r>
    <x v="16"/>
  </r>
  <r>
    <x v="16"/>
  </r>
  <r>
    <x v="16"/>
  </r>
  <r>
    <x v="19"/>
  </r>
  <r>
    <x v="0"/>
  </r>
  <r>
    <x v="12"/>
  </r>
  <r>
    <x v="12"/>
  </r>
  <r>
    <x v="4"/>
  </r>
  <r>
    <x v="14"/>
  </r>
  <r>
    <x v="14"/>
  </r>
  <r>
    <x v="14"/>
  </r>
  <r>
    <x v="4"/>
  </r>
  <r>
    <x v="10"/>
  </r>
  <r>
    <x v="4"/>
  </r>
  <r>
    <x v="4"/>
  </r>
  <r>
    <x v="4"/>
  </r>
  <r>
    <x v="4"/>
  </r>
  <r>
    <x v="4"/>
  </r>
  <r>
    <x v="56"/>
  </r>
  <r>
    <x v="56"/>
  </r>
  <r>
    <x v="56"/>
  </r>
  <r>
    <x v="16"/>
  </r>
  <r>
    <x v="16"/>
  </r>
  <r>
    <x v="87"/>
  </r>
  <r>
    <x v="12"/>
  </r>
  <r>
    <x v="123"/>
  </r>
  <r>
    <x v="40"/>
  </r>
  <r>
    <x v="25"/>
  </r>
  <r>
    <x v="10"/>
  </r>
  <r>
    <x v="10"/>
  </r>
  <r>
    <x v="10"/>
  </r>
  <r>
    <x v="10"/>
  </r>
  <r>
    <x v="123"/>
  </r>
  <r>
    <x v="123"/>
  </r>
  <r>
    <x v="123"/>
  </r>
  <r>
    <x v="123"/>
  </r>
  <r>
    <x v="123"/>
  </r>
  <r>
    <x v="123"/>
  </r>
  <r>
    <x v="39"/>
  </r>
  <r>
    <x v="63"/>
  </r>
  <r>
    <x v="63"/>
  </r>
  <r>
    <x v="63"/>
  </r>
  <r>
    <x v="2"/>
  </r>
  <r>
    <x v="2"/>
  </r>
  <r>
    <x v="26"/>
  </r>
  <r>
    <x v="130"/>
  </r>
  <r>
    <x v="40"/>
  </r>
  <r>
    <x v="40"/>
  </r>
  <r>
    <x v="89"/>
  </r>
  <r>
    <x v="89"/>
  </r>
  <r>
    <x v="89"/>
  </r>
  <r>
    <x v="89"/>
  </r>
  <r>
    <x v="89"/>
  </r>
  <r>
    <x v="40"/>
  </r>
  <r>
    <x v="40"/>
  </r>
  <r>
    <x v="89"/>
  </r>
  <r>
    <x v="40"/>
  </r>
  <r>
    <x v="126"/>
  </r>
  <r>
    <x v="78"/>
  </r>
  <r>
    <x v="78"/>
  </r>
  <r>
    <x v="42"/>
  </r>
  <r>
    <x v="78"/>
  </r>
  <r>
    <x v="42"/>
  </r>
  <r>
    <x v="78"/>
  </r>
  <r>
    <x v="42"/>
  </r>
  <r>
    <x v="78"/>
  </r>
  <r>
    <x v="78"/>
  </r>
  <r>
    <x v="78"/>
  </r>
  <r>
    <x v="78"/>
  </r>
  <r>
    <x v="78"/>
  </r>
  <r>
    <x v="22"/>
  </r>
  <r>
    <x v="22"/>
  </r>
  <r>
    <x v="22"/>
  </r>
  <r>
    <x v="22"/>
  </r>
  <r>
    <x v="7"/>
  </r>
  <r>
    <x v="123"/>
  </r>
  <r>
    <x v="4"/>
  </r>
  <r>
    <x v="4"/>
  </r>
  <r>
    <x v="22"/>
  </r>
  <r>
    <x v="22"/>
  </r>
  <r>
    <x v="165"/>
  </r>
  <r>
    <x v="4"/>
  </r>
  <r>
    <x v="28"/>
  </r>
  <r>
    <x v="15"/>
  </r>
  <r>
    <x v="53"/>
  </r>
  <r>
    <x v="15"/>
  </r>
  <r>
    <x v="4"/>
  </r>
  <r>
    <x v="10"/>
  </r>
  <r>
    <x v="56"/>
  </r>
  <r>
    <x v="42"/>
  </r>
  <r>
    <x v="4"/>
  </r>
  <r>
    <x v="4"/>
  </r>
  <r>
    <x v="165"/>
  </r>
  <r>
    <x v="165"/>
  </r>
  <r>
    <x v="4"/>
  </r>
  <r>
    <x v="8"/>
  </r>
  <r>
    <x v="12"/>
  </r>
  <r>
    <x v="10"/>
  </r>
  <r>
    <x v="10"/>
  </r>
  <r>
    <x v="12"/>
  </r>
  <r>
    <x v="12"/>
  </r>
  <r>
    <x v="10"/>
  </r>
  <r>
    <x v="10"/>
  </r>
  <r>
    <x v="10"/>
  </r>
  <r>
    <x v="10"/>
  </r>
  <r>
    <x v="10"/>
  </r>
  <r>
    <x v="10"/>
  </r>
  <r>
    <x v="12"/>
  </r>
  <r>
    <x v="12"/>
  </r>
  <r>
    <x v="12"/>
  </r>
  <r>
    <x v="10"/>
  </r>
  <r>
    <x v="10"/>
  </r>
  <r>
    <x v="10"/>
  </r>
  <r>
    <x v="10"/>
  </r>
  <r>
    <x v="4"/>
  </r>
  <r>
    <x v="4"/>
  </r>
  <r>
    <x v="1"/>
  </r>
  <r>
    <x v="48"/>
  </r>
  <r>
    <x v="48"/>
  </r>
  <r>
    <x v="4"/>
  </r>
  <r>
    <x v="4"/>
  </r>
  <r>
    <x v="4"/>
  </r>
  <r>
    <x v="4"/>
  </r>
  <r>
    <x v="4"/>
  </r>
  <r>
    <x v="4"/>
  </r>
  <r>
    <x v="4"/>
  </r>
  <r>
    <x v="11"/>
  </r>
  <r>
    <x v="4"/>
  </r>
  <r>
    <x v="11"/>
  </r>
  <r>
    <x v="4"/>
  </r>
  <r>
    <x v="15"/>
  </r>
  <r>
    <x v="142"/>
  </r>
  <r>
    <x v="142"/>
  </r>
  <r>
    <x v="14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23"/>
  </r>
  <r>
    <x v="123"/>
  </r>
  <r>
    <x v="14"/>
  </r>
  <r>
    <x v="14"/>
  </r>
  <r>
    <x v="14"/>
  </r>
  <r>
    <x v="108"/>
  </r>
  <r>
    <x v="108"/>
  </r>
  <r>
    <x v="108"/>
  </r>
  <r>
    <x v="108"/>
  </r>
  <r>
    <x v="10"/>
  </r>
  <r>
    <x v="108"/>
  </r>
  <r>
    <x v="0"/>
  </r>
  <r>
    <x v="271"/>
  </r>
  <r>
    <x v="14"/>
  </r>
  <r>
    <x v="30"/>
  </r>
  <r>
    <x v="21"/>
  </r>
  <r>
    <x v="271"/>
  </r>
  <r>
    <x v="62"/>
  </r>
  <r>
    <x v="77"/>
  </r>
  <r>
    <x v="14"/>
  </r>
  <r>
    <x v="16"/>
  </r>
  <r>
    <x v="4"/>
  </r>
  <r>
    <x v="0"/>
  </r>
  <r>
    <x v="166"/>
  </r>
  <r>
    <x v="0"/>
  </r>
  <r>
    <x v="14"/>
  </r>
  <r>
    <x v="4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86"/>
  </r>
  <r>
    <x v="86"/>
  </r>
  <r>
    <x v="28"/>
  </r>
  <r>
    <x v="123"/>
  </r>
  <r>
    <x v="8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0"/>
  </r>
  <r>
    <x v="7"/>
  </r>
  <r>
    <x v="7"/>
  </r>
  <r>
    <x v="7"/>
  </r>
  <r>
    <x v="7"/>
  </r>
  <r>
    <x v="76"/>
  </r>
  <r>
    <x v="7"/>
  </r>
  <r>
    <x v="7"/>
  </r>
  <r>
    <x v="7"/>
  </r>
  <r>
    <x v="71"/>
  </r>
  <r>
    <x v="51"/>
  </r>
  <r>
    <x v="51"/>
  </r>
  <r>
    <x v="3"/>
  </r>
  <r>
    <x v="51"/>
  </r>
  <r>
    <x v="51"/>
  </r>
  <r>
    <x v="51"/>
  </r>
  <r>
    <x v="51"/>
  </r>
  <r>
    <x v="4"/>
  </r>
  <r>
    <x v="4"/>
  </r>
  <r>
    <x v="4"/>
  </r>
  <r>
    <x v="4"/>
  </r>
  <r>
    <x v="4"/>
  </r>
  <r>
    <x v="4"/>
  </r>
  <r>
    <x v="4"/>
  </r>
  <r>
    <x v="57"/>
  </r>
  <r>
    <x v="28"/>
  </r>
  <r>
    <x v="17"/>
  </r>
  <r>
    <x v="9"/>
  </r>
  <r>
    <x v="29"/>
  </r>
  <r>
    <x v="29"/>
  </r>
  <r>
    <x v="96"/>
  </r>
  <r>
    <x v="96"/>
  </r>
  <r>
    <x v="165"/>
  </r>
  <r>
    <x v="12"/>
  </r>
  <r>
    <x v="12"/>
  </r>
  <r>
    <x v="12"/>
  </r>
  <r>
    <x v="12"/>
  </r>
  <r>
    <x v="26"/>
  </r>
  <r>
    <x v="76"/>
  </r>
  <r>
    <x v="33"/>
  </r>
  <r>
    <x v="12"/>
  </r>
  <r>
    <x v="24"/>
  </r>
  <r>
    <x v="165"/>
  </r>
  <r>
    <x v="25"/>
  </r>
  <r>
    <x v="168"/>
  </r>
  <r>
    <x v="6"/>
  </r>
  <r>
    <x v="10"/>
  </r>
  <r>
    <x v="36"/>
  </r>
  <r>
    <x v="36"/>
  </r>
  <r>
    <x v="36"/>
  </r>
  <r>
    <x v="17"/>
  </r>
  <r>
    <x v="17"/>
  </r>
  <r>
    <x v="7"/>
  </r>
  <r>
    <x v="46"/>
  </r>
  <r>
    <x v="14"/>
  </r>
  <r>
    <x v="14"/>
  </r>
  <r>
    <x v="152"/>
  </r>
  <r>
    <x v="152"/>
  </r>
  <r>
    <x v="0"/>
  </r>
  <r>
    <x v="8"/>
  </r>
  <r>
    <x v="51"/>
  </r>
  <r>
    <x v="10"/>
  </r>
  <r>
    <x v="4"/>
  </r>
  <r>
    <x v="87"/>
  </r>
  <r>
    <x v="81"/>
  </r>
  <r>
    <x v="81"/>
  </r>
  <r>
    <x v="36"/>
  </r>
  <r>
    <x v="36"/>
  </r>
  <r>
    <x v="36"/>
  </r>
  <r>
    <x v="115"/>
  </r>
  <r>
    <x v="10"/>
  </r>
  <r>
    <x v="10"/>
  </r>
  <r>
    <x v="123"/>
  </r>
  <r>
    <x v="123"/>
  </r>
  <r>
    <x v="17"/>
  </r>
  <r>
    <x v="10"/>
  </r>
  <r>
    <x v="8"/>
  </r>
  <r>
    <x v="163"/>
  </r>
  <r>
    <x v="8"/>
  </r>
  <r>
    <x v="164"/>
  </r>
  <r>
    <x v="7"/>
  </r>
  <r>
    <x v="164"/>
  </r>
  <r>
    <x v="164"/>
  </r>
  <r>
    <x v="164"/>
  </r>
  <r>
    <x v="164"/>
  </r>
  <r>
    <x v="164"/>
  </r>
  <r>
    <x v="164"/>
  </r>
  <r>
    <x v="8"/>
  </r>
  <r>
    <x v="24"/>
  </r>
  <r>
    <x v="9"/>
  </r>
  <r>
    <x v="0"/>
  </r>
  <r>
    <x v="164"/>
  </r>
  <r>
    <x v="12"/>
  </r>
  <r>
    <x v="12"/>
  </r>
  <r>
    <x v="164"/>
  </r>
  <r>
    <x v="164"/>
  </r>
  <r>
    <x v="69"/>
  </r>
  <r>
    <x v="69"/>
  </r>
  <r>
    <x v="21"/>
  </r>
  <r>
    <x v="14"/>
  </r>
  <r>
    <x v="69"/>
  </r>
  <r>
    <x v="69"/>
  </r>
  <r>
    <x v="69"/>
  </r>
  <r>
    <x v="69"/>
  </r>
  <r>
    <x v="149"/>
  </r>
  <r>
    <x v="0"/>
  </r>
  <r>
    <x v="42"/>
  </r>
  <r>
    <x v="71"/>
  </r>
  <r>
    <x v="71"/>
  </r>
  <r>
    <x v="152"/>
  </r>
  <r>
    <x v="19"/>
  </r>
  <r>
    <x v="28"/>
  </r>
  <r>
    <x v="28"/>
  </r>
  <r>
    <x v="0"/>
  </r>
  <r>
    <x v="0"/>
  </r>
  <r>
    <x v="79"/>
  </r>
  <r>
    <x v="15"/>
  </r>
  <r>
    <x v="10"/>
  </r>
  <r>
    <x v="4"/>
  </r>
  <r>
    <x v="42"/>
  </r>
  <r>
    <x v="42"/>
  </r>
  <r>
    <x v="42"/>
  </r>
  <r>
    <x v="42"/>
  </r>
  <r>
    <x v="42"/>
  </r>
  <r>
    <x v="10"/>
  </r>
  <r>
    <x v="42"/>
  </r>
  <r>
    <x v="42"/>
  </r>
  <r>
    <x v="42"/>
  </r>
  <r>
    <x v="42"/>
  </r>
  <r>
    <x v="14"/>
  </r>
  <r>
    <x v="162"/>
  </r>
  <r>
    <x v="10"/>
  </r>
  <r>
    <x v="28"/>
  </r>
  <r>
    <x v="10"/>
  </r>
  <r>
    <x v="10"/>
  </r>
  <r>
    <x v="10"/>
  </r>
  <r>
    <x v="10"/>
  </r>
  <r>
    <x v="275"/>
  </r>
  <r>
    <x v="275"/>
  </r>
  <r>
    <x v="36"/>
  </r>
  <r>
    <x v="36"/>
  </r>
  <r>
    <x v="36"/>
  </r>
  <r>
    <x v="36"/>
  </r>
  <r>
    <x v="57"/>
  </r>
  <r>
    <x v="53"/>
  </r>
  <r>
    <x v="10"/>
  </r>
  <r>
    <x v="10"/>
  </r>
  <r>
    <x v="10"/>
  </r>
  <r>
    <x v="10"/>
  </r>
  <r>
    <x v="10"/>
  </r>
  <r>
    <x v="10"/>
  </r>
  <r>
    <x v="4"/>
  </r>
  <r>
    <x v="10"/>
  </r>
  <r>
    <x v="10"/>
  </r>
  <r>
    <x v="10"/>
  </r>
  <r>
    <x v="10"/>
  </r>
  <r>
    <x v="10"/>
  </r>
  <r>
    <x v="10"/>
  </r>
  <r>
    <x v="42"/>
  </r>
  <r>
    <x v="42"/>
  </r>
  <r>
    <x v="17"/>
  </r>
  <r>
    <x v="17"/>
  </r>
  <r>
    <x v="199"/>
  </r>
  <r>
    <x v="30"/>
  </r>
  <r>
    <x v="102"/>
  </r>
  <r>
    <x v="77"/>
  </r>
  <r>
    <x v="165"/>
  </r>
  <r>
    <x v="123"/>
  </r>
  <r>
    <x v="123"/>
  </r>
  <r>
    <x v="123"/>
  </r>
  <r>
    <x v="287"/>
  </r>
  <r>
    <x v="287"/>
  </r>
  <r>
    <x v="7"/>
  </r>
  <r>
    <x v="54"/>
  </r>
  <r>
    <x v="54"/>
  </r>
  <r>
    <x v="54"/>
  </r>
  <r>
    <x v="77"/>
  </r>
  <r>
    <x v="86"/>
  </r>
  <r>
    <x v="10"/>
  </r>
  <r>
    <x v="77"/>
  </r>
  <r>
    <x v="114"/>
  </r>
  <r>
    <x v="10"/>
  </r>
  <r>
    <x v="10"/>
  </r>
  <r>
    <x v="10"/>
  </r>
  <r>
    <x v="111"/>
  </r>
  <r>
    <x v="81"/>
  </r>
  <r>
    <x v="10"/>
  </r>
  <r>
    <x v="162"/>
  </r>
  <r>
    <x v="193"/>
  </r>
  <r>
    <x v="12"/>
  </r>
  <r>
    <x v="12"/>
  </r>
  <r>
    <x v="12"/>
  </r>
  <r>
    <x v="12"/>
  </r>
  <r>
    <x v="12"/>
  </r>
  <r>
    <x v="52"/>
  </r>
  <r>
    <x v="46"/>
  </r>
  <r>
    <x v="46"/>
  </r>
  <r>
    <x v="22"/>
  </r>
  <r>
    <x v="40"/>
  </r>
  <r>
    <x v="9"/>
  </r>
  <r>
    <x v="24"/>
  </r>
  <r>
    <x v="4"/>
  </r>
  <r>
    <x v="4"/>
  </r>
  <r>
    <x v="79"/>
  </r>
  <r>
    <x v="24"/>
  </r>
  <r>
    <x v="24"/>
  </r>
  <r>
    <x v="152"/>
  </r>
  <r>
    <x v="12"/>
  </r>
  <r>
    <x v="24"/>
  </r>
  <r>
    <x v="152"/>
  </r>
  <r>
    <x v="152"/>
  </r>
  <r>
    <x v="24"/>
  </r>
  <r>
    <x v="24"/>
  </r>
  <r>
    <x v="71"/>
  </r>
  <r>
    <x v="71"/>
  </r>
  <r>
    <x v="71"/>
  </r>
  <r>
    <x v="12"/>
  </r>
  <r>
    <x v="17"/>
  </r>
  <r>
    <x v="130"/>
  </r>
  <r>
    <x v="63"/>
  </r>
  <r>
    <x v="33"/>
  </r>
  <r>
    <x v="7"/>
  </r>
  <r>
    <x v="87"/>
  </r>
  <r>
    <x v="87"/>
  </r>
  <r>
    <x v="87"/>
  </r>
  <r>
    <x v="4"/>
  </r>
  <r>
    <x v="77"/>
  </r>
  <r>
    <x v="77"/>
  </r>
  <r>
    <x v="77"/>
  </r>
  <r>
    <x v="12"/>
  </r>
  <r>
    <x v="87"/>
  </r>
  <r>
    <x v="16"/>
  </r>
  <r>
    <x v="72"/>
  </r>
  <r>
    <x v="10"/>
  </r>
  <r>
    <x v="10"/>
  </r>
  <r>
    <x v="10"/>
  </r>
  <r>
    <x v="10"/>
  </r>
  <r>
    <x v="87"/>
  </r>
  <r>
    <x v="57"/>
  </r>
  <r>
    <x v="260"/>
  </r>
  <r>
    <x v="10"/>
  </r>
  <r>
    <x v="68"/>
  </r>
  <r>
    <x v="0"/>
  </r>
  <r>
    <x v="0"/>
  </r>
  <r>
    <x v="10"/>
  </r>
  <r>
    <x v="10"/>
  </r>
  <r>
    <x v="10"/>
  </r>
  <r>
    <x v="114"/>
  </r>
  <r>
    <x v="114"/>
  </r>
  <r>
    <x v="114"/>
  </r>
  <r>
    <x v="87"/>
  </r>
  <r>
    <x v="87"/>
  </r>
  <r>
    <x v="138"/>
  </r>
  <r>
    <x v="138"/>
  </r>
  <r>
    <x v="138"/>
  </r>
  <r>
    <x v="138"/>
  </r>
  <r>
    <x v="4"/>
  </r>
  <r>
    <x v="0"/>
  </r>
  <r>
    <x v="0"/>
  </r>
  <r>
    <x v="14"/>
  </r>
  <r>
    <x v="0"/>
  </r>
  <r>
    <x v="0"/>
  </r>
  <r>
    <x v="115"/>
  </r>
  <r>
    <x v="4"/>
  </r>
  <r>
    <x v="14"/>
  </r>
  <r>
    <x v="10"/>
  </r>
  <r>
    <x v="56"/>
  </r>
  <r>
    <x v="4"/>
  </r>
  <r>
    <x v="138"/>
  </r>
  <r>
    <x v="138"/>
  </r>
  <r>
    <x v="138"/>
  </r>
  <r>
    <x v="138"/>
  </r>
  <r>
    <x v="0"/>
  </r>
  <r>
    <x v="0"/>
  </r>
  <r>
    <x v="78"/>
  </r>
  <r>
    <x v="87"/>
  </r>
  <r>
    <x v="87"/>
  </r>
  <r>
    <x v="87"/>
  </r>
  <r>
    <x v="4"/>
  </r>
  <r>
    <x v="4"/>
  </r>
  <r>
    <x v="87"/>
  </r>
  <r>
    <x v="288"/>
  </r>
  <r>
    <x v="141"/>
  </r>
  <r>
    <x v="25"/>
  </r>
  <r>
    <x v="24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4"/>
  </r>
  <r>
    <x v="187"/>
  </r>
  <r>
    <x v="37"/>
  </r>
  <r>
    <x v="4"/>
  </r>
  <r>
    <x v="4"/>
  </r>
  <r>
    <x v="14"/>
  </r>
  <r>
    <x v="14"/>
  </r>
  <r>
    <x v="0"/>
  </r>
  <r>
    <x v="45"/>
  </r>
  <r>
    <x v="45"/>
  </r>
  <r>
    <x v="138"/>
  </r>
  <r>
    <x v="12"/>
  </r>
  <r>
    <x v="48"/>
  </r>
  <r>
    <x v="7"/>
  </r>
  <r>
    <x v="12"/>
  </r>
  <r>
    <x v="29"/>
  </r>
  <r>
    <x v="16"/>
  </r>
  <r>
    <x v="16"/>
  </r>
  <r>
    <x v="123"/>
  </r>
  <r>
    <x v="56"/>
  </r>
  <r>
    <x v="48"/>
  </r>
  <r>
    <x v="56"/>
  </r>
  <r>
    <x v="123"/>
  </r>
  <r>
    <x v="77"/>
  </r>
  <r>
    <x v="123"/>
  </r>
  <r>
    <x v="36"/>
  </r>
  <r>
    <x v="4"/>
  </r>
  <r>
    <x v="87"/>
  </r>
  <r>
    <x v="77"/>
  </r>
  <r>
    <x v="123"/>
  </r>
  <r>
    <x v="4"/>
  </r>
  <r>
    <x v="4"/>
  </r>
  <r>
    <x v="12"/>
  </r>
  <r>
    <x v="10"/>
  </r>
  <r>
    <x v="10"/>
  </r>
  <r>
    <x v="10"/>
  </r>
  <r>
    <x v="42"/>
  </r>
  <r>
    <x v="42"/>
  </r>
  <r>
    <x v="12"/>
  </r>
  <r>
    <x v="42"/>
  </r>
  <r>
    <x v="42"/>
  </r>
  <r>
    <x v="42"/>
  </r>
  <r>
    <x v="218"/>
  </r>
  <r>
    <x v="42"/>
  </r>
  <r>
    <x v="42"/>
  </r>
  <r>
    <x v="42"/>
  </r>
  <r>
    <x v="42"/>
  </r>
  <r>
    <x v="123"/>
  </r>
  <r>
    <x v="123"/>
  </r>
  <r>
    <x v="9"/>
  </r>
  <r>
    <x v="9"/>
  </r>
  <r>
    <x v="71"/>
  </r>
  <r>
    <x v="71"/>
  </r>
  <r>
    <x v="0"/>
  </r>
  <r>
    <x v="0"/>
  </r>
  <r>
    <x v="45"/>
  </r>
  <r>
    <x v="123"/>
  </r>
  <r>
    <x v="123"/>
  </r>
  <r>
    <x v="123"/>
  </r>
  <r>
    <x v="51"/>
  </r>
  <r>
    <x v="123"/>
  </r>
  <r>
    <x v="56"/>
  </r>
  <r>
    <x v="123"/>
  </r>
  <r>
    <x v="123"/>
  </r>
  <r>
    <x v="51"/>
  </r>
  <r>
    <x v="123"/>
  </r>
  <r>
    <x v="57"/>
  </r>
  <r>
    <x v="123"/>
  </r>
  <r>
    <x v="12"/>
  </r>
  <r>
    <x v="12"/>
  </r>
  <r>
    <x v="42"/>
  </r>
  <r>
    <x v="2"/>
  </r>
  <r>
    <x v="12"/>
  </r>
  <r>
    <x v="0"/>
  </r>
  <r>
    <x v="0"/>
  </r>
  <r>
    <x v="12"/>
  </r>
  <r>
    <x v="12"/>
  </r>
  <r>
    <x v="12"/>
  </r>
  <r>
    <x v="12"/>
  </r>
  <r>
    <x v="28"/>
  </r>
  <r>
    <x v="28"/>
  </r>
  <r>
    <x v="87"/>
  </r>
  <r>
    <x v="34"/>
  </r>
  <r>
    <x v="28"/>
  </r>
  <r>
    <x v="34"/>
  </r>
  <r>
    <x v="12"/>
  </r>
  <r>
    <x v="12"/>
  </r>
  <r>
    <x v="10"/>
  </r>
  <r>
    <x v="7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"/>
  </r>
  <r>
    <x v="12"/>
  </r>
  <r>
    <x v="28"/>
  </r>
  <r>
    <x v="17"/>
  </r>
  <r>
    <x v="17"/>
  </r>
  <r>
    <x v="163"/>
  </r>
  <r>
    <x v="10"/>
  </r>
  <r>
    <x v="10"/>
  </r>
  <r>
    <x v="10"/>
  </r>
  <r>
    <x v="12"/>
  </r>
  <r>
    <x v="12"/>
  </r>
  <r>
    <x v="0"/>
  </r>
  <r>
    <x v="10"/>
  </r>
  <r>
    <x v="10"/>
  </r>
  <r>
    <x v="10"/>
  </r>
  <r>
    <x v="10"/>
  </r>
  <r>
    <x v="10"/>
  </r>
  <r>
    <x v="28"/>
  </r>
  <r>
    <x v="28"/>
  </r>
  <r>
    <x v="39"/>
  </r>
  <r>
    <x v="10"/>
  </r>
  <r>
    <x v="10"/>
  </r>
  <r>
    <x v="15"/>
  </r>
  <r>
    <x v="4"/>
  </r>
  <r>
    <x v="4"/>
  </r>
  <r>
    <x v="4"/>
  </r>
  <r>
    <x v="36"/>
  </r>
  <r>
    <x v="47"/>
  </r>
  <r>
    <x v="47"/>
  </r>
  <r>
    <x v="4"/>
  </r>
  <r>
    <x v="4"/>
  </r>
  <r>
    <x v="4"/>
  </r>
  <r>
    <x v="4"/>
  </r>
  <r>
    <x v="4"/>
  </r>
  <r>
    <x v="25"/>
  </r>
  <r>
    <x v="25"/>
  </r>
  <r>
    <x v="63"/>
  </r>
  <r>
    <x v="7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7"/>
  </r>
  <r>
    <x v="108"/>
  </r>
  <r>
    <x v="4"/>
  </r>
  <r>
    <x v="126"/>
  </r>
  <r>
    <x v="126"/>
  </r>
  <r>
    <x v="3"/>
  </r>
  <r>
    <x v="10"/>
  </r>
  <r>
    <x v="4"/>
  </r>
  <r>
    <x v="10"/>
  </r>
  <r>
    <x v="10"/>
  </r>
  <r>
    <x v="12"/>
  </r>
  <r>
    <x v="126"/>
  </r>
  <r>
    <x v="37"/>
  </r>
  <r>
    <x v="10"/>
  </r>
  <r>
    <x v="16"/>
  </r>
  <r>
    <x v="16"/>
  </r>
  <r>
    <x v="126"/>
  </r>
  <r>
    <x v="10"/>
  </r>
  <r>
    <x v="10"/>
  </r>
  <r>
    <x v="2"/>
  </r>
  <r>
    <x v="17"/>
  </r>
  <r>
    <x v="28"/>
  </r>
  <r>
    <x v="10"/>
  </r>
  <r>
    <x v="10"/>
  </r>
  <r>
    <x v="12"/>
  </r>
  <r>
    <x v="81"/>
  </r>
  <r>
    <x v="81"/>
  </r>
  <r>
    <x v="14"/>
  </r>
  <r>
    <x v="35"/>
  </r>
  <r>
    <x v="14"/>
  </r>
  <r>
    <x v="14"/>
  </r>
  <r>
    <x v="14"/>
  </r>
  <r>
    <x v="14"/>
  </r>
  <r>
    <x v="80"/>
  </r>
  <r>
    <x v="80"/>
  </r>
  <r>
    <x v="80"/>
  </r>
  <r>
    <x v="80"/>
  </r>
  <r>
    <x v="37"/>
  </r>
  <r>
    <x v="81"/>
  </r>
  <r>
    <x v="165"/>
  </r>
  <r>
    <x v="10"/>
  </r>
  <r>
    <x v="45"/>
  </r>
  <r>
    <x v="10"/>
  </r>
  <r>
    <x v="165"/>
  </r>
  <r>
    <x v="9"/>
  </r>
  <r>
    <x v="37"/>
  </r>
  <r>
    <x v="4"/>
  </r>
  <r>
    <x v="36"/>
  </r>
  <r>
    <x v="4"/>
  </r>
  <r>
    <x v="4"/>
  </r>
  <r>
    <x v="4"/>
  </r>
  <r>
    <x v="7"/>
  </r>
  <r>
    <x v="287"/>
  </r>
  <r>
    <x v="4"/>
  </r>
  <r>
    <x v="78"/>
  </r>
  <r>
    <x v="14"/>
  </r>
  <r>
    <x v="103"/>
  </r>
  <r>
    <x v="9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0"/>
  </r>
  <r>
    <x v="14"/>
  </r>
  <r>
    <x v="14"/>
  </r>
  <r>
    <x v="14"/>
  </r>
  <r>
    <x v="14"/>
  </r>
  <r>
    <x v="14"/>
  </r>
  <r>
    <x v="14"/>
  </r>
  <r>
    <x v="14"/>
  </r>
  <r>
    <x v="28"/>
  </r>
  <r>
    <x v="28"/>
  </r>
  <r>
    <x v="28"/>
  </r>
  <r>
    <x v="14"/>
  </r>
  <r>
    <x v="14"/>
  </r>
  <r>
    <x v="14"/>
  </r>
  <r>
    <x v="14"/>
  </r>
  <r>
    <x v="14"/>
  </r>
  <r>
    <x v="14"/>
  </r>
  <r>
    <x v="14"/>
  </r>
  <r>
    <x v="14"/>
  </r>
  <r>
    <x v="88"/>
  </r>
  <r>
    <x v="245"/>
  </r>
  <r>
    <x v="59"/>
  </r>
  <r>
    <x v="14"/>
  </r>
  <r>
    <x v="62"/>
  </r>
  <r>
    <x v="19"/>
  </r>
  <r>
    <x v="10"/>
  </r>
  <r>
    <x v="10"/>
  </r>
  <r>
    <x v="10"/>
  </r>
  <r>
    <x v="14"/>
  </r>
  <r>
    <x v="88"/>
  </r>
  <r>
    <x v="14"/>
  </r>
  <r>
    <x v="46"/>
  </r>
  <r>
    <x v="28"/>
  </r>
  <r>
    <x v="14"/>
  </r>
  <r>
    <x v="7"/>
  </r>
  <r>
    <x v="0"/>
  </r>
  <r>
    <x v="174"/>
  </r>
  <r>
    <x v="2"/>
  </r>
  <r>
    <x v="9"/>
  </r>
  <r>
    <x v="77"/>
  </r>
  <r>
    <x v="2"/>
  </r>
  <r>
    <x v="2"/>
  </r>
  <r>
    <x v="118"/>
  </r>
  <r>
    <x v="19"/>
  </r>
  <r>
    <x v="35"/>
  </r>
  <r>
    <x v="118"/>
  </r>
  <r>
    <x v="28"/>
  </r>
  <r>
    <x v="207"/>
  </r>
  <r>
    <x v="16"/>
  </r>
  <r>
    <x v="25"/>
  </r>
  <r>
    <x v="59"/>
  </r>
  <r>
    <x v="63"/>
  </r>
  <r>
    <x v="63"/>
  </r>
  <r>
    <x v="63"/>
  </r>
  <r>
    <x v="63"/>
  </r>
  <r>
    <x v="63"/>
  </r>
  <r>
    <x v="28"/>
  </r>
  <r>
    <x v="34"/>
  </r>
  <r>
    <x v="34"/>
  </r>
  <r>
    <x v="474"/>
  </r>
  <r>
    <x v="138"/>
  </r>
  <r>
    <x v="138"/>
  </r>
  <r>
    <x v="56"/>
  </r>
  <r>
    <x v="46"/>
  </r>
  <r>
    <x v="131"/>
  </r>
  <r>
    <x v="224"/>
  </r>
  <r>
    <x v="34"/>
  </r>
  <r>
    <x v="14"/>
  </r>
  <r>
    <x v="0"/>
  </r>
  <r>
    <x v="0"/>
  </r>
  <r>
    <x v="64"/>
  </r>
  <r>
    <x v="64"/>
  </r>
  <r>
    <x v="14"/>
  </r>
  <r>
    <x v="0"/>
  </r>
  <r>
    <x v="34"/>
  </r>
  <r>
    <x v="53"/>
  </r>
  <r>
    <x v="0"/>
  </r>
  <r>
    <x v="0"/>
  </r>
  <r>
    <x v="0"/>
  </r>
  <r>
    <x v="10"/>
  </r>
  <r>
    <x v="10"/>
  </r>
  <r>
    <x v="10"/>
  </r>
  <r>
    <x v="12"/>
  </r>
  <r>
    <x v="49"/>
  </r>
  <r>
    <x v="199"/>
  </r>
  <r>
    <x v="81"/>
  </r>
  <r>
    <x v="19"/>
  </r>
  <r>
    <x v="33"/>
  </r>
  <r>
    <x v="111"/>
  </r>
  <r>
    <x v="59"/>
  </r>
  <r>
    <x v="29"/>
  </r>
  <r>
    <x v="77"/>
  </r>
  <r>
    <x v="115"/>
  </r>
  <r>
    <x v="10"/>
  </r>
  <r>
    <x v="137"/>
  </r>
  <r>
    <x v="123"/>
  </r>
  <r>
    <x v="16"/>
  </r>
  <r>
    <x v="24"/>
  </r>
  <r>
    <x v="150"/>
  </r>
  <r>
    <x v="12"/>
  </r>
  <r>
    <x v="49"/>
  </r>
  <r>
    <x v="76"/>
  </r>
  <r>
    <x v="3"/>
  </r>
  <r>
    <x v="45"/>
  </r>
  <r>
    <x v="21"/>
  </r>
  <r>
    <x v="45"/>
  </r>
  <r>
    <x v="34"/>
  </r>
  <r>
    <x v="36"/>
  </r>
  <r>
    <x v="8"/>
  </r>
  <r>
    <x v="14"/>
  </r>
  <r>
    <x v="37"/>
  </r>
  <r>
    <x v="7"/>
  </r>
  <r>
    <x v="17"/>
  </r>
  <r>
    <x v="55"/>
  </r>
  <r>
    <x v="21"/>
  </r>
  <r>
    <x v="21"/>
  </r>
  <r>
    <x v="4"/>
  </r>
  <r>
    <x v="31"/>
  </r>
  <r>
    <x v="21"/>
  </r>
  <r>
    <x v="4"/>
  </r>
  <r>
    <x v="44"/>
  </r>
  <r>
    <x v="10"/>
  </r>
  <r>
    <x v="12"/>
  </r>
  <r>
    <x v="12"/>
  </r>
  <r>
    <x v="12"/>
  </r>
  <r>
    <x v="21"/>
  </r>
  <r>
    <x v="61"/>
  </r>
  <r>
    <x v="61"/>
  </r>
  <r>
    <x v="131"/>
  </r>
  <r>
    <x v="40"/>
  </r>
  <r>
    <x v="62"/>
  </r>
  <r>
    <x v="60"/>
  </r>
  <r>
    <x v="14"/>
  </r>
  <r>
    <x v="224"/>
  </r>
  <r>
    <x v="28"/>
  </r>
  <r>
    <x v="46"/>
  </r>
  <r>
    <x v="22"/>
  </r>
  <r>
    <x v="2"/>
  </r>
  <r>
    <x v="14"/>
  </r>
  <r>
    <x v="52"/>
  </r>
  <r>
    <x v="16"/>
  </r>
  <r>
    <x v="61"/>
  </r>
  <r>
    <x v="64"/>
  </r>
  <r>
    <x v="46"/>
  </r>
  <r>
    <x v="224"/>
  </r>
  <r>
    <x v="77"/>
  </r>
  <r>
    <x v="0"/>
  </r>
  <r>
    <x v="0"/>
  </r>
  <r>
    <x v="0"/>
  </r>
  <r>
    <x v="14"/>
  </r>
  <r>
    <x v="46"/>
  </r>
  <r>
    <x v="22"/>
  </r>
  <r>
    <x v="28"/>
  </r>
  <r>
    <x v="171"/>
  </r>
  <r>
    <x v="171"/>
  </r>
  <r>
    <x v="46"/>
  </r>
  <r>
    <x v="70"/>
  </r>
  <r>
    <x v="46"/>
  </r>
  <r>
    <x v="46"/>
  </r>
  <r>
    <x v="77"/>
  </r>
  <r>
    <x v="12"/>
  </r>
  <r>
    <x v="12"/>
  </r>
  <r>
    <x v="48"/>
  </r>
  <r>
    <x v="48"/>
  </r>
  <r>
    <x v="70"/>
  </r>
  <r>
    <x v="0"/>
  </r>
  <r>
    <x v="0"/>
  </r>
  <r>
    <x v="49"/>
  </r>
  <r>
    <x v="4"/>
  </r>
  <r>
    <x v="14"/>
  </r>
  <r>
    <x v="59"/>
  </r>
  <r>
    <x v="22"/>
  </r>
  <r>
    <x v="63"/>
  </r>
  <r>
    <x v="63"/>
  </r>
  <r>
    <x v="14"/>
  </r>
  <r>
    <x v="41"/>
  </r>
  <r>
    <x v="89"/>
  </r>
  <r>
    <x v="25"/>
  </r>
  <r>
    <x v="89"/>
  </r>
  <r>
    <x v="89"/>
  </r>
  <r>
    <x v="89"/>
  </r>
  <r>
    <x v="89"/>
  </r>
  <r>
    <x v="89"/>
  </r>
  <r>
    <x v="89"/>
  </r>
  <r>
    <x v="89"/>
  </r>
  <r>
    <x v="89"/>
  </r>
  <r>
    <x v="113"/>
  </r>
  <r>
    <x v="34"/>
  </r>
  <r>
    <x v="89"/>
  </r>
  <r>
    <x v="201"/>
  </r>
  <r>
    <x v="10"/>
  </r>
  <r>
    <x v="93"/>
  </r>
  <r>
    <x v="89"/>
  </r>
  <r>
    <x v="89"/>
  </r>
  <r>
    <x v="89"/>
  </r>
  <r>
    <x v="89"/>
  </r>
  <r>
    <x v="89"/>
  </r>
  <r>
    <x v="4"/>
  </r>
  <r>
    <x v="1"/>
  </r>
  <r>
    <x v="1"/>
  </r>
  <r>
    <x v="40"/>
  </r>
  <r>
    <x v="19"/>
  </r>
  <r>
    <x v="16"/>
  </r>
  <r>
    <x v="10"/>
  </r>
  <r>
    <x v="10"/>
  </r>
  <r>
    <x v="10"/>
  </r>
  <r>
    <x v="10"/>
  </r>
  <r>
    <x v="10"/>
  </r>
  <r>
    <x v="14"/>
  </r>
  <r>
    <x v="14"/>
  </r>
  <r>
    <x v="12"/>
  </r>
  <r>
    <x v="123"/>
  </r>
  <r>
    <x v="78"/>
  </r>
  <r>
    <x v="78"/>
  </r>
  <r>
    <x v="10"/>
  </r>
  <r>
    <x v="10"/>
  </r>
  <r>
    <x v="78"/>
  </r>
  <r>
    <x v="123"/>
  </r>
  <r>
    <x v="78"/>
  </r>
  <r>
    <x v="14"/>
  </r>
  <r>
    <x v="10"/>
  </r>
  <r>
    <x v="10"/>
  </r>
  <r>
    <x v="78"/>
  </r>
  <r>
    <x v="78"/>
  </r>
  <r>
    <x v="78"/>
  </r>
  <r>
    <x v="19"/>
  </r>
  <r>
    <x v="48"/>
  </r>
  <r>
    <x v="78"/>
  </r>
  <r>
    <x v="40"/>
  </r>
  <r>
    <x v="2"/>
  </r>
  <r>
    <x v="2"/>
  </r>
  <r>
    <x v="2"/>
  </r>
  <r>
    <x v="2"/>
  </r>
  <r>
    <x v="76"/>
  </r>
  <r>
    <x v="10"/>
  </r>
  <r>
    <x v="26"/>
  </r>
  <r>
    <x v="41"/>
  </r>
  <r>
    <x v="10"/>
  </r>
  <r>
    <x v="10"/>
  </r>
  <r>
    <x v="10"/>
  </r>
  <r>
    <x v="10"/>
  </r>
  <r>
    <x v="10"/>
  </r>
  <r>
    <x v="12"/>
  </r>
  <r>
    <x v="12"/>
  </r>
  <r>
    <x v="12"/>
  </r>
  <r>
    <x v="12"/>
  </r>
  <r>
    <x v="57"/>
  </r>
  <r>
    <x v="10"/>
  </r>
  <r>
    <x v="10"/>
  </r>
  <r>
    <x v="10"/>
  </r>
  <r>
    <x v="10"/>
  </r>
  <r>
    <x v="10"/>
  </r>
  <r>
    <x v="10"/>
  </r>
  <r>
    <x v="10"/>
  </r>
  <r>
    <x v="16"/>
  </r>
  <r>
    <x v="123"/>
  </r>
  <r>
    <x v="157"/>
  </r>
  <r>
    <x v="17"/>
  </r>
  <r>
    <x v="34"/>
  </r>
  <r>
    <x v="0"/>
  </r>
  <r>
    <x v="11"/>
  </r>
  <r>
    <x v="14"/>
  </r>
  <r>
    <x v="45"/>
  </r>
  <r>
    <x v="0"/>
  </r>
  <r>
    <x v="1"/>
  </r>
  <r>
    <x v="1"/>
  </r>
  <r>
    <x v="199"/>
  </r>
  <r>
    <x v="1"/>
  </r>
  <r>
    <x v="115"/>
  </r>
  <r>
    <x v="115"/>
  </r>
  <r>
    <x v="7"/>
  </r>
  <r>
    <x v="64"/>
  </r>
  <r>
    <x v="12"/>
  </r>
  <r>
    <x v="0"/>
  </r>
  <r>
    <x v="1"/>
  </r>
  <r>
    <x v="1"/>
  </r>
  <r>
    <x v="1"/>
  </r>
  <r>
    <x v="21"/>
  </r>
  <r>
    <x v="0"/>
  </r>
  <r>
    <x v="0"/>
  </r>
  <r>
    <x v="0"/>
  </r>
  <r>
    <x v="10"/>
  </r>
  <r>
    <x v="12"/>
  </r>
  <r>
    <x v="126"/>
  </r>
  <r>
    <x v="10"/>
  </r>
  <r>
    <x v="12"/>
  </r>
  <r>
    <x v="12"/>
  </r>
  <r>
    <x v="10"/>
  </r>
  <r>
    <x v="12"/>
  </r>
  <r>
    <x v="0"/>
  </r>
  <r>
    <x v="0"/>
  </r>
  <r>
    <x v="12"/>
  </r>
  <r>
    <x v="0"/>
  </r>
  <r>
    <x v="138"/>
  </r>
  <r>
    <x v="17"/>
  </r>
  <r>
    <x v="77"/>
  </r>
  <r>
    <x v="17"/>
  </r>
  <r>
    <x v="77"/>
  </r>
  <r>
    <x v="76"/>
  </r>
  <r>
    <x v="24"/>
  </r>
  <r>
    <x v="42"/>
  </r>
  <r>
    <x v="139"/>
  </r>
  <r>
    <x v="7"/>
  </r>
  <r>
    <x v="48"/>
  </r>
  <r>
    <x v="3"/>
  </r>
  <r>
    <x v="4"/>
  </r>
  <r>
    <x v="30"/>
  </r>
  <r>
    <x v="21"/>
  </r>
  <r>
    <x v="42"/>
  </r>
  <r>
    <x v="46"/>
  </r>
  <r>
    <x v="21"/>
  </r>
  <r>
    <x v="59"/>
  </r>
  <r>
    <x v="14"/>
  </r>
  <r>
    <x v="17"/>
  </r>
  <r>
    <x v="14"/>
  </r>
  <r>
    <x v="130"/>
  </r>
  <r>
    <x v="87"/>
  </r>
  <r>
    <x v="17"/>
  </r>
  <r>
    <x v="17"/>
  </r>
  <r>
    <x v="130"/>
  </r>
  <r>
    <x v="14"/>
  </r>
  <r>
    <x v="130"/>
  </r>
  <r>
    <x v="130"/>
  </r>
  <r>
    <x v="25"/>
  </r>
  <r>
    <x v="14"/>
  </r>
  <r>
    <x v="130"/>
  </r>
  <r>
    <x v="130"/>
  </r>
  <r>
    <x v="17"/>
  </r>
  <r>
    <x v="14"/>
  </r>
  <r>
    <x v="10"/>
  </r>
  <r>
    <x v="42"/>
  </r>
  <r>
    <x v="130"/>
  </r>
  <r>
    <x v="14"/>
  </r>
  <r>
    <x v="11"/>
  </r>
  <r>
    <x v="41"/>
  </r>
  <r>
    <x v="81"/>
  </r>
  <r>
    <x v="138"/>
  </r>
  <r>
    <x v="138"/>
  </r>
  <r>
    <x v="0"/>
  </r>
  <r>
    <x v="33"/>
  </r>
  <r>
    <x v="33"/>
  </r>
  <r>
    <x v="138"/>
  </r>
  <r>
    <x v="138"/>
  </r>
  <r>
    <x v="138"/>
  </r>
  <r>
    <x v="12"/>
  </r>
  <r>
    <x v="16"/>
  </r>
  <r>
    <x v="14"/>
  </r>
  <r>
    <x v="22"/>
  </r>
  <r>
    <x v="171"/>
  </r>
  <r>
    <x v="46"/>
  </r>
  <r>
    <x v="19"/>
  </r>
  <r>
    <x v="16"/>
  </r>
  <r>
    <x v="48"/>
  </r>
  <r>
    <x v="0"/>
  </r>
  <r>
    <x v="0"/>
  </r>
  <r>
    <x v="193"/>
  </r>
  <r>
    <x v="12"/>
  </r>
  <r>
    <x v="28"/>
  </r>
  <r>
    <x v="75"/>
  </r>
  <r>
    <x v="41"/>
  </r>
  <r>
    <x v="46"/>
  </r>
  <r>
    <x v="46"/>
  </r>
  <r>
    <x v="19"/>
  </r>
  <r>
    <x v="14"/>
  </r>
  <r>
    <x v="12"/>
  </r>
  <r>
    <x v="14"/>
  </r>
  <r>
    <x v="61"/>
  </r>
  <r>
    <x v="286"/>
  </r>
  <r>
    <x v="138"/>
  </r>
  <r>
    <x v="138"/>
  </r>
  <r>
    <x v="4"/>
  </r>
  <r>
    <x v="138"/>
  </r>
  <r>
    <x v="138"/>
  </r>
  <r>
    <x v="138"/>
  </r>
  <r>
    <x v="138"/>
  </r>
  <r>
    <x v="81"/>
  </r>
  <r>
    <x v="81"/>
  </r>
  <r>
    <x v="2"/>
  </r>
  <r>
    <x v="32"/>
  </r>
  <r>
    <x v="4"/>
  </r>
  <r>
    <x v="10"/>
  </r>
  <r>
    <x v="10"/>
  </r>
  <r>
    <x v="14"/>
  </r>
  <r>
    <x v="32"/>
  </r>
  <r>
    <x v="2"/>
  </r>
  <r>
    <x v="32"/>
  </r>
  <r>
    <x v="32"/>
  </r>
  <r>
    <x v="9"/>
  </r>
  <r>
    <x v="9"/>
  </r>
  <r>
    <x v="32"/>
  </r>
  <r>
    <x v="17"/>
  </r>
  <r>
    <x v="40"/>
  </r>
  <r>
    <x v="2"/>
  </r>
  <r>
    <x v="2"/>
  </r>
  <r>
    <x v="0"/>
  </r>
  <r>
    <x v="0"/>
  </r>
  <r>
    <x v="234"/>
  </r>
  <r>
    <x v="10"/>
  </r>
  <r>
    <x v="10"/>
  </r>
  <r>
    <x v="23"/>
  </r>
  <r>
    <x v="42"/>
  </r>
  <r>
    <x v="42"/>
  </r>
  <r>
    <x v="42"/>
  </r>
  <r>
    <x v="33"/>
  </r>
  <r>
    <x v="33"/>
  </r>
  <r>
    <x v="33"/>
  </r>
  <r>
    <x v="87"/>
  </r>
  <r>
    <x v="33"/>
  </r>
  <r>
    <x v="10"/>
  </r>
  <r>
    <x v="22"/>
  </r>
  <r>
    <x v="2"/>
  </r>
  <r>
    <x v="10"/>
  </r>
  <r>
    <x v="131"/>
  </r>
  <r>
    <x v="10"/>
  </r>
  <r>
    <x v="10"/>
  </r>
  <r>
    <x v="4"/>
  </r>
  <r>
    <x v="4"/>
  </r>
  <r>
    <x v="4"/>
  </r>
  <r>
    <x v="4"/>
  </r>
  <r>
    <x v="78"/>
  </r>
  <r>
    <x v="10"/>
  </r>
  <r>
    <x v="10"/>
  </r>
  <r>
    <x v="10"/>
  </r>
  <r>
    <x v="10"/>
  </r>
  <r>
    <x v="10"/>
  </r>
  <r>
    <x v="4"/>
  </r>
  <r>
    <x v="4"/>
  </r>
  <r>
    <x v="123"/>
  </r>
  <r>
    <x v="10"/>
  </r>
  <r>
    <x v="2"/>
  </r>
  <r>
    <x v="4"/>
  </r>
  <r>
    <x v="4"/>
  </r>
  <r>
    <x v="4"/>
  </r>
  <r>
    <x v="4"/>
  </r>
  <r>
    <x v="4"/>
  </r>
  <r>
    <x v="4"/>
  </r>
  <r>
    <x v="4"/>
  </r>
  <r>
    <x v="103"/>
  </r>
  <r>
    <x v="2"/>
  </r>
  <r>
    <x v="2"/>
  </r>
  <r>
    <x v="2"/>
  </r>
  <r>
    <x v="2"/>
  </r>
  <r>
    <x v="2"/>
  </r>
  <r>
    <x v="130"/>
  </r>
  <r>
    <x v="2"/>
  </r>
  <r>
    <x v="32"/>
  </r>
  <r>
    <x v="17"/>
  </r>
  <r>
    <x v="14"/>
  </r>
  <r>
    <x v="7"/>
  </r>
  <r>
    <x v="14"/>
  </r>
  <r>
    <x v="14"/>
  </r>
  <r>
    <x v="55"/>
  </r>
  <r>
    <x v="14"/>
  </r>
  <r>
    <x v="10"/>
  </r>
  <r>
    <x v="152"/>
  </r>
  <r>
    <x v="15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0"/>
  </r>
  <r>
    <x v="36"/>
  </r>
  <r>
    <x v="0"/>
  </r>
  <r>
    <x v="0"/>
  </r>
  <r>
    <x v="36"/>
  </r>
  <r>
    <x v="12"/>
  </r>
  <r>
    <x v="12"/>
  </r>
  <r>
    <x v="12"/>
  </r>
  <r>
    <x v="12"/>
  </r>
  <r>
    <x v="12"/>
  </r>
  <r>
    <x v="12"/>
  </r>
  <r>
    <x v="12"/>
  </r>
  <r>
    <x v="12"/>
  </r>
  <r>
    <x v="0"/>
  </r>
  <r>
    <x v="0"/>
  </r>
  <r>
    <x v="183"/>
  </r>
  <r>
    <x v="6"/>
  </r>
  <r>
    <x v="12"/>
  </r>
  <r>
    <x v="88"/>
  </r>
  <r>
    <x v="76"/>
  </r>
  <r>
    <x v="76"/>
  </r>
  <r>
    <x v="31"/>
  </r>
  <r>
    <x v="87"/>
  </r>
  <r>
    <x v="10"/>
  </r>
  <r>
    <x v="3"/>
  </r>
  <r>
    <x v="23"/>
  </r>
  <r>
    <x v="40"/>
  </r>
  <r>
    <x v="141"/>
  </r>
  <r>
    <x v="141"/>
  </r>
  <r>
    <x v="103"/>
  </r>
  <r>
    <x v="81"/>
  </r>
  <r>
    <x v="36"/>
  </r>
  <r>
    <x v="131"/>
  </r>
  <r>
    <x v="131"/>
  </r>
  <r>
    <x v="131"/>
  </r>
  <r>
    <x v="30"/>
  </r>
  <r>
    <x v="131"/>
  </r>
  <r>
    <x v="30"/>
  </r>
  <r>
    <x v="30"/>
  </r>
  <r>
    <x v="23"/>
  </r>
  <r>
    <x v="56"/>
  </r>
  <r>
    <x v="10"/>
  </r>
  <r>
    <x v="28"/>
  </r>
  <r>
    <x v="12"/>
  </r>
  <r>
    <x v="12"/>
  </r>
  <r>
    <x v="81"/>
  </r>
  <r>
    <x v="26"/>
  </r>
  <r>
    <x v="26"/>
  </r>
  <r>
    <x v="57"/>
  </r>
  <r>
    <x v="48"/>
  </r>
  <r>
    <x v="59"/>
  </r>
  <r>
    <x v="9"/>
  </r>
  <r>
    <x v="27"/>
  </r>
  <r>
    <x v="27"/>
  </r>
  <r>
    <x v="165"/>
  </r>
  <r>
    <x v="165"/>
  </r>
  <r>
    <x v="2"/>
  </r>
  <r>
    <x v="14"/>
  </r>
  <r>
    <x v="3"/>
  </r>
  <r>
    <x v="29"/>
  </r>
  <r>
    <x v="29"/>
  </r>
  <r>
    <x v="4"/>
  </r>
  <r>
    <x v="87"/>
  </r>
  <r>
    <x v="87"/>
  </r>
  <r>
    <x v="10"/>
  </r>
  <r>
    <x v="10"/>
  </r>
  <r>
    <x v="4"/>
  </r>
  <r>
    <x v="4"/>
  </r>
  <r>
    <x v="108"/>
  </r>
  <r>
    <x v="126"/>
  </r>
  <r>
    <x v="126"/>
  </r>
  <r>
    <x v="10"/>
  </r>
  <r>
    <x v="126"/>
  </r>
  <r>
    <x v="10"/>
  </r>
  <r>
    <x v="4"/>
  </r>
  <r>
    <x v="4"/>
  </r>
  <r>
    <x v="4"/>
  </r>
  <r>
    <x v="10"/>
  </r>
  <r>
    <x v="76"/>
  </r>
  <r>
    <x v="48"/>
  </r>
  <r>
    <x v="10"/>
  </r>
  <r>
    <x v="0"/>
  </r>
  <r>
    <x v="14"/>
  </r>
  <r>
    <x v="46"/>
  </r>
  <r>
    <x v="0"/>
  </r>
  <r>
    <x v="41"/>
  </r>
  <r>
    <x v="0"/>
  </r>
  <r>
    <x v="11"/>
  </r>
  <r>
    <x v="87"/>
  </r>
  <r>
    <x v="30"/>
  </r>
  <r>
    <x v="0"/>
  </r>
  <r>
    <x v="24"/>
  </r>
  <r>
    <x v="24"/>
  </r>
  <r>
    <x v="0"/>
  </r>
  <r>
    <x v="0"/>
  </r>
  <r>
    <x v="70"/>
  </r>
  <r>
    <x v="70"/>
  </r>
  <r>
    <x v="29"/>
  </r>
  <r>
    <x v="10"/>
  </r>
  <r>
    <x v="12"/>
  </r>
  <r>
    <x v="12"/>
  </r>
  <r>
    <x v="12"/>
  </r>
  <r>
    <x v="81"/>
  </r>
  <r>
    <x v="141"/>
  </r>
  <r>
    <x v="46"/>
  </r>
  <r>
    <x v="76"/>
  </r>
  <r>
    <x v="166"/>
  </r>
  <r>
    <x v="76"/>
  </r>
  <r>
    <x v="77"/>
  </r>
  <r>
    <x v="17"/>
  </r>
  <r>
    <x v="123"/>
  </r>
  <r>
    <x v="123"/>
  </r>
  <r>
    <x v="123"/>
  </r>
  <r>
    <x v="123"/>
  </r>
  <r>
    <x v="123"/>
  </r>
  <r>
    <x v="123"/>
  </r>
  <r>
    <x v="63"/>
  </r>
  <r>
    <x v="63"/>
  </r>
  <r>
    <x v="10"/>
  </r>
  <r>
    <x v="10"/>
  </r>
  <r>
    <x v="10"/>
  </r>
  <r>
    <x v="152"/>
  </r>
  <r>
    <x v="28"/>
  </r>
  <r>
    <x v="37"/>
  </r>
  <r>
    <x v="4"/>
  </r>
  <r>
    <x v="4"/>
  </r>
  <r>
    <x v="4"/>
  </r>
  <r>
    <x v="4"/>
  </r>
  <r>
    <x v="4"/>
  </r>
  <r>
    <x v="4"/>
  </r>
  <r>
    <x v="4"/>
  </r>
  <r>
    <x v="123"/>
  </r>
  <r>
    <x v="123"/>
  </r>
  <r>
    <x v="14"/>
  </r>
  <r>
    <x v="24"/>
  </r>
  <r>
    <x v="24"/>
  </r>
  <r>
    <x v="17"/>
  </r>
  <r>
    <x v="55"/>
  </r>
  <r>
    <x v="4"/>
  </r>
  <r>
    <x v="165"/>
  </r>
  <r>
    <x v="4"/>
  </r>
  <r>
    <x v="2"/>
  </r>
  <r>
    <x v="217"/>
  </r>
  <r>
    <x v="2"/>
  </r>
  <r>
    <x v="29"/>
  </r>
  <r>
    <x v="217"/>
  </r>
  <r>
    <x v="25"/>
  </r>
  <r>
    <x v="17"/>
  </r>
  <r>
    <x v="152"/>
  </r>
  <r>
    <x v="152"/>
  </r>
  <r>
    <x v="171"/>
  </r>
  <r>
    <x v="17"/>
  </r>
  <r>
    <x v="84"/>
  </r>
  <r>
    <x v="84"/>
  </r>
  <r>
    <x v="123"/>
  </r>
  <r>
    <x v="123"/>
  </r>
  <r>
    <x v="123"/>
  </r>
  <r>
    <x v="123"/>
  </r>
  <r>
    <x v="123"/>
  </r>
  <r>
    <x v="17"/>
  </r>
  <r>
    <x v="123"/>
  </r>
  <r>
    <x v="123"/>
  </r>
  <r>
    <x v="123"/>
  </r>
  <r>
    <x v="123"/>
  </r>
  <r>
    <x v="123"/>
  </r>
  <r>
    <x v="123"/>
  </r>
  <r>
    <x v="123"/>
  </r>
  <r>
    <x v="123"/>
  </r>
  <r>
    <x v="45"/>
  </r>
  <r>
    <x v="123"/>
  </r>
  <r>
    <x v="123"/>
  </r>
  <r>
    <x v="123"/>
  </r>
  <r>
    <x v="123"/>
  </r>
  <r>
    <x v="123"/>
  </r>
  <r>
    <x v="0"/>
  </r>
  <r>
    <x v="0"/>
  </r>
  <r>
    <x v="28"/>
  </r>
  <r>
    <x v="171"/>
  </r>
  <r>
    <x v="42"/>
  </r>
  <r>
    <x v="42"/>
  </r>
  <r>
    <x v="42"/>
  </r>
  <r>
    <x v="123"/>
  </r>
  <r>
    <x v="42"/>
  </r>
  <r>
    <x v="123"/>
  </r>
  <r>
    <x v="42"/>
  </r>
  <r>
    <x v="123"/>
  </r>
  <r>
    <x v="42"/>
  </r>
  <r>
    <x v="42"/>
  </r>
  <r>
    <x v="42"/>
  </r>
  <r>
    <x v="42"/>
  </r>
  <r>
    <x v="42"/>
  </r>
  <r>
    <x v="42"/>
  </r>
  <r>
    <x v="0"/>
  </r>
  <r>
    <x v="42"/>
  </r>
  <r>
    <x v="105"/>
  </r>
  <r>
    <x v="29"/>
  </r>
  <r>
    <x v="28"/>
  </r>
  <r>
    <x v="30"/>
  </r>
  <r>
    <x v="30"/>
  </r>
  <r>
    <x v="30"/>
  </r>
  <r>
    <x v="30"/>
  </r>
  <r>
    <x v="28"/>
  </r>
  <r>
    <x v="30"/>
  </r>
  <r>
    <x v="24"/>
  </r>
  <r>
    <x v="87"/>
  </r>
  <r>
    <x v="42"/>
  </r>
  <r>
    <x v="36"/>
  </r>
  <r>
    <x v="123"/>
  </r>
  <r>
    <x v="12"/>
  </r>
  <r>
    <x v="12"/>
  </r>
  <r>
    <x v="87"/>
  </r>
  <r>
    <x v="87"/>
  </r>
  <r>
    <x v="4"/>
  </r>
  <r>
    <x v="4"/>
  </r>
  <r>
    <x v="4"/>
  </r>
  <r>
    <x v="4"/>
  </r>
  <r>
    <x v="14"/>
  </r>
  <r>
    <x v="14"/>
  </r>
  <r>
    <x v="26"/>
  </r>
  <r>
    <x v="10"/>
  </r>
  <r>
    <x v="10"/>
  </r>
  <r>
    <x v="0"/>
  </r>
  <r>
    <x v="79"/>
  </r>
  <r>
    <x v="79"/>
  </r>
  <r>
    <x v="79"/>
  </r>
  <r>
    <x v="79"/>
  </r>
  <r>
    <x v="79"/>
  </r>
  <r>
    <x v="79"/>
  </r>
  <r>
    <x v="79"/>
  </r>
  <r>
    <x v="14"/>
  </r>
  <r>
    <x v="165"/>
  </r>
  <r>
    <x v="40"/>
  </r>
  <r>
    <x v="40"/>
  </r>
  <r>
    <x v="40"/>
  </r>
  <r>
    <x v="28"/>
  </r>
  <r>
    <x v="28"/>
  </r>
  <r>
    <x v="28"/>
  </r>
  <r>
    <x v="28"/>
  </r>
  <r>
    <x v="28"/>
  </r>
  <r>
    <x v="16"/>
  </r>
  <r>
    <x v="12"/>
  </r>
  <r>
    <x v="12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22"/>
  </r>
  <r>
    <x v="22"/>
  </r>
  <r>
    <x v="11"/>
  </r>
  <r>
    <x v="45"/>
  </r>
  <r>
    <x v="28"/>
  </r>
  <r>
    <x v="76"/>
  </r>
  <r>
    <x v="76"/>
  </r>
  <r>
    <x v="4"/>
  </r>
  <r>
    <x v="165"/>
  </r>
  <r>
    <x v="4"/>
  </r>
  <r>
    <x v="165"/>
  </r>
  <r>
    <x v="162"/>
  </r>
  <r>
    <x v="56"/>
  </r>
  <r>
    <x v="10"/>
  </r>
  <r>
    <x v="10"/>
  </r>
  <r>
    <x v="1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38"/>
  </r>
  <r>
    <x v="152"/>
  </r>
  <r>
    <x v="79"/>
  </r>
  <r>
    <x v="152"/>
  </r>
  <r>
    <x v="175"/>
  </r>
  <r>
    <x v="175"/>
  </r>
  <r>
    <x v="14"/>
  </r>
  <r>
    <x v="14"/>
  </r>
  <r>
    <x v="7"/>
  </r>
  <r>
    <x v="6"/>
  </r>
  <r>
    <x v="79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11"/>
  </r>
  <r>
    <x v="6"/>
  </r>
  <r>
    <x v="6"/>
  </r>
  <r>
    <x v="6"/>
  </r>
  <r>
    <x v="6"/>
  </r>
  <r>
    <x v="24"/>
  </r>
  <r>
    <x v="24"/>
  </r>
  <r>
    <x v="48"/>
  </r>
  <r>
    <x v="24"/>
  </r>
  <r>
    <x v="100"/>
  </r>
  <r>
    <x v="123"/>
  </r>
  <r>
    <x v="123"/>
  </r>
  <r>
    <x v="24"/>
  </r>
  <r>
    <x v="23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4"/>
  </r>
  <r>
    <x v="28"/>
  </r>
  <r>
    <x v="4"/>
  </r>
  <r>
    <x v="28"/>
  </r>
  <r>
    <x v="4"/>
  </r>
  <r>
    <x v="28"/>
  </r>
  <r>
    <x v="4"/>
  </r>
  <r>
    <x v="28"/>
  </r>
  <r>
    <x v="28"/>
  </r>
  <r>
    <x v="28"/>
  </r>
  <r>
    <x v="4"/>
  </r>
  <r>
    <x v="4"/>
  </r>
  <r>
    <x v="42"/>
  </r>
  <r>
    <x v="224"/>
  </r>
  <r>
    <x v="42"/>
  </r>
  <r>
    <x v="42"/>
  </r>
  <r>
    <x v="10"/>
  </r>
  <r>
    <x v="42"/>
  </r>
  <r>
    <x v="42"/>
  </r>
  <r>
    <x v="42"/>
  </r>
  <r>
    <x v="42"/>
  </r>
  <r>
    <x v="25"/>
  </r>
  <r>
    <x v="42"/>
  </r>
  <r>
    <x v="42"/>
  </r>
  <r>
    <x v="42"/>
  </r>
  <r>
    <x v="42"/>
  </r>
  <r>
    <x v="42"/>
  </r>
  <r>
    <x v="42"/>
  </r>
  <r>
    <x v="42"/>
  </r>
  <r>
    <x v="4"/>
  </r>
  <r>
    <x v="4"/>
  </r>
  <r>
    <x v="114"/>
  </r>
  <r>
    <x v="4"/>
  </r>
  <r>
    <x v="63"/>
  </r>
  <r>
    <x v="28"/>
  </r>
  <r>
    <x v="28"/>
  </r>
  <r>
    <x v="16"/>
  </r>
  <r>
    <x v="16"/>
  </r>
  <r>
    <x v="4"/>
  </r>
  <r>
    <x v="4"/>
  </r>
  <r>
    <x v="72"/>
  </r>
  <r>
    <x v="175"/>
  </r>
  <r>
    <x v="175"/>
  </r>
  <r>
    <x v="12"/>
  </r>
  <r>
    <x v="115"/>
  </r>
  <r>
    <x v="115"/>
  </r>
  <r>
    <x v="36"/>
  </r>
  <r>
    <x v="42"/>
  </r>
  <r>
    <x v="14"/>
  </r>
  <r>
    <x v="42"/>
  </r>
  <r>
    <x v="42"/>
  </r>
  <r>
    <x v="12"/>
  </r>
  <r>
    <x v="12"/>
  </r>
  <r>
    <x v="12"/>
  </r>
  <r>
    <x v="42"/>
  </r>
  <r>
    <x v="12"/>
  </r>
  <r>
    <x v="42"/>
  </r>
  <r>
    <x v="12"/>
  </r>
  <r>
    <x v="12"/>
  </r>
  <r>
    <x v="12"/>
  </r>
  <r>
    <x v="10"/>
  </r>
  <r>
    <x v="10"/>
  </r>
  <r>
    <x v="4"/>
  </r>
  <r>
    <x v="42"/>
  </r>
  <r>
    <x v="10"/>
  </r>
  <r>
    <x v="123"/>
  </r>
  <r>
    <x v="123"/>
  </r>
  <r>
    <x v="24"/>
  </r>
  <r>
    <x v="80"/>
  </r>
  <r>
    <x v="10"/>
  </r>
  <r>
    <x v="80"/>
  </r>
  <r>
    <x v="26"/>
  </r>
  <r>
    <x v="25"/>
  </r>
  <r>
    <x v="42"/>
  </r>
  <r>
    <x v="42"/>
  </r>
  <r>
    <x v="77"/>
  </r>
  <r>
    <x v="77"/>
  </r>
  <r>
    <x v="16"/>
  </r>
  <r>
    <x v="10"/>
  </r>
  <r>
    <x v="15"/>
  </r>
  <r>
    <x v="33"/>
  </r>
  <r>
    <x v="50"/>
  </r>
  <r>
    <x v="50"/>
  </r>
  <r>
    <x v="11"/>
  </r>
  <r>
    <x v="4"/>
  </r>
  <r>
    <x v="11"/>
  </r>
  <r>
    <x v="16"/>
  </r>
  <r>
    <x v="86"/>
  </r>
  <r>
    <x v="86"/>
  </r>
  <r>
    <x v="86"/>
  </r>
  <r>
    <x v="86"/>
  </r>
  <r>
    <x v="115"/>
  </r>
  <r>
    <x v="19"/>
  </r>
  <r>
    <x v="19"/>
  </r>
  <r>
    <x v="19"/>
  </r>
  <r>
    <x v="78"/>
  </r>
  <r>
    <x v="25"/>
  </r>
  <r>
    <x v="76"/>
  </r>
  <r>
    <x v="76"/>
  </r>
  <r>
    <x v="52"/>
  </r>
  <r>
    <x v="28"/>
  </r>
  <r>
    <x v="25"/>
  </r>
  <r>
    <x v="4"/>
  </r>
  <r>
    <x v="12"/>
  </r>
  <r>
    <x v="86"/>
  </r>
  <r>
    <x v="12"/>
  </r>
  <r>
    <x v="72"/>
  </r>
  <r>
    <x v="12"/>
  </r>
  <r>
    <x v="4"/>
  </r>
  <r>
    <x v="42"/>
  </r>
  <r>
    <x v="0"/>
  </r>
  <r>
    <x v="42"/>
  </r>
  <r>
    <x v="0"/>
  </r>
  <r>
    <x v="6"/>
  </r>
  <r>
    <x v="28"/>
  </r>
  <r>
    <x v="63"/>
  </r>
  <r>
    <x v="63"/>
  </r>
  <r>
    <x v="43"/>
  </r>
  <r>
    <x v="37"/>
  </r>
  <r>
    <x v="42"/>
  </r>
  <r>
    <x v="12"/>
  </r>
  <r>
    <x v="63"/>
  </r>
  <r>
    <x v="63"/>
  </r>
  <r>
    <x v="63"/>
  </r>
  <r>
    <x v="59"/>
  </r>
  <r>
    <x v="12"/>
  </r>
  <r>
    <x v="12"/>
  </r>
  <r>
    <x v="77"/>
  </r>
  <r>
    <x v="63"/>
  </r>
  <r>
    <x v="63"/>
  </r>
  <r>
    <x v="128"/>
  </r>
  <r>
    <x v="63"/>
  </r>
  <r>
    <x v="63"/>
  </r>
  <r>
    <x v="63"/>
  </r>
  <r>
    <x v="10"/>
  </r>
  <r>
    <x v="0"/>
  </r>
  <r>
    <x v="4"/>
  </r>
  <r>
    <x v="63"/>
  </r>
  <r>
    <x v="138"/>
  </r>
  <r>
    <x v="63"/>
  </r>
  <r>
    <x v="36"/>
  </r>
  <r>
    <x v="12"/>
  </r>
  <r>
    <x v="12"/>
  </r>
  <r>
    <x v="12"/>
  </r>
  <r>
    <x v="12"/>
  </r>
  <r>
    <x v="63"/>
  </r>
  <r>
    <x v="63"/>
  </r>
  <r>
    <x v="108"/>
  </r>
  <r>
    <x v="42"/>
  </r>
  <r>
    <x v="10"/>
  </r>
  <r>
    <x v="77"/>
  </r>
  <r>
    <x v="138"/>
  </r>
  <r>
    <x v="138"/>
  </r>
  <r>
    <x v="16"/>
  </r>
  <r>
    <x v="16"/>
  </r>
  <r>
    <x v="138"/>
  </r>
  <r>
    <x v="33"/>
  </r>
  <r>
    <x v="16"/>
  </r>
  <r>
    <x v="28"/>
  </r>
  <r>
    <x v="183"/>
  </r>
  <r>
    <x v="154"/>
  </r>
  <r>
    <x v="16"/>
  </r>
  <r>
    <x v="21"/>
  </r>
  <r>
    <x v="152"/>
  </r>
  <r>
    <x v="138"/>
  </r>
  <r>
    <x v="32"/>
  </r>
  <r>
    <x v="28"/>
  </r>
  <r>
    <x v="3"/>
  </r>
  <r>
    <x v="0"/>
  </r>
  <r>
    <x v="0"/>
  </r>
  <r>
    <x v="122"/>
  </r>
  <r>
    <x v="139"/>
  </r>
  <r>
    <x v="139"/>
  </r>
  <r>
    <x v="0"/>
  </r>
  <r>
    <x v="0"/>
  </r>
  <r>
    <x v="30"/>
  </r>
  <r>
    <x v="16"/>
  </r>
  <r>
    <x v="40"/>
  </r>
  <r>
    <x v="0"/>
  </r>
  <r>
    <x v="22"/>
  </r>
  <r>
    <x v="22"/>
  </r>
  <r>
    <x v="22"/>
  </r>
  <r>
    <x v="22"/>
  </r>
  <r>
    <x v="63"/>
  </r>
  <r>
    <x v="63"/>
  </r>
  <r>
    <x v="87"/>
  </r>
  <r>
    <x v="63"/>
  </r>
  <r>
    <x v="12"/>
  </r>
  <r>
    <x v="63"/>
  </r>
  <r>
    <x v="17"/>
  </r>
  <r>
    <x v="131"/>
  </r>
  <r>
    <x v="10"/>
  </r>
  <r>
    <x v="10"/>
  </r>
  <r>
    <x v="10"/>
  </r>
  <r>
    <x v="34"/>
  </r>
  <r>
    <x v="10"/>
  </r>
  <r>
    <x v="10"/>
  </r>
  <r>
    <x v="71"/>
  </r>
  <r>
    <x v="42"/>
  </r>
  <r>
    <x v="10"/>
  </r>
  <r>
    <x v="4"/>
  </r>
  <r>
    <x v="25"/>
  </r>
  <r>
    <x v="4"/>
  </r>
  <r>
    <x v="0"/>
  </r>
  <r>
    <x v="0"/>
  </r>
  <r>
    <x v="0"/>
  </r>
  <r>
    <x v="0"/>
  </r>
  <r>
    <x v="87"/>
  </r>
  <r>
    <x v="142"/>
  </r>
  <r>
    <x v="12"/>
  </r>
  <r>
    <x v="0"/>
  </r>
  <r>
    <x v="42"/>
  </r>
  <r>
    <x v="42"/>
  </r>
  <r>
    <x v="42"/>
  </r>
  <r>
    <x v="42"/>
  </r>
  <r>
    <x v="42"/>
  </r>
  <r>
    <x v="42"/>
  </r>
  <r>
    <x v="42"/>
  </r>
  <r>
    <x v="42"/>
  </r>
  <r>
    <x v="31"/>
  </r>
  <r>
    <x v="42"/>
  </r>
  <r>
    <x v="31"/>
  </r>
  <r>
    <x v="42"/>
  </r>
  <r>
    <x v="42"/>
  </r>
  <r>
    <x v="10"/>
  </r>
  <r>
    <x v="10"/>
  </r>
  <r>
    <x v="10"/>
  </r>
  <r>
    <x v="10"/>
  </r>
  <r>
    <x v="10"/>
  </r>
  <r>
    <x v="10"/>
  </r>
  <r>
    <x v="10"/>
  </r>
  <r>
    <x v="10"/>
  </r>
  <r>
    <x v="126"/>
  </r>
  <r>
    <x v="48"/>
  </r>
  <r>
    <x v="199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10"/>
  </r>
  <r>
    <x v="63"/>
  </r>
  <r>
    <x v="63"/>
  </r>
  <r>
    <x v="8"/>
  </r>
  <r>
    <x v="123"/>
  </r>
  <r>
    <x v="14"/>
  </r>
  <r>
    <x v="123"/>
  </r>
  <r>
    <x v="19"/>
  </r>
  <r>
    <x v="115"/>
  </r>
  <r>
    <x v="0"/>
  </r>
  <r>
    <x v="123"/>
  </r>
  <r>
    <x v="123"/>
  </r>
  <r>
    <x v="123"/>
  </r>
  <r>
    <x v="63"/>
  </r>
  <r>
    <x v="123"/>
  </r>
  <r>
    <x v="123"/>
  </r>
  <r>
    <x v="4"/>
  </r>
  <r>
    <x v="4"/>
  </r>
  <r>
    <x v="10"/>
  </r>
  <r>
    <x v="126"/>
  </r>
  <r>
    <x v="4"/>
  </r>
  <r>
    <x v="10"/>
  </r>
  <r>
    <x v="10"/>
  </r>
  <r>
    <x v="22"/>
  </r>
  <r>
    <x v="22"/>
  </r>
  <r>
    <x v="22"/>
  </r>
  <r>
    <x v="22"/>
  </r>
  <r>
    <x v="22"/>
  </r>
  <r>
    <x v="16"/>
  </r>
  <r>
    <x v="22"/>
  </r>
  <r>
    <x v="22"/>
  </r>
  <r>
    <x v="22"/>
  </r>
  <r>
    <x v="22"/>
  </r>
  <r>
    <x v="33"/>
  </r>
  <r>
    <x v="33"/>
  </r>
  <r>
    <x v="33"/>
  </r>
  <r>
    <x v="11"/>
  </r>
  <r>
    <x v="123"/>
  </r>
  <r>
    <x v="123"/>
  </r>
  <r>
    <x v="123"/>
  </r>
  <r>
    <x v="10"/>
  </r>
  <r>
    <x v="123"/>
  </r>
  <r>
    <x v="63"/>
  </r>
  <r>
    <x v="63"/>
  </r>
  <r>
    <x v="63"/>
  </r>
  <r>
    <x v="123"/>
  </r>
  <r>
    <x v="123"/>
  </r>
  <r>
    <x v="0"/>
  </r>
  <r>
    <x v="0"/>
  </r>
  <r>
    <x v="123"/>
  </r>
  <r>
    <x v="4"/>
  </r>
  <r>
    <x v="10"/>
  </r>
  <r>
    <x v="10"/>
  </r>
  <r>
    <x v="10"/>
  </r>
  <r>
    <x v="123"/>
  </r>
  <r>
    <x v="2"/>
  </r>
  <r>
    <x v="28"/>
  </r>
  <r>
    <x v="123"/>
  </r>
  <r>
    <x v="123"/>
  </r>
  <r>
    <x v="123"/>
  </r>
  <r>
    <x v="4"/>
  </r>
  <r>
    <x v="123"/>
  </r>
  <r>
    <x v="123"/>
  </r>
  <r>
    <x v="2"/>
  </r>
  <r>
    <x v="87"/>
  </r>
  <r>
    <x v="87"/>
  </r>
  <r>
    <x v="10"/>
  </r>
  <r>
    <x v="0"/>
  </r>
  <r>
    <x v="0"/>
  </r>
  <r>
    <x v="0"/>
  </r>
  <r>
    <x v="16"/>
  </r>
  <r>
    <x v="12"/>
  </r>
  <r>
    <x v="0"/>
  </r>
  <r>
    <x v="0"/>
  </r>
  <r>
    <x v="0"/>
  </r>
  <r>
    <x v="0"/>
  </r>
  <r>
    <x v="152"/>
  </r>
  <r>
    <x v="0"/>
  </r>
  <r>
    <x v="123"/>
  </r>
  <r>
    <x v="0"/>
  </r>
  <r>
    <x v="123"/>
  </r>
  <r>
    <x v="42"/>
  </r>
  <r>
    <x v="123"/>
  </r>
  <r>
    <x v="123"/>
  </r>
  <r>
    <x v="123"/>
  </r>
  <r>
    <x v="123"/>
  </r>
  <r>
    <x v="123"/>
  </r>
  <r>
    <x v="123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7"/>
  </r>
  <r>
    <x v="78"/>
  </r>
  <r>
    <x v="165"/>
  </r>
  <r>
    <x v="165"/>
  </r>
  <r>
    <x v="165"/>
  </r>
  <r>
    <x v="165"/>
  </r>
  <r>
    <x v="165"/>
  </r>
  <r>
    <x v="165"/>
  </r>
  <r>
    <x v="52"/>
  </r>
  <r>
    <x v="165"/>
  </r>
  <r>
    <x v="165"/>
  </r>
  <r>
    <x v="17"/>
  </r>
  <r>
    <x v="165"/>
  </r>
  <r>
    <x v="165"/>
  </r>
  <r>
    <x v="29"/>
  </r>
  <r>
    <x v="165"/>
  </r>
  <r>
    <x v="10"/>
  </r>
  <r>
    <x v="4"/>
  </r>
  <r>
    <x v="10"/>
  </r>
  <r>
    <x v="4"/>
  </r>
  <r>
    <x v="4"/>
  </r>
  <r>
    <x v="267"/>
  </r>
  <r>
    <x v="2"/>
  </r>
  <r>
    <x v="10"/>
  </r>
  <r>
    <x v="16"/>
  </r>
  <r>
    <x v="48"/>
  </r>
  <r>
    <x v="4"/>
  </r>
  <r>
    <x v="4"/>
  </r>
  <r>
    <x v="10"/>
  </r>
  <r>
    <x v="36"/>
  </r>
  <r>
    <x v="72"/>
  </r>
  <r>
    <x v="57"/>
  </r>
  <r>
    <x v="36"/>
  </r>
  <r>
    <x v="10"/>
  </r>
  <r>
    <x v="1"/>
  </r>
  <r>
    <x v="4"/>
  </r>
  <r>
    <x v="10"/>
  </r>
  <r>
    <x v="126"/>
  </r>
  <r>
    <x v="68"/>
  </r>
  <r>
    <x v="4"/>
  </r>
  <r>
    <x v="4"/>
  </r>
  <r>
    <x v="4"/>
  </r>
  <r>
    <x v="4"/>
  </r>
  <r>
    <x v="10"/>
  </r>
  <r>
    <x v="10"/>
  </r>
  <r>
    <x v="36"/>
  </r>
  <r>
    <x v="129"/>
  </r>
  <r>
    <x v="129"/>
  </r>
  <r>
    <x v="4"/>
  </r>
  <r>
    <x v="10"/>
  </r>
  <r>
    <x v="4"/>
  </r>
  <r>
    <x v="10"/>
  </r>
  <r>
    <x v="4"/>
  </r>
  <r>
    <x v="4"/>
  </r>
  <r>
    <x v="7"/>
  </r>
  <r>
    <x v="14"/>
  </r>
  <r>
    <x v="12"/>
  </r>
  <r>
    <x v="122"/>
  </r>
  <r>
    <x v="87"/>
  </r>
  <r>
    <x v="87"/>
  </r>
  <r>
    <x v="87"/>
  </r>
  <r>
    <x v="10"/>
  </r>
  <r>
    <x v="0"/>
  </r>
  <r>
    <x v="14"/>
  </r>
  <r>
    <x v="12"/>
  </r>
  <r>
    <x v="12"/>
  </r>
  <r>
    <x v="42"/>
  </r>
  <r>
    <x v="12"/>
  </r>
  <r>
    <x v="3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2"/>
  </r>
  <r>
    <x v="12"/>
  </r>
  <r>
    <x v="4"/>
  </r>
  <r>
    <x v="12"/>
  </r>
  <r>
    <x v="12"/>
  </r>
  <r>
    <x v="12"/>
  </r>
  <r>
    <x v="4"/>
  </r>
  <r>
    <x v="10"/>
  </r>
  <r>
    <x v="12"/>
  </r>
  <r>
    <x v="10"/>
  </r>
  <r>
    <x v="12"/>
  </r>
  <r>
    <x v="48"/>
  </r>
  <r>
    <x v="48"/>
  </r>
  <r>
    <x v="48"/>
  </r>
  <r>
    <x v="1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12"/>
  </r>
  <r>
    <x v="12"/>
  </r>
  <r>
    <x v="12"/>
  </r>
  <r>
    <x v="12"/>
  </r>
  <r>
    <x v="12"/>
  </r>
  <r>
    <x v="0"/>
  </r>
  <r>
    <x v="162"/>
  </r>
  <r>
    <x v="7"/>
  </r>
  <r>
    <x v="87"/>
  </r>
  <r>
    <x v="28"/>
  </r>
  <r>
    <x v="86"/>
  </r>
  <r>
    <x v="17"/>
  </r>
  <r>
    <x v="7"/>
  </r>
  <r>
    <x v="123"/>
  </r>
  <r>
    <x v="42"/>
  </r>
  <r>
    <x v="42"/>
  </r>
  <r>
    <x v="128"/>
  </r>
  <r>
    <x v="123"/>
  </r>
  <r>
    <x v="123"/>
  </r>
  <r>
    <x v="162"/>
  </r>
  <r>
    <x v="0"/>
  </r>
  <r>
    <x v="14"/>
  </r>
  <r>
    <x v="14"/>
  </r>
  <r>
    <x v="11"/>
  </r>
  <r>
    <x v="11"/>
  </r>
  <r>
    <x v="14"/>
  </r>
  <r>
    <x v="0"/>
  </r>
  <r>
    <x v="7"/>
  </r>
  <r>
    <x v="16"/>
  </r>
  <r>
    <x v="16"/>
  </r>
  <r>
    <x v="103"/>
  </r>
  <r>
    <x v="46"/>
  </r>
  <r>
    <x v="4"/>
  </r>
  <r>
    <x v="4"/>
  </r>
  <r>
    <x v="4"/>
  </r>
  <r>
    <x v="135"/>
  </r>
  <r>
    <x v="4"/>
  </r>
  <r>
    <x v="42"/>
  </r>
  <r>
    <x v="42"/>
  </r>
  <r>
    <x v="10"/>
  </r>
  <r>
    <x v="138"/>
  </r>
  <r>
    <x v="28"/>
  </r>
  <r>
    <x v="28"/>
  </r>
  <r>
    <x v="8"/>
  </r>
  <r>
    <x v="77"/>
  </r>
  <r>
    <x v="10"/>
  </r>
  <r>
    <x v="87"/>
  </r>
  <r>
    <x v="87"/>
  </r>
  <r>
    <x v="87"/>
  </r>
  <r>
    <x v="87"/>
  </r>
  <r>
    <x v="10"/>
  </r>
  <r>
    <x v="4"/>
  </r>
  <r>
    <x v="56"/>
  </r>
  <r>
    <x v="4"/>
  </r>
  <r>
    <x v="87"/>
  </r>
  <r>
    <x v="12"/>
  </r>
  <r>
    <x v="87"/>
  </r>
  <r>
    <x v="123"/>
  </r>
  <r>
    <x v="152"/>
  </r>
  <r>
    <x v="56"/>
  </r>
  <r>
    <x v="12"/>
  </r>
  <r>
    <x v="12"/>
  </r>
  <r>
    <x v="29"/>
  </r>
  <r>
    <x v="42"/>
  </r>
  <r>
    <x v="87"/>
  </r>
  <r>
    <x v="12"/>
  </r>
  <r>
    <x v="4"/>
  </r>
  <r>
    <x v="45"/>
  </r>
  <r>
    <x v="12"/>
  </r>
  <r>
    <x v="12"/>
  </r>
  <r>
    <x v="12"/>
  </r>
  <r>
    <x v="0"/>
  </r>
  <r>
    <x v="4"/>
  </r>
  <r>
    <x v="4"/>
  </r>
  <r>
    <x v="9"/>
  </r>
  <r>
    <x v="10"/>
  </r>
  <r>
    <x v="174"/>
  </r>
  <r>
    <x v="4"/>
  </r>
  <r>
    <x v="10"/>
  </r>
  <r>
    <x v="10"/>
  </r>
  <r>
    <x v="10"/>
  </r>
  <r>
    <x v="10"/>
  </r>
  <r>
    <x v="14"/>
  </r>
  <r>
    <x v="4"/>
  </r>
  <r>
    <x v="10"/>
  </r>
  <r>
    <x v="0"/>
  </r>
  <r>
    <x v="14"/>
  </r>
  <r>
    <x v="32"/>
  </r>
  <r>
    <x v="42"/>
  </r>
  <r>
    <x v="25"/>
  </r>
  <r>
    <x v="10"/>
  </r>
  <r>
    <x v="55"/>
  </r>
  <r>
    <x v="14"/>
  </r>
  <r>
    <x v="10"/>
  </r>
  <r>
    <x v="95"/>
  </r>
  <r>
    <x v="123"/>
  </r>
  <r>
    <x v="123"/>
  </r>
  <r>
    <x v="123"/>
  </r>
  <r>
    <x v="0"/>
  </r>
  <r>
    <x v="71"/>
  </r>
  <r>
    <x v="71"/>
  </r>
  <r>
    <x v="7"/>
  </r>
  <r>
    <x v="71"/>
  </r>
  <r>
    <x v="71"/>
  </r>
  <r>
    <x v="183"/>
  </r>
  <r>
    <x v="4"/>
  </r>
  <r>
    <x v="4"/>
  </r>
  <r>
    <x v="42"/>
  </r>
  <r>
    <x v="42"/>
  </r>
  <r>
    <x v="29"/>
  </r>
  <r>
    <x v="42"/>
  </r>
  <r>
    <x v="12"/>
  </r>
  <r>
    <x v="77"/>
  </r>
  <r>
    <x v="72"/>
  </r>
  <r>
    <x v="10"/>
  </r>
  <r>
    <x v="48"/>
  </r>
  <r>
    <x v="10"/>
  </r>
  <r>
    <x v="29"/>
  </r>
  <r>
    <x v="7"/>
  </r>
  <r>
    <x v="7"/>
  </r>
  <r>
    <x v="7"/>
  </r>
  <r>
    <x v="3"/>
  </r>
  <r>
    <x v="1"/>
  </r>
  <r>
    <x v="24"/>
  </r>
  <r>
    <x v="24"/>
  </r>
  <r>
    <x v="33"/>
  </r>
  <r>
    <x v="86"/>
  </r>
  <r>
    <x v="33"/>
  </r>
  <r>
    <x v="86"/>
  </r>
  <r>
    <x v="86"/>
  </r>
  <r>
    <x v="86"/>
  </r>
  <r>
    <x v="42"/>
  </r>
  <r>
    <x v="42"/>
  </r>
  <r>
    <x v="56"/>
  </r>
  <r>
    <x v="56"/>
  </r>
  <r>
    <x v="56"/>
  </r>
  <r>
    <x v="56"/>
  </r>
  <r>
    <x v="138"/>
  </r>
  <r>
    <x v="138"/>
  </r>
  <r>
    <x v="138"/>
  </r>
  <r>
    <x v="10"/>
  </r>
  <r>
    <x v="0"/>
  </r>
  <r>
    <x v="10"/>
  </r>
  <r>
    <x v="4"/>
  </r>
  <r>
    <x v="4"/>
  </r>
  <r>
    <x v="28"/>
  </r>
  <r>
    <x v="28"/>
  </r>
  <r>
    <x v="10"/>
  </r>
  <r>
    <x v="4"/>
  </r>
  <r>
    <x v="42"/>
  </r>
  <r>
    <x v="42"/>
  </r>
  <r>
    <x v="4"/>
  </r>
  <r>
    <x v="240"/>
  </r>
  <r>
    <x v="4"/>
  </r>
  <r>
    <x v="4"/>
  </r>
  <r>
    <x v="4"/>
  </r>
  <r>
    <x v="4"/>
  </r>
  <r>
    <x v="4"/>
  </r>
  <r>
    <x v="10"/>
  </r>
  <r>
    <x v="28"/>
  </r>
  <r>
    <x v="4"/>
  </r>
  <r>
    <x v="10"/>
  </r>
  <r>
    <x v="71"/>
  </r>
  <r>
    <x v="28"/>
  </r>
  <r>
    <x v="10"/>
  </r>
  <r>
    <x v="0"/>
  </r>
  <r>
    <x v="56"/>
  </r>
  <r>
    <x v="10"/>
  </r>
  <r>
    <x v="56"/>
  </r>
  <r>
    <x v="42"/>
  </r>
  <r>
    <x v="4"/>
  </r>
  <r>
    <x v="4"/>
  </r>
  <r>
    <x v="42"/>
  </r>
  <r>
    <x v="42"/>
  </r>
  <r>
    <x v="42"/>
  </r>
  <r>
    <x v="12"/>
  </r>
  <r>
    <x v="42"/>
  </r>
  <r>
    <x v="53"/>
  </r>
  <r>
    <x v="123"/>
  </r>
  <r>
    <x v="123"/>
  </r>
  <r>
    <x v="12"/>
  </r>
  <r>
    <x v="87"/>
  </r>
  <r>
    <x v="42"/>
  </r>
  <r>
    <x v="56"/>
  </r>
  <r>
    <x v="87"/>
  </r>
  <r>
    <x v="56"/>
  </r>
  <r>
    <x v="56"/>
  </r>
  <r>
    <x v="56"/>
  </r>
  <r>
    <x v="56"/>
  </r>
  <r>
    <x v="56"/>
  </r>
  <r>
    <x v="42"/>
  </r>
  <r>
    <x v="33"/>
  </r>
  <r>
    <x v="87"/>
  </r>
  <r>
    <x v="42"/>
  </r>
  <r>
    <x v="10"/>
  </r>
  <r>
    <x v="87"/>
  </r>
  <r>
    <x v="87"/>
  </r>
  <r>
    <x v="10"/>
  </r>
  <r>
    <x v="87"/>
  </r>
  <r>
    <x v="87"/>
  </r>
  <r>
    <x v="87"/>
  </r>
  <r>
    <x v="87"/>
  </r>
  <r>
    <x v="87"/>
  </r>
  <r>
    <x v="87"/>
  </r>
  <r>
    <x v="16"/>
  </r>
  <r>
    <x v="22"/>
  </r>
  <r>
    <x v="10"/>
  </r>
  <r>
    <x v="77"/>
  </r>
  <r>
    <x v="12"/>
  </r>
  <r>
    <x v="12"/>
  </r>
  <r>
    <x v="4"/>
  </r>
  <r>
    <x v="10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10"/>
  </r>
  <r>
    <x v="4"/>
  </r>
  <r>
    <x v="4"/>
  </r>
  <r>
    <x v="4"/>
  </r>
  <r>
    <x v="4"/>
  </r>
  <r>
    <x v="4"/>
  </r>
  <r>
    <x v="4"/>
  </r>
  <r>
    <x v="165"/>
  </r>
  <r>
    <x v="77"/>
  </r>
  <r>
    <x v="77"/>
  </r>
  <r>
    <x v="77"/>
  </r>
  <r>
    <x v="49"/>
  </r>
  <r>
    <x v="22"/>
  </r>
  <r>
    <x v="77"/>
  </r>
  <r>
    <x v="276"/>
  </r>
  <r>
    <x v="0"/>
  </r>
  <r>
    <x v="28"/>
  </r>
  <r>
    <x v="0"/>
  </r>
  <r>
    <x v="28"/>
  </r>
  <r>
    <x v="28"/>
  </r>
  <r>
    <x v="4"/>
  </r>
  <r>
    <x v="7"/>
  </r>
  <r>
    <x v="4"/>
  </r>
  <r>
    <x v="4"/>
  </r>
  <r>
    <x v="72"/>
  </r>
  <r>
    <x v="10"/>
  </r>
  <r>
    <x v="14"/>
  </r>
  <r>
    <x v="11"/>
  </r>
  <r>
    <x v="4"/>
  </r>
  <r>
    <x v="4"/>
  </r>
  <r>
    <x v="77"/>
  </r>
  <r>
    <x v="24"/>
  </r>
  <r>
    <x v="4"/>
  </r>
  <r>
    <x v="28"/>
  </r>
  <r>
    <x v="10"/>
  </r>
  <r>
    <x v="4"/>
  </r>
  <r>
    <x v="12"/>
  </r>
  <r>
    <x v="12"/>
  </r>
  <r>
    <x v="12"/>
  </r>
  <r>
    <x v="4"/>
  </r>
  <r>
    <x v="4"/>
  </r>
  <r>
    <x v="4"/>
  </r>
  <r>
    <x v="63"/>
  </r>
  <r>
    <x v="10"/>
  </r>
  <r>
    <x v="10"/>
  </r>
  <r>
    <x v="12"/>
  </r>
  <r>
    <x v="10"/>
  </r>
  <r>
    <x v="130"/>
  </r>
  <r>
    <x v="130"/>
  </r>
  <r>
    <x v="10"/>
  </r>
  <r>
    <x v="10"/>
  </r>
  <r>
    <x v="56"/>
  </r>
  <r>
    <x v="56"/>
  </r>
  <r>
    <x v="10"/>
  </r>
  <r>
    <x v="33"/>
  </r>
  <r>
    <x v="33"/>
  </r>
  <r>
    <x v="16"/>
  </r>
  <r>
    <x v="33"/>
  </r>
  <r>
    <x v="10"/>
  </r>
  <r>
    <x v="10"/>
  </r>
  <r>
    <x v="87"/>
  </r>
  <r>
    <x v="68"/>
  </r>
  <r>
    <x v="79"/>
  </r>
  <r>
    <x v="10"/>
  </r>
  <r>
    <x v="33"/>
  </r>
  <r>
    <x v="10"/>
  </r>
  <r>
    <x v="33"/>
  </r>
  <r>
    <x v="10"/>
  </r>
  <r>
    <x v="10"/>
  </r>
  <r>
    <x v="10"/>
  </r>
  <r>
    <x v="10"/>
  </r>
  <r>
    <x v="10"/>
  </r>
  <r>
    <x v="4"/>
  </r>
  <r>
    <x v="4"/>
  </r>
  <r>
    <x v="10"/>
  </r>
  <r>
    <x v="126"/>
  </r>
  <r>
    <x v="10"/>
  </r>
  <r>
    <x v="10"/>
  </r>
  <r>
    <x v="26"/>
  </r>
  <r>
    <x v="26"/>
  </r>
  <r>
    <x v="26"/>
  </r>
  <r>
    <x v="26"/>
  </r>
  <r>
    <x v="26"/>
  </r>
  <r>
    <x v="26"/>
  </r>
  <r>
    <x v="26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6"/>
  </r>
  <r>
    <x v="14"/>
  </r>
  <r>
    <x v="4"/>
  </r>
  <r>
    <x v="165"/>
  </r>
  <r>
    <x v="4"/>
  </r>
  <r>
    <x v="2"/>
  </r>
  <r>
    <x v="2"/>
  </r>
  <r>
    <x v="2"/>
  </r>
  <r>
    <x v="2"/>
  </r>
  <r>
    <x v="2"/>
  </r>
  <r>
    <x v="42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10"/>
  </r>
  <r>
    <x v="123"/>
  </r>
  <r>
    <x v="10"/>
  </r>
  <r>
    <x v="10"/>
  </r>
  <r>
    <x v="123"/>
  </r>
  <r>
    <x v="123"/>
  </r>
  <r>
    <x v="123"/>
  </r>
  <r>
    <x v="48"/>
  </r>
  <r>
    <x v="16"/>
  </r>
  <r>
    <x v="0"/>
  </r>
  <r>
    <x v="123"/>
  </r>
  <r>
    <x v="0"/>
  </r>
  <r>
    <x v="0"/>
  </r>
  <r>
    <x v="0"/>
  </r>
  <r>
    <x v="123"/>
  </r>
  <r>
    <x v="0"/>
  </r>
  <r>
    <x v="87"/>
  </r>
  <r>
    <x v="0"/>
  </r>
  <r>
    <x v="123"/>
  </r>
  <r>
    <x v="123"/>
  </r>
  <r>
    <x v="123"/>
  </r>
  <r>
    <x v="129"/>
  </r>
  <r>
    <x v="0"/>
  </r>
  <r>
    <x v="0"/>
  </r>
  <r>
    <x v="0"/>
  </r>
  <r>
    <x v="0"/>
  </r>
  <r>
    <x v="0"/>
  </r>
  <r>
    <x v="12"/>
  </r>
  <r>
    <x v="12"/>
  </r>
  <r>
    <x v="12"/>
  </r>
  <r>
    <x v="12"/>
  </r>
  <r>
    <x v="12"/>
  </r>
  <r>
    <x v="12"/>
  </r>
  <r>
    <x v="28"/>
  </r>
  <r>
    <x v="28"/>
  </r>
  <r>
    <x v="28"/>
  </r>
  <r>
    <x v="28"/>
  </r>
  <r>
    <x v="129"/>
  </r>
  <r>
    <x v="129"/>
  </r>
  <r>
    <x v="129"/>
  </r>
  <r>
    <x v="28"/>
  </r>
  <r>
    <x v="28"/>
  </r>
  <r>
    <x v="28"/>
  </r>
  <r>
    <x v="28"/>
  </r>
  <r>
    <x v="129"/>
  </r>
  <r>
    <x v="28"/>
  </r>
  <r>
    <x v="7"/>
  </r>
  <r>
    <x v="17"/>
  </r>
  <r>
    <x v="7"/>
  </r>
  <r>
    <x v="7"/>
  </r>
  <r>
    <x v="33"/>
  </r>
  <r>
    <x v="33"/>
  </r>
  <r>
    <x v="11"/>
  </r>
  <r>
    <x v="0"/>
  </r>
  <r>
    <x v="10"/>
  </r>
  <r>
    <x v="12"/>
  </r>
  <r>
    <x v="14"/>
  </r>
  <r>
    <x v="0"/>
  </r>
  <r>
    <x v="14"/>
  </r>
  <r>
    <x v="42"/>
  </r>
  <r>
    <x v="42"/>
  </r>
  <r>
    <x v="0"/>
  </r>
  <r>
    <x v="21"/>
  </r>
  <r>
    <x v="12"/>
  </r>
  <r>
    <x v="12"/>
  </r>
  <r>
    <x v="14"/>
  </r>
  <r>
    <x v="14"/>
  </r>
  <r>
    <x v="0"/>
  </r>
  <r>
    <x v="14"/>
  </r>
  <r>
    <x v="10"/>
  </r>
  <r>
    <x v="10"/>
  </r>
  <r>
    <x v="19"/>
  </r>
  <r>
    <x v="123"/>
  </r>
  <r>
    <x v="35"/>
  </r>
  <r>
    <x v="45"/>
  </r>
  <r>
    <x v="56"/>
  </r>
  <r>
    <x v="56"/>
  </r>
  <r>
    <x v="9"/>
  </r>
  <r>
    <x v="28"/>
  </r>
  <r>
    <x v="45"/>
  </r>
  <r>
    <x v="0"/>
  </r>
  <r>
    <x v="0"/>
  </r>
  <r>
    <x v="14"/>
  </r>
  <r>
    <x v="14"/>
  </r>
  <r>
    <x v="12"/>
  </r>
  <r>
    <x v="12"/>
  </r>
  <r>
    <x v="22"/>
  </r>
  <r>
    <x v="123"/>
  </r>
  <r>
    <x v="123"/>
  </r>
  <r>
    <x v="123"/>
  </r>
  <r>
    <x v="28"/>
  </r>
  <r>
    <x v="28"/>
  </r>
  <r>
    <x v="123"/>
  </r>
  <r>
    <x v="123"/>
  </r>
  <r>
    <x v="123"/>
  </r>
  <r>
    <x v="63"/>
  </r>
  <r>
    <x v="123"/>
  </r>
  <r>
    <x v="123"/>
  </r>
  <r>
    <x v="130"/>
  </r>
  <r>
    <x v="130"/>
  </r>
  <r>
    <x v="89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56"/>
  </r>
  <r>
    <x v="108"/>
  </r>
  <r>
    <x v="56"/>
  </r>
  <r>
    <x v="45"/>
  </r>
  <r>
    <x v="45"/>
  </r>
  <r>
    <x v="56"/>
  </r>
  <r>
    <x v="13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6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78"/>
  </r>
  <r>
    <x v="0"/>
  </r>
  <r>
    <x v="142"/>
  </r>
  <r>
    <x v="0"/>
  </r>
  <r>
    <x v="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55"/>
  </r>
  <r>
    <x v="155"/>
  </r>
  <r>
    <x v="89"/>
  </r>
  <r>
    <x v="10"/>
  </r>
  <r>
    <x v="10"/>
  </r>
  <r>
    <x v="10"/>
  </r>
  <r>
    <x v="0"/>
  </r>
  <r>
    <x v="4"/>
  </r>
  <r>
    <x v="80"/>
  </r>
  <r>
    <x v="0"/>
  </r>
  <r>
    <x v="0"/>
  </r>
  <r>
    <x v="4"/>
  </r>
  <r>
    <x v="80"/>
  </r>
  <r>
    <x v="0"/>
  </r>
  <r>
    <x v="12"/>
  </r>
  <r>
    <x v="4"/>
  </r>
  <r>
    <x v="80"/>
  </r>
  <r>
    <x v="4"/>
  </r>
  <r>
    <x v="0"/>
  </r>
  <r>
    <x v="126"/>
  </r>
  <r>
    <x v="126"/>
  </r>
  <r>
    <x v="80"/>
  </r>
  <r>
    <x v="126"/>
  </r>
  <r>
    <x v="10"/>
  </r>
  <r>
    <x v="10"/>
  </r>
  <r>
    <x v="10"/>
  </r>
  <r>
    <x v="0"/>
  </r>
  <r>
    <x v="0"/>
  </r>
  <r>
    <x v="0"/>
  </r>
  <r>
    <x v="0"/>
  </r>
  <r>
    <x v="4"/>
  </r>
  <r>
    <x v="4"/>
  </r>
  <r>
    <x v="0"/>
  </r>
  <r>
    <x v="0"/>
  </r>
  <r>
    <x v="4"/>
  </r>
  <r>
    <x v="0"/>
  </r>
  <r>
    <x v="4"/>
  </r>
  <r>
    <x v="12"/>
  </r>
  <r>
    <x v="0"/>
  </r>
  <r>
    <x v="0"/>
  </r>
  <r>
    <x v="4"/>
  </r>
  <r>
    <x v="0"/>
  </r>
  <r>
    <x v="0"/>
  </r>
  <r>
    <x v="0"/>
  </r>
  <r>
    <x v="4"/>
  </r>
  <r>
    <x v="0"/>
  </r>
  <r>
    <x v="4"/>
  </r>
  <r>
    <x v="4"/>
  </r>
  <r>
    <x v="4"/>
  </r>
  <r>
    <x v="4"/>
  </r>
  <r>
    <x v="64"/>
  </r>
  <r>
    <x v="61"/>
  </r>
  <r>
    <x v="4"/>
  </r>
  <r>
    <x v="10"/>
  </r>
  <r>
    <x v="4"/>
  </r>
  <r>
    <x v="10"/>
  </r>
  <r>
    <x v="4"/>
  </r>
  <r>
    <x v="77"/>
  </r>
  <r>
    <x v="240"/>
  </r>
  <r>
    <x v="4"/>
  </r>
  <r>
    <x v="45"/>
  </r>
  <r>
    <x v="16"/>
  </r>
  <r>
    <x v="28"/>
  </r>
  <r>
    <x v="77"/>
  </r>
  <r>
    <x v="87"/>
  </r>
  <r>
    <x v="87"/>
  </r>
  <r>
    <x v="165"/>
  </r>
  <r>
    <x v="77"/>
  </r>
  <r>
    <x v="4"/>
  </r>
  <r>
    <x v="81"/>
  </r>
  <r>
    <x v="81"/>
  </r>
  <r>
    <x v="81"/>
  </r>
  <r>
    <x v="0"/>
  </r>
  <r>
    <x v="29"/>
  </r>
  <r>
    <x v="0"/>
  </r>
  <r>
    <x v="10"/>
  </r>
  <r>
    <x v="10"/>
  </r>
  <r>
    <x v="289"/>
  </r>
  <r>
    <x v="80"/>
  </r>
  <r>
    <x v="80"/>
  </r>
  <r>
    <x v="114"/>
  </r>
  <r>
    <x v="72"/>
  </r>
  <r>
    <x v="72"/>
  </r>
  <r>
    <x v="80"/>
  </r>
  <r>
    <x v="10"/>
  </r>
  <r>
    <x v="16"/>
  </r>
  <r>
    <x v="10"/>
  </r>
  <r>
    <x v="10"/>
  </r>
  <r>
    <x v="10"/>
  </r>
  <r>
    <x v="10"/>
  </r>
  <r>
    <x v="10"/>
  </r>
  <r>
    <x v="10"/>
  </r>
  <r>
    <x v="10"/>
  </r>
  <r>
    <x v="10"/>
  </r>
  <r>
    <x v="138"/>
  </r>
  <r>
    <x v="123"/>
  </r>
  <r>
    <x v="4"/>
  </r>
  <r>
    <x v="10"/>
  </r>
  <r>
    <x v="10"/>
  </r>
  <r>
    <x v="0"/>
  </r>
  <r>
    <x v="14"/>
  </r>
  <r>
    <x v="45"/>
  </r>
  <r>
    <x v="0"/>
  </r>
  <r>
    <x v="0"/>
  </r>
  <r>
    <x v="0"/>
  </r>
  <r>
    <x v="72"/>
  </r>
  <r>
    <x v="4"/>
  </r>
  <r>
    <x v="4"/>
  </r>
  <r>
    <x v="12"/>
  </r>
  <r>
    <x v="72"/>
  </r>
  <r>
    <x v="12"/>
  </r>
  <r>
    <x v="16"/>
  </r>
  <r>
    <x v="1"/>
  </r>
  <r>
    <x v="53"/>
  </r>
  <r>
    <x v="53"/>
  </r>
  <r>
    <x v="10"/>
  </r>
  <r>
    <x v="16"/>
  </r>
  <r>
    <x v="53"/>
  </r>
  <r>
    <x v="53"/>
  </r>
  <r>
    <x v="53"/>
  </r>
  <r>
    <x v="146"/>
  </r>
  <r>
    <x v="146"/>
  </r>
  <r>
    <x v="146"/>
  </r>
  <r>
    <x v="77"/>
  </r>
  <r>
    <x v="165"/>
  </r>
  <r>
    <x v="81"/>
  </r>
  <r>
    <x v="48"/>
  </r>
  <r>
    <x v="48"/>
  </r>
  <r>
    <x v="77"/>
  </r>
  <r>
    <x v="77"/>
  </r>
  <r>
    <x v="77"/>
  </r>
  <r>
    <x v="77"/>
  </r>
  <r>
    <x v="77"/>
  </r>
  <r>
    <x v="4"/>
  </r>
  <r>
    <x v="138"/>
  </r>
  <r>
    <x v="138"/>
  </r>
  <r>
    <x v="138"/>
  </r>
  <r>
    <x v="138"/>
  </r>
  <r>
    <x v="138"/>
  </r>
  <r>
    <x v="4"/>
  </r>
  <r>
    <x v="138"/>
  </r>
  <r>
    <x v="77"/>
  </r>
  <r>
    <x v="4"/>
  </r>
  <r>
    <x v="4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4"/>
  </r>
  <r>
    <x v="22"/>
  </r>
  <r>
    <x v="22"/>
  </r>
  <r>
    <x v="4"/>
  </r>
  <r>
    <x v="21"/>
  </r>
  <r>
    <x v="45"/>
  </r>
  <r>
    <x v="16"/>
  </r>
  <r>
    <x v="14"/>
  </r>
  <r>
    <x v="130"/>
  </r>
  <r>
    <x v="16"/>
  </r>
  <r>
    <x v="12"/>
  </r>
  <r>
    <x v="1"/>
  </r>
  <r>
    <x v="0"/>
  </r>
  <r>
    <x v="0"/>
  </r>
  <r>
    <x v="0"/>
  </r>
  <r>
    <x v="86"/>
  </r>
  <r>
    <x v="78"/>
  </r>
  <r>
    <x v="0"/>
  </r>
  <r>
    <x v="0"/>
  </r>
  <r>
    <x v="48"/>
  </r>
  <r>
    <x v="0"/>
  </r>
  <r>
    <x v="0"/>
  </r>
  <r>
    <x v="0"/>
  </r>
  <r>
    <x v="0"/>
  </r>
  <r>
    <x v="0"/>
  </r>
  <r>
    <x v="17"/>
  </r>
  <r>
    <x v="79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9"/>
  </r>
  <r>
    <x v="129"/>
  </r>
  <r>
    <x v="4"/>
  </r>
  <r>
    <x v="4"/>
  </r>
  <r>
    <x v="4"/>
  </r>
  <r>
    <x v="4"/>
  </r>
  <r>
    <x v="56"/>
  </r>
  <r>
    <x v="56"/>
  </r>
  <r>
    <x v="56"/>
  </r>
  <r>
    <x v="14"/>
  </r>
  <r>
    <x v="4"/>
  </r>
  <r>
    <x v="79"/>
  </r>
  <r>
    <x v="79"/>
  </r>
  <r>
    <x v="79"/>
  </r>
  <r>
    <x v="79"/>
  </r>
  <r>
    <x v="79"/>
  </r>
  <r>
    <x v="41"/>
  </r>
  <r>
    <x v="10"/>
  </r>
  <r>
    <x v="10"/>
  </r>
  <r>
    <x v="42"/>
  </r>
  <r>
    <x v="4"/>
  </r>
  <r>
    <x v="10"/>
  </r>
  <r>
    <x v="10"/>
  </r>
  <r>
    <x v="4"/>
  </r>
  <r>
    <x v="4"/>
  </r>
  <r>
    <x v="4"/>
  </r>
  <r>
    <x v="10"/>
  </r>
  <r>
    <x v="87"/>
  </r>
  <r>
    <x v="87"/>
  </r>
  <r>
    <x v="87"/>
  </r>
  <r>
    <x v="81"/>
  </r>
  <r>
    <x v="53"/>
  </r>
  <r>
    <x v="10"/>
  </r>
  <r>
    <x v="0"/>
  </r>
  <r>
    <x v="0"/>
  </r>
  <r>
    <x v="10"/>
  </r>
  <r>
    <x v="3"/>
  </r>
  <r>
    <x v="21"/>
  </r>
  <r>
    <x v="0"/>
  </r>
  <r>
    <x v="12"/>
  </r>
  <r>
    <x v="0"/>
  </r>
  <r>
    <x v="15"/>
  </r>
  <r>
    <x v="168"/>
  </r>
  <r>
    <x v="15"/>
  </r>
  <r>
    <x v="168"/>
  </r>
  <r>
    <x v="168"/>
  </r>
  <r>
    <x v="152"/>
  </r>
  <r>
    <x v="152"/>
  </r>
  <r>
    <x v="168"/>
  </r>
  <r>
    <x v="168"/>
  </r>
  <r>
    <x v="168"/>
  </r>
  <r>
    <x v="126"/>
  </r>
  <r>
    <x v="42"/>
  </r>
  <r>
    <x v="126"/>
  </r>
  <r>
    <x v="12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"/>
  </r>
  <r>
    <x v="138"/>
  </r>
  <r>
    <x v="138"/>
  </r>
  <r>
    <x v="42"/>
  </r>
  <r>
    <x v="4"/>
  </r>
  <r>
    <x v="17"/>
  </r>
  <r>
    <x v="17"/>
  </r>
  <r>
    <x v="71"/>
  </r>
  <r>
    <x v="19"/>
  </r>
  <r>
    <x v="28"/>
  </r>
  <r>
    <x v="13"/>
  </r>
  <r>
    <x v="12"/>
  </r>
  <r>
    <x v="77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12"/>
  </r>
  <r>
    <x v="146"/>
  </r>
  <r>
    <x v="71"/>
  </r>
  <r>
    <x v="146"/>
  </r>
  <r>
    <x v="10"/>
  </r>
  <r>
    <x v="10"/>
  </r>
  <r>
    <x v="12"/>
  </r>
  <r>
    <x v="12"/>
  </r>
  <r>
    <x v="28"/>
  </r>
  <r>
    <x v="63"/>
  </r>
  <r>
    <x v="63"/>
  </r>
  <r>
    <x v="22"/>
  </r>
  <r>
    <x v="10"/>
  </r>
  <r>
    <x v="2"/>
  </r>
  <r>
    <x v="96"/>
  </r>
  <r>
    <x v="9"/>
  </r>
  <r>
    <x v="9"/>
  </r>
  <r>
    <x v="28"/>
  </r>
  <r>
    <x v="12"/>
  </r>
  <r>
    <x v="25"/>
  </r>
  <r>
    <x v="25"/>
  </r>
  <r>
    <x v="25"/>
  </r>
  <r>
    <x v="4"/>
  </r>
  <r>
    <x v="4"/>
  </r>
  <r>
    <x v="3"/>
  </r>
  <r>
    <x v="20"/>
  </r>
  <r>
    <x v="108"/>
  </r>
  <r>
    <x v="25"/>
  </r>
  <r>
    <x v="138"/>
  </r>
  <r>
    <x v="30"/>
  </r>
  <r>
    <x v="83"/>
  </r>
  <r>
    <x v="57"/>
  </r>
  <r>
    <x v="14"/>
  </r>
  <r>
    <x v="28"/>
  </r>
  <r>
    <x v="108"/>
  </r>
  <r>
    <x v="12"/>
  </r>
  <r>
    <x v="108"/>
  </r>
  <r>
    <x v="108"/>
  </r>
  <r>
    <x v="6"/>
  </r>
  <r>
    <x v="6"/>
  </r>
  <r>
    <x v="4"/>
  </r>
  <r>
    <x v="4"/>
  </r>
  <r>
    <x v="10"/>
  </r>
  <r>
    <x v="4"/>
  </r>
  <r>
    <x v="4"/>
  </r>
  <r>
    <x v="10"/>
  </r>
  <r>
    <x v="10"/>
  </r>
  <r>
    <x v="10"/>
  </r>
  <r>
    <x v="108"/>
  </r>
  <r>
    <x v="48"/>
  </r>
  <r>
    <x v="108"/>
  </r>
  <r>
    <x v="108"/>
  </r>
  <r>
    <x v="108"/>
  </r>
  <r>
    <x v="6"/>
  </r>
  <r>
    <x v="6"/>
  </r>
  <r>
    <x v="154"/>
  </r>
  <r>
    <x v="14"/>
  </r>
  <r>
    <x v="14"/>
  </r>
  <r>
    <x v="0"/>
  </r>
  <r>
    <x v="14"/>
  </r>
  <r>
    <x v="14"/>
  </r>
  <r>
    <x v="14"/>
  </r>
  <r>
    <x v="123"/>
  </r>
  <r>
    <x v="1"/>
  </r>
  <r>
    <x v="12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7"/>
  </r>
  <r>
    <x v="0"/>
  </r>
  <r>
    <x v="0"/>
  </r>
  <r>
    <x v="87"/>
  </r>
  <r>
    <x v="0"/>
  </r>
  <r>
    <x v="0"/>
  </r>
  <r>
    <x v="0"/>
  </r>
  <r>
    <x v="0"/>
  </r>
  <r>
    <x v="0"/>
  </r>
  <r>
    <x v="0"/>
  </r>
  <r>
    <x v="71"/>
  </r>
  <r>
    <x v="71"/>
  </r>
  <r>
    <x v="28"/>
  </r>
  <r>
    <x v="40"/>
  </r>
  <r>
    <x v="36"/>
  </r>
  <r>
    <x v="4"/>
  </r>
  <r>
    <x v="12"/>
  </r>
  <r>
    <x v="2"/>
  </r>
  <r>
    <x v="31"/>
  </r>
  <r>
    <x v="76"/>
  </r>
  <r>
    <x v="184"/>
  </r>
  <r>
    <x v="48"/>
  </r>
  <r>
    <x v="12"/>
  </r>
  <r>
    <x v="12"/>
  </r>
  <r>
    <x v="0"/>
  </r>
  <r>
    <x v="0"/>
  </r>
  <r>
    <x v="12"/>
  </r>
  <r>
    <x v="71"/>
  </r>
  <r>
    <x v="32"/>
  </r>
  <r>
    <x v="4"/>
  </r>
  <r>
    <x v="26"/>
  </r>
  <r>
    <x v="32"/>
  </r>
  <r>
    <x v="4"/>
  </r>
  <r>
    <x v="1"/>
  </r>
  <r>
    <x v="152"/>
  </r>
  <r>
    <x v="128"/>
  </r>
  <r>
    <x v="10"/>
  </r>
  <r>
    <x v="128"/>
  </r>
  <r>
    <x v="128"/>
  </r>
  <r>
    <x v="128"/>
  </r>
  <r>
    <x v="128"/>
  </r>
  <r>
    <x v="128"/>
  </r>
  <r>
    <x v="14"/>
  </r>
  <r>
    <x v="167"/>
  </r>
  <r>
    <x v="12"/>
  </r>
  <r>
    <x v="26"/>
  </r>
  <r>
    <x v="36"/>
  </r>
  <r>
    <x v="12"/>
  </r>
  <r>
    <x v="10"/>
  </r>
  <r>
    <x v="12"/>
  </r>
  <r>
    <x v="10"/>
  </r>
  <r>
    <x v="10"/>
  </r>
  <r>
    <x v="21"/>
  </r>
  <r>
    <x v="77"/>
  </r>
  <r>
    <x v="77"/>
  </r>
  <r>
    <x v="77"/>
  </r>
  <r>
    <x v="77"/>
  </r>
  <r>
    <x v="11"/>
  </r>
  <r>
    <x v="16"/>
  </r>
  <r>
    <x v="77"/>
  </r>
  <r>
    <x v="77"/>
  </r>
  <r>
    <x v="14"/>
  </r>
  <r>
    <x v="63"/>
  </r>
  <r>
    <x v="77"/>
  </r>
  <r>
    <x v="14"/>
  </r>
  <r>
    <x v="53"/>
  </r>
  <r>
    <x v="50"/>
  </r>
  <r>
    <x v="50"/>
  </r>
  <r>
    <x v="10"/>
  </r>
  <r>
    <x v="7"/>
  </r>
  <r>
    <x v="7"/>
  </r>
  <r>
    <x v="4"/>
  </r>
  <r>
    <x v="1"/>
  </r>
  <r>
    <x v="1"/>
  </r>
  <r>
    <x v="26"/>
  </r>
  <r>
    <x v="10"/>
  </r>
  <r>
    <x v="1"/>
  </r>
  <r>
    <x v="4"/>
  </r>
  <r>
    <x v="4"/>
  </r>
  <r>
    <x v="4"/>
  </r>
  <r>
    <x v="10"/>
  </r>
  <r>
    <x v="4"/>
  </r>
  <r>
    <x v="86"/>
  </r>
  <r>
    <x v="86"/>
  </r>
  <r>
    <x v="31"/>
  </r>
  <r>
    <x v="9"/>
  </r>
  <r>
    <x v="10"/>
  </r>
  <r>
    <x v="10"/>
  </r>
  <r>
    <x v="7"/>
  </r>
  <r>
    <x v="114"/>
  </r>
  <r>
    <x v="114"/>
  </r>
  <r>
    <x v="48"/>
  </r>
  <r>
    <x v="123"/>
  </r>
  <r>
    <x v="123"/>
  </r>
  <r>
    <x v="123"/>
  </r>
  <r>
    <x v="123"/>
  </r>
  <r>
    <x v="123"/>
  </r>
  <r>
    <x v="123"/>
  </r>
  <r>
    <x v="123"/>
  </r>
  <r>
    <x v="138"/>
  </r>
  <r>
    <x v="138"/>
  </r>
  <r>
    <x v="138"/>
  </r>
  <r>
    <x v="123"/>
  </r>
  <r>
    <x v="123"/>
  </r>
  <r>
    <x v="123"/>
  </r>
  <r>
    <x v="123"/>
  </r>
  <r>
    <x v="123"/>
  </r>
  <r>
    <x v="12"/>
  </r>
  <r>
    <x v="123"/>
  </r>
  <r>
    <x v="123"/>
  </r>
  <r>
    <x v="10"/>
  </r>
  <r>
    <x v="4"/>
  </r>
  <r>
    <x v="25"/>
  </r>
  <r>
    <x v="28"/>
  </r>
  <r>
    <x v="14"/>
  </r>
  <r>
    <x v="17"/>
  </r>
  <r>
    <x v="113"/>
  </r>
  <r>
    <x v="12"/>
  </r>
  <r>
    <x v="12"/>
  </r>
  <r>
    <x v="24"/>
  </r>
  <r>
    <x v="100"/>
  </r>
  <r>
    <x v="24"/>
  </r>
  <r>
    <x v="12"/>
  </r>
  <r>
    <x v="24"/>
  </r>
  <r>
    <x v="14"/>
  </r>
  <r>
    <x v="14"/>
  </r>
  <r>
    <x v="14"/>
  </r>
  <r>
    <x v="14"/>
  </r>
  <r>
    <x v="14"/>
  </r>
  <r>
    <x v="14"/>
  </r>
  <r>
    <x v="175"/>
  </r>
  <r>
    <x v="53"/>
  </r>
  <r>
    <x v="123"/>
  </r>
  <r>
    <x v="64"/>
  </r>
  <r>
    <x v="43"/>
  </r>
  <r>
    <x v="53"/>
  </r>
  <r>
    <x v="87"/>
  </r>
  <r>
    <x v="87"/>
  </r>
  <r>
    <x v="76"/>
  </r>
  <r>
    <x v="43"/>
  </r>
  <r>
    <x v="72"/>
  </r>
  <r>
    <x v="0"/>
  </r>
  <r>
    <x v="0"/>
  </r>
  <r>
    <x v="0"/>
  </r>
  <r>
    <x v="12"/>
  </r>
  <r>
    <x v="87"/>
  </r>
  <r>
    <x v="36"/>
  </r>
  <r>
    <x v="12"/>
  </r>
  <r>
    <x v="51"/>
  </r>
  <r>
    <x v="4"/>
  </r>
  <r>
    <x v="4"/>
  </r>
  <r>
    <x v="4"/>
  </r>
  <r>
    <x v="204"/>
  </r>
  <r>
    <x v="4"/>
  </r>
  <r>
    <x v="4"/>
  </r>
  <r>
    <x v="4"/>
  </r>
  <r>
    <x v="4"/>
  </r>
  <r>
    <x v="77"/>
  </r>
  <r>
    <x v="77"/>
  </r>
  <r>
    <x v="4"/>
  </r>
  <r>
    <x v="77"/>
  </r>
  <r>
    <x v="77"/>
  </r>
  <r>
    <x v="4"/>
  </r>
  <r>
    <x v="77"/>
  </r>
  <r>
    <x v="4"/>
  </r>
  <r>
    <x v="4"/>
  </r>
  <r>
    <x v="146"/>
  </r>
  <r>
    <x v="146"/>
  </r>
  <r>
    <x v="146"/>
  </r>
  <r>
    <x v="146"/>
  </r>
  <r>
    <x v="36"/>
  </r>
  <r>
    <x v="55"/>
  </r>
  <r>
    <x v="42"/>
  </r>
  <r>
    <x v="138"/>
  </r>
  <r>
    <x v="77"/>
  </r>
  <r>
    <x v="138"/>
  </r>
  <r>
    <x v="4"/>
  </r>
  <r>
    <x v="6"/>
  </r>
  <r>
    <x v="48"/>
  </r>
  <r>
    <x v="87"/>
  </r>
  <r>
    <x v="87"/>
  </r>
  <r>
    <x v="87"/>
  </r>
  <r>
    <x v="87"/>
  </r>
  <r>
    <x v="87"/>
  </r>
  <r>
    <x v="87"/>
  </r>
  <r>
    <x v="87"/>
  </r>
  <r>
    <x v="7"/>
  </r>
  <r>
    <x v="87"/>
  </r>
  <r>
    <x v="7"/>
  </r>
  <r>
    <x v="63"/>
  </r>
  <r>
    <x v="7"/>
  </r>
  <r>
    <x v="87"/>
  </r>
  <r>
    <x v="87"/>
  </r>
  <r>
    <x v="87"/>
  </r>
  <r>
    <x v="87"/>
  </r>
  <r>
    <x v="87"/>
  </r>
  <r>
    <x v="87"/>
  </r>
  <r>
    <x v="4"/>
  </r>
  <r>
    <x v="10"/>
  </r>
  <r>
    <x v="4"/>
  </r>
  <r>
    <x v="10"/>
  </r>
  <r>
    <x v="4"/>
  </r>
  <r>
    <x v="4"/>
  </r>
  <r>
    <x v="28"/>
  </r>
  <r>
    <x v="4"/>
  </r>
  <r>
    <x v="12"/>
  </r>
  <r>
    <x v="12"/>
  </r>
  <r>
    <x v="12"/>
  </r>
  <r>
    <x v="12"/>
  </r>
  <r>
    <x v="12"/>
  </r>
  <r>
    <x v="12"/>
  </r>
  <r>
    <x v="12"/>
  </r>
  <r>
    <x v="30"/>
  </r>
  <r>
    <x v="30"/>
  </r>
  <r>
    <x v="12"/>
  </r>
  <r>
    <x v="12"/>
  </r>
  <r>
    <x v="111"/>
  </r>
  <r>
    <x v="12"/>
  </r>
  <r>
    <x v="12"/>
  </r>
  <r>
    <x v="12"/>
  </r>
  <r>
    <x v="12"/>
  </r>
  <r>
    <x v="12"/>
  </r>
  <r>
    <x v="36"/>
  </r>
  <r>
    <x v="12"/>
  </r>
  <r>
    <x v="36"/>
  </r>
  <r>
    <x v="36"/>
  </r>
  <r>
    <x v="36"/>
  </r>
  <r>
    <x v="10"/>
  </r>
  <r>
    <x v="10"/>
  </r>
  <r>
    <x v="10"/>
  </r>
  <r>
    <x v="275"/>
  </r>
  <r>
    <x v="7"/>
  </r>
  <r>
    <x v="7"/>
  </r>
  <r>
    <x v="28"/>
  </r>
  <r>
    <x v="7"/>
  </r>
  <r>
    <x v="7"/>
  </r>
  <r>
    <x v="28"/>
  </r>
  <r>
    <x v="7"/>
  </r>
  <r>
    <x v="7"/>
  </r>
  <r>
    <x v="7"/>
  </r>
  <r>
    <x v="7"/>
  </r>
  <r>
    <x v="7"/>
  </r>
  <r>
    <x v="7"/>
  </r>
  <r>
    <x v="10"/>
  </r>
  <r>
    <x v="10"/>
  </r>
  <r>
    <x v="10"/>
  </r>
  <r>
    <x v="10"/>
  </r>
  <r>
    <x v="71"/>
  </r>
  <r>
    <x v="50"/>
  </r>
  <r>
    <x v="50"/>
  </r>
  <r>
    <x v="50"/>
  </r>
  <r>
    <x v="87"/>
  </r>
  <r>
    <x v="126"/>
  </r>
  <r>
    <x v="87"/>
  </r>
  <r>
    <x v="10"/>
  </r>
  <r>
    <x v="10"/>
  </r>
  <r>
    <x v="10"/>
  </r>
  <r>
    <x v="14"/>
  </r>
  <r>
    <x v="14"/>
  </r>
  <r>
    <x v="14"/>
  </r>
  <r>
    <x v="14"/>
  </r>
  <r>
    <x v="10"/>
  </r>
  <r>
    <x v="10"/>
  </r>
  <r>
    <x v="10"/>
  </r>
  <r>
    <x v="10"/>
  </r>
  <r>
    <x v="126"/>
  </r>
  <r>
    <x v="126"/>
  </r>
  <r>
    <x v="126"/>
  </r>
  <r>
    <x v="126"/>
  </r>
  <r>
    <x v="126"/>
  </r>
  <r>
    <x v="126"/>
  </r>
  <r>
    <x v="126"/>
  </r>
  <r>
    <x v="126"/>
  </r>
  <r>
    <x v="10"/>
  </r>
  <r>
    <x v="11"/>
  </r>
  <r>
    <x v="4"/>
  </r>
  <r>
    <x v="4"/>
  </r>
  <r>
    <x v="7"/>
  </r>
  <r>
    <x v="7"/>
  </r>
  <r>
    <x v="7"/>
  </r>
  <r>
    <x v="7"/>
  </r>
  <r>
    <x v="86"/>
  </r>
  <r>
    <x v="86"/>
  </r>
  <r>
    <x v="7"/>
  </r>
  <r>
    <x v="7"/>
  </r>
  <r>
    <x v="7"/>
  </r>
  <r>
    <x v="7"/>
  </r>
  <r>
    <x v="7"/>
  </r>
  <r>
    <x v="7"/>
  </r>
  <r>
    <x v="10"/>
  </r>
  <r>
    <x v="10"/>
  </r>
  <r>
    <x v="10"/>
  </r>
  <r>
    <x v="4"/>
  </r>
  <r>
    <x v="4"/>
  </r>
  <r>
    <x v="4"/>
  </r>
  <r>
    <x v="4"/>
  </r>
  <r>
    <x v="4"/>
  </r>
  <r>
    <x v="10"/>
  </r>
  <r>
    <x v="36"/>
  </r>
  <r>
    <x v="28"/>
  </r>
  <r>
    <x v="12"/>
  </r>
  <r>
    <x v="12"/>
  </r>
  <r>
    <x v="36"/>
  </r>
  <r>
    <x v="12"/>
  </r>
  <r>
    <x v="12"/>
  </r>
  <r>
    <x v="36"/>
  </r>
  <r>
    <x v="36"/>
  </r>
  <r>
    <x v="63"/>
  </r>
  <r>
    <x v="36"/>
  </r>
  <r>
    <x v="62"/>
  </r>
  <r>
    <x v="36"/>
  </r>
  <r>
    <x v="36"/>
  </r>
  <r>
    <x v="36"/>
  </r>
  <r>
    <x v="36"/>
  </r>
  <r>
    <x v="12"/>
  </r>
  <r>
    <x v="36"/>
  </r>
  <r>
    <x v="83"/>
  </r>
  <r>
    <x v="36"/>
  </r>
  <r>
    <x v="122"/>
  </r>
  <r>
    <x v="165"/>
  </r>
  <r>
    <x v="36"/>
  </r>
  <r>
    <x v="12"/>
  </r>
  <r>
    <x v="36"/>
  </r>
  <r>
    <x v="36"/>
  </r>
  <r>
    <x v="19"/>
  </r>
  <r>
    <x v="55"/>
  </r>
  <r>
    <x v="87"/>
  </r>
  <r>
    <x v="87"/>
  </r>
  <r>
    <x v="36"/>
  </r>
  <r>
    <x v="12"/>
  </r>
  <r>
    <x v="12"/>
  </r>
  <r>
    <x v="36"/>
  </r>
  <r>
    <x v="100"/>
  </r>
  <r>
    <x v="12"/>
  </r>
  <r>
    <x v="12"/>
  </r>
  <r>
    <x v="86"/>
  </r>
  <r>
    <x v="76"/>
  </r>
  <r>
    <x v="46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23"/>
  </r>
  <r>
    <x v="36"/>
  </r>
  <r>
    <x v="123"/>
  </r>
  <r>
    <x v="136"/>
  </r>
  <r>
    <x v="42"/>
  </r>
  <r>
    <x v="10"/>
  </r>
  <r>
    <x v="126"/>
  </r>
  <r>
    <x v="126"/>
  </r>
  <r>
    <x v="10"/>
  </r>
  <r>
    <x v="10"/>
  </r>
  <r>
    <x v="4"/>
  </r>
  <r>
    <x v="4"/>
  </r>
  <r>
    <x v="10"/>
  </r>
  <r>
    <x v="4"/>
  </r>
  <r>
    <x v="4"/>
  </r>
  <r>
    <x v="115"/>
  </r>
  <r>
    <x v="10"/>
  </r>
  <r>
    <x v="10"/>
  </r>
  <r>
    <x v="4"/>
  </r>
  <r>
    <x v="4"/>
  </r>
  <r>
    <x v="10"/>
  </r>
  <r>
    <x v="126"/>
  </r>
  <r>
    <x v="133"/>
  </r>
  <r>
    <x v="10"/>
  </r>
  <r>
    <x v="10"/>
  </r>
  <r>
    <x v="10"/>
  </r>
  <r>
    <x v="10"/>
  </r>
  <r>
    <x v="21"/>
  </r>
  <r>
    <x v="4"/>
  </r>
  <r>
    <x v="17"/>
  </r>
  <r>
    <x v="36"/>
  </r>
  <r>
    <x v="12"/>
  </r>
  <r>
    <x v="12"/>
  </r>
  <r>
    <x v="12"/>
  </r>
  <r>
    <x v="12"/>
  </r>
  <r>
    <x v="12"/>
  </r>
  <r>
    <x v="12"/>
  </r>
  <r>
    <x v="112"/>
  </r>
  <r>
    <x v="63"/>
  </r>
  <r>
    <x v="63"/>
  </r>
  <r>
    <x v="63"/>
  </r>
  <r>
    <x v="12"/>
  </r>
  <r>
    <x v="12"/>
  </r>
  <r>
    <x v="12"/>
  </r>
  <r>
    <x v="0"/>
  </r>
  <r>
    <x v="188"/>
  </r>
  <r>
    <x v="165"/>
  </r>
  <r>
    <x v="165"/>
  </r>
  <r>
    <x v="4"/>
  </r>
  <r>
    <x v="4"/>
  </r>
  <r>
    <x v="4"/>
  </r>
  <r>
    <x v="4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"/>
  </r>
  <r>
    <x v="7"/>
  </r>
  <r>
    <x v="7"/>
  </r>
  <r>
    <x v="7"/>
  </r>
  <r>
    <x v="7"/>
  </r>
  <r>
    <x v="4"/>
  </r>
  <r>
    <x v="4"/>
  </r>
  <r>
    <x v="4"/>
  </r>
  <r>
    <x v="10"/>
  </r>
  <r>
    <x v="4"/>
  </r>
  <r>
    <x v="4"/>
  </r>
  <r>
    <x v="4"/>
  </r>
  <r>
    <x v="4"/>
  </r>
  <r>
    <x v="4"/>
  </r>
  <r>
    <x v="28"/>
  </r>
  <r>
    <x v="9"/>
  </r>
  <r>
    <x v="16"/>
  </r>
  <r>
    <x v="9"/>
  </r>
  <r>
    <x v="12"/>
  </r>
  <r>
    <x v="123"/>
  </r>
  <r>
    <x v="10"/>
  </r>
  <r>
    <x v="10"/>
  </r>
  <r>
    <x v="10"/>
  </r>
  <r>
    <x v="10"/>
  </r>
  <r>
    <x v="10"/>
  </r>
  <r>
    <x v="10"/>
  </r>
  <r>
    <x v="10"/>
  </r>
  <r>
    <x v="275"/>
  </r>
  <r>
    <x v="10"/>
  </r>
  <r>
    <x v="10"/>
  </r>
  <r>
    <x v="10"/>
  </r>
  <r>
    <x v="10"/>
  </r>
  <r>
    <x v="10"/>
  </r>
  <r>
    <x v="10"/>
  </r>
  <r>
    <x v="123"/>
  </r>
  <r>
    <x v="10"/>
  </r>
  <r>
    <x v="10"/>
  </r>
  <r>
    <x v="7"/>
  </r>
  <r>
    <x v="7"/>
  </r>
  <r>
    <x v="7"/>
  </r>
  <r>
    <x v="79"/>
  </r>
  <r>
    <x v="10"/>
  </r>
  <r>
    <x v="10"/>
  </r>
  <r>
    <x v="78"/>
  </r>
  <r>
    <x v="10"/>
  </r>
  <r>
    <x v="78"/>
  </r>
  <r>
    <x v="20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87"/>
  </r>
  <r>
    <x v="78"/>
  </r>
  <r>
    <x v="87"/>
  </r>
  <r>
    <x v="78"/>
  </r>
  <r>
    <x v="78"/>
  </r>
  <r>
    <x v="78"/>
  </r>
  <r>
    <x v="10"/>
  </r>
  <r>
    <x v="14"/>
  </r>
  <r>
    <x v="14"/>
  </r>
  <r>
    <x v="10"/>
  </r>
  <r>
    <x v="10"/>
  </r>
  <r>
    <x v="10"/>
  </r>
  <r>
    <x v="10"/>
  </r>
  <r>
    <x v="10"/>
  </r>
  <r>
    <x v="72"/>
  </r>
  <r>
    <x v="36"/>
  </r>
  <r>
    <x v="17"/>
  </r>
  <r>
    <x v="10"/>
  </r>
  <r>
    <x v="31"/>
  </r>
  <r>
    <x v="10"/>
  </r>
  <r>
    <x v="71"/>
  </r>
  <r>
    <x v="138"/>
  </r>
  <r>
    <x v="138"/>
  </r>
  <r>
    <x v="4"/>
  </r>
  <r>
    <x v="4"/>
  </r>
  <r>
    <x v="4"/>
  </r>
  <r>
    <x v="4"/>
  </r>
  <r>
    <x v="14"/>
  </r>
  <r>
    <x v="77"/>
  </r>
  <r>
    <x v="0"/>
  </r>
  <r>
    <x v="4"/>
  </r>
  <r>
    <x v="126"/>
  </r>
  <r>
    <x v="126"/>
  </r>
  <r>
    <x v="12"/>
  </r>
  <r>
    <x v="126"/>
  </r>
  <r>
    <x v="21"/>
  </r>
  <r>
    <x v="21"/>
  </r>
  <r>
    <x v="126"/>
  </r>
  <r>
    <x v="34"/>
  </r>
  <r>
    <x v="34"/>
  </r>
  <r>
    <x v="12"/>
  </r>
  <r>
    <x v="12"/>
  </r>
  <r>
    <x v="12"/>
  </r>
  <r>
    <x v="12"/>
  </r>
  <r>
    <x v="12"/>
  </r>
  <r>
    <x v="12"/>
  </r>
  <r>
    <x v="12"/>
  </r>
  <r>
    <x v="37"/>
  </r>
  <r>
    <x v="57"/>
  </r>
  <r>
    <x v="21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63"/>
  </r>
  <r>
    <x v="10"/>
  </r>
  <r>
    <x v="12"/>
  </r>
  <r>
    <x v="12"/>
  </r>
  <r>
    <x v="12"/>
  </r>
  <r>
    <x v="12"/>
  </r>
  <r>
    <x v="45"/>
  </r>
  <r>
    <x v="12"/>
  </r>
  <r>
    <x v="11"/>
  </r>
  <r>
    <x v="12"/>
  </r>
  <r>
    <x v="12"/>
  </r>
  <r>
    <x v="12"/>
  </r>
  <r>
    <x v="2"/>
  </r>
  <r>
    <x v="12"/>
  </r>
  <r>
    <x v="12"/>
  </r>
  <r>
    <x v="12"/>
  </r>
  <r>
    <x v="126"/>
  </r>
  <r>
    <x v="46"/>
  </r>
  <r>
    <x v="46"/>
  </r>
  <r>
    <x v="14"/>
  </r>
  <r>
    <x v="53"/>
  </r>
  <r>
    <x v="10"/>
  </r>
  <r>
    <x v="10"/>
  </r>
  <r>
    <x v="10"/>
  </r>
  <r>
    <x v="4"/>
  </r>
  <r>
    <x v="4"/>
  </r>
  <r>
    <x v="4"/>
  </r>
  <r>
    <x v="4"/>
  </r>
  <r>
    <x v="4"/>
  </r>
  <r>
    <x v="138"/>
  </r>
  <r>
    <x v="0"/>
  </r>
  <r>
    <x v="77"/>
  </r>
  <r>
    <x v="77"/>
  </r>
  <r>
    <x v="4"/>
  </r>
  <r>
    <x v="4"/>
  </r>
  <r>
    <x v="138"/>
  </r>
  <r>
    <x v="4"/>
  </r>
  <r>
    <x v="4"/>
  </r>
  <r>
    <x v="77"/>
  </r>
  <r>
    <x v="4"/>
  </r>
  <r>
    <x v="138"/>
  </r>
  <r>
    <x v="138"/>
  </r>
  <r>
    <x v="7"/>
  </r>
  <r>
    <x v="4"/>
  </r>
  <r>
    <x v="42"/>
  </r>
  <r>
    <x v="42"/>
  </r>
  <r>
    <x v="42"/>
  </r>
  <r>
    <x v="42"/>
  </r>
  <r>
    <x v="42"/>
  </r>
  <r>
    <x v="42"/>
  </r>
  <r>
    <x v="42"/>
  </r>
  <r>
    <x v="0"/>
  </r>
  <r>
    <x v="0"/>
  </r>
  <r>
    <x v="42"/>
  </r>
  <r>
    <x v="42"/>
  </r>
  <r>
    <x v="28"/>
  </r>
  <r>
    <x v="76"/>
  </r>
  <r>
    <x v="42"/>
  </r>
  <r>
    <x v="48"/>
  </r>
  <r>
    <x v="28"/>
  </r>
  <r>
    <x v="14"/>
  </r>
  <r>
    <x v="14"/>
  </r>
  <r>
    <x v="87"/>
  </r>
  <r>
    <x v="14"/>
  </r>
  <r>
    <x v="4"/>
  </r>
  <r>
    <x v="10"/>
  </r>
  <r>
    <x v="4"/>
  </r>
  <r>
    <x v="10"/>
  </r>
  <r>
    <x v="10"/>
  </r>
  <r>
    <x v="4"/>
  </r>
  <r>
    <x v="10"/>
  </r>
  <r>
    <x v="52"/>
  </r>
  <r>
    <x v="10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"/>
  </r>
  <r>
    <x v="7"/>
  </r>
  <r>
    <x v="48"/>
  </r>
  <r>
    <x v="10"/>
  </r>
  <r>
    <x v="7"/>
  </r>
  <r>
    <x v="7"/>
  </r>
  <r>
    <x v="10"/>
  </r>
  <r>
    <x v="10"/>
  </r>
  <r>
    <x v="10"/>
  </r>
  <r>
    <x v="10"/>
  </r>
  <r>
    <x v="10"/>
  </r>
  <r>
    <x v="10"/>
  </r>
  <r>
    <x v="10"/>
  </r>
  <r>
    <x v="17"/>
  </r>
  <r>
    <x v="16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"/>
  </r>
  <r>
    <x v="7"/>
  </r>
  <r>
    <x v="7"/>
  </r>
  <r>
    <x v="7"/>
  </r>
  <r>
    <x v="7"/>
  </r>
  <r>
    <x v="114"/>
  </r>
  <r>
    <x v="7"/>
  </r>
  <r>
    <x v="7"/>
  </r>
  <r>
    <x v="28"/>
  </r>
  <r>
    <x v="104"/>
  </r>
  <r>
    <x v="28"/>
  </r>
  <r>
    <x v="28"/>
  </r>
  <r>
    <x v="28"/>
  </r>
  <r>
    <x v="28"/>
  </r>
  <r>
    <x v="28"/>
  </r>
  <r>
    <x v="4"/>
  </r>
  <r>
    <x v="10"/>
  </r>
  <r>
    <x v="10"/>
  </r>
  <r>
    <x v="10"/>
  </r>
  <r>
    <x v="10"/>
  </r>
  <r>
    <x v="96"/>
  </r>
  <r>
    <x v="10"/>
  </r>
  <r>
    <x v="10"/>
  </r>
  <r>
    <x v="199"/>
  </r>
  <r>
    <x v="14"/>
  </r>
  <r>
    <x v="63"/>
  </r>
  <r>
    <x v="36"/>
  </r>
  <r>
    <x v="36"/>
  </r>
  <r>
    <x v="36"/>
  </r>
  <r>
    <x v="36"/>
  </r>
  <r>
    <x v="36"/>
  </r>
  <r>
    <x v="36"/>
  </r>
  <r>
    <x v="36"/>
  </r>
  <r>
    <x v="10"/>
  </r>
  <r>
    <x v="36"/>
  </r>
  <r>
    <x v="36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12"/>
  </r>
  <r>
    <x v="42"/>
  </r>
  <r>
    <x v="42"/>
  </r>
  <r>
    <x v="42"/>
  </r>
  <r>
    <x v="4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28"/>
  </r>
  <r>
    <x v="28"/>
  </r>
  <r>
    <x v="28"/>
  </r>
  <r>
    <x v="0"/>
  </r>
  <r>
    <x v="0"/>
  </r>
  <r>
    <x v="28"/>
  </r>
  <r>
    <x v="4"/>
  </r>
  <r>
    <x v="4"/>
  </r>
  <r>
    <x v="4"/>
  </r>
  <r>
    <x v="4"/>
  </r>
  <r>
    <x v="25"/>
  </r>
  <r>
    <x v="2"/>
  </r>
  <r>
    <x v="2"/>
  </r>
  <r>
    <x v="9"/>
  </r>
  <r>
    <x v="10"/>
  </r>
  <r>
    <x v="10"/>
  </r>
  <r>
    <x v="2"/>
  </r>
  <r>
    <x v="10"/>
  </r>
  <r>
    <x v="10"/>
  </r>
  <r>
    <x v="10"/>
  </r>
  <r>
    <x v="10"/>
  </r>
  <r>
    <x v="46"/>
  </r>
  <r>
    <x v="138"/>
  </r>
  <r>
    <x v="10"/>
  </r>
  <r>
    <x v="10"/>
  </r>
  <r>
    <x v="126"/>
  </r>
  <r>
    <x v="10"/>
  </r>
  <r>
    <x v="155"/>
  </r>
  <r>
    <x v="48"/>
  </r>
  <r>
    <x v="85"/>
  </r>
  <r>
    <x v="42"/>
  </r>
  <r>
    <x v="108"/>
  </r>
  <r>
    <x v="14"/>
  </r>
  <r>
    <x v="63"/>
  </r>
  <r>
    <x v="31"/>
  </r>
  <r>
    <x v="9"/>
  </r>
  <r>
    <x v="7"/>
  </r>
  <r>
    <x v="14"/>
  </r>
  <r>
    <x v="48"/>
  </r>
  <r>
    <x v="207"/>
  </r>
  <r>
    <x v="4"/>
  </r>
  <r>
    <x v="4"/>
  </r>
  <r>
    <x v="4"/>
  </r>
  <r>
    <x v="4"/>
  </r>
  <r>
    <x v="4"/>
  </r>
  <r>
    <x v="4"/>
  </r>
  <r>
    <x v="4"/>
  </r>
  <r>
    <x v="4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38"/>
  </r>
  <r>
    <x v="4"/>
  </r>
  <r>
    <x v="4"/>
  </r>
  <r>
    <x v="138"/>
  </r>
  <r>
    <x v="4"/>
  </r>
  <r>
    <x v="123"/>
  </r>
  <r>
    <x v="68"/>
  </r>
  <r>
    <x v="12"/>
  </r>
  <r>
    <x v="10"/>
  </r>
  <r>
    <x v="21"/>
  </r>
  <r>
    <x v="10"/>
  </r>
  <r>
    <x v="10"/>
  </r>
  <r>
    <x v="141"/>
  </r>
  <r>
    <x v="77"/>
  </r>
  <r>
    <x v="4"/>
  </r>
  <r>
    <x v="77"/>
  </r>
  <r>
    <x v="42"/>
  </r>
  <r>
    <x v="77"/>
  </r>
  <r>
    <x v="77"/>
  </r>
  <r>
    <x v="207"/>
  </r>
  <r>
    <x v="0"/>
  </r>
  <r>
    <x v="47"/>
  </r>
  <r>
    <x v="4"/>
  </r>
  <r>
    <x v="78"/>
  </r>
  <r>
    <x v="22"/>
  </r>
  <r>
    <x v="152"/>
  </r>
  <r>
    <x v="77"/>
  </r>
  <r>
    <x v="0"/>
  </r>
  <r>
    <x v="0"/>
  </r>
  <r>
    <x v="0"/>
  </r>
  <r>
    <x v="0"/>
  </r>
  <r>
    <x v="0"/>
  </r>
  <r>
    <x v="0"/>
  </r>
  <r>
    <x v="0"/>
  </r>
  <r>
    <x v="4"/>
  </r>
  <r>
    <x v="19"/>
  </r>
  <r>
    <x v="11"/>
  </r>
  <r>
    <x v="11"/>
  </r>
  <r>
    <x v="27"/>
  </r>
  <r>
    <x v="10"/>
  </r>
  <r>
    <x v="0"/>
  </r>
  <r>
    <x v="42"/>
  </r>
  <r>
    <x v="42"/>
  </r>
  <r>
    <x v="10"/>
  </r>
  <r>
    <x v="138"/>
  </r>
  <r>
    <x v="10"/>
  </r>
  <r>
    <x v="12"/>
  </r>
  <r>
    <x v="114"/>
  </r>
  <r>
    <x v="4"/>
  </r>
  <r>
    <x v="51"/>
  </r>
  <r>
    <x v="262"/>
  </r>
  <r>
    <x v="48"/>
  </r>
  <r>
    <x v="1"/>
  </r>
  <r>
    <x v="78"/>
  </r>
  <r>
    <x v="7"/>
  </r>
  <r>
    <x v="25"/>
  </r>
  <r>
    <x v="122"/>
  </r>
  <r>
    <x v="31"/>
  </r>
  <r>
    <x v="50"/>
  </r>
  <r>
    <x v="2"/>
  </r>
  <r>
    <x v="36"/>
  </r>
  <r>
    <x v="36"/>
  </r>
  <r>
    <x v="165"/>
  </r>
  <r>
    <x v="165"/>
  </r>
  <r>
    <x v="165"/>
  </r>
  <r>
    <x v="165"/>
  </r>
  <r>
    <x v="165"/>
  </r>
  <r>
    <x v="123"/>
  </r>
  <r>
    <x v="71"/>
  </r>
  <r>
    <x v="17"/>
  </r>
  <r>
    <x v="9"/>
  </r>
  <r>
    <x v="56"/>
  </r>
  <r>
    <x v="0"/>
  </r>
  <r>
    <x v="26"/>
  </r>
  <r>
    <x v="10"/>
  </r>
  <r>
    <x v="28"/>
  </r>
  <r>
    <x v="123"/>
  </r>
  <r>
    <x v="64"/>
  </r>
  <r>
    <x v="45"/>
  </r>
  <r>
    <x v="14"/>
  </r>
  <r>
    <x v="9"/>
  </r>
  <r>
    <x v="63"/>
  </r>
  <r>
    <x v="10"/>
  </r>
  <r>
    <x v="16"/>
  </r>
  <r>
    <x v="2"/>
  </r>
  <r>
    <x v="33"/>
  </r>
  <r>
    <x v="26"/>
  </r>
  <r>
    <x v="45"/>
  </r>
  <r>
    <x v="42"/>
  </r>
  <r>
    <x v="12"/>
  </r>
  <r>
    <x v="12"/>
  </r>
  <r>
    <x v="12"/>
  </r>
  <r>
    <x v="12"/>
  </r>
  <r>
    <x v="33"/>
  </r>
  <r>
    <x v="42"/>
  </r>
  <r>
    <x v="12"/>
  </r>
  <r>
    <x v="78"/>
  </r>
  <r>
    <x v="12"/>
  </r>
  <r>
    <x v="48"/>
  </r>
  <r>
    <x v="78"/>
  </r>
  <r>
    <x v="78"/>
  </r>
  <r>
    <x v="78"/>
  </r>
  <r>
    <x v="4"/>
  </r>
  <r>
    <x v="78"/>
  </r>
  <r>
    <x v="78"/>
  </r>
  <r>
    <x v="78"/>
  </r>
  <r>
    <x v="10"/>
  </r>
  <r>
    <x v="130"/>
  </r>
  <r>
    <x v="12"/>
  </r>
  <r>
    <x v="10"/>
  </r>
  <r>
    <x v="10"/>
  </r>
  <r>
    <x v="10"/>
  </r>
  <r>
    <x v="10"/>
  </r>
  <r>
    <x v="10"/>
  </r>
  <r>
    <x v="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5"/>
  </r>
  <r>
    <x v="175"/>
  </r>
  <r>
    <x v="175"/>
  </r>
  <r>
    <x v="175"/>
  </r>
  <r>
    <x v="12"/>
  </r>
  <r>
    <x v="130"/>
  </r>
  <r>
    <x v="4"/>
  </r>
  <r>
    <x v="4"/>
  </r>
  <r>
    <x v="4"/>
  </r>
  <r>
    <x v="12"/>
  </r>
  <r>
    <x v="12"/>
  </r>
  <r>
    <x v="51"/>
  </r>
  <r>
    <x v="51"/>
  </r>
  <r>
    <x v="51"/>
  </r>
  <r>
    <x v="51"/>
  </r>
  <r>
    <x v="5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28"/>
  </r>
  <r>
    <x v="28"/>
  </r>
  <r>
    <x v="28"/>
  </r>
  <r>
    <x v="28"/>
  </r>
  <r>
    <x v="28"/>
  </r>
  <r>
    <x v="28"/>
  </r>
  <r>
    <x v="10"/>
  </r>
  <r>
    <x v="4"/>
  </r>
  <r>
    <x v="63"/>
  </r>
  <r>
    <x v="130"/>
  </r>
  <r>
    <x v="130"/>
  </r>
  <r>
    <x v="52"/>
  </r>
  <r>
    <x v="4"/>
  </r>
  <r>
    <x v="4"/>
  </r>
  <r>
    <x v="4"/>
  </r>
  <r>
    <x v="15"/>
  </r>
  <r>
    <x v="115"/>
  </r>
  <r>
    <x v="115"/>
  </r>
  <r>
    <x v="10"/>
  </r>
  <r>
    <x v="10"/>
  </r>
  <r>
    <x v="73"/>
  </r>
  <r>
    <x v="52"/>
  </r>
  <r>
    <x v="29"/>
  </r>
  <r>
    <x v="45"/>
  </r>
  <r>
    <x v="10"/>
  </r>
  <r>
    <x v="115"/>
  </r>
  <r>
    <x v="115"/>
  </r>
  <r>
    <x v="10"/>
  </r>
  <r>
    <x v="48"/>
  </r>
  <r>
    <x v="59"/>
  </r>
  <r>
    <x v="7"/>
  </r>
  <r>
    <x v="22"/>
  </r>
  <r>
    <x v="22"/>
  </r>
  <r>
    <x v="165"/>
  </r>
  <r>
    <x v="22"/>
  </r>
  <r>
    <x v="132"/>
  </r>
  <r>
    <x v="126"/>
  </r>
  <r>
    <x v="12"/>
  </r>
  <r>
    <x v="12"/>
  </r>
  <r>
    <x v="126"/>
  </r>
  <r>
    <x v="10"/>
  </r>
  <r>
    <x v="126"/>
  </r>
  <r>
    <x v="126"/>
  </r>
  <r>
    <x v="50"/>
  </r>
  <r>
    <x v="25"/>
  </r>
  <r>
    <x v="14"/>
  </r>
  <r>
    <x v="42"/>
  </r>
  <r>
    <x v="42"/>
  </r>
  <r>
    <x v="4"/>
  </r>
  <r>
    <x v="4"/>
  </r>
  <r>
    <x v="14"/>
  </r>
  <r>
    <x v="10"/>
  </r>
  <r>
    <x v="10"/>
  </r>
  <r>
    <x v="10"/>
  </r>
  <r>
    <x v="128"/>
  </r>
  <r>
    <x v="10"/>
  </r>
  <r>
    <x v="10"/>
  </r>
  <r>
    <x v="10"/>
  </r>
  <r>
    <x v="10"/>
  </r>
  <r>
    <x v="10"/>
  </r>
  <r>
    <x v="87"/>
  </r>
  <r>
    <x v="4"/>
  </r>
  <r>
    <x v="12"/>
  </r>
  <r>
    <x v="4"/>
  </r>
  <r>
    <x v="56"/>
  </r>
  <r>
    <x v="10"/>
  </r>
  <r>
    <x v="10"/>
  </r>
  <r>
    <x v="126"/>
  </r>
  <r>
    <x v="10"/>
  </r>
  <r>
    <x v="10"/>
  </r>
  <r>
    <x v="126"/>
  </r>
  <r>
    <x v="10"/>
  </r>
  <r>
    <x v="126"/>
  </r>
  <r>
    <x v="10"/>
  </r>
  <r>
    <x v="4"/>
  </r>
  <r>
    <x v="48"/>
  </r>
  <r>
    <x v="10"/>
  </r>
  <r>
    <x v="10"/>
  </r>
  <r>
    <x v="10"/>
  </r>
  <r>
    <x v="42"/>
  </r>
  <r>
    <x v="10"/>
  </r>
  <r>
    <x v="42"/>
  </r>
  <r>
    <x v="126"/>
  </r>
  <r>
    <x v="126"/>
  </r>
  <r>
    <x v="10"/>
  </r>
  <r>
    <x v="126"/>
  </r>
  <r>
    <x v="126"/>
  </r>
  <r>
    <x v="126"/>
  </r>
  <r>
    <x v="12"/>
  </r>
  <r>
    <x v="56"/>
  </r>
  <r>
    <x v="123"/>
  </r>
  <r>
    <x v="123"/>
  </r>
  <r>
    <x v="128"/>
  </r>
  <r>
    <x v="123"/>
  </r>
  <r>
    <x v="123"/>
  </r>
  <r>
    <x v="123"/>
  </r>
  <r>
    <x v="123"/>
  </r>
  <r>
    <x v="0"/>
  </r>
  <r>
    <x v="0"/>
  </r>
  <r>
    <x v="16"/>
  </r>
  <r>
    <x v="10"/>
  </r>
  <r>
    <x v="0"/>
  </r>
  <r>
    <x v="42"/>
  </r>
  <r>
    <x v="4"/>
  </r>
  <r>
    <x v="10"/>
  </r>
  <r>
    <x v="10"/>
  </r>
  <r>
    <x v="9"/>
  </r>
  <r>
    <x v="1"/>
  </r>
  <r>
    <x v="10"/>
  </r>
  <r>
    <x v="10"/>
  </r>
  <r>
    <x v="10"/>
  </r>
  <r>
    <x v="10"/>
  </r>
  <r>
    <x v="16"/>
  </r>
  <r>
    <x v="16"/>
  </r>
  <r>
    <x v="16"/>
  </r>
  <r>
    <x v="9"/>
  </r>
  <r>
    <x v="9"/>
  </r>
  <r>
    <x v="93"/>
  </r>
  <r>
    <x v="93"/>
  </r>
  <r>
    <x v="25"/>
  </r>
  <r>
    <x v="93"/>
  </r>
  <r>
    <x v="10"/>
  </r>
  <r>
    <x v="10"/>
  </r>
  <r>
    <x v="1"/>
  </r>
  <r>
    <x v="10"/>
  </r>
  <r>
    <x v="10"/>
  </r>
  <r>
    <x v="87"/>
  </r>
  <r>
    <x v="10"/>
  </r>
  <r>
    <x v="10"/>
  </r>
  <r>
    <x v="42"/>
  </r>
  <r>
    <x v="10"/>
  </r>
  <r>
    <x v="10"/>
  </r>
  <r>
    <x v="10"/>
  </r>
  <r>
    <x v="10"/>
  </r>
  <r>
    <x v="10"/>
  </r>
  <r>
    <x v="87"/>
  </r>
  <r>
    <x v="87"/>
  </r>
  <r>
    <x v="87"/>
  </r>
  <r>
    <x v="86"/>
  </r>
  <r>
    <x v="86"/>
  </r>
  <r>
    <x v="86"/>
  </r>
  <r>
    <x v="10"/>
  </r>
  <r>
    <x v="10"/>
  </r>
  <r>
    <x v="207"/>
  </r>
  <r>
    <x v="4"/>
  </r>
  <r>
    <x v="0"/>
  </r>
  <r>
    <x v="0"/>
  </r>
  <r>
    <x v="0"/>
  </r>
  <r>
    <x v="0"/>
  </r>
  <r>
    <x v="0"/>
  </r>
  <r>
    <x v="46"/>
  </r>
  <r>
    <x v="130"/>
  </r>
  <r>
    <x v="12"/>
  </r>
  <r>
    <x v="12"/>
  </r>
  <r>
    <x v="19"/>
  </r>
  <r>
    <x v="26"/>
  </r>
  <r>
    <x v="26"/>
  </r>
  <r>
    <x v="32"/>
  </r>
  <r>
    <x v="32"/>
  </r>
  <r>
    <x v="56"/>
  </r>
  <r>
    <x v="12"/>
  </r>
  <r>
    <x v="12"/>
  </r>
  <r>
    <x v="56"/>
  </r>
  <r>
    <x v="12"/>
  </r>
  <r>
    <x v="87"/>
  </r>
  <r>
    <x v="31"/>
  </r>
  <r>
    <x v="12"/>
  </r>
  <r>
    <x v="61"/>
  </r>
  <r>
    <x v="12"/>
  </r>
  <r>
    <x v="12"/>
  </r>
  <r>
    <x v="42"/>
  </r>
  <r>
    <x v="7"/>
  </r>
  <r>
    <x v="42"/>
  </r>
  <r>
    <x v="37"/>
  </r>
  <r>
    <x v="42"/>
  </r>
  <r>
    <x v="42"/>
  </r>
  <r>
    <x v="42"/>
  </r>
  <r>
    <x v="32"/>
  </r>
  <r>
    <x v="12"/>
  </r>
  <r>
    <x v="42"/>
  </r>
  <r>
    <x v="12"/>
  </r>
  <r>
    <x v="42"/>
  </r>
  <r>
    <x v="12"/>
  </r>
  <r>
    <x v="12"/>
  </r>
  <r>
    <x v="12"/>
  </r>
  <r>
    <x v="12"/>
  </r>
  <r>
    <x v="12"/>
  </r>
  <r>
    <x v="12"/>
  </r>
  <r>
    <x v="12"/>
  </r>
  <r>
    <x v="152"/>
  </r>
  <r>
    <x v="42"/>
  </r>
  <r>
    <x v="42"/>
  </r>
  <r>
    <x v="10"/>
  </r>
  <r>
    <x v="10"/>
  </r>
  <r>
    <x v="10"/>
  </r>
  <r>
    <x v="10"/>
  </r>
  <r>
    <x v="10"/>
  </r>
  <r>
    <x v="42"/>
  </r>
  <r>
    <x v="169"/>
  </r>
  <r>
    <x v="4"/>
  </r>
  <r>
    <x v="10"/>
  </r>
  <r>
    <x v="10"/>
  </r>
  <r>
    <x v="1"/>
  </r>
  <r>
    <x v="10"/>
  </r>
  <r>
    <x v="12"/>
  </r>
  <r>
    <x v="12"/>
  </r>
  <r>
    <x v="12"/>
  </r>
  <r>
    <x v="12"/>
  </r>
  <r>
    <x v="12"/>
  </r>
  <r>
    <x v="154"/>
  </r>
  <r>
    <x v="0"/>
  </r>
  <r>
    <x v="12"/>
  </r>
  <r>
    <x v="12"/>
  </r>
  <r>
    <x v="16"/>
  </r>
  <r>
    <x v="36"/>
  </r>
  <r>
    <x v="36"/>
  </r>
  <r>
    <x v="12"/>
  </r>
  <r>
    <x v="36"/>
  </r>
  <r>
    <x v="128"/>
  </r>
  <r>
    <x v="19"/>
  </r>
  <r>
    <x v="10"/>
  </r>
  <r>
    <x v="10"/>
  </r>
  <r>
    <x v="10"/>
  </r>
  <r>
    <x v="10"/>
  </r>
  <r>
    <x v="10"/>
  </r>
  <r>
    <x v="10"/>
  </r>
  <r>
    <x v="126"/>
  </r>
  <r>
    <x v="12"/>
  </r>
  <r>
    <x v="12"/>
  </r>
  <r>
    <x v="12"/>
  </r>
  <r>
    <x v="12"/>
  </r>
  <r>
    <x v="165"/>
  </r>
  <r>
    <x v="36"/>
  </r>
  <r>
    <x v="36"/>
  </r>
  <r>
    <x v="28"/>
  </r>
  <r>
    <x v="28"/>
  </r>
  <r>
    <x v="28"/>
  </r>
  <r>
    <x v="12"/>
  </r>
  <r>
    <x v="12"/>
  </r>
  <r>
    <x v="28"/>
  </r>
  <r>
    <x v="48"/>
  </r>
  <r>
    <x v="0"/>
  </r>
  <r>
    <x v="0"/>
  </r>
  <r>
    <x v="0"/>
  </r>
  <r>
    <x v="72"/>
  </r>
  <r>
    <x v="63"/>
  </r>
  <r>
    <x v="0"/>
  </r>
  <r>
    <x v="63"/>
  </r>
  <r>
    <x v="63"/>
  </r>
  <r>
    <x v="63"/>
  </r>
  <r>
    <x v="63"/>
  </r>
  <r>
    <x v="115"/>
  </r>
  <r>
    <x v="115"/>
  </r>
  <r>
    <x v="12"/>
  </r>
  <r>
    <x v="28"/>
  </r>
  <r>
    <x v="28"/>
  </r>
  <r>
    <x v="53"/>
  </r>
  <r>
    <x v="28"/>
  </r>
  <r>
    <x v="17"/>
  </r>
  <r>
    <x v="29"/>
  </r>
  <r>
    <x v="29"/>
  </r>
  <r>
    <x v="53"/>
  </r>
  <r>
    <x v="53"/>
  </r>
  <r>
    <x v="53"/>
  </r>
  <r>
    <x v="17"/>
  </r>
  <r>
    <x v="79"/>
  </r>
  <r>
    <x v="79"/>
  </r>
  <r>
    <x v="79"/>
  </r>
  <r>
    <x v="0"/>
  </r>
  <r>
    <x v="42"/>
  </r>
  <r>
    <x v="10"/>
  </r>
  <r>
    <x v="24"/>
  </r>
  <r>
    <x v="24"/>
  </r>
  <r>
    <x v="24"/>
  </r>
  <r>
    <x v="24"/>
  </r>
  <r>
    <x v="24"/>
  </r>
  <r>
    <x v="24"/>
  </r>
  <r>
    <x v="24"/>
  </r>
  <r>
    <x v="53"/>
  </r>
  <r>
    <x v="12"/>
  </r>
  <r>
    <x v="24"/>
  </r>
  <r>
    <x v="24"/>
  </r>
  <r>
    <x v="24"/>
  </r>
  <r>
    <x v="24"/>
  </r>
  <r>
    <x v="24"/>
  </r>
  <r>
    <x v="136"/>
  </r>
  <r>
    <x v="123"/>
  </r>
  <r>
    <x v="136"/>
  </r>
  <r>
    <x v="123"/>
  </r>
  <r>
    <x v="123"/>
  </r>
  <r>
    <x v="136"/>
  </r>
  <r>
    <x v="36"/>
  </r>
  <r>
    <x v="0"/>
  </r>
  <r>
    <x v="0"/>
  </r>
  <r>
    <x v="0"/>
  </r>
  <r>
    <x v="16"/>
  </r>
  <r>
    <x v="16"/>
  </r>
  <r>
    <x v="12"/>
  </r>
  <r>
    <x v="12"/>
  </r>
  <r>
    <x v="259"/>
  </r>
  <r>
    <x v="4"/>
  </r>
  <r>
    <x v="10"/>
  </r>
  <r>
    <x v="7"/>
  </r>
  <r>
    <x v="80"/>
  </r>
  <r>
    <x v="138"/>
  </r>
  <r>
    <x v="115"/>
  </r>
  <r>
    <x v="115"/>
  </r>
  <r>
    <x v="4"/>
  </r>
  <r>
    <x v="12"/>
  </r>
  <r>
    <x v="26"/>
  </r>
  <r>
    <x v="42"/>
  </r>
  <r>
    <x v="42"/>
  </r>
  <r>
    <x v="42"/>
  </r>
  <r>
    <x v="42"/>
  </r>
  <r>
    <x v="12"/>
  </r>
  <r>
    <x v="42"/>
  </r>
  <r>
    <x v="42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25"/>
  </r>
  <r>
    <x v="12"/>
  </r>
  <r>
    <x v="10"/>
  </r>
  <r>
    <x v="17"/>
  </r>
  <r>
    <x v="10"/>
  </r>
  <r>
    <x v="28"/>
  </r>
  <r>
    <x v="55"/>
  </r>
  <r>
    <x v="170"/>
  </r>
  <r>
    <x v="170"/>
  </r>
  <r>
    <x v="15"/>
  </r>
  <r>
    <x v="4"/>
  </r>
  <r>
    <x v="4"/>
  </r>
  <r>
    <x v="171"/>
  </r>
  <r>
    <x v="86"/>
  </r>
  <r>
    <x v="86"/>
  </r>
  <r>
    <x v="86"/>
  </r>
  <r>
    <x v="86"/>
  </r>
  <r>
    <x v="86"/>
  </r>
  <r>
    <x v="115"/>
  </r>
  <r>
    <x v="14"/>
  </r>
  <r>
    <x v="81"/>
  </r>
  <r>
    <x v="59"/>
  </r>
  <r>
    <x v="22"/>
  </r>
  <r>
    <x v="175"/>
  </r>
  <r>
    <x v="175"/>
  </r>
  <r>
    <x v="76"/>
  </r>
  <r>
    <x v="48"/>
  </r>
  <r>
    <x v="7"/>
  </r>
  <r>
    <x v="4"/>
  </r>
  <r>
    <x v="12"/>
  </r>
  <r>
    <x v="12"/>
  </r>
  <r>
    <x v="12"/>
  </r>
  <r>
    <x v="12"/>
  </r>
  <r>
    <x v="36"/>
  </r>
  <r>
    <x v="12"/>
  </r>
  <r>
    <x v="14"/>
  </r>
  <r>
    <x v="227"/>
  </r>
  <r>
    <x v="227"/>
  </r>
  <r>
    <x v="4"/>
  </r>
  <r>
    <x v="12"/>
  </r>
  <r>
    <x v="12"/>
  </r>
  <r>
    <x v="0"/>
  </r>
  <r>
    <x v="2"/>
  </r>
  <r>
    <x v="100"/>
  </r>
  <r>
    <x v="100"/>
  </r>
  <r>
    <x v="33"/>
  </r>
  <r>
    <x v="29"/>
  </r>
  <r>
    <x v="10"/>
  </r>
  <r>
    <x v="24"/>
  </r>
  <r>
    <x v="4"/>
  </r>
  <r>
    <x v="4"/>
  </r>
  <r>
    <x v="108"/>
  </r>
  <r>
    <x v="0"/>
  </r>
  <r>
    <x v="4"/>
  </r>
  <r>
    <x v="10"/>
  </r>
  <r>
    <x v="46"/>
  </r>
  <r>
    <x v="87"/>
  </r>
  <r>
    <x v="12"/>
  </r>
  <r>
    <x v="42"/>
  </r>
  <r>
    <x v="123"/>
  </r>
  <r>
    <x v="152"/>
  </r>
  <r>
    <x v="10"/>
  </r>
  <r>
    <x v="32"/>
  </r>
  <r>
    <x v="10"/>
  </r>
  <r>
    <x v="123"/>
  </r>
  <r>
    <x v="123"/>
  </r>
  <r>
    <x v="123"/>
  </r>
  <r>
    <x v="71"/>
  </r>
  <r>
    <x v="19"/>
  </r>
  <r>
    <x v="19"/>
  </r>
  <r>
    <x v="4"/>
  </r>
  <r>
    <x v="4"/>
  </r>
  <r>
    <x v="4"/>
  </r>
  <r>
    <x v="4"/>
  </r>
  <r>
    <x v="4"/>
  </r>
  <r>
    <x v="0"/>
  </r>
  <r>
    <x v="165"/>
  </r>
  <r>
    <x v="4"/>
  </r>
  <r>
    <x v="4"/>
  </r>
  <r>
    <x v="78"/>
  </r>
  <r>
    <x v="78"/>
  </r>
  <r>
    <x v="22"/>
  </r>
  <r>
    <x v="78"/>
  </r>
  <r>
    <x v="78"/>
  </r>
  <r>
    <x v="16"/>
  </r>
  <r>
    <x v="123"/>
  </r>
  <r>
    <x v="123"/>
  </r>
  <r>
    <x v="123"/>
  </r>
  <r>
    <x v="123"/>
  </r>
  <r>
    <x v="123"/>
  </r>
  <r>
    <x v="0"/>
  </r>
  <r>
    <x v="10"/>
  </r>
  <r>
    <x v="0"/>
  </r>
  <r>
    <x v="42"/>
  </r>
  <r>
    <x v="126"/>
  </r>
  <r>
    <x v="126"/>
  </r>
  <r>
    <x v="126"/>
  </r>
  <r>
    <x v="126"/>
  </r>
  <r>
    <x v="6"/>
  </r>
  <r>
    <x v="0"/>
  </r>
  <r>
    <x v="0"/>
  </r>
  <r>
    <x v="138"/>
  </r>
  <r>
    <x v="138"/>
  </r>
  <r>
    <x v="32"/>
  </r>
  <r>
    <x v="4"/>
  </r>
  <r>
    <x v="16"/>
  </r>
  <r>
    <x v="24"/>
  </r>
  <r>
    <x v="12"/>
  </r>
  <r>
    <x v="0"/>
  </r>
  <r>
    <x v="42"/>
  </r>
  <r>
    <x v="42"/>
  </r>
  <r>
    <x v="87"/>
  </r>
  <r>
    <x v="152"/>
  </r>
  <r>
    <x v="42"/>
  </r>
  <r>
    <x v="42"/>
  </r>
  <r>
    <x v="42"/>
  </r>
  <r>
    <x v="42"/>
  </r>
  <r>
    <x v="12"/>
  </r>
  <r>
    <x v="12"/>
  </r>
  <r>
    <x v="12"/>
  </r>
  <r>
    <x v="10"/>
  </r>
  <r>
    <x v="42"/>
  </r>
  <r>
    <x v="42"/>
  </r>
  <r>
    <x v="42"/>
  </r>
  <r>
    <x v="14"/>
  </r>
  <r>
    <x v="138"/>
  </r>
  <r>
    <x v="4"/>
  </r>
  <r>
    <x v="10"/>
  </r>
  <r>
    <x v="16"/>
  </r>
  <r>
    <x v="12"/>
  </r>
  <r>
    <x v="12"/>
  </r>
  <r>
    <x v="42"/>
  </r>
  <r>
    <x v="12"/>
  </r>
  <r>
    <x v="45"/>
  </r>
  <r>
    <x v="36"/>
  </r>
  <r>
    <x v="4"/>
  </r>
  <r>
    <x v="104"/>
  </r>
  <r>
    <x v="10"/>
  </r>
  <r>
    <x v="4"/>
  </r>
  <r>
    <x v="10"/>
  </r>
  <r>
    <x v="126"/>
  </r>
  <r>
    <x v="4"/>
  </r>
  <r>
    <x v="10"/>
  </r>
  <r>
    <x v="126"/>
  </r>
  <r>
    <x v="126"/>
  </r>
  <r>
    <x v="4"/>
  </r>
  <r>
    <x v="126"/>
  </r>
  <r>
    <x v="123"/>
  </r>
  <r>
    <x v="123"/>
  </r>
  <r>
    <x v="123"/>
  </r>
  <r>
    <x v="2"/>
  </r>
  <r>
    <x v="31"/>
  </r>
  <r>
    <x v="21"/>
  </r>
  <r>
    <x v="4"/>
  </r>
  <r>
    <x v="4"/>
  </r>
  <r>
    <x v="14"/>
  </r>
  <r>
    <x v="2"/>
  </r>
  <r>
    <x v="14"/>
  </r>
  <r>
    <x v="14"/>
  </r>
  <r>
    <x v="130"/>
  </r>
  <r>
    <x v="4"/>
  </r>
  <r>
    <x v="0"/>
  </r>
  <r>
    <x v="0"/>
  </r>
  <r>
    <x v="0"/>
  </r>
  <r>
    <x v="12"/>
  </r>
  <r>
    <x v="10"/>
  </r>
  <r>
    <x v="72"/>
  </r>
  <r>
    <x v="90"/>
  </r>
  <r>
    <x v="3"/>
  </r>
  <r>
    <x v="138"/>
  </r>
  <r>
    <x v="4"/>
  </r>
  <r>
    <x v="48"/>
  </r>
  <r>
    <x v="10"/>
  </r>
  <r>
    <x v="77"/>
  </r>
  <r>
    <x v="28"/>
  </r>
  <r>
    <x v="28"/>
  </r>
  <r>
    <x v="28"/>
  </r>
  <r>
    <x v="4"/>
  </r>
  <r>
    <x v="4"/>
  </r>
  <r>
    <x v="4"/>
  </r>
  <r>
    <x v="4"/>
  </r>
  <r>
    <x v="4"/>
  </r>
  <r>
    <x v="25"/>
  </r>
  <r>
    <x v="36"/>
  </r>
  <r>
    <x v="36"/>
  </r>
  <r>
    <x v="4"/>
  </r>
  <r>
    <x v="56"/>
  </r>
  <r>
    <x v="4"/>
  </r>
  <r>
    <x v="10"/>
  </r>
  <r>
    <x v="10"/>
  </r>
  <r>
    <x v="10"/>
  </r>
  <r>
    <x v="10"/>
  </r>
  <r>
    <x v="10"/>
  </r>
  <r>
    <x v="14"/>
  </r>
  <r>
    <x v="29"/>
  </r>
  <r>
    <x v="10"/>
  </r>
  <r>
    <x v="12"/>
  </r>
  <r>
    <x v="12"/>
  </r>
  <r>
    <x v="12"/>
  </r>
  <r>
    <x v="10"/>
  </r>
  <r>
    <x v="78"/>
  </r>
  <r>
    <x v="78"/>
  </r>
  <r>
    <x v="78"/>
  </r>
  <r>
    <x v="78"/>
  </r>
  <r>
    <x v="78"/>
  </r>
  <r>
    <x v="17"/>
  </r>
  <r>
    <x v="42"/>
  </r>
  <r>
    <x v="78"/>
  </r>
  <r>
    <x v="12"/>
  </r>
  <r>
    <x v="78"/>
  </r>
  <r>
    <x v="0"/>
  </r>
  <r>
    <x v="78"/>
  </r>
  <r>
    <x v="78"/>
  </r>
  <r>
    <x v="78"/>
  </r>
  <r>
    <x v="29"/>
  </r>
  <r>
    <x v="45"/>
  </r>
  <r>
    <x v="78"/>
  </r>
  <r>
    <x v="10"/>
  </r>
  <r>
    <x v="45"/>
  </r>
  <r>
    <x v="190"/>
  </r>
  <r>
    <x v="78"/>
  </r>
  <r>
    <x v="78"/>
  </r>
  <r>
    <x v="36"/>
  </r>
  <r>
    <x v="12"/>
  </r>
  <r>
    <x v="78"/>
  </r>
  <r>
    <x v="42"/>
  </r>
  <r>
    <x v="78"/>
  </r>
  <r>
    <x v="78"/>
  </r>
  <r>
    <x v="78"/>
  </r>
  <r>
    <x v="126"/>
  </r>
  <r>
    <x v="78"/>
  </r>
  <r>
    <x v="130"/>
  </r>
  <r>
    <x v="10"/>
  </r>
  <r>
    <x v="76"/>
  </r>
  <r>
    <x v="72"/>
  </r>
  <r>
    <x v="123"/>
  </r>
  <r>
    <x v="72"/>
  </r>
  <r>
    <x v="72"/>
  </r>
  <r>
    <x v="269"/>
  </r>
  <r>
    <x v="10"/>
  </r>
  <r>
    <x v="9"/>
  </r>
  <r>
    <x v="10"/>
  </r>
  <r>
    <x v="10"/>
  </r>
  <r>
    <x v="36"/>
  </r>
  <r>
    <x v="4"/>
  </r>
  <r>
    <x v="4"/>
  </r>
  <r>
    <x v="4"/>
  </r>
  <r>
    <x v="4"/>
  </r>
  <r>
    <x v="4"/>
  </r>
  <r>
    <x v="4"/>
  </r>
  <r>
    <x v="4"/>
  </r>
  <r>
    <x v="25"/>
  </r>
  <r>
    <x v="87"/>
  </r>
  <r>
    <x v="87"/>
  </r>
  <r>
    <x v="12"/>
  </r>
  <r>
    <x v="87"/>
  </r>
  <r>
    <x v="87"/>
  </r>
  <r>
    <x v="4"/>
  </r>
  <r>
    <x v="4"/>
  </r>
  <r>
    <x v="14"/>
  </r>
  <r>
    <x v="4"/>
  </r>
  <r>
    <x v="12"/>
  </r>
  <r>
    <x v="12"/>
  </r>
  <r>
    <x v="12"/>
  </r>
  <r>
    <x v="12"/>
  </r>
  <r>
    <x v="4"/>
  </r>
  <r>
    <x v="24"/>
  </r>
  <r>
    <x v="108"/>
  </r>
  <r>
    <x v="108"/>
  </r>
  <r>
    <x v="108"/>
  </r>
  <r>
    <x v="12"/>
  </r>
  <r>
    <x v="4"/>
  </r>
  <r>
    <x v="4"/>
  </r>
  <r>
    <x v="4"/>
  </r>
  <r>
    <x v="4"/>
  </r>
  <r>
    <x v="4"/>
  </r>
  <r>
    <x v="9"/>
  </r>
  <r>
    <x v="4"/>
  </r>
  <r>
    <x v="25"/>
  </r>
  <r>
    <x v="4"/>
  </r>
  <r>
    <x v="4"/>
  </r>
  <r>
    <x v="4"/>
  </r>
  <r>
    <x v="4"/>
  </r>
  <r>
    <x v="77"/>
  </r>
  <r>
    <x v="186"/>
  </r>
  <r>
    <x v="165"/>
  </r>
  <r>
    <x v="78"/>
  </r>
  <r>
    <x v="76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4"/>
  </r>
  <r>
    <x v="0"/>
  </r>
  <r>
    <x v="0"/>
  </r>
  <r>
    <x v="0"/>
  </r>
  <r>
    <x v="0"/>
  </r>
  <r>
    <x v="0"/>
  </r>
  <r>
    <x v="0"/>
  </r>
  <r>
    <x v="0"/>
  </r>
  <r>
    <x v="0"/>
  </r>
  <r>
    <x v="86"/>
  </r>
  <r>
    <x v="155"/>
  </r>
  <r>
    <x v="14"/>
  </r>
  <r>
    <x v="14"/>
  </r>
  <r>
    <x v="15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7"/>
  </r>
  <r>
    <x v="22"/>
  </r>
  <r>
    <x v="55"/>
  </r>
  <r>
    <x v="39"/>
  </r>
  <r>
    <x v="12"/>
  </r>
  <r>
    <x v="63"/>
  </r>
  <r>
    <x v="63"/>
  </r>
  <r>
    <x v="63"/>
  </r>
  <r>
    <x v="12"/>
  </r>
  <r>
    <x v="12"/>
  </r>
  <r>
    <x v="36"/>
  </r>
  <r>
    <x v="12"/>
  </r>
  <r>
    <x v="12"/>
  </r>
  <r>
    <x v="12"/>
  </r>
  <r>
    <x v="12"/>
  </r>
  <r>
    <x v="22"/>
  </r>
  <r>
    <x v="12"/>
  </r>
  <r>
    <x v="36"/>
  </r>
  <r>
    <x v="56"/>
  </r>
  <r>
    <x v="12"/>
  </r>
  <r>
    <x v="12"/>
  </r>
  <r>
    <x v="12"/>
  </r>
  <r>
    <x v="12"/>
  </r>
  <r>
    <x v="12"/>
  </r>
  <r>
    <x v="42"/>
  </r>
  <r>
    <x v="69"/>
  </r>
  <r>
    <x v="63"/>
  </r>
  <r>
    <x v="12"/>
  </r>
  <r>
    <x v="12"/>
  </r>
  <r>
    <x v="12"/>
  </r>
  <r>
    <x v="7"/>
  </r>
  <r>
    <x v="12"/>
  </r>
  <r>
    <x v="63"/>
  </r>
  <r>
    <x v="63"/>
  </r>
  <r>
    <x v="63"/>
  </r>
  <r>
    <x v="12"/>
  </r>
  <r>
    <x v="7"/>
  </r>
  <r>
    <x v="12"/>
  </r>
  <r>
    <x v="12"/>
  </r>
  <r>
    <x v="7"/>
  </r>
  <r>
    <x v="12"/>
  </r>
  <r>
    <x v="12"/>
  </r>
  <r>
    <x v="12"/>
  </r>
  <r>
    <x v="12"/>
  </r>
  <r>
    <x v="12"/>
  </r>
  <r>
    <x v="12"/>
  </r>
  <r>
    <x v="12"/>
  </r>
  <r>
    <x v="9"/>
  </r>
  <r>
    <x v="19"/>
  </r>
  <r>
    <x v="12"/>
  </r>
  <r>
    <x v="70"/>
  </r>
  <r>
    <x v="70"/>
  </r>
  <r>
    <x v="12"/>
  </r>
  <r>
    <x v="12"/>
  </r>
  <r>
    <x v="12"/>
  </r>
  <r>
    <x v="12"/>
  </r>
  <r>
    <x v="12"/>
  </r>
  <r>
    <x v="12"/>
  </r>
  <r>
    <x v="12"/>
  </r>
  <r>
    <x v="62"/>
  </r>
  <r>
    <x v="4"/>
  </r>
  <r>
    <x v="12"/>
  </r>
  <r>
    <x v="12"/>
  </r>
  <r>
    <x v="34"/>
  </r>
  <r>
    <x v="16"/>
  </r>
  <r>
    <x v="114"/>
  </r>
  <r>
    <x v="1"/>
  </r>
  <r>
    <x v="126"/>
  </r>
  <r>
    <x v="126"/>
  </r>
  <r>
    <x v="126"/>
  </r>
  <r>
    <x v="126"/>
  </r>
  <r>
    <x v="24"/>
  </r>
  <r>
    <x v="12"/>
  </r>
  <r>
    <x v="24"/>
  </r>
  <r>
    <x v="24"/>
  </r>
  <r>
    <x v="24"/>
  </r>
  <r>
    <x v="72"/>
  </r>
  <r>
    <x v="72"/>
  </r>
  <r>
    <x v="72"/>
  </r>
  <r>
    <x v="29"/>
  </r>
  <r>
    <x v="51"/>
  </r>
  <r>
    <x v="51"/>
  </r>
  <r>
    <x v="115"/>
  </r>
  <r>
    <x v="51"/>
  </r>
  <r>
    <x v="51"/>
  </r>
  <r>
    <x v="12"/>
  </r>
  <r>
    <x v="75"/>
  </r>
  <r>
    <x v="12"/>
  </r>
  <r>
    <x v="12"/>
  </r>
  <r>
    <x v="19"/>
  </r>
  <r>
    <x v="138"/>
  </r>
  <r>
    <x v="138"/>
  </r>
  <r>
    <x v="113"/>
  </r>
  <r>
    <x v="138"/>
  </r>
  <r>
    <x v="138"/>
  </r>
  <r>
    <x v="4"/>
  </r>
  <r>
    <x v="2"/>
  </r>
  <r>
    <x v="33"/>
  </r>
  <r>
    <x v="34"/>
  </r>
  <r>
    <x v="50"/>
  </r>
  <r>
    <x v="50"/>
  </r>
  <r>
    <x v="7"/>
  </r>
  <r>
    <x v="12"/>
  </r>
  <r>
    <x v="12"/>
  </r>
  <r>
    <x v="12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276"/>
  </r>
  <r>
    <x v="14"/>
  </r>
  <r>
    <x v="276"/>
  </r>
  <r>
    <x v="77"/>
  </r>
  <r>
    <x v="84"/>
  </r>
  <r>
    <x v="80"/>
  </r>
  <r>
    <x v="4"/>
  </r>
  <r>
    <x v="32"/>
  </r>
  <r>
    <x v="77"/>
  </r>
  <r>
    <x v="14"/>
  </r>
  <r>
    <x v="4"/>
  </r>
  <r>
    <x v="14"/>
  </r>
  <r>
    <x v="4"/>
  </r>
  <r>
    <x v="14"/>
  </r>
  <r>
    <x v="4"/>
  </r>
  <r>
    <x v="14"/>
  </r>
  <r>
    <x v="34"/>
  </r>
  <r>
    <x v="42"/>
  </r>
  <r>
    <x v="34"/>
  </r>
  <r>
    <x v="10"/>
  </r>
  <r>
    <x v="10"/>
  </r>
  <r>
    <x v="37"/>
  </r>
  <r>
    <x v="42"/>
  </r>
  <r>
    <x v="42"/>
  </r>
  <r>
    <x v="34"/>
  </r>
  <r>
    <x v="16"/>
  </r>
  <r>
    <x v="10"/>
  </r>
  <r>
    <x v="72"/>
  </r>
  <r>
    <x v="42"/>
  </r>
  <r>
    <x v="42"/>
  </r>
  <r>
    <x v="42"/>
  </r>
  <r>
    <x v="10"/>
  </r>
  <r>
    <x v="10"/>
  </r>
  <r>
    <x v="10"/>
  </r>
  <r>
    <x v="12"/>
  </r>
  <r>
    <x v="36"/>
  </r>
  <r>
    <x v="10"/>
  </r>
  <r>
    <x v="12"/>
  </r>
  <r>
    <x v="37"/>
  </r>
  <r>
    <x v="107"/>
  </r>
  <r>
    <x v="107"/>
  </r>
  <r>
    <x v="10"/>
  </r>
  <r>
    <x v="10"/>
  </r>
  <r>
    <x v="10"/>
  </r>
  <r>
    <x v="10"/>
  </r>
  <r>
    <x v="79"/>
  </r>
  <r>
    <x v="87"/>
  </r>
  <r>
    <x v="87"/>
  </r>
  <r>
    <x v="87"/>
  </r>
  <r>
    <x v="3"/>
  </r>
  <r>
    <x v="3"/>
  </r>
  <r>
    <x v="78"/>
  </r>
  <r>
    <x v="42"/>
  </r>
  <r>
    <x v="34"/>
  </r>
  <r>
    <x v="37"/>
  </r>
  <r>
    <x v="12"/>
  </r>
  <r>
    <x v="12"/>
  </r>
  <r>
    <x v="12"/>
  </r>
  <r>
    <x v="0"/>
  </r>
  <r>
    <x v="0"/>
  </r>
  <r>
    <x v="0"/>
  </r>
  <r>
    <x v="0"/>
  </r>
  <r>
    <x v="0"/>
  </r>
  <r>
    <x v="0"/>
  </r>
  <r>
    <x v="0"/>
  </r>
  <r>
    <x v="12"/>
  </r>
  <r>
    <x v="12"/>
  </r>
  <r>
    <x v="138"/>
  </r>
  <r>
    <x v="7"/>
  </r>
  <r>
    <x v="12"/>
  </r>
  <r>
    <x v="129"/>
  </r>
  <r>
    <x v="12"/>
  </r>
  <r>
    <x v="129"/>
  </r>
  <r>
    <x v="129"/>
  </r>
  <r>
    <x v="4"/>
  </r>
  <r>
    <x v="34"/>
  </r>
  <r>
    <x v="7"/>
  </r>
  <r>
    <x v="4"/>
  </r>
  <r>
    <x v="76"/>
  </r>
  <r>
    <x v="12"/>
  </r>
  <r>
    <x v="12"/>
  </r>
  <r>
    <x v="12"/>
  </r>
  <r>
    <x v="12"/>
  </r>
  <r>
    <x v="12"/>
  </r>
  <r>
    <x v="70"/>
  </r>
  <r>
    <x v="42"/>
  </r>
  <r>
    <x v="42"/>
  </r>
  <r>
    <x v="70"/>
  </r>
  <r>
    <x v="14"/>
  </r>
  <r>
    <x v="34"/>
  </r>
  <r>
    <x v="34"/>
  </r>
  <r>
    <x v="12"/>
  </r>
  <r>
    <x v="9"/>
  </r>
  <r>
    <x v="115"/>
  </r>
  <r>
    <x v="24"/>
  </r>
  <r>
    <x v="24"/>
  </r>
  <r>
    <x v="24"/>
  </r>
  <r>
    <x v="24"/>
  </r>
  <r>
    <x v="24"/>
  </r>
  <r>
    <x v="138"/>
  </r>
  <r>
    <x v="9"/>
  </r>
  <r>
    <x v="9"/>
  </r>
  <r>
    <x v="89"/>
  </r>
  <r>
    <x v="89"/>
  </r>
  <r>
    <x v="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63"/>
  </r>
  <r>
    <x v="55"/>
  </r>
  <r>
    <x v="87"/>
  </r>
  <r>
    <x v="87"/>
  </r>
  <r>
    <x v="87"/>
  </r>
  <r>
    <x v="87"/>
  </r>
  <r>
    <x v="87"/>
  </r>
  <r>
    <x v="0"/>
  </r>
  <r>
    <x v="56"/>
  </r>
  <r>
    <x v="56"/>
  </r>
  <r>
    <x v="87"/>
  </r>
  <r>
    <x v="87"/>
  </r>
  <r>
    <x v="87"/>
  </r>
  <r>
    <x v="87"/>
  </r>
  <r>
    <x v="0"/>
  </r>
  <r>
    <x v="87"/>
  </r>
  <r>
    <x v="87"/>
  </r>
  <r>
    <x v="16"/>
  </r>
  <r>
    <x v="25"/>
  </r>
  <r>
    <x v="10"/>
  </r>
  <r>
    <x v="10"/>
  </r>
  <r>
    <x v="87"/>
  </r>
  <r>
    <x v="87"/>
  </r>
  <r>
    <x v="87"/>
  </r>
  <r>
    <x v="87"/>
  </r>
  <r>
    <x v="87"/>
  </r>
  <r>
    <x v="87"/>
  </r>
  <r>
    <x v="87"/>
  </r>
  <r>
    <x v="18"/>
  </r>
  <r>
    <x v="18"/>
  </r>
  <r>
    <x v="18"/>
  </r>
  <r>
    <x v="14"/>
  </r>
  <r>
    <x v="11"/>
  </r>
  <r>
    <x v="11"/>
  </r>
  <r>
    <x v="11"/>
  </r>
  <r>
    <x v="171"/>
  </r>
  <r>
    <x v="162"/>
  </r>
  <r>
    <x v="0"/>
  </r>
  <r>
    <x v="162"/>
  </r>
  <r>
    <x v="32"/>
  </r>
  <r>
    <x v="22"/>
  </r>
  <r>
    <x v="31"/>
  </r>
  <r>
    <x v="3"/>
  </r>
  <r>
    <x v="31"/>
  </r>
  <r>
    <x v="60"/>
  </r>
  <r>
    <x v="61"/>
  </r>
  <r>
    <x v="60"/>
  </r>
  <r>
    <x v="138"/>
  </r>
  <r>
    <x v="39"/>
  </r>
  <r>
    <x v="39"/>
  </r>
  <r>
    <x v="39"/>
  </r>
  <r>
    <x v="28"/>
  </r>
  <r>
    <x v="14"/>
  </r>
  <r>
    <x v="14"/>
  </r>
  <r>
    <x v="34"/>
  </r>
  <r>
    <x v="41"/>
  </r>
  <r>
    <x v="17"/>
  </r>
  <r>
    <x v="49"/>
  </r>
  <r>
    <x v="14"/>
  </r>
  <r>
    <x v="4"/>
  </r>
  <r>
    <x v="0"/>
  </r>
  <r>
    <x v="17"/>
  </r>
  <r>
    <x v="17"/>
  </r>
  <r>
    <x v="10"/>
  </r>
  <r>
    <x v="41"/>
  </r>
  <r>
    <x v="10"/>
  </r>
  <r>
    <x v="77"/>
  </r>
  <r>
    <x v="28"/>
  </r>
  <r>
    <x v="61"/>
  </r>
  <r>
    <x v="9"/>
  </r>
  <r>
    <x v="9"/>
  </r>
  <r>
    <x v="12"/>
  </r>
  <r>
    <x v="12"/>
  </r>
  <r>
    <x v="4"/>
  </r>
  <r>
    <x v="4"/>
  </r>
  <r>
    <x v="4"/>
  </r>
  <r>
    <x v="4"/>
  </r>
  <r>
    <x v="12"/>
  </r>
  <r>
    <x v="12"/>
  </r>
  <r>
    <x v="70"/>
  </r>
  <r>
    <x v="39"/>
  </r>
  <r>
    <x v="29"/>
  </r>
  <r>
    <x v="87"/>
  </r>
  <r>
    <x v="10"/>
  </r>
  <r>
    <x v="10"/>
  </r>
  <r>
    <x v="10"/>
  </r>
  <r>
    <x v="10"/>
  </r>
  <r>
    <x v="10"/>
  </r>
  <r>
    <x v="10"/>
  </r>
  <r>
    <x v="10"/>
  </r>
  <r>
    <x v="75"/>
  </r>
  <r>
    <x v="10"/>
  </r>
  <r>
    <x v="10"/>
  </r>
  <r>
    <x v="10"/>
  </r>
  <r>
    <x v="36"/>
  </r>
  <r>
    <x v="36"/>
  </r>
  <r>
    <x v="36"/>
  </r>
  <r>
    <x v="36"/>
  </r>
  <r>
    <x v="59"/>
  </r>
  <r>
    <x v="12"/>
  </r>
  <r>
    <x v="53"/>
  </r>
  <r>
    <x v="10"/>
  </r>
  <r>
    <x v="53"/>
  </r>
  <r>
    <x v="42"/>
  </r>
  <r>
    <x v="4"/>
  </r>
  <r>
    <x v="4"/>
  </r>
  <r>
    <x v="4"/>
  </r>
  <r>
    <x v="4"/>
  </r>
  <r>
    <x v="80"/>
  </r>
  <r>
    <x v="75"/>
  </r>
  <r>
    <x v="12"/>
  </r>
  <r>
    <x v="12"/>
  </r>
  <r>
    <x v="80"/>
  </r>
  <r>
    <x v="12"/>
  </r>
  <r>
    <x v="4"/>
  </r>
  <r>
    <x v="14"/>
  </r>
  <r>
    <x v="4"/>
  </r>
  <r>
    <x v="53"/>
  </r>
  <r>
    <x v="4"/>
  </r>
  <r>
    <x v="4"/>
  </r>
  <r>
    <x v="0"/>
  </r>
  <r>
    <x v="1"/>
  </r>
  <r>
    <x v="25"/>
  </r>
  <r>
    <x v="75"/>
  </r>
  <r>
    <x v="188"/>
  </r>
  <r>
    <x v="44"/>
  </r>
  <r>
    <x v="87"/>
  </r>
  <r>
    <x v="87"/>
  </r>
  <r>
    <x v="87"/>
  </r>
  <r>
    <x v="87"/>
  </r>
  <r>
    <x v="42"/>
  </r>
  <r>
    <x v="87"/>
  </r>
  <r>
    <x v="42"/>
  </r>
  <r>
    <x v="249"/>
  </r>
  <r>
    <x v="10"/>
  </r>
  <r>
    <x v="10"/>
  </r>
  <r>
    <x v="4"/>
  </r>
  <r>
    <x v="42"/>
  </r>
  <r>
    <x v="42"/>
  </r>
  <r>
    <x v="42"/>
  </r>
  <r>
    <x v="42"/>
  </r>
  <r>
    <x v="123"/>
  </r>
  <r>
    <x v="4"/>
  </r>
  <r>
    <x v="4"/>
  </r>
  <r>
    <x v="10"/>
  </r>
  <r>
    <x v="63"/>
  </r>
  <r>
    <x v="4"/>
  </r>
  <r>
    <x v="4"/>
  </r>
  <r>
    <x v="2"/>
  </r>
  <r>
    <x v="4"/>
  </r>
  <r>
    <x v="0"/>
  </r>
  <r>
    <x v="10"/>
  </r>
  <r>
    <x v="138"/>
  </r>
  <r>
    <x v="36"/>
  </r>
  <r>
    <x v="33"/>
  </r>
  <r>
    <x v="10"/>
  </r>
  <r>
    <x v="10"/>
  </r>
  <r>
    <x v="10"/>
  </r>
  <r>
    <x v="33"/>
  </r>
  <r>
    <x v="29"/>
  </r>
  <r>
    <x v="48"/>
  </r>
  <r>
    <x v="14"/>
  </r>
  <r>
    <x v="14"/>
  </r>
  <r>
    <x v="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0"/>
  </r>
  <r>
    <x v="10"/>
  </r>
  <r>
    <x v="4"/>
  </r>
  <r>
    <x v="87"/>
  </r>
  <r>
    <x v="87"/>
  </r>
  <r>
    <x v="87"/>
  </r>
  <r>
    <x v="14"/>
  </r>
  <r>
    <x v="87"/>
  </r>
  <r>
    <x v="14"/>
  </r>
  <r>
    <x v="129"/>
  </r>
  <r>
    <x v="14"/>
  </r>
  <r>
    <x v="14"/>
  </r>
  <r>
    <x v="14"/>
  </r>
  <r>
    <x v="14"/>
  </r>
  <r>
    <x v="14"/>
  </r>
  <r>
    <x v="12"/>
  </r>
  <r>
    <x v="14"/>
  </r>
  <r>
    <x v="29"/>
  </r>
  <r>
    <x v="14"/>
  </r>
  <r>
    <x v="12"/>
  </r>
  <r>
    <x v="12"/>
  </r>
  <r>
    <x v="14"/>
  </r>
  <r>
    <x v="14"/>
  </r>
  <r>
    <x v="12"/>
  </r>
  <r>
    <x v="14"/>
  </r>
  <r>
    <x v="12"/>
  </r>
  <r>
    <x v="28"/>
  </r>
  <r>
    <x v="4"/>
  </r>
  <r>
    <x v="48"/>
  </r>
  <r>
    <x v="12"/>
  </r>
  <r>
    <x v="12"/>
  </r>
  <r>
    <x v="4"/>
  </r>
  <r>
    <x v="14"/>
  </r>
  <r>
    <x v="78"/>
  </r>
  <r>
    <x v="152"/>
  </r>
  <r>
    <x v="152"/>
  </r>
  <r>
    <x v="152"/>
  </r>
  <r>
    <x v="152"/>
  </r>
  <r>
    <x v="152"/>
  </r>
  <r>
    <x v="152"/>
  </r>
  <r>
    <x v="78"/>
  </r>
  <r>
    <x v="14"/>
  </r>
  <r>
    <x v="63"/>
  </r>
  <r>
    <x v="204"/>
  </r>
  <r>
    <x v="204"/>
  </r>
  <r>
    <x v="204"/>
  </r>
  <r>
    <x v="204"/>
  </r>
  <r>
    <x v="204"/>
  </r>
  <r>
    <x v="204"/>
  </r>
  <r>
    <x v="42"/>
  </r>
  <r>
    <x v="42"/>
  </r>
  <r>
    <x v="42"/>
  </r>
  <r>
    <x v="42"/>
  </r>
  <r>
    <x v="42"/>
  </r>
  <r>
    <x v="12"/>
  </r>
  <r>
    <x v="123"/>
  </r>
  <r>
    <x v="12"/>
  </r>
  <r>
    <x v="12"/>
  </r>
  <r>
    <x v="12"/>
  </r>
  <r>
    <x v="12"/>
  </r>
  <r>
    <x v="12"/>
  </r>
  <r>
    <x v="12"/>
  </r>
  <r>
    <x v="12"/>
  </r>
  <r>
    <x v="276"/>
  </r>
  <r>
    <x v="4"/>
  </r>
  <r>
    <x v="123"/>
  </r>
  <r>
    <x v="123"/>
  </r>
  <r>
    <x v="42"/>
  </r>
  <r>
    <x v="123"/>
  </r>
  <r>
    <x v="42"/>
  </r>
  <r>
    <x v="42"/>
  </r>
  <r>
    <x v="20"/>
  </r>
  <r>
    <x v="42"/>
  </r>
  <r>
    <x v="3"/>
  </r>
  <r>
    <x v="10"/>
  </r>
  <r>
    <x v="42"/>
  </r>
  <r>
    <x v="14"/>
  </r>
  <r>
    <x v="42"/>
  </r>
  <r>
    <x v="42"/>
  </r>
  <r>
    <x v="88"/>
  </r>
  <r>
    <x v="14"/>
  </r>
  <r>
    <x v="17"/>
  </r>
  <r>
    <x v="12"/>
  </r>
  <r>
    <x v="2"/>
  </r>
  <r>
    <x v="2"/>
  </r>
  <r>
    <x v="12"/>
  </r>
  <r>
    <x v="72"/>
  </r>
  <r>
    <x v="2"/>
  </r>
  <r>
    <x v="12"/>
  </r>
  <r>
    <x v="12"/>
  </r>
  <r>
    <x v="40"/>
  </r>
  <r>
    <x v="70"/>
  </r>
  <r>
    <x v="12"/>
  </r>
  <r>
    <x v="12"/>
  </r>
  <r>
    <x v="0"/>
  </r>
  <r>
    <x v="12"/>
  </r>
  <r>
    <x v="12"/>
  </r>
  <r>
    <x v="12"/>
  </r>
  <r>
    <x v="63"/>
  </r>
  <r>
    <x v="63"/>
  </r>
  <r>
    <x v="63"/>
  </r>
  <r>
    <x v="10"/>
  </r>
  <r>
    <x v="63"/>
  </r>
  <r>
    <x v="108"/>
  </r>
  <r>
    <x v="2"/>
  </r>
  <r>
    <x v="63"/>
  </r>
  <r>
    <x v="63"/>
  </r>
  <r>
    <x v="63"/>
  </r>
  <r>
    <x v="63"/>
  </r>
  <r>
    <x v="63"/>
  </r>
  <r>
    <x v="39"/>
  </r>
  <r>
    <x v="39"/>
  </r>
  <r>
    <x v="12"/>
  </r>
  <r>
    <x v="11"/>
  </r>
  <r>
    <x v="12"/>
  </r>
  <r>
    <x v="12"/>
  </r>
  <r>
    <x v="12"/>
  </r>
  <r>
    <x v="12"/>
  </r>
  <r>
    <x v="12"/>
  </r>
  <r>
    <x v="12"/>
  </r>
  <r>
    <x v="12"/>
  </r>
  <r>
    <x v="16"/>
  </r>
  <r>
    <x v="12"/>
  </r>
  <r>
    <x v="63"/>
  </r>
  <r>
    <x v="63"/>
  </r>
  <r>
    <x v="14"/>
  </r>
  <r>
    <x v="63"/>
  </r>
  <r>
    <x v="14"/>
  </r>
  <r>
    <x v="14"/>
  </r>
  <r>
    <x v="14"/>
  </r>
  <r>
    <x v="14"/>
  </r>
  <r>
    <x v="12"/>
  </r>
  <r>
    <x v="12"/>
  </r>
  <r>
    <x v="12"/>
  </r>
  <r>
    <x v="12"/>
  </r>
  <r>
    <x v="12"/>
  </r>
  <r>
    <x v="12"/>
  </r>
  <r>
    <x v="56"/>
  </r>
  <r>
    <x v="56"/>
  </r>
  <r>
    <x v="12"/>
  </r>
  <r>
    <x v="12"/>
  </r>
  <r>
    <x v="12"/>
  </r>
  <r>
    <x v="12"/>
  </r>
  <r>
    <x v="12"/>
  </r>
  <r>
    <x v="12"/>
  </r>
  <r>
    <x v="8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3"/>
  </r>
  <r>
    <x v="133"/>
  </r>
  <r>
    <x v="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8"/>
  </r>
  <r>
    <x v="77"/>
  </r>
  <r>
    <x v="14"/>
  </r>
  <r>
    <x v="77"/>
  </r>
  <r>
    <x v="14"/>
  </r>
  <r>
    <x v="14"/>
  </r>
  <r>
    <x v="57"/>
  </r>
  <r>
    <x v="11"/>
  </r>
  <r>
    <x v="123"/>
  </r>
  <r>
    <x v="57"/>
  </r>
  <r>
    <x v="8"/>
  </r>
  <r>
    <x v="77"/>
  </r>
  <r>
    <x v="10"/>
  </r>
  <r>
    <x v="9"/>
  </r>
  <r>
    <x v="14"/>
  </r>
  <r>
    <x v="14"/>
  </r>
  <r>
    <x v="14"/>
  </r>
  <r>
    <x v="14"/>
  </r>
  <r>
    <x v="122"/>
  </r>
  <r>
    <x v="4"/>
  </r>
  <r>
    <x v="4"/>
  </r>
  <r>
    <x v="4"/>
  </r>
  <r>
    <x v="86"/>
  </r>
  <r>
    <x v="115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2"/>
  </r>
  <r>
    <x v="12"/>
  </r>
  <r>
    <x v="12"/>
  </r>
  <r>
    <x v="42"/>
  </r>
  <r>
    <x v="12"/>
  </r>
  <r>
    <x v="42"/>
  </r>
  <r>
    <x v="42"/>
  </r>
  <r>
    <x v="42"/>
  </r>
  <r>
    <x v="42"/>
  </r>
  <r>
    <x v="42"/>
  </r>
  <r>
    <x v="42"/>
  </r>
  <r>
    <x v="12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28"/>
  </r>
  <r>
    <x v="87"/>
  </r>
  <r>
    <x v="87"/>
  </r>
  <r>
    <x v="42"/>
  </r>
  <r>
    <x v="87"/>
  </r>
  <r>
    <x v="87"/>
  </r>
  <r>
    <x v="108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42"/>
  </r>
  <r>
    <x v="42"/>
  </r>
  <r>
    <x v="42"/>
  </r>
  <r>
    <x v="9"/>
  </r>
  <r>
    <x v="123"/>
  </r>
  <r>
    <x v="123"/>
  </r>
  <r>
    <x v="42"/>
  </r>
  <r>
    <x v="42"/>
  </r>
  <r>
    <x v="45"/>
  </r>
  <r>
    <x v="36"/>
  </r>
  <r>
    <x v="183"/>
  </r>
  <r>
    <x v="10"/>
  </r>
  <r>
    <x v="55"/>
  </r>
  <r>
    <x v="10"/>
  </r>
  <r>
    <x v="10"/>
  </r>
  <r>
    <x v="77"/>
  </r>
  <r>
    <x v="12"/>
  </r>
  <r>
    <x v="12"/>
  </r>
  <r>
    <x v="12"/>
  </r>
  <r>
    <x v="12"/>
  </r>
  <r>
    <x v="55"/>
  </r>
  <r>
    <x v="2"/>
  </r>
  <r>
    <x v="76"/>
  </r>
  <r>
    <x v="41"/>
  </r>
  <r>
    <x v="61"/>
  </r>
  <r>
    <x v="0"/>
  </r>
  <r>
    <x v="12"/>
  </r>
  <r>
    <x v="45"/>
  </r>
  <r>
    <x v="7"/>
  </r>
  <r>
    <x v="10"/>
  </r>
  <r>
    <x v="10"/>
  </r>
  <r>
    <x v="10"/>
  </r>
  <r>
    <x v="10"/>
  </r>
  <r>
    <x v="10"/>
  </r>
  <r>
    <x v="45"/>
  </r>
  <r>
    <x v="69"/>
  </r>
  <r>
    <x v="69"/>
  </r>
  <r>
    <x v="69"/>
  </r>
  <r>
    <x v="69"/>
  </r>
  <r>
    <x v="10"/>
  </r>
  <r>
    <x v="10"/>
  </r>
  <r>
    <x v="21"/>
  </r>
  <r>
    <x v="69"/>
  </r>
  <r>
    <x v="69"/>
  </r>
  <r>
    <x v="4"/>
  </r>
  <r>
    <x v="4"/>
  </r>
  <r>
    <x v="4"/>
  </r>
  <r>
    <x v="10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86"/>
  </r>
  <r>
    <x v="86"/>
  </r>
  <r>
    <x v="6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8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1"/>
  </r>
  <r>
    <x v="10"/>
  </r>
  <r>
    <x v="72"/>
  </r>
  <r>
    <x v="115"/>
  </r>
  <r>
    <x v="31"/>
  </r>
  <r>
    <x v="14"/>
  </r>
  <r>
    <x v="14"/>
  </r>
  <r>
    <x v="8"/>
  </r>
  <r>
    <x v="28"/>
  </r>
  <r>
    <x v="28"/>
  </r>
  <r>
    <x v="130"/>
  </r>
  <r>
    <x v="91"/>
  </r>
  <r>
    <x v="53"/>
  </r>
  <r>
    <x v="17"/>
  </r>
  <r>
    <x v="130"/>
  </r>
  <r>
    <x v="14"/>
  </r>
  <r>
    <x v="14"/>
  </r>
  <r>
    <x v="10"/>
  </r>
  <r>
    <x v="25"/>
  </r>
  <r>
    <x v="36"/>
  </r>
  <r>
    <x v="36"/>
  </r>
  <r>
    <x v="12"/>
  </r>
  <r>
    <x v="152"/>
  </r>
  <r>
    <x v="152"/>
  </r>
  <r>
    <x v="12"/>
  </r>
  <r>
    <x v="12"/>
  </r>
  <r>
    <x v="12"/>
  </r>
  <r>
    <x v="12"/>
  </r>
  <r>
    <x v="12"/>
  </r>
  <r>
    <x v="12"/>
  </r>
  <r>
    <x v="42"/>
  </r>
  <r>
    <x v="12"/>
  </r>
  <r>
    <x v="42"/>
  </r>
  <r>
    <x v="42"/>
  </r>
  <r>
    <x v="42"/>
  </r>
  <r>
    <x v="123"/>
  </r>
  <r>
    <x v="16"/>
  </r>
  <r>
    <x v="87"/>
  </r>
  <r>
    <x v="87"/>
  </r>
  <r>
    <x v="87"/>
  </r>
  <r>
    <x v="79"/>
  </r>
  <r>
    <x v="87"/>
  </r>
  <r>
    <x v="87"/>
  </r>
  <r>
    <x v="87"/>
  </r>
  <r>
    <x v="108"/>
  </r>
  <r>
    <x v="108"/>
  </r>
  <r>
    <x v="12"/>
  </r>
  <r>
    <x v="4"/>
  </r>
  <r>
    <x v="48"/>
  </r>
  <r>
    <x v="4"/>
  </r>
  <r>
    <x v="24"/>
  </r>
  <r>
    <x v="12"/>
  </r>
  <r>
    <x v="12"/>
  </r>
  <r>
    <x v="158"/>
  </r>
  <r>
    <x v="24"/>
  </r>
  <r>
    <x v="24"/>
  </r>
  <r>
    <x v="24"/>
  </r>
  <r>
    <x v="4"/>
  </r>
  <r>
    <x v="4"/>
  </r>
  <r>
    <x v="87"/>
  </r>
  <r>
    <x v="87"/>
  </r>
  <r>
    <x v="4"/>
  </r>
  <r>
    <x v="87"/>
  </r>
  <r>
    <x v="87"/>
  </r>
  <r>
    <x v="14"/>
  </r>
  <r>
    <x v="87"/>
  </r>
  <r>
    <x v="87"/>
  </r>
  <r>
    <x v="87"/>
  </r>
  <r>
    <x v="87"/>
  </r>
  <r>
    <x v="14"/>
  </r>
  <r>
    <x v="87"/>
  </r>
  <r>
    <x v="10"/>
  </r>
  <r>
    <x v="87"/>
  </r>
  <r>
    <x v="87"/>
  </r>
  <r>
    <x v="87"/>
  </r>
  <r>
    <x v="4"/>
  </r>
  <r>
    <x v="4"/>
  </r>
  <r>
    <x v="87"/>
  </r>
  <r>
    <x v="7"/>
  </r>
  <r>
    <x v="59"/>
  </r>
  <r>
    <x v="85"/>
  </r>
  <r>
    <x v="87"/>
  </r>
  <r>
    <x v="87"/>
  </r>
  <r>
    <x v="8"/>
  </r>
  <r>
    <x v="87"/>
  </r>
  <r>
    <x v="87"/>
  </r>
  <r>
    <x v="87"/>
  </r>
  <r>
    <x v="14"/>
  </r>
  <r>
    <x v="14"/>
  </r>
  <r>
    <x v="14"/>
  </r>
  <r>
    <x v="87"/>
  </r>
  <r>
    <x v="87"/>
  </r>
  <r>
    <x v="63"/>
  </r>
  <r>
    <x v="45"/>
  </r>
  <r>
    <x v="87"/>
  </r>
  <r>
    <x v="87"/>
  </r>
  <r>
    <x v="87"/>
  </r>
  <r>
    <x v="63"/>
  </r>
  <r>
    <x v="87"/>
  </r>
  <r>
    <x v="87"/>
  </r>
  <r>
    <x v="87"/>
  </r>
  <r>
    <x v="87"/>
  </r>
  <r>
    <x v="67"/>
  </r>
  <r>
    <x v="87"/>
  </r>
  <r>
    <x v="21"/>
  </r>
  <r>
    <x v="87"/>
  </r>
  <r>
    <x v="87"/>
  </r>
  <r>
    <x v="56"/>
  </r>
  <r>
    <x v="56"/>
  </r>
  <r>
    <x v="56"/>
  </r>
  <r>
    <x v="87"/>
  </r>
  <r>
    <x v="87"/>
  </r>
  <r>
    <x v="87"/>
  </r>
  <r>
    <x v="67"/>
  </r>
  <r>
    <x v="67"/>
  </r>
  <r>
    <x v="87"/>
  </r>
  <r>
    <x v="87"/>
  </r>
  <r>
    <x v="87"/>
  </r>
  <r>
    <x v="87"/>
  </r>
  <r>
    <x v="87"/>
  </r>
  <r>
    <x v="63"/>
  </r>
  <r>
    <x v="63"/>
  </r>
  <r>
    <x v="278"/>
  </r>
  <r>
    <x v="278"/>
  </r>
  <r>
    <x v="63"/>
  </r>
  <r>
    <x v="278"/>
  </r>
  <r>
    <x v="278"/>
  </r>
  <r>
    <x v="87"/>
  </r>
  <r>
    <x v="87"/>
  </r>
  <r>
    <x v="87"/>
  </r>
  <r>
    <x v="87"/>
  </r>
  <r>
    <x v="1"/>
  </r>
  <r>
    <x v="39"/>
  </r>
  <r>
    <x v="4"/>
  </r>
  <r>
    <x v="42"/>
  </r>
  <r>
    <x v="87"/>
  </r>
  <r>
    <x v="87"/>
  </r>
  <r>
    <x v="42"/>
  </r>
  <r>
    <x v="86"/>
  </r>
  <r>
    <x v="42"/>
  </r>
  <r>
    <x v="42"/>
  </r>
  <r>
    <x v="42"/>
  </r>
  <r>
    <x v="42"/>
  </r>
  <r>
    <x v="42"/>
  </r>
  <r>
    <x v="53"/>
  </r>
  <r>
    <x v="42"/>
  </r>
  <r>
    <x v="77"/>
  </r>
  <r>
    <x v="42"/>
  </r>
  <r>
    <x v="42"/>
  </r>
  <r>
    <x v="42"/>
  </r>
  <r>
    <x v="87"/>
  </r>
  <r>
    <x v="87"/>
  </r>
  <r>
    <x v="87"/>
  </r>
  <r>
    <x v="87"/>
  </r>
  <r>
    <x v="87"/>
  </r>
  <r>
    <x v="42"/>
  </r>
  <r>
    <x v="87"/>
  </r>
  <r>
    <x v="87"/>
  </r>
  <r>
    <x v="77"/>
  </r>
  <r>
    <x v="12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0"/>
  </r>
  <r>
    <x v="77"/>
  </r>
  <r>
    <x v="77"/>
  </r>
  <r>
    <x v="77"/>
  </r>
  <r>
    <x v="77"/>
  </r>
  <r>
    <x v="77"/>
  </r>
  <r>
    <x v="138"/>
  </r>
  <r>
    <x v="85"/>
  </r>
  <r>
    <x v="12"/>
  </r>
  <r>
    <x v="85"/>
  </r>
  <r>
    <x v="2"/>
  </r>
  <r>
    <x v="87"/>
  </r>
  <r>
    <x v="77"/>
  </r>
  <r>
    <x v="77"/>
  </r>
  <r>
    <x v="77"/>
  </r>
  <r>
    <x v="77"/>
  </r>
  <r>
    <x v="2"/>
  </r>
  <r>
    <x v="24"/>
  </r>
  <r>
    <x v="12"/>
  </r>
  <r>
    <x v="4"/>
  </r>
  <r>
    <x v="4"/>
  </r>
  <r>
    <x v="4"/>
  </r>
  <r>
    <x v="4"/>
  </r>
  <r>
    <x v="60"/>
  </r>
  <r>
    <x v="28"/>
  </r>
  <r>
    <x v="4"/>
  </r>
  <r>
    <x v="45"/>
  </r>
  <r>
    <x v="0"/>
  </r>
  <r>
    <x v="131"/>
  </r>
  <r>
    <x v="28"/>
  </r>
  <r>
    <x v="0"/>
  </r>
  <r>
    <x v="28"/>
  </r>
  <r>
    <x v="100"/>
  </r>
  <r>
    <x v="22"/>
  </r>
  <r>
    <x v="10"/>
  </r>
  <r>
    <x v="63"/>
  </r>
  <r>
    <x v="138"/>
  </r>
  <r>
    <x v="78"/>
  </r>
  <r>
    <x v="138"/>
  </r>
  <r>
    <x v="138"/>
  </r>
  <r>
    <x v="162"/>
  </r>
  <r>
    <x v="162"/>
  </r>
  <r>
    <x v="12"/>
  </r>
  <r>
    <x v="100"/>
  </r>
  <r>
    <x v="0"/>
  </r>
  <r>
    <x v="12"/>
  </r>
  <r>
    <x v="12"/>
  </r>
  <r>
    <x v="4"/>
  </r>
  <r>
    <x v="10"/>
  </r>
  <r>
    <x v="130"/>
  </r>
  <r>
    <x v="10"/>
  </r>
  <r>
    <x v="10"/>
  </r>
  <r>
    <x v="10"/>
  </r>
  <r>
    <x v="10"/>
  </r>
  <r>
    <x v="113"/>
  </r>
  <r>
    <x v="0"/>
  </r>
  <r>
    <x v="0"/>
  </r>
  <r>
    <x v="0"/>
  </r>
  <r>
    <x v="10"/>
  </r>
  <r>
    <x v="10"/>
  </r>
  <r>
    <x v="0"/>
  </r>
  <r>
    <x v="0"/>
  </r>
  <r>
    <x v="0"/>
  </r>
  <r>
    <x v="0"/>
  </r>
  <r>
    <x v="102"/>
  </r>
  <r>
    <x v="0"/>
  </r>
  <r>
    <x v="7"/>
  </r>
  <r>
    <x v="7"/>
  </r>
  <r>
    <x v="80"/>
  </r>
  <r>
    <x v="0"/>
  </r>
  <r>
    <x v="0"/>
  </r>
  <r>
    <x v="0"/>
  </r>
  <r>
    <x v="0"/>
  </r>
  <r>
    <x v="10"/>
  </r>
  <r>
    <x v="0"/>
  </r>
  <r>
    <x v="10"/>
  </r>
  <r>
    <x v="0"/>
  </r>
  <r>
    <x v="29"/>
  </r>
  <r>
    <x v="12"/>
  </r>
  <r>
    <x v="0"/>
  </r>
  <r>
    <x v="12"/>
  </r>
  <r>
    <x v="0"/>
  </r>
  <r>
    <x v="131"/>
  </r>
  <r>
    <x v="14"/>
  </r>
  <r>
    <x v="14"/>
  </r>
  <r>
    <x v="10"/>
  </r>
  <r>
    <x v="87"/>
  </r>
  <r>
    <x v="152"/>
  </r>
  <r>
    <x v="152"/>
  </r>
  <r>
    <x v="152"/>
  </r>
  <r>
    <x v="10"/>
  </r>
  <r>
    <x v="10"/>
  </r>
  <r>
    <x v="10"/>
  </r>
  <r>
    <x v="4"/>
  </r>
  <r>
    <x v="4"/>
  </r>
  <r>
    <x v="181"/>
  </r>
  <r>
    <x v="4"/>
  </r>
  <r>
    <x v="4"/>
  </r>
  <r>
    <x v="10"/>
  </r>
  <r>
    <x v="130"/>
  </r>
  <r>
    <x v="10"/>
  </r>
  <r>
    <x v="10"/>
  </r>
  <r>
    <x v="10"/>
  </r>
  <r>
    <x v="72"/>
  </r>
  <r>
    <x v="72"/>
  </r>
  <r>
    <x v="78"/>
  </r>
  <r>
    <x v="22"/>
  </r>
  <r>
    <x v="22"/>
  </r>
  <r>
    <x v="22"/>
  </r>
  <r>
    <x v="22"/>
  </r>
  <r>
    <x v="22"/>
  </r>
  <r>
    <x v="123"/>
  </r>
  <r>
    <x v="123"/>
  </r>
  <r>
    <x v="123"/>
  </r>
  <r>
    <x v="42"/>
  </r>
  <r>
    <x v="42"/>
  </r>
  <r>
    <x v="89"/>
  </r>
  <r>
    <x v="4"/>
  </r>
  <r>
    <x v="123"/>
  </r>
  <r>
    <x v="123"/>
  </r>
  <r>
    <x v="123"/>
  </r>
  <r>
    <x v="123"/>
  </r>
  <r>
    <x v="4"/>
  </r>
  <r>
    <x v="123"/>
  </r>
  <r>
    <x v="123"/>
  </r>
  <r>
    <x v="87"/>
  </r>
  <r>
    <x v="87"/>
  </r>
  <r>
    <x v="12"/>
  </r>
  <r>
    <x v="77"/>
  </r>
  <r>
    <x v="16"/>
  </r>
  <r>
    <x v="19"/>
  </r>
  <r>
    <x v="34"/>
  </r>
  <r>
    <x v="77"/>
  </r>
  <r>
    <x v="87"/>
  </r>
  <r>
    <x v="4"/>
  </r>
  <r>
    <x v="4"/>
  </r>
  <r>
    <x v="4"/>
  </r>
  <r>
    <x v="0"/>
  </r>
  <r>
    <x v="96"/>
  </r>
  <r>
    <x v="199"/>
  </r>
  <r>
    <x v="20"/>
  </r>
  <r>
    <x v="20"/>
  </r>
  <r>
    <x v="20"/>
  </r>
  <r>
    <x v="12"/>
  </r>
  <r>
    <x v="25"/>
  </r>
  <r>
    <x v="25"/>
  </r>
  <r>
    <x v="20"/>
  </r>
  <r>
    <x v="20"/>
  </r>
  <r>
    <x v="20"/>
  </r>
  <r>
    <x v="4"/>
  </r>
  <r>
    <x v="4"/>
  </r>
  <r>
    <x v="4"/>
  </r>
  <r>
    <x v="4"/>
  </r>
  <r>
    <x v="78"/>
  </r>
  <r>
    <x v="36"/>
  </r>
  <r>
    <x v="7"/>
  </r>
  <r>
    <x v="61"/>
  </r>
  <r>
    <x v="7"/>
  </r>
  <r>
    <x v="36"/>
  </r>
  <r>
    <x v="4"/>
  </r>
  <r>
    <x v="7"/>
  </r>
  <r>
    <x v="0"/>
  </r>
  <r>
    <x v="7"/>
  </r>
  <r>
    <x v="7"/>
  </r>
  <r>
    <x v="7"/>
  </r>
  <r>
    <x v="7"/>
  </r>
  <r>
    <x v="36"/>
  </r>
  <r>
    <x v="7"/>
  </r>
  <r>
    <x v="36"/>
  </r>
  <r>
    <x v="36"/>
  </r>
  <r>
    <x v="4"/>
  </r>
  <r>
    <x v="16"/>
  </r>
  <r>
    <x v="40"/>
  </r>
  <r>
    <x v="7"/>
  </r>
  <r>
    <x v="4"/>
  </r>
  <r>
    <x v="12"/>
  </r>
  <r>
    <x v="7"/>
  </r>
  <r>
    <x v="0"/>
  </r>
  <r>
    <x v="36"/>
  </r>
  <r>
    <x v="88"/>
  </r>
  <r>
    <x v="8"/>
  </r>
  <r>
    <x v="40"/>
  </r>
  <r>
    <x v="36"/>
  </r>
  <r>
    <x v="12"/>
  </r>
  <r>
    <x v="4"/>
  </r>
  <r>
    <x v="12"/>
  </r>
  <r>
    <x v="16"/>
  </r>
  <r>
    <x v="17"/>
  </r>
  <r>
    <x v="12"/>
  </r>
  <r>
    <x v="76"/>
  </r>
  <r>
    <x v="12"/>
  </r>
  <r>
    <x v="48"/>
  </r>
  <r>
    <x v="12"/>
  </r>
  <r>
    <x v="6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1"/>
  </r>
  <r>
    <x v="12"/>
  </r>
  <r>
    <x v="12"/>
  </r>
  <r>
    <x v="5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2"/>
  </r>
  <r>
    <x v="42"/>
  </r>
  <r>
    <x v="10"/>
  </r>
  <r>
    <x v="42"/>
  </r>
  <r>
    <x v="42"/>
  </r>
  <r>
    <x v="42"/>
  </r>
  <r>
    <x v="42"/>
  </r>
  <r>
    <x v="42"/>
  </r>
  <r>
    <x v="42"/>
  </r>
  <r>
    <x v="33"/>
  </r>
  <r>
    <x v="10"/>
  </r>
  <r>
    <x v="86"/>
  </r>
  <r>
    <x v="50"/>
  </r>
  <r>
    <x v="50"/>
  </r>
  <r>
    <x v="50"/>
  </r>
  <r>
    <x v="50"/>
  </r>
  <r>
    <x v="50"/>
  </r>
  <r>
    <x v="126"/>
  </r>
  <r>
    <x v="126"/>
  </r>
  <r>
    <x v="25"/>
  </r>
  <r>
    <x v="14"/>
  </r>
  <r>
    <x v="4"/>
  </r>
  <r>
    <x v="43"/>
  </r>
  <r>
    <x v="86"/>
  </r>
  <r>
    <x v="115"/>
  </r>
  <r>
    <x v="86"/>
  </r>
  <r>
    <x v="115"/>
  </r>
  <r>
    <x v="86"/>
  </r>
  <r>
    <x v="4"/>
  </r>
  <r>
    <x v="4"/>
  </r>
  <r>
    <x v="4"/>
  </r>
  <r>
    <x v="4"/>
  </r>
  <r>
    <x v="4"/>
  </r>
  <r>
    <x v="4"/>
  </r>
  <r>
    <x v="2"/>
  </r>
  <r>
    <x v="4"/>
  </r>
  <r>
    <x v="28"/>
  </r>
  <r>
    <x v="77"/>
  </r>
  <r>
    <x v="77"/>
  </r>
  <r>
    <x v="12"/>
  </r>
  <r>
    <x v="17"/>
  </r>
  <r>
    <x v="42"/>
  </r>
  <r>
    <x v="122"/>
  </r>
  <r>
    <x v="63"/>
  </r>
  <r>
    <x v="63"/>
  </r>
  <r>
    <x v="63"/>
  </r>
  <r>
    <x v="63"/>
  </r>
  <r>
    <x v="78"/>
  </r>
  <r>
    <x v="32"/>
  </r>
  <r>
    <x v="12"/>
  </r>
  <r>
    <x v="12"/>
  </r>
  <r>
    <x v="12"/>
  </r>
  <r>
    <x v="12"/>
  </r>
  <r>
    <x v="86"/>
  </r>
  <r>
    <x v="86"/>
  </r>
  <r>
    <x v="56"/>
  </r>
  <r>
    <x v="56"/>
  </r>
  <r>
    <x v="4"/>
  </r>
  <r>
    <x v="24"/>
  </r>
  <r>
    <x v="24"/>
  </r>
  <r>
    <x v="42"/>
  </r>
  <r>
    <x v="42"/>
  </r>
  <r>
    <x v="77"/>
  </r>
  <r>
    <x v="7"/>
  </r>
  <r>
    <x v="28"/>
  </r>
  <r>
    <x v="3"/>
  </r>
  <r>
    <x v="77"/>
  </r>
  <r>
    <x v="123"/>
  </r>
  <r>
    <x v="126"/>
  </r>
  <r>
    <x v="12"/>
  </r>
  <r>
    <x v="12"/>
  </r>
  <r>
    <x v="76"/>
  </r>
  <r>
    <x v="123"/>
  </r>
  <r>
    <x v="28"/>
  </r>
  <r>
    <x v="26"/>
  </r>
  <r>
    <x v="89"/>
  </r>
  <r>
    <x v="89"/>
  </r>
  <r>
    <x v="29"/>
  </r>
  <r>
    <x v="0"/>
  </r>
  <r>
    <x v="0"/>
  </r>
  <r>
    <x v="0"/>
  </r>
  <r>
    <x v="0"/>
  </r>
  <r>
    <x v="3"/>
  </r>
  <r>
    <x v="76"/>
  </r>
  <r>
    <x v="28"/>
  </r>
  <r>
    <x v="36"/>
  </r>
  <r>
    <x v="40"/>
  </r>
  <r>
    <x v="10"/>
  </r>
  <r>
    <x v="10"/>
  </r>
  <r>
    <x v="28"/>
  </r>
  <r>
    <x v="10"/>
  </r>
  <r>
    <x v="28"/>
  </r>
  <r>
    <x v="10"/>
  </r>
  <r>
    <x v="10"/>
  </r>
  <r>
    <x v="10"/>
  </r>
  <r>
    <x v="10"/>
  </r>
  <r>
    <x v="10"/>
  </r>
  <r>
    <x v="10"/>
  </r>
  <r>
    <x v="10"/>
  </r>
  <r>
    <x v="123"/>
  </r>
  <r>
    <x v="123"/>
  </r>
  <r>
    <x v="123"/>
  </r>
  <r>
    <x v="10"/>
  </r>
  <r>
    <x v="10"/>
  </r>
  <r>
    <x v="40"/>
  </r>
  <r>
    <x v="10"/>
  </r>
  <r>
    <x v="42"/>
  </r>
  <r>
    <x v="42"/>
  </r>
  <r>
    <x v="42"/>
  </r>
  <r>
    <x v="42"/>
  </r>
  <r>
    <x v="10"/>
  </r>
  <r>
    <x v="42"/>
  </r>
  <r>
    <x v="42"/>
  </r>
  <r>
    <x v="42"/>
  </r>
  <r>
    <x v="123"/>
  </r>
  <r>
    <x v="42"/>
  </r>
  <r>
    <x v="152"/>
  </r>
  <r>
    <x v="42"/>
  </r>
  <r>
    <x v="42"/>
  </r>
  <r>
    <x v="10"/>
  </r>
  <r>
    <x v="10"/>
  </r>
  <r>
    <x v="10"/>
  </r>
  <r>
    <x v="10"/>
  </r>
  <r>
    <x v="86"/>
  </r>
  <r>
    <x v="10"/>
  </r>
  <r>
    <x v="86"/>
  </r>
  <r>
    <x v="10"/>
  </r>
  <r>
    <x v="10"/>
  </r>
  <r>
    <x v="123"/>
  </r>
  <r>
    <x v="10"/>
  </r>
  <r>
    <x v="10"/>
  </r>
  <r>
    <x v="126"/>
  </r>
  <r>
    <x v="10"/>
  </r>
  <r>
    <x v="126"/>
  </r>
  <r>
    <x v="10"/>
  </r>
  <r>
    <x v="10"/>
  </r>
  <r>
    <x v="10"/>
  </r>
  <r>
    <x v="28"/>
  </r>
  <r>
    <x v="10"/>
  </r>
  <r>
    <x v="14"/>
  </r>
  <r>
    <x v="14"/>
  </r>
  <r>
    <x v="14"/>
  </r>
  <r>
    <x v="14"/>
  </r>
  <r>
    <x v="3"/>
  </r>
  <r>
    <x v="3"/>
  </r>
  <r>
    <x v="3"/>
  </r>
  <r>
    <x v="3"/>
  </r>
  <r>
    <x v="14"/>
  </r>
  <r>
    <x v="14"/>
  </r>
  <r>
    <x v="14"/>
  </r>
  <r>
    <x v="12"/>
  </r>
  <r>
    <x v="10"/>
  </r>
  <r>
    <x v="10"/>
  </r>
  <r>
    <x v="229"/>
  </r>
  <r>
    <x v="71"/>
  </r>
  <r>
    <x v="71"/>
  </r>
  <r>
    <x v="115"/>
  </r>
  <r>
    <x v="86"/>
  </r>
  <r>
    <x v="71"/>
  </r>
  <r>
    <x v="115"/>
  </r>
  <r>
    <x v="11"/>
  </r>
  <r>
    <x v="11"/>
  </r>
  <r>
    <x v="28"/>
  </r>
  <r>
    <x v="14"/>
  </r>
  <r>
    <x v="24"/>
  </r>
  <r>
    <x v="24"/>
  </r>
  <r>
    <x v="12"/>
  </r>
  <r>
    <x v="138"/>
  </r>
  <r>
    <x v="138"/>
  </r>
  <r>
    <x v="108"/>
  </r>
  <r>
    <x v="108"/>
  </r>
  <r>
    <x v="28"/>
  </r>
  <r>
    <x v="2"/>
  </r>
  <r>
    <x v="9"/>
  </r>
  <r>
    <x v="9"/>
  </r>
  <r>
    <x v="10"/>
  </r>
  <r>
    <x v="126"/>
  </r>
  <r>
    <x v="10"/>
  </r>
  <r>
    <x v="28"/>
  </r>
  <r>
    <x v="10"/>
  </r>
  <r>
    <x v="10"/>
  </r>
  <r>
    <x v="10"/>
  </r>
  <r>
    <x v="10"/>
  </r>
  <r>
    <x v="10"/>
  </r>
  <r>
    <x v="26"/>
  </r>
  <r>
    <x v="28"/>
  </r>
  <r>
    <x v="42"/>
  </r>
  <r>
    <x v="42"/>
  </r>
  <r>
    <x v="36"/>
  </r>
  <r>
    <x v="42"/>
  </r>
  <r>
    <x v="36"/>
  </r>
  <r>
    <x v="37"/>
  </r>
  <r>
    <x v="14"/>
  </r>
  <r>
    <x v="12"/>
  </r>
  <r>
    <x v="36"/>
  </r>
  <r>
    <x v="42"/>
  </r>
  <r>
    <x v="42"/>
  </r>
  <r>
    <x v="42"/>
  </r>
  <r>
    <x v="42"/>
  </r>
  <r>
    <x v="42"/>
  </r>
  <r>
    <x v="36"/>
  </r>
  <r>
    <x v="11"/>
  </r>
  <r>
    <x v="63"/>
  </r>
  <r>
    <x v="12"/>
  </r>
  <r>
    <x v="12"/>
  </r>
  <r>
    <x v="36"/>
  </r>
  <r>
    <x v="12"/>
  </r>
  <r>
    <x v="36"/>
  </r>
  <r>
    <x v="12"/>
  </r>
  <r>
    <x v="36"/>
  </r>
  <r>
    <x v="42"/>
  </r>
  <r>
    <x v="36"/>
  </r>
  <r>
    <x v="36"/>
  </r>
  <r>
    <x v="71"/>
  </r>
  <r>
    <x v="146"/>
  </r>
  <r>
    <x v="12"/>
  </r>
  <r>
    <x v="71"/>
  </r>
  <r>
    <x v="71"/>
  </r>
  <r>
    <x v="36"/>
  </r>
  <r>
    <x v="76"/>
  </r>
  <r>
    <x v="12"/>
  </r>
  <r>
    <x v="12"/>
  </r>
  <r>
    <x v="12"/>
  </r>
  <r>
    <x v="87"/>
  </r>
  <r>
    <x v="87"/>
  </r>
  <r>
    <x v="123"/>
  </r>
  <r>
    <x v="123"/>
  </r>
  <r>
    <x v="123"/>
  </r>
  <r>
    <x v="123"/>
  </r>
  <r>
    <x v="123"/>
  </r>
  <r>
    <x v="123"/>
  </r>
  <r>
    <x v="123"/>
  </r>
  <r>
    <x v="123"/>
  </r>
  <r>
    <x v="71"/>
  </r>
  <r>
    <x v="71"/>
  </r>
  <r>
    <x v="123"/>
  </r>
  <r>
    <x v="123"/>
  </r>
  <r>
    <x v="123"/>
  </r>
  <r>
    <x v="71"/>
  </r>
  <r>
    <x v="71"/>
  </r>
  <r>
    <x v="87"/>
  </r>
  <r>
    <x v="136"/>
  </r>
  <r>
    <x v="42"/>
  </r>
  <r>
    <x v="42"/>
  </r>
  <r>
    <x v="42"/>
  </r>
  <r>
    <x v="0"/>
  </r>
  <r>
    <x v="42"/>
  </r>
  <r>
    <x v="42"/>
  </r>
  <r>
    <x v="16"/>
  </r>
  <r>
    <x v="16"/>
  </r>
  <r>
    <x v="4"/>
  </r>
  <r>
    <x v="4"/>
  </r>
  <r>
    <x v="8"/>
  </r>
  <r>
    <x v="25"/>
  </r>
  <r>
    <x v="4"/>
  </r>
  <r>
    <x v="4"/>
  </r>
  <r>
    <x v="4"/>
  </r>
  <r>
    <x v="4"/>
  </r>
  <r>
    <x v="77"/>
  </r>
  <r>
    <x v="77"/>
  </r>
  <r>
    <x v="77"/>
  </r>
  <r>
    <x v="10"/>
  </r>
  <r>
    <x v="6"/>
  </r>
  <r>
    <x v="1"/>
  </r>
  <r>
    <x v="12"/>
  </r>
  <r>
    <x v="28"/>
  </r>
  <r>
    <x v="52"/>
  </r>
  <r>
    <x v="123"/>
  </r>
  <r>
    <x v="4"/>
  </r>
  <r>
    <x v="10"/>
  </r>
  <r>
    <x v="10"/>
  </r>
  <r>
    <x v="267"/>
  </r>
  <r>
    <x v="22"/>
  </r>
  <r>
    <x v="12"/>
  </r>
  <r>
    <x v="4"/>
  </r>
  <r>
    <x v="28"/>
  </r>
  <r>
    <x v="12"/>
  </r>
  <r>
    <x v="68"/>
  </r>
  <r>
    <x v="2"/>
  </r>
  <r>
    <x v="14"/>
  </r>
  <r>
    <x v="63"/>
  </r>
  <r>
    <x v="63"/>
  </r>
  <r>
    <x v="2"/>
  </r>
  <r>
    <x v="63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0"/>
  </r>
  <r>
    <x v="10"/>
  </r>
  <r>
    <x v="10"/>
  </r>
  <r>
    <x v="174"/>
  </r>
  <r>
    <x v="10"/>
  </r>
  <r>
    <x v="3"/>
  </r>
  <r>
    <x v="3"/>
  </r>
  <r>
    <x v="199"/>
  </r>
  <r>
    <x v="10"/>
  </r>
  <r>
    <x v="12"/>
  </r>
  <r>
    <x v="12"/>
  </r>
  <r>
    <x v="12"/>
  </r>
  <r>
    <x v="10"/>
  </r>
  <r>
    <x v="4"/>
  </r>
  <r>
    <x v="10"/>
  </r>
  <r>
    <x v="29"/>
  </r>
  <r>
    <x v="10"/>
  </r>
  <r>
    <x v="10"/>
  </r>
  <r>
    <x v="10"/>
  </r>
  <r>
    <x v="10"/>
  </r>
  <r>
    <x v="126"/>
  </r>
  <r>
    <x v="10"/>
  </r>
  <r>
    <x v="10"/>
  </r>
  <r>
    <x v="10"/>
  </r>
  <r>
    <x v="77"/>
  </r>
  <r>
    <x v="85"/>
  </r>
  <r>
    <x v="32"/>
  </r>
  <r>
    <x v="0"/>
  </r>
  <r>
    <x v="0"/>
  </r>
  <r>
    <x v="28"/>
  </r>
  <r>
    <x v="28"/>
  </r>
  <r>
    <x v="77"/>
  </r>
  <r>
    <x v="7"/>
  </r>
  <r>
    <x v="7"/>
  </r>
  <r>
    <x v="7"/>
  </r>
  <r>
    <x v="7"/>
  </r>
  <r>
    <x v="7"/>
  </r>
  <r>
    <x v="123"/>
  </r>
  <r>
    <x v="123"/>
  </r>
  <r>
    <x v="123"/>
  </r>
  <r>
    <x v="10"/>
  </r>
  <r>
    <x v="51"/>
  </r>
  <r>
    <x v="123"/>
  </r>
  <r>
    <x v="123"/>
  </r>
  <r>
    <x v="123"/>
  </r>
  <r>
    <x v="14"/>
  </r>
  <r>
    <x v="10"/>
  </r>
  <r>
    <x v="10"/>
  </r>
  <r>
    <x v="10"/>
  </r>
  <r>
    <x v="126"/>
  </r>
  <r>
    <x v="10"/>
  </r>
  <r>
    <x v="10"/>
  </r>
  <r>
    <x v="10"/>
  </r>
  <r>
    <x v="10"/>
  </r>
  <r>
    <x v="86"/>
  </r>
  <r>
    <x v="51"/>
  </r>
  <r>
    <x v="86"/>
  </r>
  <r>
    <x v="10"/>
  </r>
  <r>
    <x v="51"/>
  </r>
  <r>
    <x v="10"/>
  </r>
  <r>
    <x v="10"/>
  </r>
  <r>
    <x v="10"/>
  </r>
  <r>
    <x v="10"/>
  </r>
  <r>
    <x v="10"/>
  </r>
  <r>
    <x v="12"/>
  </r>
  <r>
    <x v="42"/>
  </r>
  <r>
    <x v="42"/>
  </r>
  <r>
    <x v="48"/>
  </r>
  <r>
    <x v="12"/>
  </r>
  <r>
    <x v="12"/>
  </r>
  <r>
    <x v="12"/>
  </r>
  <r>
    <x v="12"/>
  </r>
  <r>
    <x v="63"/>
  </r>
  <r>
    <x v="86"/>
  </r>
  <r>
    <x v="86"/>
  </r>
  <r>
    <x v="86"/>
  </r>
  <r>
    <x v="12"/>
  </r>
  <r>
    <x v="12"/>
  </r>
  <r>
    <x v="12"/>
  </r>
  <r>
    <x v="12"/>
  </r>
  <r>
    <x v="12"/>
  </r>
  <r>
    <x v="12"/>
  </r>
  <r>
    <x v="45"/>
  </r>
  <r>
    <x v="12"/>
  </r>
  <r>
    <x v="6"/>
  </r>
  <r>
    <x v="0"/>
  </r>
  <r>
    <x v="16"/>
  </r>
  <r>
    <x v="12"/>
  </r>
  <r>
    <x v="12"/>
  </r>
  <r>
    <x v="50"/>
  </r>
  <r>
    <x v="10"/>
  </r>
  <r>
    <x v="10"/>
  </r>
  <r>
    <x v="10"/>
  </r>
  <r>
    <x v="10"/>
  </r>
  <r>
    <x v="10"/>
  </r>
  <r>
    <x v="87"/>
  </r>
  <r>
    <x v="87"/>
  </r>
  <r>
    <x v="77"/>
  </r>
  <r>
    <x v="86"/>
  </r>
  <r>
    <x v="87"/>
  </r>
  <r>
    <x v="87"/>
  </r>
  <r>
    <x v="87"/>
  </r>
  <r>
    <x v="87"/>
  </r>
  <r>
    <x v="87"/>
  </r>
  <r>
    <x v="87"/>
  </r>
  <r>
    <x v="87"/>
  </r>
  <r>
    <x v="165"/>
  </r>
  <r>
    <x v="165"/>
  </r>
  <r>
    <x v="12"/>
  </r>
  <r>
    <x v="28"/>
  </r>
  <r>
    <x v="12"/>
  </r>
  <r>
    <x v="12"/>
  </r>
  <r>
    <x v="12"/>
  </r>
  <r>
    <x v="12"/>
  </r>
  <r>
    <x v="76"/>
  </r>
  <r>
    <x v="76"/>
  </r>
  <r>
    <x v="76"/>
  </r>
  <r>
    <x v="2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12"/>
  </r>
  <r>
    <x v="12"/>
  </r>
  <r>
    <x v="68"/>
  </r>
  <r>
    <x v="12"/>
  </r>
  <r>
    <x v="8"/>
  </r>
  <r>
    <x v="28"/>
  </r>
  <r>
    <x v="36"/>
  </r>
  <r>
    <x v="10"/>
  </r>
  <r>
    <x v="10"/>
  </r>
  <r>
    <x v="4"/>
  </r>
  <r>
    <x v="9"/>
  </r>
  <r>
    <x v="28"/>
  </r>
  <r>
    <x v="10"/>
  </r>
  <r>
    <x v="14"/>
  </r>
  <r>
    <x v="165"/>
  </r>
  <r>
    <x v="36"/>
  </r>
  <r>
    <x v="9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42"/>
  </r>
  <r>
    <x v="36"/>
  </r>
  <r>
    <x v="10"/>
  </r>
  <r>
    <x v="36"/>
  </r>
  <r>
    <x v="36"/>
  </r>
  <r>
    <x v="123"/>
  </r>
  <r>
    <x v="10"/>
  </r>
  <r>
    <x v="36"/>
  </r>
  <r>
    <x v="7"/>
  </r>
  <r>
    <x v="7"/>
  </r>
  <r>
    <x v="87"/>
  </r>
  <r>
    <x v="10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1"/>
  </r>
  <r>
    <x v="10"/>
  </r>
  <r>
    <x v="10"/>
  </r>
  <r>
    <x v="10"/>
  </r>
  <r>
    <x v="10"/>
  </r>
  <r>
    <x v="10"/>
  </r>
  <r>
    <x v="12"/>
  </r>
  <r>
    <x v="10"/>
  </r>
  <r>
    <x v="10"/>
  </r>
  <r>
    <x v="81"/>
  </r>
  <r>
    <x v="10"/>
  </r>
  <r>
    <x v="130"/>
  </r>
  <r>
    <x v="10"/>
  </r>
  <r>
    <x v="48"/>
  </r>
  <r>
    <x v="6"/>
  </r>
  <r>
    <x v="10"/>
  </r>
  <r>
    <x v="10"/>
  </r>
  <r>
    <x v="4"/>
  </r>
  <r>
    <x v="12"/>
  </r>
  <r>
    <x v="12"/>
  </r>
  <r>
    <x v="12"/>
  </r>
  <r>
    <x v="12"/>
  </r>
  <r>
    <x v="12"/>
  </r>
  <r>
    <x v="7"/>
  </r>
  <r>
    <x v="7"/>
  </r>
  <r>
    <x v="63"/>
  </r>
  <r>
    <x v="63"/>
  </r>
  <r>
    <x v="87"/>
  </r>
  <r>
    <x v="87"/>
  </r>
  <r>
    <x v="87"/>
  </r>
  <r>
    <x v="7"/>
  </r>
  <r>
    <x v="7"/>
  </r>
  <r>
    <x v="273"/>
  </r>
  <r>
    <x v="126"/>
  </r>
  <r>
    <x v="126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7"/>
  </r>
  <r>
    <x v="21"/>
  </r>
  <r>
    <x v="53"/>
  </r>
  <r>
    <x v="87"/>
  </r>
  <r>
    <x v="4"/>
  </r>
  <r>
    <x v="4"/>
  </r>
  <r>
    <x v="4"/>
  </r>
  <r>
    <x v="4"/>
  </r>
  <r>
    <x v="4"/>
  </r>
  <r>
    <x v="4"/>
  </r>
  <r>
    <x v="4"/>
  </r>
  <r>
    <x v="34"/>
  </r>
  <r>
    <x v="80"/>
  </r>
  <r>
    <x v="10"/>
  </r>
  <r>
    <x v="14"/>
  </r>
  <r>
    <x v="4"/>
  </r>
  <r>
    <x v="11"/>
  </r>
  <r>
    <x v="11"/>
  </r>
  <r>
    <x v="11"/>
  </r>
  <r>
    <x v="11"/>
  </r>
  <r>
    <x v="10"/>
  </r>
  <r>
    <x v="4"/>
  </r>
  <r>
    <x v="12"/>
  </r>
  <r>
    <x v="10"/>
  </r>
  <r>
    <x v="10"/>
  </r>
  <r>
    <x v="12"/>
  </r>
  <r>
    <x v="87"/>
  </r>
  <r>
    <x v="10"/>
  </r>
  <r>
    <x v="0"/>
  </r>
  <r>
    <x v="10"/>
  </r>
  <r>
    <x v="23"/>
  </r>
  <r>
    <x v="4"/>
  </r>
  <r>
    <x v="4"/>
  </r>
  <r>
    <x v="10"/>
  </r>
  <r>
    <x v="10"/>
  </r>
  <r>
    <x v="28"/>
  </r>
  <r>
    <x v="22"/>
  </r>
  <r>
    <x v="12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6"/>
  </r>
  <r>
    <x v="42"/>
  </r>
  <r>
    <x v="126"/>
  </r>
  <r>
    <x v="126"/>
  </r>
  <r>
    <x v="10"/>
  </r>
  <r>
    <x v="86"/>
  </r>
  <r>
    <x v="78"/>
  </r>
  <r>
    <x v="10"/>
  </r>
  <r>
    <x v="10"/>
  </r>
  <r>
    <x v="142"/>
  </r>
  <r>
    <x v="10"/>
  </r>
  <r>
    <x v="10"/>
  </r>
  <r>
    <x v="1"/>
  </r>
  <r>
    <x v="108"/>
  </r>
  <r>
    <x v="21"/>
  </r>
  <r>
    <x v="21"/>
  </r>
  <r>
    <x v="34"/>
  </r>
  <r>
    <x v="14"/>
  </r>
  <r>
    <x v="12"/>
  </r>
  <r>
    <x v="19"/>
  </r>
  <r>
    <x v="12"/>
  </r>
  <r>
    <x v="12"/>
  </r>
  <r>
    <x v="142"/>
  </r>
  <r>
    <x v="26"/>
  </r>
  <r>
    <x v="188"/>
  </r>
  <r>
    <x v="108"/>
  </r>
  <r>
    <x v="108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27"/>
  </r>
  <r>
    <x v="12"/>
  </r>
  <r>
    <x v="12"/>
  </r>
  <r>
    <x v="12"/>
  </r>
  <r>
    <x v="12"/>
  </r>
  <r>
    <x v="12"/>
  </r>
  <r>
    <x v="12"/>
  </r>
  <r>
    <x v="12"/>
  </r>
  <r>
    <x v="12"/>
  </r>
  <r>
    <x v="59"/>
  </r>
  <r>
    <x v="183"/>
  </r>
  <r>
    <x v="39"/>
  </r>
  <r>
    <x v="1"/>
  </r>
  <r>
    <x v="1"/>
  </r>
  <r>
    <x v="12"/>
  </r>
  <r>
    <x v="10"/>
  </r>
  <r>
    <x v="10"/>
  </r>
  <r>
    <x v="10"/>
  </r>
  <r>
    <x v="10"/>
  </r>
  <r>
    <x v="10"/>
  </r>
  <r>
    <x v="10"/>
  </r>
  <r>
    <x v="28"/>
  </r>
  <r>
    <x v="28"/>
  </r>
  <r>
    <x v="28"/>
  </r>
  <r>
    <x v="123"/>
  </r>
  <r>
    <x v="123"/>
  </r>
  <r>
    <x v="152"/>
  </r>
  <r>
    <x v="123"/>
  </r>
  <r>
    <x v="152"/>
  </r>
  <r>
    <x v="123"/>
  </r>
  <r>
    <x v="123"/>
  </r>
  <r>
    <x v="123"/>
  </r>
  <r>
    <x v="10"/>
  </r>
  <r>
    <x v="123"/>
  </r>
  <r>
    <x v="86"/>
  </r>
  <r>
    <x v="86"/>
  </r>
  <r>
    <x v="8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87"/>
  </r>
  <r>
    <x v="87"/>
  </r>
  <r>
    <x v="87"/>
  </r>
  <r>
    <x v="87"/>
  </r>
  <r>
    <x v="87"/>
  </r>
  <r>
    <x v="87"/>
  </r>
  <r>
    <x v="87"/>
  </r>
  <r>
    <x v="87"/>
  </r>
  <r>
    <x v="14"/>
  </r>
  <r>
    <x v="14"/>
  </r>
  <r>
    <x v="87"/>
  </r>
  <r>
    <x v="87"/>
  </r>
  <r>
    <x v="87"/>
  </r>
  <r>
    <x v="87"/>
  </r>
  <r>
    <x v="87"/>
  </r>
  <r>
    <x v="87"/>
  </r>
  <r>
    <x v="87"/>
  </r>
  <r>
    <x v="14"/>
  </r>
  <r>
    <x v="87"/>
  </r>
  <r>
    <x v="14"/>
  </r>
  <r>
    <x v="87"/>
  </r>
  <r>
    <x v="87"/>
  </r>
  <r>
    <x v="87"/>
  </r>
  <r>
    <x v="87"/>
  </r>
  <r>
    <x v="10"/>
  </r>
  <r>
    <x v="87"/>
  </r>
  <r>
    <x v="115"/>
  </r>
  <r>
    <x v="87"/>
  </r>
  <r>
    <x v="87"/>
  </r>
  <r>
    <x v="87"/>
  </r>
  <r>
    <x v="25"/>
  </r>
  <r>
    <x v="115"/>
  </r>
  <r>
    <x v="115"/>
  </r>
  <r>
    <x v="115"/>
  </r>
  <r>
    <x v="25"/>
  </r>
  <r>
    <x v="25"/>
  </r>
  <r>
    <x v="48"/>
  </r>
  <r>
    <x v="115"/>
  </r>
  <r>
    <x v="12"/>
  </r>
  <r>
    <x v="12"/>
  </r>
  <r>
    <x v="12"/>
  </r>
  <r>
    <x v="12"/>
  </r>
  <r>
    <x v="12"/>
  </r>
  <r>
    <x v="12"/>
  </r>
  <r>
    <x v="165"/>
  </r>
  <r>
    <x v="77"/>
  </r>
  <r>
    <x v="87"/>
  </r>
  <r>
    <x v="87"/>
  </r>
  <r>
    <x v="87"/>
  </r>
  <r>
    <x v="87"/>
  </r>
  <r>
    <x v="87"/>
  </r>
  <r>
    <x v="87"/>
  </r>
  <r>
    <x v="87"/>
  </r>
  <r>
    <x v="22"/>
  </r>
  <r>
    <x v="87"/>
  </r>
  <r>
    <x v="78"/>
  </r>
  <r>
    <x v="78"/>
  </r>
  <r>
    <x v="78"/>
  </r>
  <r>
    <x v="78"/>
  </r>
  <r>
    <x v="78"/>
  </r>
  <r>
    <x v="78"/>
  </r>
  <r>
    <x v="78"/>
  </r>
  <r>
    <x v="42"/>
  </r>
  <r>
    <x v="42"/>
  </r>
  <r>
    <x v="128"/>
  </r>
  <r>
    <x v="128"/>
  </r>
  <r>
    <x v="42"/>
  </r>
  <r>
    <x v="128"/>
  </r>
  <r>
    <x v="0"/>
  </r>
  <r>
    <x v="128"/>
  </r>
  <r>
    <x v="128"/>
  </r>
  <r>
    <x v="128"/>
  </r>
  <r>
    <x v="128"/>
  </r>
  <r>
    <x v="128"/>
  </r>
  <r>
    <x v="128"/>
  </r>
  <r>
    <x v="42"/>
  </r>
  <r>
    <x v="42"/>
  </r>
  <r>
    <x v="42"/>
  </r>
  <r>
    <x v="42"/>
  </r>
  <r>
    <x v="42"/>
  </r>
  <r>
    <x v="36"/>
  </r>
  <r>
    <x v="42"/>
  </r>
  <r>
    <x v="42"/>
  </r>
  <r>
    <x v="42"/>
  </r>
  <r>
    <x v="28"/>
  </r>
  <r>
    <x v="28"/>
  </r>
  <r>
    <x v="42"/>
  </r>
  <r>
    <x v="12"/>
  </r>
  <r>
    <x v="36"/>
  </r>
  <r>
    <x v="36"/>
  </r>
  <r>
    <x v="36"/>
  </r>
  <r>
    <x v="36"/>
  </r>
  <r>
    <x v="36"/>
  </r>
  <r>
    <x v="102"/>
  </r>
  <r>
    <x v="45"/>
  </r>
  <r>
    <x v="45"/>
  </r>
  <r>
    <x v="48"/>
  </r>
  <r>
    <x v="10"/>
  </r>
  <r>
    <x v="17"/>
  </r>
  <r>
    <x v="12"/>
  </r>
  <r>
    <x v="12"/>
  </r>
  <r>
    <x v="115"/>
  </r>
  <r>
    <x v="115"/>
  </r>
  <r>
    <x v="12"/>
  </r>
  <r>
    <x v="115"/>
  </r>
  <r>
    <x v="2"/>
  </r>
  <r>
    <x v="16"/>
  </r>
  <r>
    <x v="2"/>
  </r>
  <r>
    <x v="115"/>
  </r>
  <r>
    <x v="115"/>
  </r>
  <r>
    <x v="128"/>
  </r>
  <r>
    <x v="128"/>
  </r>
  <r>
    <x v="128"/>
  </r>
  <r>
    <x v="128"/>
  </r>
  <r>
    <x v="128"/>
  </r>
  <r>
    <x v="42"/>
  </r>
  <r>
    <x v="42"/>
  </r>
  <r>
    <x v="42"/>
  </r>
  <r>
    <x v="42"/>
  </r>
  <r>
    <x v="42"/>
  </r>
  <r>
    <x v="42"/>
  </r>
  <r>
    <x v="42"/>
  </r>
  <r>
    <x v="123"/>
  </r>
  <r>
    <x v="42"/>
  </r>
  <r>
    <x v="42"/>
  </r>
  <r>
    <x v="48"/>
  </r>
  <r>
    <x v="115"/>
  </r>
  <r>
    <x v="89"/>
  </r>
  <r>
    <x v="115"/>
  </r>
  <r>
    <x v="89"/>
  </r>
  <r>
    <x v="89"/>
  </r>
  <r>
    <x v="10"/>
  </r>
  <r>
    <x v="89"/>
  </r>
  <r>
    <x v="2"/>
  </r>
  <r>
    <x v="89"/>
  </r>
  <r>
    <x v="63"/>
  </r>
  <r>
    <x v="10"/>
  </r>
  <r>
    <x v="89"/>
  </r>
  <r>
    <x v="4"/>
  </r>
  <r>
    <x v="89"/>
  </r>
  <r>
    <x v="89"/>
  </r>
  <r>
    <x v="89"/>
  </r>
  <r>
    <x v="89"/>
  </r>
  <r>
    <x v="89"/>
  </r>
  <r>
    <x v="2"/>
  </r>
  <r>
    <x v="63"/>
  </r>
  <r>
    <x v="63"/>
  </r>
  <r>
    <x v="63"/>
  </r>
  <r>
    <x v="89"/>
  </r>
  <r>
    <x v="89"/>
  </r>
  <r>
    <x v="89"/>
  </r>
  <r>
    <x v="2"/>
  </r>
  <r>
    <x v="89"/>
  </r>
  <r>
    <x v="89"/>
  </r>
  <r>
    <x v="89"/>
  </r>
  <r>
    <x v="2"/>
  </r>
  <r>
    <x v="89"/>
  </r>
  <r>
    <x v="89"/>
  </r>
  <r>
    <x v="89"/>
  </r>
  <r>
    <x v="89"/>
  </r>
  <r>
    <x v="89"/>
  </r>
  <r>
    <x v="22"/>
  </r>
  <r>
    <x v="89"/>
  </r>
  <r>
    <x v="89"/>
  </r>
  <r>
    <x v="89"/>
  </r>
  <r>
    <x v="89"/>
  </r>
  <r>
    <x v="89"/>
  </r>
  <r>
    <x v="89"/>
  </r>
  <r>
    <x v="89"/>
  </r>
  <r>
    <x v="79"/>
  </r>
  <r>
    <x v="79"/>
  </r>
  <r>
    <x v="79"/>
  </r>
  <r>
    <x v="79"/>
  </r>
  <r>
    <x v="79"/>
  </r>
  <r>
    <x v="79"/>
  </r>
  <r>
    <x v="2"/>
  </r>
  <r>
    <x v="2"/>
  </r>
  <r>
    <x v="79"/>
  </r>
  <r>
    <x v="0"/>
  </r>
  <r>
    <x v="79"/>
  </r>
  <r>
    <x v="79"/>
  </r>
  <r>
    <x v="79"/>
  </r>
  <r>
    <x v="79"/>
  </r>
  <r>
    <x v="79"/>
  </r>
  <r>
    <x v="79"/>
  </r>
  <r>
    <x v="12"/>
  </r>
  <r>
    <x v="12"/>
  </r>
  <r>
    <x v="0"/>
  </r>
  <r>
    <x v="79"/>
  </r>
  <r>
    <x v="79"/>
  </r>
  <r>
    <x v="10"/>
  </r>
  <r>
    <x v="152"/>
  </r>
  <r>
    <x v="123"/>
  </r>
  <r>
    <x v="75"/>
  </r>
  <r>
    <x v="24"/>
  </r>
  <r>
    <x v="45"/>
  </r>
  <r>
    <x v="138"/>
  </r>
  <r>
    <x v="45"/>
  </r>
  <r>
    <x v="126"/>
  </r>
  <r>
    <x v="12"/>
  </r>
  <r>
    <x v="39"/>
  </r>
  <r>
    <x v="39"/>
  </r>
  <r>
    <x v="10"/>
  </r>
  <r>
    <x v="126"/>
  </r>
  <r>
    <x v="10"/>
  </r>
  <r>
    <x v="10"/>
  </r>
  <r>
    <x v="10"/>
  </r>
  <r>
    <x v="10"/>
  </r>
  <r>
    <x v="10"/>
  </r>
  <r>
    <x v="123"/>
  </r>
  <r>
    <x v="13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10"/>
  </r>
  <r>
    <x v="130"/>
  </r>
  <r>
    <x v="10"/>
  </r>
  <r>
    <x v="10"/>
  </r>
  <r>
    <x v="10"/>
  </r>
  <r>
    <x v="10"/>
  </r>
  <r>
    <x v="10"/>
  </r>
  <r>
    <x v="10"/>
  </r>
  <r>
    <x v="10"/>
  </r>
  <r>
    <x v="10"/>
  </r>
  <r>
    <x v="2"/>
  </r>
  <r>
    <x v="41"/>
  </r>
  <r>
    <x v="12"/>
  </r>
  <r>
    <x v="12"/>
  </r>
  <r>
    <x v="12"/>
  </r>
  <r>
    <x v="12"/>
  </r>
  <r>
    <x v="12"/>
  </r>
  <r>
    <x v="12"/>
  </r>
  <r>
    <x v="12"/>
  </r>
  <r>
    <x v="165"/>
  </r>
  <r>
    <x v="16"/>
  </r>
  <r>
    <x v="16"/>
  </r>
  <r>
    <x v="16"/>
  </r>
  <r>
    <x v="77"/>
  </r>
  <r>
    <x v="2"/>
  </r>
  <r>
    <x v="9"/>
  </r>
  <r>
    <x v="10"/>
  </r>
  <r>
    <x v="10"/>
  </r>
  <r>
    <x v="12"/>
  </r>
  <r>
    <x v="10"/>
  </r>
  <r>
    <x v="10"/>
  </r>
  <r>
    <x v="10"/>
  </r>
  <r>
    <x v="10"/>
  </r>
  <r>
    <x v="10"/>
  </r>
  <r>
    <x v="42"/>
  </r>
  <r>
    <x v="10"/>
  </r>
  <r>
    <x v="10"/>
  </r>
  <r>
    <x v="10"/>
  </r>
  <r>
    <x v="48"/>
  </r>
  <r>
    <x v="10"/>
  </r>
  <r>
    <x v="10"/>
  </r>
  <r>
    <x v="10"/>
  </r>
  <r>
    <x v="10"/>
  </r>
  <r>
    <x v="10"/>
  </r>
  <r>
    <x v="10"/>
  </r>
  <r>
    <x v="123"/>
  </r>
  <r>
    <x v="10"/>
  </r>
  <r>
    <x v="123"/>
  </r>
  <r>
    <x v="123"/>
  </r>
  <r>
    <x v="24"/>
  </r>
  <r>
    <x v="123"/>
  </r>
  <r>
    <x v="87"/>
  </r>
  <r>
    <x v="123"/>
  </r>
  <r>
    <x v="10"/>
  </r>
  <r>
    <x v="11"/>
  </r>
  <r>
    <x v="10"/>
  </r>
  <r>
    <x v="10"/>
  </r>
  <r>
    <x v="10"/>
  </r>
  <r>
    <x v="4"/>
  </r>
  <r>
    <x v="53"/>
  </r>
  <r>
    <x v="10"/>
  </r>
  <r>
    <x v="63"/>
  </r>
  <r>
    <x v="36"/>
  </r>
  <r>
    <x v="36"/>
  </r>
  <r>
    <x v="10"/>
  </r>
  <r>
    <x v="10"/>
  </r>
  <r>
    <x v="10"/>
  </r>
  <r>
    <x v="10"/>
  </r>
  <r>
    <x v="10"/>
  </r>
  <r>
    <x v="10"/>
  </r>
  <r>
    <x v="53"/>
  </r>
  <r>
    <x v="115"/>
  </r>
  <r>
    <x v="115"/>
  </r>
  <r>
    <x v="115"/>
  </r>
  <r>
    <x v="115"/>
  </r>
  <r>
    <x v="229"/>
  </r>
  <r>
    <x v="115"/>
  </r>
  <r>
    <x v="7"/>
  </r>
  <r>
    <x v="7"/>
  </r>
  <r>
    <x v="53"/>
  </r>
  <r>
    <x v="229"/>
  </r>
  <r>
    <x v="116"/>
  </r>
  <r>
    <x v="87"/>
  </r>
  <r>
    <x v="53"/>
  </r>
  <r>
    <x v="115"/>
  </r>
  <r>
    <x v="4"/>
  </r>
  <r>
    <x v="4"/>
  </r>
  <r>
    <x v="63"/>
  </r>
  <r>
    <x v="10"/>
  </r>
  <r>
    <x v="87"/>
  </r>
  <r>
    <x v="10"/>
  </r>
  <r>
    <x v="22"/>
  </r>
  <r>
    <x v="22"/>
  </r>
  <r>
    <x v="22"/>
  </r>
  <r>
    <x v="22"/>
  </r>
  <r>
    <x v="10"/>
  </r>
  <r>
    <x v="10"/>
  </r>
  <r>
    <x v="28"/>
  </r>
  <r>
    <x v="77"/>
  </r>
  <r>
    <x v="128"/>
  </r>
  <r>
    <x v="12"/>
  </r>
  <r>
    <x v="25"/>
  </r>
  <r>
    <x v="4"/>
  </r>
  <r>
    <x v="4"/>
  </r>
  <r>
    <x v="4"/>
  </r>
  <r>
    <x v="4"/>
  </r>
  <r>
    <x v="10"/>
  </r>
  <r>
    <x v="42"/>
  </r>
  <r>
    <x v="126"/>
  </r>
  <r>
    <x v="12"/>
  </r>
  <r>
    <x v="12"/>
  </r>
  <r>
    <x v="10"/>
  </r>
  <r>
    <x v="10"/>
  </r>
  <r>
    <x v="10"/>
  </r>
  <r>
    <x v="10"/>
  </r>
  <r>
    <x v="78"/>
  </r>
  <r>
    <x v="78"/>
  </r>
  <r>
    <x v="141"/>
  </r>
  <r>
    <x v="141"/>
  </r>
  <r>
    <x v="78"/>
  </r>
  <r>
    <x v="78"/>
  </r>
  <r>
    <x v="78"/>
  </r>
  <r>
    <x v="78"/>
  </r>
  <r>
    <x v="22"/>
  </r>
  <r>
    <x v="78"/>
  </r>
  <r>
    <x v="22"/>
  </r>
  <r>
    <x v="183"/>
  </r>
  <r>
    <x v="78"/>
  </r>
  <r>
    <x v="22"/>
  </r>
  <r>
    <x v="78"/>
  </r>
  <r>
    <x v="78"/>
  </r>
  <r>
    <x v="78"/>
  </r>
  <r>
    <x v="22"/>
  </r>
  <r>
    <x v="22"/>
  </r>
  <r>
    <x v="78"/>
  </r>
  <r>
    <x v="78"/>
  </r>
  <r>
    <x v="78"/>
  </r>
  <r>
    <x v="63"/>
  </r>
  <r>
    <x v="78"/>
  </r>
  <r>
    <x v="4"/>
  </r>
  <r>
    <x v="63"/>
  </r>
  <r>
    <x v="42"/>
  </r>
  <r>
    <x v="63"/>
  </r>
  <r>
    <x v="42"/>
  </r>
  <r>
    <x v="63"/>
  </r>
  <r>
    <x v="63"/>
  </r>
  <r>
    <x v="63"/>
  </r>
  <r>
    <x v="99"/>
  </r>
  <r>
    <x v="42"/>
  </r>
  <r>
    <x v="63"/>
  </r>
  <r>
    <x v="63"/>
  </r>
  <r>
    <x v="63"/>
  </r>
  <r>
    <x v="10"/>
  </r>
  <r>
    <x v="10"/>
  </r>
  <r>
    <x v="10"/>
  </r>
  <r>
    <x v="108"/>
  </r>
  <r>
    <x v="10"/>
  </r>
  <r>
    <x v="10"/>
  </r>
  <r>
    <x v="10"/>
  </r>
  <r>
    <x v="12"/>
  </r>
  <r>
    <x v="12"/>
  </r>
  <r>
    <x v="12"/>
  </r>
  <r>
    <x v="12"/>
  </r>
  <r>
    <x v="12"/>
  </r>
  <r>
    <x v="42"/>
  </r>
  <r>
    <x v="42"/>
  </r>
  <r>
    <x v="12"/>
  </r>
  <r>
    <x v="12"/>
  </r>
  <r>
    <x v="12"/>
  </r>
  <r>
    <x v="12"/>
  </r>
  <r>
    <x v="12"/>
  </r>
  <r>
    <x v="42"/>
  </r>
  <r>
    <x v="4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12"/>
  </r>
  <r>
    <x v="4"/>
  </r>
  <r>
    <x v="1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77"/>
  </r>
  <r>
    <x v="4"/>
  </r>
  <r>
    <x v="14"/>
  </r>
  <r>
    <x v="4"/>
  </r>
  <r>
    <x v="4"/>
  </r>
  <r>
    <x v="4"/>
  </r>
  <r>
    <x v="4"/>
  </r>
  <r>
    <x v="4"/>
  </r>
  <r>
    <x v="4"/>
  </r>
  <r>
    <x v="4"/>
  </r>
  <r>
    <x v="71"/>
  </r>
  <r>
    <x v="4"/>
  </r>
  <r>
    <x v="4"/>
  </r>
  <r>
    <x v="4"/>
  </r>
  <r>
    <x v="4"/>
  </r>
  <r>
    <x v="4"/>
  </r>
  <r>
    <x v="4"/>
  </r>
  <r>
    <x v="7"/>
  </r>
  <r>
    <x v="4"/>
  </r>
  <r>
    <x v="4"/>
  </r>
  <r>
    <x v="4"/>
  </r>
  <r>
    <x v="4"/>
  </r>
  <r>
    <x v="4"/>
  </r>
  <r>
    <x v="4"/>
  </r>
  <r>
    <x v="56"/>
  </r>
  <r>
    <x v="56"/>
  </r>
  <r>
    <x v="42"/>
  </r>
  <r>
    <x v="42"/>
  </r>
  <r>
    <x v="12"/>
  </r>
  <r>
    <x v="42"/>
  </r>
  <r>
    <x v="4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4"/>
  </r>
  <r>
    <x v="12"/>
  </r>
  <r>
    <x v="12"/>
  </r>
  <r>
    <x v="12"/>
  </r>
  <r>
    <x v="87"/>
  </r>
  <r>
    <x v="87"/>
  </r>
  <r>
    <x v="87"/>
  </r>
  <r>
    <x v="87"/>
  </r>
  <r>
    <x v="10"/>
  </r>
  <r>
    <x v="10"/>
  </r>
  <r>
    <x v="87"/>
  </r>
  <r>
    <x v="87"/>
  </r>
  <r>
    <x v="87"/>
  </r>
  <r>
    <x v="10"/>
  </r>
  <r>
    <x v="36"/>
  </r>
  <r>
    <x v="87"/>
  </r>
  <r>
    <x v="7"/>
  </r>
  <r>
    <x v="4"/>
  </r>
  <r>
    <x v="102"/>
  </r>
  <r>
    <x v="7"/>
  </r>
  <r>
    <x v="3"/>
  </r>
  <r>
    <x v="7"/>
  </r>
  <r>
    <x v="87"/>
  </r>
  <r>
    <x v="87"/>
  </r>
  <r>
    <x v="87"/>
  </r>
  <r>
    <x v="87"/>
  </r>
  <r>
    <x v="87"/>
  </r>
  <r>
    <x v="87"/>
  </r>
  <r>
    <x v="87"/>
  </r>
  <r>
    <x v="87"/>
  </r>
  <r>
    <x v="41"/>
  </r>
  <r>
    <x v="87"/>
  </r>
  <r>
    <x v="87"/>
  </r>
  <r>
    <x v="10"/>
  </r>
  <r>
    <x v="10"/>
  </r>
  <r>
    <x v="10"/>
  </r>
  <r>
    <x v="10"/>
  </r>
  <r>
    <x v="10"/>
  </r>
  <r>
    <x v="10"/>
  </r>
  <r>
    <x v="42"/>
  </r>
  <r>
    <x v="42"/>
  </r>
  <r>
    <x v="42"/>
  </r>
  <r>
    <x v="42"/>
  </r>
  <r>
    <x v="42"/>
  </r>
  <r>
    <x v="42"/>
  </r>
  <r>
    <x v="42"/>
  </r>
  <r>
    <x v="42"/>
  </r>
  <r>
    <x v="149"/>
  </r>
  <r>
    <x v="149"/>
  </r>
  <r>
    <x v="149"/>
  </r>
  <r>
    <x v="51"/>
  </r>
  <r>
    <x v="7"/>
  </r>
  <r>
    <x v="10"/>
  </r>
  <r>
    <x v="276"/>
  </r>
  <r>
    <x v="10"/>
  </r>
  <r>
    <x v="10"/>
  </r>
  <r>
    <x v="10"/>
  </r>
  <r>
    <x v="112"/>
  </r>
  <r>
    <x v="71"/>
  </r>
  <r>
    <x v="51"/>
  </r>
  <r>
    <x v="51"/>
  </r>
  <r>
    <x v="51"/>
  </r>
  <r>
    <x v="63"/>
  </r>
  <r>
    <x v="130"/>
  </r>
  <r>
    <x v="130"/>
  </r>
  <r>
    <x v="63"/>
  </r>
  <r>
    <x v="63"/>
  </r>
  <r>
    <x v="63"/>
  </r>
  <r>
    <x v="130"/>
  </r>
  <r>
    <x v="171"/>
  </r>
  <r>
    <x v="15"/>
  </r>
  <r>
    <x v="63"/>
  </r>
  <r>
    <x v="28"/>
  </r>
  <r>
    <x v="208"/>
  </r>
  <r>
    <x v="63"/>
  </r>
  <r>
    <x v="63"/>
  </r>
  <r>
    <x v="16"/>
  </r>
  <r>
    <x v="77"/>
  </r>
  <r>
    <x v="77"/>
  </r>
  <r>
    <x v="26"/>
  </r>
  <r>
    <x v="17"/>
  </r>
  <r>
    <x v="10"/>
  </r>
  <r>
    <x v="10"/>
  </r>
  <r>
    <x v="10"/>
  </r>
  <r>
    <x v="10"/>
  </r>
  <r>
    <x v="10"/>
  </r>
  <r>
    <x v="10"/>
  </r>
  <r>
    <x v="138"/>
  </r>
  <r>
    <x v="10"/>
  </r>
  <r>
    <x v="165"/>
  </r>
  <r>
    <x v="53"/>
  </r>
  <r>
    <x v="53"/>
  </r>
  <r>
    <x v="4"/>
  </r>
  <r>
    <x v="19"/>
  </r>
  <r>
    <x v="9"/>
  </r>
  <r>
    <x v="12"/>
  </r>
  <r>
    <x v="234"/>
  </r>
  <r>
    <x v="75"/>
  </r>
  <r>
    <x v="17"/>
  </r>
  <r>
    <x v="48"/>
  </r>
  <r>
    <x v="96"/>
  </r>
  <r>
    <x v="96"/>
  </r>
  <r>
    <x v="151"/>
  </r>
  <r>
    <x v="286"/>
  </r>
  <r>
    <x v="87"/>
  </r>
  <r>
    <x v="34"/>
  </r>
  <r>
    <x v="10"/>
  </r>
  <r>
    <x v="96"/>
  </r>
  <r>
    <x v="10"/>
  </r>
  <r>
    <x v="42"/>
  </r>
  <r>
    <x v="12"/>
  </r>
  <r>
    <x v="9"/>
  </r>
  <r>
    <x v="32"/>
  </r>
  <r>
    <x v="42"/>
  </r>
  <r>
    <x v="24"/>
  </r>
  <r>
    <x v="12"/>
  </r>
  <r>
    <x v="190"/>
  </r>
  <r>
    <x v="190"/>
  </r>
  <r>
    <x v="128"/>
  </r>
  <r>
    <x v="190"/>
  </r>
  <r>
    <x v="190"/>
  </r>
  <r>
    <x v="128"/>
  </r>
  <r>
    <x v="190"/>
  </r>
  <r>
    <x v="4"/>
  </r>
  <r>
    <x v="26"/>
  </r>
  <r>
    <x v="4"/>
  </r>
  <r>
    <x v="86"/>
  </r>
  <r>
    <x v="4"/>
  </r>
  <r>
    <x v="4"/>
  </r>
  <r>
    <x v="86"/>
  </r>
  <r>
    <x v="4"/>
  </r>
  <r>
    <x v="10"/>
  </r>
  <r>
    <x v="4"/>
  </r>
  <r>
    <x v="10"/>
  </r>
  <r>
    <x v="10"/>
  </r>
  <r>
    <x v="4"/>
  </r>
  <r>
    <x v="56"/>
  </r>
  <r>
    <x v="87"/>
  </r>
  <r>
    <x v="56"/>
  </r>
  <r>
    <x v="56"/>
  </r>
  <r>
    <x v="56"/>
  </r>
  <r>
    <x v="23"/>
  </r>
  <r>
    <x v="138"/>
  </r>
  <r>
    <x v="36"/>
  </r>
  <r>
    <x v="12"/>
  </r>
  <r>
    <x v="36"/>
  </r>
  <r>
    <x v="36"/>
  </r>
  <r>
    <x v="36"/>
  </r>
  <r>
    <x v="36"/>
  </r>
  <r>
    <x v="36"/>
  </r>
  <r>
    <x v="36"/>
  </r>
  <r>
    <x v="12"/>
  </r>
  <r>
    <x v="63"/>
  </r>
  <r>
    <x v="37"/>
  </r>
  <r>
    <x v="36"/>
  </r>
  <r>
    <x v="36"/>
  </r>
  <r>
    <x v="36"/>
  </r>
  <r>
    <x v="9"/>
  </r>
  <r>
    <x v="36"/>
  </r>
  <r>
    <x v="9"/>
  </r>
  <r>
    <x v="37"/>
  </r>
  <r>
    <x v="37"/>
  </r>
  <r>
    <x v="37"/>
  </r>
  <r>
    <x v="36"/>
  </r>
  <r>
    <x v="36"/>
  </r>
  <r>
    <x v="14"/>
  </r>
  <r>
    <x v="42"/>
  </r>
  <r>
    <x v="42"/>
  </r>
  <r>
    <x v="76"/>
  </r>
  <r>
    <x v="76"/>
  </r>
  <r>
    <x v="10"/>
  </r>
  <r>
    <x v="12"/>
  </r>
  <r>
    <x v="48"/>
  </r>
  <r>
    <x v="12"/>
  </r>
  <r>
    <x v="12"/>
  </r>
  <r>
    <x v="12"/>
  </r>
  <r>
    <x v="12"/>
  </r>
  <r>
    <x v="0"/>
  </r>
  <r>
    <x v="25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165"/>
  </r>
  <r>
    <x v="87"/>
  </r>
  <r>
    <x v="4"/>
  </r>
  <r>
    <x v="12"/>
  </r>
  <r>
    <x v="12"/>
  </r>
  <r>
    <x v="10"/>
  </r>
  <r>
    <x v="165"/>
  </r>
  <r>
    <x v="77"/>
  </r>
  <r>
    <x v="45"/>
  </r>
  <r>
    <x v="165"/>
  </r>
  <r>
    <x v="76"/>
  </r>
  <r>
    <x v="86"/>
  </r>
  <r>
    <x v="86"/>
  </r>
  <r>
    <x v="31"/>
  </r>
  <r>
    <x v="31"/>
  </r>
  <r>
    <x v="108"/>
  </r>
  <r>
    <x v="111"/>
  </r>
  <r>
    <x v="48"/>
  </r>
  <r>
    <x v="29"/>
  </r>
  <r>
    <x v="48"/>
  </r>
  <r>
    <x v="77"/>
  </r>
  <r>
    <x v="10"/>
  </r>
  <r>
    <x v="56"/>
  </r>
  <r>
    <x v="56"/>
  </r>
  <r>
    <x v="56"/>
  </r>
  <r>
    <x v="56"/>
  </r>
  <r>
    <x v="56"/>
  </r>
  <r>
    <x v="93"/>
  </r>
  <r>
    <x v="56"/>
  </r>
  <r>
    <x v="56"/>
  </r>
  <r>
    <x v="123"/>
  </r>
  <r>
    <x v="123"/>
  </r>
  <r>
    <x v="77"/>
  </r>
  <r>
    <x v="63"/>
  </r>
  <r>
    <x v="63"/>
  </r>
  <r>
    <x v="31"/>
  </r>
  <r>
    <x v="77"/>
  </r>
  <r>
    <x v="36"/>
  </r>
  <r>
    <x v="22"/>
  </r>
  <r>
    <x v="14"/>
  </r>
  <r>
    <x v="28"/>
  </r>
  <r>
    <x v="75"/>
  </r>
  <r>
    <x v="14"/>
  </r>
  <r>
    <x v="28"/>
  </r>
  <r>
    <x v="72"/>
  </r>
  <r>
    <x v="1"/>
  </r>
  <r>
    <x v="28"/>
  </r>
  <r>
    <x v="75"/>
  </r>
  <r>
    <x v="77"/>
  </r>
  <r>
    <x v="2"/>
  </r>
  <r>
    <x v="61"/>
  </r>
  <r>
    <x v="85"/>
  </r>
  <r>
    <x v="0"/>
  </r>
  <r>
    <x v="16"/>
  </r>
  <r>
    <x v="77"/>
  </r>
  <r>
    <x v="25"/>
  </r>
  <r>
    <x v="16"/>
  </r>
  <r>
    <x v="77"/>
  </r>
  <r>
    <x v="12"/>
  </r>
  <r>
    <x v="115"/>
  </r>
  <r>
    <x v="114"/>
  </r>
  <r>
    <x v="114"/>
  </r>
  <r>
    <x v="12"/>
  </r>
  <r>
    <x v="12"/>
  </r>
  <r>
    <x v="4"/>
  </r>
  <r>
    <x v="4"/>
  </r>
  <r>
    <x v="10"/>
  </r>
  <r>
    <x v="16"/>
  </r>
  <r>
    <x v="10"/>
  </r>
  <r>
    <x v="10"/>
  </r>
  <r>
    <x v="10"/>
  </r>
  <r>
    <x v="12"/>
  </r>
  <r>
    <x v="12"/>
  </r>
  <r>
    <x v="86"/>
  </r>
  <r>
    <x v="75"/>
  </r>
  <r>
    <x v="16"/>
  </r>
  <r>
    <x v="122"/>
  </r>
  <r>
    <x v="16"/>
  </r>
  <r>
    <x v="77"/>
  </r>
  <r>
    <x v="48"/>
  </r>
  <r>
    <x v="48"/>
  </r>
  <r>
    <x v="48"/>
  </r>
  <r>
    <x v="48"/>
  </r>
  <r>
    <x v="100"/>
  </r>
  <r>
    <x v="48"/>
  </r>
  <r>
    <x v="48"/>
  </r>
  <r>
    <x v="87"/>
  </r>
  <r>
    <x v="10"/>
  </r>
  <r>
    <x v="87"/>
  </r>
  <r>
    <x v="87"/>
  </r>
  <r>
    <x v="87"/>
  </r>
  <r>
    <x v="87"/>
  </r>
  <r>
    <x v="87"/>
  </r>
  <r>
    <x v="87"/>
  </r>
  <r>
    <x v="87"/>
  </r>
  <r>
    <x v="87"/>
  </r>
  <r>
    <x v="10"/>
  </r>
  <r>
    <x v="87"/>
  </r>
  <r>
    <x v="87"/>
  </r>
  <r>
    <x v="87"/>
  </r>
  <r>
    <x v="35"/>
  </r>
  <r>
    <x v="87"/>
  </r>
  <r>
    <x v="87"/>
  </r>
  <r>
    <x v="87"/>
  </r>
  <r>
    <x v="87"/>
  </r>
  <r>
    <x v="86"/>
  </r>
  <r>
    <x v="87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23"/>
  </r>
  <r>
    <x v="123"/>
  </r>
  <r>
    <x v="123"/>
  </r>
  <r>
    <x v="123"/>
  </r>
  <r>
    <x v="10"/>
  </r>
  <r>
    <x v="10"/>
  </r>
  <r>
    <x v="87"/>
  </r>
  <r>
    <x v="87"/>
  </r>
  <r>
    <x v="10"/>
  </r>
  <r>
    <x v="10"/>
  </r>
  <r>
    <x v="10"/>
  </r>
  <r>
    <x v="10"/>
  </r>
  <r>
    <x v="10"/>
  </r>
  <r>
    <x v="87"/>
  </r>
  <r>
    <x v="10"/>
  </r>
  <r>
    <x v="4"/>
  </r>
  <r>
    <x v="4"/>
  </r>
  <r>
    <x v="138"/>
  </r>
  <r>
    <x v="42"/>
  </r>
  <r>
    <x v="152"/>
  </r>
  <r>
    <x v="36"/>
  </r>
  <r>
    <x v="36"/>
  </r>
  <r>
    <x v="10"/>
  </r>
  <r>
    <x v="12"/>
  </r>
  <r>
    <x v="10"/>
  </r>
  <r>
    <x v="10"/>
  </r>
  <r>
    <x v="2"/>
  </r>
  <r>
    <x v="10"/>
  </r>
  <r>
    <x v="10"/>
  </r>
  <r>
    <x v="10"/>
  </r>
  <r>
    <x v="56"/>
  </r>
  <r>
    <x v="56"/>
  </r>
  <r>
    <x v="56"/>
  </r>
  <r>
    <x v="4"/>
  </r>
  <r>
    <x v="42"/>
  </r>
  <r>
    <x v="87"/>
  </r>
  <r>
    <x v="123"/>
  </r>
  <r>
    <x v="42"/>
  </r>
  <r>
    <x v="42"/>
  </r>
  <r>
    <x v="52"/>
  </r>
  <r>
    <x v="42"/>
  </r>
  <r>
    <x v="42"/>
  </r>
  <r>
    <x v="42"/>
  </r>
  <r>
    <x v="12"/>
  </r>
  <r>
    <x v="42"/>
  </r>
  <r>
    <x v="53"/>
  </r>
  <r>
    <x v="53"/>
  </r>
  <r>
    <x v="42"/>
  </r>
  <r>
    <x v="42"/>
  </r>
  <r>
    <x v="42"/>
  </r>
  <r>
    <x v="42"/>
  </r>
  <r>
    <x v="42"/>
  </r>
  <r>
    <x v="77"/>
  </r>
  <r>
    <x v="42"/>
  </r>
  <r>
    <x v="42"/>
  </r>
  <r>
    <x v="71"/>
  </r>
  <r>
    <x v="42"/>
  </r>
  <r>
    <x v="126"/>
  </r>
  <r>
    <x v="33"/>
  </r>
  <r>
    <x v="10"/>
  </r>
  <r>
    <x v="10"/>
  </r>
  <r>
    <x v="4"/>
  </r>
  <r>
    <x v="10"/>
  </r>
  <r>
    <x v="10"/>
  </r>
  <r>
    <x v="248"/>
  </r>
  <r>
    <x v="126"/>
  </r>
  <r>
    <x v="10"/>
  </r>
  <r>
    <x v="10"/>
  </r>
  <r>
    <x v="126"/>
  </r>
  <r>
    <x v="126"/>
  </r>
  <r>
    <x v="126"/>
  </r>
  <r>
    <x v="126"/>
  </r>
  <r>
    <x v="126"/>
  </r>
  <r>
    <x v="126"/>
  </r>
  <r>
    <x v="126"/>
  </r>
  <r>
    <x v="45"/>
  </r>
  <r>
    <x v="4"/>
  </r>
  <r>
    <x v="4"/>
  </r>
  <r>
    <x v="10"/>
  </r>
  <r>
    <x v="4"/>
  </r>
  <r>
    <x v="10"/>
  </r>
  <r>
    <x v="4"/>
  </r>
  <r>
    <x v="4"/>
  </r>
  <r>
    <x v="10"/>
  </r>
  <r>
    <x v="10"/>
  </r>
  <r>
    <x v="4"/>
  </r>
  <r>
    <x v="141"/>
  </r>
  <r>
    <x v="10"/>
  </r>
  <r>
    <x v="4"/>
  </r>
  <r>
    <x v="4"/>
  </r>
  <r>
    <x v="87"/>
  </r>
  <r>
    <x v="9"/>
  </r>
  <r>
    <x v="87"/>
  </r>
  <r>
    <x v="87"/>
  </r>
  <r>
    <x v="87"/>
  </r>
  <r>
    <x v="87"/>
  </r>
  <r>
    <x v="87"/>
  </r>
  <r>
    <x v="4"/>
  </r>
  <r>
    <x v="4"/>
  </r>
  <r>
    <x v="87"/>
  </r>
  <r>
    <x v="87"/>
  </r>
  <r>
    <x v="87"/>
  </r>
  <r>
    <x v="100"/>
  </r>
  <r>
    <x v="42"/>
  </r>
  <r>
    <x v="126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10"/>
  </r>
  <r>
    <x v="11"/>
  </r>
  <r>
    <x v="28"/>
  </r>
  <r>
    <x v="12"/>
  </r>
  <r>
    <x v="78"/>
  </r>
  <r>
    <x v="165"/>
  </r>
  <r>
    <x v="14"/>
  </r>
  <r>
    <x v="4"/>
  </r>
  <r>
    <x v="123"/>
  </r>
  <r>
    <x v="123"/>
  </r>
  <r>
    <x v="123"/>
  </r>
  <r>
    <x v="123"/>
  </r>
  <r>
    <x v="4"/>
  </r>
  <r>
    <x v="4"/>
  </r>
  <r>
    <x v="4"/>
  </r>
  <r>
    <x v="4"/>
  </r>
  <r>
    <x v="165"/>
  </r>
  <r>
    <x v="4"/>
  </r>
  <r>
    <x v="4"/>
  </r>
  <r>
    <x v="4"/>
  </r>
  <r>
    <x v="4"/>
  </r>
  <r>
    <x v="0"/>
  </r>
  <r>
    <x v="25"/>
  </r>
  <r>
    <x v="50"/>
  </r>
  <r>
    <x v="24"/>
  </r>
  <r>
    <x v="4"/>
  </r>
  <r>
    <x v="22"/>
  </r>
  <r>
    <x v="24"/>
  </r>
  <r>
    <x v="36"/>
  </r>
  <r>
    <x v="36"/>
  </r>
  <r>
    <x v="102"/>
  </r>
  <r>
    <x v="25"/>
  </r>
  <r>
    <x v="24"/>
  </r>
  <r>
    <x v="24"/>
  </r>
  <r>
    <x v="24"/>
  </r>
  <r>
    <x v="4"/>
  </r>
  <r>
    <x v="4"/>
  </r>
  <r>
    <x v="4"/>
  </r>
  <r>
    <x v="4"/>
  </r>
  <r>
    <x v="4"/>
  </r>
  <r>
    <x v="4"/>
  </r>
  <r>
    <x v="4"/>
  </r>
  <r>
    <x v="6"/>
  </r>
  <r>
    <x v="10"/>
  </r>
  <r>
    <x v="10"/>
  </r>
  <r>
    <x v="10"/>
  </r>
  <r>
    <x v="10"/>
  </r>
  <r>
    <x v="126"/>
  </r>
  <r>
    <x v="10"/>
  </r>
  <r>
    <x v="10"/>
  </r>
  <r>
    <x v="10"/>
  </r>
  <r>
    <x v="0"/>
  </r>
  <r>
    <x v="36"/>
  </r>
  <r>
    <x v="36"/>
  </r>
  <r>
    <x v="36"/>
  </r>
  <r>
    <x v="19"/>
  </r>
  <r>
    <x v="12"/>
  </r>
  <r>
    <x v="12"/>
  </r>
  <r>
    <x v="12"/>
  </r>
  <r>
    <x v="12"/>
  </r>
  <r>
    <x v="77"/>
  </r>
  <r>
    <x v="12"/>
  </r>
  <r>
    <x v="12"/>
  </r>
  <r>
    <x v="85"/>
  </r>
  <r>
    <x v="87"/>
  </r>
  <r>
    <x v="81"/>
  </r>
  <r>
    <x v="87"/>
  </r>
  <r>
    <x v="86"/>
  </r>
  <r>
    <x v="86"/>
  </r>
  <r>
    <x v="86"/>
  </r>
  <r>
    <x v="86"/>
  </r>
  <r>
    <x v="86"/>
  </r>
  <r>
    <x v="87"/>
  </r>
  <r>
    <x v="87"/>
  </r>
  <r>
    <x v="87"/>
  </r>
  <r>
    <x v="100"/>
  </r>
  <r>
    <x v="64"/>
  </r>
  <r>
    <x v="42"/>
  </r>
  <r>
    <x v="12"/>
  </r>
  <r>
    <x v="86"/>
  </r>
  <r>
    <x v="86"/>
  </r>
  <r>
    <x v="36"/>
  </r>
  <r>
    <x v="36"/>
  </r>
  <r>
    <x v="36"/>
  </r>
  <r>
    <x v="36"/>
  </r>
  <r>
    <x v="12"/>
  </r>
  <r>
    <x v="12"/>
  </r>
  <r>
    <x v="12"/>
  </r>
  <r>
    <x v="42"/>
  </r>
  <r>
    <x v="36"/>
  </r>
  <r>
    <x v="36"/>
  </r>
  <r>
    <x v="36"/>
  </r>
  <r>
    <x v="36"/>
  </r>
  <r>
    <x v="36"/>
  </r>
  <r>
    <x v="80"/>
  </r>
  <r>
    <x v="48"/>
  </r>
  <r>
    <x v="80"/>
  </r>
  <r>
    <x v="36"/>
  </r>
  <r>
    <x v="12"/>
  </r>
  <r>
    <x v="14"/>
  </r>
  <r>
    <x v="10"/>
  </r>
  <r>
    <x v="10"/>
  </r>
  <r>
    <x v="10"/>
  </r>
  <r>
    <x v="10"/>
  </r>
  <r>
    <x v="10"/>
  </r>
  <r>
    <x v="19"/>
  </r>
  <r>
    <x v="4"/>
  </r>
  <r>
    <x v="10"/>
  </r>
  <r>
    <x v="4"/>
  </r>
  <r>
    <x v="10"/>
  </r>
  <r>
    <x v="10"/>
  </r>
  <r>
    <x v="10"/>
  </r>
  <r>
    <x v="10"/>
  </r>
  <r>
    <x v="10"/>
  </r>
  <r>
    <x v="10"/>
  </r>
  <r>
    <x v="36"/>
  </r>
  <r>
    <x v="36"/>
  </r>
  <r>
    <x v="10"/>
  </r>
  <r>
    <x v="10"/>
  </r>
  <r>
    <x v="4"/>
  </r>
  <r>
    <x v="12"/>
  </r>
  <r>
    <x v="138"/>
  </r>
  <r>
    <x v="183"/>
  </r>
  <r>
    <x v="138"/>
  </r>
  <r>
    <x v="138"/>
  </r>
  <r>
    <x v="138"/>
  </r>
  <r>
    <x v="138"/>
  </r>
  <r>
    <x v="10"/>
  </r>
  <r>
    <x v="12"/>
  </r>
  <r>
    <x v="10"/>
  </r>
  <r>
    <x v="10"/>
  </r>
  <r>
    <x v="10"/>
  </r>
  <r>
    <x v="10"/>
  </r>
  <r>
    <x v="10"/>
  </r>
  <r>
    <x v="10"/>
  </r>
  <r>
    <x v="10"/>
  </r>
  <r>
    <x v="14"/>
  </r>
  <r>
    <x v="14"/>
  </r>
  <r>
    <x v="14"/>
  </r>
  <r>
    <x v="14"/>
  </r>
  <r>
    <x v="14"/>
  </r>
  <r>
    <x v="14"/>
  </r>
  <r>
    <x v="14"/>
  </r>
  <r>
    <x v="4"/>
  </r>
  <r>
    <x v="10"/>
  </r>
  <r>
    <x v="14"/>
  </r>
  <r>
    <x v="14"/>
  </r>
  <r>
    <x v="14"/>
  </r>
  <r>
    <x v="14"/>
  </r>
  <r>
    <x v="14"/>
  </r>
  <r>
    <x v="24"/>
  </r>
  <r>
    <x v="4"/>
  </r>
  <r>
    <x v="57"/>
  </r>
  <r>
    <x v="4"/>
  </r>
  <r>
    <x v="4"/>
  </r>
  <r>
    <x v="108"/>
  </r>
  <r>
    <x v="45"/>
  </r>
  <r>
    <x v="45"/>
  </r>
  <r>
    <x v="14"/>
  </r>
  <r>
    <x v="7"/>
  </r>
  <r>
    <x v="7"/>
  </r>
  <r>
    <x v="7"/>
  </r>
  <r>
    <x v="7"/>
  </r>
  <r>
    <x v="7"/>
  </r>
  <r>
    <x v="7"/>
  </r>
  <r>
    <x v="7"/>
  </r>
  <r>
    <x v="29"/>
  </r>
  <r>
    <x v="123"/>
  </r>
  <r>
    <x v="0"/>
  </r>
  <r>
    <x v="22"/>
  </r>
  <r>
    <x v="4"/>
  </r>
  <r>
    <x v="55"/>
  </r>
  <r>
    <x v="10"/>
  </r>
  <r>
    <x v="10"/>
  </r>
  <r>
    <x v="10"/>
  </r>
  <r>
    <x v="10"/>
  </r>
  <r>
    <x v="103"/>
  </r>
  <r>
    <x v="10"/>
  </r>
  <r>
    <x v="25"/>
  </r>
  <r>
    <x v="25"/>
  </r>
  <r>
    <x v="198"/>
  </r>
  <r>
    <x v="43"/>
  </r>
  <r>
    <x v="4"/>
  </r>
  <r>
    <x v="9"/>
  </r>
  <r>
    <x v="4"/>
  </r>
  <r>
    <x v="71"/>
  </r>
  <r>
    <x v="4"/>
  </r>
  <r>
    <x v="4"/>
  </r>
  <r>
    <x v="36"/>
  </r>
  <r>
    <x v="36"/>
  </r>
  <r>
    <x v="4"/>
  </r>
  <r>
    <x v="4"/>
  </r>
  <r>
    <x v="4"/>
  </r>
  <r>
    <x v="4"/>
  </r>
  <r>
    <x v="4"/>
  </r>
  <r>
    <x v="4"/>
  </r>
  <r>
    <x v="4"/>
  </r>
  <r>
    <x v="276"/>
  </r>
  <r>
    <x v="10"/>
  </r>
  <r>
    <x v="10"/>
  </r>
  <r>
    <x v="10"/>
  </r>
  <r>
    <x v="10"/>
  </r>
  <r>
    <x v="72"/>
  </r>
  <r>
    <x v="72"/>
  </r>
  <r>
    <x v="0"/>
  </r>
  <r>
    <x v="126"/>
  </r>
  <r>
    <x v="126"/>
  </r>
  <r>
    <x v="126"/>
  </r>
  <r>
    <x v="4"/>
  </r>
  <r>
    <x v="24"/>
  </r>
  <r>
    <x v="4"/>
  </r>
  <r>
    <x v="42"/>
  </r>
  <r>
    <x v="12"/>
  </r>
  <r>
    <x v="77"/>
  </r>
  <r>
    <x v="12"/>
  </r>
  <r>
    <x v="12"/>
  </r>
  <r>
    <x v="12"/>
  </r>
  <r>
    <x v="12"/>
  </r>
  <r>
    <x v="1"/>
  </r>
  <r>
    <x v="15"/>
  </r>
  <r>
    <x v="28"/>
  </r>
  <r>
    <x v="4"/>
  </r>
  <r>
    <x v="28"/>
  </r>
  <r>
    <x v="48"/>
  </r>
  <r>
    <x v="7"/>
  </r>
  <r>
    <x v="10"/>
  </r>
  <r>
    <x v="16"/>
  </r>
  <r>
    <x v="17"/>
  </r>
  <r>
    <x v="4"/>
  </r>
  <r>
    <x v="51"/>
  </r>
  <r>
    <x v="22"/>
  </r>
  <r>
    <x v="10"/>
  </r>
  <r>
    <x v="42"/>
  </r>
  <r>
    <x v="0"/>
  </r>
  <r>
    <x v="28"/>
  </r>
  <r>
    <x v="123"/>
  </r>
  <r>
    <x v="4"/>
  </r>
  <r>
    <x v="4"/>
  </r>
  <r>
    <x v="4"/>
  </r>
  <r>
    <x v="14"/>
  </r>
  <r>
    <x v="76"/>
  </r>
  <r>
    <x v="76"/>
  </r>
  <r>
    <x v="0"/>
  </r>
  <r>
    <x v="175"/>
  </r>
  <r>
    <x v="175"/>
  </r>
  <r>
    <x v="12"/>
  </r>
  <r>
    <x v="29"/>
  </r>
  <r>
    <x v="64"/>
  </r>
  <r>
    <x v="37"/>
  </r>
  <r>
    <x v="16"/>
  </r>
  <r>
    <x v="16"/>
  </r>
  <r>
    <x v="2"/>
  </r>
  <r>
    <x v="10"/>
  </r>
  <r>
    <x v="10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12"/>
  </r>
  <r>
    <x v="25"/>
  </r>
  <r>
    <x v="9"/>
  </r>
  <r>
    <x v="86"/>
  </r>
  <r>
    <x v="86"/>
  </r>
  <r>
    <x v="86"/>
  </r>
  <r>
    <x v="3"/>
  </r>
  <r>
    <x v="3"/>
  </r>
  <r>
    <x v="115"/>
  </r>
  <r>
    <x v="86"/>
  </r>
  <r>
    <x v="71"/>
  </r>
  <r>
    <x v="71"/>
  </r>
  <r>
    <x v="86"/>
  </r>
  <r>
    <x v="86"/>
  </r>
  <r>
    <x v="86"/>
  </r>
  <r>
    <x v="115"/>
  </r>
  <r>
    <x v="4"/>
  </r>
  <r>
    <x v="4"/>
  </r>
  <r>
    <x v="86"/>
  </r>
  <r>
    <x v="115"/>
  </r>
  <r>
    <x v="10"/>
  </r>
  <r>
    <x v="10"/>
  </r>
  <r>
    <x v="21"/>
  </r>
  <r>
    <x v="12"/>
  </r>
  <r>
    <x v="108"/>
  </r>
  <r>
    <x v="108"/>
  </r>
  <r>
    <x v="71"/>
  </r>
  <r>
    <x v="71"/>
  </r>
  <r>
    <x v="10"/>
  </r>
  <r>
    <x v="12"/>
  </r>
  <r>
    <x v="12"/>
  </r>
  <r>
    <x v="12"/>
  </r>
  <r>
    <x v="126"/>
  </r>
  <r>
    <x v="126"/>
  </r>
  <r>
    <x v="4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10"/>
  </r>
  <r>
    <x v="10"/>
  </r>
  <r>
    <x v="10"/>
  </r>
  <r>
    <x v="64"/>
  </r>
  <r>
    <x v="10"/>
  </r>
  <r>
    <x v="10"/>
  </r>
  <r>
    <x v="10"/>
  </r>
  <r>
    <x v="10"/>
  </r>
  <r>
    <x v="10"/>
  </r>
  <r>
    <x v="10"/>
  </r>
  <r>
    <x v="26"/>
  </r>
  <r>
    <x v="0"/>
  </r>
  <r>
    <x v="17"/>
  </r>
  <r>
    <x v="22"/>
  </r>
  <r>
    <x v="76"/>
  </r>
  <r>
    <x v="22"/>
  </r>
  <r>
    <x v="4"/>
  </r>
  <r>
    <x v="4"/>
  </r>
  <r>
    <x v="4"/>
  </r>
  <r>
    <x v="4"/>
  </r>
  <r>
    <x v="28"/>
  </r>
  <r>
    <x v="12"/>
  </r>
  <r>
    <x v="48"/>
  </r>
  <r>
    <x v="16"/>
  </r>
  <r>
    <x v="26"/>
  </r>
  <r>
    <x v="10"/>
  </r>
  <r>
    <x v="10"/>
  </r>
  <r>
    <x v="56"/>
  </r>
  <r>
    <x v="12"/>
  </r>
  <r>
    <x v="56"/>
  </r>
  <r>
    <x v="56"/>
  </r>
  <r>
    <x v="56"/>
  </r>
  <r>
    <x v="16"/>
  </r>
  <r>
    <x v="48"/>
  </r>
  <r>
    <x v="115"/>
  </r>
  <r>
    <x v="3"/>
  </r>
  <r>
    <x v="76"/>
  </r>
  <r>
    <x v="71"/>
  </r>
  <r>
    <x v="81"/>
  </r>
  <r>
    <x v="71"/>
  </r>
  <r>
    <x v="71"/>
  </r>
  <r>
    <x v="71"/>
  </r>
  <r>
    <x v="51"/>
  </r>
  <r>
    <x v="51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76"/>
  </r>
  <r>
    <x v="4"/>
  </r>
  <r>
    <x v="165"/>
  </r>
  <r>
    <x v="4"/>
  </r>
  <r>
    <x v="4"/>
  </r>
  <r>
    <x v="10"/>
  </r>
  <r>
    <x v="4"/>
  </r>
  <r>
    <x v="10"/>
  </r>
  <r>
    <x v="4"/>
  </r>
  <r>
    <x v="10"/>
  </r>
  <r>
    <x v="10"/>
  </r>
  <r>
    <x v="10"/>
  </r>
  <r>
    <x v="12"/>
  </r>
  <r>
    <x v="10"/>
  </r>
  <r>
    <x v="4"/>
  </r>
  <r>
    <x v="12"/>
  </r>
  <r>
    <x v="12"/>
  </r>
  <r>
    <x v="10"/>
  </r>
  <r>
    <x v="15"/>
  </r>
  <r>
    <x v="15"/>
  </r>
  <r>
    <x v="10"/>
  </r>
  <r>
    <x v="4"/>
  </r>
  <r>
    <x v="10"/>
  </r>
  <r>
    <x v="10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7"/>
  </r>
  <r>
    <x v="87"/>
  </r>
  <r>
    <x v="87"/>
  </r>
  <r>
    <x v="16"/>
  </r>
  <r>
    <x v="77"/>
  </r>
  <r>
    <x v="10"/>
  </r>
  <r>
    <x v="10"/>
  </r>
  <r>
    <x v="75"/>
  </r>
  <r>
    <x v="4"/>
  </r>
  <r>
    <x v="12"/>
  </r>
  <r>
    <x v="175"/>
  </r>
  <r>
    <x v="175"/>
  </r>
  <r>
    <x v="175"/>
  </r>
  <r>
    <x v="12"/>
  </r>
  <r>
    <x v="175"/>
  </r>
  <r>
    <x v="175"/>
  </r>
  <r>
    <x v="12"/>
  </r>
  <r>
    <x v="12"/>
  </r>
  <r>
    <x v="12"/>
  </r>
  <r>
    <x v="9"/>
  </r>
  <r>
    <x v="12"/>
  </r>
  <r>
    <x v="12"/>
  </r>
  <r>
    <x v="87"/>
  </r>
  <r>
    <x v="87"/>
  </r>
  <r>
    <x v="29"/>
  </r>
  <r>
    <x v="123"/>
  </r>
  <r>
    <x v="123"/>
  </r>
  <r>
    <x v="87"/>
  </r>
  <r>
    <x v="123"/>
  </r>
  <r>
    <x v="123"/>
  </r>
  <r>
    <x v="123"/>
  </r>
  <r>
    <x v="123"/>
  </r>
  <r>
    <x v="87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86"/>
  </r>
  <r>
    <x v="33"/>
  </r>
  <r>
    <x v="142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11"/>
  </r>
  <r>
    <x v="29"/>
  </r>
  <r>
    <x v="29"/>
  </r>
  <r>
    <x v="78"/>
  </r>
  <r>
    <x v="25"/>
  </r>
  <r>
    <x v="33"/>
  </r>
  <r>
    <x v="78"/>
  </r>
  <r>
    <x v="33"/>
  </r>
  <r>
    <x v="78"/>
  </r>
  <r>
    <x v="78"/>
  </r>
  <r>
    <x v="33"/>
  </r>
  <r>
    <x v="78"/>
  </r>
  <r>
    <x v="33"/>
  </r>
  <r>
    <x v="78"/>
  </r>
  <r>
    <x v="28"/>
  </r>
  <r>
    <x v="141"/>
  </r>
  <r>
    <x v="12"/>
  </r>
  <r>
    <x v="39"/>
  </r>
  <r>
    <x v="142"/>
  </r>
  <r>
    <x v="142"/>
  </r>
  <r>
    <x v="10"/>
  </r>
  <r>
    <x v="10"/>
  </r>
  <r>
    <x v="48"/>
  </r>
  <r>
    <x v="34"/>
  </r>
  <r>
    <x v="278"/>
  </r>
  <r>
    <x v="30"/>
  </r>
  <r>
    <x v="0"/>
  </r>
  <r>
    <x v="14"/>
  </r>
  <r>
    <x v="71"/>
  </r>
  <r>
    <x v="71"/>
  </r>
  <r>
    <x v="0"/>
  </r>
  <r>
    <x v="10"/>
  </r>
  <r>
    <x v="40"/>
  </r>
  <r>
    <x v="10"/>
  </r>
  <r>
    <x v="7"/>
  </r>
  <r>
    <x v="9"/>
  </r>
  <r>
    <x v="76"/>
  </r>
  <r>
    <x v="10"/>
  </r>
  <r>
    <x v="9"/>
  </r>
  <r>
    <x v="15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7"/>
  </r>
  <r>
    <x v="57"/>
  </r>
  <r>
    <x v="57"/>
  </r>
  <r>
    <x v="57"/>
  </r>
  <r>
    <x v="57"/>
  </r>
  <r>
    <x v="42"/>
  </r>
  <r>
    <x v="12"/>
  </r>
  <r>
    <x v="12"/>
  </r>
  <r>
    <x v="276"/>
  </r>
  <r>
    <x v="12"/>
  </r>
  <r>
    <x v="77"/>
  </r>
  <r>
    <x v="4"/>
  </r>
  <r>
    <x v="4"/>
  </r>
  <r>
    <x v="4"/>
  </r>
  <r>
    <x v="4"/>
  </r>
  <r>
    <x v="4"/>
  </r>
  <r>
    <x v="4"/>
  </r>
  <r>
    <x v="87"/>
  </r>
  <r>
    <x v="87"/>
  </r>
  <r>
    <x v="87"/>
  </r>
  <r>
    <x v="87"/>
  </r>
  <r>
    <x v="87"/>
  </r>
  <r>
    <x v="10"/>
  </r>
  <r>
    <x v="50"/>
  </r>
  <r>
    <x v="4"/>
  </r>
  <r>
    <x v="39"/>
  </r>
  <r>
    <x v="165"/>
  </r>
  <r>
    <x v="10"/>
  </r>
  <r>
    <x v="115"/>
  </r>
  <r>
    <x v="68"/>
  </r>
  <r>
    <x v="12"/>
  </r>
  <r>
    <x v="36"/>
  </r>
  <r>
    <x v="12"/>
  </r>
  <r>
    <x v="12"/>
  </r>
  <r>
    <x v="126"/>
  </r>
  <r>
    <x v="10"/>
  </r>
  <r>
    <x v="10"/>
  </r>
  <r>
    <x v="39"/>
  </r>
  <r>
    <x v="79"/>
  </r>
  <r>
    <x v="39"/>
  </r>
  <r>
    <x v="16"/>
  </r>
  <r>
    <x v="16"/>
  </r>
  <r>
    <x v="16"/>
  </r>
  <r>
    <x v="10"/>
  </r>
  <r>
    <x v="10"/>
  </r>
  <r>
    <x v="10"/>
  </r>
  <r>
    <x v="10"/>
  </r>
  <r>
    <x v="10"/>
  </r>
  <r>
    <x v="227"/>
  </r>
  <r>
    <x v="28"/>
  </r>
  <r>
    <x v="76"/>
  </r>
  <r>
    <x v="10"/>
  </r>
  <r>
    <x v="77"/>
  </r>
  <r>
    <x v="138"/>
  </r>
  <r>
    <x v="138"/>
  </r>
  <r>
    <x v="4"/>
  </r>
  <r>
    <x v="108"/>
  </r>
  <r>
    <x v="108"/>
  </r>
  <r>
    <x v="4"/>
  </r>
  <r>
    <x v="4"/>
  </r>
  <r>
    <x v="4"/>
  </r>
  <r>
    <x v="138"/>
  </r>
  <r>
    <x v="138"/>
  </r>
  <r>
    <x v="138"/>
  </r>
  <r>
    <x v="138"/>
  </r>
  <r>
    <x v="138"/>
  </r>
  <r>
    <x v="138"/>
  </r>
  <r>
    <x v="138"/>
  </r>
  <r>
    <x v="56"/>
  </r>
  <r>
    <x v="42"/>
  </r>
  <r>
    <x v="42"/>
  </r>
  <r>
    <x v="42"/>
  </r>
  <r>
    <x v="27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12"/>
  </r>
  <r>
    <x v="12"/>
  </r>
  <r>
    <x v="63"/>
  </r>
  <r>
    <x v="166"/>
  </r>
  <r>
    <x v="42"/>
  </r>
  <r>
    <x v="42"/>
  </r>
  <r>
    <x v="42"/>
  </r>
  <r>
    <x v="240"/>
  </r>
  <r>
    <x v="42"/>
  </r>
  <r>
    <x v="31"/>
  </r>
  <r>
    <x v="12"/>
  </r>
  <r>
    <x v="10"/>
  </r>
  <r>
    <x v="0"/>
  </r>
  <r>
    <x v="12"/>
  </r>
  <r>
    <x v="126"/>
  </r>
  <r>
    <x v="10"/>
  </r>
  <r>
    <x v="12"/>
  </r>
  <r>
    <x v="12"/>
  </r>
  <r>
    <x v="10"/>
  </r>
  <r>
    <x v="53"/>
  </r>
  <r>
    <x v="10"/>
  </r>
  <r>
    <x v="56"/>
  </r>
  <r>
    <x v="10"/>
  </r>
  <r>
    <x v="10"/>
  </r>
  <r>
    <x v="42"/>
  </r>
  <r>
    <x v="42"/>
  </r>
  <r>
    <x v="58"/>
  </r>
  <r>
    <x v="16"/>
  </r>
  <r>
    <x v="16"/>
  </r>
  <r>
    <x v="16"/>
  </r>
  <r>
    <x v="4"/>
  </r>
  <r>
    <x v="4"/>
  </r>
  <r>
    <x v="4"/>
  </r>
  <r>
    <x v="42"/>
  </r>
  <r>
    <x v="4"/>
  </r>
  <r>
    <x v="33"/>
  </r>
  <r>
    <x v="17"/>
  </r>
  <r>
    <x v="4"/>
  </r>
  <r>
    <x v="10"/>
  </r>
  <r>
    <x v="10"/>
  </r>
  <r>
    <x v="10"/>
  </r>
  <r>
    <x v="10"/>
  </r>
  <r>
    <x v="10"/>
  </r>
  <r>
    <x v="0"/>
  </r>
  <r>
    <x v="21"/>
  </r>
  <r>
    <x v="123"/>
  </r>
  <r>
    <x v="123"/>
  </r>
  <r>
    <x v="123"/>
  </r>
  <r>
    <x v="123"/>
  </r>
  <r>
    <x v="123"/>
  </r>
  <r>
    <x v="123"/>
  </r>
  <r>
    <x v="123"/>
  </r>
  <r>
    <x v="138"/>
  </r>
  <r>
    <x v="123"/>
  </r>
  <r>
    <x v="123"/>
  </r>
  <r>
    <x v="123"/>
  </r>
  <r>
    <x v="165"/>
  </r>
  <r>
    <x v="165"/>
  </r>
  <r>
    <x v="165"/>
  </r>
  <r>
    <x v="165"/>
  </r>
  <r>
    <x v="12"/>
  </r>
  <r>
    <x v="12"/>
  </r>
  <r>
    <x v="9"/>
  </r>
  <r>
    <x v="9"/>
  </r>
  <r>
    <x v="42"/>
  </r>
  <r>
    <x v="87"/>
  </r>
  <r>
    <x v="4"/>
  </r>
  <r>
    <x v="10"/>
  </r>
  <r>
    <x v="162"/>
  </r>
  <r>
    <x v="162"/>
  </r>
  <r>
    <x v="162"/>
  </r>
  <r>
    <x v="4"/>
  </r>
  <r>
    <x v="4"/>
  </r>
  <r>
    <x v="4"/>
  </r>
  <r>
    <x v="10"/>
  </r>
  <r>
    <x v="16"/>
  </r>
  <r>
    <x v="4"/>
  </r>
  <r>
    <x v="14"/>
  </r>
  <r>
    <x v="4"/>
  </r>
  <r>
    <x v="45"/>
  </r>
  <r>
    <x v="10"/>
  </r>
  <r>
    <x v="10"/>
  </r>
  <r>
    <x v="207"/>
  </r>
  <r>
    <x v="9"/>
  </r>
  <r>
    <x v="4"/>
  </r>
  <r>
    <x v="28"/>
  </r>
  <r>
    <x v="28"/>
  </r>
  <r>
    <x v="28"/>
  </r>
  <r>
    <x v="28"/>
  </r>
  <r>
    <x v="28"/>
  </r>
  <r>
    <x v="126"/>
  </r>
  <r>
    <x v="28"/>
  </r>
  <r>
    <x v="28"/>
  </r>
  <r>
    <x v="69"/>
  </r>
  <r>
    <x v="69"/>
  </r>
  <r>
    <x v="69"/>
  </r>
  <r>
    <x v="69"/>
  </r>
  <r>
    <x v="4"/>
  </r>
  <r>
    <x v="69"/>
  </r>
  <r>
    <x v="69"/>
  </r>
  <r>
    <x v="90"/>
  </r>
  <r>
    <x v="4"/>
  </r>
  <r>
    <x v="12"/>
  </r>
  <r>
    <x v="41"/>
  </r>
  <r>
    <x v="123"/>
  </r>
  <r>
    <x v="123"/>
  </r>
  <r>
    <x v="123"/>
  </r>
  <r>
    <x v="87"/>
  </r>
  <r>
    <x v="100"/>
  </r>
  <r>
    <x v="4"/>
  </r>
  <r>
    <x v="4"/>
  </r>
  <r>
    <x v="4"/>
  </r>
  <r>
    <x v="165"/>
  </r>
  <r>
    <x v="165"/>
  </r>
  <r>
    <x v="4"/>
  </r>
  <r>
    <x v="24"/>
  </r>
  <r>
    <x v="4"/>
  </r>
  <r>
    <x v="4"/>
  </r>
  <r>
    <x v="4"/>
  </r>
  <r>
    <x v="33"/>
  </r>
  <r>
    <x v="4"/>
  </r>
  <r>
    <x v="4"/>
  </r>
  <r>
    <x v="4"/>
  </r>
  <r>
    <x v="12"/>
  </r>
  <r>
    <x v="41"/>
  </r>
  <r>
    <x v="4"/>
  </r>
  <r>
    <x v="42"/>
  </r>
  <r>
    <x v="42"/>
  </r>
  <r>
    <x v="42"/>
  </r>
  <r>
    <x v="42"/>
  </r>
  <r>
    <x v="42"/>
  </r>
  <r>
    <x v="50"/>
  </r>
  <r>
    <x v="50"/>
  </r>
  <r>
    <x v="33"/>
  </r>
  <r>
    <x v="1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10"/>
  </r>
  <r>
    <x v="10"/>
  </r>
  <r>
    <x v="42"/>
  </r>
  <r>
    <x v="12"/>
  </r>
  <r>
    <x v="12"/>
  </r>
  <r>
    <x v="12"/>
  </r>
  <r>
    <x v="12"/>
  </r>
  <r>
    <x v="87"/>
  </r>
  <r>
    <x v="12"/>
  </r>
  <r>
    <x v="0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65"/>
  </r>
  <r>
    <x v="12"/>
  </r>
  <r>
    <x v="42"/>
  </r>
  <r>
    <x v="42"/>
  </r>
  <r>
    <x v="42"/>
  </r>
  <r>
    <x v="42"/>
  </r>
  <r>
    <x v="42"/>
  </r>
  <r>
    <x v="50"/>
  </r>
  <r>
    <x v="10"/>
  </r>
  <r>
    <x v="16"/>
  </r>
  <r>
    <x v="10"/>
  </r>
  <r>
    <x v="10"/>
  </r>
  <r>
    <x v="4"/>
  </r>
  <r>
    <x v="138"/>
  </r>
  <r>
    <x v="12"/>
  </r>
  <r>
    <x v="12"/>
  </r>
  <r>
    <x v="12"/>
  </r>
  <r>
    <x v="12"/>
  </r>
  <r>
    <x v="12"/>
  </r>
  <r>
    <x v="12"/>
  </r>
  <r>
    <x v="12"/>
  </r>
  <r>
    <x v="12"/>
  </r>
  <r>
    <x v="11"/>
  </r>
  <r>
    <x v="12"/>
  </r>
  <r>
    <x v="12"/>
  </r>
  <r>
    <x v="12"/>
  </r>
  <r>
    <x v="12"/>
  </r>
  <r>
    <x v="48"/>
  </r>
  <r>
    <x v="12"/>
  </r>
  <r>
    <x v="12"/>
  </r>
  <r>
    <x v="12"/>
  </r>
  <r>
    <x v="36"/>
  </r>
  <r>
    <x v="36"/>
  </r>
  <r>
    <x v="42"/>
  </r>
  <r>
    <x v="28"/>
  </r>
  <r>
    <x v="7"/>
  </r>
  <r>
    <x v="14"/>
  </r>
  <r>
    <x v="108"/>
  </r>
  <r>
    <x v="56"/>
  </r>
  <r>
    <x v="56"/>
  </r>
  <r>
    <x v="56"/>
  </r>
  <r>
    <x v="56"/>
  </r>
  <r>
    <x v="56"/>
  </r>
  <r>
    <x v="56"/>
  </r>
  <r>
    <x v="12"/>
  </r>
  <r>
    <x v="72"/>
  </r>
  <r>
    <x v="22"/>
  </r>
  <r>
    <x v="56"/>
  </r>
  <r>
    <x v="56"/>
  </r>
  <r>
    <x v="56"/>
  </r>
  <r>
    <x v="126"/>
  </r>
  <r>
    <x v="25"/>
  </r>
  <r>
    <x v="56"/>
  </r>
  <r>
    <x v="56"/>
  </r>
  <r>
    <x v="56"/>
  </r>
  <r>
    <x v="56"/>
  </r>
  <r>
    <x v="56"/>
  </r>
  <r>
    <x v="56"/>
  </r>
  <r>
    <x v="77"/>
  </r>
  <r>
    <x v="165"/>
  </r>
  <r>
    <x v="56"/>
  </r>
  <r>
    <x v="7"/>
  </r>
  <r>
    <x v="7"/>
  </r>
  <r>
    <x v="207"/>
  </r>
  <r>
    <x v="12"/>
  </r>
  <r>
    <x v="22"/>
  </r>
  <r>
    <x v="12"/>
  </r>
  <r>
    <x v="7"/>
  </r>
  <r>
    <x v="10"/>
  </r>
  <r>
    <x v="10"/>
  </r>
  <r>
    <x v="42"/>
  </r>
  <r>
    <x v="42"/>
  </r>
  <r>
    <x v="42"/>
  </r>
  <r>
    <x v="42"/>
  </r>
  <r>
    <x v="100"/>
  </r>
  <r>
    <x v="42"/>
  </r>
  <r>
    <x v="42"/>
  </r>
  <r>
    <x v="42"/>
  </r>
  <r>
    <x v="115"/>
  </r>
  <r>
    <x v="69"/>
  </r>
  <r>
    <x v="69"/>
  </r>
  <r>
    <x v="115"/>
  </r>
  <r>
    <x v="24"/>
  </r>
  <r>
    <x v="24"/>
  </r>
  <r>
    <x v="24"/>
  </r>
  <r>
    <x v="24"/>
  </r>
  <r>
    <x v="24"/>
  </r>
  <r>
    <x v="14"/>
  </r>
  <r>
    <x v="130"/>
  </r>
  <r>
    <x v="130"/>
  </r>
  <r>
    <x v="130"/>
  </r>
  <r>
    <x v="130"/>
  </r>
  <r>
    <x v="130"/>
  </r>
  <r>
    <x v="130"/>
  </r>
  <r>
    <x v="55"/>
  </r>
  <r>
    <x v="10"/>
  </r>
  <r>
    <x v="10"/>
  </r>
  <r>
    <x v="9"/>
  </r>
  <r>
    <x v="9"/>
  </r>
  <r>
    <x v="10"/>
  </r>
  <r>
    <x v="16"/>
  </r>
  <r>
    <x v="7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4"/>
  </r>
  <r>
    <x v="100"/>
  </r>
  <r>
    <x v="14"/>
  </r>
  <r>
    <x v="14"/>
  </r>
  <r>
    <x v="4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4"/>
  </r>
  <r>
    <x v="9"/>
  </r>
  <r>
    <x v="25"/>
  </r>
  <r>
    <x v="10"/>
  </r>
  <r>
    <x v="4"/>
  </r>
  <r>
    <x v="4"/>
  </r>
  <r>
    <x v="10"/>
  </r>
  <r>
    <x v="4"/>
  </r>
  <r>
    <x v="4"/>
  </r>
  <r>
    <x v="42"/>
  </r>
  <r>
    <x v="42"/>
  </r>
  <r>
    <x v="42"/>
  </r>
  <r>
    <x v="42"/>
  </r>
  <r>
    <x v="129"/>
  </r>
  <r>
    <x v="76"/>
  </r>
  <r>
    <x v="48"/>
  </r>
  <r>
    <x v="12"/>
  </r>
  <r>
    <x v="69"/>
  </r>
  <r>
    <x v="57"/>
  </r>
  <r>
    <x v="14"/>
  </r>
  <r>
    <x v="12"/>
  </r>
  <r>
    <x v="69"/>
  </r>
  <r>
    <x v="53"/>
  </r>
  <r>
    <x v="53"/>
  </r>
  <r>
    <x v="12"/>
  </r>
  <r>
    <x v="12"/>
  </r>
  <r>
    <x v="12"/>
  </r>
  <r>
    <x v="12"/>
  </r>
  <r>
    <x v="12"/>
  </r>
  <r>
    <x v="12"/>
  </r>
  <r>
    <x v="12"/>
  </r>
  <r>
    <x v="77"/>
  </r>
  <r>
    <x v="4"/>
  </r>
  <r>
    <x v="4"/>
  </r>
  <r>
    <x v="77"/>
  </r>
  <r>
    <x v="77"/>
  </r>
  <r>
    <x v="77"/>
  </r>
  <r>
    <x v="78"/>
  </r>
  <r>
    <x v="77"/>
  </r>
  <r>
    <x v="77"/>
  </r>
  <r>
    <x v="77"/>
  </r>
  <r>
    <x v="63"/>
  </r>
  <r>
    <x v="16"/>
  </r>
  <r>
    <x v="77"/>
  </r>
  <r>
    <x v="77"/>
  </r>
  <r>
    <x v="25"/>
  </r>
  <r>
    <x v="77"/>
  </r>
  <r>
    <x v="174"/>
  </r>
  <r>
    <x v="87"/>
  </r>
  <r>
    <x v="9"/>
  </r>
  <r>
    <x v="12"/>
  </r>
  <r>
    <x v="12"/>
  </r>
  <r>
    <x v="48"/>
  </r>
  <r>
    <x v="4"/>
  </r>
  <r>
    <x v="4"/>
  </r>
  <r>
    <x v="76"/>
  </r>
  <r>
    <x v="4"/>
  </r>
  <r>
    <x v="4"/>
  </r>
  <r>
    <x v="16"/>
  </r>
  <r>
    <x v="51"/>
  </r>
  <r>
    <x v="86"/>
  </r>
  <r>
    <x v="86"/>
  </r>
  <r>
    <x v="28"/>
  </r>
  <r>
    <x v="16"/>
  </r>
  <r>
    <x v="16"/>
  </r>
  <r>
    <x v="10"/>
  </r>
  <r>
    <x v="10"/>
  </r>
  <r>
    <x v="19"/>
  </r>
  <r>
    <x v="140"/>
  </r>
  <r>
    <x v="123"/>
  </r>
  <r>
    <x v="123"/>
  </r>
  <r>
    <x v="10"/>
  </r>
  <r>
    <x v="14"/>
  </r>
  <r>
    <x v="4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71"/>
  </r>
  <r>
    <x v="4"/>
  </r>
  <r>
    <x v="4"/>
  </r>
  <r>
    <x v="4"/>
  </r>
  <r>
    <x v="4"/>
  </r>
  <r>
    <x v="0"/>
  </r>
  <r>
    <x v="4"/>
  </r>
  <r>
    <x v="4"/>
  </r>
  <r>
    <x v="53"/>
  </r>
  <r>
    <x v="42"/>
  </r>
  <r>
    <x v="102"/>
  </r>
  <r>
    <x v="25"/>
  </r>
  <r>
    <x v="10"/>
  </r>
  <r>
    <x v="48"/>
  </r>
  <r>
    <x v="0"/>
  </r>
  <r>
    <x v="4"/>
  </r>
  <r>
    <x v="4"/>
  </r>
  <r>
    <x v="28"/>
  </r>
  <r>
    <x v="162"/>
  </r>
  <r>
    <x v="21"/>
  </r>
  <r>
    <x v="21"/>
  </r>
  <r>
    <x v="21"/>
  </r>
  <r>
    <x v="14"/>
  </r>
  <r>
    <x v="21"/>
  </r>
  <r>
    <x v="21"/>
  </r>
  <r>
    <x v="10"/>
  </r>
  <r>
    <x v="28"/>
  </r>
  <r>
    <x v="28"/>
  </r>
  <r>
    <x v="28"/>
  </r>
  <r>
    <x v="28"/>
  </r>
  <r>
    <x v="76"/>
  </r>
  <r>
    <x v="86"/>
  </r>
  <r>
    <x v="42"/>
  </r>
  <r>
    <x v="77"/>
  </r>
  <r>
    <x v="71"/>
  </r>
  <r>
    <x v="86"/>
  </r>
  <r>
    <x v="86"/>
  </r>
  <r>
    <x v="86"/>
  </r>
  <r>
    <x v="10"/>
  </r>
  <r>
    <x v="10"/>
  </r>
  <r>
    <x v="10"/>
  </r>
  <r>
    <x v="76"/>
  </r>
  <r>
    <x v="76"/>
  </r>
  <r>
    <x v="10"/>
  </r>
  <r>
    <x v="10"/>
  </r>
  <r>
    <x v="10"/>
  </r>
  <r>
    <x v="52"/>
  </r>
  <r>
    <x v="10"/>
  </r>
  <r>
    <x v="10"/>
  </r>
  <r>
    <x v="10"/>
  </r>
  <r>
    <x v="115"/>
  </r>
  <r>
    <x v="115"/>
  </r>
  <r>
    <x v="115"/>
  </r>
  <r>
    <x v="115"/>
  </r>
  <r>
    <x v="115"/>
  </r>
  <r>
    <x v="115"/>
  </r>
  <r>
    <x v="123"/>
  </r>
  <r>
    <x v="123"/>
  </r>
  <r>
    <x v="152"/>
  </r>
  <r>
    <x v="152"/>
  </r>
  <r>
    <x v="123"/>
  </r>
  <r>
    <x v="123"/>
  </r>
  <r>
    <x v="123"/>
  </r>
  <r>
    <x v="123"/>
  </r>
  <r>
    <x v="123"/>
  </r>
  <r>
    <x v="123"/>
  </r>
  <r>
    <x v="123"/>
  </r>
  <r>
    <x v="108"/>
  </r>
  <r>
    <x v="123"/>
  </r>
  <r>
    <x v="123"/>
  </r>
  <r>
    <x v="123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81"/>
  </r>
  <r>
    <x v="0"/>
  </r>
  <r>
    <x v="10"/>
  </r>
  <r>
    <x v="10"/>
  </r>
  <r>
    <x v="59"/>
  </r>
  <r>
    <x v="4"/>
  </r>
  <r>
    <x v="165"/>
  </r>
  <r>
    <x v="138"/>
  </r>
  <r>
    <x v="4"/>
  </r>
  <r>
    <x v="4"/>
  </r>
  <r>
    <x v="56"/>
  </r>
  <r>
    <x v="9"/>
  </r>
  <r>
    <x v="9"/>
  </r>
  <r>
    <x v="42"/>
  </r>
  <r>
    <x v="42"/>
  </r>
  <r>
    <x v="12"/>
  </r>
  <r>
    <x v="87"/>
  </r>
  <r>
    <x v="87"/>
  </r>
  <r>
    <x v="56"/>
  </r>
  <r>
    <x v="42"/>
  </r>
  <r>
    <x v="42"/>
  </r>
  <r>
    <x v="42"/>
  </r>
  <r>
    <x v="17"/>
  </r>
  <r>
    <x v="0"/>
  </r>
  <r>
    <x v="165"/>
  </r>
  <r>
    <x v="36"/>
  </r>
  <r>
    <x v="63"/>
  </r>
  <r>
    <x v="63"/>
  </r>
  <r>
    <x v="0"/>
  </r>
  <r>
    <x v="0"/>
  </r>
  <r>
    <x v="77"/>
  </r>
  <r>
    <x v="86"/>
  </r>
  <r>
    <x v="86"/>
  </r>
  <r>
    <x v="86"/>
  </r>
  <r>
    <x v="86"/>
  </r>
  <r>
    <x v="86"/>
  </r>
  <r>
    <x v="72"/>
  </r>
  <r>
    <x v="40"/>
  </r>
  <r>
    <x v="40"/>
  </r>
  <r>
    <x v="40"/>
  </r>
  <r>
    <x v="40"/>
  </r>
  <r>
    <x v="86"/>
  </r>
  <r>
    <x v="14"/>
  </r>
  <r>
    <x v="24"/>
  </r>
  <r>
    <x v="48"/>
  </r>
  <r>
    <x v="21"/>
  </r>
  <r>
    <x v="79"/>
  </r>
  <r>
    <x v="69"/>
  </r>
  <r>
    <x v="69"/>
  </r>
  <r>
    <x v="4"/>
  </r>
  <r>
    <x v="8"/>
  </r>
  <r>
    <x v="21"/>
  </r>
  <r>
    <x v="154"/>
  </r>
  <r>
    <x v="138"/>
  </r>
  <r>
    <x v="39"/>
  </r>
  <r>
    <x v="17"/>
  </r>
  <r>
    <x v="52"/>
  </r>
  <r>
    <x v="10"/>
  </r>
  <r>
    <x v="4"/>
  </r>
  <r>
    <x v="78"/>
  </r>
  <r>
    <x v="78"/>
  </r>
  <r>
    <x v="78"/>
  </r>
  <r>
    <x v="78"/>
  </r>
  <r>
    <x v="46"/>
  </r>
  <r>
    <x v="78"/>
  </r>
  <r>
    <x v="78"/>
  </r>
  <r>
    <x v="21"/>
  </r>
  <r>
    <x v="7"/>
  </r>
  <r>
    <x v="7"/>
  </r>
  <r>
    <x v="7"/>
  </r>
  <r>
    <x v="45"/>
  </r>
  <r>
    <x v="7"/>
  </r>
  <r>
    <x v="7"/>
  </r>
  <r>
    <x v="45"/>
  </r>
  <r>
    <x v="76"/>
  </r>
  <r>
    <x v="7"/>
  </r>
  <r>
    <x v="45"/>
  </r>
  <r>
    <x v="45"/>
  </r>
  <r>
    <x v="10"/>
  </r>
  <r>
    <x v="10"/>
  </r>
  <r>
    <x v="10"/>
  </r>
  <r>
    <x v="63"/>
  </r>
  <r>
    <x v="77"/>
  </r>
  <r>
    <x v="77"/>
  </r>
  <r>
    <x v="126"/>
  </r>
  <r>
    <x v="136"/>
  </r>
  <r>
    <x v="10"/>
  </r>
  <r>
    <x v="10"/>
  </r>
  <r>
    <x v="10"/>
  </r>
  <r>
    <x v="24"/>
  </r>
  <r>
    <x v="77"/>
  </r>
  <r>
    <x v="76"/>
  </r>
  <r>
    <x v="77"/>
  </r>
  <r>
    <x v="77"/>
  </r>
  <r>
    <x v="7"/>
  </r>
  <r>
    <x v="29"/>
  </r>
  <r>
    <x v="183"/>
  </r>
  <r>
    <x v="183"/>
  </r>
  <r>
    <x v="77"/>
  </r>
  <r>
    <x v="52"/>
  </r>
  <r>
    <x v="52"/>
  </r>
  <r>
    <x v="21"/>
  </r>
  <r>
    <x v="17"/>
  </r>
  <r>
    <x v="19"/>
  </r>
  <r>
    <x v="11"/>
  </r>
  <r>
    <x v="79"/>
  </r>
  <r>
    <x v="45"/>
  </r>
  <r>
    <x v="77"/>
  </r>
  <r>
    <x v="10"/>
  </r>
  <r>
    <x v="77"/>
  </r>
  <r>
    <x v="77"/>
  </r>
  <r>
    <x v="77"/>
  </r>
  <r>
    <x v="36"/>
  </r>
  <r>
    <x v="72"/>
  </r>
  <r>
    <x v="28"/>
  </r>
  <r>
    <x v="28"/>
  </r>
  <r>
    <x v="28"/>
  </r>
  <r>
    <x v="28"/>
  </r>
  <r>
    <x v="28"/>
  </r>
  <r>
    <x v="28"/>
  </r>
  <r>
    <x v="28"/>
  </r>
  <r>
    <x v="32"/>
  </r>
  <r>
    <x v="28"/>
  </r>
  <r>
    <x v="32"/>
  </r>
  <r>
    <x v="14"/>
  </r>
  <r>
    <x v="26"/>
  </r>
  <r>
    <x v="70"/>
  </r>
  <r>
    <x v="9"/>
  </r>
  <r>
    <x v="2"/>
  </r>
  <r>
    <x v="3"/>
  </r>
  <r>
    <x v="102"/>
  </r>
  <r>
    <x v="7"/>
  </r>
  <r>
    <x v="72"/>
  </r>
  <r>
    <x v="10"/>
  </r>
  <r>
    <x v="138"/>
  </r>
  <r>
    <x v="138"/>
  </r>
  <r>
    <x v="138"/>
  </r>
  <r>
    <x v="12"/>
  </r>
  <r>
    <x v="29"/>
  </r>
  <r>
    <x v="81"/>
  </r>
  <r>
    <x v="63"/>
  </r>
  <r>
    <x v="86"/>
  </r>
  <r>
    <x v="0"/>
  </r>
  <r>
    <x v="69"/>
  </r>
  <r>
    <x v="69"/>
  </r>
  <r>
    <x v="69"/>
  </r>
  <r>
    <x v="1"/>
  </r>
  <r>
    <x v="188"/>
  </r>
  <r>
    <x v="4"/>
  </r>
  <r>
    <x v="138"/>
  </r>
  <r>
    <x v="4"/>
  </r>
  <r>
    <x v="4"/>
  </r>
  <r>
    <x v="138"/>
  </r>
  <r>
    <x v="138"/>
  </r>
  <r>
    <x v="4"/>
  </r>
  <r>
    <x v="138"/>
  </r>
  <r>
    <x v="7"/>
  </r>
  <r>
    <x v="4"/>
  </r>
  <r>
    <x v="77"/>
  </r>
  <r>
    <x v="12"/>
  </r>
  <r>
    <x v="10"/>
  </r>
  <r>
    <x v="10"/>
  </r>
  <r>
    <x v="4"/>
  </r>
  <r>
    <x v="10"/>
  </r>
  <r>
    <x v="144"/>
  </r>
  <r>
    <x v="144"/>
  </r>
  <r>
    <x v="32"/>
  </r>
  <r>
    <x v="7"/>
  </r>
  <r>
    <x v="46"/>
  </r>
  <r>
    <x v="46"/>
  </r>
  <r>
    <x v="1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"/>
  </r>
  <r>
    <x v="2"/>
  </r>
  <r>
    <x v="0"/>
  </r>
  <r>
    <x v="58"/>
  </r>
  <r>
    <x v="4"/>
  </r>
  <r>
    <x v="78"/>
  </r>
  <r>
    <x v="8"/>
  </r>
  <r>
    <x v="78"/>
  </r>
  <r>
    <x v="126"/>
  </r>
  <r>
    <x v="126"/>
  </r>
  <r>
    <x v="25"/>
  </r>
  <r>
    <x v="78"/>
  </r>
  <r>
    <x v="76"/>
  </r>
  <r>
    <x v="81"/>
  </r>
  <r>
    <x v="29"/>
  </r>
  <r>
    <x v="122"/>
  </r>
  <r>
    <x v="33"/>
  </r>
  <r>
    <x v="4"/>
  </r>
  <r>
    <x v="4"/>
  </r>
  <r>
    <x v="138"/>
  </r>
  <r>
    <x v="63"/>
  </r>
  <r>
    <x v="138"/>
  </r>
  <r>
    <x v="138"/>
  </r>
  <r>
    <x v="138"/>
  </r>
  <r>
    <x v="41"/>
  </r>
  <r>
    <x v="138"/>
  </r>
  <r>
    <x v="138"/>
  </r>
  <r>
    <x v="138"/>
  </r>
  <r>
    <x v="138"/>
  </r>
  <r>
    <x v="78"/>
  </r>
  <r>
    <x v="78"/>
  </r>
  <r>
    <x v="78"/>
  </r>
  <r>
    <x v="78"/>
  </r>
  <r>
    <x v="78"/>
  </r>
  <r>
    <x v="78"/>
  </r>
  <r>
    <x v="63"/>
  </r>
  <r>
    <x v="19"/>
  </r>
  <r>
    <x v="12"/>
  </r>
  <r>
    <x v="78"/>
  </r>
  <r>
    <x v="78"/>
  </r>
  <r>
    <x v="78"/>
  </r>
  <r>
    <x v="78"/>
  </r>
  <r>
    <x v="78"/>
  </r>
  <r>
    <x v="78"/>
  </r>
  <r>
    <x v="78"/>
  </r>
  <r>
    <x v="78"/>
  </r>
  <r>
    <x v="63"/>
  </r>
  <r>
    <x v="142"/>
  </r>
  <r>
    <x v="42"/>
  </r>
  <r>
    <x v="12"/>
  </r>
  <r>
    <x v="12"/>
  </r>
  <r>
    <x v="12"/>
  </r>
  <r>
    <x v="12"/>
  </r>
  <r>
    <x v="12"/>
  </r>
  <r>
    <x v="42"/>
  </r>
  <r>
    <x v="14"/>
  </r>
  <r>
    <x v="28"/>
  </r>
  <r>
    <x v="24"/>
  </r>
  <r>
    <x v="28"/>
  </r>
  <r>
    <x v="28"/>
  </r>
  <r>
    <x v="28"/>
  </r>
  <r>
    <x v="12"/>
  </r>
  <r>
    <x v="42"/>
  </r>
  <r>
    <x v="7"/>
  </r>
  <r>
    <x v="42"/>
  </r>
  <r>
    <x v="42"/>
  </r>
  <r>
    <x v="86"/>
  </r>
  <r>
    <x v="8"/>
  </r>
  <r>
    <x v="28"/>
  </r>
  <r>
    <x v="28"/>
  </r>
  <r>
    <x v="28"/>
  </r>
  <r>
    <x v="30"/>
  </r>
  <r>
    <x v="28"/>
  </r>
  <r>
    <x v="86"/>
  </r>
  <r>
    <x v="86"/>
  </r>
  <r>
    <x v="28"/>
  </r>
  <r>
    <x v="10"/>
  </r>
  <r>
    <x v="28"/>
  </r>
  <r>
    <x v="10"/>
  </r>
  <r>
    <x v="22"/>
  </r>
  <r>
    <x v="8"/>
  </r>
  <r>
    <x v="0"/>
  </r>
  <r>
    <x v="32"/>
  </r>
  <r>
    <x v="14"/>
  </r>
  <r>
    <x v="3"/>
  </r>
  <r>
    <x v="9"/>
  </r>
  <r>
    <x v="9"/>
  </r>
  <r>
    <x v="143"/>
  </r>
  <r>
    <x v="19"/>
  </r>
  <r>
    <x v="10"/>
  </r>
  <r>
    <x v="10"/>
  </r>
  <r>
    <x v="4"/>
  </r>
  <r>
    <x v="34"/>
  </r>
  <r>
    <x v="34"/>
  </r>
  <r>
    <x v="4"/>
  </r>
  <r>
    <x v="57"/>
  </r>
  <r>
    <x v="22"/>
  </r>
  <r>
    <x v="77"/>
  </r>
  <r>
    <x v="4"/>
  </r>
  <r>
    <x v="14"/>
  </r>
  <r>
    <x v="14"/>
  </r>
  <r>
    <x v="4"/>
  </r>
  <r>
    <x v="4"/>
  </r>
  <r>
    <x v="77"/>
  </r>
  <r>
    <x v="4"/>
  </r>
  <r>
    <x v="77"/>
  </r>
  <r>
    <x v="77"/>
  </r>
  <r>
    <x v="4"/>
  </r>
  <r>
    <x v="4"/>
  </r>
  <r>
    <x v="4"/>
  </r>
  <r>
    <x v="56"/>
  </r>
  <r>
    <x v="4"/>
  </r>
  <r>
    <x v="25"/>
  </r>
  <r>
    <x v="12"/>
  </r>
  <r>
    <x v="12"/>
  </r>
  <r>
    <x v="12"/>
  </r>
  <r>
    <x v="12"/>
  </r>
  <r>
    <x v="12"/>
  </r>
  <r>
    <x v="41"/>
  </r>
  <r>
    <x v="12"/>
  </r>
  <r>
    <x v="24"/>
  </r>
  <r>
    <x v="24"/>
  </r>
  <r>
    <x v="8"/>
  </r>
  <r>
    <x v="36"/>
  </r>
  <r>
    <x v="45"/>
  </r>
  <r>
    <x v="24"/>
  </r>
  <r>
    <x v="24"/>
  </r>
  <r>
    <x v="36"/>
  </r>
  <r>
    <x v="24"/>
  </r>
  <r>
    <x v="36"/>
  </r>
  <r>
    <x v="36"/>
  </r>
  <r>
    <x v="36"/>
  </r>
  <r>
    <x v="24"/>
  </r>
  <r>
    <x v="24"/>
  </r>
  <r>
    <x v="24"/>
  </r>
  <r>
    <x v="24"/>
  </r>
  <r>
    <x v="24"/>
  </r>
  <r>
    <x v="3"/>
  </r>
  <r>
    <x v="24"/>
  </r>
  <r>
    <x v="36"/>
  </r>
  <r>
    <x v="3"/>
  </r>
  <r>
    <x v="10"/>
  </r>
  <r>
    <x v="36"/>
  </r>
  <r>
    <x v="10"/>
  </r>
  <r>
    <x v="0"/>
  </r>
  <r>
    <x v="80"/>
  </r>
  <r>
    <x v="48"/>
  </r>
  <r>
    <x v="48"/>
  </r>
  <r>
    <x v="21"/>
  </r>
  <r>
    <x v="10"/>
  </r>
  <r>
    <x v="10"/>
  </r>
  <r>
    <x v="7"/>
  </r>
  <r>
    <x v="12"/>
  </r>
  <r>
    <x v="7"/>
  </r>
  <r>
    <x v="7"/>
  </r>
  <r>
    <x v="7"/>
  </r>
  <r>
    <x v="10"/>
  </r>
  <r>
    <x v="10"/>
  </r>
  <r>
    <x v="36"/>
  </r>
  <r>
    <x v="36"/>
  </r>
  <r>
    <x v="36"/>
  </r>
  <r>
    <x v="36"/>
  </r>
  <r>
    <x v="36"/>
  </r>
  <r>
    <x v="0"/>
  </r>
  <r>
    <x v="36"/>
  </r>
  <r>
    <x v="4"/>
  </r>
  <r>
    <x v="171"/>
  </r>
  <r>
    <x v="36"/>
  </r>
  <r>
    <x v="42"/>
  </r>
  <r>
    <x v="36"/>
  </r>
  <r>
    <x v="12"/>
  </r>
  <r>
    <x v="12"/>
  </r>
  <r>
    <x v="12"/>
  </r>
  <r>
    <x v="12"/>
  </r>
  <r>
    <x v="12"/>
  </r>
  <r>
    <x v="36"/>
  </r>
  <r>
    <x v="12"/>
  </r>
  <r>
    <x v="7"/>
  </r>
  <r>
    <x v="36"/>
  </r>
  <r>
    <x v="12"/>
  </r>
  <r>
    <x v="12"/>
  </r>
  <r>
    <x v="12"/>
  </r>
  <r>
    <x v="12"/>
  </r>
  <r>
    <x v="12"/>
  </r>
  <r>
    <x v="36"/>
  </r>
  <r>
    <x v="36"/>
  </r>
  <r>
    <x v="36"/>
  </r>
  <r>
    <x v="36"/>
  </r>
  <r>
    <x v="36"/>
  </r>
  <r>
    <x v="12"/>
  </r>
  <r>
    <x v="12"/>
  </r>
  <r>
    <x v="12"/>
  </r>
  <r>
    <x v="77"/>
  </r>
  <r>
    <x v="12"/>
  </r>
  <r>
    <x v="12"/>
  </r>
  <r>
    <x v="12"/>
  </r>
  <r>
    <x v="12"/>
  </r>
  <r>
    <x v="63"/>
  </r>
  <r>
    <x v="0"/>
  </r>
  <r>
    <x v="0"/>
  </r>
  <r>
    <x v="4"/>
  </r>
  <r>
    <x v="63"/>
  </r>
  <r>
    <x v="63"/>
  </r>
  <r>
    <x v="63"/>
  </r>
  <r>
    <x v="63"/>
  </r>
  <r>
    <x v="63"/>
  </r>
  <r>
    <x v="63"/>
  </r>
  <r>
    <x v="4"/>
  </r>
  <r>
    <x v="45"/>
  </r>
  <r>
    <x v="26"/>
  </r>
  <r>
    <x v="45"/>
  </r>
  <r>
    <x v="45"/>
  </r>
  <r>
    <x v="45"/>
  </r>
  <r>
    <x v="45"/>
  </r>
  <r>
    <x v="45"/>
  </r>
  <r>
    <x v="6"/>
  </r>
  <r>
    <x v="10"/>
  </r>
  <r>
    <x v="10"/>
  </r>
  <r>
    <x v="10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9"/>
  </r>
  <r>
    <x v="152"/>
  </r>
  <r>
    <x v="152"/>
  </r>
  <r>
    <x v="152"/>
  </r>
  <r>
    <x v="39"/>
  </r>
  <r>
    <x v="86"/>
  </r>
  <r>
    <x v="152"/>
  </r>
  <r>
    <x v="152"/>
  </r>
  <r>
    <x v="152"/>
  </r>
  <r>
    <x v="152"/>
  </r>
  <r>
    <x v="152"/>
  </r>
  <r>
    <x v="152"/>
  </r>
  <r>
    <x v="15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"/>
  </r>
  <r>
    <x v="4"/>
  </r>
  <r>
    <x v="4"/>
  </r>
  <r>
    <x v="81"/>
  </r>
  <r>
    <x v="87"/>
  </r>
  <r>
    <x v="24"/>
  </r>
  <r>
    <x v="24"/>
  </r>
  <r>
    <x v="24"/>
  </r>
  <r>
    <x v="24"/>
  </r>
  <r>
    <x v="77"/>
  </r>
  <r>
    <x v="77"/>
  </r>
  <r>
    <x v="77"/>
  </r>
  <r>
    <x v="87"/>
  </r>
  <r>
    <x v="36"/>
  </r>
  <r>
    <x v="56"/>
  </r>
  <r>
    <x v="36"/>
  </r>
  <r>
    <x v="56"/>
  </r>
  <r>
    <x v="36"/>
  </r>
  <r>
    <x v="36"/>
  </r>
  <r>
    <x v="56"/>
  </r>
  <r>
    <x v="56"/>
  </r>
  <r>
    <x v="56"/>
  </r>
  <r>
    <x v="56"/>
  </r>
  <r>
    <x v="87"/>
  </r>
  <r>
    <x v="87"/>
  </r>
  <r>
    <x v="12"/>
  </r>
  <r>
    <x v="87"/>
  </r>
  <r>
    <x v="12"/>
  </r>
  <r>
    <x v="87"/>
  </r>
  <r>
    <x v="36"/>
  </r>
  <r>
    <x v="36"/>
  </r>
  <r>
    <x v="108"/>
  </r>
  <r>
    <x v="36"/>
  </r>
  <r>
    <x v="36"/>
  </r>
  <r>
    <x v="36"/>
  </r>
  <r>
    <x v="36"/>
  </r>
  <r>
    <x v="12"/>
  </r>
  <r>
    <x v="10"/>
  </r>
  <r>
    <x v="63"/>
  </r>
  <r>
    <x v="63"/>
  </r>
  <r>
    <x v="10"/>
  </r>
  <r>
    <x v="4"/>
  </r>
  <r>
    <x v="10"/>
  </r>
  <r>
    <x v="72"/>
  </r>
  <r>
    <x v="12"/>
  </r>
  <r>
    <x v="48"/>
  </r>
  <r>
    <x v="12"/>
  </r>
  <r>
    <x v="87"/>
  </r>
  <r>
    <x v="87"/>
  </r>
  <r>
    <x v="48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78"/>
  </r>
  <r>
    <x v="78"/>
  </r>
  <r>
    <x v="77"/>
  </r>
  <r>
    <x v="123"/>
  </r>
  <r>
    <x v="28"/>
  </r>
  <r>
    <x v="2"/>
  </r>
  <r>
    <x v="4"/>
  </r>
  <r>
    <x v="63"/>
  </r>
  <r>
    <x v="4"/>
  </r>
  <r>
    <x v="183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15"/>
  </r>
  <r>
    <x v="115"/>
  </r>
  <r>
    <x v="10"/>
  </r>
  <r>
    <x v="115"/>
  </r>
  <r>
    <x v="12"/>
  </r>
  <r>
    <x v="11"/>
  </r>
  <r>
    <x v="12"/>
  </r>
  <r>
    <x v="12"/>
  </r>
  <r>
    <x v="12"/>
  </r>
  <r>
    <x v="12"/>
  </r>
  <r>
    <x v="4"/>
  </r>
  <r>
    <x v="12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23"/>
  </r>
  <r>
    <x v="123"/>
  </r>
  <r>
    <x v="123"/>
  </r>
  <r>
    <x v="10"/>
  </r>
  <r>
    <x v="123"/>
  </r>
  <r>
    <x v="123"/>
  </r>
  <r>
    <x v="10"/>
  </r>
  <r>
    <x v="123"/>
  </r>
  <r>
    <x v="123"/>
  </r>
  <r>
    <x v="123"/>
  </r>
  <r>
    <x v="123"/>
  </r>
  <r>
    <x v="17"/>
  </r>
  <r>
    <x v="10"/>
  </r>
  <r>
    <x v="222"/>
  </r>
  <r>
    <x v="10"/>
  </r>
  <r>
    <x v="42"/>
  </r>
  <r>
    <x v="14"/>
  </r>
  <r>
    <x v="76"/>
  </r>
  <r>
    <x v="154"/>
  </r>
  <r>
    <x v="7"/>
  </r>
  <r>
    <x v="7"/>
  </r>
  <r>
    <x v="7"/>
  </r>
  <r>
    <x v="7"/>
  </r>
  <r>
    <x v="75"/>
  </r>
  <r>
    <x v="0"/>
  </r>
  <r>
    <x v="37"/>
  </r>
  <r>
    <x v="201"/>
  </r>
  <r>
    <x v="201"/>
  </r>
  <r>
    <x v="29"/>
  </r>
  <r>
    <x v="29"/>
  </r>
  <r>
    <x v="29"/>
  </r>
  <r>
    <x v="29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78"/>
  </r>
  <r>
    <x v="78"/>
  </r>
  <r>
    <x v="78"/>
  </r>
  <r>
    <x v="78"/>
  </r>
  <r>
    <x v="131"/>
  </r>
  <r>
    <x v="131"/>
  </r>
  <r>
    <x v="131"/>
  </r>
  <r>
    <x v="131"/>
  </r>
  <r>
    <x v="131"/>
  </r>
  <r>
    <x v="12"/>
  </r>
  <r>
    <x v="12"/>
  </r>
  <r>
    <x v="12"/>
  </r>
  <r>
    <x v="79"/>
  </r>
  <r>
    <x v="10"/>
  </r>
  <r>
    <x v="10"/>
  </r>
  <r>
    <x v="100"/>
  </r>
  <r>
    <x v="111"/>
  </r>
  <r>
    <x v="11"/>
  </r>
  <r>
    <x v="11"/>
  </r>
  <r>
    <x v="108"/>
  </r>
  <r>
    <x v="48"/>
  </r>
  <r>
    <x v="11"/>
  </r>
  <r>
    <x v="28"/>
  </r>
  <r>
    <x v="11"/>
  </r>
  <r>
    <x v="37"/>
  </r>
  <r>
    <x v="14"/>
  </r>
  <r>
    <x v="7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87"/>
  </r>
  <r>
    <x v="4"/>
  </r>
  <r>
    <x v="4"/>
  </r>
  <r>
    <x v="12"/>
  </r>
  <r>
    <x v="12"/>
  </r>
  <r>
    <x v="138"/>
  </r>
  <r>
    <x v="0"/>
  </r>
  <r>
    <x v="0"/>
  </r>
  <r>
    <x v="0"/>
  </r>
  <r>
    <x v="0"/>
  </r>
  <r>
    <x v="0"/>
  </r>
  <r>
    <x v="0"/>
  </r>
  <r>
    <x v="36"/>
  </r>
  <r>
    <x v="42"/>
  </r>
  <r>
    <x v="87"/>
  </r>
  <r>
    <x v="87"/>
  </r>
  <r>
    <x v="87"/>
  </r>
  <r>
    <x v="12"/>
  </r>
  <r>
    <x v="42"/>
  </r>
  <r>
    <x v="68"/>
  </r>
  <r>
    <x v="42"/>
  </r>
  <r>
    <x v="81"/>
  </r>
  <r>
    <x v="42"/>
  </r>
  <r>
    <x v="42"/>
  </r>
  <r>
    <x v="12"/>
  </r>
  <r>
    <x v="42"/>
  </r>
  <r>
    <x v="72"/>
  </r>
  <r>
    <x v="42"/>
  </r>
  <r>
    <x v="42"/>
  </r>
  <r>
    <x v="42"/>
  </r>
  <r>
    <x v="4"/>
  </r>
  <r>
    <x v="4"/>
  </r>
  <r>
    <x v="10"/>
  </r>
  <r>
    <x v="4"/>
  </r>
  <r>
    <x v="10"/>
  </r>
  <r>
    <x v="10"/>
  </r>
  <r>
    <x v="10"/>
  </r>
  <r>
    <x v="4"/>
  </r>
  <r>
    <x v="10"/>
  </r>
  <r>
    <x v="4"/>
  </r>
  <r>
    <x v="10"/>
  </r>
  <r>
    <x v="4"/>
  </r>
  <r>
    <x v="77"/>
  </r>
  <r>
    <x v="42"/>
  </r>
  <r>
    <x v="12"/>
  </r>
  <r>
    <x v="138"/>
  </r>
  <r>
    <x v="108"/>
  </r>
  <r>
    <x v="42"/>
  </r>
  <r>
    <x v="79"/>
  </r>
  <r>
    <x v="79"/>
  </r>
  <r>
    <x v="0"/>
  </r>
  <r>
    <x v="42"/>
  </r>
  <r>
    <x v="81"/>
  </r>
  <r>
    <x v="14"/>
  </r>
  <r>
    <x v="14"/>
  </r>
  <r>
    <x v="78"/>
  </r>
  <r>
    <x v="78"/>
  </r>
  <r>
    <x v="78"/>
  </r>
  <r>
    <x v="12"/>
  </r>
  <r>
    <x v="7"/>
  </r>
  <r>
    <x v="63"/>
  </r>
  <r>
    <x v="10"/>
  </r>
  <r>
    <x v="10"/>
  </r>
  <r>
    <x v="10"/>
  </r>
  <r>
    <x v="10"/>
  </r>
  <r>
    <x v="10"/>
  </r>
  <r>
    <x v="128"/>
  </r>
  <r>
    <x v="128"/>
  </r>
  <r>
    <x v="128"/>
  </r>
  <r>
    <x v="128"/>
  </r>
  <r>
    <x v="115"/>
  </r>
  <r>
    <x v="8"/>
  </r>
  <r>
    <x v="76"/>
  </r>
  <r>
    <x v="76"/>
  </r>
  <r>
    <x v="76"/>
  </r>
  <r>
    <x v="4"/>
  </r>
  <r>
    <x v="4"/>
  </r>
  <r>
    <x v="4"/>
  </r>
  <r>
    <x v="10"/>
  </r>
  <r>
    <x v="10"/>
  </r>
  <r>
    <x v="4"/>
  </r>
  <r>
    <x v="138"/>
  </r>
  <r>
    <x v="4"/>
  </r>
  <r>
    <x v="4"/>
  </r>
  <r>
    <x v="55"/>
  </r>
  <r>
    <x v="55"/>
  </r>
  <r>
    <x v="10"/>
  </r>
  <r>
    <x v="4"/>
  </r>
  <r>
    <x v="18"/>
  </r>
  <r>
    <x v="4"/>
  </r>
  <r>
    <x v="4"/>
  </r>
  <r>
    <x v="0"/>
  </r>
  <r>
    <x v="4"/>
  </r>
  <r>
    <x v="14"/>
  </r>
  <r>
    <x v="16"/>
  </r>
  <r>
    <x v="10"/>
  </r>
  <r>
    <x v="80"/>
  </r>
  <r>
    <x v="80"/>
  </r>
  <r>
    <x v="80"/>
  </r>
  <r>
    <x v="80"/>
  </r>
  <r>
    <x v="80"/>
  </r>
  <r>
    <x v="80"/>
  </r>
  <r>
    <x v="80"/>
  </r>
  <r>
    <x v="165"/>
  </r>
  <r>
    <x v="27"/>
  </r>
  <r>
    <x v="27"/>
  </r>
  <r>
    <x v="27"/>
  </r>
  <r>
    <x v="68"/>
  </r>
  <r>
    <x v="27"/>
  </r>
  <r>
    <x v="27"/>
  </r>
  <r>
    <x v="19"/>
  </r>
  <r>
    <x v="4"/>
  </r>
  <r>
    <x v="115"/>
  </r>
  <r>
    <x v="115"/>
  </r>
  <r>
    <x v="115"/>
  </r>
  <r>
    <x v="115"/>
  </r>
  <r>
    <x v="115"/>
  </r>
  <r>
    <x v="11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64"/>
  </r>
  <r>
    <x v="165"/>
  </r>
  <r>
    <x v="79"/>
  </r>
  <r>
    <x v="51"/>
  </r>
  <r>
    <x v="51"/>
  </r>
  <r>
    <x v="10"/>
  </r>
  <r>
    <x v="9"/>
  </r>
  <r>
    <x v="87"/>
  </r>
  <r>
    <x v="19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08"/>
  </r>
  <r>
    <x v="12"/>
  </r>
  <r>
    <x v="12"/>
  </r>
  <r>
    <x v="77"/>
  </r>
  <r>
    <x v="12"/>
  </r>
  <r>
    <x v="12"/>
  </r>
  <r>
    <x v="12"/>
  </r>
  <r>
    <x v="12"/>
  </r>
  <r>
    <x v="0"/>
  </r>
  <r>
    <x v="14"/>
  </r>
  <r>
    <x v="42"/>
  </r>
  <r>
    <x v="14"/>
  </r>
  <r>
    <x v="71"/>
  </r>
  <r>
    <x v="26"/>
  </r>
  <r>
    <x v="42"/>
  </r>
  <r>
    <x v="42"/>
  </r>
  <r>
    <x v="42"/>
  </r>
  <r>
    <x v="42"/>
  </r>
  <r>
    <x v="128"/>
  </r>
  <r>
    <x v="42"/>
  </r>
  <r>
    <x v="128"/>
  </r>
  <r>
    <x v="128"/>
  </r>
  <r>
    <x v="48"/>
  </r>
  <r>
    <x v="128"/>
  </r>
  <r>
    <x v="128"/>
  </r>
  <r>
    <x v="128"/>
  </r>
  <r>
    <x v="128"/>
  </r>
  <r>
    <x v="128"/>
  </r>
  <r>
    <x v="42"/>
  </r>
  <r>
    <x v="128"/>
  </r>
  <r>
    <x v="128"/>
  </r>
  <r>
    <x v="128"/>
  </r>
  <r>
    <x v="128"/>
  </r>
  <r>
    <x v="128"/>
  </r>
  <r>
    <x v="128"/>
  </r>
  <r>
    <x v="128"/>
  </r>
  <r>
    <x v="42"/>
  </r>
  <r>
    <x v="42"/>
  </r>
  <r>
    <x v="78"/>
  </r>
  <r>
    <x v="78"/>
  </r>
  <r>
    <x v="42"/>
  </r>
  <r>
    <x v="22"/>
  </r>
  <r>
    <x v="22"/>
  </r>
  <r>
    <x v="42"/>
  </r>
  <r>
    <x v="42"/>
  </r>
  <r>
    <x v="123"/>
  </r>
  <r>
    <x v="10"/>
  </r>
  <r>
    <x v="42"/>
  </r>
  <r>
    <x v="2"/>
  </r>
  <r>
    <x v="63"/>
  </r>
  <r>
    <x v="123"/>
  </r>
  <r>
    <x v="10"/>
  </r>
  <r>
    <x v="10"/>
  </r>
  <r>
    <x v="10"/>
  </r>
  <r>
    <x v="10"/>
  </r>
  <r>
    <x v="24"/>
  </r>
  <r>
    <x v="25"/>
  </r>
  <r>
    <x v="4"/>
  </r>
  <r>
    <x v="4"/>
  </r>
  <r>
    <x v="10"/>
  </r>
  <r>
    <x v="136"/>
  </r>
  <r>
    <x v="48"/>
  </r>
  <r>
    <x v="12"/>
  </r>
  <r>
    <x v="12"/>
  </r>
  <r>
    <x v="14"/>
  </r>
  <r>
    <x v="64"/>
  </r>
  <r>
    <x v="64"/>
  </r>
  <r>
    <x v="64"/>
  </r>
  <r>
    <x v="64"/>
  </r>
  <r>
    <x v="64"/>
  </r>
  <r>
    <x v="64"/>
  </r>
  <r>
    <x v="138"/>
  </r>
  <r>
    <x v="138"/>
  </r>
  <r>
    <x v="21"/>
  </r>
  <r>
    <x v="138"/>
  </r>
  <r>
    <x v="138"/>
  </r>
  <r>
    <x v="138"/>
  </r>
  <r>
    <x v="138"/>
  </r>
  <r>
    <x v="138"/>
  </r>
  <r>
    <x v="138"/>
  </r>
  <r>
    <x v="138"/>
  </r>
  <r>
    <x v="165"/>
  </r>
  <r>
    <x v="138"/>
  </r>
  <r>
    <x v="33"/>
  </r>
  <r>
    <x v="50"/>
  </r>
  <r>
    <x v="165"/>
  </r>
  <r>
    <x v="79"/>
  </r>
  <r>
    <x v="79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6"/>
  </r>
  <r>
    <x v="11"/>
  </r>
  <r>
    <x v="138"/>
  </r>
  <r>
    <x v="138"/>
  </r>
  <r>
    <x v="138"/>
  </r>
  <r>
    <x v="138"/>
  </r>
  <r>
    <x v="138"/>
  </r>
  <r>
    <x v="50"/>
  </r>
  <r>
    <x v="21"/>
  </r>
  <r>
    <x v="41"/>
  </r>
  <r>
    <x v="10"/>
  </r>
  <r>
    <x v="42"/>
  </r>
  <r>
    <x v="129"/>
  </r>
  <r>
    <x v="129"/>
  </r>
  <r>
    <x v="42"/>
  </r>
  <r>
    <x v="45"/>
  </r>
  <r>
    <x v="100"/>
  </r>
  <r>
    <x v="138"/>
  </r>
  <r>
    <x v="138"/>
  </r>
  <r>
    <x v="45"/>
  </r>
  <r>
    <x v="166"/>
  </r>
  <r>
    <x v="42"/>
  </r>
  <r>
    <x v="42"/>
  </r>
  <r>
    <x v="42"/>
  </r>
  <r>
    <x v="42"/>
  </r>
  <r>
    <x v="86"/>
  </r>
  <r>
    <x v="42"/>
  </r>
  <r>
    <x v="12"/>
  </r>
  <r>
    <x v="56"/>
  </r>
  <r>
    <x v="123"/>
  </r>
  <r>
    <x v="6"/>
  </r>
  <r>
    <x v="21"/>
  </r>
  <r>
    <x v="123"/>
  </r>
  <r>
    <x v="21"/>
  </r>
  <r>
    <x v="36"/>
  </r>
  <r>
    <x v="12"/>
  </r>
  <r>
    <x v="36"/>
  </r>
  <r>
    <x v="36"/>
  </r>
  <r>
    <x v="36"/>
  </r>
  <r>
    <x v="36"/>
  </r>
  <r>
    <x v="36"/>
  </r>
  <r>
    <x v="36"/>
  </r>
  <r>
    <x v="36"/>
  </r>
  <r>
    <x v="83"/>
  </r>
  <r>
    <x v="11"/>
  </r>
  <r>
    <x v="36"/>
  </r>
  <r>
    <x v="36"/>
  </r>
  <r>
    <x v="36"/>
  </r>
  <r>
    <x v="21"/>
  </r>
  <r>
    <x v="36"/>
  </r>
  <r>
    <x v="12"/>
  </r>
  <r>
    <x v="108"/>
  </r>
  <r>
    <x v="12"/>
  </r>
  <r>
    <x v="12"/>
  </r>
  <r>
    <x v="68"/>
  </r>
  <r>
    <x v="12"/>
  </r>
  <r>
    <x v="12"/>
  </r>
  <r>
    <x v="12"/>
  </r>
  <r>
    <x v="12"/>
  </r>
  <r>
    <x v="78"/>
  </r>
  <r>
    <x v="160"/>
  </r>
  <r>
    <x v="12"/>
  </r>
  <r>
    <x v="12"/>
  </r>
  <r>
    <x v="12"/>
  </r>
  <r>
    <x v="160"/>
  </r>
  <r>
    <x v="12"/>
  </r>
  <r>
    <x v="160"/>
  </r>
  <r>
    <x v="12"/>
  </r>
  <r>
    <x v="12"/>
  </r>
  <r>
    <x v="12"/>
  </r>
  <r>
    <x v="29"/>
  </r>
  <r>
    <x v="12"/>
  </r>
  <r>
    <x v="22"/>
  </r>
  <r>
    <x v="7"/>
  </r>
  <r>
    <x v="12"/>
  </r>
  <r>
    <x v="12"/>
  </r>
  <r>
    <x v="12"/>
  </r>
  <r>
    <x v="128"/>
  </r>
  <r>
    <x v="128"/>
  </r>
  <r>
    <x v="128"/>
  </r>
  <r>
    <x v="128"/>
  </r>
  <r>
    <x v="128"/>
  </r>
  <r>
    <x v="128"/>
  </r>
  <r>
    <x v="10"/>
  </r>
  <r>
    <x v="10"/>
  </r>
  <r>
    <x v="165"/>
  </r>
  <r>
    <x v="42"/>
  </r>
  <r>
    <x v="42"/>
  </r>
  <r>
    <x v="42"/>
  </r>
  <r>
    <x v="42"/>
  </r>
  <r>
    <x v="70"/>
  </r>
  <r>
    <x v="21"/>
  </r>
  <r>
    <x v="21"/>
  </r>
  <r>
    <x v="28"/>
  </r>
  <r>
    <x v="11"/>
  </r>
  <r>
    <x v="2"/>
  </r>
  <r>
    <x v="45"/>
  </r>
  <r>
    <x v="86"/>
  </r>
  <r>
    <x v="50"/>
  </r>
  <r>
    <x v="50"/>
  </r>
  <r>
    <x v="50"/>
  </r>
  <r>
    <x v="2"/>
  </r>
  <r>
    <x v="50"/>
  </r>
  <r>
    <x v="50"/>
  </r>
  <r>
    <x v="50"/>
  </r>
  <r>
    <x v="86"/>
  </r>
  <r>
    <x v="86"/>
  </r>
  <r>
    <x v="9"/>
  </r>
  <r>
    <x v="4"/>
  </r>
  <r>
    <x v="4"/>
  </r>
  <r>
    <x v="28"/>
  </r>
  <r>
    <x v="14"/>
  </r>
  <r>
    <x v="34"/>
  </r>
  <r>
    <x v="22"/>
  </r>
  <r>
    <x v="34"/>
  </r>
  <r>
    <x v="126"/>
  </r>
  <r>
    <x v="42"/>
  </r>
  <r>
    <x v="41"/>
  </r>
  <r>
    <x v="55"/>
  </r>
  <r>
    <x v="86"/>
  </r>
  <r>
    <x v="86"/>
  </r>
  <r>
    <x v="86"/>
  </r>
  <r>
    <x v="86"/>
  </r>
  <r>
    <x v="86"/>
  </r>
  <r>
    <x v="86"/>
  </r>
  <r>
    <x v="7"/>
  </r>
  <r>
    <x v="42"/>
  </r>
  <r>
    <x v="42"/>
  </r>
  <r>
    <x v="7"/>
  </r>
  <r>
    <x v="9"/>
  </r>
  <r>
    <x v="4"/>
  </r>
  <r>
    <x v="12"/>
  </r>
  <r>
    <x v="4"/>
  </r>
  <r>
    <x v="142"/>
  </r>
  <r>
    <x v="165"/>
  </r>
  <r>
    <x v="165"/>
  </r>
  <r>
    <x v="10"/>
  </r>
  <r>
    <x v="123"/>
  </r>
  <r>
    <x v="45"/>
  </r>
  <r>
    <x v="63"/>
  </r>
  <r>
    <x v="71"/>
  </r>
  <r>
    <x v="71"/>
  </r>
  <r>
    <x v="10"/>
  </r>
  <r>
    <x v="10"/>
  </r>
  <r>
    <x v="21"/>
  </r>
  <r>
    <x v="10"/>
  </r>
  <r>
    <x v="36"/>
  </r>
  <r>
    <x v="36"/>
  </r>
  <r>
    <x v="10"/>
  </r>
  <r>
    <x v="10"/>
  </r>
  <r>
    <x v="10"/>
  </r>
  <r>
    <x v="10"/>
  </r>
  <r>
    <x v="183"/>
  </r>
  <r>
    <x v="10"/>
  </r>
  <r>
    <x v="10"/>
  </r>
  <r>
    <x v="10"/>
  </r>
  <r>
    <x v="10"/>
  </r>
  <r>
    <x v="14"/>
  </r>
  <r>
    <x v="0"/>
  </r>
  <r>
    <x v="4"/>
  </r>
  <r>
    <x v="7"/>
  </r>
  <r>
    <x v="7"/>
  </r>
  <r>
    <x v="138"/>
  </r>
  <r>
    <x v="70"/>
  </r>
  <r>
    <x v="138"/>
  </r>
  <r>
    <x v="26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63"/>
  </r>
  <r>
    <x v="19"/>
  </r>
  <r>
    <x v="21"/>
  </r>
  <r>
    <x v="0"/>
  </r>
  <r>
    <x v="0"/>
  </r>
  <r>
    <x v="0"/>
  </r>
  <r>
    <x v="0"/>
  </r>
  <r>
    <x v="0"/>
  </r>
  <r>
    <x v="0"/>
  </r>
  <r>
    <x v="4"/>
  </r>
  <r>
    <x v="138"/>
  </r>
  <r>
    <x v="138"/>
  </r>
  <r>
    <x v="4"/>
  </r>
  <r>
    <x v="4"/>
  </r>
  <r>
    <x v="4"/>
  </r>
  <r>
    <x v="123"/>
  </r>
  <r>
    <x v="0"/>
  </r>
  <r>
    <x v="12"/>
  </r>
  <r>
    <x v="87"/>
  </r>
  <r>
    <x v="152"/>
  </r>
  <r>
    <x v="123"/>
  </r>
  <r>
    <x v="123"/>
  </r>
  <r>
    <x v="123"/>
  </r>
  <r>
    <x v="123"/>
  </r>
  <r>
    <x v="25"/>
  </r>
  <r>
    <x v="123"/>
  </r>
  <r>
    <x v="19"/>
  </r>
  <r>
    <x v="4"/>
  </r>
  <r>
    <x v="9"/>
  </r>
  <r>
    <x v="19"/>
  </r>
  <r>
    <x v="12"/>
  </r>
  <r>
    <x v="4"/>
  </r>
  <r>
    <x v="19"/>
  </r>
  <r>
    <x v="0"/>
  </r>
  <r>
    <x v="87"/>
  </r>
  <r>
    <x v="87"/>
  </r>
  <r>
    <x v="87"/>
  </r>
  <r>
    <x v="87"/>
  </r>
  <r>
    <x v="10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51"/>
  </r>
  <r>
    <x v="251"/>
  </r>
  <r>
    <x v="251"/>
  </r>
  <r>
    <x v="29"/>
  </r>
  <r>
    <x v="46"/>
  </r>
  <r>
    <x v="48"/>
  </r>
  <r>
    <x v="4"/>
  </r>
  <r>
    <x v="42"/>
  </r>
  <r>
    <x v="42"/>
  </r>
  <r>
    <x v="78"/>
  </r>
  <r>
    <x v="10"/>
  </r>
  <r>
    <x v="10"/>
  </r>
  <r>
    <x v="10"/>
  </r>
  <r>
    <x v="10"/>
  </r>
  <r>
    <x v="37"/>
  </r>
  <r>
    <x v="4"/>
  </r>
  <r>
    <x v="10"/>
  </r>
  <r>
    <x v="87"/>
  </r>
  <r>
    <x v="87"/>
  </r>
  <r>
    <x v="87"/>
  </r>
  <r>
    <x v="87"/>
  </r>
  <r>
    <x v="87"/>
  </r>
  <r>
    <x v="87"/>
  </r>
  <r>
    <x v="87"/>
  </r>
  <r>
    <x v="123"/>
  </r>
  <r>
    <x v="85"/>
  </r>
  <r>
    <x v="85"/>
  </r>
  <r>
    <x v="48"/>
  </r>
  <r>
    <x v="4"/>
  </r>
  <r>
    <x v="63"/>
  </r>
  <r>
    <x v="63"/>
  </r>
  <r>
    <x v="63"/>
  </r>
  <r>
    <x v="63"/>
  </r>
  <r>
    <x v="63"/>
  </r>
  <r>
    <x v="63"/>
  </r>
  <r>
    <x v="63"/>
  </r>
  <r>
    <x v="12"/>
  </r>
  <r>
    <x v="42"/>
  </r>
  <r>
    <x v="10"/>
  </r>
  <r>
    <x v="4"/>
  </r>
  <r>
    <x v="4"/>
  </r>
  <r>
    <x v="4"/>
  </r>
  <r>
    <x v="4"/>
  </r>
  <r>
    <x v="10"/>
  </r>
  <r>
    <x v="4"/>
  </r>
  <r>
    <x v="10"/>
  </r>
  <r>
    <x v="10"/>
  </r>
  <r>
    <x v="4"/>
  </r>
  <r>
    <x v="10"/>
  </r>
  <r>
    <x v="12"/>
  </r>
  <r>
    <x v="42"/>
  </r>
  <r>
    <x v="0"/>
  </r>
  <r>
    <x v="10"/>
  </r>
  <r>
    <x v="123"/>
  </r>
  <r>
    <x v="4"/>
  </r>
  <r>
    <x v="4"/>
  </r>
  <r>
    <x v="10"/>
  </r>
  <r>
    <x v="0"/>
  </r>
  <r>
    <x v="76"/>
  </r>
  <r>
    <x v="12"/>
  </r>
  <r>
    <x v="14"/>
  </r>
  <r>
    <x v="8"/>
  </r>
  <r>
    <x v="10"/>
  </r>
  <r>
    <x v="28"/>
  </r>
  <r>
    <x v="28"/>
  </r>
  <r>
    <x v="28"/>
  </r>
  <r>
    <x v="12"/>
  </r>
  <r>
    <x v="42"/>
  </r>
  <r>
    <x v="4"/>
  </r>
  <r>
    <x v="123"/>
  </r>
  <r>
    <x v="4"/>
  </r>
  <r>
    <x v="14"/>
  </r>
  <r>
    <x v="4"/>
  </r>
  <r>
    <x v="4"/>
  </r>
  <r>
    <x v="4"/>
  </r>
  <r>
    <x v="10"/>
  </r>
  <r>
    <x v="16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51"/>
  </r>
  <r>
    <x v="77"/>
  </r>
  <r>
    <x v="4"/>
  </r>
  <r>
    <x v="10"/>
  </r>
  <r>
    <x v="10"/>
  </r>
  <r>
    <x v="16"/>
  </r>
  <r>
    <x v="78"/>
  </r>
  <r>
    <x v="10"/>
  </r>
  <r>
    <x v="10"/>
  </r>
  <r>
    <x v="10"/>
  </r>
  <r>
    <x v="10"/>
  </r>
  <r>
    <x v="10"/>
  </r>
  <r>
    <x v="10"/>
  </r>
  <r>
    <x v="10"/>
  </r>
  <r>
    <x v="77"/>
  </r>
  <r>
    <x v="85"/>
  </r>
  <r>
    <x v="85"/>
  </r>
  <r>
    <x v="87"/>
  </r>
  <r>
    <x v="42"/>
  </r>
  <r>
    <x v="87"/>
  </r>
  <r>
    <x v="87"/>
  </r>
  <r>
    <x v="4"/>
  </r>
  <r>
    <x v="77"/>
  </r>
  <r>
    <x v="77"/>
  </r>
  <r>
    <x v="123"/>
  </r>
  <r>
    <x v="87"/>
  </r>
  <r>
    <x v="87"/>
  </r>
  <r>
    <x v="42"/>
  </r>
  <r>
    <x v="210"/>
  </r>
  <r>
    <x v="210"/>
  </r>
  <r>
    <x v="210"/>
  </r>
  <r>
    <x v="4"/>
  </r>
  <r>
    <x v="87"/>
  </r>
  <r>
    <x v="11"/>
  </r>
  <r>
    <x v="87"/>
  </r>
  <r>
    <x v="4"/>
  </r>
  <r>
    <x v="4"/>
  </r>
  <r>
    <x v="4"/>
  </r>
  <r>
    <x v="10"/>
  </r>
  <r>
    <x v="4"/>
  </r>
  <r>
    <x v="10"/>
  </r>
  <r>
    <x v="10"/>
  </r>
  <r>
    <x v="4"/>
  </r>
  <r>
    <x v="10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63"/>
  </r>
  <r>
    <x v="4"/>
  </r>
  <r>
    <x v="10"/>
  </r>
  <r>
    <x v="77"/>
  </r>
  <r>
    <x v="11"/>
  </r>
  <r>
    <x v="4"/>
  </r>
  <r>
    <x v="4"/>
  </r>
  <r>
    <x v="4"/>
  </r>
  <r>
    <x v="4"/>
  </r>
  <r>
    <x v="4"/>
  </r>
  <r>
    <x v="7"/>
  </r>
  <r>
    <x v="77"/>
  </r>
  <r>
    <x v="10"/>
  </r>
  <r>
    <x v="63"/>
  </r>
  <r>
    <x v="14"/>
  </r>
  <r>
    <x v="85"/>
  </r>
  <r>
    <x v="141"/>
  </r>
  <r>
    <x v="85"/>
  </r>
  <r>
    <x v="114"/>
  </r>
  <r>
    <x v="10"/>
  </r>
  <r>
    <x v="77"/>
  </r>
  <r>
    <x v="77"/>
  </r>
  <r>
    <x v="42"/>
  </r>
  <r>
    <x v="4"/>
  </r>
  <r>
    <x v="4"/>
  </r>
  <r>
    <x v="4"/>
  </r>
  <r>
    <x v="4"/>
  </r>
  <r>
    <x v="4"/>
  </r>
  <r>
    <x v="4"/>
  </r>
  <r>
    <x v="4"/>
  </r>
  <r>
    <x v="4"/>
  </r>
  <r>
    <x v="19"/>
  </r>
  <r>
    <x v="25"/>
  </r>
  <r>
    <x v="100"/>
  </r>
  <r>
    <x v="4"/>
  </r>
  <r>
    <x v="290"/>
  </r>
  <r>
    <x v="130"/>
  </r>
  <r>
    <x v="28"/>
  </r>
  <r>
    <x v="28"/>
  </r>
  <r>
    <x v="69"/>
  </r>
  <r>
    <x v="69"/>
  </r>
  <r>
    <x v="69"/>
  </r>
  <r>
    <x v="69"/>
  </r>
  <r>
    <x v="69"/>
  </r>
  <r>
    <x v="69"/>
  </r>
  <r>
    <x v="69"/>
  </r>
  <r>
    <x v="69"/>
  </r>
  <r>
    <x v="85"/>
  </r>
  <r>
    <x v="2"/>
  </r>
  <r>
    <x v="85"/>
  </r>
  <r>
    <x v="85"/>
  </r>
  <r>
    <x v="123"/>
  </r>
  <r>
    <x v="123"/>
  </r>
  <r>
    <x v="123"/>
  </r>
  <r>
    <x v="123"/>
  </r>
  <r>
    <x v="123"/>
  </r>
  <r>
    <x v="123"/>
  </r>
  <r>
    <x v="123"/>
  </r>
  <r>
    <x v="8"/>
  </r>
  <r>
    <x v="10"/>
  </r>
  <r>
    <x v="12"/>
  </r>
  <r>
    <x v="12"/>
  </r>
  <r>
    <x v="16"/>
  </r>
  <r>
    <x v="12"/>
  </r>
  <r>
    <x v="10"/>
  </r>
  <r>
    <x v="10"/>
  </r>
  <r>
    <x v="75"/>
  </r>
  <r>
    <x v="4"/>
  </r>
  <r>
    <x v="50"/>
  </r>
  <r>
    <x v="138"/>
  </r>
  <r>
    <x v="4"/>
  </r>
  <r>
    <x v="10"/>
  </r>
  <r>
    <x v="10"/>
  </r>
  <r>
    <x v="10"/>
  </r>
  <r>
    <x v="114"/>
  </r>
  <r>
    <x v="138"/>
  </r>
  <r>
    <x v="4"/>
  </r>
  <r>
    <x v="4"/>
  </r>
  <r>
    <x v="138"/>
  </r>
  <r>
    <x v="114"/>
  </r>
  <r>
    <x v="4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240"/>
  </r>
  <r>
    <x v="36"/>
  </r>
  <r>
    <x v="36"/>
  </r>
  <r>
    <x v="10"/>
  </r>
  <r>
    <x v="144"/>
  </r>
  <r>
    <x v="10"/>
  </r>
  <r>
    <x v="12"/>
  </r>
  <r>
    <x v="12"/>
  </r>
  <r>
    <x v="4"/>
  </r>
  <r>
    <x v="12"/>
  </r>
  <r>
    <x v="12"/>
  </r>
  <r>
    <x v="4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16"/>
  </r>
  <r>
    <x v="12"/>
  </r>
  <r>
    <x v="12"/>
  </r>
  <r>
    <x v="12"/>
  </r>
  <r>
    <x v="5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4"/>
  </r>
  <r>
    <x v="24"/>
  </r>
  <r>
    <x v="12"/>
  </r>
  <r>
    <x v="12"/>
  </r>
  <r>
    <x v="79"/>
  </r>
  <r>
    <x v="79"/>
  </r>
  <r>
    <x v="79"/>
  </r>
  <r>
    <x v="25"/>
  </r>
  <r>
    <x v="29"/>
  </r>
  <r>
    <x v="29"/>
  </r>
  <r>
    <x v="24"/>
  </r>
  <r>
    <x v="122"/>
  </r>
  <r>
    <x v="28"/>
  </r>
  <r>
    <x v="114"/>
  </r>
  <r>
    <x v="100"/>
  </r>
  <r>
    <x v="28"/>
  </r>
  <r>
    <x v="28"/>
  </r>
  <r>
    <x v="28"/>
  </r>
  <r>
    <x v="28"/>
  </r>
  <r>
    <x v="86"/>
  </r>
  <r>
    <x v="42"/>
  </r>
  <r>
    <x v="86"/>
  </r>
  <r>
    <x v="7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5"/>
  </r>
  <r>
    <x v="175"/>
  </r>
  <r>
    <x v="175"/>
  </r>
  <r>
    <x v="175"/>
  </r>
  <r>
    <x v="175"/>
  </r>
  <r>
    <x v="175"/>
  </r>
  <r>
    <x v="10"/>
  </r>
  <r>
    <x v="165"/>
  </r>
  <r>
    <x v="96"/>
  </r>
  <r>
    <x v="96"/>
  </r>
  <r>
    <x v="123"/>
  </r>
  <r>
    <x v="123"/>
  </r>
  <r>
    <x v="123"/>
  </r>
  <r>
    <x v="10"/>
  </r>
  <r>
    <x v="81"/>
  </r>
  <r>
    <x v="57"/>
  </r>
  <r>
    <x v="4"/>
  </r>
  <r>
    <x v="4"/>
  </r>
  <r>
    <x v="85"/>
  </r>
  <r>
    <x v="10"/>
  </r>
  <r>
    <x v="9"/>
  </r>
  <r>
    <x v="12"/>
  </r>
  <r>
    <x v="36"/>
  </r>
  <r>
    <x v="4"/>
  </r>
  <r>
    <x v="37"/>
  </r>
  <r>
    <x v="37"/>
  </r>
  <r>
    <x v="27"/>
  </r>
  <r>
    <x v="27"/>
  </r>
  <r>
    <x v="27"/>
  </r>
  <r>
    <x v="57"/>
  </r>
  <r>
    <x v="37"/>
  </r>
  <r>
    <x v="37"/>
  </r>
  <r>
    <x v="16"/>
  </r>
  <r>
    <x v="1"/>
  </r>
  <r>
    <x v="12"/>
  </r>
  <r>
    <x v="1"/>
  </r>
  <r>
    <x v="42"/>
  </r>
  <r>
    <x v="4"/>
  </r>
  <r>
    <x v="16"/>
  </r>
  <r>
    <x v="16"/>
  </r>
  <r>
    <x v="16"/>
  </r>
  <r>
    <x v="16"/>
  </r>
  <r>
    <x v="16"/>
  </r>
  <r>
    <x v="1"/>
  </r>
  <r>
    <x v="1"/>
  </r>
  <r>
    <x v="1"/>
  </r>
  <r>
    <x v="1"/>
  </r>
  <r>
    <x v="33"/>
  </r>
  <r>
    <x v="1"/>
  </r>
  <r>
    <x v="1"/>
  </r>
  <r>
    <x v="33"/>
  </r>
  <r>
    <x v="33"/>
  </r>
  <r>
    <x v="37"/>
  </r>
  <r>
    <x v="2"/>
  </r>
  <r>
    <x v="2"/>
  </r>
  <r>
    <x v="42"/>
  </r>
  <r>
    <x v="71"/>
  </r>
  <r>
    <x v="12"/>
  </r>
  <r>
    <x v="48"/>
  </r>
  <r>
    <x v="0"/>
  </r>
  <r>
    <x v="0"/>
  </r>
  <r>
    <x v="71"/>
  </r>
  <r>
    <x v="123"/>
  </r>
  <r>
    <x v="42"/>
  </r>
  <r>
    <x v="12"/>
  </r>
  <r>
    <x v="37"/>
  </r>
  <r>
    <x v="37"/>
  </r>
  <r>
    <x v="0"/>
  </r>
  <r>
    <x v="100"/>
  </r>
  <r>
    <x v="28"/>
  </r>
  <r>
    <x v="28"/>
  </r>
  <r>
    <x v="28"/>
  </r>
  <r>
    <x v="16"/>
  </r>
  <r>
    <x v="4"/>
  </r>
  <r>
    <x v="51"/>
  </r>
  <r>
    <x v="51"/>
  </r>
  <r>
    <x v="57"/>
  </r>
  <r>
    <x v="123"/>
  </r>
  <r>
    <x v="123"/>
  </r>
  <r>
    <x v="123"/>
  </r>
  <r>
    <x v="123"/>
  </r>
  <r>
    <x v="123"/>
  </r>
  <r>
    <x v="123"/>
  </r>
  <r>
    <x v="123"/>
  </r>
  <r>
    <x v="2"/>
  </r>
  <r>
    <x v="9"/>
  </r>
  <r>
    <x v="4"/>
  </r>
  <r>
    <x v="14"/>
  </r>
  <r>
    <x v="2"/>
  </r>
  <r>
    <x v="9"/>
  </r>
  <r>
    <x v="86"/>
  </r>
  <r>
    <x v="57"/>
  </r>
  <r>
    <x v="57"/>
  </r>
  <r>
    <x v="57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44"/>
  </r>
  <r>
    <x v="144"/>
  </r>
  <r>
    <x v="2"/>
  </r>
  <r>
    <x v="141"/>
  </r>
  <r>
    <x v="2"/>
  </r>
  <r>
    <x v="2"/>
  </r>
  <r>
    <x v="4"/>
  </r>
  <r>
    <x v="28"/>
  </r>
  <r>
    <x v="27"/>
  </r>
  <r>
    <x v="144"/>
  </r>
  <r>
    <x v="11"/>
  </r>
  <r>
    <x v="144"/>
  </r>
  <r>
    <x v="144"/>
  </r>
  <r>
    <x v="42"/>
  </r>
  <r>
    <x v="106"/>
  </r>
  <r>
    <x v="0"/>
  </r>
  <r>
    <x v="0"/>
  </r>
  <r>
    <x v="37"/>
  </r>
  <r>
    <x v="63"/>
  </r>
  <r>
    <x v="1"/>
  </r>
  <r>
    <x v="1"/>
  </r>
  <r>
    <x v="16"/>
  </r>
  <r>
    <x v="16"/>
  </r>
  <r>
    <x v="16"/>
  </r>
  <r>
    <x v="16"/>
  </r>
  <r>
    <x v="2"/>
  </r>
  <r>
    <x v="1"/>
  </r>
  <r>
    <x v="57"/>
  </r>
  <r>
    <x v="16"/>
  </r>
  <r>
    <x v="16"/>
  </r>
  <r>
    <x v="16"/>
  </r>
  <r>
    <x v="16"/>
  </r>
  <r>
    <x v="4"/>
  </r>
  <r>
    <x v="16"/>
  </r>
  <r>
    <x v="16"/>
  </r>
  <r>
    <x v="1"/>
  </r>
  <r>
    <x v="16"/>
  </r>
  <r>
    <x v="1"/>
  </r>
  <r>
    <x v="1"/>
  </r>
  <r>
    <x v="16"/>
  </r>
  <r>
    <x v="16"/>
  </r>
  <r>
    <x v="16"/>
  </r>
  <r>
    <x v="16"/>
  </r>
  <r>
    <x v="63"/>
  </r>
  <r>
    <x v="63"/>
  </r>
  <r>
    <x v="16"/>
  </r>
  <r>
    <x v="16"/>
  </r>
  <r>
    <x v="152"/>
  </r>
  <r>
    <x v="16"/>
  </r>
  <r>
    <x v="16"/>
  </r>
  <r>
    <x v="16"/>
  </r>
  <r>
    <x v="24"/>
  </r>
  <r>
    <x v="87"/>
  </r>
  <r>
    <x v="28"/>
  </r>
  <r>
    <x v="0"/>
  </r>
  <r>
    <x v="0"/>
  </r>
  <r>
    <x v="4"/>
  </r>
  <r>
    <x v="9"/>
  </r>
  <r>
    <x v="9"/>
  </r>
  <r>
    <x v="16"/>
  </r>
  <r>
    <x v="16"/>
  </r>
  <r>
    <x v="51"/>
  </r>
  <r>
    <x v="51"/>
  </r>
  <r>
    <x v="51"/>
  </r>
  <r>
    <x v="14"/>
  </r>
  <r>
    <x v="57"/>
  </r>
  <r>
    <x v="37"/>
  </r>
  <r>
    <x v="76"/>
  </r>
  <r>
    <x v="11"/>
  </r>
  <r>
    <x v="11"/>
  </r>
  <r>
    <x v="57"/>
  </r>
  <r>
    <x v="2"/>
  </r>
  <r>
    <x v="4"/>
  </r>
  <r>
    <x v="0"/>
  </r>
  <r>
    <x v="152"/>
  </r>
  <r>
    <x v="152"/>
  </r>
  <r>
    <x v="16"/>
  </r>
  <r>
    <x v="16"/>
  </r>
  <r>
    <x v="16"/>
  </r>
  <r>
    <x v="16"/>
  </r>
  <r>
    <x v="16"/>
  </r>
  <r>
    <x v="16"/>
  </r>
  <r>
    <x v="16"/>
  </r>
  <r>
    <x v="16"/>
  </r>
  <r>
    <x v="152"/>
  </r>
  <r>
    <x v="37"/>
  </r>
  <r>
    <x v="4"/>
  </r>
  <r>
    <x v="9"/>
  </r>
  <r>
    <x v="4"/>
  </r>
  <r>
    <x v="37"/>
  </r>
  <r>
    <x v="16"/>
  </r>
  <r>
    <x v="16"/>
  </r>
  <r>
    <x v="16"/>
  </r>
  <r>
    <x v="152"/>
  </r>
  <r>
    <x v="16"/>
  </r>
  <r>
    <x v="16"/>
  </r>
  <r>
    <x v="63"/>
  </r>
  <r>
    <x v="63"/>
  </r>
  <r>
    <x v="63"/>
  </r>
  <r>
    <x v="63"/>
  </r>
  <r>
    <x v="63"/>
  </r>
  <r>
    <x v="2"/>
  </r>
  <r>
    <x v="2"/>
  </r>
  <r>
    <x v="16"/>
  </r>
  <r>
    <x v="4"/>
  </r>
  <r>
    <x v="9"/>
  </r>
  <r>
    <x v="4"/>
  </r>
  <r>
    <x v="57"/>
  </r>
  <r>
    <x v="152"/>
  </r>
  <r>
    <x v="152"/>
  </r>
  <r>
    <x v="152"/>
  </r>
  <r>
    <x v="152"/>
  </r>
  <r>
    <x v="16"/>
  </r>
  <r>
    <x v="16"/>
  </r>
  <r>
    <x v="11"/>
  </r>
  <r>
    <x v="31"/>
  </r>
  <r>
    <x v="3"/>
  </r>
  <r>
    <x v="36"/>
  </r>
  <r>
    <x v="48"/>
  </r>
  <r>
    <x v="16"/>
  </r>
  <r>
    <x v="16"/>
  </r>
  <r>
    <x v="57"/>
  </r>
  <r>
    <x v="4"/>
  </r>
  <r>
    <x v="16"/>
  </r>
  <r>
    <x v="16"/>
  </r>
  <r>
    <x v="16"/>
  </r>
  <r>
    <x v="16"/>
  </r>
  <r>
    <x v="4"/>
  </r>
  <r>
    <x v="4"/>
  </r>
  <r>
    <x v="4"/>
  </r>
  <r>
    <x v="16"/>
  </r>
  <r>
    <x v="16"/>
  </r>
  <r>
    <x v="16"/>
  </r>
  <r>
    <x v="1"/>
  </r>
  <r>
    <x v="1"/>
  </r>
  <r>
    <x v="1"/>
  </r>
  <r>
    <x v="1"/>
  </r>
  <r>
    <x v="4"/>
  </r>
  <r>
    <x v="4"/>
  </r>
  <r>
    <x v="0"/>
  </r>
  <r>
    <x v="0"/>
  </r>
  <r>
    <x v="0"/>
  </r>
  <r>
    <x v="0"/>
  </r>
  <r>
    <x v="0"/>
  </r>
  <r>
    <x v="28"/>
  </r>
  <r>
    <x v="42"/>
  </r>
  <r>
    <x v="0"/>
  </r>
  <r>
    <x v="0"/>
  </r>
  <r>
    <x v="50"/>
  </r>
  <r>
    <x v="12"/>
  </r>
  <r>
    <x v="45"/>
  </r>
  <r>
    <x v="42"/>
  </r>
  <r>
    <x v="123"/>
  </r>
  <r>
    <x v="12"/>
  </r>
  <r>
    <x v="28"/>
  </r>
  <r>
    <x v="10"/>
  </r>
  <r>
    <x v="12"/>
  </r>
  <r>
    <x v="32"/>
  </r>
  <r>
    <x v="32"/>
  </r>
  <r>
    <x v="14"/>
  </r>
  <r>
    <x v="14"/>
  </r>
  <r>
    <x v="123"/>
  </r>
  <r>
    <x v="123"/>
  </r>
  <r>
    <x v="123"/>
  </r>
  <r>
    <x v="123"/>
  </r>
  <r>
    <x v="123"/>
  </r>
  <r>
    <x v="12"/>
  </r>
  <r>
    <x v="42"/>
  </r>
  <r>
    <x v="42"/>
  </r>
  <r>
    <x v="42"/>
  </r>
  <r>
    <x v="14"/>
  </r>
  <r>
    <x v="14"/>
  </r>
  <r>
    <x v="14"/>
  </r>
  <r>
    <x v="36"/>
  </r>
  <r>
    <x v="42"/>
  </r>
  <r>
    <x v="10"/>
  </r>
  <r>
    <x v="86"/>
  </r>
  <r>
    <x v="12"/>
  </r>
  <r>
    <x v="3"/>
  </r>
  <r>
    <x v="42"/>
  </r>
  <r>
    <x v="10"/>
  </r>
  <r>
    <x v="10"/>
  </r>
  <r>
    <x v="16"/>
  </r>
  <r>
    <x v="16"/>
  </r>
  <r>
    <x v="50"/>
  </r>
  <r>
    <x v="4"/>
  </r>
  <r>
    <x v="10"/>
  </r>
  <r>
    <x v="63"/>
  </r>
  <r>
    <x v="76"/>
  </r>
  <r>
    <x v="4"/>
  </r>
  <r>
    <x v="4"/>
  </r>
  <r>
    <x v="10"/>
  </r>
  <r>
    <x v="10"/>
  </r>
  <r>
    <x v="10"/>
  </r>
  <r>
    <x v="224"/>
  </r>
  <r>
    <x v="42"/>
  </r>
  <r>
    <x v="25"/>
  </r>
  <r>
    <x v="42"/>
  </r>
  <r>
    <x v="25"/>
  </r>
  <r>
    <x v="6"/>
  </r>
  <r>
    <x v="87"/>
  </r>
  <r>
    <x v="7"/>
  </r>
  <r>
    <x v="14"/>
  </r>
  <r>
    <x v="36"/>
  </r>
  <r>
    <x v="12"/>
  </r>
  <r>
    <x v="12"/>
  </r>
  <r>
    <x v="76"/>
  </r>
  <r>
    <x v="4"/>
  </r>
  <r>
    <x v="4"/>
  </r>
  <r>
    <x v="10"/>
  </r>
  <r>
    <x v="12"/>
  </r>
  <r>
    <x v="12"/>
  </r>
  <r>
    <x v="4"/>
  </r>
  <r>
    <x v="138"/>
  </r>
  <r>
    <x v="9"/>
  </r>
  <r>
    <x v="4"/>
  </r>
  <r>
    <x v="87"/>
  </r>
  <r>
    <x v="6"/>
  </r>
  <r>
    <x v="53"/>
  </r>
  <r>
    <x v="53"/>
  </r>
  <r>
    <x v="28"/>
  </r>
  <r>
    <x v="138"/>
  </r>
  <r>
    <x v="87"/>
  </r>
  <r>
    <x v="87"/>
  </r>
  <r>
    <x v="63"/>
  </r>
  <r>
    <x v="4"/>
  </r>
  <r>
    <x v="9"/>
  </r>
  <r>
    <x v="9"/>
  </r>
  <r>
    <x v="9"/>
  </r>
  <r>
    <x v="14"/>
  </r>
  <r>
    <x v="16"/>
  </r>
  <r>
    <x v="165"/>
  </r>
  <r>
    <x v="16"/>
  </r>
  <r>
    <x v="16"/>
  </r>
  <r>
    <x v="14"/>
  </r>
  <r>
    <x v="16"/>
  </r>
  <r>
    <x v="143"/>
  </r>
  <r>
    <x v="4"/>
  </r>
  <r>
    <x v="4"/>
  </r>
  <r>
    <x v="1"/>
  </r>
  <r>
    <x v="138"/>
  </r>
  <r>
    <x v="36"/>
  </r>
  <r>
    <x v="50"/>
  </r>
  <r>
    <x v="36"/>
  </r>
  <r>
    <x v="123"/>
  </r>
  <r>
    <x v="138"/>
  </r>
  <r>
    <x v="2"/>
  </r>
  <r>
    <x v="2"/>
  </r>
  <r>
    <x v="2"/>
  </r>
  <r>
    <x v="2"/>
  </r>
  <r>
    <x v="2"/>
  </r>
  <r>
    <x v="2"/>
  </r>
  <r>
    <x v="2"/>
  </r>
  <r>
    <x v="2"/>
  </r>
  <r>
    <x v="51"/>
  </r>
  <r>
    <x v="4"/>
  </r>
  <r>
    <x v="78"/>
  </r>
  <r>
    <x v="4"/>
  </r>
  <r>
    <x v="4"/>
  </r>
  <r>
    <x v="2"/>
  </r>
  <r>
    <x v="2"/>
  </r>
  <r>
    <x v="10"/>
  </r>
  <r>
    <x v="7"/>
  </r>
  <r>
    <x v="306"/>
  </r>
  <r>
    <x v="306"/>
  </r>
  <r>
    <x v="306"/>
  </r>
  <r>
    <x v="306"/>
  </r>
  <r>
    <x v="306"/>
  </r>
  <r>
    <x v="306"/>
  </r>
  <r>
    <x v="306"/>
  </r>
  <r>
    <x v="0"/>
  </r>
  <r>
    <x v="22"/>
  </r>
  <r>
    <x v="55"/>
  </r>
  <r>
    <x v="16"/>
  </r>
  <r>
    <x v="45"/>
  </r>
  <r>
    <x v="0"/>
  </r>
  <r>
    <x v="45"/>
  </r>
  <r>
    <x v="45"/>
  </r>
  <r>
    <x v="122"/>
  </r>
  <r>
    <x v="49"/>
  </r>
  <r>
    <x v="49"/>
  </r>
  <r>
    <x v="16"/>
  </r>
  <r>
    <x v="2"/>
  </r>
  <r>
    <x v="7"/>
  </r>
  <r>
    <x v="37"/>
  </r>
  <r>
    <x v="17"/>
  </r>
  <r>
    <x v="24"/>
  </r>
  <r>
    <x v="45"/>
  </r>
  <r>
    <x v="6"/>
  </r>
  <r>
    <x v="12"/>
  </r>
  <r>
    <x v="59"/>
  </r>
  <r>
    <x v="59"/>
  </r>
  <r>
    <x v="122"/>
  </r>
  <r>
    <x v="17"/>
  </r>
  <r>
    <x v="59"/>
  </r>
  <r>
    <x v="144"/>
  </r>
  <r>
    <x v="123"/>
  </r>
  <r>
    <x v="71"/>
  </r>
  <r>
    <x v="28"/>
  </r>
  <r>
    <x v="63"/>
  </r>
  <r>
    <x v="11"/>
  </r>
  <r>
    <x v="53"/>
  </r>
  <r>
    <x v="14"/>
  </r>
  <r>
    <x v="14"/>
  </r>
  <r>
    <x v="53"/>
  </r>
  <r>
    <x v="131"/>
  </r>
  <r>
    <x v="33"/>
  </r>
  <r>
    <x v="57"/>
  </r>
  <r>
    <x v="57"/>
  </r>
  <r>
    <x v="49"/>
  </r>
  <r>
    <x v="11"/>
  </r>
  <r>
    <x v="42"/>
  </r>
  <r>
    <x v="42"/>
  </r>
  <r>
    <x v="160"/>
  </r>
  <r>
    <x v="160"/>
  </r>
  <r>
    <x v="39"/>
  </r>
  <r>
    <x v="28"/>
  </r>
  <r>
    <x v="49"/>
  </r>
  <r>
    <x v="14"/>
  </r>
  <r>
    <x v="12"/>
  </r>
  <r>
    <x v="6"/>
  </r>
  <r>
    <x v="56"/>
  </r>
  <r>
    <x v="28"/>
  </r>
  <r>
    <x v="28"/>
  </r>
  <r>
    <x v="14"/>
  </r>
  <r>
    <x v="9"/>
  </r>
  <r>
    <x v="37"/>
  </r>
  <r>
    <x v="0"/>
  </r>
  <r>
    <x v="56"/>
  </r>
  <r>
    <x v="14"/>
  </r>
  <r>
    <x v="10"/>
  </r>
  <r>
    <x v="4"/>
  </r>
  <r>
    <x v="4"/>
  </r>
  <r>
    <x v="2"/>
  </r>
  <r>
    <x v="14"/>
  </r>
  <r>
    <x v="49"/>
  </r>
  <r>
    <x v="16"/>
  </r>
  <r>
    <x v="11"/>
  </r>
  <r>
    <x v="9"/>
  </r>
  <r>
    <x v="21"/>
  </r>
  <r>
    <x v="45"/>
  </r>
  <r>
    <x v="14"/>
  </r>
  <r>
    <x v="49"/>
  </r>
  <r>
    <x v="34"/>
  </r>
  <r>
    <x v="40"/>
  </r>
  <r>
    <x v="0"/>
  </r>
  <r>
    <x v="0"/>
  </r>
  <r>
    <x v="1"/>
  </r>
  <r>
    <x v="8"/>
  </r>
  <r>
    <x v="64"/>
  </r>
  <r>
    <x v="16"/>
  </r>
  <r>
    <x v="1"/>
  </r>
  <r>
    <x v="48"/>
  </r>
  <r>
    <x v="9"/>
  </r>
  <r>
    <x v="9"/>
  </r>
  <r>
    <x v="31"/>
  </r>
  <r>
    <x v="80"/>
  </r>
  <r>
    <x v="7"/>
  </r>
  <r>
    <x v="0"/>
  </r>
  <r>
    <x v="48"/>
  </r>
  <r>
    <x v="12"/>
  </r>
  <r>
    <x v="9"/>
  </r>
  <r>
    <x v="8"/>
  </r>
  <r>
    <x v="16"/>
  </r>
  <r>
    <x v="71"/>
  </r>
  <r>
    <x v="56"/>
  </r>
  <r>
    <x v="14"/>
  </r>
  <r>
    <x v="55"/>
  </r>
  <r>
    <x v="45"/>
  </r>
  <r>
    <x v="45"/>
  </r>
  <r>
    <x v="45"/>
  </r>
  <r>
    <x v="45"/>
  </r>
  <r>
    <x v="45"/>
  </r>
  <r>
    <x v="7"/>
  </r>
  <r>
    <x v="7"/>
  </r>
  <r>
    <x v="7"/>
  </r>
  <r>
    <x v="4"/>
  </r>
  <r>
    <x v="56"/>
  </r>
  <r>
    <x v="152"/>
  </r>
  <r>
    <x v="16"/>
  </r>
  <r>
    <x v="152"/>
  </r>
  <r>
    <x v="7"/>
  </r>
  <r>
    <x v="68"/>
  </r>
  <r>
    <x v="68"/>
  </r>
  <r>
    <x v="17"/>
  </r>
  <r>
    <x v="63"/>
  </r>
  <r>
    <x v="19"/>
  </r>
  <r>
    <x v="56"/>
  </r>
  <r>
    <x v="19"/>
  </r>
  <r>
    <x v="19"/>
  </r>
  <r>
    <x v="34"/>
  </r>
  <r>
    <x v="234"/>
  </r>
  <r>
    <x v="9"/>
  </r>
  <r>
    <x v="86"/>
  </r>
  <r>
    <x v="8"/>
  </r>
  <r>
    <x v="14"/>
  </r>
  <r>
    <x v="17"/>
  </r>
  <r>
    <x v="11"/>
  </r>
  <r>
    <x v="14"/>
  </r>
  <r>
    <x v="19"/>
  </r>
  <r>
    <x v="19"/>
  </r>
  <r>
    <x v="14"/>
  </r>
  <r>
    <x v="14"/>
  </r>
  <r>
    <x v="16"/>
  </r>
  <r>
    <x v="28"/>
  </r>
  <r>
    <x v="68"/>
  </r>
  <r>
    <x v="47"/>
  </r>
  <r>
    <x v="42"/>
  </r>
  <r>
    <x v="12"/>
  </r>
  <r>
    <x v="37"/>
  </r>
  <r>
    <x v="14"/>
  </r>
  <r>
    <x v="37"/>
  </r>
  <r>
    <x v="37"/>
  </r>
  <r>
    <x v="16"/>
  </r>
  <r>
    <x v="40"/>
  </r>
  <r>
    <x v="16"/>
  </r>
  <r>
    <x v="56"/>
  </r>
  <r>
    <x v="86"/>
  </r>
  <r>
    <x v="41"/>
  </r>
  <r>
    <x v="16"/>
  </r>
  <r>
    <x v="115"/>
  </r>
  <r>
    <x v="28"/>
  </r>
  <r>
    <x v="181"/>
  </r>
  <r>
    <x v="28"/>
  </r>
  <r>
    <x v="42"/>
  </r>
  <r>
    <x v="6"/>
  </r>
  <r>
    <x v="138"/>
  </r>
  <r>
    <x v="12"/>
  </r>
  <r>
    <x v="15"/>
  </r>
  <r>
    <x v="10"/>
  </r>
  <r>
    <x v="0"/>
  </r>
  <r>
    <x v="59"/>
  </r>
  <r>
    <x v="0"/>
  </r>
  <r>
    <x v="17"/>
  </r>
  <r>
    <x v="37"/>
  </r>
  <r>
    <x v="22"/>
  </r>
  <r>
    <x v="4"/>
  </r>
  <r>
    <x v="27"/>
  </r>
  <r>
    <x v="10"/>
  </r>
  <r>
    <x v="10"/>
  </r>
  <r>
    <x v="7"/>
  </r>
  <r>
    <x v="49"/>
  </r>
  <r>
    <x v="14"/>
  </r>
  <r>
    <x v="6"/>
  </r>
  <r>
    <x v="130"/>
  </r>
  <r>
    <x v="6"/>
  </r>
  <r>
    <x v="26"/>
  </r>
  <r>
    <x v="40"/>
  </r>
  <r>
    <x v="4"/>
  </r>
  <r>
    <x v="39"/>
  </r>
  <r>
    <x v="0"/>
  </r>
  <r>
    <x v="16"/>
  </r>
  <r>
    <x v="49"/>
  </r>
  <r>
    <x v="46"/>
  </r>
  <r>
    <x v="24"/>
  </r>
  <r>
    <x v="40"/>
  </r>
  <r>
    <x v="16"/>
  </r>
  <r>
    <x v="16"/>
  </r>
  <r>
    <x v="19"/>
  </r>
  <r>
    <x v="19"/>
  </r>
  <r>
    <x v="6"/>
  </r>
  <r>
    <x v="25"/>
  </r>
  <r>
    <x v="6"/>
  </r>
  <r>
    <x v="14"/>
  </r>
  <r>
    <x v="6"/>
  </r>
  <r>
    <x v="86"/>
  </r>
  <r>
    <x v="28"/>
  </r>
  <r>
    <x v="7"/>
  </r>
  <r>
    <x v="28"/>
  </r>
  <r>
    <x v="9"/>
  </r>
  <r>
    <x v="7"/>
  </r>
  <r>
    <x v="7"/>
  </r>
  <r>
    <x v="12"/>
  </r>
  <r>
    <x v="28"/>
  </r>
  <r>
    <x v="162"/>
  </r>
  <r>
    <x v="7"/>
  </r>
  <r>
    <x v="162"/>
  </r>
  <r>
    <x v="7"/>
  </r>
  <r>
    <x v="165"/>
  </r>
  <r>
    <x v="165"/>
  </r>
  <r>
    <x v="16"/>
  </r>
  <r>
    <x v="12"/>
  </r>
  <r>
    <x v="7"/>
  </r>
  <r>
    <x v="100"/>
  </r>
  <r>
    <x v="4"/>
  </r>
  <r>
    <x v="81"/>
  </r>
  <r>
    <x v="11"/>
  </r>
  <r>
    <x v="9"/>
  </r>
  <r>
    <x v="7"/>
  </r>
  <r>
    <x v="231"/>
  </r>
  <r>
    <x v="130"/>
  </r>
  <r>
    <x v="14"/>
  </r>
  <r>
    <x v="48"/>
  </r>
  <r>
    <x v="17"/>
  </r>
  <r>
    <x v="17"/>
  </r>
  <r>
    <x v="21"/>
  </r>
  <r>
    <x v="21"/>
  </r>
  <r>
    <x v="123"/>
  </r>
  <r>
    <x v="95"/>
  </r>
  <r>
    <x v="42"/>
  </r>
  <r>
    <x v="50"/>
  </r>
  <r>
    <x v="4"/>
  </r>
  <r>
    <x v="4"/>
  </r>
  <r>
    <x v="53"/>
  </r>
  <r>
    <x v="16"/>
  </r>
  <r>
    <x v="28"/>
  </r>
  <r>
    <x v="7"/>
  </r>
  <r>
    <x v="31"/>
  </r>
  <r>
    <x v="14"/>
  </r>
  <r>
    <x v="37"/>
  </r>
  <r>
    <x v="31"/>
  </r>
  <r>
    <x v="49"/>
  </r>
  <r>
    <x v="204"/>
  </r>
  <r>
    <x v="14"/>
  </r>
  <r>
    <x v="11"/>
  </r>
  <r>
    <x v="7"/>
  </r>
  <r>
    <x v="199"/>
  </r>
  <r>
    <x v="4"/>
  </r>
  <r>
    <x v="63"/>
  </r>
  <r>
    <x v="37"/>
  </r>
  <r>
    <x v="45"/>
  </r>
  <r>
    <x v="28"/>
  </r>
  <r>
    <x v="12"/>
  </r>
  <r>
    <x v="123"/>
  </r>
  <r>
    <x v="24"/>
  </r>
  <r>
    <x v="52"/>
  </r>
  <r>
    <x v="61"/>
  </r>
  <r>
    <x v="16"/>
  </r>
  <r>
    <x v="144"/>
  </r>
  <r>
    <x v="144"/>
  </r>
  <r>
    <x v="37"/>
  </r>
  <r>
    <x v="37"/>
  </r>
  <r>
    <x v="45"/>
  </r>
  <r>
    <x v="45"/>
  </r>
  <r>
    <x v="144"/>
  </r>
  <r>
    <x v="14"/>
  </r>
  <r>
    <x v="14"/>
  </r>
  <r>
    <x v="19"/>
  </r>
  <r>
    <x v="19"/>
  </r>
  <r>
    <x v="306"/>
  </r>
  <r>
    <x v="4"/>
  </r>
  <r>
    <x v="4"/>
  </r>
  <r>
    <x v="28"/>
  </r>
  <r>
    <x v="45"/>
  </r>
  <r>
    <x v="14"/>
  </r>
  <r>
    <x v="12"/>
  </r>
  <r>
    <x v="28"/>
  </r>
  <r>
    <x v="12"/>
  </r>
  <r>
    <x v="12"/>
  </r>
  <r>
    <x v="12"/>
  </r>
  <r>
    <x v="12"/>
  </r>
  <r>
    <x v="10"/>
  </r>
  <r>
    <x v="17"/>
  </r>
  <r>
    <x v="4"/>
  </r>
  <r>
    <x v="12"/>
  </r>
  <r>
    <x v="12"/>
  </r>
  <r>
    <x v="12"/>
  </r>
  <r>
    <x v="48"/>
  </r>
  <r>
    <x v="12"/>
  </r>
  <r>
    <x v="17"/>
  </r>
  <r>
    <x v="12"/>
  </r>
  <r>
    <x v="56"/>
  </r>
  <r>
    <x v="53"/>
  </r>
  <r>
    <x v="39"/>
  </r>
  <r>
    <x v="187"/>
  </r>
  <r>
    <x v="10"/>
  </r>
  <r>
    <x v="12"/>
  </r>
  <r>
    <x v="4"/>
  </r>
  <r>
    <x v="17"/>
  </r>
  <r>
    <x v="1"/>
  </r>
  <r>
    <x v="14"/>
  </r>
  <r>
    <x v="27"/>
  </r>
  <r>
    <x v="24"/>
  </r>
  <r>
    <x v="102"/>
  </r>
  <r>
    <x v="14"/>
  </r>
  <r>
    <x v="27"/>
  </r>
  <r>
    <x v="4"/>
  </r>
  <r>
    <x v="4"/>
  </r>
  <r>
    <x v="40"/>
  </r>
  <r>
    <x v="17"/>
  </r>
  <r>
    <x v="55"/>
  </r>
  <r>
    <x v="17"/>
  </r>
  <r>
    <x v="17"/>
  </r>
  <r>
    <x v="9"/>
  </r>
  <r>
    <x v="17"/>
  </r>
  <r>
    <x v="64"/>
  </r>
  <r>
    <x v="53"/>
  </r>
  <r>
    <x v="71"/>
  </r>
  <r>
    <x v="12"/>
  </r>
  <r>
    <x v="11"/>
  </r>
  <r>
    <x v="14"/>
  </r>
  <r>
    <x v="14"/>
  </r>
  <r>
    <x v="53"/>
  </r>
  <r>
    <x v="71"/>
  </r>
  <r>
    <x v="17"/>
  </r>
  <r>
    <x v="86"/>
  </r>
  <r>
    <x v="2"/>
  </r>
  <r>
    <x v="2"/>
  </r>
  <r>
    <x v="12"/>
  </r>
  <r>
    <x v="123"/>
  </r>
  <r>
    <x v="29"/>
  </r>
  <r>
    <x v="29"/>
  </r>
  <r>
    <x v="29"/>
  </r>
  <r>
    <x v="46"/>
  </r>
  <r>
    <x v="123"/>
  </r>
  <r>
    <x v="6"/>
  </r>
  <r>
    <x v="55"/>
  </r>
  <r>
    <x v="55"/>
  </r>
  <r>
    <x v="162"/>
  </r>
  <r>
    <x v="14"/>
  </r>
  <r>
    <x v="152"/>
  </r>
  <r>
    <x v="11"/>
  </r>
  <r>
    <x v="10"/>
  </r>
  <r>
    <x v="49"/>
  </r>
  <r>
    <x v="4"/>
  </r>
  <r>
    <x v="22"/>
  </r>
  <r>
    <x v="163"/>
  </r>
  <r>
    <x v="28"/>
  </r>
  <r>
    <x v="31"/>
  </r>
  <r>
    <x v="39"/>
  </r>
  <r>
    <x v="16"/>
  </r>
  <r>
    <x v="4"/>
  </r>
  <r>
    <x v="6"/>
  </r>
  <r>
    <x v="83"/>
  </r>
  <r>
    <x v="6"/>
  </r>
  <r>
    <x v="4"/>
  </r>
  <r>
    <x v="105"/>
  </r>
  <r>
    <x v="86"/>
  </r>
  <r>
    <x v="37"/>
  </r>
  <r>
    <x v="100"/>
  </r>
  <r>
    <x v="136"/>
  </r>
  <r>
    <x v="17"/>
  </r>
  <r>
    <x v="49"/>
  </r>
  <r>
    <x v="14"/>
  </r>
  <r>
    <x v="0"/>
  </r>
  <r>
    <x v="49"/>
  </r>
  <r>
    <x v="28"/>
  </r>
  <r>
    <x v="104"/>
  </r>
  <r>
    <x v="111"/>
  </r>
  <r>
    <x v="12"/>
  </r>
  <r>
    <x v="28"/>
  </r>
  <r>
    <x v="77"/>
  </r>
  <r>
    <x v="48"/>
  </r>
  <r>
    <x v="68"/>
  </r>
  <r>
    <x v="4"/>
  </r>
  <r>
    <x v="122"/>
  </r>
  <r>
    <x v="34"/>
  </r>
  <r>
    <x v="46"/>
  </r>
  <r>
    <x v="32"/>
  </r>
  <r>
    <x v="48"/>
  </r>
  <r>
    <x v="0"/>
  </r>
  <r>
    <x v="4"/>
  </r>
  <r>
    <x v="15"/>
  </r>
  <r>
    <x v="15"/>
  </r>
  <r>
    <x v="15"/>
  </r>
  <r>
    <x v="15"/>
  </r>
  <r>
    <x v="15"/>
  </r>
  <r>
    <x v="165"/>
  </r>
  <r>
    <x v="9"/>
  </r>
  <r>
    <x v="201"/>
  </r>
  <r>
    <x v="28"/>
  </r>
  <r>
    <x v="29"/>
  </r>
  <r>
    <x v="29"/>
  </r>
  <r>
    <x v="12"/>
  </r>
  <r>
    <x v="16"/>
  </r>
  <r>
    <x v="49"/>
  </r>
  <r>
    <x v="28"/>
  </r>
  <r>
    <x v="14"/>
  </r>
  <r>
    <x v="9"/>
  </r>
  <r>
    <x v="25"/>
  </r>
  <r>
    <x v="10"/>
  </r>
  <r>
    <x v="163"/>
  </r>
  <r>
    <x v="34"/>
  </r>
  <r>
    <x v="0"/>
  </r>
  <r>
    <x v="21"/>
  </r>
  <r>
    <x v="22"/>
  </r>
  <r>
    <x v="17"/>
  </r>
  <r>
    <x v="306"/>
  </r>
  <r>
    <x v="0"/>
  </r>
  <r>
    <x v="6"/>
  </r>
  <r>
    <x v="14"/>
  </r>
  <r>
    <x v="0"/>
  </r>
  <r>
    <x v="17"/>
  </r>
  <r>
    <x v="24"/>
  </r>
  <r>
    <x v="17"/>
  </r>
  <r>
    <x v="37"/>
  </r>
  <r>
    <x v="26"/>
  </r>
  <r>
    <x v="26"/>
  </r>
  <r>
    <x v="16"/>
  </r>
  <r>
    <x v="12"/>
  </r>
  <r>
    <x v="53"/>
  </r>
  <r>
    <x v="0"/>
  </r>
  <r>
    <x v="53"/>
  </r>
  <r>
    <x v="53"/>
  </r>
  <r>
    <x v="12"/>
  </r>
  <r>
    <x v="53"/>
  </r>
  <r>
    <x v="19"/>
  </r>
  <r>
    <x v="42"/>
  </r>
  <r>
    <x v="12"/>
  </r>
  <r>
    <x v="83"/>
  </r>
  <r>
    <x v="24"/>
  </r>
  <r>
    <x v="48"/>
  </r>
  <r>
    <x v="12"/>
  </r>
  <r>
    <x v="69"/>
  </r>
  <r>
    <x v="69"/>
  </r>
  <r>
    <x v="78"/>
  </r>
  <r>
    <x v="78"/>
  </r>
  <r>
    <x v="78"/>
  </r>
  <r>
    <x v="59"/>
  </r>
  <r>
    <x v="154"/>
  </r>
  <r>
    <x v="69"/>
  </r>
  <r>
    <x v="69"/>
  </r>
  <r>
    <x v="78"/>
  </r>
  <r>
    <x v="112"/>
  </r>
  <r>
    <x v="251"/>
  </r>
  <r>
    <x v="251"/>
  </r>
  <r>
    <x v="251"/>
  </r>
  <r>
    <x v="251"/>
  </r>
  <r>
    <x v="112"/>
  </r>
  <r>
    <x v="112"/>
  </r>
  <r>
    <x v="57"/>
  </r>
  <r>
    <x v="81"/>
  </r>
  <r>
    <x v="112"/>
  </r>
  <r>
    <x v="112"/>
  </r>
  <r>
    <x v="12"/>
  </r>
  <r>
    <x v="251"/>
  </r>
  <r>
    <x v="115"/>
  </r>
  <r>
    <x v="112"/>
  </r>
  <r>
    <x v="115"/>
  </r>
  <r>
    <x v="81"/>
  </r>
  <r>
    <x v="14"/>
  </r>
  <r>
    <x v="14"/>
  </r>
  <r>
    <x v="81"/>
  </r>
  <r>
    <x v="81"/>
  </r>
  <r>
    <x v="81"/>
  </r>
  <r>
    <x v="108"/>
  </r>
  <r>
    <x v="2"/>
  </r>
  <r>
    <x v="108"/>
  </r>
  <r>
    <x v="81"/>
  </r>
  <r>
    <x v="81"/>
  </r>
  <r>
    <x v="81"/>
  </r>
  <r>
    <x v="81"/>
  </r>
  <r>
    <x v="81"/>
  </r>
  <r>
    <x v="81"/>
  </r>
  <r>
    <x v="81"/>
  </r>
  <r>
    <x v="108"/>
  </r>
  <r>
    <x v="81"/>
  </r>
  <r>
    <x v="81"/>
  </r>
  <r>
    <x v="81"/>
  </r>
  <r>
    <x v="42"/>
  </r>
  <r>
    <x v="17"/>
  </r>
  <r>
    <x v="11"/>
  </r>
  <r>
    <x v="22"/>
  </r>
  <r>
    <x v="3"/>
  </r>
  <r>
    <x v="25"/>
  </r>
  <r>
    <x v="87"/>
  </r>
  <r>
    <x v="10"/>
  </r>
  <r>
    <x v="1"/>
  </r>
  <r>
    <x v="123"/>
  </r>
  <r>
    <x v="87"/>
  </r>
  <r>
    <x v="87"/>
  </r>
  <r>
    <x v="28"/>
  </r>
  <r>
    <x v="87"/>
  </r>
  <r>
    <x v="10"/>
  </r>
  <r>
    <x v="24"/>
  </r>
  <r>
    <x v="55"/>
  </r>
  <r>
    <x v="37"/>
  </r>
  <r>
    <x v="7"/>
  </r>
  <r>
    <x v="108"/>
  </r>
  <r>
    <x v="108"/>
  </r>
  <r>
    <x v="108"/>
  </r>
  <r>
    <x v="3"/>
  </r>
  <r>
    <x v="25"/>
  </r>
  <r>
    <x v="83"/>
  </r>
  <r>
    <x v="83"/>
  </r>
  <r>
    <x v="108"/>
  </r>
  <r>
    <x v="108"/>
  </r>
  <r>
    <x v="108"/>
  </r>
  <r>
    <x v="108"/>
  </r>
  <r>
    <x v="108"/>
  </r>
  <r>
    <x v="10"/>
  </r>
  <r>
    <x v="108"/>
  </r>
  <r>
    <x v="3"/>
  </r>
  <r>
    <x v="3"/>
  </r>
  <r>
    <x v="108"/>
  </r>
  <r>
    <x v="3"/>
  </r>
  <r>
    <x v="3"/>
  </r>
  <r>
    <x v="10"/>
  </r>
  <r>
    <x v="10"/>
  </r>
  <r>
    <x v="128"/>
  </r>
  <r>
    <x v="122"/>
  </r>
  <r>
    <x v="28"/>
  </r>
  <r>
    <x v="23"/>
  </r>
  <r>
    <x v="110"/>
  </r>
  <r>
    <x v="95"/>
  </r>
  <r>
    <x v="23"/>
  </r>
  <r>
    <x v="112"/>
  </r>
  <r>
    <x v="42"/>
  </r>
  <r>
    <x v="42"/>
  </r>
  <r>
    <x v="108"/>
  </r>
  <r>
    <x v="10"/>
  </r>
  <r>
    <x v="10"/>
  </r>
  <r>
    <x v="126"/>
  </r>
  <r>
    <x v="126"/>
  </r>
  <r>
    <x v="23"/>
  </r>
  <r>
    <x v="15"/>
  </r>
  <r>
    <x v="126"/>
  </r>
  <r>
    <x v="96"/>
  </r>
  <r>
    <x v="96"/>
  </r>
  <r>
    <x v="126"/>
  </r>
  <r>
    <x v="10"/>
  </r>
  <r>
    <x v="10"/>
  </r>
  <r>
    <x v="20"/>
  </r>
  <r>
    <x v="10"/>
  </r>
  <r>
    <x v="10"/>
  </r>
  <r>
    <x v="10"/>
  </r>
  <r>
    <x v="10"/>
  </r>
  <r>
    <x v="10"/>
  </r>
  <r>
    <x v="25"/>
  </r>
  <r>
    <x v="10"/>
  </r>
  <r>
    <x v="10"/>
  </r>
  <r>
    <x v="10"/>
  </r>
  <r>
    <x v="20"/>
  </r>
  <r>
    <x v="20"/>
  </r>
  <r>
    <x v="10"/>
  </r>
  <r>
    <x v="10"/>
  </r>
  <r>
    <x v="10"/>
  </r>
  <r>
    <x v="25"/>
  </r>
  <r>
    <x v="25"/>
  </r>
  <r>
    <x v="20"/>
  </r>
  <r>
    <x v="10"/>
  </r>
  <r>
    <x v="10"/>
  </r>
  <r>
    <x v="10"/>
  </r>
  <r>
    <x v="10"/>
  </r>
  <r>
    <x v="20"/>
  </r>
  <r>
    <x v="20"/>
  </r>
  <r>
    <x v="20"/>
  </r>
  <r>
    <x v="20"/>
  </r>
  <r>
    <x v="21"/>
  </r>
  <r>
    <x v="10"/>
  </r>
  <r>
    <x v="20"/>
  </r>
  <r>
    <x v="20"/>
  </r>
  <r>
    <x v="0"/>
  </r>
  <r>
    <x v="41"/>
  </r>
  <r>
    <x v="112"/>
  </r>
  <r>
    <x v="112"/>
  </r>
  <r>
    <x v="0"/>
  </r>
  <r>
    <x v="23"/>
  </r>
  <r>
    <x v="0"/>
  </r>
  <r>
    <x v="31"/>
  </r>
  <r>
    <x v="81"/>
  </r>
  <r>
    <x v="138"/>
  </r>
  <r>
    <x v="138"/>
  </r>
  <r>
    <x v="31"/>
  </r>
  <r>
    <x v="14"/>
  </r>
  <r>
    <x v="37"/>
  </r>
  <r>
    <x v="162"/>
  </r>
  <r>
    <x v="81"/>
  </r>
  <r>
    <x v="33"/>
  </r>
  <r>
    <x v="33"/>
  </r>
  <r>
    <x v="81"/>
  </r>
  <r>
    <x v="24"/>
  </r>
  <r>
    <x v="24"/>
  </r>
  <r>
    <x v="102"/>
  </r>
  <r>
    <x v="50"/>
  </r>
  <r>
    <x v="3"/>
  </r>
  <r>
    <x v="3"/>
  </r>
  <r>
    <x v="77"/>
  </r>
  <r>
    <x v="3"/>
  </r>
  <r>
    <x v="10"/>
  </r>
  <r>
    <x v="3"/>
  </r>
  <r>
    <x v="10"/>
  </r>
  <r>
    <x v="59"/>
  </r>
  <r>
    <x v="3"/>
  </r>
  <r>
    <x v="3"/>
  </r>
  <r>
    <x v="3"/>
  </r>
  <r>
    <x v="1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24"/>
  </r>
  <r>
    <x v="24"/>
  </r>
  <r>
    <x v="31"/>
  </r>
  <r>
    <x v="31"/>
  </r>
  <r>
    <x v="31"/>
  </r>
  <r>
    <x v="31"/>
  </r>
  <r>
    <x v="31"/>
  </r>
  <r>
    <x v="31"/>
  </r>
  <r>
    <x v="31"/>
  </r>
  <r>
    <x v="24"/>
  </r>
  <r>
    <x v="10"/>
  </r>
  <r>
    <x v="10"/>
  </r>
  <r>
    <x v="10"/>
  </r>
  <r>
    <x v="10"/>
  </r>
  <r>
    <x v="10"/>
  </r>
  <r>
    <x v="23"/>
  </r>
  <r>
    <x v="23"/>
  </r>
  <r>
    <x v="10"/>
  </r>
  <r>
    <x v="16"/>
  </r>
  <r>
    <x v="16"/>
  </r>
  <r>
    <x v="36"/>
  </r>
  <r>
    <x v="43"/>
  </r>
  <r>
    <x v="184"/>
  </r>
  <r>
    <x v="154"/>
  </r>
  <r>
    <x v="14"/>
  </r>
  <r>
    <x v="14"/>
  </r>
  <r>
    <x v="22"/>
  </r>
  <r>
    <x v="0"/>
  </r>
  <r>
    <x v="14"/>
  </r>
  <r>
    <x v="0"/>
  </r>
  <r>
    <x v="204"/>
  </r>
  <r>
    <x v="0"/>
  </r>
  <r>
    <x v="0"/>
  </r>
  <r>
    <x v="112"/>
  </r>
  <r>
    <x v="42"/>
  </r>
  <r>
    <x v="129"/>
  </r>
  <r>
    <x v="16"/>
  </r>
  <r>
    <x v="138"/>
  </r>
  <r>
    <x v="4"/>
  </r>
  <r>
    <x v="115"/>
  </r>
  <r>
    <x v="115"/>
  </r>
  <r>
    <x v="42"/>
  </r>
  <r>
    <x v="10"/>
  </r>
  <r>
    <x v="10"/>
  </r>
  <r>
    <x v="10"/>
  </r>
  <r>
    <x v="123"/>
  </r>
  <r>
    <x v="12"/>
  </r>
  <r>
    <x v="12"/>
  </r>
  <r>
    <x v="12"/>
  </r>
  <r>
    <x v="17"/>
  </r>
  <r>
    <x v="36"/>
  </r>
  <r>
    <x v="36"/>
  </r>
  <r>
    <x v="12"/>
  </r>
  <r>
    <x v="6"/>
  </r>
  <r>
    <x v="10"/>
  </r>
  <r>
    <x v="269"/>
  </r>
  <r>
    <x v="59"/>
  </r>
  <r>
    <x v="48"/>
  </r>
  <r>
    <x v="122"/>
  </r>
  <r>
    <x v="9"/>
  </r>
  <r>
    <x v="122"/>
  </r>
  <r>
    <x v="28"/>
  </r>
  <r>
    <x v="57"/>
  </r>
  <r>
    <x v="42"/>
  </r>
  <r>
    <x v="14"/>
  </r>
  <r>
    <x v="75"/>
  </r>
  <r>
    <x v="11"/>
  </r>
  <r>
    <x v="50"/>
  </r>
  <r>
    <x v="36"/>
  </r>
  <r>
    <x v="11"/>
  </r>
  <r>
    <x v="10"/>
  </r>
  <r>
    <x v="81"/>
  </r>
  <r>
    <x v="10"/>
  </r>
  <r>
    <x v="10"/>
  </r>
  <r>
    <x v="59"/>
  </r>
  <r>
    <x v="12"/>
  </r>
  <r>
    <x v="42"/>
  </r>
  <r>
    <x v="10"/>
  </r>
  <r>
    <x v="7"/>
  </r>
  <r>
    <x v="10"/>
  </r>
  <r>
    <x v="57"/>
  </r>
  <r>
    <x v="57"/>
  </r>
  <r>
    <x v="4"/>
  </r>
  <r>
    <x v="4"/>
  </r>
  <r>
    <x v="42"/>
  </r>
  <r>
    <x v="81"/>
  </r>
  <r>
    <x v="42"/>
  </r>
  <r>
    <x v="123"/>
  </r>
  <r>
    <x v="154"/>
  </r>
  <r>
    <x v="71"/>
  </r>
  <r>
    <x v="71"/>
  </r>
  <r>
    <x v="77"/>
  </r>
  <r>
    <x v="111"/>
  </r>
  <r>
    <x v="21"/>
  </r>
  <r>
    <x v="10"/>
  </r>
  <r>
    <x v="59"/>
  </r>
  <r>
    <x v="42"/>
  </r>
  <r>
    <x v="42"/>
  </r>
  <r>
    <x v="76"/>
  </r>
  <r>
    <x v="21"/>
  </r>
  <r>
    <x v="45"/>
  </r>
  <r>
    <x v="12"/>
  </r>
  <r>
    <x v="45"/>
  </r>
  <r>
    <x v="45"/>
  </r>
  <r>
    <x v="12"/>
  </r>
  <r>
    <x v="12"/>
  </r>
  <r>
    <x v="12"/>
  </r>
  <r>
    <x v="45"/>
  </r>
  <r>
    <x v="12"/>
  </r>
  <r>
    <x v="12"/>
  </r>
  <r>
    <x v="12"/>
  </r>
  <r>
    <x v="10"/>
  </r>
  <r>
    <x v="12"/>
  </r>
  <r>
    <x v="12"/>
  </r>
  <r>
    <x v="0"/>
  </r>
  <r>
    <x v="83"/>
  </r>
  <r>
    <x v="12"/>
  </r>
  <r>
    <x v="12"/>
  </r>
  <r>
    <x v="12"/>
  </r>
  <r>
    <x v="42"/>
  </r>
  <r>
    <x v="12"/>
  </r>
  <r>
    <x v="42"/>
  </r>
  <r>
    <x v="12"/>
  </r>
  <r>
    <x v="42"/>
  </r>
  <r>
    <x v="10"/>
  </r>
  <r>
    <x v="12"/>
  </r>
  <r>
    <x v="12"/>
  </r>
  <r>
    <x v="12"/>
  </r>
  <r>
    <x v="12"/>
  </r>
  <r>
    <x v="12"/>
  </r>
  <r>
    <x v="12"/>
  </r>
  <r>
    <x v="42"/>
  </r>
  <r>
    <x v="12"/>
  </r>
  <r>
    <x v="42"/>
  </r>
  <r>
    <x v="19"/>
  </r>
  <r>
    <x v="0"/>
  </r>
  <r>
    <x v="106"/>
  </r>
  <r>
    <x v="71"/>
  </r>
  <r>
    <x v="28"/>
  </r>
  <r>
    <x v="28"/>
  </r>
  <r>
    <x v="10"/>
  </r>
  <r>
    <x v="28"/>
  </r>
  <r>
    <x v="71"/>
  </r>
  <r>
    <x v="45"/>
  </r>
  <r>
    <x v="45"/>
  </r>
  <r>
    <x v="76"/>
  </r>
  <r>
    <x v="71"/>
  </r>
  <r>
    <x v="143"/>
  </r>
  <r>
    <x v="45"/>
  </r>
  <r>
    <x v="0"/>
  </r>
  <r>
    <x v="0"/>
  </r>
  <r>
    <x v="56"/>
  </r>
  <r>
    <x v="131"/>
  </r>
  <r>
    <x v="131"/>
  </r>
  <r>
    <x v="131"/>
  </r>
  <r>
    <x v="131"/>
  </r>
  <r>
    <x v="131"/>
  </r>
  <r>
    <x v="131"/>
  </r>
  <r>
    <x v="131"/>
  </r>
  <r>
    <x v="28"/>
  </r>
  <r>
    <x v="0"/>
  </r>
  <r>
    <x v="63"/>
  </r>
  <r>
    <x v="0"/>
  </r>
  <r>
    <x v="63"/>
  </r>
  <r>
    <x v="63"/>
  </r>
  <r>
    <x v="152"/>
  </r>
  <r>
    <x v="152"/>
  </r>
  <r>
    <x v="111"/>
  </r>
  <r>
    <x v="71"/>
  </r>
  <r>
    <x v="77"/>
  </r>
  <r>
    <x v="71"/>
  </r>
  <r>
    <x v="35"/>
  </r>
  <r>
    <x v="71"/>
  </r>
  <r>
    <x v="112"/>
  </r>
  <r>
    <x v="192"/>
  </r>
  <r>
    <x v="4"/>
  </r>
  <r>
    <x v="4"/>
  </r>
  <r>
    <x v="4"/>
  </r>
  <r>
    <x v="4"/>
  </r>
  <r>
    <x v="10"/>
  </r>
  <r>
    <x v="7"/>
  </r>
  <r>
    <x v="9"/>
  </r>
  <r>
    <x v="83"/>
  </r>
  <r>
    <x v="56"/>
  </r>
  <r>
    <x v="52"/>
  </r>
  <r>
    <x v="100"/>
  </r>
  <r>
    <x v="81"/>
  </r>
  <r>
    <x v="10"/>
  </r>
  <r>
    <x v="165"/>
  </r>
  <r>
    <x v="56"/>
  </r>
  <r>
    <x v="15"/>
  </r>
  <r>
    <x v="53"/>
  </r>
  <r>
    <x v="173"/>
  </r>
  <r>
    <x v="15"/>
  </r>
  <r>
    <x v="10"/>
  </r>
  <r>
    <x v="53"/>
  </r>
  <r>
    <x v="15"/>
  </r>
  <r>
    <x v="53"/>
  </r>
  <r>
    <x v="63"/>
  </r>
  <r>
    <x v="21"/>
  </r>
  <r>
    <x v="21"/>
  </r>
  <r>
    <x v="123"/>
  </r>
  <r>
    <x v="26"/>
  </r>
  <r>
    <x v="31"/>
  </r>
  <r>
    <x v="115"/>
  </r>
  <r>
    <x v="14"/>
  </r>
  <r>
    <x v="37"/>
  </r>
  <r>
    <x v="12"/>
  </r>
  <r>
    <x v="4"/>
  </r>
  <r>
    <x v="53"/>
  </r>
  <r>
    <x v="56"/>
  </r>
  <r>
    <x v="26"/>
  </r>
  <r>
    <x v="0"/>
  </r>
  <r>
    <x v="0"/>
  </r>
  <r>
    <x v="55"/>
  </r>
  <r>
    <x v="53"/>
  </r>
  <r>
    <x v="69"/>
  </r>
  <r>
    <x v="56"/>
  </r>
  <r>
    <x v="56"/>
  </r>
  <r>
    <x v="56"/>
  </r>
  <r>
    <x v="26"/>
  </r>
  <r>
    <x v="55"/>
  </r>
  <r>
    <x v="69"/>
  </r>
  <r>
    <x v="40"/>
  </r>
  <r>
    <x v="56"/>
  </r>
  <r>
    <x v="40"/>
  </r>
  <r>
    <x v="8"/>
  </r>
  <r>
    <x v="8"/>
  </r>
  <r>
    <x v="28"/>
  </r>
  <r>
    <x v="28"/>
  </r>
  <r>
    <x v="6"/>
  </r>
  <r>
    <x v="76"/>
  </r>
  <r>
    <x v="78"/>
  </r>
  <r>
    <x v="14"/>
  </r>
  <r>
    <x v="14"/>
  </r>
  <r>
    <x v="14"/>
  </r>
  <r>
    <x v="0"/>
  </r>
  <r>
    <x v="111"/>
  </r>
  <r>
    <x v="4"/>
  </r>
  <r>
    <x v="10"/>
  </r>
  <r>
    <x v="71"/>
  </r>
  <r>
    <x v="45"/>
  </r>
  <r>
    <x v="76"/>
  </r>
  <r>
    <x v="45"/>
  </r>
  <r>
    <x v="0"/>
  </r>
  <r>
    <x v="0"/>
  </r>
  <r>
    <x v="0"/>
  </r>
  <r>
    <x v="4"/>
  </r>
  <r>
    <x v="8"/>
  </r>
  <r>
    <x v="16"/>
  </r>
  <r>
    <x v="12"/>
  </r>
  <r>
    <x v="130"/>
  </r>
  <r>
    <x v="24"/>
  </r>
  <r>
    <x v="24"/>
  </r>
  <r>
    <x v="34"/>
  </r>
  <r>
    <x v="24"/>
  </r>
  <r>
    <x v="34"/>
  </r>
  <r>
    <x v="45"/>
  </r>
  <r>
    <x v="68"/>
  </r>
  <r>
    <x v="16"/>
  </r>
  <r>
    <x v="12"/>
  </r>
  <r>
    <x v="12"/>
  </r>
  <r>
    <x v="53"/>
  </r>
  <r>
    <x v="28"/>
  </r>
  <r>
    <x v="0"/>
  </r>
  <r>
    <x v="14"/>
  </r>
  <r>
    <x v="57"/>
  </r>
  <r>
    <x v="22"/>
  </r>
  <r>
    <x v="81"/>
  </r>
  <r>
    <x v="22"/>
  </r>
  <r>
    <x v="24"/>
  </r>
  <r>
    <x v="154"/>
  </r>
  <r>
    <x v="22"/>
  </r>
  <r>
    <x v="16"/>
  </r>
  <r>
    <x v="10"/>
  </r>
  <r>
    <x v="22"/>
  </r>
  <r>
    <x v="6"/>
  </r>
  <r>
    <x v="112"/>
  </r>
  <r>
    <x v="24"/>
  </r>
  <r>
    <x v="7"/>
  </r>
  <r>
    <x v="0"/>
  </r>
  <r>
    <x v="11"/>
  </r>
  <r>
    <x v="71"/>
  </r>
  <r>
    <x v="14"/>
  </r>
  <r>
    <x v="34"/>
  </r>
  <r>
    <x v="16"/>
  </r>
  <r>
    <x v="42"/>
  </r>
  <r>
    <x v="16"/>
  </r>
  <r>
    <x v="71"/>
  </r>
  <r>
    <x v="1"/>
  </r>
  <r>
    <x v="174"/>
  </r>
  <r>
    <x v="71"/>
  </r>
  <r>
    <x v="14"/>
  </r>
  <r>
    <x v="30"/>
  </r>
  <r>
    <x v="16"/>
  </r>
  <r>
    <x v="40"/>
  </r>
  <r>
    <x v="9"/>
  </r>
  <r>
    <x v="39"/>
  </r>
  <r>
    <x v="37"/>
  </r>
  <r>
    <x v="14"/>
  </r>
  <r>
    <x v="39"/>
  </r>
  <r>
    <x v="39"/>
  </r>
  <r>
    <x v="71"/>
  </r>
  <r>
    <x v="42"/>
  </r>
  <r>
    <x v="39"/>
  </r>
  <r>
    <x v="14"/>
  </r>
  <r>
    <x v="71"/>
  </r>
  <r>
    <x v="57"/>
  </r>
  <r>
    <x v="26"/>
  </r>
  <r>
    <x v="14"/>
  </r>
  <r>
    <x v="16"/>
  </r>
  <r>
    <x v="130"/>
  </r>
  <r>
    <x v="130"/>
  </r>
  <r>
    <x v="4"/>
  </r>
  <r>
    <x v="144"/>
  </r>
  <r>
    <x v="31"/>
  </r>
  <r>
    <x v="12"/>
  </r>
  <r>
    <x v="12"/>
  </r>
  <r>
    <x v="4"/>
  </r>
  <r>
    <x v="0"/>
  </r>
  <r>
    <x v="12"/>
  </r>
  <r>
    <x v="40"/>
  </r>
  <r>
    <x v="14"/>
  </r>
  <r>
    <x v="4"/>
  </r>
  <r>
    <x v="40"/>
  </r>
  <r>
    <x v="24"/>
  </r>
  <r>
    <x v="25"/>
  </r>
  <r>
    <x v="45"/>
  </r>
  <r>
    <x v="21"/>
  </r>
  <r>
    <x v="40"/>
  </r>
  <r>
    <x v="53"/>
  </r>
  <r>
    <x v="40"/>
  </r>
  <r>
    <x v="8"/>
  </r>
  <r>
    <x v="171"/>
  </r>
  <r>
    <x v="77"/>
  </r>
  <r>
    <x v="77"/>
  </r>
  <r>
    <x v="77"/>
  </r>
  <r>
    <x v="30"/>
  </r>
  <r>
    <x v="0"/>
  </r>
  <r>
    <x v="7"/>
  </r>
  <r>
    <x v="0"/>
  </r>
  <r>
    <x v="14"/>
  </r>
  <r>
    <x v="28"/>
  </r>
  <r>
    <x v="16"/>
  </r>
  <r>
    <x v="28"/>
  </r>
  <r>
    <x v="1"/>
  </r>
  <r>
    <x v="16"/>
  </r>
  <r>
    <x v="28"/>
  </r>
  <r>
    <x v="1"/>
  </r>
  <r>
    <x v="1"/>
  </r>
  <r>
    <x v="1"/>
  </r>
  <r>
    <x v="1"/>
  </r>
  <r>
    <x v="48"/>
  </r>
  <r>
    <x v="1"/>
  </r>
  <r>
    <x v="1"/>
  </r>
  <r>
    <x v="28"/>
  </r>
  <r>
    <x v="68"/>
  </r>
  <r>
    <x v="57"/>
  </r>
  <r>
    <x v="86"/>
  </r>
  <r>
    <x v="2"/>
  </r>
  <r>
    <x v="198"/>
  </r>
  <r>
    <x v="71"/>
  </r>
  <r>
    <x v="123"/>
  </r>
  <r>
    <x v="8"/>
  </r>
  <r>
    <x v="14"/>
  </r>
  <r>
    <x v="22"/>
  </r>
  <r>
    <x v="9"/>
  </r>
  <r>
    <x v="0"/>
  </r>
  <r>
    <x v="0"/>
  </r>
  <r>
    <x v="113"/>
  </r>
  <r>
    <x v="113"/>
  </r>
  <r>
    <x v="9"/>
  </r>
  <r>
    <x v="12"/>
  </r>
  <r>
    <x v="224"/>
  </r>
  <r>
    <x v="46"/>
  </r>
  <r>
    <x v="28"/>
  </r>
  <r>
    <x v="28"/>
  </r>
  <r>
    <x v="12"/>
  </r>
  <r>
    <x v="14"/>
  </r>
  <r>
    <x v="14"/>
  </r>
  <r>
    <x v="42"/>
  </r>
  <r>
    <x v="0"/>
  </r>
  <r>
    <x v="2"/>
  </r>
  <r>
    <x v="10"/>
  </r>
  <r>
    <x v="3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7"/>
  </r>
  <r>
    <x v="63"/>
  </r>
  <r>
    <x v="123"/>
  </r>
  <r>
    <x v="123"/>
  </r>
  <r>
    <x v="123"/>
  </r>
  <r>
    <x v="123"/>
  </r>
  <r>
    <x v="123"/>
  </r>
  <r>
    <x v="123"/>
  </r>
  <r>
    <x v="55"/>
  </r>
  <r>
    <x v="55"/>
  </r>
  <r>
    <x v="28"/>
  </r>
  <r>
    <x v="14"/>
  </r>
  <r>
    <x v="68"/>
  </r>
  <r>
    <x v="14"/>
  </r>
  <r>
    <x v="16"/>
  </r>
  <r>
    <x v="162"/>
  </r>
  <r>
    <x v="0"/>
  </r>
  <r>
    <x v="25"/>
  </r>
  <r>
    <x v="25"/>
  </r>
  <r>
    <x v="2"/>
  </r>
  <r>
    <x v="14"/>
  </r>
  <r>
    <x v="14"/>
  </r>
  <r>
    <x v="55"/>
  </r>
  <r>
    <x v="55"/>
  </r>
  <r>
    <x v="12"/>
  </r>
  <r>
    <x v="17"/>
  </r>
  <r>
    <x v="17"/>
  </r>
  <r>
    <x v="17"/>
  </r>
  <r>
    <x v="17"/>
  </r>
  <r>
    <x v="0"/>
  </r>
  <r>
    <x v="41"/>
  </r>
  <r>
    <x v="10"/>
  </r>
  <r>
    <x v="17"/>
  </r>
  <r>
    <x v="14"/>
  </r>
  <r>
    <x v="123"/>
  </r>
  <r>
    <x v="4"/>
  </r>
  <r>
    <x v="4"/>
  </r>
  <r>
    <x v="9"/>
  </r>
  <r>
    <x v="48"/>
  </r>
  <r>
    <x v="63"/>
  </r>
  <r>
    <x v="63"/>
  </r>
  <r>
    <x v="162"/>
  </r>
  <r>
    <x v="162"/>
  </r>
  <r>
    <x v="162"/>
  </r>
  <r>
    <x v="53"/>
  </r>
  <r>
    <x v="28"/>
  </r>
  <r>
    <x v="28"/>
  </r>
  <r>
    <x v="55"/>
  </r>
  <r>
    <x v="28"/>
  </r>
  <r>
    <x v="9"/>
  </r>
  <r>
    <x v="11"/>
  </r>
  <r>
    <x v="11"/>
  </r>
  <r>
    <x v="10"/>
  </r>
  <r>
    <x v="24"/>
  </r>
  <r>
    <x v="72"/>
  </r>
  <r>
    <x v="14"/>
  </r>
  <r>
    <x v="10"/>
  </r>
  <r>
    <x v="0"/>
  </r>
  <r>
    <x v="0"/>
  </r>
  <r>
    <x v="0"/>
  </r>
  <r>
    <x v="48"/>
  </r>
  <r>
    <x v="108"/>
  </r>
  <r>
    <x v="46"/>
  </r>
  <r>
    <x v="10"/>
  </r>
  <r>
    <x v="14"/>
  </r>
  <r>
    <x v="17"/>
  </r>
  <r>
    <x v="21"/>
  </r>
  <r>
    <x v="17"/>
  </r>
  <r>
    <x v="37"/>
  </r>
  <r>
    <x v="14"/>
  </r>
  <r>
    <x v="14"/>
  </r>
  <r>
    <x v="14"/>
  </r>
  <r>
    <x v="130"/>
  </r>
  <r>
    <x v="14"/>
  </r>
  <r>
    <x v="14"/>
  </r>
  <r>
    <x v="42"/>
  </r>
  <r>
    <x v="12"/>
  </r>
  <r>
    <x v="14"/>
  </r>
  <r>
    <x v="123"/>
  </r>
  <r>
    <x v="7"/>
  </r>
  <r>
    <x v="14"/>
  </r>
  <r>
    <x v="14"/>
  </r>
  <r>
    <x v="8"/>
  </r>
  <r>
    <x v="0"/>
  </r>
  <r>
    <x v="83"/>
  </r>
  <r>
    <x v="59"/>
  </r>
  <r>
    <x v="7"/>
  </r>
  <r>
    <x v="30"/>
  </r>
  <r>
    <x v="46"/>
  </r>
  <r>
    <x v="8"/>
  </r>
  <r>
    <x v="8"/>
  </r>
  <r>
    <x v="8"/>
  </r>
  <r>
    <x v="10"/>
  </r>
  <r>
    <x v="56"/>
  </r>
  <r>
    <x v="9"/>
  </r>
  <r>
    <x v="40"/>
  </r>
  <r>
    <x v="12"/>
  </r>
  <r>
    <x v="75"/>
  </r>
  <r>
    <x v="216"/>
  </r>
  <r>
    <x v="53"/>
  </r>
  <r>
    <x v="28"/>
  </r>
  <r>
    <x v="28"/>
  </r>
  <r>
    <x v="16"/>
  </r>
  <r>
    <x v="56"/>
  </r>
  <r>
    <x v="111"/>
  </r>
  <r>
    <x v="14"/>
  </r>
  <r>
    <x v="1"/>
  </r>
  <r>
    <x v="176"/>
  </r>
  <r>
    <x v="28"/>
  </r>
  <r>
    <x v="28"/>
  </r>
  <r>
    <x v="56"/>
  </r>
  <r>
    <x v="2"/>
  </r>
  <r>
    <x v="64"/>
  </r>
  <r>
    <x v="48"/>
  </r>
  <r>
    <x v="51"/>
  </r>
  <r>
    <x v="42"/>
  </r>
  <r>
    <x v="71"/>
  </r>
  <r>
    <x v="36"/>
  </r>
  <r>
    <x v="12"/>
  </r>
  <r>
    <x v="36"/>
  </r>
  <r>
    <x v="36"/>
  </r>
  <r>
    <x v="28"/>
  </r>
  <r>
    <x v="2"/>
  </r>
  <r>
    <x v="2"/>
  </r>
  <r>
    <x v="2"/>
  </r>
  <r>
    <x v="36"/>
  </r>
  <r>
    <x v="36"/>
  </r>
  <r>
    <x v="10"/>
  </r>
  <r>
    <x v="57"/>
  </r>
  <r>
    <x v="16"/>
  </r>
  <r>
    <x v="179"/>
  </r>
  <r>
    <x v="34"/>
  </r>
  <r>
    <x v="179"/>
  </r>
  <r>
    <x v="34"/>
  </r>
  <r>
    <x v="87"/>
  </r>
  <r>
    <x v="10"/>
  </r>
  <r>
    <x v="19"/>
  </r>
  <r>
    <x v="50"/>
  </r>
  <r>
    <x v="2"/>
  </r>
  <r>
    <x v="21"/>
  </r>
  <r>
    <x v="14"/>
  </r>
  <r>
    <x v="56"/>
  </r>
  <r>
    <x v="24"/>
  </r>
  <r>
    <x v="56"/>
  </r>
  <r>
    <x v="76"/>
  </r>
  <r>
    <x v="16"/>
  </r>
  <r>
    <x v="10"/>
  </r>
  <r>
    <x v="68"/>
  </r>
  <r>
    <x v="11"/>
  </r>
  <r>
    <x v="63"/>
  </r>
  <r>
    <x v="123"/>
  </r>
  <r>
    <x v="123"/>
  </r>
  <r>
    <x v="10"/>
  </r>
  <r>
    <x v="12"/>
  </r>
  <r>
    <x v="152"/>
  </r>
  <r>
    <x v="14"/>
  </r>
  <r>
    <x v="14"/>
  </r>
  <r>
    <x v="56"/>
  </r>
  <r>
    <x v="0"/>
  </r>
  <r>
    <x v="56"/>
  </r>
  <r>
    <x v="162"/>
  </r>
  <r>
    <x v="162"/>
  </r>
  <r>
    <x v="29"/>
  </r>
  <r>
    <x v="3"/>
  </r>
  <r>
    <x v="2"/>
  </r>
  <r>
    <x v="2"/>
  </r>
  <r>
    <x v="59"/>
  </r>
  <r>
    <x v="36"/>
  </r>
  <r>
    <x v="14"/>
  </r>
  <r>
    <x v="87"/>
  </r>
  <r>
    <x v="93"/>
  </r>
  <r>
    <x v="86"/>
  </r>
  <r>
    <x v="48"/>
  </r>
  <r>
    <x v="10"/>
  </r>
  <r>
    <x v="56"/>
  </r>
  <r>
    <x v="56"/>
  </r>
  <r>
    <x v="56"/>
  </r>
  <r>
    <x v="56"/>
  </r>
  <r>
    <x v="56"/>
  </r>
  <r>
    <x v="78"/>
  </r>
  <r>
    <x v="78"/>
  </r>
  <r>
    <x v="78"/>
  </r>
  <r>
    <x v="89"/>
  </r>
  <r>
    <x v="161"/>
  </r>
  <r>
    <x v="55"/>
  </r>
  <r>
    <x v="55"/>
  </r>
  <r>
    <x v="161"/>
  </r>
  <r>
    <x v="161"/>
  </r>
  <r>
    <x v="161"/>
  </r>
  <r>
    <x v="42"/>
  </r>
  <r>
    <x v="42"/>
  </r>
  <r>
    <x v="160"/>
  </r>
  <r>
    <x v="160"/>
  </r>
  <r>
    <x v="42"/>
  </r>
  <r>
    <x v="0"/>
  </r>
  <r>
    <x v="14"/>
  </r>
  <r>
    <x v="26"/>
  </r>
  <r>
    <x v="10"/>
  </r>
  <r>
    <x v="42"/>
  </r>
  <r>
    <x v="6"/>
  </r>
  <r>
    <x v="71"/>
  </r>
  <r>
    <x v="71"/>
  </r>
  <r>
    <x v="0"/>
  </r>
  <r>
    <x v="0"/>
  </r>
  <r>
    <x v="14"/>
  </r>
  <r>
    <x v="70"/>
  </r>
  <r>
    <x v="0"/>
  </r>
  <r>
    <x v="0"/>
  </r>
  <r>
    <x v="0"/>
  </r>
  <r>
    <x v="22"/>
  </r>
  <r>
    <x v="118"/>
  </r>
  <r>
    <x v="0"/>
  </r>
  <r>
    <x v="6"/>
  </r>
  <r>
    <x v="48"/>
  </r>
  <r>
    <x v="2"/>
  </r>
  <r>
    <x v="41"/>
  </r>
  <r>
    <x v="14"/>
  </r>
  <r>
    <x v="71"/>
  </r>
  <r>
    <x v="46"/>
  </r>
  <r>
    <x v="2"/>
  </r>
  <r>
    <x v="30"/>
  </r>
  <r>
    <x v="2"/>
  </r>
  <r>
    <x v="49"/>
  </r>
  <r>
    <x v="0"/>
  </r>
  <r>
    <x v="17"/>
  </r>
  <r>
    <x v="152"/>
  </r>
  <r>
    <x v="71"/>
  </r>
  <r>
    <x v="45"/>
  </r>
  <r>
    <x v="17"/>
  </r>
  <r>
    <x v="123"/>
  </r>
  <r>
    <x v="123"/>
  </r>
  <r>
    <x v="123"/>
  </r>
  <r>
    <x v="42"/>
  </r>
  <r>
    <x v="42"/>
  </r>
  <r>
    <x v="19"/>
  </r>
  <r>
    <x v="19"/>
  </r>
  <r>
    <x v="42"/>
  </r>
  <r>
    <x v="17"/>
  </r>
  <r>
    <x v="42"/>
  </r>
  <r>
    <x v="42"/>
  </r>
  <r>
    <x v="42"/>
  </r>
  <r>
    <x v="21"/>
  </r>
  <r>
    <x v="27"/>
  </r>
  <r>
    <x v="12"/>
  </r>
  <r>
    <x v="112"/>
  </r>
  <r>
    <x v="27"/>
  </r>
  <r>
    <x v="48"/>
  </r>
  <r>
    <x v="78"/>
  </r>
  <r>
    <x v="22"/>
  </r>
  <r>
    <x v="71"/>
  </r>
  <r>
    <x v="10"/>
  </r>
  <r>
    <x v="21"/>
  </r>
  <r>
    <x v="0"/>
  </r>
  <r>
    <x v="0"/>
  </r>
  <r>
    <x v="14"/>
  </r>
  <r>
    <x v="33"/>
  </r>
  <r>
    <x v="12"/>
  </r>
  <r>
    <x v="12"/>
  </r>
  <r>
    <x v="0"/>
  </r>
  <r>
    <x v="12"/>
  </r>
  <r>
    <x v="10"/>
  </r>
  <r>
    <x v="10"/>
  </r>
  <r>
    <x v="1"/>
  </r>
  <r>
    <x v="48"/>
  </r>
  <r>
    <x v="199"/>
  </r>
  <r>
    <x v="87"/>
  </r>
  <r>
    <x v="10"/>
  </r>
  <r>
    <x v="6"/>
  </r>
  <r>
    <x v="14"/>
  </r>
  <r>
    <x v="222"/>
  </r>
  <r>
    <x v="21"/>
  </r>
  <r>
    <x v="48"/>
  </r>
  <r>
    <x v="28"/>
  </r>
  <r>
    <x v="37"/>
  </r>
  <r>
    <x v="12"/>
  </r>
  <r>
    <x v="12"/>
  </r>
  <r>
    <x v="39"/>
  </r>
  <r>
    <x v="37"/>
  </r>
  <r>
    <x v="11"/>
  </r>
  <r>
    <x v="188"/>
  </r>
  <r>
    <x v="71"/>
  </r>
  <r>
    <x v="37"/>
  </r>
  <r>
    <x v="64"/>
  </r>
  <r>
    <x v="27"/>
  </r>
  <r>
    <x v="6"/>
  </r>
  <r>
    <x v="0"/>
  </r>
  <r>
    <x v="21"/>
  </r>
  <r>
    <x v="6"/>
  </r>
  <r>
    <x v="9"/>
  </r>
  <r>
    <x v="37"/>
  </r>
  <r>
    <x v="162"/>
  </r>
  <r>
    <x v="162"/>
  </r>
  <r>
    <x v="37"/>
  </r>
  <r>
    <x v="21"/>
  </r>
  <r>
    <x v="17"/>
  </r>
  <r>
    <x v="14"/>
  </r>
  <r>
    <x v="28"/>
  </r>
  <r>
    <x v="28"/>
  </r>
  <r>
    <x v="86"/>
  </r>
  <r>
    <x v="0"/>
  </r>
  <r>
    <x v="0"/>
  </r>
  <r>
    <x v="14"/>
  </r>
  <r>
    <x v="12"/>
  </r>
  <r>
    <x v="28"/>
  </r>
  <r>
    <x v="28"/>
  </r>
  <r>
    <x v="28"/>
  </r>
  <r>
    <x v="0"/>
  </r>
  <r>
    <x v="0"/>
  </r>
  <r>
    <x v="29"/>
  </r>
  <r>
    <x v="21"/>
  </r>
  <r>
    <x v="14"/>
  </r>
  <r>
    <x v="55"/>
  </r>
  <r>
    <x v="0"/>
  </r>
  <r>
    <x v="45"/>
  </r>
  <r>
    <x v="0"/>
  </r>
  <r>
    <x v="34"/>
  </r>
  <r>
    <x v="4"/>
  </r>
  <r>
    <x v="28"/>
  </r>
  <r>
    <x v="113"/>
  </r>
  <r>
    <x v="21"/>
  </r>
  <r>
    <x v="56"/>
  </r>
  <r>
    <x v="28"/>
  </r>
  <r>
    <x v="28"/>
  </r>
  <r>
    <x v="28"/>
  </r>
  <r>
    <x v="68"/>
  </r>
  <r>
    <x v="7"/>
  </r>
  <r>
    <x v="7"/>
  </r>
  <r>
    <x v="34"/>
  </r>
  <r>
    <x v="34"/>
  </r>
  <r>
    <x v="68"/>
  </r>
  <r>
    <x v="2"/>
  </r>
  <r>
    <x v="55"/>
  </r>
  <r>
    <x v="37"/>
  </r>
  <r>
    <x v="42"/>
  </r>
  <r>
    <x v="42"/>
  </r>
  <r>
    <x v="231"/>
  </r>
  <r>
    <x v="14"/>
  </r>
  <r>
    <x v="108"/>
  </r>
  <r>
    <x v="62"/>
  </r>
  <r>
    <x v="0"/>
  </r>
  <r>
    <x v="16"/>
  </r>
  <r>
    <x v="37"/>
  </r>
  <r>
    <x v="62"/>
  </r>
  <r>
    <x v="0"/>
  </r>
  <r>
    <x v="55"/>
  </r>
  <r>
    <x v="37"/>
  </r>
  <r>
    <x v="17"/>
  </r>
  <r>
    <x v="12"/>
  </r>
  <r>
    <x v="0"/>
  </r>
  <r>
    <x v="52"/>
  </r>
  <r>
    <x v="3"/>
  </r>
  <r>
    <x v="48"/>
  </r>
  <r>
    <x v="41"/>
  </r>
  <r>
    <x v="136"/>
  </r>
  <r>
    <x v="14"/>
  </r>
  <r>
    <x v="14"/>
  </r>
  <r>
    <x v="17"/>
  </r>
  <r>
    <x v="4"/>
  </r>
  <r>
    <x v="39"/>
  </r>
  <r>
    <x v="17"/>
  </r>
  <r>
    <x v="10"/>
  </r>
  <r>
    <x v="17"/>
  </r>
  <r>
    <x v="28"/>
  </r>
  <r>
    <x v="8"/>
  </r>
  <r>
    <x v="0"/>
  </r>
  <r>
    <x v="17"/>
  </r>
  <r>
    <x v="48"/>
  </r>
  <r>
    <x v="4"/>
  </r>
  <r>
    <x v="4"/>
  </r>
  <r>
    <x v="138"/>
  </r>
  <r>
    <x v="12"/>
  </r>
  <r>
    <x v="48"/>
  </r>
  <r>
    <x v="48"/>
  </r>
  <r>
    <x v="21"/>
  </r>
  <r>
    <x v="16"/>
  </r>
  <r>
    <x v="16"/>
  </r>
  <r>
    <x v="16"/>
  </r>
  <r>
    <x v="16"/>
  </r>
  <r>
    <x v="2"/>
  </r>
  <r>
    <x v="47"/>
  </r>
  <r>
    <x v="47"/>
  </r>
  <r>
    <x v="47"/>
  </r>
  <r>
    <x v="47"/>
  </r>
  <r>
    <x v="47"/>
  </r>
  <r>
    <x v="47"/>
  </r>
  <r>
    <x v="2"/>
  </r>
  <r>
    <x v="2"/>
  </r>
  <r>
    <x v="16"/>
  </r>
  <r>
    <x v="16"/>
  </r>
  <r>
    <x v="16"/>
  </r>
  <r>
    <x v="57"/>
  </r>
  <r>
    <x v="63"/>
  </r>
  <r>
    <x v="27"/>
  </r>
  <r>
    <x v="27"/>
  </r>
  <r>
    <x v="51"/>
  </r>
  <r>
    <x v="141"/>
  </r>
  <r>
    <x v="16"/>
  </r>
  <r>
    <x v="16"/>
  </r>
  <r>
    <x v="16"/>
  </r>
  <r>
    <x v="27"/>
  </r>
  <r>
    <x v="27"/>
  </r>
  <r>
    <x v="27"/>
  </r>
  <r>
    <x v="141"/>
  </r>
  <r>
    <x v="141"/>
  </r>
  <r>
    <x v="42"/>
  </r>
  <r>
    <x v="44"/>
  </r>
  <r>
    <x v="144"/>
  </r>
  <r>
    <x v="11"/>
  </r>
  <r>
    <x v="141"/>
  </r>
  <r>
    <x v="141"/>
  </r>
  <r>
    <x v="16"/>
  </r>
  <r>
    <x v="11"/>
  </r>
  <r>
    <x v="27"/>
  </r>
  <r>
    <x v="51"/>
  </r>
  <r>
    <x v="123"/>
  </r>
  <r>
    <x v="123"/>
  </r>
  <r>
    <x v="123"/>
  </r>
  <r>
    <x v="10"/>
  </r>
  <r>
    <x v="2"/>
  </r>
  <r>
    <x v="2"/>
  </r>
  <r>
    <x v="2"/>
  </r>
  <r>
    <x v="2"/>
  </r>
  <r>
    <x v="2"/>
  </r>
  <r>
    <x v="2"/>
  </r>
  <r>
    <x v="2"/>
  </r>
  <r>
    <x v="2"/>
  </r>
  <r>
    <x v="0"/>
  </r>
  <r>
    <x v="16"/>
  </r>
  <r>
    <x v="2"/>
  </r>
  <r>
    <x v="42"/>
  </r>
  <r>
    <x v="2"/>
  </r>
  <r>
    <x v="2"/>
  </r>
  <r>
    <x v="2"/>
  </r>
  <r>
    <x v="2"/>
  </r>
  <r>
    <x v="2"/>
  </r>
  <r>
    <x v="14"/>
  </r>
  <r>
    <x v="63"/>
  </r>
  <r>
    <x v="85"/>
  </r>
  <r>
    <x v="78"/>
  </r>
  <r>
    <x v="250"/>
  </r>
  <r>
    <x v="141"/>
  </r>
  <r>
    <x v="4"/>
  </r>
  <r>
    <x v="25"/>
  </r>
  <r>
    <x v="4"/>
  </r>
  <r>
    <x v="28"/>
  </r>
  <r>
    <x v="16"/>
  </r>
  <r>
    <x v="0"/>
  </r>
  <r>
    <x v="11"/>
  </r>
  <r>
    <x v="14"/>
  </r>
  <r>
    <x v="2"/>
  </r>
  <r>
    <x v="16"/>
  </r>
  <r>
    <x v="16"/>
  </r>
  <r>
    <x v="12"/>
  </r>
  <r>
    <x v="7"/>
  </r>
  <r>
    <x v="0"/>
  </r>
  <r>
    <x v="37"/>
  </r>
  <r>
    <x v="34"/>
  </r>
  <r>
    <x v="34"/>
  </r>
  <r>
    <x v="34"/>
  </r>
  <r>
    <x v="0"/>
  </r>
  <r>
    <x v="42"/>
  </r>
  <r>
    <x v="25"/>
  </r>
  <r>
    <x v="165"/>
  </r>
  <r>
    <x v="4"/>
  </r>
  <r>
    <x v="0"/>
  </r>
  <r>
    <x v="42"/>
  </r>
  <r>
    <x v="76"/>
  </r>
  <r>
    <x v="123"/>
  </r>
  <r>
    <x v="45"/>
  </r>
  <r>
    <x v="31"/>
  </r>
  <r>
    <x v="28"/>
  </r>
  <r>
    <x v="76"/>
  </r>
  <r>
    <x v="76"/>
  </r>
  <r>
    <x v="42"/>
  </r>
  <r>
    <x v="2"/>
  </r>
  <r>
    <x v="16"/>
  </r>
  <r>
    <x v="16"/>
  </r>
  <r>
    <x v="10"/>
  </r>
  <r>
    <x v="37"/>
  </r>
  <r>
    <x v="152"/>
  </r>
  <r>
    <x v="152"/>
  </r>
  <r>
    <x v="138"/>
  </r>
  <r>
    <x v="6"/>
  </r>
  <r>
    <x v="42"/>
  </r>
  <r>
    <x v="42"/>
  </r>
  <r>
    <x v="123"/>
  </r>
  <r>
    <x v="11"/>
  </r>
  <r>
    <x v="11"/>
  </r>
  <r>
    <x v="11"/>
  </r>
  <r>
    <x v="0"/>
  </r>
  <r>
    <x v="0"/>
  </r>
  <r>
    <x v="37"/>
  </r>
  <r>
    <x v="12"/>
  </r>
  <r>
    <x v="12"/>
  </r>
  <r>
    <x v="12"/>
  </r>
  <r>
    <x v="37"/>
  </r>
  <r>
    <x v="37"/>
  </r>
  <r>
    <x v="2"/>
  </r>
  <r>
    <x v="0"/>
  </r>
  <r>
    <x v="0"/>
  </r>
  <r>
    <x v="37"/>
  </r>
  <r>
    <x v="0"/>
  </r>
  <r>
    <x v="0"/>
  </r>
  <r>
    <x v="37"/>
  </r>
  <r>
    <x v="1"/>
  </r>
  <r>
    <x v="50"/>
  </r>
  <r>
    <x v="56"/>
  </r>
  <r>
    <x v="8"/>
  </r>
  <r>
    <x v="8"/>
  </r>
  <r>
    <x v="31"/>
  </r>
  <r>
    <x v="21"/>
  </r>
  <r>
    <x v="56"/>
  </r>
  <r>
    <x v="115"/>
  </r>
  <r>
    <x v="0"/>
  </r>
  <r>
    <x v="14"/>
  </r>
  <r>
    <x v="34"/>
  </r>
  <r>
    <x v="0"/>
  </r>
  <r>
    <x v="8"/>
  </r>
  <r>
    <x v="408"/>
  </r>
  <r>
    <x v="59"/>
  </r>
  <r>
    <x v="77"/>
  </r>
  <r>
    <x v="76"/>
  </r>
  <r>
    <x v="115"/>
  </r>
  <r>
    <x v="115"/>
  </r>
  <r>
    <x v="115"/>
  </r>
  <r>
    <x v="39"/>
  </r>
  <r>
    <x v="8"/>
  </r>
  <r>
    <x v="8"/>
  </r>
  <r>
    <x v="24"/>
  </r>
  <r>
    <x v="14"/>
  </r>
  <r>
    <x v="10"/>
  </r>
  <r>
    <x v="71"/>
  </r>
  <r>
    <x v="9"/>
  </r>
  <r>
    <x v="14"/>
  </r>
  <r>
    <x v="83"/>
  </r>
  <r>
    <x v="76"/>
  </r>
  <r>
    <x v="14"/>
  </r>
  <r>
    <x v="24"/>
  </r>
  <r>
    <x v="49"/>
  </r>
  <r>
    <x v="14"/>
  </r>
  <r>
    <x v="152"/>
  </r>
  <r>
    <x v="169"/>
  </r>
  <r>
    <x v="45"/>
  </r>
  <r>
    <x v="0"/>
  </r>
  <r>
    <x v="53"/>
  </r>
  <r>
    <x v="53"/>
  </r>
  <r>
    <x v="8"/>
  </r>
  <r>
    <x v="53"/>
  </r>
  <r>
    <x v="8"/>
  </r>
  <r>
    <x v="53"/>
  </r>
  <r>
    <x v="28"/>
  </r>
  <r>
    <x v="42"/>
  </r>
  <r>
    <x v="12"/>
  </r>
  <r>
    <x v="138"/>
  </r>
  <r>
    <x v="111"/>
  </r>
  <r>
    <x v="4"/>
  </r>
  <r>
    <x v="53"/>
  </r>
  <r>
    <x v="14"/>
  </r>
  <r>
    <x v="14"/>
  </r>
  <r>
    <x v="14"/>
  </r>
  <r>
    <x v="28"/>
  </r>
  <r>
    <x v="28"/>
  </r>
  <r>
    <x v="28"/>
  </r>
  <r>
    <x v="28"/>
  </r>
  <r>
    <x v="4"/>
  </r>
  <r>
    <x v="4"/>
  </r>
  <r>
    <x v="25"/>
  </r>
  <r>
    <x v="6"/>
  </r>
  <r>
    <x v="56"/>
  </r>
  <r>
    <x v="56"/>
  </r>
  <r>
    <x v="131"/>
  </r>
  <r>
    <x v="4"/>
  </r>
  <r>
    <x v="57"/>
  </r>
  <r>
    <x v="10"/>
  </r>
  <r>
    <x v="4"/>
  </r>
  <r>
    <x v="24"/>
  </r>
  <r>
    <x v="123"/>
  </r>
  <r>
    <x v="123"/>
  </r>
  <r>
    <x v="4"/>
  </r>
  <r>
    <x v="10"/>
  </r>
  <r>
    <x v="9"/>
  </r>
  <r>
    <x v="4"/>
  </r>
  <r>
    <x v="4"/>
  </r>
  <r>
    <x v="9"/>
  </r>
  <r>
    <x v="12"/>
  </r>
  <r>
    <x v="138"/>
  </r>
  <r>
    <x v="10"/>
  </r>
  <r>
    <x v="78"/>
  </r>
  <r>
    <x v="138"/>
  </r>
  <r>
    <x v="24"/>
  </r>
  <r>
    <x v="123"/>
  </r>
  <r>
    <x v="123"/>
  </r>
  <r>
    <x v="56"/>
  </r>
  <r>
    <x v="56"/>
  </r>
  <r>
    <x v="162"/>
  </r>
  <r>
    <x v="19"/>
  </r>
  <r>
    <x v="6"/>
  </r>
  <r>
    <x v="115"/>
  </r>
  <r>
    <x v="31"/>
  </r>
  <r>
    <x v="42"/>
  </r>
  <r>
    <x v="103"/>
  </r>
  <r>
    <x v="37"/>
  </r>
  <r>
    <x v="6"/>
  </r>
  <r>
    <x v="6"/>
  </r>
  <r>
    <x v="6"/>
  </r>
  <r>
    <x v="37"/>
  </r>
  <r>
    <x v="22"/>
  </r>
  <r>
    <x v="72"/>
  </r>
  <r>
    <x v="4"/>
  </r>
  <r>
    <x v="12"/>
  </r>
  <r>
    <x v="16"/>
  </r>
  <r>
    <x v="12"/>
  </r>
  <r>
    <x v="16"/>
  </r>
  <r>
    <x v="16"/>
  </r>
  <r>
    <x v="16"/>
  </r>
  <r>
    <x v="3"/>
  </r>
  <r>
    <x v="3"/>
  </r>
  <r>
    <x v="16"/>
  </r>
  <r>
    <x v="16"/>
  </r>
  <r>
    <x v="16"/>
  </r>
  <r>
    <x v="79"/>
  </r>
  <r>
    <x v="79"/>
  </r>
  <r>
    <x v="79"/>
  </r>
  <r>
    <x v="12"/>
  </r>
  <r>
    <x v="1"/>
  </r>
  <r>
    <x v="0"/>
  </r>
  <r>
    <x v="2"/>
  </r>
  <r>
    <x v="141"/>
  </r>
  <r>
    <x v="10"/>
  </r>
  <r>
    <x v="275"/>
  </r>
  <r>
    <x v="37"/>
  </r>
  <r>
    <x v="21"/>
  </r>
  <r>
    <x v="0"/>
  </r>
  <r>
    <x v="184"/>
  </r>
  <r>
    <x v="37"/>
  </r>
  <r>
    <x v="12"/>
  </r>
  <r>
    <x v="12"/>
  </r>
  <r>
    <x v="12"/>
  </r>
  <r>
    <x v="7"/>
  </r>
  <r>
    <x v="7"/>
  </r>
  <r>
    <x v="7"/>
  </r>
  <r>
    <x v="7"/>
  </r>
  <r>
    <x v="7"/>
  </r>
  <r>
    <x v="7"/>
  </r>
  <r>
    <x v="16"/>
  </r>
  <r>
    <x v="16"/>
  </r>
  <r>
    <x v="4"/>
  </r>
  <r>
    <x v="11"/>
  </r>
  <r>
    <x v="37"/>
  </r>
  <r>
    <x v="123"/>
  </r>
  <r>
    <x v="57"/>
  </r>
  <r>
    <x v="7"/>
  </r>
  <r>
    <x v="123"/>
  </r>
  <r>
    <x v="123"/>
  </r>
  <r>
    <x v="166"/>
  </r>
  <r>
    <x v="166"/>
  </r>
  <r>
    <x v="51"/>
  </r>
  <r>
    <x v="166"/>
  </r>
  <r>
    <x v="166"/>
  </r>
  <r>
    <x v="166"/>
  </r>
  <r>
    <x v="4"/>
  </r>
  <r>
    <x v="4"/>
  </r>
  <r>
    <x v="29"/>
  </r>
  <r>
    <x v="29"/>
  </r>
  <r>
    <x v="29"/>
  </r>
  <r>
    <x v="29"/>
  </r>
  <r>
    <x v="7"/>
  </r>
  <r>
    <x v="123"/>
  </r>
  <r>
    <x v="123"/>
  </r>
  <r>
    <x v="45"/>
  </r>
  <r>
    <x v="12"/>
  </r>
  <r>
    <x v="12"/>
  </r>
  <r>
    <x v="16"/>
  </r>
  <r>
    <x v="162"/>
  </r>
  <r>
    <x v="14"/>
  </r>
  <r>
    <x v="29"/>
  </r>
  <r>
    <x v="162"/>
  </r>
  <r>
    <x v="162"/>
  </r>
  <r>
    <x v="12"/>
  </r>
  <r>
    <x v="7"/>
  </r>
  <r>
    <x v="37"/>
  </r>
  <r>
    <x v="37"/>
  </r>
  <r>
    <x v="37"/>
  </r>
  <r>
    <x v="37"/>
  </r>
  <r>
    <x v="37"/>
  </r>
  <r>
    <x v="37"/>
  </r>
  <r>
    <x v="37"/>
  </r>
  <r>
    <x v="162"/>
  </r>
  <r>
    <x v="45"/>
  </r>
  <r>
    <x v="10"/>
  </r>
  <r>
    <x v="7"/>
  </r>
  <r>
    <x v="57"/>
  </r>
  <r>
    <x v="7"/>
  </r>
  <r>
    <x v="7"/>
  </r>
  <r>
    <x v="166"/>
  </r>
  <r>
    <x v="123"/>
  </r>
  <r>
    <x v="123"/>
  </r>
  <r>
    <x v="29"/>
  </r>
  <r>
    <x v="57"/>
  </r>
  <r>
    <x v="57"/>
  </r>
  <r>
    <x v="6"/>
  </r>
  <r>
    <x v="37"/>
  </r>
  <r>
    <x v="6"/>
  </r>
  <r>
    <x v="7"/>
  </r>
  <r>
    <x v="29"/>
  </r>
  <r>
    <x v="29"/>
  </r>
  <r>
    <x v="7"/>
  </r>
  <r>
    <x v="123"/>
  </r>
  <r>
    <x v="123"/>
  </r>
  <r>
    <x v="123"/>
  </r>
  <r>
    <x v="42"/>
  </r>
  <r>
    <x v="71"/>
  </r>
  <r>
    <x v="63"/>
  </r>
  <r>
    <x v="71"/>
  </r>
  <r>
    <x v="6"/>
  </r>
  <r>
    <x v="16"/>
  </r>
  <r>
    <x v="16"/>
  </r>
  <r>
    <x v="16"/>
  </r>
  <r>
    <x v="6"/>
  </r>
  <r>
    <x v="6"/>
  </r>
  <r>
    <x v="6"/>
  </r>
  <r>
    <x v="16"/>
  </r>
  <r>
    <x v="16"/>
  </r>
  <r>
    <x v="71"/>
  </r>
  <r>
    <x v="7"/>
  </r>
  <r>
    <x v="7"/>
  </r>
  <r>
    <x v="45"/>
  </r>
  <r>
    <x v="45"/>
  </r>
  <r>
    <x v="42"/>
  </r>
  <r>
    <x v="162"/>
  </r>
  <r>
    <x v="162"/>
  </r>
  <r>
    <x v="162"/>
  </r>
  <r>
    <x v="71"/>
  </r>
  <r>
    <x v="42"/>
  </r>
  <r>
    <x v="162"/>
  </r>
  <r>
    <x v="162"/>
  </r>
  <r>
    <x v="162"/>
  </r>
  <r>
    <x v="162"/>
  </r>
  <r>
    <x v="162"/>
  </r>
  <r>
    <x v="162"/>
  </r>
  <r>
    <x v="1"/>
  </r>
  <r>
    <x v="7"/>
  </r>
  <r>
    <x v="77"/>
  </r>
  <r>
    <x v="7"/>
  </r>
  <r>
    <x v="28"/>
  </r>
  <r>
    <x v="42"/>
  </r>
  <r>
    <x v="42"/>
  </r>
  <r>
    <x v="6"/>
  </r>
  <r>
    <x v="28"/>
  </r>
  <r>
    <x v="28"/>
  </r>
  <r>
    <x v="28"/>
  </r>
  <r>
    <x v="28"/>
  </r>
  <r>
    <x v="10"/>
  </r>
  <r>
    <x v="10"/>
  </r>
  <r>
    <x v="10"/>
  </r>
  <r>
    <x v="42"/>
  </r>
  <r>
    <x v="17"/>
  </r>
  <r>
    <x v="12"/>
  </r>
  <r>
    <x v="64"/>
  </r>
  <r>
    <x v="45"/>
  </r>
  <r>
    <x v="37"/>
  </r>
  <r>
    <x v="7"/>
  </r>
  <r>
    <x v="37"/>
  </r>
  <r>
    <x v="7"/>
  </r>
  <r>
    <x v="123"/>
  </r>
  <r>
    <x v="123"/>
  </r>
  <r>
    <x v="42"/>
  </r>
  <r>
    <x v="7"/>
  </r>
  <r>
    <x v="7"/>
  </r>
  <r>
    <x v="7"/>
  </r>
  <r>
    <x v="1"/>
  </r>
  <r>
    <x v="1"/>
  </r>
  <r>
    <x v="12"/>
  </r>
  <r>
    <x v="12"/>
  </r>
  <r>
    <x v="12"/>
  </r>
  <r>
    <x v="12"/>
  </r>
  <r>
    <x v="123"/>
  </r>
  <r>
    <x v="42"/>
  </r>
  <r>
    <x v="42"/>
  </r>
  <r>
    <x v="123"/>
  </r>
  <r>
    <x v="123"/>
  </r>
  <r>
    <x v="42"/>
  </r>
  <r>
    <x v="12"/>
  </r>
  <r>
    <x v="37"/>
  </r>
  <r>
    <x v="12"/>
  </r>
  <r>
    <x v="12"/>
  </r>
  <r>
    <x v="12"/>
  </r>
  <r>
    <x v="12"/>
  </r>
  <r>
    <x v="12"/>
  </r>
  <r>
    <x v="37"/>
  </r>
  <r>
    <x v="12"/>
  </r>
  <r>
    <x v="6"/>
  </r>
  <r>
    <x v="6"/>
  </r>
  <r>
    <x v="1"/>
  </r>
  <r>
    <x v="1"/>
  </r>
  <r>
    <x v="28"/>
  </r>
  <r>
    <x v="141"/>
  </r>
  <r>
    <x v="28"/>
  </r>
  <r>
    <x v="28"/>
  </r>
  <r>
    <x v="1"/>
  </r>
  <r>
    <x v="1"/>
  </r>
  <r>
    <x v="162"/>
  </r>
  <r>
    <x v="162"/>
  </r>
  <r>
    <x v="162"/>
  </r>
  <r>
    <x v="162"/>
  </r>
  <r>
    <x v="162"/>
  </r>
  <r>
    <x v="12"/>
  </r>
  <r>
    <x v="28"/>
  </r>
  <r>
    <x v="14"/>
  </r>
  <r>
    <x v="15"/>
  </r>
  <r>
    <x v="30"/>
  </r>
  <r>
    <x v="45"/>
  </r>
  <r>
    <x v="7"/>
  </r>
  <r>
    <x v="7"/>
  </r>
  <r>
    <x v="37"/>
  </r>
  <r>
    <x v="37"/>
  </r>
  <r>
    <x v="37"/>
  </r>
  <r>
    <x v="63"/>
  </r>
  <r>
    <x v="42"/>
  </r>
  <r>
    <x v="28"/>
  </r>
  <r>
    <x v="123"/>
  </r>
  <r>
    <x v="28"/>
  </r>
  <r>
    <x v="14"/>
  </r>
  <r>
    <x v="28"/>
  </r>
  <r>
    <x v="12"/>
  </r>
  <r>
    <x v="57"/>
  </r>
  <r>
    <x v="42"/>
  </r>
  <r>
    <x v="42"/>
  </r>
  <r>
    <x v="57"/>
  </r>
  <r>
    <x v="42"/>
  </r>
  <r>
    <x v="42"/>
  </r>
  <r>
    <x v="57"/>
  </r>
  <r>
    <x v="57"/>
  </r>
  <r>
    <x v="42"/>
  </r>
  <r>
    <x v="42"/>
  </r>
  <r>
    <x v="57"/>
  </r>
  <r>
    <x v="57"/>
  </r>
  <r>
    <x v="57"/>
  </r>
  <r>
    <x v="42"/>
  </r>
  <r>
    <x v="42"/>
  </r>
  <r>
    <x v="123"/>
  </r>
  <r>
    <x v="112"/>
  </r>
  <r>
    <x v="37"/>
  </r>
  <r>
    <x v="37"/>
  </r>
  <r>
    <x v="37"/>
  </r>
  <r>
    <x v="42"/>
  </r>
  <r>
    <x v="123"/>
  </r>
  <r>
    <x v="57"/>
  </r>
  <r>
    <x v="123"/>
  </r>
  <r>
    <x v="123"/>
  </r>
  <r>
    <x v="42"/>
  </r>
  <r>
    <x v="16"/>
  </r>
  <r>
    <x v="16"/>
  </r>
  <r>
    <x v="162"/>
  </r>
  <r>
    <x v="7"/>
  </r>
  <r>
    <x v="7"/>
  </r>
  <r>
    <x v="42"/>
  </r>
  <r>
    <x v="42"/>
  </r>
  <r>
    <x v="42"/>
  </r>
  <r>
    <x v="42"/>
  </r>
  <r>
    <x v="7"/>
  </r>
  <r>
    <x v="2"/>
  </r>
  <r>
    <x v="170"/>
  </r>
  <r>
    <x v="170"/>
  </r>
  <r>
    <x v="37"/>
  </r>
  <r>
    <x v="12"/>
  </r>
  <r>
    <x v="37"/>
  </r>
  <r>
    <x v="0"/>
  </r>
  <r>
    <x v="0"/>
  </r>
  <r>
    <x v="123"/>
  </r>
  <r>
    <x v="87"/>
  </r>
  <r>
    <x v="87"/>
  </r>
  <r>
    <x v="87"/>
  </r>
  <r>
    <x v="12"/>
  </r>
  <r>
    <x v="12"/>
  </r>
  <r>
    <x v="0"/>
  </r>
  <r>
    <x v="0"/>
  </r>
  <r>
    <x v="4"/>
  </r>
  <r>
    <x v="10"/>
  </r>
  <r>
    <x v="10"/>
  </r>
  <r>
    <x v="10"/>
  </r>
  <r>
    <x v="131"/>
  </r>
  <r>
    <x v="22"/>
  </r>
  <r>
    <x v="48"/>
  </r>
  <r>
    <x v="57"/>
  </r>
  <r>
    <x v="123"/>
  </r>
  <r>
    <x v="0"/>
  </r>
  <r>
    <x v="12"/>
  </r>
  <r>
    <x v="37"/>
  </r>
  <r>
    <x v="0"/>
  </r>
  <r>
    <x v="0"/>
  </r>
  <r>
    <x v="1"/>
  </r>
  <r>
    <x v="16"/>
  </r>
  <r>
    <x v="17"/>
  </r>
  <r>
    <x v="4"/>
  </r>
  <r>
    <x v="4"/>
  </r>
  <r>
    <x v="87"/>
  </r>
  <r>
    <x v="1"/>
  </r>
  <r>
    <x v="14"/>
  </r>
  <r>
    <x v="9"/>
  </r>
  <r>
    <x v="17"/>
  </r>
  <r>
    <x v="11"/>
  </r>
  <r>
    <x v="86"/>
  </r>
  <r>
    <x v="1"/>
  </r>
  <r>
    <x v="1"/>
  </r>
  <r>
    <x v="24"/>
  </r>
  <r>
    <x v="2"/>
  </r>
  <r>
    <x v="55"/>
  </r>
  <r>
    <x v="36"/>
  </r>
  <r>
    <x v="36"/>
  </r>
  <r>
    <x v="25"/>
  </r>
  <r>
    <x v="36"/>
  </r>
  <r>
    <x v="36"/>
  </r>
  <r>
    <x v="36"/>
  </r>
  <r>
    <x v="36"/>
  </r>
  <r>
    <x v="273"/>
  </r>
  <r>
    <x v="160"/>
  </r>
  <r>
    <x v="273"/>
  </r>
  <r>
    <x v="10"/>
  </r>
  <r>
    <x v="273"/>
  </r>
  <r>
    <x v="53"/>
  </r>
  <r>
    <x v="123"/>
  </r>
  <r>
    <x v="152"/>
  </r>
  <r>
    <x v="10"/>
  </r>
  <r>
    <x v="86"/>
  </r>
  <r>
    <x v="86"/>
  </r>
  <r>
    <x v="86"/>
  </r>
  <r>
    <x v="0"/>
  </r>
  <r>
    <x v="16"/>
  </r>
  <r>
    <x v="36"/>
  </r>
  <r>
    <x v="7"/>
  </r>
  <r>
    <x v="16"/>
  </r>
  <r>
    <x v="0"/>
  </r>
  <r>
    <x v="12"/>
  </r>
  <r>
    <x v="7"/>
  </r>
  <r>
    <x v="7"/>
  </r>
  <r>
    <x v="7"/>
  </r>
  <r>
    <x v="7"/>
  </r>
  <r>
    <x v="46"/>
  </r>
  <r>
    <x v="36"/>
  </r>
  <r>
    <x v="7"/>
  </r>
  <r>
    <x v="181"/>
  </r>
  <r>
    <x v="7"/>
  </r>
  <r>
    <x v="12"/>
  </r>
  <r>
    <x v="7"/>
  </r>
  <r>
    <x v="64"/>
  </r>
  <r>
    <x v="4"/>
  </r>
  <r>
    <x v="4"/>
  </r>
  <r>
    <x v="16"/>
  </r>
  <r>
    <x v="2"/>
  </r>
  <r>
    <x v="16"/>
  </r>
  <r>
    <x v="24"/>
  </r>
  <r>
    <x v="86"/>
  </r>
  <r>
    <x v="86"/>
  </r>
  <r>
    <x v="0"/>
  </r>
  <r>
    <x v="11"/>
  </r>
  <r>
    <x v="10"/>
  </r>
  <r>
    <x v="10"/>
  </r>
  <r>
    <x v="10"/>
  </r>
  <r>
    <x v="51"/>
  </r>
  <r>
    <x v="39"/>
  </r>
  <r>
    <x v="86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36"/>
  </r>
  <r>
    <x v="4"/>
  </r>
  <r>
    <x v="4"/>
  </r>
  <r>
    <x v="36"/>
  </r>
  <r>
    <x v="4"/>
  </r>
  <r>
    <x v="4"/>
  </r>
  <r>
    <x v="36"/>
  </r>
  <r>
    <x v="4"/>
  </r>
  <r>
    <x v="4"/>
  </r>
  <r>
    <x v="168"/>
  </r>
  <r>
    <x v="36"/>
  </r>
  <r>
    <x v="4"/>
  </r>
  <r>
    <x v="36"/>
  </r>
  <r>
    <x v="45"/>
  </r>
  <r>
    <x v="10"/>
  </r>
  <r>
    <x v="10"/>
  </r>
  <r>
    <x v="10"/>
  </r>
  <r>
    <x v="10"/>
  </r>
  <r>
    <x v="10"/>
  </r>
  <r>
    <x v="10"/>
  </r>
  <r>
    <x v="10"/>
  </r>
  <r>
    <x v="12"/>
  </r>
  <r>
    <x v="10"/>
  </r>
  <r>
    <x v="4"/>
  </r>
  <r>
    <x v="165"/>
  </r>
  <r>
    <x v="4"/>
  </r>
  <r>
    <x v="4"/>
  </r>
  <r>
    <x v="4"/>
  </r>
  <r>
    <x v="165"/>
  </r>
  <r>
    <x v="12"/>
  </r>
  <r>
    <x v="4"/>
  </r>
  <r>
    <x v="52"/>
  </r>
  <r>
    <x v="12"/>
  </r>
  <r>
    <x v="4"/>
  </r>
  <r>
    <x v="10"/>
  </r>
  <r>
    <x v="10"/>
  </r>
  <r>
    <x v="166"/>
  </r>
  <r>
    <x v="4"/>
  </r>
  <r>
    <x v="4"/>
  </r>
  <r>
    <x v="17"/>
  </r>
  <r>
    <x v="45"/>
  </r>
  <r>
    <x v="56"/>
  </r>
  <r>
    <x v="12"/>
  </r>
  <r>
    <x v="12"/>
  </r>
  <r>
    <x v="57"/>
  </r>
  <r>
    <x v="37"/>
  </r>
  <r>
    <x v="24"/>
  </r>
  <r>
    <x v="48"/>
  </r>
  <r>
    <x v="55"/>
  </r>
  <r>
    <x v="0"/>
  </r>
  <r>
    <x v="0"/>
  </r>
  <r>
    <x v="12"/>
  </r>
  <r>
    <x v="0"/>
  </r>
  <r>
    <x v="80"/>
  </r>
  <r>
    <x v="0"/>
  </r>
  <r>
    <x v="36"/>
  </r>
  <r>
    <x v="12"/>
  </r>
  <r>
    <x v="0"/>
  </r>
  <r>
    <x v="48"/>
  </r>
  <r>
    <x v="12"/>
  </r>
  <r>
    <x v="12"/>
  </r>
  <r>
    <x v="10"/>
  </r>
  <r>
    <x v="10"/>
  </r>
  <r>
    <x v="10"/>
  </r>
  <r>
    <x v="10"/>
  </r>
  <r>
    <x v="10"/>
  </r>
  <r>
    <x v="12"/>
  </r>
  <r>
    <x v="12"/>
  </r>
  <r>
    <x v="36"/>
  </r>
  <r>
    <x v="12"/>
  </r>
  <r>
    <x v="12"/>
  </r>
  <r>
    <x v="12"/>
  </r>
  <r>
    <x v="123"/>
  </r>
  <r>
    <x v="71"/>
  </r>
  <r>
    <x v="75"/>
  </r>
  <r>
    <x v="31"/>
  </r>
  <r>
    <x v="10"/>
  </r>
  <r>
    <x v="63"/>
  </r>
  <r>
    <x v="155"/>
  </r>
  <r>
    <x v="76"/>
  </r>
  <r>
    <x v="25"/>
  </r>
  <r>
    <x v="63"/>
  </r>
  <r>
    <x v="10"/>
  </r>
  <r>
    <x v="63"/>
  </r>
  <r>
    <x v="10"/>
  </r>
  <r>
    <x v="63"/>
  </r>
  <r>
    <x v="63"/>
  </r>
  <r>
    <x v="63"/>
  </r>
  <r>
    <x v="63"/>
  </r>
  <r>
    <x v="63"/>
  </r>
  <r>
    <x v="123"/>
  </r>
  <r>
    <x v="123"/>
  </r>
  <r>
    <x v="63"/>
  </r>
  <r>
    <x v="4"/>
  </r>
  <r>
    <x v="63"/>
  </r>
  <r>
    <x v="42"/>
  </r>
  <r>
    <x v="63"/>
  </r>
  <r>
    <x v="63"/>
  </r>
  <r>
    <x v="123"/>
  </r>
  <r>
    <x v="86"/>
  </r>
  <r>
    <x v="10"/>
  </r>
  <r>
    <x v="115"/>
  </r>
  <r>
    <x v="115"/>
  </r>
  <r>
    <x v="28"/>
  </r>
  <r>
    <x v="10"/>
  </r>
  <r>
    <x v="43"/>
  </r>
  <r>
    <x v="165"/>
  </r>
  <r>
    <x v="36"/>
  </r>
  <r>
    <x v="36"/>
  </r>
  <r>
    <x v="36"/>
  </r>
  <r>
    <x v="22"/>
  </r>
  <r>
    <x v="36"/>
  </r>
  <r>
    <x v="87"/>
  </r>
  <r>
    <x v="36"/>
  </r>
  <r>
    <x v="36"/>
  </r>
  <r>
    <x v="36"/>
  </r>
  <r>
    <x v="87"/>
  </r>
  <r>
    <x v="36"/>
  </r>
  <r>
    <x v="123"/>
  </r>
  <r>
    <x v="123"/>
  </r>
  <r>
    <x v="123"/>
  </r>
  <r>
    <x v="123"/>
  </r>
  <r>
    <x v="123"/>
  </r>
  <r>
    <x v="42"/>
  </r>
  <r>
    <x v="42"/>
  </r>
  <r>
    <x v="42"/>
  </r>
  <r>
    <x v="42"/>
  </r>
  <r>
    <x v="9"/>
  </r>
  <r>
    <x v="86"/>
  </r>
  <r>
    <x v="22"/>
  </r>
  <r>
    <x v="9"/>
  </r>
  <r>
    <x v="86"/>
  </r>
  <r>
    <x v="9"/>
  </r>
  <r>
    <x v="9"/>
  </r>
  <r>
    <x v="4"/>
  </r>
  <r>
    <x v="37"/>
  </r>
  <r>
    <x v="57"/>
  </r>
  <r>
    <x v="6"/>
  </r>
  <r>
    <x v="77"/>
  </r>
  <r>
    <x v="23"/>
  </r>
  <r>
    <x v="77"/>
  </r>
  <r>
    <x v="6"/>
  </r>
  <r>
    <x v="14"/>
  </r>
  <r>
    <x v="57"/>
  </r>
  <r>
    <x v="57"/>
  </r>
  <r>
    <x v="57"/>
  </r>
  <r>
    <x v="28"/>
  </r>
  <r>
    <x v="16"/>
  </r>
  <r>
    <x v="10"/>
  </r>
  <r>
    <x v="4"/>
  </r>
  <r>
    <x v="123"/>
  </r>
  <r>
    <x v="4"/>
  </r>
  <r>
    <x v="10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2"/>
  </r>
  <r>
    <x v="78"/>
  </r>
  <r>
    <x v="59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12"/>
  </r>
  <r>
    <x v="12"/>
  </r>
  <r>
    <x v="12"/>
  </r>
  <r>
    <x v="12"/>
  </r>
  <r>
    <x v="12"/>
  </r>
  <r>
    <x v="10"/>
  </r>
  <r>
    <x v="10"/>
  </r>
  <r>
    <x v="10"/>
  </r>
  <r>
    <x v="29"/>
  </r>
  <r>
    <x v="12"/>
  </r>
  <r>
    <x v="12"/>
  </r>
  <r>
    <x v="7"/>
  </r>
  <r>
    <x v="12"/>
  </r>
  <r>
    <x v="7"/>
  </r>
  <r>
    <x v="77"/>
  </r>
  <r>
    <x v="10"/>
  </r>
  <r>
    <x v="10"/>
  </r>
  <r>
    <x v="14"/>
  </r>
  <r>
    <x v="12"/>
  </r>
  <r>
    <x v="12"/>
  </r>
  <r>
    <x v="86"/>
  </r>
  <r>
    <x v="45"/>
  </r>
  <r>
    <x v="45"/>
  </r>
  <r>
    <x v="45"/>
  </r>
  <r>
    <x v="57"/>
  </r>
  <r>
    <x v="57"/>
  </r>
  <r>
    <x v="114"/>
  </r>
  <r>
    <x v="114"/>
  </r>
  <r>
    <x v="276"/>
  </r>
  <r>
    <x v="12"/>
  </r>
  <r>
    <x v="57"/>
  </r>
  <r>
    <x v="57"/>
  </r>
  <r>
    <x v="4"/>
  </r>
  <r>
    <x v="14"/>
  </r>
  <r>
    <x v="14"/>
  </r>
  <r>
    <x v="14"/>
  </r>
  <r>
    <x v="14"/>
  </r>
  <r>
    <x v="8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9"/>
  </r>
  <r>
    <x v="10"/>
  </r>
  <r>
    <x v="0"/>
  </r>
  <r>
    <x v="0"/>
  </r>
  <r>
    <x v="252"/>
  </r>
  <r>
    <x v="4"/>
  </r>
  <r>
    <x v="252"/>
  </r>
  <r>
    <x v="28"/>
  </r>
  <r>
    <x v="39"/>
  </r>
  <r>
    <x v="165"/>
  </r>
  <r>
    <x v="4"/>
  </r>
  <r>
    <x v="7"/>
  </r>
  <r>
    <x v="165"/>
  </r>
  <r>
    <x v="0"/>
  </r>
  <r>
    <x v="80"/>
  </r>
  <r>
    <x v="80"/>
  </r>
  <r>
    <x v="80"/>
  </r>
  <r>
    <x v="78"/>
  </r>
  <r>
    <x v="80"/>
  </r>
  <r>
    <x v="80"/>
  </r>
  <r>
    <x v="80"/>
  </r>
  <r>
    <x v="80"/>
  </r>
  <r>
    <x v="4"/>
  </r>
  <r>
    <x v="80"/>
  </r>
  <r>
    <x v="80"/>
  </r>
  <r>
    <x v="80"/>
  </r>
  <r>
    <x v="80"/>
  </r>
  <r>
    <x v="0"/>
  </r>
  <r>
    <x v="80"/>
  </r>
  <r>
    <x v="80"/>
  </r>
  <r>
    <x v="10"/>
  </r>
  <r>
    <x v="4"/>
  </r>
  <r>
    <x v="10"/>
  </r>
  <r>
    <x v="4"/>
  </r>
  <r>
    <x v="4"/>
  </r>
  <r>
    <x v="4"/>
  </r>
  <r>
    <x v="10"/>
  </r>
  <r>
    <x v="25"/>
  </r>
  <r>
    <x v="4"/>
  </r>
  <r>
    <x v="10"/>
  </r>
  <r>
    <x v="10"/>
  </r>
  <r>
    <x v="2"/>
  </r>
  <r>
    <x v="10"/>
  </r>
  <r>
    <x v="12"/>
  </r>
  <r>
    <x v="12"/>
  </r>
  <r>
    <x v="10"/>
  </r>
  <r>
    <x v="10"/>
  </r>
  <r>
    <x v="10"/>
  </r>
  <r>
    <x v="10"/>
  </r>
  <r>
    <x v="12"/>
  </r>
  <r>
    <x v="10"/>
  </r>
  <r>
    <x v="0"/>
  </r>
  <r>
    <x v="10"/>
  </r>
  <r>
    <x v="0"/>
  </r>
  <r>
    <x v="12"/>
  </r>
  <r>
    <x v="12"/>
  </r>
  <r>
    <x v="12"/>
  </r>
  <r>
    <x v="78"/>
  </r>
  <r>
    <x v="126"/>
  </r>
  <r>
    <x v="108"/>
  </r>
  <r>
    <x v="12"/>
  </r>
  <r>
    <x v="12"/>
  </r>
  <r>
    <x v="63"/>
  </r>
  <r>
    <x v="77"/>
  </r>
  <r>
    <x v="12"/>
  </r>
  <r>
    <x v="12"/>
  </r>
  <r>
    <x v="12"/>
  </r>
  <r>
    <x v="28"/>
  </r>
  <r>
    <x v="30"/>
  </r>
  <r>
    <x v="89"/>
  </r>
  <r>
    <x v="111"/>
  </r>
  <r>
    <x v="56"/>
  </r>
  <r>
    <x v="10"/>
  </r>
  <r>
    <x v="10"/>
  </r>
  <r>
    <x v="16"/>
  </r>
  <r>
    <x v="22"/>
  </r>
  <r>
    <x v="30"/>
  </r>
  <r>
    <x v="28"/>
  </r>
  <r>
    <x v="28"/>
  </r>
  <r>
    <x v="28"/>
  </r>
  <r>
    <x v="25"/>
  </r>
  <r>
    <x v="25"/>
  </r>
  <r>
    <x v="28"/>
  </r>
  <r>
    <x v="28"/>
  </r>
  <r>
    <x v="28"/>
  </r>
  <r>
    <x v="28"/>
  </r>
  <r>
    <x v="10"/>
  </r>
  <r>
    <x v="28"/>
  </r>
  <r>
    <x v="10"/>
  </r>
  <r>
    <x v="126"/>
  </r>
  <r>
    <x v="126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4"/>
  </r>
  <r>
    <x v="10"/>
  </r>
  <r>
    <x v="4"/>
  </r>
  <r>
    <x v="10"/>
  </r>
  <r>
    <x v="10"/>
  </r>
  <r>
    <x v="10"/>
  </r>
  <r>
    <x v="10"/>
  </r>
  <r>
    <x v="7"/>
  </r>
  <r>
    <x v="10"/>
  </r>
  <r>
    <x v="10"/>
  </r>
  <r>
    <x v="10"/>
  </r>
  <r>
    <x v="10"/>
  </r>
  <r>
    <x v="10"/>
  </r>
  <r>
    <x v="10"/>
  </r>
  <r>
    <x v="85"/>
  </r>
  <r>
    <x v="10"/>
  </r>
  <r>
    <x v="10"/>
  </r>
  <r>
    <x v="85"/>
  </r>
  <r>
    <x v="10"/>
  </r>
  <r>
    <x v="10"/>
  </r>
  <r>
    <x v="10"/>
  </r>
  <r>
    <x v="10"/>
  </r>
  <r>
    <x v="10"/>
  </r>
  <r>
    <x v="56"/>
  </r>
  <r>
    <x v="56"/>
  </r>
  <r>
    <x v="77"/>
  </r>
  <r>
    <x v="10"/>
  </r>
  <r>
    <x v="10"/>
  </r>
  <r>
    <x v="10"/>
  </r>
  <r>
    <x v="12"/>
  </r>
  <r>
    <x v="12"/>
  </r>
  <r>
    <x v="0"/>
  </r>
  <r>
    <x v="0"/>
  </r>
  <r>
    <x v="77"/>
  </r>
  <r>
    <x v="154"/>
  </r>
  <r>
    <x v="77"/>
  </r>
  <r>
    <x v="4"/>
  </r>
  <r>
    <x v="77"/>
  </r>
  <r>
    <x v="80"/>
  </r>
  <r>
    <x v="0"/>
  </r>
  <r>
    <x v="6"/>
  </r>
  <r>
    <x v="114"/>
  </r>
  <r>
    <x v="10"/>
  </r>
  <r>
    <x v="10"/>
  </r>
  <r>
    <x v="10"/>
  </r>
  <r>
    <x v="10"/>
  </r>
  <r>
    <x v="71"/>
  </r>
  <r>
    <x v="42"/>
  </r>
  <r>
    <x v="10"/>
  </r>
  <r>
    <x v="10"/>
  </r>
  <r>
    <x v="12"/>
  </r>
  <r>
    <x v="42"/>
  </r>
  <r>
    <x v="42"/>
  </r>
  <r>
    <x v="4"/>
  </r>
  <r>
    <x v="276"/>
  </r>
  <r>
    <x v="10"/>
  </r>
  <r>
    <x v="42"/>
  </r>
  <r>
    <x v="4"/>
  </r>
  <r>
    <x v="4"/>
  </r>
  <r>
    <x v="12"/>
  </r>
  <r>
    <x v="37"/>
  </r>
  <r>
    <x v="4"/>
  </r>
  <r>
    <x v="12"/>
  </r>
  <r>
    <x v="115"/>
  </r>
  <r>
    <x v="10"/>
  </r>
  <r>
    <x v="28"/>
  </r>
  <r>
    <x v="14"/>
  </r>
  <r>
    <x v="69"/>
  </r>
  <r>
    <x v="5"/>
  </r>
  <r>
    <x v="42"/>
  </r>
  <r>
    <x v="33"/>
  </r>
  <r>
    <x v="0"/>
  </r>
  <r>
    <x v="55"/>
  </r>
  <r>
    <x v="59"/>
  </r>
  <r>
    <x v="4"/>
  </r>
  <r>
    <x v="10"/>
  </r>
  <r>
    <x v="10"/>
  </r>
  <r>
    <x v="10"/>
  </r>
  <r>
    <x v="10"/>
  </r>
  <r>
    <x v="25"/>
  </r>
  <r>
    <x v="25"/>
  </r>
  <r>
    <x v="10"/>
  </r>
  <r>
    <x v="10"/>
  </r>
  <r>
    <x v="10"/>
  </r>
  <r>
    <x v="10"/>
  </r>
  <r>
    <x v="10"/>
  </r>
  <r>
    <x v="10"/>
  </r>
  <r>
    <x v="10"/>
  </r>
  <r>
    <x v="126"/>
  </r>
  <r>
    <x v="165"/>
  </r>
  <r>
    <x v="4"/>
  </r>
  <r>
    <x v="4"/>
  </r>
  <r>
    <x v="165"/>
  </r>
  <r>
    <x v="4"/>
  </r>
  <r>
    <x v="165"/>
  </r>
  <r>
    <x v="12"/>
  </r>
  <r>
    <x v="165"/>
  </r>
  <r>
    <x v="53"/>
  </r>
  <r>
    <x v="4"/>
  </r>
  <r>
    <x v="4"/>
  </r>
  <r>
    <x v="30"/>
  </r>
  <r>
    <x v="81"/>
  </r>
  <r>
    <x v="12"/>
  </r>
  <r>
    <x v="12"/>
  </r>
  <r>
    <x v="12"/>
  </r>
  <r>
    <x v="22"/>
  </r>
  <r>
    <x v="0"/>
  </r>
  <r>
    <x v="267"/>
  </r>
  <r>
    <x v="227"/>
  </r>
  <r>
    <x v="10"/>
  </r>
  <r>
    <x v="42"/>
  </r>
  <r>
    <x v="14"/>
  </r>
  <r>
    <x v="14"/>
  </r>
  <r>
    <x v="42"/>
  </r>
  <r>
    <x v="0"/>
  </r>
  <r>
    <x v="53"/>
  </r>
  <r>
    <x v="53"/>
  </r>
  <r>
    <x v="108"/>
  </r>
  <r>
    <x v="108"/>
  </r>
  <r>
    <x v="108"/>
  </r>
  <r>
    <x v="108"/>
  </r>
  <r>
    <x v="14"/>
  </r>
  <r>
    <x v="7"/>
  </r>
  <r>
    <x v="10"/>
  </r>
  <r>
    <x v="4"/>
  </r>
  <r>
    <x v="10"/>
  </r>
  <r>
    <x v="16"/>
  </r>
  <r>
    <x v="7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12"/>
  </r>
  <r>
    <x v="10"/>
  </r>
  <r>
    <x v="2"/>
  </r>
  <r>
    <x v="10"/>
  </r>
  <r>
    <x v="10"/>
  </r>
  <r>
    <x v="10"/>
  </r>
  <r>
    <x v="10"/>
  </r>
  <r>
    <x v="10"/>
  </r>
  <r>
    <x v="4"/>
  </r>
  <r>
    <x v="10"/>
  </r>
  <r>
    <x v="10"/>
  </r>
  <r>
    <x v="10"/>
  </r>
  <r>
    <x v="12"/>
  </r>
  <r>
    <x v="10"/>
  </r>
  <r>
    <x v="4"/>
  </r>
  <r>
    <x v="4"/>
  </r>
  <r>
    <x v="10"/>
  </r>
  <r>
    <x v="10"/>
  </r>
  <r>
    <x v="10"/>
  </r>
  <r>
    <x v="10"/>
  </r>
  <r>
    <x v="10"/>
  </r>
  <r>
    <x v="4"/>
  </r>
  <r>
    <x v="4"/>
  </r>
  <r>
    <x v="10"/>
  </r>
  <r>
    <x v="10"/>
  </r>
  <r>
    <x v="87"/>
  </r>
  <r>
    <x v="126"/>
  </r>
  <r>
    <x v="10"/>
  </r>
  <r>
    <x v="87"/>
  </r>
  <r>
    <x v="10"/>
  </r>
  <r>
    <x v="10"/>
  </r>
  <r>
    <x v="10"/>
  </r>
  <r>
    <x v="10"/>
  </r>
  <r>
    <x v="54"/>
  </r>
  <r>
    <x v="26"/>
  </r>
  <r>
    <x v="126"/>
  </r>
  <r>
    <x v="126"/>
  </r>
  <r>
    <x v="42"/>
  </r>
  <r>
    <x v="51"/>
  </r>
  <r>
    <x v="7"/>
  </r>
  <r>
    <x v="7"/>
  </r>
  <r>
    <x v="10"/>
  </r>
  <r>
    <x v="126"/>
  </r>
  <r>
    <x v="126"/>
  </r>
  <r>
    <x v="28"/>
  </r>
  <r>
    <x v="14"/>
  </r>
  <r>
    <x v="165"/>
  </r>
  <r>
    <x v="1"/>
  </r>
  <r>
    <x v="4"/>
  </r>
  <r>
    <x v="10"/>
  </r>
  <r>
    <x v="71"/>
  </r>
  <r>
    <x v="177"/>
  </r>
  <r>
    <x v="71"/>
  </r>
  <r>
    <x v="71"/>
  </r>
  <r>
    <x v="0"/>
  </r>
  <r>
    <x v="33"/>
  </r>
  <r>
    <x v="12"/>
  </r>
  <r>
    <x v="12"/>
  </r>
  <r>
    <x v="10"/>
  </r>
  <r>
    <x v="34"/>
  </r>
  <r>
    <x v="14"/>
  </r>
  <r>
    <x v="14"/>
  </r>
  <r>
    <x v="14"/>
  </r>
  <r>
    <x v="14"/>
  </r>
  <r>
    <x v="14"/>
  </r>
  <r>
    <x v="14"/>
  </r>
  <r>
    <x v="15"/>
  </r>
  <r>
    <x v="48"/>
  </r>
  <r>
    <x v="4"/>
  </r>
  <r>
    <x v="4"/>
  </r>
  <r>
    <x v="22"/>
  </r>
  <r>
    <x v="10"/>
  </r>
  <r>
    <x v="4"/>
  </r>
  <r>
    <x v="73"/>
  </r>
  <r>
    <x v="212"/>
  </r>
  <r>
    <x v="24"/>
  </r>
  <r>
    <x v="24"/>
  </r>
  <r>
    <x v="73"/>
  </r>
  <r>
    <x v="77"/>
  </r>
  <r>
    <x v="4"/>
  </r>
  <r>
    <x v="4"/>
  </r>
  <r>
    <x v="126"/>
  </r>
  <r>
    <x v="138"/>
  </r>
  <r>
    <x v="108"/>
  </r>
  <r>
    <x v="6"/>
  </r>
  <r>
    <x v="55"/>
  </r>
  <r>
    <x v="188"/>
  </r>
  <r>
    <x v="188"/>
  </r>
  <r>
    <x v="188"/>
  </r>
  <r>
    <x v="29"/>
  </r>
  <r>
    <x v="25"/>
  </r>
  <r>
    <x v="0"/>
  </r>
  <r>
    <x v="42"/>
  </r>
  <r>
    <x v="29"/>
  </r>
  <r>
    <x v="12"/>
  </r>
  <r>
    <x v="2"/>
  </r>
  <r>
    <x v="2"/>
  </r>
  <r>
    <x v="4"/>
  </r>
  <r>
    <x v="64"/>
  </r>
  <r>
    <x v="10"/>
  </r>
  <r>
    <x v="115"/>
  </r>
  <r>
    <x v="4"/>
  </r>
  <r>
    <x v="45"/>
  </r>
  <r>
    <x v="45"/>
  </r>
  <r>
    <x v="77"/>
  </r>
  <r>
    <x v="4"/>
  </r>
  <r>
    <x v="71"/>
  </r>
  <r>
    <x v="4"/>
  </r>
  <r>
    <x v="4"/>
  </r>
  <r>
    <x v="4"/>
  </r>
  <r>
    <x v="4"/>
  </r>
  <r>
    <x v="4"/>
  </r>
  <r>
    <x v="4"/>
  </r>
  <r>
    <x v="2"/>
  </r>
  <r>
    <x v="4"/>
  </r>
  <r>
    <x v="55"/>
  </r>
  <r>
    <x v="14"/>
  </r>
  <r>
    <x v="11"/>
  </r>
  <r>
    <x v="0"/>
  </r>
  <r>
    <x v="10"/>
  </r>
  <r>
    <x v="2"/>
  </r>
  <r>
    <x v="15"/>
  </r>
  <r>
    <x v="21"/>
  </r>
  <r>
    <x v="25"/>
  </r>
  <r>
    <x v="138"/>
  </r>
  <r>
    <x v="138"/>
  </r>
  <r>
    <x v="4"/>
  </r>
  <r>
    <x v="4"/>
  </r>
  <r>
    <x v="4"/>
  </r>
  <r>
    <x v="165"/>
  </r>
  <r>
    <x v="4"/>
  </r>
  <r>
    <x v="4"/>
  </r>
  <r>
    <x v="4"/>
  </r>
  <r>
    <x v="4"/>
  </r>
  <r>
    <x v="4"/>
  </r>
  <r>
    <x v="4"/>
  </r>
  <r>
    <x v="4"/>
  </r>
  <r>
    <x v="165"/>
  </r>
  <r>
    <x v="4"/>
  </r>
  <r>
    <x v="4"/>
  </r>
  <r>
    <x v="48"/>
  </r>
  <r>
    <x v="4"/>
  </r>
  <r>
    <x v="76"/>
  </r>
  <r>
    <x v="4"/>
  </r>
  <r>
    <x v="165"/>
  </r>
  <r>
    <x v="4"/>
  </r>
  <r>
    <x v="165"/>
  </r>
  <r>
    <x v="165"/>
  </r>
  <r>
    <x v="165"/>
  </r>
  <r>
    <x v="4"/>
  </r>
  <r>
    <x v="4"/>
  </r>
  <r>
    <x v="4"/>
  </r>
  <r>
    <x v="52"/>
  </r>
  <r>
    <x v="10"/>
  </r>
  <r>
    <x v="4"/>
  </r>
  <r>
    <x v="0"/>
  </r>
  <r>
    <x v="4"/>
  </r>
  <r>
    <x v="7"/>
  </r>
  <r>
    <x v="4"/>
  </r>
  <r>
    <x v="4"/>
  </r>
  <r>
    <x v="4"/>
  </r>
  <r>
    <x v="76"/>
  </r>
  <r>
    <x v="115"/>
  </r>
  <r>
    <x v="4"/>
  </r>
  <r>
    <x v="17"/>
  </r>
  <r>
    <x v="28"/>
  </r>
  <r>
    <x v="4"/>
  </r>
  <r>
    <x v="165"/>
  </r>
  <r>
    <x v="53"/>
  </r>
  <r>
    <x v="4"/>
  </r>
  <r>
    <x v="59"/>
  </r>
  <r>
    <x v="4"/>
  </r>
  <r>
    <x v="59"/>
  </r>
  <r>
    <x v="4"/>
  </r>
  <r>
    <x v="115"/>
  </r>
  <r>
    <x v="115"/>
  </r>
  <r>
    <x v="10"/>
  </r>
  <r>
    <x v="115"/>
  </r>
  <r>
    <x v="115"/>
  </r>
  <r>
    <x v="115"/>
  </r>
  <r>
    <x v="21"/>
  </r>
  <r>
    <x v="10"/>
  </r>
  <r>
    <x v="10"/>
  </r>
  <r>
    <x v="71"/>
  </r>
  <r>
    <x v="123"/>
  </r>
  <r>
    <x v="22"/>
  </r>
  <r>
    <x v="22"/>
  </r>
  <r>
    <x v="22"/>
  </r>
  <r>
    <x v="22"/>
  </r>
  <r>
    <x v="22"/>
  </r>
  <r>
    <x v="275"/>
  </r>
  <r>
    <x v="275"/>
  </r>
  <r>
    <x v="275"/>
  </r>
  <r>
    <x v="275"/>
  </r>
  <r>
    <x v="275"/>
  </r>
  <r>
    <x v="275"/>
  </r>
  <r>
    <x v="275"/>
  </r>
  <r>
    <x v="275"/>
  </r>
  <r>
    <x v="275"/>
  </r>
  <r>
    <x v="275"/>
  </r>
  <r>
    <x v="275"/>
  </r>
  <r>
    <x v="275"/>
  </r>
  <r>
    <x v="275"/>
  </r>
  <r>
    <x v="10"/>
  </r>
  <r>
    <x v="10"/>
  </r>
  <r>
    <x v="4"/>
  </r>
  <r>
    <x v="100"/>
  </r>
  <r>
    <x v="61"/>
  </r>
  <r>
    <x v="52"/>
  </r>
  <r>
    <x v="0"/>
  </r>
  <r>
    <x v="4"/>
  </r>
  <r>
    <x v="10"/>
  </r>
  <r>
    <x v="4"/>
  </r>
  <r>
    <x v="4"/>
  </r>
  <r>
    <x v="0"/>
  </r>
  <r>
    <x v="4"/>
  </r>
  <r>
    <x v="4"/>
  </r>
  <r>
    <x v="4"/>
  </r>
  <r>
    <x v="59"/>
  </r>
  <r>
    <x v="17"/>
  </r>
  <r>
    <x v="12"/>
  </r>
  <r>
    <x v="12"/>
  </r>
  <r>
    <x v="10"/>
  </r>
  <r>
    <x v="10"/>
  </r>
  <r>
    <x v="10"/>
  </r>
  <r>
    <x v="12"/>
  </r>
  <r>
    <x v="12"/>
  </r>
  <r>
    <x v="12"/>
  </r>
  <r>
    <x v="10"/>
  </r>
  <r>
    <x v="14"/>
  </r>
  <r>
    <x v="175"/>
  </r>
  <r>
    <x v="86"/>
  </r>
  <r>
    <x v="86"/>
  </r>
  <r>
    <x v="86"/>
  </r>
  <r>
    <x v="86"/>
  </r>
  <r>
    <x v="51"/>
  </r>
  <r>
    <x v="86"/>
  </r>
  <r>
    <x v="86"/>
  </r>
  <r>
    <x v="115"/>
  </r>
  <r>
    <x v="115"/>
  </r>
  <r>
    <x v="183"/>
  </r>
  <r>
    <x v="10"/>
  </r>
  <r>
    <x v="4"/>
  </r>
  <r>
    <x v="10"/>
  </r>
  <r>
    <x v="10"/>
  </r>
  <r>
    <x v="12"/>
  </r>
  <r>
    <x v="12"/>
  </r>
  <r>
    <x v="24"/>
  </r>
  <r>
    <x v="10"/>
  </r>
  <r>
    <x v="10"/>
  </r>
  <r>
    <x v="10"/>
  </r>
  <r>
    <x v="10"/>
  </r>
  <r>
    <x v="77"/>
  </r>
  <r>
    <x v="10"/>
  </r>
  <r>
    <x v="10"/>
  </r>
  <r>
    <x v="2"/>
  </r>
  <r>
    <x v="10"/>
  </r>
  <r>
    <x v="4"/>
  </r>
  <r>
    <x v="4"/>
  </r>
  <r>
    <x v="4"/>
  </r>
  <r>
    <x v="10"/>
  </r>
  <r>
    <x v="4"/>
  </r>
  <r>
    <x v="10"/>
  </r>
  <r>
    <x v="10"/>
  </r>
  <r>
    <x v="24"/>
  </r>
  <r>
    <x v="24"/>
  </r>
  <r>
    <x v="24"/>
  </r>
  <r>
    <x v="4"/>
  </r>
  <r>
    <x v="4"/>
  </r>
  <r>
    <x v="4"/>
  </r>
  <r>
    <x v="24"/>
  </r>
  <r>
    <x v="154"/>
  </r>
  <r>
    <x v="123"/>
  </r>
  <r>
    <x v="123"/>
  </r>
  <r>
    <x v="154"/>
  </r>
  <r>
    <x v="154"/>
  </r>
  <r>
    <x v="4"/>
  </r>
  <r>
    <x v="154"/>
  </r>
  <r>
    <x v="154"/>
  </r>
  <r>
    <x v="1"/>
  </r>
  <r>
    <x v="154"/>
  </r>
  <r>
    <x v="154"/>
  </r>
  <r>
    <x v="99"/>
  </r>
  <r>
    <x v="76"/>
  </r>
  <r>
    <x v="76"/>
  </r>
  <r>
    <x v="154"/>
  </r>
  <r>
    <x v="4"/>
  </r>
  <r>
    <x v="4"/>
  </r>
  <r>
    <x v="165"/>
  </r>
  <r>
    <x v="165"/>
  </r>
  <r>
    <x v="165"/>
  </r>
  <r>
    <x v="12"/>
  </r>
  <r>
    <x v="12"/>
  </r>
  <r>
    <x v="4"/>
  </r>
  <r>
    <x v="12"/>
  </r>
  <r>
    <x v="4"/>
  </r>
  <r>
    <x v="6"/>
  </r>
  <r>
    <x v="52"/>
  </r>
  <r>
    <x v="4"/>
  </r>
  <r>
    <x v="4"/>
  </r>
  <r>
    <x v="4"/>
  </r>
  <r>
    <x v="10"/>
  </r>
  <r>
    <x v="10"/>
  </r>
  <r>
    <x v="4"/>
  </r>
  <r>
    <x v="4"/>
  </r>
  <r>
    <x v="0"/>
  </r>
  <r>
    <x v="4"/>
  </r>
  <r>
    <x v="10"/>
  </r>
  <r>
    <x v="10"/>
  </r>
  <r>
    <x v="10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7"/>
  </r>
  <r>
    <x v="10"/>
  </r>
  <r>
    <x v="7"/>
  </r>
  <r>
    <x v="22"/>
  </r>
  <r>
    <x v="22"/>
  </r>
  <r>
    <x v="22"/>
  </r>
  <r>
    <x v="78"/>
  </r>
  <r>
    <x v="22"/>
  </r>
  <r>
    <x v="22"/>
  </r>
  <r>
    <x v="78"/>
  </r>
  <r>
    <x v="78"/>
  </r>
  <r>
    <x v="78"/>
  </r>
  <r>
    <x v="22"/>
  </r>
  <r>
    <x v="22"/>
  </r>
  <r>
    <x v="78"/>
  </r>
  <r>
    <x v="78"/>
  </r>
  <r>
    <x v="78"/>
  </r>
  <r>
    <x v="78"/>
  </r>
  <r>
    <x v="22"/>
  </r>
  <r>
    <x v="2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4"/>
  </r>
  <r>
    <x v="24"/>
  </r>
  <r>
    <x v="24"/>
  </r>
  <r>
    <x v="24"/>
  </r>
  <r>
    <x v="24"/>
  </r>
  <r>
    <x v="4"/>
  </r>
  <r>
    <x v="4"/>
  </r>
  <r>
    <x v="4"/>
  </r>
  <r>
    <x v="4"/>
  </r>
  <r>
    <x v="4"/>
  </r>
  <r>
    <x v="4"/>
  </r>
  <r>
    <x v="4"/>
  </r>
  <r>
    <x v="138"/>
  </r>
  <r>
    <x v="4"/>
  </r>
  <r>
    <x v="138"/>
  </r>
  <r>
    <x v="138"/>
  </r>
  <r>
    <x v="4"/>
  </r>
  <r>
    <x v="175"/>
  </r>
  <r>
    <x v="4"/>
  </r>
  <r>
    <x v="122"/>
  </r>
  <r>
    <x v="4"/>
  </r>
  <r>
    <x v="138"/>
  </r>
  <r>
    <x v="138"/>
  </r>
  <r>
    <x v="4"/>
  </r>
  <r>
    <x v="4"/>
  </r>
  <r>
    <x v="17"/>
  </r>
  <r>
    <x v="86"/>
  </r>
  <r>
    <x v="86"/>
  </r>
  <r>
    <x v="10"/>
  </r>
  <r>
    <x v="86"/>
  </r>
  <r>
    <x v="10"/>
  </r>
  <r>
    <x v="86"/>
  </r>
  <r>
    <x v="86"/>
  </r>
  <r>
    <x v="10"/>
  </r>
  <r>
    <x v="86"/>
  </r>
  <r>
    <x v="10"/>
  </r>
  <r>
    <x v="86"/>
  </r>
  <r>
    <x v="10"/>
  </r>
  <r>
    <x v="175"/>
  </r>
  <r>
    <x v="9"/>
  </r>
  <r>
    <x v="9"/>
  </r>
  <r>
    <x v="0"/>
  </r>
  <r>
    <x v="4"/>
  </r>
  <r>
    <x v="22"/>
  </r>
  <r>
    <x v="10"/>
  </r>
  <r>
    <x v="7"/>
  </r>
  <r>
    <x v="123"/>
  </r>
  <r>
    <x v="10"/>
  </r>
  <r>
    <x v="123"/>
  </r>
  <r>
    <x v="123"/>
  </r>
  <r>
    <x v="123"/>
  </r>
  <r>
    <x v="123"/>
  </r>
  <r>
    <x v="10"/>
  </r>
  <r>
    <x v="9"/>
  </r>
  <r>
    <x v="10"/>
  </r>
  <r>
    <x v="4"/>
  </r>
  <r>
    <x v="138"/>
  </r>
  <r>
    <x v="4"/>
  </r>
  <r>
    <x v="10"/>
  </r>
  <r>
    <x v="71"/>
  </r>
  <r>
    <x v="4"/>
  </r>
  <r>
    <x v="71"/>
  </r>
  <r>
    <x v="4"/>
  </r>
  <r>
    <x v="4"/>
  </r>
  <r>
    <x v="4"/>
  </r>
  <r>
    <x v="28"/>
  </r>
  <r>
    <x v="108"/>
  </r>
  <r>
    <x v="28"/>
  </r>
  <r>
    <x v="28"/>
  </r>
  <r>
    <x v="28"/>
  </r>
  <r>
    <x v="28"/>
  </r>
  <r>
    <x v="28"/>
  </r>
  <r>
    <x v="28"/>
  </r>
  <r>
    <x v="9"/>
  </r>
  <r>
    <x v="80"/>
  </r>
  <r>
    <x v="80"/>
  </r>
  <r>
    <x v="80"/>
  </r>
  <r>
    <x v="80"/>
  </r>
  <r>
    <x v="80"/>
  </r>
  <r>
    <x v="10"/>
  </r>
  <r>
    <x v="63"/>
  </r>
  <r>
    <x v="63"/>
  </r>
  <r>
    <x v="50"/>
  </r>
  <r>
    <x v="86"/>
  </r>
  <r>
    <x v="86"/>
  </r>
  <r>
    <x v="86"/>
  </r>
  <r>
    <x v="86"/>
  </r>
  <r>
    <x v="86"/>
  </r>
  <r>
    <x v="86"/>
  </r>
  <r>
    <x v="86"/>
  </r>
  <r>
    <x v="10"/>
  </r>
  <r>
    <x v="4"/>
  </r>
  <r>
    <x v="10"/>
  </r>
  <r>
    <x v="9"/>
  </r>
  <r>
    <x v="10"/>
  </r>
  <r>
    <x v="10"/>
  </r>
  <r>
    <x v="87"/>
  </r>
  <r>
    <x v="87"/>
  </r>
  <r>
    <x v="10"/>
  </r>
  <r>
    <x v="10"/>
  </r>
  <r>
    <x v="10"/>
  </r>
  <r>
    <x v="10"/>
  </r>
  <r>
    <x v="10"/>
  </r>
  <r>
    <x v="4"/>
  </r>
  <r>
    <x v="10"/>
  </r>
  <r>
    <x v="4"/>
  </r>
  <r>
    <x v="4"/>
  </r>
  <r>
    <x v="10"/>
  </r>
  <r>
    <x v="4"/>
  </r>
  <r>
    <x v="10"/>
  </r>
  <r>
    <x v="4"/>
  </r>
  <r>
    <x v="4"/>
  </r>
  <r>
    <x v="21"/>
  </r>
  <r>
    <x v="4"/>
  </r>
  <r>
    <x v="21"/>
  </r>
  <r>
    <x v="0"/>
  </r>
  <r>
    <x v="42"/>
  </r>
  <r>
    <x v="0"/>
  </r>
  <r>
    <x v="10"/>
  </r>
  <r>
    <x v="123"/>
  </r>
  <r>
    <x v="123"/>
  </r>
  <r>
    <x v="123"/>
  </r>
  <r>
    <x v="20"/>
  </r>
  <r>
    <x v="4"/>
  </r>
  <r>
    <x v="4"/>
  </r>
  <r>
    <x v="4"/>
  </r>
  <r>
    <x v="4"/>
  </r>
  <r>
    <x v="4"/>
  </r>
  <r>
    <x v="4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0"/>
  </r>
  <r>
    <x v="4"/>
  </r>
  <r>
    <x v="10"/>
  </r>
  <r>
    <x v="4"/>
  </r>
  <r>
    <x v="216"/>
  </r>
  <r>
    <x v="10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65"/>
  </r>
  <r>
    <x v="55"/>
  </r>
  <r>
    <x v="165"/>
  </r>
  <r>
    <x v="10"/>
  </r>
  <r>
    <x v="10"/>
  </r>
  <r>
    <x v="21"/>
  </r>
  <r>
    <x v="4"/>
  </r>
  <r>
    <x v="4"/>
  </r>
  <r>
    <x v="4"/>
  </r>
  <r>
    <x v="4"/>
  </r>
  <r>
    <x v="4"/>
  </r>
  <r>
    <x v="4"/>
  </r>
  <r>
    <x v="0"/>
  </r>
  <r>
    <x v="0"/>
  </r>
  <r>
    <x v="4"/>
  </r>
  <r>
    <x v="4"/>
  </r>
  <r>
    <x v="10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4"/>
  </r>
  <r>
    <x v="4"/>
  </r>
  <r>
    <x v="24"/>
  </r>
  <r>
    <x v="24"/>
  </r>
  <r>
    <x v="63"/>
  </r>
  <r>
    <x v="24"/>
  </r>
  <r>
    <x v="24"/>
  </r>
  <r>
    <x v="24"/>
  </r>
  <r>
    <x v="24"/>
  </r>
  <r>
    <x v="24"/>
  </r>
  <r>
    <x v="68"/>
  </r>
  <r>
    <x v="68"/>
  </r>
  <r>
    <x v="4"/>
  </r>
  <r>
    <x v="10"/>
  </r>
  <r>
    <x v="10"/>
  </r>
  <r>
    <x v="10"/>
  </r>
  <r>
    <x v="10"/>
  </r>
  <r>
    <x v="4"/>
  </r>
  <r>
    <x v="4"/>
  </r>
  <r>
    <x v="1"/>
  </r>
  <r>
    <x v="1"/>
  </r>
  <r>
    <x v="4"/>
  </r>
  <r>
    <x v="4"/>
  </r>
  <r>
    <x v="4"/>
  </r>
  <r>
    <x v="4"/>
  </r>
  <r>
    <x v="175"/>
  </r>
  <r>
    <x v="175"/>
  </r>
  <r>
    <x v="175"/>
  </r>
  <r>
    <x v="175"/>
  </r>
  <r>
    <x v="77"/>
  </r>
  <r>
    <x v="10"/>
  </r>
  <r>
    <x v="10"/>
  </r>
  <r>
    <x v="10"/>
  </r>
  <r>
    <x v="10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4"/>
  </r>
  <r>
    <x v="4"/>
  </r>
  <r>
    <x v="138"/>
  </r>
  <r>
    <x v="138"/>
  </r>
  <r>
    <x v="138"/>
  </r>
  <r>
    <x v="138"/>
  </r>
  <r>
    <x v="37"/>
  </r>
  <r>
    <x v="14"/>
  </r>
  <r>
    <x v="57"/>
  </r>
  <r>
    <x v="4"/>
  </r>
  <r>
    <x v="126"/>
  </r>
  <r>
    <x v="4"/>
  </r>
  <r>
    <x v="4"/>
  </r>
  <r>
    <x v="10"/>
  </r>
  <r>
    <x v="10"/>
  </r>
  <r>
    <x v="4"/>
  </r>
  <r>
    <x v="10"/>
  </r>
  <r>
    <x v="115"/>
  </r>
  <r>
    <x v="115"/>
  </r>
  <r>
    <x v="115"/>
  </r>
  <r>
    <x v="115"/>
  </r>
  <r>
    <x v="24"/>
  </r>
  <r>
    <x v="115"/>
  </r>
  <r>
    <x v="4"/>
  </r>
  <r>
    <x v="4"/>
  </r>
  <r>
    <x v="10"/>
  </r>
  <r>
    <x v="4"/>
  </r>
  <r>
    <x v="174"/>
  </r>
  <r>
    <x v="4"/>
  </r>
  <r>
    <x v="123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4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4"/>
  </r>
  <r>
    <x v="165"/>
  </r>
  <r>
    <x v="10"/>
  </r>
  <r>
    <x v="4"/>
  </r>
  <r>
    <x v="51"/>
  </r>
  <r>
    <x v="108"/>
  </r>
  <r>
    <x v="0"/>
  </r>
  <r>
    <x v="24"/>
  </r>
  <r>
    <x v="0"/>
  </r>
  <r>
    <x v="108"/>
  </r>
  <r>
    <x v="108"/>
  </r>
  <r>
    <x v="108"/>
  </r>
  <r>
    <x v="108"/>
  </r>
  <r>
    <x v="108"/>
  </r>
  <r>
    <x v="0"/>
  </r>
  <r>
    <x v="108"/>
  </r>
  <r>
    <x v="108"/>
  </r>
  <r>
    <x v="10"/>
  </r>
  <r>
    <x v="10"/>
  </r>
  <r>
    <x v="10"/>
  </r>
  <r>
    <x v="17"/>
  </r>
  <r>
    <x v="10"/>
  </r>
  <r>
    <x v="4"/>
  </r>
  <r>
    <x v="4"/>
  </r>
  <r>
    <x v="10"/>
  </r>
  <r>
    <x v="48"/>
  </r>
  <r>
    <x v="56"/>
  </r>
  <r>
    <x v="56"/>
  </r>
  <r>
    <x v="4"/>
  </r>
  <r>
    <x v="56"/>
  </r>
  <r>
    <x v="4"/>
  </r>
  <r>
    <x v="17"/>
  </r>
  <r>
    <x v="10"/>
  </r>
  <r>
    <x v="77"/>
  </r>
  <r>
    <x v="10"/>
  </r>
  <r>
    <x v="33"/>
  </r>
  <r>
    <x v="10"/>
  </r>
  <r>
    <x v="33"/>
  </r>
  <r>
    <x v="10"/>
  </r>
  <r>
    <x v="130"/>
  </r>
  <r>
    <x v="14"/>
  </r>
  <r>
    <x v="4"/>
  </r>
  <r>
    <x v="10"/>
  </r>
  <r>
    <x v="10"/>
  </r>
  <r>
    <x v="10"/>
  </r>
  <r>
    <x v="10"/>
  </r>
  <r>
    <x v="10"/>
  </r>
  <r>
    <x v="71"/>
  </r>
  <r>
    <x v="10"/>
  </r>
  <r>
    <x v="10"/>
  </r>
  <r>
    <x v="10"/>
  </r>
  <r>
    <x v="10"/>
  </r>
  <r>
    <x v="10"/>
  </r>
  <r>
    <x v="10"/>
  </r>
  <r>
    <x v="112"/>
  </r>
  <r>
    <x v="81"/>
  </r>
  <r>
    <x v="4"/>
  </r>
  <r>
    <x v="4"/>
  </r>
  <r>
    <x v="4"/>
  </r>
  <r>
    <x v="4"/>
  </r>
  <r>
    <x v="123"/>
  </r>
  <r>
    <x v="123"/>
  </r>
  <r>
    <x v="56"/>
  </r>
  <r>
    <x v="123"/>
  </r>
  <r>
    <x v="56"/>
  </r>
  <r>
    <x v="56"/>
  </r>
  <r>
    <x v="123"/>
  </r>
  <r>
    <x v="123"/>
  </r>
  <r>
    <x v="123"/>
  </r>
  <r>
    <x v="12"/>
  </r>
  <r>
    <x v="83"/>
  </r>
  <r>
    <x v="83"/>
  </r>
  <r>
    <x v="108"/>
  </r>
  <r>
    <x v="10"/>
  </r>
  <r>
    <x v="10"/>
  </r>
  <r>
    <x v="10"/>
  </r>
  <r>
    <x v="10"/>
  </r>
  <r>
    <x v="79"/>
  </r>
  <r>
    <x v="4"/>
  </r>
  <r>
    <x v="4"/>
  </r>
  <r>
    <x v="4"/>
  </r>
  <r>
    <x v="28"/>
  </r>
  <r>
    <x v="28"/>
  </r>
  <r>
    <x v="4"/>
  </r>
  <r>
    <x v="4"/>
  </r>
  <r>
    <x v="22"/>
  </r>
  <r>
    <x v="4"/>
  </r>
  <r>
    <x v="4"/>
  </r>
  <r>
    <x v="4"/>
  </r>
  <r>
    <x v="4"/>
  </r>
  <r>
    <x v="4"/>
  </r>
  <r>
    <x v="4"/>
  </r>
  <r>
    <x v="4"/>
  </r>
  <r>
    <x v="4"/>
  </r>
  <r>
    <x v="123"/>
  </r>
  <r>
    <x v="12"/>
  </r>
  <r>
    <x v="108"/>
  </r>
  <r>
    <x v="108"/>
  </r>
  <r>
    <x v="25"/>
  </r>
  <r>
    <x v="16"/>
  </r>
  <r>
    <x v="4"/>
  </r>
  <r>
    <x v="0"/>
  </r>
  <r>
    <x v="4"/>
  </r>
  <r>
    <x v="10"/>
  </r>
  <r>
    <x v="10"/>
  </r>
  <r>
    <x v="10"/>
  </r>
  <r>
    <x v="4"/>
  </r>
  <r>
    <x v="71"/>
  </r>
  <r>
    <x v="16"/>
  </r>
  <r>
    <x v="71"/>
  </r>
  <r>
    <x v="71"/>
  </r>
  <r>
    <x v="71"/>
  </r>
  <r>
    <x v="16"/>
  </r>
  <r>
    <x v="77"/>
  </r>
  <r>
    <x v="10"/>
  </r>
  <r>
    <x v="10"/>
  </r>
  <r>
    <x v="10"/>
  </r>
  <r>
    <x v="10"/>
  </r>
  <r>
    <x v="154"/>
  </r>
  <r>
    <x v="4"/>
  </r>
  <r>
    <x v="4"/>
  </r>
  <r>
    <x v="4"/>
  </r>
  <r>
    <x v="4"/>
  </r>
  <r>
    <x v="10"/>
  </r>
  <r>
    <x v="4"/>
  </r>
  <r>
    <x v="4"/>
  </r>
  <r>
    <x v="4"/>
  </r>
  <r>
    <x v="10"/>
  </r>
  <r>
    <x v="78"/>
  </r>
  <r>
    <x v="78"/>
  </r>
  <r>
    <x v="78"/>
  </r>
  <r>
    <x v="12"/>
  </r>
  <r>
    <x v="11"/>
  </r>
  <r>
    <x v="12"/>
  </r>
  <r>
    <x v="16"/>
  </r>
  <r>
    <x v="4"/>
  </r>
  <r>
    <x v="105"/>
  </r>
  <r>
    <x v="4"/>
  </r>
  <r>
    <x v="33"/>
  </r>
  <r>
    <x v="36"/>
  </r>
  <r>
    <x v="36"/>
  </r>
  <r>
    <x v="36"/>
  </r>
  <r>
    <x v="12"/>
  </r>
  <r>
    <x v="36"/>
  </r>
  <r>
    <x v="36"/>
  </r>
  <r>
    <x v="36"/>
  </r>
  <r>
    <x v="10"/>
  </r>
  <r>
    <x v="174"/>
  </r>
  <r>
    <x v="22"/>
  </r>
  <r>
    <x v="174"/>
  </r>
  <r>
    <x v="55"/>
  </r>
  <r>
    <x v="22"/>
  </r>
  <r>
    <x v="55"/>
  </r>
  <r>
    <x v="48"/>
  </r>
  <r>
    <x v="174"/>
  </r>
  <r>
    <x v="78"/>
  </r>
  <r>
    <x v="22"/>
  </r>
  <r>
    <x v="174"/>
  </r>
  <r>
    <x v="78"/>
  </r>
  <r>
    <x v="174"/>
  </r>
  <r>
    <x v="22"/>
  </r>
  <r>
    <x v="22"/>
  </r>
  <r>
    <x v="126"/>
  </r>
  <r>
    <x v="10"/>
  </r>
  <r>
    <x v="4"/>
  </r>
  <r>
    <x v="123"/>
  </r>
  <r>
    <x v="123"/>
  </r>
  <r>
    <x v="123"/>
  </r>
  <r>
    <x v="4"/>
  </r>
  <r>
    <x v="25"/>
  </r>
  <r>
    <x v="4"/>
  </r>
  <r>
    <x v="4"/>
  </r>
  <r>
    <x v="22"/>
  </r>
  <r>
    <x v="22"/>
  </r>
  <r>
    <x v="22"/>
  </r>
  <r>
    <x v="63"/>
  </r>
  <r>
    <x v="33"/>
  </r>
  <r>
    <x v="12"/>
  </r>
  <r>
    <x v="17"/>
  </r>
  <r>
    <x v="87"/>
  </r>
  <r>
    <x v="78"/>
  </r>
  <r>
    <x v="12"/>
  </r>
  <r>
    <x v="12"/>
  </r>
  <r>
    <x v="87"/>
  </r>
  <r>
    <x v="10"/>
  </r>
  <r>
    <x v="87"/>
  </r>
  <r>
    <x v="84"/>
  </r>
  <r>
    <x v="87"/>
  </r>
  <r>
    <x v="128"/>
  </r>
  <r>
    <x v="12"/>
  </r>
  <r>
    <x v="128"/>
  </r>
  <r>
    <x v="12"/>
  </r>
  <r>
    <x v="128"/>
  </r>
  <r>
    <x v="128"/>
  </r>
  <r>
    <x v="128"/>
  </r>
  <r>
    <x v="42"/>
  </r>
  <r>
    <x v="42"/>
  </r>
  <r>
    <x v="42"/>
  </r>
  <r>
    <x v="12"/>
  </r>
  <r>
    <x v="12"/>
  </r>
  <r>
    <x v="56"/>
  </r>
  <r>
    <x v="42"/>
  </r>
  <r>
    <x v="80"/>
  </r>
  <r>
    <x v="42"/>
  </r>
  <r>
    <x v="56"/>
  </r>
  <r>
    <x v="12"/>
  </r>
  <r>
    <x v="56"/>
  </r>
  <r>
    <x v="72"/>
  </r>
  <r>
    <x v="56"/>
  </r>
  <r>
    <x v="4"/>
  </r>
  <r>
    <x v="56"/>
  </r>
  <r>
    <x v="42"/>
  </r>
  <r>
    <x v="56"/>
  </r>
  <r>
    <x v="56"/>
  </r>
  <r>
    <x v="56"/>
  </r>
  <r>
    <x v="56"/>
  </r>
  <r>
    <x v="77"/>
  </r>
  <r>
    <x v="42"/>
  </r>
  <r>
    <x v="42"/>
  </r>
  <r>
    <x v="72"/>
  </r>
  <r>
    <x v="7"/>
  </r>
  <r>
    <x v="42"/>
  </r>
  <r>
    <x v="12"/>
  </r>
  <r>
    <x v="12"/>
  </r>
  <r>
    <x v="12"/>
  </r>
  <r>
    <x v="12"/>
  </r>
  <r>
    <x v="7"/>
  </r>
  <r>
    <x v="36"/>
  </r>
  <r>
    <x v="77"/>
  </r>
  <r>
    <x v="42"/>
  </r>
  <r>
    <x v="56"/>
  </r>
  <r>
    <x v="12"/>
  </r>
  <r>
    <x v="12"/>
  </r>
  <r>
    <x v="87"/>
  </r>
  <r>
    <x v="87"/>
  </r>
  <r>
    <x v="26"/>
  </r>
  <r>
    <x v="56"/>
  </r>
  <r>
    <x v="12"/>
  </r>
  <r>
    <x v="12"/>
  </r>
  <r>
    <x v="12"/>
  </r>
  <r>
    <x v="12"/>
  </r>
  <r>
    <x v="12"/>
  </r>
  <r>
    <x v="42"/>
  </r>
  <r>
    <x v="12"/>
  </r>
  <r>
    <x v="25"/>
  </r>
  <r>
    <x v="12"/>
  </r>
  <r>
    <x v="42"/>
  </r>
  <r>
    <x v="42"/>
  </r>
  <r>
    <x v="10"/>
  </r>
  <r>
    <x v="165"/>
  </r>
  <r>
    <x v="4"/>
  </r>
  <r>
    <x v="4"/>
  </r>
  <r>
    <x v="12"/>
  </r>
  <r>
    <x v="12"/>
  </r>
  <r>
    <x v="89"/>
  </r>
  <r>
    <x v="89"/>
  </r>
  <r>
    <x v="12"/>
  </r>
  <r>
    <x v="89"/>
  </r>
  <r>
    <x v="12"/>
  </r>
  <r>
    <x v="129"/>
  </r>
  <r>
    <x v="89"/>
  </r>
  <r>
    <x v="4"/>
  </r>
  <r>
    <x v="4"/>
  </r>
  <r>
    <x v="4"/>
  </r>
  <r>
    <x v="4"/>
  </r>
  <r>
    <x v="89"/>
  </r>
  <r>
    <x v="251"/>
  </r>
  <r>
    <x v="12"/>
  </r>
  <r>
    <x v="12"/>
  </r>
  <r>
    <x v="12"/>
  </r>
  <r>
    <x v="4"/>
  </r>
  <r>
    <x v="12"/>
  </r>
  <r>
    <x v="0"/>
  </r>
  <r>
    <x v="12"/>
  </r>
  <r>
    <x v="12"/>
  </r>
  <r>
    <x v="10"/>
  </r>
  <r>
    <x v="10"/>
  </r>
  <r>
    <x v="77"/>
  </r>
  <r>
    <x v="77"/>
  </r>
  <r>
    <x v="77"/>
  </r>
  <r>
    <x v="77"/>
  </r>
  <r>
    <x v="77"/>
  </r>
  <r>
    <x v="77"/>
  </r>
  <r>
    <x v="77"/>
  </r>
  <r>
    <x v="77"/>
  </r>
  <r>
    <x v="77"/>
  </r>
  <r>
    <x v="12"/>
  </r>
  <r>
    <x v="12"/>
  </r>
  <r>
    <x v="12"/>
  </r>
  <r>
    <x v="77"/>
  </r>
  <r>
    <x v="12"/>
  </r>
  <r>
    <x v="12"/>
  </r>
  <r>
    <x v="77"/>
  </r>
  <r>
    <x v="36"/>
  </r>
  <r>
    <x v="12"/>
  </r>
  <r>
    <x v="12"/>
  </r>
  <r>
    <x v="4"/>
  </r>
  <r>
    <x v="4"/>
  </r>
  <r>
    <x v="10"/>
  </r>
  <r>
    <x v="10"/>
  </r>
  <r>
    <x v="77"/>
  </r>
  <r>
    <x v="48"/>
  </r>
  <r>
    <x v="87"/>
  </r>
  <r>
    <x v="87"/>
  </r>
  <r>
    <x v="87"/>
  </r>
  <r>
    <x v="10"/>
  </r>
  <r>
    <x v="87"/>
  </r>
  <r>
    <x v="71"/>
  </r>
  <r>
    <x v="77"/>
  </r>
  <r>
    <x v="52"/>
  </r>
  <r>
    <x v="4"/>
  </r>
  <r>
    <x v="4"/>
  </r>
  <r>
    <x v="4"/>
  </r>
  <r>
    <x v="4"/>
  </r>
  <r>
    <x v="77"/>
  </r>
  <r>
    <x v="71"/>
  </r>
  <r>
    <x v="1"/>
  </r>
  <r>
    <x v="43"/>
  </r>
  <r>
    <x v="42"/>
  </r>
  <r>
    <x v="25"/>
  </r>
  <r>
    <x v="75"/>
  </r>
  <r>
    <x v="75"/>
  </r>
  <r>
    <x v="138"/>
  </r>
  <r>
    <x v="10"/>
  </r>
  <r>
    <x v="29"/>
  </r>
  <r>
    <x v="29"/>
  </r>
  <r>
    <x v="6"/>
  </r>
  <r>
    <x v="4"/>
  </r>
  <r>
    <x v="4"/>
  </r>
  <r>
    <x v="9"/>
  </r>
  <r>
    <x v="9"/>
  </r>
  <r>
    <x v="9"/>
  </r>
  <r>
    <x v="9"/>
  </r>
  <r>
    <x v="9"/>
  </r>
  <r>
    <x v="42"/>
  </r>
  <r>
    <x v="0"/>
  </r>
  <r>
    <x v="4"/>
  </r>
  <r>
    <x v="4"/>
  </r>
  <r>
    <x v="0"/>
  </r>
  <r>
    <x v="79"/>
  </r>
  <r>
    <x v="0"/>
  </r>
  <r>
    <x v="55"/>
  </r>
  <r>
    <x v="10"/>
  </r>
  <r>
    <x v="10"/>
  </r>
  <r>
    <x v="10"/>
  </r>
  <r>
    <x v="10"/>
  </r>
  <r>
    <x v="10"/>
  </r>
  <r>
    <x v="10"/>
  </r>
  <r>
    <x v="115"/>
  </r>
  <r>
    <x v="115"/>
  </r>
  <r>
    <x v="115"/>
  </r>
  <r>
    <x v="10"/>
  </r>
  <r>
    <x v="26"/>
  </r>
  <r>
    <x v="108"/>
  </r>
  <r>
    <x v="188"/>
  </r>
  <r>
    <x v="44"/>
  </r>
  <r>
    <x v="14"/>
  </r>
  <r>
    <x v="111"/>
  </r>
  <r>
    <x v="11"/>
  </r>
  <r>
    <x v="26"/>
  </r>
  <r>
    <x v="36"/>
  </r>
  <r>
    <x v="36"/>
  </r>
  <r>
    <x v="10"/>
  </r>
  <r>
    <x v="10"/>
  </r>
  <r>
    <x v="10"/>
  </r>
  <r>
    <x v="10"/>
  </r>
  <r>
    <x v="10"/>
  </r>
  <r>
    <x v="10"/>
  </r>
  <r>
    <x v="36"/>
  </r>
  <r>
    <x v="22"/>
  </r>
  <r>
    <x v="126"/>
  </r>
  <r>
    <x v="7"/>
  </r>
  <r>
    <x v="22"/>
  </r>
  <r>
    <x v="78"/>
  </r>
  <r>
    <x v="87"/>
  </r>
  <r>
    <x v="72"/>
  </r>
  <r>
    <x v="63"/>
  </r>
  <r>
    <x v="12"/>
  </r>
  <r>
    <x v="130"/>
  </r>
  <r>
    <x v="123"/>
  </r>
  <r>
    <x v="123"/>
  </r>
  <r>
    <x v="123"/>
  </r>
  <r>
    <x v="12"/>
  </r>
  <r>
    <x v="22"/>
  </r>
  <r>
    <x v="146"/>
  </r>
  <r>
    <x v="146"/>
  </r>
  <r>
    <x v="146"/>
  </r>
  <r>
    <x v="146"/>
  </r>
  <r>
    <x v="146"/>
  </r>
  <r>
    <x v="4"/>
  </r>
  <r>
    <x v="10"/>
  </r>
  <r>
    <x v="4"/>
  </r>
  <r>
    <x v="56"/>
  </r>
  <r>
    <x v="56"/>
  </r>
  <r>
    <x v="56"/>
  </r>
  <r>
    <x v="22"/>
  </r>
  <r>
    <x v="184"/>
  </r>
  <r>
    <x v="77"/>
  </r>
  <r>
    <x v="77"/>
  </r>
  <r>
    <x v="42"/>
  </r>
  <r>
    <x v="77"/>
  </r>
  <r>
    <x v="77"/>
  </r>
  <r>
    <x v="36"/>
  </r>
  <r>
    <x v="10"/>
  </r>
  <r>
    <x v="12"/>
  </r>
  <r>
    <x v="10"/>
  </r>
  <r>
    <x v="10"/>
  </r>
  <r>
    <x v="29"/>
  </r>
  <r>
    <x v="29"/>
  </r>
  <r>
    <x v="12"/>
  </r>
  <r>
    <x v="4"/>
  </r>
  <r>
    <x v="50"/>
  </r>
  <r>
    <x v="48"/>
  </r>
  <r>
    <x v="26"/>
  </r>
  <r>
    <x v="87"/>
  </r>
  <r>
    <x v="12"/>
  </r>
  <r>
    <x v="87"/>
  </r>
  <r>
    <x v="4"/>
  </r>
  <r>
    <x v="87"/>
  </r>
  <r>
    <x v="87"/>
  </r>
  <r>
    <x v="25"/>
  </r>
  <r>
    <x v="12"/>
  </r>
  <r>
    <x v="12"/>
  </r>
  <r>
    <x v="87"/>
  </r>
  <r>
    <x v="12"/>
  </r>
  <r>
    <x v="87"/>
  </r>
  <r>
    <x v="12"/>
  </r>
  <r>
    <x v="87"/>
  </r>
  <r>
    <x v="12"/>
  </r>
  <r>
    <x v="12"/>
  </r>
  <r>
    <x v="0"/>
  </r>
  <r>
    <x v="36"/>
  </r>
  <r>
    <x v="135"/>
  </r>
  <r>
    <x v="4"/>
  </r>
  <r>
    <x v="4"/>
  </r>
  <r>
    <x v="10"/>
  </r>
  <r>
    <x v="4"/>
  </r>
  <r>
    <x v="29"/>
  </r>
  <r>
    <x v="4"/>
  </r>
  <r>
    <x v="4"/>
  </r>
  <r>
    <x v="4"/>
  </r>
  <r>
    <x v="17"/>
  </r>
  <r>
    <x v="17"/>
  </r>
  <r>
    <x v="17"/>
  </r>
  <r>
    <x v="22"/>
  </r>
  <r>
    <x v="22"/>
  </r>
  <r>
    <x v="22"/>
  </r>
  <r>
    <x v="33"/>
  </r>
  <r>
    <x v="33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12"/>
  </r>
  <r>
    <x v="0"/>
  </r>
  <r>
    <x v="0"/>
  </r>
  <r>
    <x v="0"/>
  </r>
  <r>
    <x v="57"/>
  </r>
  <r>
    <x v="0"/>
  </r>
  <r>
    <x v="1"/>
  </r>
  <r>
    <x v="12"/>
  </r>
  <r>
    <x v="0"/>
  </r>
  <r>
    <x v="4"/>
  </r>
  <r>
    <x v="1"/>
  </r>
  <r>
    <x v="24"/>
  </r>
  <r>
    <x v="36"/>
  </r>
  <r>
    <x v="7"/>
  </r>
  <r>
    <x v="4"/>
  </r>
  <r>
    <x v="87"/>
  </r>
  <r>
    <x v="86"/>
  </r>
  <r>
    <x v="36"/>
  </r>
  <r>
    <x v="36"/>
  </r>
  <r>
    <x v="72"/>
  </r>
  <r>
    <x v="36"/>
  </r>
  <r>
    <x v="87"/>
  </r>
  <r>
    <x v="87"/>
  </r>
  <r>
    <x v="87"/>
  </r>
  <r>
    <x v="14"/>
  </r>
  <r>
    <x v="12"/>
  </r>
  <r>
    <x v="10"/>
  </r>
  <r>
    <x v="10"/>
  </r>
  <r>
    <x v="10"/>
  </r>
  <r>
    <x v="10"/>
  </r>
  <r>
    <x v="11"/>
  </r>
  <r>
    <x v="4"/>
  </r>
  <r>
    <x v="10"/>
  </r>
  <r>
    <x v="4"/>
  </r>
  <r>
    <x v="12"/>
  </r>
  <r>
    <x v="0"/>
  </r>
  <r>
    <x v="12"/>
  </r>
  <r>
    <x v="4"/>
  </r>
  <r>
    <x v="7"/>
  </r>
  <r>
    <x v="7"/>
  </r>
  <r>
    <x v="57"/>
  </r>
  <r>
    <x v="42"/>
  </r>
  <r>
    <x v="12"/>
  </r>
  <r>
    <x v="52"/>
  </r>
  <r>
    <x v="12"/>
  </r>
  <r>
    <x v="12"/>
  </r>
  <r>
    <x v="16"/>
  </r>
  <r>
    <x v="0"/>
  </r>
  <r>
    <x v="1"/>
  </r>
  <r>
    <x v="21"/>
  </r>
  <r>
    <x v="162"/>
  </r>
  <r>
    <x v="12"/>
  </r>
  <r>
    <x v="12"/>
  </r>
  <r>
    <x v="0"/>
  </r>
  <r>
    <x v="12"/>
  </r>
  <r>
    <x v="12"/>
  </r>
  <r>
    <x v="68"/>
  </r>
  <r>
    <x v="12"/>
  </r>
  <r>
    <x v="12"/>
  </r>
  <r>
    <x v="12"/>
  </r>
  <r>
    <x v="12"/>
  </r>
  <r>
    <x v="10"/>
  </r>
  <r>
    <x v="10"/>
  </r>
  <r>
    <x v="12"/>
  </r>
  <r>
    <x v="12"/>
  </r>
  <r>
    <x v="10"/>
  </r>
  <r>
    <x v="12"/>
  </r>
  <r>
    <x v="12"/>
  </r>
  <r>
    <x v="12"/>
  </r>
  <r>
    <x v="165"/>
  </r>
  <r>
    <x v="129"/>
  </r>
  <r>
    <x v="12"/>
  </r>
  <r>
    <x v="10"/>
  </r>
  <r>
    <x v="52"/>
  </r>
  <r>
    <x v="78"/>
  </r>
  <r>
    <x v="78"/>
  </r>
  <r>
    <x v="78"/>
  </r>
  <r>
    <x v="78"/>
  </r>
  <r>
    <x v="86"/>
  </r>
  <r>
    <x v="78"/>
  </r>
  <r>
    <x v="68"/>
  </r>
  <r>
    <x v="0"/>
  </r>
  <r>
    <x v="0"/>
  </r>
  <r>
    <x v="0"/>
  </r>
  <r>
    <x v="52"/>
  </r>
  <r>
    <x v="8"/>
  </r>
  <r>
    <x v="77"/>
  </r>
  <r>
    <x v="77"/>
  </r>
  <r>
    <x v="87"/>
  </r>
  <r>
    <x v="77"/>
  </r>
  <r>
    <x v="77"/>
  </r>
  <r>
    <x v="77"/>
  </r>
  <r>
    <x v="14"/>
  </r>
  <r>
    <x v="4"/>
  </r>
  <r>
    <x v="112"/>
  </r>
  <r>
    <x v="115"/>
  </r>
  <r>
    <x v="115"/>
  </r>
  <r>
    <x v="48"/>
  </r>
  <r>
    <x v="115"/>
  </r>
  <r>
    <x v="115"/>
  </r>
  <r>
    <x v="115"/>
  </r>
  <r>
    <x v="115"/>
  </r>
  <r>
    <x v="99"/>
  </r>
  <r>
    <x v="115"/>
  </r>
  <r>
    <x v="115"/>
  </r>
  <r>
    <x v="115"/>
  </r>
  <r>
    <x v="115"/>
  </r>
  <r>
    <x v="76"/>
  </r>
  <r>
    <x v="115"/>
  </r>
  <r>
    <x v="35"/>
  </r>
  <r>
    <x v="115"/>
  </r>
  <r>
    <x v="115"/>
  </r>
  <r>
    <x v="4"/>
  </r>
  <r>
    <x v="22"/>
  </r>
  <r>
    <x v="13"/>
  </r>
  <r>
    <x v="21"/>
  </r>
  <r>
    <x v="36"/>
  </r>
  <r>
    <x v="14"/>
  </r>
  <r>
    <x v="14"/>
  </r>
  <r>
    <x v="14"/>
  </r>
  <r>
    <x v="4"/>
  </r>
  <r>
    <x v="52"/>
  </r>
  <r>
    <x v="0"/>
  </r>
  <r>
    <x v="123"/>
  </r>
  <r>
    <x v="123"/>
  </r>
  <r>
    <x v="48"/>
  </r>
  <r>
    <x v="12"/>
  </r>
  <r>
    <x v="4"/>
  </r>
  <r>
    <x v="12"/>
  </r>
  <r>
    <x v="0"/>
  </r>
  <r>
    <x v="0"/>
  </r>
  <r>
    <x v="0"/>
  </r>
  <r>
    <x v="0"/>
  </r>
  <r>
    <x v="0"/>
  </r>
  <r>
    <x v="0"/>
  </r>
  <r>
    <x v="0"/>
  </r>
  <r>
    <x v="10"/>
  </r>
  <r>
    <x v="10"/>
  </r>
  <r>
    <x v="10"/>
  </r>
  <r>
    <x v="0"/>
  </r>
  <r>
    <x v="123"/>
  </r>
  <r>
    <x v="12"/>
  </r>
  <r>
    <x v="123"/>
  </r>
  <r>
    <x v="12"/>
  </r>
  <r>
    <x v="12"/>
  </r>
  <r>
    <x v="12"/>
  </r>
  <r>
    <x v="123"/>
  </r>
  <r>
    <x v="10"/>
  </r>
  <r>
    <x v="12"/>
  </r>
  <r>
    <x v="12"/>
  </r>
  <r>
    <x v="12"/>
  </r>
  <r>
    <x v="22"/>
  </r>
  <r>
    <x v="12"/>
  </r>
  <r>
    <x v="10"/>
  </r>
  <r>
    <x v="22"/>
  </r>
  <r>
    <x v="22"/>
  </r>
  <r>
    <x v="71"/>
  </r>
  <r>
    <x v="86"/>
  </r>
  <r>
    <x v="50"/>
  </r>
  <r>
    <x v="43"/>
  </r>
  <r>
    <x v="43"/>
  </r>
  <r>
    <x v="86"/>
  </r>
  <r>
    <x v="12"/>
  </r>
  <r>
    <x v="43"/>
  </r>
  <r>
    <x v="52"/>
  </r>
  <r>
    <x v="43"/>
  </r>
  <r>
    <x v="10"/>
  </r>
  <r>
    <x v="10"/>
  </r>
  <r>
    <x v="10"/>
  </r>
  <r>
    <x v="10"/>
  </r>
  <r>
    <x v="10"/>
  </r>
  <r>
    <x v="10"/>
  </r>
  <r>
    <x v="10"/>
  </r>
  <r>
    <x v="10"/>
  </r>
  <r>
    <x v="138"/>
  </r>
  <r>
    <x v="10"/>
  </r>
  <r>
    <x v="10"/>
  </r>
  <r>
    <x v="10"/>
  </r>
  <r>
    <x v="186"/>
  </r>
  <r>
    <x v="4"/>
  </r>
  <r>
    <x v="10"/>
  </r>
  <r>
    <x v="51"/>
  </r>
  <r>
    <x v="51"/>
  </r>
  <r>
    <x v="51"/>
  </r>
  <r>
    <x v="51"/>
  </r>
  <r>
    <x v="4"/>
  </r>
  <r>
    <x v="28"/>
  </r>
  <r>
    <x v="28"/>
  </r>
  <r>
    <x v="28"/>
  </r>
  <r>
    <x v="28"/>
  </r>
  <r>
    <x v="4"/>
  </r>
  <r>
    <x v="28"/>
  </r>
  <r>
    <x v="28"/>
  </r>
  <r>
    <x v="28"/>
  </r>
  <r>
    <x v="251"/>
  </r>
  <r>
    <x v="77"/>
  </r>
  <r>
    <x v="251"/>
  </r>
  <r>
    <x v="251"/>
  </r>
  <r>
    <x v="251"/>
  </r>
  <r>
    <x v="251"/>
  </r>
  <r>
    <x v="251"/>
  </r>
  <r>
    <x v="251"/>
  </r>
  <r>
    <x v="10"/>
  </r>
  <r>
    <x v="28"/>
  </r>
  <r>
    <x v="10"/>
  </r>
  <r>
    <x v="10"/>
  </r>
  <r>
    <x v="28"/>
  </r>
  <r>
    <x v="10"/>
  </r>
  <r>
    <x v="10"/>
  </r>
  <r>
    <x v="10"/>
  </r>
  <r>
    <x v="33"/>
  </r>
  <r>
    <x v="10"/>
  </r>
  <r>
    <x v="87"/>
  </r>
  <r>
    <x v="87"/>
  </r>
  <r>
    <x v="10"/>
  </r>
  <r>
    <x v="0"/>
  </r>
  <r>
    <x v="11"/>
  </r>
  <r>
    <x v="87"/>
  </r>
  <r>
    <x v="7"/>
  </r>
  <r>
    <x v="7"/>
  </r>
  <r>
    <x v="7"/>
  </r>
  <r>
    <x v="8"/>
  </r>
  <r>
    <x v="78"/>
  </r>
  <r>
    <x v="11"/>
  </r>
  <r>
    <x v="63"/>
  </r>
  <r>
    <x v="63"/>
  </r>
  <r>
    <x v="63"/>
  </r>
  <r>
    <x v="63"/>
  </r>
  <r>
    <x v="11"/>
  </r>
  <r>
    <x v="63"/>
  </r>
  <r>
    <x v="63"/>
  </r>
  <r>
    <x v="63"/>
  </r>
  <r>
    <x v="0"/>
  </r>
  <r>
    <x v="0"/>
  </r>
  <r>
    <x v="28"/>
  </r>
  <r>
    <x v="28"/>
  </r>
  <r>
    <x v="21"/>
  </r>
  <r>
    <x v="28"/>
  </r>
  <r>
    <x v="28"/>
  </r>
  <r>
    <x v="28"/>
  </r>
  <r>
    <x v="28"/>
  </r>
  <r>
    <x v="28"/>
  </r>
  <r>
    <x v="21"/>
  </r>
  <r>
    <x v="289"/>
  </r>
  <r>
    <x v="289"/>
  </r>
  <r>
    <x v="289"/>
  </r>
  <r>
    <x v="289"/>
  </r>
  <r>
    <x v="21"/>
  </r>
  <r>
    <x v="6"/>
  </r>
  <r>
    <x v="6"/>
  </r>
  <r>
    <x v="6"/>
  </r>
  <r>
    <x v="6"/>
  </r>
  <r>
    <x v="10"/>
  </r>
  <r>
    <x v="123"/>
  </r>
  <r>
    <x v="123"/>
  </r>
  <r>
    <x v="12"/>
  </r>
  <r>
    <x v="12"/>
  </r>
  <r>
    <x v="12"/>
  </r>
  <r>
    <x v="4"/>
  </r>
  <r>
    <x v="10"/>
  </r>
  <r>
    <x v="4"/>
  </r>
  <r>
    <x v="10"/>
  </r>
  <r>
    <x v="10"/>
  </r>
  <r>
    <x v="10"/>
  </r>
  <r>
    <x v="10"/>
  </r>
  <r>
    <x v="19"/>
  </r>
  <r>
    <x v="10"/>
  </r>
  <r>
    <x v="4"/>
  </r>
  <r>
    <x v="0"/>
  </r>
  <r>
    <x v="0"/>
  </r>
  <r>
    <x v="0"/>
  </r>
  <r>
    <x v="0"/>
  </r>
  <r>
    <x v="77"/>
  </r>
  <r>
    <x v="77"/>
  </r>
  <r>
    <x v="108"/>
  </r>
  <r>
    <x v="108"/>
  </r>
  <r>
    <x v="165"/>
  </r>
  <r>
    <x v="9"/>
  </r>
  <r>
    <x v="10"/>
  </r>
  <r>
    <x v="12"/>
  </r>
  <r>
    <x v="12"/>
  </r>
  <r>
    <x v="79"/>
  </r>
  <r>
    <x v="79"/>
  </r>
  <r>
    <x v="12"/>
  </r>
  <r>
    <x v="12"/>
  </r>
  <r>
    <x v="12"/>
  </r>
  <r>
    <x v="79"/>
  </r>
  <r>
    <x v="12"/>
  </r>
  <r>
    <x v="79"/>
  </r>
  <r>
    <x v="79"/>
  </r>
  <r>
    <x v="12"/>
  </r>
  <r>
    <x v="79"/>
  </r>
  <r>
    <x v="10"/>
  </r>
  <r>
    <x v="0"/>
  </r>
  <r>
    <x v="12"/>
  </r>
  <r>
    <x v="12"/>
  </r>
  <r>
    <x v="12"/>
  </r>
  <r>
    <x v="12"/>
  </r>
  <r>
    <x v="12"/>
  </r>
  <r>
    <x v="123"/>
  </r>
  <r>
    <x v="123"/>
  </r>
  <r>
    <x v="123"/>
  </r>
  <r>
    <x v="57"/>
  </r>
  <r>
    <x v="123"/>
  </r>
  <r>
    <x v="1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0"/>
  </r>
  <r>
    <x v="123"/>
  </r>
  <r>
    <x v="123"/>
  </r>
  <r>
    <x v="123"/>
  </r>
  <r>
    <x v="123"/>
  </r>
  <r>
    <x v="123"/>
  </r>
  <r>
    <x v="115"/>
  </r>
  <r>
    <x v="123"/>
  </r>
  <r>
    <x v="123"/>
  </r>
  <r>
    <x v="123"/>
  </r>
  <r>
    <x v="123"/>
  </r>
  <r>
    <x v="123"/>
  </r>
  <r>
    <x v="123"/>
  </r>
  <r>
    <x v="123"/>
  </r>
  <r>
    <x v="0"/>
  </r>
  <r>
    <x v="42"/>
  </r>
  <r>
    <x v="123"/>
  </r>
  <r>
    <x v="64"/>
  </r>
  <r>
    <x v="123"/>
  </r>
  <r>
    <x v="123"/>
  </r>
  <r>
    <x v="123"/>
  </r>
  <r>
    <x v="123"/>
  </r>
  <r>
    <x v="123"/>
  </r>
  <r>
    <x v="123"/>
  </r>
  <r>
    <x v="123"/>
  </r>
  <r>
    <x v="23"/>
  </r>
  <r>
    <x v="0"/>
  </r>
  <r>
    <x v="4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42"/>
  </r>
  <r>
    <x v="123"/>
  </r>
  <r>
    <x v="123"/>
  </r>
  <r>
    <x v="123"/>
  </r>
  <r>
    <x v="123"/>
  </r>
  <r>
    <x v="4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52"/>
  </r>
  <r>
    <x v="152"/>
  </r>
  <r>
    <x v="152"/>
  </r>
  <r>
    <x v="152"/>
  </r>
  <r>
    <x v="152"/>
  </r>
  <r>
    <x v="115"/>
  </r>
  <r>
    <x v="115"/>
  </r>
  <r>
    <x v="28"/>
  </r>
  <r>
    <x v="14"/>
  </r>
  <r>
    <x v="22"/>
  </r>
  <r>
    <x v="123"/>
  </r>
  <r>
    <x v="4"/>
  </r>
  <r>
    <x v="4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1"/>
  </r>
  <r>
    <x v="10"/>
  </r>
  <r>
    <x v="4"/>
  </r>
  <r>
    <x v="10"/>
  </r>
  <r>
    <x v="4"/>
  </r>
  <r>
    <x v="24"/>
  </r>
  <r>
    <x v="115"/>
  </r>
  <r>
    <x v="10"/>
  </r>
  <r>
    <x v="10"/>
  </r>
  <r>
    <x v="10"/>
  </r>
  <r>
    <x v="11"/>
  </r>
  <r>
    <x v="7"/>
  </r>
  <r>
    <x v="12"/>
  </r>
  <r>
    <x v="42"/>
  </r>
  <r>
    <x v="12"/>
  </r>
  <r>
    <x v="12"/>
  </r>
  <r>
    <x v="77"/>
  </r>
  <r>
    <x v="12"/>
  </r>
  <r>
    <x v="77"/>
  </r>
  <r>
    <x v="10"/>
  </r>
  <r>
    <x v="10"/>
  </r>
  <r>
    <x v="77"/>
  </r>
  <r>
    <x v="36"/>
  </r>
  <r>
    <x v="12"/>
  </r>
  <r>
    <x v="12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0"/>
  </r>
  <r>
    <x v="4"/>
  </r>
  <r>
    <x v="10"/>
  </r>
  <r>
    <x v="10"/>
  </r>
  <r>
    <x v="10"/>
  </r>
  <r>
    <x v="10"/>
  </r>
  <r>
    <x v="10"/>
  </r>
  <r>
    <x v="10"/>
  </r>
  <r>
    <x v="6"/>
  </r>
  <r>
    <x v="6"/>
  </r>
  <r>
    <x v="87"/>
  </r>
  <r>
    <x v="4"/>
  </r>
  <r>
    <x v="6"/>
  </r>
  <r>
    <x v="6"/>
  </r>
  <r>
    <x v="10"/>
  </r>
  <r>
    <x v="77"/>
  </r>
  <r>
    <x v="86"/>
  </r>
  <r>
    <x v="86"/>
  </r>
  <r>
    <x v="10"/>
  </r>
  <r>
    <x v="26"/>
  </r>
  <r>
    <x v="86"/>
  </r>
  <r>
    <x v="77"/>
  </r>
  <r>
    <x v="77"/>
  </r>
  <r>
    <x v="87"/>
  </r>
  <r>
    <x v="77"/>
  </r>
  <r>
    <x v="86"/>
  </r>
  <r>
    <x v="14"/>
  </r>
  <r>
    <x v="77"/>
  </r>
  <r>
    <x v="77"/>
  </r>
  <r>
    <x v="77"/>
  </r>
  <r>
    <x v="77"/>
  </r>
  <r>
    <x v="77"/>
  </r>
  <r>
    <x v="77"/>
  </r>
  <r>
    <x v="77"/>
  </r>
  <r>
    <x v="77"/>
  </r>
  <r>
    <x v="78"/>
  </r>
  <r>
    <x v="78"/>
  </r>
  <r>
    <x v="78"/>
  </r>
  <r>
    <x v="78"/>
  </r>
  <r>
    <x v="78"/>
  </r>
  <r>
    <x v="78"/>
  </r>
  <r>
    <x v="78"/>
  </r>
  <r>
    <x v="78"/>
  </r>
  <r>
    <x v="12"/>
  </r>
  <r>
    <x v="12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76"/>
  </r>
  <r>
    <x v="76"/>
  </r>
  <r>
    <x v="76"/>
  </r>
  <r>
    <x v="4"/>
  </r>
  <r>
    <x v="59"/>
  </r>
  <r>
    <x v="59"/>
  </r>
  <r>
    <x v="4"/>
  </r>
  <r>
    <x v="22"/>
  </r>
  <r>
    <x v="22"/>
  </r>
  <r>
    <x v="22"/>
  </r>
  <r>
    <x v="22"/>
  </r>
  <r>
    <x v="22"/>
  </r>
  <r>
    <x v="28"/>
  </r>
  <r>
    <x v="2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8"/>
  </r>
  <r>
    <x v="108"/>
  </r>
  <r>
    <x v="126"/>
  </r>
  <r>
    <x v="73"/>
  </r>
  <r>
    <x v="111"/>
  </r>
  <r>
    <x v="4"/>
  </r>
  <r>
    <x v="4"/>
  </r>
  <r>
    <x v="4"/>
  </r>
  <r>
    <x v="4"/>
  </r>
  <r>
    <x v="4"/>
  </r>
  <r>
    <x v="4"/>
  </r>
  <r>
    <x v="4"/>
  </r>
  <r>
    <x v="4"/>
  </r>
  <r>
    <x v="22"/>
  </r>
  <r>
    <x v="72"/>
  </r>
  <r>
    <x v="142"/>
  </r>
  <r>
    <x v="142"/>
  </r>
  <r>
    <x v="9"/>
  </r>
  <r>
    <x v="10"/>
  </r>
  <r>
    <x v="10"/>
  </r>
  <r>
    <x v="10"/>
  </r>
  <r>
    <x v="10"/>
  </r>
  <r>
    <x v="10"/>
  </r>
  <r>
    <x v="10"/>
  </r>
  <r>
    <x v="10"/>
  </r>
  <r>
    <x v="190"/>
  </r>
  <r>
    <x v="10"/>
  </r>
  <r>
    <x v="36"/>
  </r>
  <r>
    <x v="12"/>
  </r>
  <r>
    <x v="12"/>
  </r>
  <r>
    <x v="87"/>
  </r>
  <r>
    <x v="36"/>
  </r>
  <r>
    <x v="36"/>
  </r>
  <r>
    <x v="115"/>
  </r>
  <r>
    <x v="36"/>
  </r>
  <r>
    <x v="36"/>
  </r>
  <r>
    <x v="36"/>
  </r>
  <r>
    <x v="36"/>
  </r>
  <r>
    <x v="36"/>
  </r>
  <r>
    <x v="36"/>
  </r>
  <r>
    <x v="36"/>
  </r>
  <r>
    <x v="0"/>
  </r>
  <r>
    <x v="36"/>
  </r>
  <r>
    <x v="0"/>
  </r>
  <r>
    <x v="10"/>
  </r>
  <r>
    <x v="12"/>
  </r>
  <r>
    <x v="10"/>
  </r>
  <r>
    <x v="10"/>
  </r>
  <r>
    <x v="10"/>
  </r>
  <r>
    <x v="10"/>
  </r>
  <r>
    <x v="4"/>
  </r>
  <r>
    <x v="4"/>
  </r>
  <r>
    <x v="71"/>
  </r>
  <r>
    <x v="71"/>
  </r>
  <r>
    <x v="77"/>
  </r>
  <r>
    <x v="7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57"/>
  </r>
  <r>
    <x v="4"/>
  </r>
  <r>
    <x v="57"/>
  </r>
  <r>
    <x v="144"/>
  </r>
  <r>
    <x v="0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71"/>
  </r>
  <r>
    <x v="126"/>
  </r>
  <r>
    <x v="123"/>
  </r>
  <r>
    <x v="123"/>
  </r>
  <r>
    <x v="126"/>
  </r>
  <r>
    <x v="123"/>
  </r>
  <r>
    <x v="126"/>
  </r>
  <r>
    <x v="126"/>
  </r>
  <r>
    <x v="126"/>
  </r>
  <r>
    <x v="12"/>
  </r>
  <r>
    <x v="12"/>
  </r>
  <r>
    <x v="87"/>
  </r>
  <r>
    <x v="79"/>
  </r>
  <r>
    <x v="4"/>
  </r>
  <r>
    <x v="4"/>
  </r>
  <r>
    <x v="10"/>
  </r>
  <r>
    <x v="4"/>
  </r>
  <r>
    <x v="72"/>
  </r>
  <r>
    <x v="126"/>
  </r>
  <r>
    <x v="126"/>
  </r>
  <r>
    <x v="10"/>
  </r>
  <r>
    <x v="126"/>
  </r>
  <r>
    <x v="126"/>
  </r>
  <r>
    <x v="126"/>
  </r>
  <r>
    <x v="22"/>
  </r>
  <r>
    <x v="33"/>
  </r>
  <r>
    <x v="33"/>
  </r>
  <r>
    <x v="156"/>
  </r>
  <r>
    <x v="77"/>
  </r>
  <r>
    <x v="10"/>
  </r>
  <r>
    <x v="4"/>
  </r>
  <r>
    <x v="86"/>
  </r>
  <r>
    <x v="9"/>
  </r>
  <r>
    <x v="54"/>
  </r>
  <r>
    <x v="54"/>
  </r>
  <r>
    <x v="114"/>
  </r>
  <r>
    <x v="76"/>
  </r>
  <r>
    <x v="115"/>
  </r>
  <r>
    <x v="115"/>
  </r>
  <r>
    <x v="227"/>
  </r>
  <r>
    <x v="227"/>
  </r>
  <r>
    <x v="115"/>
  </r>
  <r>
    <x v="51"/>
  </r>
  <r>
    <x v="115"/>
  </r>
  <r>
    <x v="115"/>
  </r>
  <r>
    <x v="115"/>
  </r>
  <r>
    <x v="81"/>
  </r>
  <r>
    <x v="81"/>
  </r>
  <r>
    <x v="14"/>
  </r>
  <r>
    <x v="37"/>
  </r>
  <r>
    <x v="24"/>
  </r>
  <r>
    <x v="57"/>
  </r>
  <r>
    <x v="108"/>
  </r>
  <r>
    <x v="10"/>
  </r>
  <r>
    <x v="10"/>
  </r>
  <r>
    <x v="10"/>
  </r>
  <r>
    <x v="72"/>
  </r>
  <r>
    <x v="36"/>
  </r>
  <r>
    <x v="36"/>
  </r>
  <r>
    <x v="4"/>
  </r>
  <r>
    <x v="10"/>
  </r>
  <r>
    <x v="10"/>
  </r>
  <r>
    <x v="10"/>
  </r>
  <r>
    <x v="0"/>
  </r>
  <r>
    <x v="71"/>
  </r>
  <r>
    <x v="28"/>
  </r>
  <r>
    <x v="12"/>
  </r>
  <r>
    <x v="152"/>
  </r>
  <r>
    <x v="10"/>
  </r>
  <r>
    <x v="152"/>
  </r>
  <r>
    <x v="152"/>
  </r>
  <r>
    <x v="152"/>
  </r>
  <r>
    <x v="152"/>
  </r>
  <r>
    <x v="165"/>
  </r>
  <r>
    <x v="87"/>
  </r>
  <r>
    <x v="168"/>
  </r>
  <r>
    <x v="157"/>
  </r>
  <r>
    <x v="6"/>
  </r>
  <r>
    <x v="6"/>
  </r>
  <r>
    <x v="12"/>
  </r>
  <r>
    <x v="12"/>
  </r>
  <r>
    <x v="28"/>
  </r>
  <r>
    <x v="12"/>
  </r>
  <r>
    <x v="17"/>
  </r>
  <r>
    <x v="12"/>
  </r>
  <r>
    <x v="12"/>
  </r>
  <r>
    <x v="12"/>
  </r>
  <r>
    <x v="12"/>
  </r>
  <r>
    <x v="10"/>
  </r>
  <r>
    <x v="28"/>
  </r>
  <r>
    <x v="63"/>
  </r>
  <r>
    <x v="87"/>
  </r>
  <r>
    <x v="12"/>
  </r>
  <r>
    <x v="12"/>
  </r>
  <r>
    <x v="12"/>
  </r>
  <r>
    <x v="7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57"/>
  </r>
  <r>
    <x v="7"/>
  </r>
  <r>
    <x v="7"/>
  </r>
  <r>
    <x v="7"/>
  </r>
  <r>
    <x v="46"/>
  </r>
  <r>
    <x v="46"/>
  </r>
  <r>
    <x v="91"/>
  </r>
  <r>
    <x v="86"/>
  </r>
  <r>
    <x v="51"/>
  </r>
  <r>
    <x v="0"/>
  </r>
  <r>
    <x v="10"/>
  </r>
  <r>
    <x v="0"/>
  </r>
  <r>
    <x v="0"/>
  </r>
  <r>
    <x v="0"/>
  </r>
  <r>
    <x v="0"/>
  </r>
  <r>
    <x v="128"/>
  </r>
  <r>
    <x v="16"/>
  </r>
  <r>
    <x v="53"/>
  </r>
  <r>
    <x v="64"/>
  </r>
  <r>
    <x v="10"/>
  </r>
  <r>
    <x v="14"/>
  </r>
  <r>
    <x v="14"/>
  </r>
  <r>
    <x v="10"/>
  </r>
  <r>
    <x v="4"/>
  </r>
  <r>
    <x v="4"/>
  </r>
  <r>
    <x v="42"/>
  </r>
  <r>
    <x v="42"/>
  </r>
  <r>
    <x v="42"/>
  </r>
  <r>
    <x v="42"/>
  </r>
  <r>
    <x v="55"/>
  </r>
  <r>
    <x v="36"/>
  </r>
  <r>
    <x v="36"/>
  </r>
  <r>
    <x v="36"/>
  </r>
  <r>
    <x v="36"/>
  </r>
  <r>
    <x v="36"/>
  </r>
  <r>
    <x v="178"/>
  </r>
  <r>
    <x v="178"/>
  </r>
  <r>
    <x v="175"/>
  </r>
  <r>
    <x v="16"/>
  </r>
  <r>
    <x v="80"/>
  </r>
  <r>
    <x v="114"/>
  </r>
  <r>
    <x v="39"/>
  </r>
  <r>
    <x v="7"/>
  </r>
  <r>
    <x v="36"/>
  </r>
  <r>
    <x v="36"/>
  </r>
  <r>
    <x v="36"/>
  </r>
  <r>
    <x v="39"/>
  </r>
  <r>
    <x v="39"/>
  </r>
  <r>
    <x v="39"/>
  </r>
  <r>
    <x v="36"/>
  </r>
  <r>
    <x v="11"/>
  </r>
  <r>
    <x v="0"/>
  </r>
  <r>
    <x v="76"/>
  </r>
  <r>
    <x v="12"/>
  </r>
  <r>
    <x v="12"/>
  </r>
  <r>
    <x v="7"/>
  </r>
  <r>
    <x v="77"/>
  </r>
  <r>
    <x v="169"/>
  </r>
  <r>
    <x v="12"/>
  </r>
  <r>
    <x v="12"/>
  </r>
  <r>
    <x v="12"/>
  </r>
  <r>
    <x v="12"/>
  </r>
  <r>
    <x v="77"/>
  </r>
  <r>
    <x v="276"/>
  </r>
  <r>
    <x v="77"/>
  </r>
  <r>
    <x v="276"/>
  </r>
  <r>
    <x v="12"/>
  </r>
  <r>
    <x v="12"/>
  </r>
  <r>
    <x v="12"/>
  </r>
  <r>
    <x v="71"/>
  </r>
  <r>
    <x v="86"/>
  </r>
  <r>
    <x v="12"/>
  </r>
  <r>
    <x v="12"/>
  </r>
  <r>
    <x v="10"/>
  </r>
  <r>
    <x v="12"/>
  </r>
  <r>
    <x v="12"/>
  </r>
  <r>
    <x v="12"/>
  </r>
  <r>
    <x v="4"/>
  </r>
  <r>
    <x v="4"/>
  </r>
  <r>
    <x v="77"/>
  </r>
  <r>
    <x v="4"/>
  </r>
  <r>
    <x v="77"/>
  </r>
  <r>
    <x v="77"/>
  </r>
  <r>
    <x v="77"/>
  </r>
  <r>
    <x v="77"/>
  </r>
  <r>
    <x v="12"/>
  </r>
  <r>
    <x v="123"/>
  </r>
  <r>
    <x v="12"/>
  </r>
  <r>
    <x v="12"/>
  </r>
  <r>
    <x v="36"/>
  </r>
  <r>
    <x v="12"/>
  </r>
  <r>
    <x v="12"/>
  </r>
  <r>
    <x v="36"/>
  </r>
  <r>
    <x v="12"/>
  </r>
  <r>
    <x v="12"/>
  </r>
  <r>
    <x v="36"/>
  </r>
  <r>
    <x v="135"/>
  </r>
  <r>
    <x v="123"/>
  </r>
  <r>
    <x v="123"/>
  </r>
  <r>
    <x v="123"/>
  </r>
  <r>
    <x v="123"/>
  </r>
  <r>
    <x v="123"/>
  </r>
  <r>
    <x v="123"/>
  </r>
  <r>
    <x v="123"/>
  </r>
  <r>
    <x v="123"/>
  </r>
  <r>
    <x v="6"/>
  </r>
  <r>
    <x v="123"/>
  </r>
  <r>
    <x v="135"/>
  </r>
  <r>
    <x v="123"/>
  </r>
  <r>
    <x v="123"/>
  </r>
  <r>
    <x v="123"/>
  </r>
  <r>
    <x v="123"/>
  </r>
  <r>
    <x v="123"/>
  </r>
  <r>
    <x v="123"/>
  </r>
  <r>
    <x v="123"/>
  </r>
  <r>
    <x v="4"/>
  </r>
  <r>
    <x v="4"/>
  </r>
  <r>
    <x v="123"/>
  </r>
  <r>
    <x v="11"/>
  </r>
  <r>
    <x v="10"/>
  </r>
  <r>
    <x v="4"/>
  </r>
  <r>
    <x v="10"/>
  </r>
  <r>
    <x v="14"/>
  </r>
  <r>
    <x v="10"/>
  </r>
  <r>
    <x v="48"/>
  </r>
  <r>
    <x v="10"/>
  </r>
  <r>
    <x v="10"/>
  </r>
  <r>
    <x v="4"/>
  </r>
  <r>
    <x v="10"/>
  </r>
  <r>
    <x v="10"/>
  </r>
  <r>
    <x v="4"/>
  </r>
  <r>
    <x v="4"/>
  </r>
  <r>
    <x v="3"/>
  </r>
  <r>
    <x v="10"/>
  </r>
  <r>
    <x v="10"/>
  </r>
  <r>
    <x v="10"/>
  </r>
  <r>
    <x v="25"/>
  </r>
  <r>
    <x v="25"/>
  </r>
  <r>
    <x v="25"/>
  </r>
  <r>
    <x v="4"/>
  </r>
  <r>
    <x v="4"/>
  </r>
  <r>
    <x v="4"/>
  </r>
  <r>
    <x v="4"/>
  </r>
  <r>
    <x v="4"/>
  </r>
  <r>
    <x v="165"/>
  </r>
  <r>
    <x v="4"/>
  </r>
  <r>
    <x v="165"/>
  </r>
  <r>
    <x v="4"/>
  </r>
  <r>
    <x v="16"/>
  </r>
  <r>
    <x v="4"/>
  </r>
  <r>
    <x v="165"/>
  </r>
  <r>
    <x v="165"/>
  </r>
  <r>
    <x v="165"/>
  </r>
  <r>
    <x v="10"/>
  </r>
  <r>
    <x v="51"/>
  </r>
  <r>
    <x v="51"/>
  </r>
  <r>
    <x v="0"/>
  </r>
  <r>
    <x v="4"/>
  </r>
  <r>
    <x v="9"/>
  </r>
  <r>
    <x v="14"/>
  </r>
  <r>
    <x v="10"/>
  </r>
  <r>
    <x v="71"/>
  </r>
  <r>
    <x v="123"/>
  </r>
  <r>
    <x v="24"/>
  </r>
  <r>
    <x v="4"/>
  </r>
  <r>
    <x v="4"/>
  </r>
  <r>
    <x v="4"/>
  </r>
  <r>
    <x v="240"/>
  </r>
  <r>
    <x v="240"/>
  </r>
  <r>
    <x v="10"/>
  </r>
  <r>
    <x v="130"/>
  </r>
  <r>
    <x v="138"/>
  </r>
  <r>
    <x v="81"/>
  </r>
  <r>
    <x v="81"/>
  </r>
  <r>
    <x v="10"/>
  </r>
  <r>
    <x v="10"/>
  </r>
  <r>
    <x v="24"/>
  </r>
  <r>
    <x v="24"/>
  </r>
  <r>
    <x v="24"/>
  </r>
  <r>
    <x v="24"/>
  </r>
  <r>
    <x v="4"/>
  </r>
  <r>
    <x v="24"/>
  </r>
  <r>
    <x v="4"/>
  </r>
  <r>
    <x v="10"/>
  </r>
  <r>
    <x v="4"/>
  </r>
  <r>
    <x v="34"/>
  </r>
  <r>
    <x v="4"/>
  </r>
  <r>
    <x v="4"/>
  </r>
  <r>
    <x v="10"/>
  </r>
  <r>
    <x v="4"/>
  </r>
  <r>
    <x v="108"/>
  </r>
  <r>
    <x v="12"/>
  </r>
  <r>
    <x v="80"/>
  </r>
  <r>
    <x v="188"/>
  </r>
  <r>
    <x v="22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7"/>
  </r>
  <r>
    <x v="10"/>
  </r>
  <r>
    <x v="165"/>
  </r>
  <r>
    <x v="10"/>
  </r>
  <r>
    <x v="51"/>
  </r>
  <r>
    <x v="4"/>
  </r>
  <r>
    <x v="4"/>
  </r>
  <r>
    <x v="77"/>
  </r>
  <r>
    <x v="51"/>
  </r>
  <r>
    <x v="51"/>
  </r>
  <r>
    <x v="205"/>
  </r>
  <r>
    <x v="10"/>
  </r>
  <r>
    <x v="12"/>
  </r>
  <r>
    <x v="56"/>
  </r>
  <r>
    <x v="56"/>
  </r>
  <r>
    <x v="56"/>
  </r>
  <r>
    <x v="56"/>
  </r>
  <r>
    <x v="4"/>
  </r>
  <r>
    <x v="10"/>
  </r>
  <r>
    <x v="10"/>
  </r>
  <r>
    <x v="10"/>
  </r>
  <r>
    <x v="10"/>
  </r>
  <r>
    <x v="10"/>
  </r>
  <r>
    <x v="77"/>
  </r>
  <r>
    <x v="10"/>
  </r>
  <r>
    <x v="31"/>
  </r>
  <r>
    <x v="6"/>
  </r>
  <r>
    <x v="183"/>
  </r>
  <r>
    <x v="21"/>
  </r>
  <r>
    <x v="152"/>
  </r>
  <r>
    <x v="152"/>
  </r>
  <r>
    <x v="152"/>
  </r>
  <r>
    <x v="152"/>
  </r>
  <r>
    <x v="152"/>
  </r>
  <r>
    <x v="165"/>
  </r>
  <r>
    <x v="2"/>
  </r>
  <r>
    <x v="130"/>
  </r>
  <r>
    <x v="10"/>
  </r>
  <r>
    <x v="10"/>
  </r>
  <r>
    <x v="71"/>
  </r>
  <r>
    <x v="10"/>
  </r>
  <r>
    <x v="126"/>
  </r>
  <r>
    <x v="24"/>
  </r>
  <r>
    <x v="1"/>
  </r>
  <r>
    <x v="9"/>
  </r>
  <r>
    <x v="76"/>
  </r>
  <r>
    <x v="9"/>
  </r>
  <r>
    <x v="138"/>
  </r>
  <r>
    <x v="50"/>
  </r>
  <r>
    <x v="10"/>
  </r>
  <r>
    <x v="57"/>
  </r>
  <r>
    <x v="57"/>
  </r>
  <r>
    <x v="72"/>
  </r>
  <r>
    <x v="83"/>
  </r>
  <r>
    <x v="352"/>
  </r>
  <r>
    <x v="4"/>
  </r>
  <r>
    <x v="1"/>
  </r>
  <r>
    <x v="1"/>
  </r>
  <r>
    <x v="10"/>
  </r>
  <r>
    <x v="0"/>
  </r>
  <r>
    <x v="10"/>
  </r>
  <r>
    <x v="4"/>
  </r>
  <r>
    <x v="4"/>
  </r>
  <r>
    <x v="123"/>
  </r>
  <r>
    <x v="28"/>
  </r>
  <r>
    <x v="4"/>
  </r>
  <r>
    <x v="4"/>
  </r>
  <r>
    <x v="4"/>
  </r>
  <r>
    <x v="4"/>
  </r>
  <r>
    <x v="272"/>
  </r>
  <r>
    <x v="4"/>
  </r>
  <r>
    <x v="4"/>
  </r>
  <r>
    <x v="16"/>
  </r>
  <r>
    <x v="87"/>
  </r>
  <r>
    <x v="4"/>
  </r>
  <r>
    <x v="4"/>
  </r>
  <r>
    <x v="9"/>
  </r>
  <r>
    <x v="115"/>
  </r>
  <r>
    <x v="4"/>
  </r>
  <r>
    <x v="25"/>
  </r>
  <r>
    <x v="165"/>
  </r>
  <r>
    <x v="165"/>
  </r>
  <r>
    <x v="12"/>
  </r>
  <r>
    <x v="165"/>
  </r>
  <r>
    <x v="146"/>
  </r>
  <r>
    <x v="16"/>
  </r>
  <r>
    <x v="146"/>
  </r>
  <r>
    <x v="51"/>
  </r>
  <r>
    <x v="51"/>
  </r>
  <r>
    <x v="10"/>
  </r>
  <r>
    <x v="146"/>
  </r>
  <r>
    <x v="146"/>
  </r>
  <r>
    <x v="146"/>
  </r>
  <r>
    <x v="51"/>
  </r>
  <r>
    <x v="146"/>
  </r>
  <r>
    <x v="146"/>
  </r>
  <r>
    <x v="146"/>
  </r>
  <r>
    <x v="146"/>
  </r>
  <r>
    <x v="146"/>
  </r>
  <r>
    <x v="146"/>
  </r>
  <r>
    <x v="51"/>
  </r>
  <r>
    <x v="51"/>
  </r>
  <r>
    <x v="51"/>
  </r>
  <r>
    <x v="51"/>
  </r>
  <r>
    <x v="146"/>
  </r>
  <r>
    <x v="146"/>
  </r>
  <r>
    <x v="12"/>
  </r>
  <r>
    <x v="12"/>
  </r>
  <r>
    <x v="12"/>
  </r>
  <r>
    <x v="42"/>
  </r>
  <r>
    <x v="9"/>
  </r>
  <r>
    <x v="81"/>
  </r>
  <r>
    <x v="10"/>
  </r>
  <r>
    <x v="4"/>
  </r>
  <r>
    <x v="10"/>
  </r>
  <r>
    <x v="14"/>
  </r>
  <r>
    <x v="12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10"/>
  </r>
  <r>
    <x v="138"/>
  </r>
  <r>
    <x v="1"/>
  </r>
  <r>
    <x v="2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4"/>
  </r>
  <r>
    <x v="165"/>
  </r>
  <r>
    <x v="10"/>
  </r>
  <r>
    <x v="123"/>
  </r>
  <r>
    <x v="123"/>
  </r>
  <r>
    <x v="123"/>
  </r>
  <r>
    <x v="123"/>
  </r>
  <r>
    <x v="123"/>
  </r>
  <r>
    <x v="15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81"/>
  </r>
  <r>
    <x v="10"/>
  </r>
  <r>
    <x v="4"/>
  </r>
  <r>
    <x v="24"/>
  </r>
  <r>
    <x v="24"/>
  </r>
  <r>
    <x v="24"/>
  </r>
  <r>
    <x v="24"/>
  </r>
  <r>
    <x v="24"/>
  </r>
  <r>
    <x v="138"/>
  </r>
  <r>
    <x v="138"/>
  </r>
  <r>
    <x v="24"/>
  </r>
  <r>
    <x v="24"/>
  </r>
  <r>
    <x v="24"/>
  </r>
  <r>
    <x v="24"/>
  </r>
  <r>
    <x v="24"/>
  </r>
  <r>
    <x v="24"/>
  </r>
  <r>
    <x v="24"/>
  </r>
  <r>
    <x v="24"/>
  </r>
  <r>
    <x v="165"/>
  </r>
  <r>
    <x v="12"/>
  </r>
  <r>
    <x v="123"/>
  </r>
  <r>
    <x v="12"/>
  </r>
  <r>
    <x v="4"/>
  </r>
  <r>
    <x v="10"/>
  </r>
  <r>
    <x v="21"/>
  </r>
  <r>
    <x v="86"/>
  </r>
  <r>
    <x v="244"/>
  </r>
  <r>
    <x v="4"/>
  </r>
  <r>
    <x v="4"/>
  </r>
  <r>
    <x v="16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36"/>
  </r>
  <r>
    <x v="36"/>
  </r>
  <r>
    <x v="36"/>
  </r>
  <r>
    <x v="36"/>
  </r>
  <r>
    <x v="16"/>
  </r>
  <r>
    <x v="36"/>
  </r>
  <r>
    <x v="36"/>
  </r>
  <r>
    <x v="77"/>
  </r>
  <r>
    <x v="7"/>
  </r>
  <r>
    <x v="7"/>
  </r>
  <r>
    <x v="42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68"/>
  </r>
  <r>
    <x v="61"/>
  </r>
  <r>
    <x v="4"/>
  </r>
  <r>
    <x v="41"/>
  </r>
  <r>
    <x v="11"/>
  </r>
  <r>
    <x v="4"/>
  </r>
  <r>
    <x v="4"/>
  </r>
  <r>
    <x v="4"/>
  </r>
  <r>
    <x v="183"/>
  </r>
  <r>
    <x v="183"/>
  </r>
  <r>
    <x v="24"/>
  </r>
  <r>
    <x v="77"/>
  </r>
  <r>
    <x v="152"/>
  </r>
  <r>
    <x v="154"/>
  </r>
  <r>
    <x v="71"/>
  </r>
  <r>
    <x v="77"/>
  </r>
  <r>
    <x v="77"/>
  </r>
  <r>
    <x v="77"/>
  </r>
  <r>
    <x v="77"/>
  </r>
  <r>
    <x v="3"/>
  </r>
  <r>
    <x v="4"/>
  </r>
  <r>
    <x v="138"/>
  </r>
  <r>
    <x v="77"/>
  </r>
  <r>
    <x v="77"/>
  </r>
  <r>
    <x v="77"/>
  </r>
  <r>
    <x v="4"/>
  </r>
  <r>
    <x v="39"/>
  </r>
  <r>
    <x v="115"/>
  </r>
  <r>
    <x v="115"/>
  </r>
  <r>
    <x v="115"/>
  </r>
  <r>
    <x v="115"/>
  </r>
  <r>
    <x v="115"/>
  </r>
  <r>
    <x v="115"/>
  </r>
  <r>
    <x v="10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0"/>
  </r>
  <r>
    <x v="0"/>
  </r>
  <r>
    <x v="33"/>
  </r>
  <r>
    <x v="28"/>
  </r>
  <r>
    <x v="31"/>
  </r>
  <r>
    <x v="21"/>
  </r>
  <r>
    <x v="31"/>
  </r>
  <r>
    <x v="31"/>
  </r>
  <r>
    <x v="21"/>
  </r>
  <r>
    <x v="12"/>
  </r>
  <r>
    <x v="21"/>
  </r>
  <r>
    <x v="31"/>
  </r>
  <r>
    <x v="123"/>
  </r>
  <r>
    <x v="12"/>
  </r>
  <r>
    <x v="4"/>
  </r>
  <r>
    <x v="48"/>
  </r>
  <r>
    <x v="14"/>
  </r>
  <r>
    <x v="71"/>
  </r>
  <r>
    <x v="126"/>
  </r>
  <r>
    <x v="11"/>
  </r>
  <r>
    <x v="87"/>
  </r>
  <r>
    <x v="4"/>
  </r>
  <r>
    <x v="15"/>
  </r>
  <r>
    <x v="17"/>
  </r>
  <r>
    <x v="10"/>
  </r>
  <r>
    <x v="27"/>
  </r>
  <r>
    <x v="10"/>
  </r>
  <r>
    <x v="72"/>
  </r>
  <r>
    <x v="131"/>
  </r>
  <r>
    <x v="52"/>
  </r>
  <r>
    <x v="9"/>
  </r>
  <r>
    <x v="126"/>
  </r>
  <r>
    <x v="10"/>
  </r>
  <r>
    <x v="4"/>
  </r>
  <r>
    <x v="4"/>
  </r>
  <r>
    <x v="4"/>
  </r>
  <r>
    <x v="4"/>
  </r>
  <r>
    <x v="12"/>
  </r>
  <r>
    <x v="12"/>
  </r>
  <r>
    <x v="27"/>
  </r>
  <r>
    <x v="27"/>
  </r>
  <r>
    <x v="27"/>
  </r>
  <r>
    <x v="27"/>
  </r>
  <r>
    <x v="113"/>
  </r>
  <r>
    <x v="138"/>
  </r>
  <r>
    <x v="138"/>
  </r>
  <r>
    <x v="138"/>
  </r>
  <r>
    <x v="24"/>
  </r>
  <r>
    <x v="138"/>
  </r>
  <r>
    <x v="165"/>
  </r>
  <r>
    <x v="12"/>
  </r>
  <r>
    <x v="4"/>
  </r>
  <r>
    <x v="138"/>
  </r>
  <r>
    <x v="80"/>
  </r>
  <r>
    <x v="12"/>
  </r>
  <r>
    <x v="12"/>
  </r>
  <r>
    <x v="12"/>
  </r>
  <r>
    <x v="0"/>
  </r>
  <r>
    <x v="138"/>
  </r>
  <r>
    <x v="138"/>
  </r>
  <r>
    <x v="9"/>
  </r>
  <r>
    <x v="4"/>
  </r>
  <r>
    <x v="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1"/>
  </r>
  <r>
    <x v="10"/>
  </r>
  <r>
    <x v="10"/>
  </r>
  <r>
    <x v="10"/>
  </r>
  <r>
    <x v="10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28"/>
  </r>
  <r>
    <x v="28"/>
  </r>
  <r>
    <x v="28"/>
  </r>
  <r>
    <x v="3"/>
  </r>
  <r>
    <x v="22"/>
  </r>
  <r>
    <x v="22"/>
  </r>
  <r>
    <x v="22"/>
  </r>
  <r>
    <x v="22"/>
  </r>
  <r>
    <x v="22"/>
  </r>
  <r>
    <x v="7"/>
  </r>
  <r>
    <x v="22"/>
  </r>
  <r>
    <x v="22"/>
  </r>
  <r>
    <x v="22"/>
  </r>
  <r>
    <x v="22"/>
  </r>
  <r>
    <x v="7"/>
  </r>
  <r>
    <x v="99"/>
  </r>
  <r>
    <x v="7"/>
  </r>
  <r>
    <x v="28"/>
  </r>
  <r>
    <x v="28"/>
  </r>
  <r>
    <x v="22"/>
  </r>
  <r>
    <x v="4"/>
  </r>
  <r>
    <x v="71"/>
  </r>
  <r>
    <x v="71"/>
  </r>
  <r>
    <x v="57"/>
  </r>
  <r>
    <x v="14"/>
  </r>
  <r>
    <x v="10"/>
  </r>
  <r>
    <x v="14"/>
  </r>
  <r>
    <x v="53"/>
  </r>
  <r>
    <x v="14"/>
  </r>
  <r>
    <x v="14"/>
  </r>
  <r>
    <x v="4"/>
  </r>
  <r>
    <x v="86"/>
  </r>
  <r>
    <x v="86"/>
  </r>
  <r>
    <x v="1"/>
  </r>
  <r>
    <x v="42"/>
  </r>
  <r>
    <x v="78"/>
  </r>
  <r>
    <x v="78"/>
  </r>
  <r>
    <x v="78"/>
  </r>
  <r>
    <x v="78"/>
  </r>
  <r>
    <x v="78"/>
  </r>
  <r>
    <x v="196"/>
  </r>
  <r>
    <x v="196"/>
  </r>
  <r>
    <x v="196"/>
  </r>
  <r>
    <x v="71"/>
  </r>
  <r>
    <x v="12"/>
  </r>
  <r>
    <x v="56"/>
  </r>
  <r>
    <x v="12"/>
  </r>
  <r>
    <x v="12"/>
  </r>
  <r>
    <x v="40"/>
  </r>
  <r>
    <x v="40"/>
  </r>
  <r>
    <x v="76"/>
  </r>
  <r>
    <x v="4"/>
  </r>
  <r>
    <x v="28"/>
  </r>
  <r>
    <x v="122"/>
  </r>
  <r>
    <x v="57"/>
  </r>
  <r>
    <x v="44"/>
  </r>
  <r>
    <x v="56"/>
  </r>
  <r>
    <x v="10"/>
  </r>
  <r>
    <x v="56"/>
  </r>
  <r>
    <x v="10"/>
  </r>
  <r>
    <x v="56"/>
  </r>
  <r>
    <x v="10"/>
  </r>
  <r>
    <x v="10"/>
  </r>
  <r>
    <x v="10"/>
  </r>
  <r>
    <x v="175"/>
  </r>
  <r>
    <x v="175"/>
  </r>
  <r>
    <x v="175"/>
  </r>
  <r>
    <x v="175"/>
  </r>
  <r>
    <x v="175"/>
  </r>
  <r>
    <x v="175"/>
  </r>
  <r>
    <x v="7"/>
  </r>
  <r>
    <x v="4"/>
  </r>
  <r>
    <x v="7"/>
  </r>
  <r>
    <x v="30"/>
  </r>
  <r>
    <x v="4"/>
  </r>
  <r>
    <x v="76"/>
  </r>
  <r>
    <x v="10"/>
  </r>
  <r>
    <x v="199"/>
  </r>
  <r>
    <x v="17"/>
  </r>
  <r>
    <x v="56"/>
  </r>
  <r>
    <x v="56"/>
  </r>
  <r>
    <x v="56"/>
  </r>
  <r>
    <x v="48"/>
  </r>
  <r>
    <x v="78"/>
  </r>
  <r>
    <x v="78"/>
  </r>
  <r>
    <x v="78"/>
  </r>
  <r>
    <x v="22"/>
  </r>
  <r>
    <x v="165"/>
  </r>
  <r>
    <x v="0"/>
  </r>
  <r>
    <x v="4"/>
  </r>
  <r>
    <x v="4"/>
  </r>
  <r>
    <x v="77"/>
  </r>
  <r>
    <x v="77"/>
  </r>
  <r>
    <x v="4"/>
  </r>
  <r>
    <x v="42"/>
  </r>
  <r>
    <x v="1"/>
  </r>
  <r>
    <x v="9"/>
  </r>
  <r>
    <x v="42"/>
  </r>
  <r>
    <x v="165"/>
  </r>
  <r>
    <x v="123"/>
  </r>
  <r>
    <x v="123"/>
  </r>
  <r>
    <x v="0"/>
  </r>
  <r>
    <x v="0"/>
  </r>
  <r>
    <x v="123"/>
  </r>
  <r>
    <x v="123"/>
  </r>
  <r>
    <x v="123"/>
  </r>
  <r>
    <x v="22"/>
  </r>
  <r>
    <x v="22"/>
  </r>
  <r>
    <x v="0"/>
  </r>
  <r>
    <x v="0"/>
  </r>
  <r>
    <x v="12"/>
  </r>
  <r>
    <x v="162"/>
  </r>
  <r>
    <x v="87"/>
  </r>
  <r>
    <x v="78"/>
  </r>
  <r>
    <x v="87"/>
  </r>
  <r>
    <x v="87"/>
  </r>
  <r>
    <x v="10"/>
  </r>
  <r>
    <x v="29"/>
  </r>
  <r>
    <x v="87"/>
  </r>
  <r>
    <x v="87"/>
  </r>
  <r>
    <x v="87"/>
  </r>
  <r>
    <x v="72"/>
  </r>
  <r>
    <x v="87"/>
  </r>
  <r>
    <x v="87"/>
  </r>
  <r>
    <x v="10"/>
  </r>
  <r>
    <x v="4"/>
  </r>
  <r>
    <x v="10"/>
  </r>
  <r>
    <x v="115"/>
  </r>
  <r>
    <x v="115"/>
  </r>
  <r>
    <x v="115"/>
  </r>
  <r>
    <x v="86"/>
  </r>
  <r>
    <x v="4"/>
  </r>
  <r>
    <x v="4"/>
  </r>
  <r>
    <x v="10"/>
  </r>
  <r>
    <x v="114"/>
  </r>
  <r>
    <x v="10"/>
  </r>
  <r>
    <x v="31"/>
  </r>
  <r>
    <x v="31"/>
  </r>
  <r>
    <x v="31"/>
  </r>
  <r>
    <x v="53"/>
  </r>
  <r>
    <x v="15"/>
  </r>
  <r>
    <x v="162"/>
  </r>
  <r>
    <x v="4"/>
  </r>
  <r>
    <x v="162"/>
  </r>
  <r>
    <x v="10"/>
  </r>
  <r>
    <x v="36"/>
  </r>
  <r>
    <x v="0"/>
  </r>
  <r>
    <x v="53"/>
  </r>
  <r>
    <x v="81"/>
  </r>
  <r>
    <x v="193"/>
  </r>
  <r>
    <x v="138"/>
  </r>
  <r>
    <x v="14"/>
  </r>
  <r>
    <x v="0"/>
  </r>
  <r>
    <x v="53"/>
  </r>
  <r>
    <x v="0"/>
  </r>
  <r>
    <x v="0"/>
  </r>
  <r>
    <x v="0"/>
  </r>
  <r>
    <x v="0"/>
  </r>
  <r>
    <x v="0"/>
  </r>
  <r>
    <x v="45"/>
  </r>
  <r>
    <x v="45"/>
  </r>
  <r>
    <x v="53"/>
  </r>
  <r>
    <x v="87"/>
  </r>
  <r>
    <x v="190"/>
  </r>
  <r>
    <x v="87"/>
  </r>
  <r>
    <x v="10"/>
  </r>
  <r>
    <x v="10"/>
  </r>
  <r>
    <x v="10"/>
  </r>
  <r>
    <x v="12"/>
  </r>
  <r>
    <x v="12"/>
  </r>
  <r>
    <x v="12"/>
  </r>
  <r>
    <x v="12"/>
  </r>
  <r>
    <x v="12"/>
  </r>
  <r>
    <x v="12"/>
  </r>
  <r>
    <x v="24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0"/>
  </r>
  <r>
    <x v="29"/>
  </r>
  <r>
    <x v="64"/>
  </r>
  <r>
    <x v="113"/>
  </r>
  <r>
    <x v="4"/>
  </r>
  <r>
    <x v="14"/>
  </r>
  <r>
    <x v="87"/>
  </r>
  <r>
    <x v="87"/>
  </r>
  <r>
    <x v="7"/>
  </r>
  <r>
    <x v="114"/>
  </r>
  <r>
    <x v="7"/>
  </r>
  <r>
    <x v="7"/>
  </r>
  <r>
    <x v="287"/>
  </r>
  <r>
    <x v="287"/>
  </r>
  <r>
    <x v="19"/>
  </r>
  <r>
    <x v="188"/>
  </r>
  <r>
    <x v="7"/>
  </r>
  <r>
    <x v="7"/>
  </r>
  <r>
    <x v="7"/>
  </r>
  <r>
    <x v="7"/>
  </r>
  <r>
    <x v="7"/>
  </r>
  <r>
    <x v="114"/>
  </r>
  <r>
    <x v="7"/>
  </r>
  <r>
    <x v="81"/>
  </r>
  <r>
    <x v="81"/>
  </r>
  <r>
    <x v="11"/>
  </r>
  <r>
    <x v="7"/>
  </r>
  <r>
    <x v="7"/>
  </r>
  <r>
    <x v="63"/>
  </r>
  <r>
    <x v="63"/>
  </r>
  <r>
    <x v="63"/>
  </r>
  <r>
    <x v="63"/>
  </r>
  <r>
    <x v="4"/>
  </r>
  <r>
    <x v="0"/>
  </r>
  <r>
    <x v="76"/>
  </r>
  <r>
    <x v="10"/>
  </r>
  <r>
    <x v="10"/>
  </r>
  <r>
    <x v="175"/>
  </r>
  <r>
    <x v="28"/>
  </r>
  <r>
    <x v="21"/>
  </r>
  <r>
    <x v="6"/>
  </r>
  <r>
    <x v="4"/>
  </r>
  <r>
    <x v="12"/>
  </r>
  <r>
    <x v="79"/>
  </r>
  <r>
    <x v="12"/>
  </r>
  <r>
    <x v="12"/>
  </r>
  <r>
    <x v="12"/>
  </r>
  <r>
    <x v="79"/>
  </r>
  <r>
    <x v="12"/>
  </r>
  <r>
    <x v="12"/>
  </r>
  <r>
    <x v="12"/>
  </r>
  <r>
    <x v="10"/>
  </r>
  <r>
    <x v="10"/>
  </r>
  <r>
    <x v="10"/>
  </r>
  <r>
    <x v="77"/>
  </r>
  <r>
    <x v="10"/>
  </r>
  <r>
    <x v="0"/>
  </r>
  <r>
    <x v="0"/>
  </r>
  <r>
    <x v="12"/>
  </r>
  <r>
    <x v="0"/>
  </r>
  <r>
    <x v="0"/>
  </r>
  <r>
    <x v="42"/>
  </r>
  <r>
    <x v="77"/>
  </r>
  <r>
    <x v="2"/>
  </r>
  <r>
    <x v="138"/>
  </r>
  <r>
    <x v="152"/>
  </r>
  <r>
    <x v="0"/>
  </r>
  <r>
    <x v="6"/>
  </r>
  <r>
    <x v="6"/>
  </r>
  <r>
    <x v="80"/>
  </r>
  <r>
    <x v="10"/>
  </r>
  <r>
    <x v="10"/>
  </r>
  <r>
    <x v="10"/>
  </r>
  <r>
    <x v="14"/>
  </r>
  <r>
    <x v="29"/>
  </r>
  <r>
    <x v="10"/>
  </r>
  <r>
    <x v="10"/>
  </r>
  <r>
    <x v="10"/>
  </r>
  <r>
    <x v="4"/>
  </r>
  <r>
    <x v="138"/>
  </r>
  <r>
    <x v="12"/>
  </r>
  <r>
    <x v="42"/>
  </r>
  <r>
    <x v="42"/>
  </r>
  <r>
    <x v="42"/>
  </r>
  <r>
    <x v="10"/>
  </r>
  <r>
    <x v="276"/>
  </r>
  <r>
    <x v="10"/>
  </r>
  <r>
    <x v="12"/>
  </r>
  <r>
    <x v="12"/>
  </r>
  <r>
    <x v="10"/>
  </r>
  <r>
    <x v="4"/>
  </r>
  <r>
    <x v="4"/>
  </r>
  <r>
    <x v="12"/>
  </r>
  <r>
    <x v="4"/>
  </r>
  <r>
    <x v="4"/>
  </r>
  <r>
    <x v="10"/>
  </r>
  <r>
    <x v="4"/>
  </r>
  <r>
    <x v="115"/>
  </r>
  <r>
    <x v="71"/>
  </r>
  <r>
    <x v="21"/>
  </r>
  <r>
    <x v="4"/>
  </r>
  <r>
    <x v="57"/>
  </r>
  <r>
    <x v="22"/>
  </r>
  <r>
    <x v="6"/>
  </r>
  <r>
    <x v="57"/>
  </r>
  <r>
    <x v="57"/>
  </r>
  <r>
    <x v="57"/>
  </r>
  <r>
    <x v="57"/>
  </r>
  <r>
    <x v="57"/>
  </r>
  <r>
    <x v="22"/>
  </r>
  <r>
    <x v="22"/>
  </r>
  <r>
    <x v="57"/>
  </r>
  <r>
    <x v="57"/>
  </r>
  <r>
    <x v="12"/>
  </r>
  <r>
    <x v="22"/>
  </r>
  <r>
    <x v="12"/>
  </r>
  <r>
    <x v="12"/>
  </r>
  <r>
    <x v="22"/>
  </r>
  <r>
    <x v="22"/>
  </r>
  <r>
    <x v="22"/>
  </r>
  <r>
    <x v="22"/>
  </r>
  <r>
    <x v="22"/>
  </r>
  <r>
    <x v="14"/>
  </r>
  <r>
    <x v="12"/>
  </r>
  <r>
    <x v="14"/>
  </r>
  <r>
    <x v="42"/>
  </r>
  <r>
    <x v="131"/>
  </r>
  <r>
    <x v="78"/>
  </r>
  <r>
    <x v="22"/>
  </r>
  <r>
    <x v="22"/>
  </r>
  <r>
    <x v="2"/>
  </r>
  <r>
    <x v="2"/>
  </r>
  <r>
    <x v="22"/>
  </r>
  <r>
    <x v="22"/>
  </r>
  <r>
    <x v="22"/>
  </r>
  <r>
    <x v="42"/>
  </r>
  <r>
    <x v="14"/>
  </r>
  <r>
    <x v="211"/>
  </r>
  <r>
    <x v="28"/>
  </r>
  <r>
    <x v="28"/>
  </r>
  <r>
    <x v="28"/>
  </r>
  <r>
    <x v="42"/>
  </r>
  <r>
    <x v="42"/>
  </r>
  <r>
    <x v="130"/>
  </r>
  <r>
    <x v="14"/>
  </r>
  <r>
    <x v="24"/>
  </r>
  <r>
    <x v="53"/>
  </r>
  <r>
    <x v="53"/>
  </r>
  <r>
    <x v="53"/>
  </r>
  <r>
    <x v="53"/>
  </r>
  <r>
    <x v="37"/>
  </r>
  <r>
    <x v="37"/>
  </r>
  <r>
    <x v="24"/>
  </r>
  <r>
    <x v="123"/>
  </r>
  <r>
    <x v="12"/>
  </r>
  <r>
    <x v="24"/>
  </r>
  <r>
    <x v="53"/>
  </r>
  <r>
    <x v="53"/>
  </r>
  <r>
    <x v="131"/>
  </r>
  <r>
    <x v="71"/>
  </r>
  <r>
    <x v="7"/>
  </r>
  <r>
    <x v="10"/>
  </r>
  <r>
    <x v="10"/>
  </r>
  <r>
    <x v="45"/>
  </r>
  <r>
    <x v="71"/>
  </r>
  <r>
    <x v="68"/>
  </r>
  <r>
    <x v="71"/>
  </r>
  <r>
    <x v="71"/>
  </r>
  <r>
    <x v="24"/>
  </r>
  <r>
    <x v="7"/>
  </r>
  <r>
    <x v="8"/>
  </r>
  <r>
    <x v="53"/>
  </r>
  <r>
    <x v="147"/>
  </r>
  <r>
    <x v="37"/>
  </r>
  <r>
    <x v="144"/>
  </r>
  <r>
    <x v="68"/>
  </r>
  <r>
    <x v="24"/>
  </r>
  <r>
    <x v="14"/>
  </r>
  <r>
    <x v="14"/>
  </r>
  <r>
    <x v="14"/>
  </r>
  <r>
    <x v="14"/>
  </r>
  <r>
    <x v="14"/>
  </r>
  <r>
    <x v="57"/>
  </r>
  <r>
    <x v="14"/>
  </r>
  <r>
    <x v="71"/>
  </r>
  <r>
    <x v="57"/>
  </r>
  <r>
    <x v="64"/>
  </r>
  <r>
    <x v="14"/>
  </r>
  <r>
    <x v="37"/>
  </r>
  <r>
    <x v="37"/>
  </r>
  <r>
    <x v="14"/>
  </r>
  <r>
    <x v="0"/>
  </r>
  <r>
    <x v="12"/>
  </r>
  <r>
    <x v="9"/>
  </r>
  <r>
    <x v="21"/>
  </r>
  <r>
    <x v="25"/>
  </r>
  <r>
    <x v="123"/>
  </r>
  <r>
    <x v="28"/>
  </r>
  <r>
    <x v="0"/>
  </r>
  <r>
    <x v="0"/>
  </r>
  <r>
    <x v="14"/>
  </r>
  <r>
    <x v="14"/>
  </r>
  <r>
    <x v="9"/>
  </r>
  <r>
    <x v="143"/>
  </r>
  <r>
    <x v="8"/>
  </r>
  <r>
    <x v="14"/>
  </r>
  <r>
    <x v="19"/>
  </r>
  <r>
    <x v="16"/>
  </r>
  <r>
    <x v="10"/>
  </r>
  <r>
    <x v="19"/>
  </r>
  <r>
    <x v="211"/>
  </r>
  <r>
    <x v="211"/>
  </r>
  <r>
    <x v="211"/>
  </r>
  <r>
    <x v="211"/>
  </r>
  <r>
    <x v="71"/>
  </r>
  <r>
    <x v="8"/>
  </r>
  <r>
    <x v="166"/>
  </r>
  <r>
    <x v="43"/>
  </r>
  <r>
    <x v="14"/>
  </r>
  <r>
    <x v="7"/>
  </r>
  <r>
    <x v="23"/>
  </r>
  <r>
    <x v="64"/>
  </r>
  <r>
    <x v="37"/>
  </r>
  <r>
    <x v="19"/>
  </r>
  <r>
    <x v="24"/>
  </r>
  <r>
    <x v="29"/>
  </r>
  <r>
    <x v="54"/>
  </r>
  <r>
    <x v="1"/>
  </r>
  <r>
    <x v="1"/>
  </r>
  <r>
    <x v="37"/>
  </r>
  <r>
    <x v="141"/>
  </r>
  <r>
    <x v="12"/>
  </r>
  <r>
    <x v="81"/>
  </r>
  <r>
    <x v="64"/>
  </r>
  <r>
    <x v="64"/>
  </r>
  <r>
    <x v="64"/>
  </r>
  <r>
    <x v="42"/>
  </r>
  <r>
    <x v="71"/>
  </r>
  <r>
    <x v="14"/>
  </r>
  <r>
    <x v="45"/>
  </r>
  <r>
    <x v="1"/>
  </r>
  <r>
    <x v="141"/>
  </r>
  <r>
    <x v="131"/>
  </r>
  <r>
    <x v="141"/>
  </r>
  <r>
    <x v="12"/>
  </r>
  <r>
    <x v="7"/>
  </r>
  <r>
    <x v="142"/>
  </r>
  <r>
    <x v="144"/>
  </r>
  <r>
    <x v="42"/>
  </r>
  <r>
    <x v="12"/>
  </r>
  <r>
    <x v="86"/>
  </r>
  <r>
    <x v="86"/>
  </r>
  <r>
    <x v="12"/>
  </r>
  <r>
    <x v="10"/>
  </r>
  <r>
    <x v="59"/>
  </r>
  <r>
    <x v="152"/>
  </r>
  <r>
    <x v="43"/>
  </r>
  <r>
    <x v="22"/>
  </r>
  <r>
    <x v="22"/>
  </r>
  <r>
    <x v="22"/>
  </r>
  <r>
    <x v="22"/>
  </r>
  <r>
    <x v="4"/>
  </r>
  <r>
    <x v="48"/>
  </r>
  <r>
    <x v="25"/>
  </r>
  <r>
    <x v="28"/>
  </r>
  <r>
    <x v="1"/>
  </r>
  <r>
    <x v="14"/>
  </r>
  <r>
    <x v="68"/>
  </r>
  <r>
    <x v="68"/>
  </r>
  <r>
    <x v="130"/>
  </r>
  <r>
    <x v="130"/>
  </r>
  <r>
    <x v="24"/>
  </r>
  <r>
    <x v="24"/>
  </r>
  <r>
    <x v="68"/>
  </r>
  <r>
    <x v="68"/>
  </r>
  <r>
    <x v="68"/>
  </r>
  <r>
    <x v="68"/>
  </r>
  <r>
    <x v="68"/>
  </r>
  <r>
    <x v="64"/>
  </r>
  <r>
    <x v="22"/>
  </r>
  <r>
    <x v="7"/>
  </r>
  <r>
    <x v="24"/>
  </r>
  <r>
    <x v="76"/>
  </r>
  <r>
    <x v="76"/>
  </r>
  <r>
    <x v="48"/>
  </r>
  <r>
    <x v="14"/>
  </r>
  <r>
    <x v="16"/>
  </r>
  <r>
    <x v="16"/>
  </r>
  <r>
    <x v="16"/>
  </r>
  <r>
    <x v="57"/>
  </r>
  <r>
    <x v="131"/>
  </r>
  <r>
    <x v="14"/>
  </r>
  <r>
    <x v="16"/>
  </r>
  <r>
    <x v="14"/>
  </r>
  <r>
    <x v="14"/>
  </r>
  <r>
    <x v="16"/>
  </r>
  <r>
    <x v="14"/>
  </r>
  <r>
    <x v="16"/>
  </r>
  <r>
    <x v="14"/>
  </r>
  <r>
    <x v="16"/>
  </r>
  <r>
    <x v="42"/>
  </r>
  <r>
    <x v="0"/>
  </r>
  <r>
    <x v="79"/>
  </r>
  <r>
    <x v="48"/>
  </r>
  <r>
    <x v="20"/>
  </r>
  <r>
    <x v="17"/>
  </r>
  <r>
    <x v="62"/>
  </r>
  <r>
    <x v="36"/>
  </r>
  <r>
    <x v="36"/>
  </r>
  <r>
    <x v="36"/>
  </r>
  <r>
    <x v="36"/>
  </r>
  <r>
    <x v="46"/>
  </r>
  <r>
    <x v="63"/>
  </r>
  <r>
    <x v="16"/>
  </r>
  <r>
    <x v="16"/>
  </r>
  <r>
    <x v="48"/>
  </r>
  <r>
    <x v="12"/>
  </r>
  <r>
    <x v="0"/>
  </r>
  <r>
    <x v="0"/>
  </r>
  <r>
    <x v="0"/>
  </r>
  <r>
    <x v="0"/>
  </r>
  <r>
    <x v="126"/>
  </r>
  <r>
    <x v="81"/>
  </r>
  <r>
    <x v="81"/>
  </r>
  <r>
    <x v="81"/>
  </r>
  <r>
    <x v="81"/>
  </r>
  <r>
    <x v="12"/>
  </r>
  <r>
    <x v="72"/>
  </r>
  <r>
    <x v="63"/>
  </r>
  <r>
    <x v="16"/>
  </r>
  <r>
    <x v="10"/>
  </r>
  <r>
    <x v="12"/>
  </r>
  <r>
    <x v="12"/>
  </r>
  <r>
    <x v="12"/>
  </r>
  <r>
    <x v="122"/>
  </r>
  <r>
    <x v="42"/>
  </r>
  <r>
    <x v="76"/>
  </r>
  <r>
    <x v="45"/>
  </r>
  <r>
    <x v="1"/>
  </r>
  <r>
    <x v="1"/>
  </r>
  <r>
    <x v="1"/>
  </r>
  <r>
    <x v="1"/>
  </r>
  <r>
    <x v="1"/>
  </r>
  <r>
    <x v="1"/>
  </r>
  <r>
    <x v="1"/>
  </r>
  <r>
    <x v="86"/>
  </r>
  <r>
    <x v="86"/>
  </r>
  <r>
    <x v="86"/>
  </r>
  <r>
    <x v="86"/>
  </r>
  <r>
    <x v="86"/>
  </r>
  <r>
    <x v="86"/>
  </r>
  <r>
    <x v="86"/>
  </r>
  <r>
    <x v="86"/>
  </r>
  <r>
    <x v="86"/>
  </r>
  <r>
    <x v="1"/>
  </r>
  <r>
    <x v="0"/>
  </r>
  <r>
    <x v="100"/>
  </r>
  <r>
    <x v="0"/>
  </r>
  <r>
    <x v="0"/>
  </r>
  <r>
    <x v="0"/>
  </r>
  <r>
    <x v="37"/>
  </r>
  <r>
    <x v="37"/>
  </r>
  <r>
    <x v="37"/>
  </r>
  <r>
    <x v="37"/>
  </r>
  <r>
    <x v="37"/>
  </r>
  <r>
    <x v="37"/>
  </r>
  <r>
    <x v="12"/>
  </r>
  <r>
    <x v="71"/>
  </r>
  <r>
    <x v="52"/>
  </r>
  <r>
    <x v="12"/>
  </r>
  <r>
    <x v="43"/>
  </r>
  <r>
    <x v="4"/>
  </r>
  <r>
    <x v="111"/>
  </r>
  <r>
    <x v="4"/>
  </r>
  <r>
    <x v="57"/>
  </r>
  <r>
    <x v="57"/>
  </r>
  <r>
    <x v="4"/>
  </r>
  <r>
    <x v="4"/>
  </r>
  <r>
    <x v="71"/>
  </r>
  <r>
    <x v="71"/>
  </r>
  <r>
    <x v="71"/>
  </r>
  <r>
    <x v="71"/>
  </r>
  <r>
    <x v="16"/>
  </r>
  <r>
    <x v="16"/>
  </r>
  <r>
    <x v="63"/>
  </r>
  <r>
    <x v="16"/>
  </r>
  <r>
    <x v="16"/>
  </r>
  <r>
    <x v="16"/>
  </r>
  <r>
    <x v="57"/>
  </r>
  <r>
    <x v="4"/>
  </r>
  <r>
    <x v="144"/>
  </r>
  <r>
    <x v="8"/>
  </r>
  <r>
    <x v="8"/>
  </r>
  <r>
    <x v="8"/>
  </r>
  <r>
    <x v="8"/>
  </r>
  <r>
    <x v="8"/>
  </r>
  <r>
    <x v="8"/>
  </r>
  <r>
    <x v="56"/>
  </r>
  <r>
    <x v="56"/>
  </r>
  <r>
    <x v="56"/>
  </r>
  <r>
    <x v="64"/>
  </r>
  <r>
    <x v="64"/>
  </r>
  <r>
    <x v="64"/>
  </r>
  <r>
    <x v="64"/>
  </r>
  <r>
    <x v="64"/>
  </r>
  <r>
    <x v="27"/>
  </r>
  <r>
    <x v="27"/>
  </r>
  <r>
    <x v="27"/>
  </r>
  <r>
    <x v="16"/>
  </r>
  <r>
    <x v="16"/>
  </r>
  <r>
    <x v="48"/>
  </r>
  <r>
    <x v="7"/>
  </r>
  <r>
    <x v="11"/>
  </r>
  <r>
    <x v="144"/>
  </r>
  <r>
    <x v="11"/>
  </r>
  <r>
    <x v="144"/>
  </r>
  <r>
    <x v="11"/>
  </r>
  <r>
    <x v="57"/>
  </r>
  <r>
    <x v="10"/>
  </r>
  <r>
    <x v="19"/>
  </r>
  <r>
    <x v="19"/>
  </r>
  <r>
    <x v="19"/>
  </r>
  <r>
    <x v="19"/>
  </r>
  <r>
    <x v="19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27"/>
  </r>
  <r>
    <x v="27"/>
  </r>
  <r>
    <x v="10"/>
  </r>
  <r>
    <x v="162"/>
  </r>
  <r>
    <x v="31"/>
  </r>
  <r>
    <x v="162"/>
  </r>
  <r>
    <x v="31"/>
  </r>
  <r>
    <x v="162"/>
  </r>
  <r>
    <x v="31"/>
  </r>
  <r>
    <x v="31"/>
  </r>
  <r>
    <x v="16"/>
  </r>
  <r>
    <x v="16"/>
  </r>
  <r>
    <x v="16"/>
  </r>
  <r>
    <x v="16"/>
  </r>
  <r>
    <x v="16"/>
  </r>
  <r>
    <x v="16"/>
  </r>
  <r>
    <x v="76"/>
  </r>
  <r>
    <x v="12"/>
  </r>
  <r>
    <x v="42"/>
  </r>
  <r>
    <x v="42"/>
  </r>
  <r>
    <x v="4"/>
  </r>
  <r>
    <x v="42"/>
  </r>
  <r>
    <x v="10"/>
  </r>
  <r>
    <x v="16"/>
  </r>
  <r>
    <x v="16"/>
  </r>
  <r>
    <x v="16"/>
  </r>
  <r>
    <x v="16"/>
  </r>
  <r>
    <x v="16"/>
  </r>
  <r>
    <x v="17"/>
  </r>
  <r>
    <x v="19"/>
  </r>
  <r>
    <x v="16"/>
  </r>
  <r>
    <x v="42"/>
  </r>
  <r>
    <x v="19"/>
  </r>
  <r>
    <x v="19"/>
  </r>
  <r>
    <x v="19"/>
  </r>
  <r>
    <x v="19"/>
  </r>
  <r>
    <x v="19"/>
  </r>
  <r>
    <x v="16"/>
  </r>
  <r>
    <x v="31"/>
  </r>
  <r>
    <x v="19"/>
  </r>
  <r>
    <x v="19"/>
  </r>
  <r>
    <x v="42"/>
  </r>
  <r>
    <x v="42"/>
  </r>
  <r>
    <x v="37"/>
  </r>
  <r>
    <x v="42"/>
  </r>
  <r>
    <x v="42"/>
  </r>
  <r>
    <x v="31"/>
  </r>
  <r>
    <x v="11"/>
  </r>
  <r>
    <x v="1"/>
  </r>
  <r>
    <x v="143"/>
  </r>
  <r>
    <x v="141"/>
  </r>
  <r>
    <x v="141"/>
  </r>
  <r>
    <x v="4"/>
  </r>
  <r>
    <x v="28"/>
  </r>
  <r>
    <x v="28"/>
  </r>
  <r>
    <x v="83"/>
  </r>
  <r>
    <x v="24"/>
  </r>
  <r>
    <x v="57"/>
  </r>
  <r>
    <x v="12"/>
  </r>
  <r>
    <x v="12"/>
  </r>
  <r>
    <x v="4"/>
  </r>
  <r>
    <x v="4"/>
  </r>
  <r>
    <x v="4"/>
  </r>
  <r>
    <x v="76"/>
  </r>
  <r>
    <x v="28"/>
  </r>
  <r>
    <x v="118"/>
  </r>
  <r>
    <x v="141"/>
  </r>
  <r>
    <x v="141"/>
  </r>
  <r>
    <x v="143"/>
  </r>
  <r>
    <x v="71"/>
  </r>
  <r>
    <x v="71"/>
  </r>
  <r>
    <x v="37"/>
  </r>
  <r>
    <x v="24"/>
  </r>
  <r>
    <x v="24"/>
  </r>
  <r>
    <x v="57"/>
  </r>
  <r>
    <x v="152"/>
  </r>
  <r>
    <x v="19"/>
  </r>
  <r>
    <x v="7"/>
  </r>
  <r>
    <x v="21"/>
  </r>
  <r>
    <x v="7"/>
  </r>
  <r>
    <x v="7"/>
  </r>
  <r>
    <x v="7"/>
  </r>
  <r>
    <x v="7"/>
  </r>
  <r>
    <x v="7"/>
  </r>
  <r>
    <x v="7"/>
  </r>
  <r>
    <x v="115"/>
  </r>
  <r>
    <x v="12"/>
  </r>
  <r>
    <x v="12"/>
  </r>
  <r>
    <x v="0"/>
  </r>
  <r>
    <x v="21"/>
  </r>
  <r>
    <x v="115"/>
  </r>
  <r>
    <x v="115"/>
  </r>
  <r>
    <x v="31"/>
  </r>
  <r>
    <x v="135"/>
  </r>
  <r>
    <x v="16"/>
  </r>
  <r>
    <x v="12"/>
  </r>
  <r>
    <x v="21"/>
  </r>
  <r>
    <x v="11"/>
  </r>
  <r>
    <x v="19"/>
  </r>
  <r>
    <x v="24"/>
  </r>
  <r>
    <x v="24"/>
  </r>
  <r>
    <x v="24"/>
  </r>
  <r>
    <x v="24"/>
  </r>
  <r>
    <x v="10"/>
  </r>
  <r>
    <x v="11"/>
  </r>
  <r>
    <x v="17"/>
  </r>
  <r>
    <x v="0"/>
  </r>
  <r>
    <x v="0"/>
  </r>
  <r>
    <x v="7"/>
  </r>
  <r>
    <x v="55"/>
  </r>
  <r>
    <x v="24"/>
  </r>
  <r>
    <x v="19"/>
  </r>
  <r>
    <x v="4"/>
  </r>
  <r>
    <x v="24"/>
  </r>
  <r>
    <x v="115"/>
  </r>
  <r>
    <x v="123"/>
  </r>
  <r>
    <x v="123"/>
  </r>
  <r>
    <x v="12"/>
  </r>
  <r>
    <x v="11"/>
  </r>
  <r>
    <x v="11"/>
  </r>
  <r>
    <x v="11"/>
  </r>
  <r>
    <x v="12"/>
  </r>
  <r>
    <x v="12"/>
  </r>
  <r>
    <x v="71"/>
  </r>
  <r>
    <x v="12"/>
  </r>
  <r>
    <x v="12"/>
  </r>
  <r>
    <x v="14"/>
  </r>
  <r>
    <x v="14"/>
  </r>
  <r>
    <x v="27"/>
  </r>
  <r>
    <x v="14"/>
  </r>
  <r>
    <x v="42"/>
  </r>
  <r>
    <x v="144"/>
  </r>
  <r>
    <x v="14"/>
  </r>
  <r>
    <x v="14"/>
  </r>
  <r>
    <x v="10"/>
  </r>
  <r>
    <x v="10"/>
  </r>
  <r>
    <x v="42"/>
  </r>
  <r>
    <x v="10"/>
  </r>
  <r>
    <x v="12"/>
  </r>
  <r>
    <x v="37"/>
  </r>
  <r>
    <x v="37"/>
  </r>
  <r>
    <x v="10"/>
  </r>
  <r>
    <x v="37"/>
  </r>
  <r>
    <x v="28"/>
  </r>
  <r>
    <x v="28"/>
  </r>
  <r>
    <x v="28"/>
  </r>
  <r>
    <x v="28"/>
  </r>
  <r>
    <x v="10"/>
  </r>
  <r>
    <x v="48"/>
  </r>
  <r>
    <x v="28"/>
  </r>
  <r>
    <x v="28"/>
  </r>
  <r>
    <x v="28"/>
  </r>
  <r>
    <x v="28"/>
  </r>
  <r>
    <x v="28"/>
  </r>
  <r>
    <x v="28"/>
  </r>
  <r>
    <x v="71"/>
  </r>
  <r>
    <x v="71"/>
  </r>
  <r>
    <x v="199"/>
  </r>
  <r>
    <x v="144"/>
  </r>
  <r>
    <x v="144"/>
  </r>
  <r>
    <x v="144"/>
  </r>
  <r>
    <x v="87"/>
  </r>
  <r>
    <x v="156"/>
  </r>
  <r>
    <x v="93"/>
  </r>
  <r>
    <x v="130"/>
  </r>
  <r>
    <x v="10"/>
  </r>
  <r>
    <x v="71"/>
  </r>
  <r>
    <x v="71"/>
  </r>
  <r>
    <x v="144"/>
  </r>
  <r>
    <x v="7"/>
  </r>
  <r>
    <x v="42"/>
  </r>
  <r>
    <x v="7"/>
  </r>
  <r>
    <x v="56"/>
  </r>
  <r>
    <x v="56"/>
  </r>
  <r>
    <x v="56"/>
  </r>
  <r>
    <x v="144"/>
  </r>
  <r>
    <x v="144"/>
  </r>
  <r>
    <x v="144"/>
  </r>
  <r>
    <x v="144"/>
  </r>
  <r>
    <x v="7"/>
  </r>
  <r>
    <x v="31"/>
  </r>
  <r>
    <x v="7"/>
  </r>
  <r>
    <x v="7"/>
  </r>
  <r>
    <x v="7"/>
  </r>
  <r>
    <x v="17"/>
  </r>
  <r>
    <x v="12"/>
  </r>
  <r>
    <x v="71"/>
  </r>
  <r>
    <x v="36"/>
  </r>
  <r>
    <x v="53"/>
  </r>
  <r>
    <x v="12"/>
  </r>
  <r>
    <x v="12"/>
  </r>
  <r>
    <x v="9"/>
  </r>
  <r>
    <x v="12"/>
  </r>
  <r>
    <x v="12"/>
  </r>
  <r>
    <x v="4"/>
  </r>
  <r>
    <x v="10"/>
  </r>
  <r>
    <x v="71"/>
  </r>
  <r>
    <x v="71"/>
  </r>
  <r>
    <x v="28"/>
  </r>
  <r>
    <x v="4"/>
  </r>
  <r>
    <x v="141"/>
  </r>
  <r>
    <x v="64"/>
  </r>
  <r>
    <x v="71"/>
  </r>
  <r>
    <x v="21"/>
  </r>
  <r>
    <x v="56"/>
  </r>
  <r>
    <x v="42"/>
  </r>
  <r>
    <x v="42"/>
  </r>
  <r>
    <x v="16"/>
  </r>
  <r>
    <x v="16"/>
  </r>
  <r>
    <x v="16"/>
  </r>
  <r>
    <x v="42"/>
  </r>
  <r>
    <x v="42"/>
  </r>
  <r>
    <x v="143"/>
  </r>
  <r>
    <x v="143"/>
  </r>
  <r>
    <x v="143"/>
  </r>
  <r>
    <x v="56"/>
  </r>
  <r>
    <x v="115"/>
  </r>
  <r>
    <x v="7"/>
  </r>
  <r>
    <x v="56"/>
  </r>
  <r>
    <x v="57"/>
  </r>
  <r>
    <x v="53"/>
  </r>
  <r>
    <x v="16"/>
  </r>
  <r>
    <x v="42"/>
  </r>
  <r>
    <x v="42"/>
  </r>
  <r>
    <x v="135"/>
  </r>
  <r>
    <x v="141"/>
  </r>
  <r>
    <x v="141"/>
  </r>
  <r>
    <x v="14"/>
  </r>
  <r>
    <x v="14"/>
  </r>
  <r>
    <x v="42"/>
  </r>
  <r>
    <x v="42"/>
  </r>
  <r>
    <x v="31"/>
  </r>
  <r>
    <x v="4"/>
  </r>
  <r>
    <x v="56"/>
  </r>
  <r>
    <x v="31"/>
  </r>
  <r>
    <x v="42"/>
  </r>
  <r>
    <x v="42"/>
  </r>
  <r>
    <x v="31"/>
  </r>
  <r>
    <x v="144"/>
  </r>
  <r>
    <x v="115"/>
  </r>
  <r>
    <x v="115"/>
  </r>
  <r>
    <x v="7"/>
  </r>
  <r>
    <x v="19"/>
  </r>
  <r>
    <x v="7"/>
  </r>
  <r>
    <x v="12"/>
  </r>
  <r>
    <x v="45"/>
  </r>
  <r>
    <x v="77"/>
  </r>
  <r>
    <x v="7"/>
  </r>
  <r>
    <x v="56"/>
  </r>
  <r>
    <x v="16"/>
  </r>
  <r>
    <x v="16"/>
  </r>
  <r>
    <x v="19"/>
  </r>
  <r>
    <x v="152"/>
  </r>
  <r>
    <x v="42"/>
  </r>
  <r>
    <x v="42"/>
  </r>
  <r>
    <x v="71"/>
  </r>
  <r>
    <x v="115"/>
  </r>
  <r>
    <x v="4"/>
  </r>
  <r>
    <x v="12"/>
  </r>
  <r>
    <x v="12"/>
  </r>
  <r>
    <x v="12"/>
  </r>
  <r>
    <x v="12"/>
  </r>
  <r>
    <x v="16"/>
  </r>
  <r>
    <x v="53"/>
  </r>
  <r>
    <x v="53"/>
  </r>
  <r>
    <x v="16"/>
  </r>
  <r>
    <x v="4"/>
  </r>
  <r>
    <x v="43"/>
  </r>
  <r>
    <x v="53"/>
  </r>
  <r>
    <x v="53"/>
  </r>
  <r>
    <x v="53"/>
  </r>
  <r>
    <x v="53"/>
  </r>
  <r>
    <x v="7"/>
  </r>
  <r>
    <x v="7"/>
  </r>
  <r>
    <x v="7"/>
  </r>
  <r>
    <x v="6"/>
  </r>
  <r>
    <x v="8"/>
  </r>
  <r>
    <x v="42"/>
  </r>
  <r>
    <x v="42"/>
  </r>
  <r>
    <x v="42"/>
  </r>
  <r>
    <x v="9"/>
  </r>
  <r>
    <x v="28"/>
  </r>
  <r>
    <x v="12"/>
  </r>
  <r>
    <x v="12"/>
  </r>
  <r>
    <x v="7"/>
  </r>
  <r>
    <x v="42"/>
  </r>
  <r>
    <x v="42"/>
  </r>
  <r>
    <x v="42"/>
  </r>
  <r>
    <x v="42"/>
  </r>
  <r>
    <x v="6"/>
  </r>
  <r>
    <x v="85"/>
  </r>
  <r>
    <x v="16"/>
  </r>
  <r>
    <x v="12"/>
  </r>
  <r>
    <x v="16"/>
  </r>
  <r>
    <x v="12"/>
  </r>
  <r>
    <x v="162"/>
  </r>
  <r>
    <x v="42"/>
  </r>
  <r>
    <x v="14"/>
  </r>
  <r>
    <x v="16"/>
  </r>
  <r>
    <x v="0"/>
  </r>
  <r>
    <x v="253"/>
  </r>
  <r>
    <x v="53"/>
  </r>
  <r>
    <x v="53"/>
  </r>
  <r>
    <x v="16"/>
  </r>
  <r>
    <x v="0"/>
  </r>
  <r>
    <x v="71"/>
  </r>
  <r>
    <x v="71"/>
  </r>
  <r>
    <x v="71"/>
  </r>
  <r>
    <x v="19"/>
  </r>
  <r>
    <x v="16"/>
  </r>
  <r>
    <x v="16"/>
  </r>
  <r>
    <x v="0"/>
  </r>
  <r>
    <x v="28"/>
  </r>
  <r>
    <x v="9"/>
  </r>
  <r>
    <x v="31"/>
  </r>
  <r>
    <x v="31"/>
  </r>
  <r>
    <x v="31"/>
  </r>
  <r>
    <x v="144"/>
  </r>
  <r>
    <x v="24"/>
  </r>
  <r>
    <x v="150"/>
  </r>
  <r>
    <x v="21"/>
  </r>
  <r>
    <x v="21"/>
  </r>
  <r>
    <x v="21"/>
  </r>
  <r>
    <x v="7"/>
  </r>
  <r>
    <x v="31"/>
  </r>
  <r>
    <x v="31"/>
  </r>
  <r>
    <x v="162"/>
  </r>
  <r>
    <x v="24"/>
  </r>
  <r>
    <x v="19"/>
  </r>
  <r>
    <x v="7"/>
  </r>
  <r>
    <x v="7"/>
  </r>
  <r>
    <x v="7"/>
  </r>
  <r>
    <x v="57"/>
  </r>
  <r>
    <x v="57"/>
  </r>
  <r>
    <x v="57"/>
  </r>
  <r>
    <x v="19"/>
  </r>
  <r>
    <x v="19"/>
  </r>
  <r>
    <x v="55"/>
  </r>
  <r>
    <x v="16"/>
  </r>
  <r>
    <x v="28"/>
  </r>
  <r>
    <x v="1"/>
  </r>
  <r>
    <x v="28"/>
  </r>
  <r>
    <x v="28"/>
  </r>
  <r>
    <x v="16"/>
  </r>
  <r>
    <x v="12"/>
  </r>
  <r>
    <x v="10"/>
  </r>
  <r>
    <x v="1"/>
  </r>
  <r>
    <x v="1"/>
  </r>
  <r>
    <x v="52"/>
  </r>
  <r>
    <x v="52"/>
  </r>
  <r>
    <x v="31"/>
  </r>
  <r>
    <x v="6"/>
  </r>
  <r>
    <x v="0"/>
  </r>
  <r>
    <x v="42"/>
  </r>
  <r>
    <x v="42"/>
  </r>
  <r>
    <x v="10"/>
  </r>
  <r>
    <x v="28"/>
  </r>
  <r>
    <x v="28"/>
  </r>
  <r>
    <x v="28"/>
  </r>
  <r>
    <x v="28"/>
  </r>
  <r>
    <x v="142"/>
  </r>
  <r>
    <x v="23"/>
  </r>
  <r>
    <x v="3"/>
  </r>
  <r>
    <x v="100"/>
  </r>
  <r>
    <x v="4"/>
  </r>
  <r>
    <x v="10"/>
  </r>
  <r>
    <x v="10"/>
  </r>
  <r>
    <x v="71"/>
  </r>
  <r>
    <x v="71"/>
  </r>
  <r>
    <x v="71"/>
  </r>
  <r>
    <x v="71"/>
  </r>
  <r>
    <x v="135"/>
  </r>
  <r>
    <x v="11"/>
  </r>
  <r>
    <x v="135"/>
  </r>
  <r>
    <x v="19"/>
  </r>
  <r>
    <x v="19"/>
  </r>
  <r>
    <x v="71"/>
  </r>
  <r>
    <x v="71"/>
  </r>
  <r>
    <x v="71"/>
  </r>
  <r>
    <x v="71"/>
  </r>
  <r>
    <x v="56"/>
  </r>
  <r>
    <x v="7"/>
  </r>
  <r>
    <x v="28"/>
  </r>
  <r>
    <x v="28"/>
  </r>
  <r>
    <x v="71"/>
  </r>
  <r>
    <x v="71"/>
  </r>
  <r>
    <x v="19"/>
  </r>
  <r>
    <x v="31"/>
  </r>
  <r>
    <x v="39"/>
  </r>
  <r>
    <x v="39"/>
  </r>
  <r>
    <x v="6"/>
  </r>
  <r>
    <x v="4"/>
  </r>
  <r>
    <x v="0"/>
  </r>
  <r>
    <x v="23"/>
  </r>
  <r>
    <x v="23"/>
  </r>
  <r>
    <x v="19"/>
  </r>
  <r>
    <x v="39"/>
  </r>
  <r>
    <x v="19"/>
  </r>
  <r>
    <x v="162"/>
  </r>
  <r>
    <x v="28"/>
  </r>
  <r>
    <x v="28"/>
  </r>
  <r>
    <x v="48"/>
  </r>
  <r>
    <x v="31"/>
  </r>
  <r>
    <x v="0"/>
  </r>
  <r>
    <x v="0"/>
  </r>
  <r>
    <x v="0"/>
  </r>
  <r>
    <x v="16"/>
  </r>
  <r>
    <x v="79"/>
  </r>
  <r>
    <x v="24"/>
  </r>
  <r>
    <x v="28"/>
  </r>
  <r>
    <x v="108"/>
  </r>
  <r>
    <x v="6"/>
  </r>
  <r>
    <x v="28"/>
  </r>
  <r>
    <x v="56"/>
  </r>
  <r>
    <x v="0"/>
  </r>
  <r>
    <x v="16"/>
  </r>
  <r>
    <x v="16"/>
  </r>
  <r>
    <x v="28"/>
  </r>
  <r>
    <x v="16"/>
  </r>
  <r>
    <x v="16"/>
  </r>
  <r>
    <x v="7"/>
  </r>
  <r>
    <x v="152"/>
  </r>
  <r>
    <x v="7"/>
  </r>
  <r>
    <x v="7"/>
  </r>
  <r>
    <x v="12"/>
  </r>
  <r>
    <x v="12"/>
  </r>
  <r>
    <x v="12"/>
  </r>
  <r>
    <x v="56"/>
  </r>
  <r>
    <x v="28"/>
  </r>
  <r>
    <x v="28"/>
  </r>
  <r>
    <x v="2"/>
  </r>
  <r>
    <x v="56"/>
  </r>
  <r>
    <x v="162"/>
  </r>
  <r>
    <x v="141"/>
  </r>
  <r>
    <x v="0"/>
  </r>
  <r>
    <x v="24"/>
  </r>
  <r>
    <x v="16"/>
  </r>
  <r>
    <x v="31"/>
  </r>
  <r>
    <x v="141"/>
  </r>
  <r>
    <x v="7"/>
  </r>
  <r>
    <x v="7"/>
  </r>
  <r>
    <x v="4"/>
  </r>
  <r>
    <x v="152"/>
  </r>
  <r>
    <x v="263"/>
  </r>
  <r>
    <x v="48"/>
  </r>
  <r>
    <x v="7"/>
  </r>
  <r>
    <x v="12"/>
  </r>
  <r>
    <x v="12"/>
  </r>
  <r>
    <x v="55"/>
  </r>
  <r>
    <x v="31"/>
  </r>
  <r>
    <x v="115"/>
  </r>
  <r>
    <x v="28"/>
  </r>
  <r>
    <x v="42"/>
  </r>
  <r>
    <x v="42"/>
  </r>
  <r>
    <x v="42"/>
  </r>
  <r>
    <x v="28"/>
  </r>
  <r>
    <x v="28"/>
  </r>
  <r>
    <x v="24"/>
  </r>
  <r>
    <x v="150"/>
  </r>
  <r>
    <x v="150"/>
  </r>
  <r>
    <x v="12"/>
  </r>
  <r>
    <x v="10"/>
  </r>
  <r>
    <x v="48"/>
  </r>
  <r>
    <x v="45"/>
  </r>
  <r>
    <x v="7"/>
  </r>
  <r>
    <x v="71"/>
  </r>
  <r>
    <x v="71"/>
  </r>
  <r>
    <x v="71"/>
  </r>
  <r>
    <x v="71"/>
  </r>
  <r>
    <x v="12"/>
  </r>
  <r>
    <x v="16"/>
  </r>
  <r>
    <x v="57"/>
  </r>
  <r>
    <x v="45"/>
  </r>
  <r>
    <x v="28"/>
  </r>
  <r>
    <x v="28"/>
  </r>
  <r>
    <x v="28"/>
  </r>
  <r>
    <x v="36"/>
  </r>
  <r>
    <x v="36"/>
  </r>
  <r>
    <x v="71"/>
  </r>
  <r>
    <x v="71"/>
  </r>
  <r>
    <x v="71"/>
  </r>
  <r>
    <x v="54"/>
  </r>
  <r>
    <x v="71"/>
  </r>
  <r>
    <x v="7"/>
  </r>
  <r>
    <x v="7"/>
  </r>
  <r>
    <x v="28"/>
  </r>
  <r>
    <x v="28"/>
  </r>
  <r>
    <x v="28"/>
  </r>
  <r>
    <x v="28"/>
  </r>
  <r>
    <x v="1"/>
  </r>
  <r>
    <x v="1"/>
  </r>
  <r>
    <x v="1"/>
  </r>
  <r>
    <x v="1"/>
  </r>
  <r>
    <x v="115"/>
  </r>
  <r>
    <x v="115"/>
  </r>
  <r>
    <x v="162"/>
  </r>
  <r>
    <x v="12"/>
  </r>
  <r>
    <x v="16"/>
  </r>
  <r>
    <x v="16"/>
  </r>
  <r>
    <x v="16"/>
  </r>
  <r>
    <x v="71"/>
  </r>
  <r>
    <x v="71"/>
  </r>
  <r>
    <x v="71"/>
  </r>
  <r>
    <x v="57"/>
  </r>
  <r>
    <x v="57"/>
  </r>
  <r>
    <x v="57"/>
  </r>
  <r>
    <x v="1"/>
  </r>
  <r>
    <x v="77"/>
  </r>
  <r>
    <x v="14"/>
  </r>
  <r>
    <x v="14"/>
  </r>
  <r>
    <x v="16"/>
  </r>
  <r>
    <x v="16"/>
  </r>
  <r>
    <x v="16"/>
  </r>
  <r>
    <x v="162"/>
  </r>
  <r>
    <x v="53"/>
  </r>
  <r>
    <x v="12"/>
  </r>
  <r>
    <x v="48"/>
  </r>
  <r>
    <x v="53"/>
  </r>
  <r>
    <x v="16"/>
  </r>
  <r>
    <x v="14"/>
  </r>
  <r>
    <x v="14"/>
  </r>
  <r>
    <x v="24"/>
  </r>
  <r>
    <x v="31"/>
  </r>
  <r>
    <x v="24"/>
  </r>
  <r>
    <x v="14"/>
  </r>
  <r>
    <x v="16"/>
  </r>
  <r>
    <x v="56"/>
  </r>
  <r>
    <x v="36"/>
  </r>
  <r>
    <x v="25"/>
  </r>
  <r>
    <x v="25"/>
  </r>
  <r>
    <x v="25"/>
  </r>
  <r>
    <x v="25"/>
  </r>
  <r>
    <x v="24"/>
  </r>
  <r>
    <x v="16"/>
  </r>
  <r>
    <x v="16"/>
  </r>
  <r>
    <x v="16"/>
  </r>
  <r>
    <x v="0"/>
  </r>
  <r>
    <x v="0"/>
  </r>
  <r>
    <x v="9"/>
  </r>
  <r>
    <x v="14"/>
  </r>
  <r>
    <x v="16"/>
  </r>
  <r>
    <x v="16"/>
  </r>
  <r>
    <x v="56"/>
  </r>
  <r>
    <x v="28"/>
  </r>
  <r>
    <x v="42"/>
  </r>
  <r>
    <x v="42"/>
  </r>
  <r>
    <x v="42"/>
  </r>
  <r>
    <x v="14"/>
  </r>
  <r>
    <x v="16"/>
  </r>
  <r>
    <x v="71"/>
  </r>
  <r>
    <x v="28"/>
  </r>
  <r>
    <x v="28"/>
  </r>
  <r>
    <x v="55"/>
  </r>
  <r>
    <x v="42"/>
  </r>
  <r>
    <x v="2"/>
  </r>
  <r>
    <x v="71"/>
  </r>
  <r>
    <x v="12"/>
  </r>
  <r>
    <x v="71"/>
  </r>
  <r>
    <x v="265"/>
  </r>
  <r>
    <x v="14"/>
  </r>
  <r>
    <x v="55"/>
  </r>
  <r>
    <x v="71"/>
  </r>
  <r>
    <x v="2"/>
  </r>
  <r>
    <x v="57"/>
  </r>
  <r>
    <x v="115"/>
  </r>
  <r>
    <x v="115"/>
  </r>
  <r>
    <x v="14"/>
  </r>
  <r>
    <x v="2"/>
  </r>
  <r>
    <x v="4"/>
  </r>
  <r>
    <x v="179"/>
  </r>
  <r>
    <x v="4"/>
  </r>
  <r>
    <x v="174"/>
  </r>
  <r>
    <x v="14"/>
  </r>
  <r>
    <x v="71"/>
  </r>
  <r>
    <x v="31"/>
  </r>
  <r>
    <x v="71"/>
  </r>
  <r>
    <x v="162"/>
  </r>
  <r>
    <x v="71"/>
  </r>
  <r>
    <x v="16"/>
  </r>
  <r>
    <x v="162"/>
  </r>
  <r>
    <x v="115"/>
  </r>
  <r>
    <x v="115"/>
  </r>
  <r>
    <x v="42"/>
  </r>
  <r>
    <x v="19"/>
  </r>
  <r>
    <x v="14"/>
  </r>
  <r>
    <x v="53"/>
  </r>
  <r>
    <x v="16"/>
  </r>
  <r>
    <x v="12"/>
  </r>
  <r>
    <x v="53"/>
  </r>
  <r>
    <x v="14"/>
  </r>
  <r>
    <x v="42"/>
  </r>
  <r>
    <x v="42"/>
  </r>
  <r>
    <x v="31"/>
  </r>
  <r>
    <x v="16"/>
  </r>
  <r>
    <x v="16"/>
  </r>
  <r>
    <x v="42"/>
  </r>
  <r>
    <x v="31"/>
  </r>
  <r>
    <x v="31"/>
  </r>
  <r>
    <x v="12"/>
  </r>
  <r>
    <x v="14"/>
  </r>
  <r>
    <x v="2"/>
  </r>
  <r>
    <x v="31"/>
  </r>
  <r>
    <x v="31"/>
  </r>
  <r>
    <x v="31"/>
  </r>
  <r>
    <x v="31"/>
  </r>
  <r>
    <x v="42"/>
  </r>
  <r>
    <x v="4"/>
  </r>
  <r>
    <x v="86"/>
  </r>
  <r>
    <x v="86"/>
  </r>
  <r>
    <x v="42"/>
  </r>
  <r>
    <x v="86"/>
  </r>
  <r>
    <x v="42"/>
  </r>
  <r>
    <x v="42"/>
  </r>
  <r>
    <x v="43"/>
  </r>
  <r>
    <x v="43"/>
  </r>
  <r>
    <x v="31"/>
  </r>
  <r>
    <x v="81"/>
  </r>
  <r>
    <x v="81"/>
  </r>
  <r>
    <x v="10"/>
  </r>
  <r>
    <x v="24"/>
  </r>
  <r>
    <x v="24"/>
  </r>
  <r>
    <x v="162"/>
  </r>
  <r>
    <x v="6"/>
  </r>
  <r>
    <x v="19"/>
  </r>
  <r>
    <x v="19"/>
  </r>
  <r>
    <x v="24"/>
  </r>
  <r>
    <x v="24"/>
  </r>
  <r>
    <x v="24"/>
  </r>
  <r>
    <x v="24"/>
  </r>
  <r>
    <x v="24"/>
  </r>
  <r>
    <x v="24"/>
  </r>
  <r>
    <x v="56"/>
  </r>
  <r>
    <x v="162"/>
  </r>
  <r>
    <x v="48"/>
  </r>
  <r>
    <x v="12"/>
  </r>
  <r>
    <x v="12"/>
  </r>
  <r>
    <x v="12"/>
  </r>
  <r>
    <x v="12"/>
  </r>
  <r>
    <x v="0"/>
  </r>
  <r>
    <x v="0"/>
  </r>
  <r>
    <x v="0"/>
  </r>
  <r>
    <x v="152"/>
  </r>
  <r>
    <x v="89"/>
  </r>
  <r>
    <x v="89"/>
  </r>
  <r>
    <x v="56"/>
  </r>
  <r>
    <x v="87"/>
  </r>
  <r>
    <x v="89"/>
  </r>
  <r>
    <x v="0"/>
  </r>
  <r>
    <x v="45"/>
  </r>
  <r>
    <x v="45"/>
  </r>
  <r>
    <x v="45"/>
  </r>
  <r>
    <x v="141"/>
  </r>
  <r>
    <x v="31"/>
  </r>
  <r>
    <x v="24"/>
  </r>
  <r>
    <x v="24"/>
  </r>
  <r>
    <x v="71"/>
  </r>
  <r>
    <x v="0"/>
  </r>
  <r>
    <x v="128"/>
  </r>
  <r>
    <x v="43"/>
  </r>
  <r>
    <x v="2"/>
  </r>
  <r>
    <x v="2"/>
  </r>
  <r>
    <x v="42"/>
  </r>
  <r>
    <x v="174"/>
  </r>
  <r>
    <x v="1"/>
  </r>
  <r>
    <x v="12"/>
  </r>
  <r>
    <x v="24"/>
  </r>
  <r>
    <x v="24"/>
  </r>
  <r>
    <x v="24"/>
  </r>
  <r>
    <x v="45"/>
  </r>
  <r>
    <x v="71"/>
  </r>
  <r>
    <x v="45"/>
  </r>
  <r>
    <x v="24"/>
  </r>
  <r>
    <x v="16"/>
  </r>
  <r>
    <x v="16"/>
  </r>
  <r>
    <x v="16"/>
  </r>
  <r>
    <x v="16"/>
  </r>
  <r>
    <x v="0"/>
  </r>
  <r>
    <x v="0"/>
  </r>
  <r>
    <x v="16"/>
  </r>
  <r>
    <x v="16"/>
  </r>
  <r>
    <x v="2"/>
  </r>
  <r>
    <x v="2"/>
  </r>
  <r>
    <x v="43"/>
  </r>
  <r>
    <x v="6"/>
  </r>
  <r>
    <x v="12"/>
  </r>
  <r>
    <x v="56"/>
  </r>
  <r>
    <x v="56"/>
  </r>
  <r>
    <x v="56"/>
  </r>
  <r>
    <x v="56"/>
  </r>
  <r>
    <x v="144"/>
  </r>
  <r>
    <x v="144"/>
  </r>
  <r>
    <x v="4"/>
  </r>
  <r>
    <x v="7"/>
  </r>
  <r>
    <x v="4"/>
  </r>
  <r>
    <x v="53"/>
  </r>
  <r>
    <x v="16"/>
  </r>
  <r>
    <x v="0"/>
  </r>
  <r>
    <x v="1"/>
  </r>
  <r>
    <x v="1"/>
  </r>
  <r>
    <x v="24"/>
  </r>
  <r>
    <x v="247"/>
  </r>
  <r>
    <x v="34"/>
  </r>
  <r>
    <x v="34"/>
  </r>
  <r>
    <x v="24"/>
  </r>
  <r>
    <x v="71"/>
  </r>
  <r>
    <x v="71"/>
  </r>
  <r>
    <x v="16"/>
  </r>
  <r>
    <x v="24"/>
  </r>
  <r>
    <x v="4"/>
  </r>
  <r>
    <x v="2"/>
  </r>
  <r>
    <x v="12"/>
  </r>
  <r>
    <x v="141"/>
  </r>
  <r>
    <x v="71"/>
  </r>
  <r>
    <x v="59"/>
  </r>
  <r>
    <x v="64"/>
  </r>
  <r>
    <x v="12"/>
  </r>
  <r>
    <x v="2"/>
  </r>
  <r>
    <x v="2"/>
  </r>
  <r>
    <x v="48"/>
  </r>
  <r>
    <x v="2"/>
  </r>
  <r>
    <x v="14"/>
  </r>
  <r>
    <x v="14"/>
  </r>
  <r>
    <x v="48"/>
  </r>
  <r>
    <x v="28"/>
  </r>
  <r>
    <x v="22"/>
  </r>
  <r>
    <x v="36"/>
  </r>
  <r>
    <x v="12"/>
  </r>
  <r>
    <x v="12"/>
  </r>
  <r>
    <x v="162"/>
  </r>
  <r>
    <x v="115"/>
  </r>
  <r>
    <x v="56"/>
  </r>
  <r>
    <x v="10"/>
  </r>
  <r>
    <x v="42"/>
  </r>
  <r>
    <x v="42"/>
  </r>
  <r>
    <x v="42"/>
  </r>
  <r>
    <x v="36"/>
  </r>
  <r>
    <x v="36"/>
  </r>
  <r>
    <x v="36"/>
  </r>
  <r>
    <x v="42"/>
  </r>
  <r>
    <x v="6"/>
  </r>
  <r>
    <x v="51"/>
  </r>
  <r>
    <x v="12"/>
  </r>
  <r>
    <x v="12"/>
  </r>
  <r>
    <x v="12"/>
  </r>
  <r>
    <x v="10"/>
  </r>
  <r>
    <x v="244"/>
  </r>
  <r>
    <x v="12"/>
  </r>
  <r>
    <x v="12"/>
  </r>
  <r>
    <x v="12"/>
  </r>
  <r>
    <x v="14"/>
  </r>
  <r>
    <x v="79"/>
  </r>
  <r>
    <x v="170"/>
  </r>
  <r>
    <x v="0"/>
  </r>
  <r>
    <x v="4"/>
  </r>
  <r>
    <x v="48"/>
  </r>
  <r>
    <x v="36"/>
  </r>
  <r>
    <x v="42"/>
  </r>
  <r>
    <x v="28"/>
  </r>
  <r>
    <x v="89"/>
  </r>
  <r>
    <x v="57"/>
  </r>
  <r>
    <x v="1"/>
  </r>
  <r>
    <x v="16"/>
  </r>
  <r>
    <x v="180"/>
  </r>
  <r>
    <x v="123"/>
  </r>
  <r>
    <x v="123"/>
  </r>
  <r>
    <x v="7"/>
  </r>
  <r>
    <x v="7"/>
  </r>
  <r>
    <x v="7"/>
  </r>
  <r>
    <x v="7"/>
  </r>
  <r>
    <x v="1"/>
  </r>
  <r>
    <x v="1"/>
  </r>
  <r>
    <x v="123"/>
  </r>
  <r>
    <x v="10"/>
  </r>
  <r>
    <x v="33"/>
  </r>
  <r>
    <x v="1"/>
  </r>
  <r>
    <x v="78"/>
  </r>
  <r>
    <x v="78"/>
  </r>
  <r>
    <x v="9"/>
  </r>
  <r>
    <x v="14"/>
  </r>
  <r>
    <x v="52"/>
  </r>
  <r>
    <x v="144"/>
  </r>
  <r>
    <x v="190"/>
  </r>
  <r>
    <x v="4"/>
  </r>
  <r>
    <x v="4"/>
  </r>
  <r>
    <x v="4"/>
  </r>
  <r>
    <x v="4"/>
  </r>
  <r>
    <x v="48"/>
  </r>
  <r>
    <x v="138"/>
  </r>
  <r>
    <x v="87"/>
  </r>
  <r>
    <x v="81"/>
  </r>
  <r>
    <x v="162"/>
  </r>
  <r>
    <x v="12"/>
  </r>
  <r>
    <x v="63"/>
  </r>
  <r>
    <x v="28"/>
  </r>
  <r>
    <x v="0"/>
  </r>
  <r>
    <x v="16"/>
  </r>
  <r>
    <x v="16"/>
  </r>
  <r>
    <x v="4"/>
  </r>
  <r>
    <x v="0"/>
  </r>
  <r>
    <x v="48"/>
  </r>
  <r>
    <x v="4"/>
  </r>
  <r>
    <x v="47"/>
  </r>
  <r>
    <x v="12"/>
  </r>
  <r>
    <x v="12"/>
  </r>
  <r>
    <x v="86"/>
  </r>
  <r>
    <x v="57"/>
  </r>
  <r>
    <x v="56"/>
  </r>
  <r>
    <x v="56"/>
  </r>
  <r>
    <x v="56"/>
  </r>
  <r>
    <x v="10"/>
  </r>
  <r>
    <x v="16"/>
  </r>
  <r>
    <x v="15"/>
  </r>
  <r>
    <x v="28"/>
  </r>
  <r>
    <x v="76"/>
  </r>
  <r>
    <x v="19"/>
  </r>
  <r>
    <x v="10"/>
  </r>
  <r>
    <x v="0"/>
  </r>
  <r>
    <x v="14"/>
  </r>
  <r>
    <x v="37"/>
  </r>
  <r>
    <x v="39"/>
  </r>
  <r>
    <x v="0"/>
  </r>
  <r>
    <x v="79"/>
  </r>
  <r>
    <x v="79"/>
  </r>
  <r>
    <x v="12"/>
  </r>
  <r>
    <x v="12"/>
  </r>
  <r>
    <x v="7"/>
  </r>
  <r>
    <x v="7"/>
  </r>
  <r>
    <x v="42"/>
  </r>
  <r>
    <x v="42"/>
  </r>
  <r>
    <x v="28"/>
  </r>
  <r>
    <x v="42"/>
  </r>
  <r>
    <x v="42"/>
  </r>
  <r>
    <x v="42"/>
  </r>
  <r>
    <x v="42"/>
  </r>
  <r>
    <x v="57"/>
  </r>
  <r>
    <x v="48"/>
  </r>
  <r>
    <x v="7"/>
  </r>
  <r>
    <x v="7"/>
  </r>
  <r>
    <x v="0"/>
  </r>
  <r>
    <x v="28"/>
  </r>
  <r>
    <x v="28"/>
  </r>
  <r>
    <x v="45"/>
  </r>
  <r>
    <x v="48"/>
  </r>
  <r>
    <x v="48"/>
  </r>
  <r>
    <x v="4"/>
  </r>
  <r>
    <x v="36"/>
  </r>
  <r>
    <x v="36"/>
  </r>
  <r>
    <x v="0"/>
  </r>
  <r>
    <x v="36"/>
  </r>
  <r>
    <x v="36"/>
  </r>
  <r>
    <x v="28"/>
  </r>
  <r>
    <x v="12"/>
  </r>
  <r>
    <x v="12"/>
  </r>
  <r>
    <x v="7"/>
  </r>
  <r>
    <x v="14"/>
  </r>
  <r>
    <x v="14"/>
  </r>
  <r>
    <x v="21"/>
  </r>
  <r>
    <x v="21"/>
  </r>
  <r>
    <x v="412"/>
  </r>
  <r>
    <x v="412"/>
  </r>
  <r>
    <x v="21"/>
  </r>
  <r>
    <x v="21"/>
  </r>
  <r>
    <x v="12"/>
  </r>
  <r>
    <x v="12"/>
  </r>
  <r>
    <x v="12"/>
  </r>
  <r>
    <x v="79"/>
  </r>
  <r>
    <x v="79"/>
  </r>
  <r>
    <x v="79"/>
  </r>
  <r>
    <x v="14"/>
  </r>
  <r>
    <x v="42"/>
  </r>
  <r>
    <x v="14"/>
  </r>
  <r>
    <x v="14"/>
  </r>
  <r>
    <x v="79"/>
  </r>
  <r>
    <x v="42"/>
  </r>
  <r>
    <x v="42"/>
  </r>
  <r>
    <x v="42"/>
  </r>
  <r>
    <x v="19"/>
  </r>
  <r>
    <x v="19"/>
  </r>
  <r>
    <x v="4"/>
  </r>
  <r>
    <x v="4"/>
  </r>
  <r>
    <x v="4"/>
  </r>
  <r>
    <x v="42"/>
  </r>
  <r>
    <x v="4"/>
  </r>
  <r>
    <x v="4"/>
  </r>
  <r>
    <x v="10"/>
  </r>
  <r>
    <x v="10"/>
  </r>
  <r>
    <x v="10"/>
  </r>
  <r>
    <x v="79"/>
  </r>
  <r>
    <x v="8"/>
  </r>
  <r>
    <x v="0"/>
  </r>
  <r>
    <x v="0"/>
  </r>
  <r>
    <x v="28"/>
  </r>
  <r>
    <x v="28"/>
  </r>
  <r>
    <x v="28"/>
  </r>
  <r>
    <x v="130"/>
  </r>
  <r>
    <x v="14"/>
  </r>
  <r>
    <x v="14"/>
  </r>
  <r>
    <x v="12"/>
  </r>
  <r>
    <x v="142"/>
  </r>
  <r>
    <x v="142"/>
  </r>
  <r>
    <x v="142"/>
  </r>
  <r>
    <x v="53"/>
  </r>
  <r>
    <x v="53"/>
  </r>
  <r>
    <x v="53"/>
  </r>
  <r>
    <x v="12"/>
  </r>
  <r>
    <x v="9"/>
  </r>
  <r>
    <x v="53"/>
  </r>
  <r>
    <x v="53"/>
  </r>
  <r>
    <x v="53"/>
  </r>
  <r>
    <x v="53"/>
  </r>
  <r>
    <x v="42"/>
  </r>
  <r>
    <x v="42"/>
  </r>
  <r>
    <x v="79"/>
  </r>
  <r>
    <x v="79"/>
  </r>
  <r>
    <x v="79"/>
  </r>
  <r>
    <x v="57"/>
  </r>
  <r>
    <x v="7"/>
  </r>
  <r>
    <x v="14"/>
  </r>
  <r>
    <x v="0"/>
  </r>
  <r>
    <x v="14"/>
  </r>
  <r>
    <x v="0"/>
  </r>
  <r>
    <x v="0"/>
  </r>
  <r>
    <x v="0"/>
  </r>
  <r>
    <x v="14"/>
  </r>
  <r>
    <x v="4"/>
  </r>
  <r>
    <x v="28"/>
  </r>
  <r>
    <x v="42"/>
  </r>
  <r>
    <x v="76"/>
  </r>
  <r>
    <x v="8"/>
  </r>
  <r>
    <x v="53"/>
  </r>
  <r>
    <x v="87"/>
  </r>
  <r>
    <x v="115"/>
  </r>
  <r>
    <x v="115"/>
  </r>
  <r>
    <x v="79"/>
  </r>
  <r>
    <x v="79"/>
  </r>
  <r>
    <x v="11"/>
  </r>
  <r>
    <x v="6"/>
  </r>
  <r>
    <x v="21"/>
  </r>
  <r>
    <x v="9"/>
  </r>
  <r>
    <x v="9"/>
  </r>
  <r>
    <x v="79"/>
  </r>
  <r>
    <x v="115"/>
  </r>
  <r>
    <x v="0"/>
  </r>
  <r>
    <x v="0"/>
  </r>
  <r>
    <x v="7"/>
  </r>
  <r>
    <x v="42"/>
  </r>
  <r>
    <x v="7"/>
  </r>
  <r>
    <x v="53"/>
  </r>
  <r>
    <x v="21"/>
  </r>
  <r>
    <x v="0"/>
  </r>
  <r>
    <x v="0"/>
  </r>
  <r>
    <x v="42"/>
  </r>
  <r>
    <x v="42"/>
  </r>
  <r>
    <x v="2"/>
  </r>
  <r>
    <x v="42"/>
  </r>
  <r>
    <x v="42"/>
  </r>
  <r>
    <x v="42"/>
  </r>
  <r>
    <x v="42"/>
  </r>
  <r>
    <x v="0"/>
  </r>
  <r>
    <x v="9"/>
  </r>
  <r>
    <x v="14"/>
  </r>
  <r>
    <x v="42"/>
  </r>
  <r>
    <x v="42"/>
  </r>
  <r>
    <x v="12"/>
  </r>
  <r>
    <x v="42"/>
  </r>
  <r>
    <x v="42"/>
  </r>
  <r>
    <x v="4"/>
  </r>
  <r>
    <x v="37"/>
  </r>
  <r>
    <x v="123"/>
  </r>
  <r>
    <x v="138"/>
  </r>
  <r>
    <x v="4"/>
  </r>
  <r>
    <x v="48"/>
  </r>
  <r>
    <x v="48"/>
  </r>
  <r>
    <x v="48"/>
  </r>
  <r>
    <x v="64"/>
  </r>
  <r>
    <x v="64"/>
  </r>
  <r>
    <x v="64"/>
  </r>
  <r>
    <x v="7"/>
  </r>
  <r>
    <x v="29"/>
  </r>
  <r>
    <x v="29"/>
  </r>
  <r>
    <x v="7"/>
  </r>
  <r>
    <x v="42"/>
  </r>
  <r>
    <x v="21"/>
  </r>
  <r>
    <x v="21"/>
  </r>
  <r>
    <x v="37"/>
  </r>
  <r>
    <x v="8"/>
  </r>
  <r>
    <x v="0"/>
  </r>
  <r>
    <x v="7"/>
  </r>
  <r>
    <x v="7"/>
  </r>
  <r>
    <x v="7"/>
  </r>
  <r>
    <x v="42"/>
  </r>
  <r>
    <x v="123"/>
  </r>
  <r>
    <x v="123"/>
  </r>
  <r>
    <x v="123"/>
  </r>
  <r>
    <x v="123"/>
  </r>
  <r>
    <x v="123"/>
  </r>
  <r>
    <x v="123"/>
  </r>
  <r>
    <x v="28"/>
  </r>
  <r>
    <x v="28"/>
  </r>
  <r>
    <x v="28"/>
  </r>
  <r>
    <x v="42"/>
  </r>
  <r>
    <x v="4"/>
  </r>
  <r>
    <x v="4"/>
  </r>
  <r>
    <x v="14"/>
  </r>
  <r>
    <x v="10"/>
  </r>
  <r>
    <x v="14"/>
  </r>
  <r>
    <x v="14"/>
  </r>
  <r>
    <x v="14"/>
  </r>
  <r>
    <x v="45"/>
  </r>
  <r>
    <x v="42"/>
  </r>
  <r>
    <x v="42"/>
  </r>
  <r>
    <x v="64"/>
  </r>
  <r>
    <x v="64"/>
  </r>
  <r>
    <x v="9"/>
  </r>
  <r>
    <x v="144"/>
  </r>
  <r>
    <x v="144"/>
  </r>
  <r>
    <x v="9"/>
  </r>
  <r>
    <x v="0"/>
  </r>
  <r>
    <x v="10"/>
  </r>
  <r>
    <x v="4"/>
  </r>
  <r>
    <x v="37"/>
  </r>
  <r>
    <x v="9"/>
  </r>
  <r>
    <x v="9"/>
  </r>
  <r>
    <x v="9"/>
  </r>
  <r>
    <x v="28"/>
  </r>
  <r>
    <x v="28"/>
  </r>
  <r>
    <x v="45"/>
  </r>
  <r>
    <x v="45"/>
  </r>
  <r>
    <x v="14"/>
  </r>
  <r>
    <x v="37"/>
  </r>
  <r>
    <x v="9"/>
  </r>
  <r>
    <x v="9"/>
  </r>
  <r>
    <x v="9"/>
  </r>
  <r>
    <x v="9"/>
  </r>
  <r>
    <x v="9"/>
  </r>
  <r>
    <x v="9"/>
  </r>
  <r>
    <x v="9"/>
  </r>
  <r>
    <x v="9"/>
  </r>
  <r>
    <x v="14"/>
  </r>
  <r>
    <x v="2"/>
  </r>
  <r>
    <x v="37"/>
  </r>
  <r>
    <x v="79"/>
  </r>
  <r>
    <x v="0"/>
  </r>
  <r>
    <x v="0"/>
  </r>
  <r>
    <x v="10"/>
  </r>
  <r>
    <x v="10"/>
  </r>
  <r>
    <x v="216"/>
  </r>
  <r>
    <x v="28"/>
  </r>
  <r>
    <x v="37"/>
  </r>
  <r>
    <x v="0"/>
  </r>
  <r>
    <x v="2"/>
  </r>
  <r>
    <x v="14"/>
  </r>
  <r>
    <x v="0"/>
  </r>
  <r>
    <x v="28"/>
  </r>
  <r>
    <x v="79"/>
  </r>
  <r>
    <x v="7"/>
  </r>
  <r>
    <x v="0"/>
  </r>
  <r>
    <x v="12"/>
  </r>
  <r>
    <x v="28"/>
  </r>
  <r>
    <x v="14"/>
  </r>
  <r>
    <x v="4"/>
  </r>
  <r>
    <x v="8"/>
  </r>
  <r>
    <x v="7"/>
  </r>
  <r>
    <x v="28"/>
  </r>
  <r>
    <x v="0"/>
  </r>
  <r>
    <x v="14"/>
  </r>
  <r>
    <x v="14"/>
  </r>
  <r>
    <x v="0"/>
  </r>
  <r>
    <x v="19"/>
  </r>
  <r>
    <x v="21"/>
  </r>
  <r>
    <x v="79"/>
  </r>
  <r>
    <x v="28"/>
  </r>
  <r>
    <x v="42"/>
  </r>
  <r>
    <x v="4"/>
  </r>
  <r>
    <x v="4"/>
  </r>
  <r>
    <x v="4"/>
  </r>
  <r>
    <x v="71"/>
  </r>
  <r>
    <x v="11"/>
  </r>
  <r>
    <x v="42"/>
  </r>
  <r>
    <x v="150"/>
  </r>
  <r>
    <x v="11"/>
  </r>
  <r>
    <x v="0"/>
  </r>
  <r>
    <x v="71"/>
  </r>
  <r>
    <x v="7"/>
  </r>
  <r>
    <x v="45"/>
  </r>
  <r>
    <x v="7"/>
  </r>
  <r>
    <x v="9"/>
  </r>
  <r>
    <x v="14"/>
  </r>
  <r>
    <x v="56"/>
  </r>
  <r>
    <x v="9"/>
  </r>
  <r>
    <x v="0"/>
  </r>
  <r>
    <x v="9"/>
  </r>
  <r>
    <x v="56"/>
  </r>
  <r>
    <x v="56"/>
  </r>
  <r>
    <x v="71"/>
  </r>
  <r>
    <x v="71"/>
  </r>
  <r>
    <x v="0"/>
  </r>
  <r>
    <x v="0"/>
  </r>
  <r>
    <x v="14"/>
  </r>
  <r>
    <x v="14"/>
  </r>
  <r>
    <x v="14"/>
  </r>
  <r>
    <x v="71"/>
  </r>
  <r>
    <x v="150"/>
  </r>
  <r>
    <x v="150"/>
  </r>
  <r>
    <x v="7"/>
  </r>
  <r>
    <x v="21"/>
  </r>
  <r>
    <x v="37"/>
  </r>
  <r>
    <x v="2"/>
  </r>
  <r>
    <x v="9"/>
  </r>
  <r>
    <x v="9"/>
  </r>
  <r>
    <x v="71"/>
  </r>
  <r>
    <x v="71"/>
  </r>
  <r>
    <x v="71"/>
  </r>
  <r>
    <x v="71"/>
  </r>
  <r>
    <x v="12"/>
  </r>
  <r>
    <x v="4"/>
  </r>
  <r>
    <x v="7"/>
  </r>
  <r>
    <x v="7"/>
  </r>
  <r>
    <x v="28"/>
  </r>
  <r>
    <x v="12"/>
  </r>
  <r>
    <x v="56"/>
  </r>
  <r>
    <x v="56"/>
  </r>
  <r>
    <x v="79"/>
  </r>
  <r>
    <x v="0"/>
  </r>
  <r>
    <x v="0"/>
  </r>
  <r>
    <x v="71"/>
  </r>
  <r>
    <x v="71"/>
  </r>
  <r>
    <x v="4"/>
  </r>
  <r>
    <x v="2"/>
  </r>
  <r>
    <x v="37"/>
  </r>
  <r>
    <x v="37"/>
  </r>
  <r>
    <x v="37"/>
  </r>
  <r>
    <x v="12"/>
  </r>
  <r>
    <x v="9"/>
  </r>
  <r>
    <x v="9"/>
  </r>
  <r>
    <x v="9"/>
  </r>
  <r>
    <x v="9"/>
  </r>
  <r>
    <x v="14"/>
  </r>
  <r>
    <x v="0"/>
  </r>
  <r>
    <x v="14"/>
  </r>
  <r>
    <x v="45"/>
  </r>
  <r>
    <x v="14"/>
  </r>
  <r>
    <x v="56"/>
  </r>
  <r>
    <x v="56"/>
  </r>
  <r>
    <x v="56"/>
  </r>
  <r>
    <x v="7"/>
  </r>
  <r>
    <x v="7"/>
  </r>
  <r>
    <x v="57"/>
  </r>
  <r>
    <x v="71"/>
  </r>
  <r>
    <x v="24"/>
  </r>
  <r>
    <x v="24"/>
  </r>
  <r>
    <x v="9"/>
  </r>
  <r>
    <x v="9"/>
  </r>
  <r>
    <x v="9"/>
  </r>
  <r>
    <x v="9"/>
  </r>
  <r>
    <x v="45"/>
  </r>
  <r>
    <x v="9"/>
  </r>
  <r>
    <x v="9"/>
  </r>
  <r>
    <x v="71"/>
  </r>
  <r>
    <x v="14"/>
  </r>
  <r>
    <x v="14"/>
  </r>
  <r>
    <x v="4"/>
  </r>
  <r>
    <x v="4"/>
  </r>
  <r>
    <x v="56"/>
  </r>
  <r>
    <x v="34"/>
  </r>
  <r>
    <x v="34"/>
  </r>
  <r>
    <x v="34"/>
  </r>
  <r>
    <x v="34"/>
  </r>
  <r>
    <x v="34"/>
  </r>
  <r>
    <x v="31"/>
  </r>
  <r>
    <x v="4"/>
  </r>
  <r>
    <x v="19"/>
  </r>
  <r>
    <x v="142"/>
  </r>
  <r>
    <x v="59"/>
  </r>
  <r>
    <x v="59"/>
  </r>
  <r>
    <x v="14"/>
  </r>
  <r>
    <x v="9"/>
  </r>
  <r>
    <x v="9"/>
  </r>
  <r>
    <x v="34"/>
  </r>
  <r>
    <x v="19"/>
  </r>
  <r>
    <x v="138"/>
  </r>
  <r>
    <x v="142"/>
  </r>
  <r>
    <x v="142"/>
  </r>
  <r>
    <x v="142"/>
  </r>
  <r>
    <x v="142"/>
  </r>
  <r>
    <x v="7"/>
  </r>
  <r>
    <x v="42"/>
  </r>
  <r>
    <x v="42"/>
  </r>
  <r>
    <x v="42"/>
  </r>
  <r>
    <x v="42"/>
  </r>
  <r>
    <x v="42"/>
  </r>
  <r>
    <x v="42"/>
  </r>
  <r>
    <x v="2"/>
  </r>
  <r>
    <x v="71"/>
  </r>
  <r>
    <x v="14"/>
  </r>
  <r>
    <x v="24"/>
  </r>
  <r>
    <x v="42"/>
  </r>
  <r>
    <x v="28"/>
  </r>
  <r>
    <x v="9"/>
  </r>
  <r>
    <x v="19"/>
  </r>
  <r>
    <x v="14"/>
  </r>
  <r>
    <x v="9"/>
  </r>
  <r>
    <x v="36"/>
  </r>
  <r>
    <x v="12"/>
  </r>
  <r>
    <x v="12"/>
  </r>
  <r>
    <x v="9"/>
  </r>
  <r>
    <x v="142"/>
  </r>
  <r>
    <x v="71"/>
  </r>
  <r>
    <x v="71"/>
  </r>
  <r>
    <x v="14"/>
  </r>
  <r>
    <x v="28"/>
  </r>
  <r>
    <x v="28"/>
  </r>
  <r>
    <x v="42"/>
  </r>
  <r>
    <x v="0"/>
  </r>
  <r>
    <x v="7"/>
  </r>
  <r>
    <x v="0"/>
  </r>
  <r>
    <x v="8"/>
  </r>
  <r>
    <x v="162"/>
  </r>
  <r>
    <x v="162"/>
  </r>
  <r>
    <x v="19"/>
  </r>
  <r>
    <x v="0"/>
  </r>
  <r>
    <x v="0"/>
  </r>
  <r>
    <x v="146"/>
  </r>
  <r>
    <x v="4"/>
  </r>
  <r>
    <x v="52"/>
  </r>
  <r>
    <x v="1"/>
  </r>
  <r>
    <x v="78"/>
  </r>
  <r>
    <x v="4"/>
  </r>
  <r>
    <x v="19"/>
  </r>
  <r>
    <x v="0"/>
  </r>
  <r>
    <x v="71"/>
  </r>
  <r>
    <x v="71"/>
  </r>
  <r>
    <x v="7"/>
  </r>
  <r>
    <x v="8"/>
  </r>
  <r>
    <x v="56"/>
  </r>
  <r>
    <x v="4"/>
  </r>
  <r>
    <x v="56"/>
  </r>
  <r>
    <x v="56"/>
  </r>
  <r>
    <x v="56"/>
  </r>
  <r>
    <x v="12"/>
  </r>
  <r>
    <x v="12"/>
  </r>
  <r>
    <x v="7"/>
  </r>
  <r>
    <x v="12"/>
  </r>
  <r>
    <x v="40"/>
  </r>
  <r>
    <x v="56"/>
  </r>
  <r>
    <x v="56"/>
  </r>
  <r>
    <x v="59"/>
  </r>
  <r>
    <x v="10"/>
  </r>
  <r>
    <x v="7"/>
  </r>
  <r>
    <x v="7"/>
  </r>
  <r>
    <x v="7"/>
  </r>
  <r>
    <x v="7"/>
  </r>
  <r>
    <x v="7"/>
  </r>
  <r>
    <x v="7"/>
  </r>
  <r>
    <x v="6"/>
  </r>
  <r>
    <x v="16"/>
  </r>
  <r>
    <x v="7"/>
  </r>
  <r>
    <x v="7"/>
  </r>
  <r>
    <x v="37"/>
  </r>
  <r>
    <x v="12"/>
  </r>
  <r>
    <x v="12"/>
  </r>
  <r>
    <x v="8"/>
  </r>
  <r>
    <x v="28"/>
  </r>
  <r>
    <x v="28"/>
  </r>
  <r>
    <x v="28"/>
  </r>
  <r>
    <x v="28"/>
  </r>
  <r>
    <x v="14"/>
  </r>
  <r>
    <x v="28"/>
  </r>
  <r>
    <x v="11"/>
  </r>
  <r>
    <x v="141"/>
  </r>
  <r>
    <x v="76"/>
  </r>
  <r>
    <x v="57"/>
  </r>
  <r>
    <x v="57"/>
  </r>
  <r>
    <x v="7"/>
  </r>
  <r>
    <x v="7"/>
  </r>
  <r>
    <x v="7"/>
  </r>
  <r>
    <x v="56"/>
  </r>
  <r>
    <x v="37"/>
  </r>
  <r>
    <x v="4"/>
  </r>
  <r>
    <x v="0"/>
  </r>
  <r>
    <x v="63"/>
  </r>
  <r>
    <x v="27"/>
  </r>
  <r>
    <x v="57"/>
  </r>
  <r>
    <x v="143"/>
  </r>
  <r>
    <x v="10"/>
  </r>
  <r>
    <x v="10"/>
  </r>
  <r>
    <x v="28"/>
  </r>
  <r>
    <x v="28"/>
  </r>
  <r>
    <x v="28"/>
  </r>
  <r>
    <x v="46"/>
  </r>
  <r>
    <x v="46"/>
  </r>
  <r>
    <x v="7"/>
  </r>
  <r>
    <x v="7"/>
  </r>
  <r>
    <x v="7"/>
  </r>
  <r>
    <x v="4"/>
  </r>
  <r>
    <x v="2"/>
  </r>
  <r>
    <x v="162"/>
  </r>
  <r>
    <x v="162"/>
  </r>
  <r>
    <x v="37"/>
  </r>
  <r>
    <x v="14"/>
  </r>
  <r>
    <x v="4"/>
  </r>
  <r>
    <x v="46"/>
  </r>
  <r>
    <x v="7"/>
  </r>
  <r>
    <x v="2"/>
  </r>
  <r>
    <x v="0"/>
  </r>
  <r>
    <x v="42"/>
  </r>
  <r>
    <x v="28"/>
  </r>
  <r>
    <x v="141"/>
  </r>
  <r>
    <x v="1"/>
  </r>
  <r>
    <x v="4"/>
  </r>
  <r>
    <x v="27"/>
  </r>
  <r>
    <x v="42"/>
  </r>
  <r>
    <x v="28"/>
  </r>
  <r>
    <x v="31"/>
  </r>
  <r>
    <x v="24"/>
  </r>
  <r>
    <x v="7"/>
  </r>
  <r>
    <x v="9"/>
  </r>
  <r>
    <x v="138"/>
  </r>
  <r>
    <x v="19"/>
  </r>
  <r>
    <x v="45"/>
  </r>
  <r>
    <x v="9"/>
  </r>
  <r>
    <x v="28"/>
  </r>
  <r>
    <x v="0"/>
  </r>
  <r>
    <x v="71"/>
  </r>
  <r>
    <x v="144"/>
  </r>
  <r>
    <x v="144"/>
  </r>
  <r>
    <x v="14"/>
  </r>
  <r>
    <x v="14"/>
  </r>
  <r>
    <x v="138"/>
  </r>
  <r>
    <x v="138"/>
  </r>
  <r>
    <x v="144"/>
  </r>
  <r>
    <x v="144"/>
  </r>
  <r>
    <x v="71"/>
  </r>
  <r>
    <x v="64"/>
  </r>
  <r>
    <x v="162"/>
  </r>
  <r>
    <x v="162"/>
  </r>
  <r>
    <x v="37"/>
  </r>
  <r>
    <x v="28"/>
  </r>
  <r>
    <x v="24"/>
  </r>
  <r>
    <x v="0"/>
  </r>
  <r>
    <x v="0"/>
  </r>
  <r>
    <x v="4"/>
  </r>
  <r>
    <x v="0"/>
  </r>
  <r>
    <x v="71"/>
  </r>
  <r>
    <x v="2"/>
  </r>
  <r>
    <x v="7"/>
  </r>
  <r>
    <x v="144"/>
  </r>
  <r>
    <x v="130"/>
  </r>
  <r>
    <x v="150"/>
  </r>
  <r>
    <x v="138"/>
  </r>
  <r>
    <x v="79"/>
  </r>
  <r>
    <x v="138"/>
  </r>
  <r>
    <x v="37"/>
  </r>
  <r>
    <x v="108"/>
  </r>
  <r>
    <x v="42"/>
  </r>
  <r>
    <x v="28"/>
  </r>
  <r>
    <x v="28"/>
  </r>
  <r>
    <x v="28"/>
  </r>
  <r>
    <x v="28"/>
  </r>
  <r>
    <x v="28"/>
  </r>
  <r>
    <x v="28"/>
  </r>
  <r>
    <x v="4"/>
  </r>
  <r>
    <x v="12"/>
  </r>
  <r>
    <x v="12"/>
  </r>
  <r>
    <x v="4"/>
  </r>
  <r>
    <x v="45"/>
  </r>
  <r>
    <x v="4"/>
  </r>
  <r>
    <x v="7"/>
  </r>
  <r>
    <x v="7"/>
  </r>
  <r>
    <x v="4"/>
  </r>
  <r>
    <x v="28"/>
  </r>
  <r>
    <x v="4"/>
  </r>
  <r>
    <x v="7"/>
  </r>
  <r>
    <x v="89"/>
  </r>
  <r>
    <x v="80"/>
  </r>
  <r>
    <x v="11"/>
  </r>
  <r>
    <x v="37"/>
  </r>
  <r>
    <x v="7"/>
  </r>
  <r>
    <x v="7"/>
  </r>
  <r>
    <x v="28"/>
  </r>
  <r>
    <x v="28"/>
  </r>
  <r>
    <x v="28"/>
  </r>
  <r>
    <x v="28"/>
  </r>
  <r>
    <x v="28"/>
  </r>
  <r>
    <x v="28"/>
  </r>
  <r>
    <x v="56"/>
  </r>
  <r>
    <x v="14"/>
  </r>
  <r>
    <x v="14"/>
  </r>
  <r>
    <x v="0"/>
  </r>
  <r>
    <x v="57"/>
  </r>
  <r>
    <x v="138"/>
  </r>
  <r>
    <x v="138"/>
  </r>
  <r>
    <x v="0"/>
  </r>
  <r>
    <x v="4"/>
  </r>
  <r>
    <x v="144"/>
  </r>
  <r>
    <x v="79"/>
  </r>
  <r>
    <x v="79"/>
  </r>
  <r>
    <x v="79"/>
  </r>
  <r>
    <x v="79"/>
  </r>
  <r>
    <x v="48"/>
  </r>
  <r>
    <x v="56"/>
  </r>
  <r>
    <x v="24"/>
  </r>
  <r>
    <x v="45"/>
  </r>
  <r>
    <x v="0"/>
  </r>
  <r>
    <x v="28"/>
  </r>
  <r>
    <x v="48"/>
  </r>
  <r>
    <x v="2"/>
  </r>
  <r>
    <x v="28"/>
  </r>
  <r>
    <x v="14"/>
  </r>
  <r>
    <x v="14"/>
  </r>
  <r>
    <x v="4"/>
  </r>
  <r>
    <x v="0"/>
  </r>
  <r>
    <x v="12"/>
  </r>
  <r>
    <x v="6"/>
  </r>
  <r>
    <x v="7"/>
  </r>
  <r>
    <x v="7"/>
  </r>
  <r>
    <x v="138"/>
  </r>
  <r>
    <x v="42"/>
  </r>
  <r>
    <x v="9"/>
  </r>
  <r>
    <x v="28"/>
  </r>
  <r>
    <x v="28"/>
  </r>
  <r>
    <x v="28"/>
  </r>
  <r>
    <x v="14"/>
  </r>
  <r>
    <x v="12"/>
  </r>
  <r>
    <x v="24"/>
  </r>
  <r>
    <x v="14"/>
  </r>
  <r>
    <x v="4"/>
  </r>
  <r>
    <x v="24"/>
  </r>
  <r>
    <x v="8"/>
  </r>
  <r>
    <x v="14"/>
  </r>
  <r>
    <x v="150"/>
  </r>
  <r>
    <x v="4"/>
  </r>
  <r>
    <x v="0"/>
  </r>
  <r>
    <x v="28"/>
  </r>
  <r>
    <x v="28"/>
  </r>
  <r>
    <x v="27"/>
  </r>
  <r>
    <x v="7"/>
  </r>
  <r>
    <x v="1"/>
  </r>
  <r>
    <x v="9"/>
  </r>
  <r>
    <x v="27"/>
  </r>
  <r>
    <x v="27"/>
  </r>
  <r>
    <x v="27"/>
  </r>
  <r>
    <x v="138"/>
  </r>
  <r>
    <x v="138"/>
  </r>
  <r>
    <x v="0"/>
  </r>
  <r>
    <x v="4"/>
  </r>
  <r>
    <x v="79"/>
  </r>
  <r>
    <x v="9"/>
  </r>
  <r>
    <x v="9"/>
  </r>
  <r>
    <x v="24"/>
  </r>
  <r>
    <x v="48"/>
  </r>
  <r>
    <x v="48"/>
  </r>
  <r>
    <x v="71"/>
  </r>
  <r>
    <x v="28"/>
  </r>
  <r>
    <x v="28"/>
  </r>
  <r>
    <x v="138"/>
  </r>
  <r>
    <x v="138"/>
  </r>
  <r>
    <x v="162"/>
  </r>
  <r>
    <x v="130"/>
  </r>
  <r>
    <x v="130"/>
  </r>
  <r>
    <x v="71"/>
  </r>
  <r>
    <x v="9"/>
  </r>
  <r>
    <x v="9"/>
  </r>
  <r>
    <x v="79"/>
  </r>
  <r>
    <x v="8"/>
  </r>
  <r>
    <x v="8"/>
  </r>
  <r>
    <x v="8"/>
  </r>
  <r>
    <x v="71"/>
  </r>
  <r>
    <x v="71"/>
  </r>
  <r>
    <x v="71"/>
  </r>
  <r>
    <x v="71"/>
  </r>
  <r>
    <x v="28"/>
  </r>
  <r>
    <x v="57"/>
  </r>
  <r>
    <x v="4"/>
  </r>
  <r>
    <x v="45"/>
  </r>
  <r>
    <x v="28"/>
  </r>
  <r>
    <x v="8"/>
  </r>
  <r>
    <x v="150"/>
  </r>
  <r>
    <x v="48"/>
  </r>
  <r>
    <x v="8"/>
  </r>
  <r>
    <x v="9"/>
  </r>
  <r>
    <x v="9"/>
  </r>
  <r>
    <x v="11"/>
  </r>
  <r>
    <x v="71"/>
  </r>
  <r>
    <x v="28"/>
  </r>
  <r>
    <x v="16"/>
  </r>
  <r>
    <x v="16"/>
  </r>
  <r>
    <x v="16"/>
  </r>
  <r>
    <x v="16"/>
  </r>
  <r>
    <x v="16"/>
  </r>
  <r>
    <x v="16"/>
  </r>
  <r>
    <x v="16"/>
  </r>
  <r>
    <x v="79"/>
  </r>
  <r>
    <x v="10"/>
  </r>
  <r>
    <x v="57"/>
  </r>
  <r>
    <x v="27"/>
  </r>
  <r>
    <x v="31"/>
  </r>
  <r>
    <x v="71"/>
  </r>
  <r>
    <x v="71"/>
  </r>
  <r>
    <x v="9"/>
  </r>
  <r>
    <x v="138"/>
  </r>
  <r>
    <x v="138"/>
  </r>
  <r>
    <x v="10"/>
  </r>
  <r>
    <x v="9"/>
  </r>
  <r>
    <x v="48"/>
  </r>
  <r>
    <x v="162"/>
  </r>
  <r>
    <x v="8"/>
  </r>
  <r>
    <x v="45"/>
  </r>
  <r>
    <x v="144"/>
  </r>
  <r>
    <x v="8"/>
  </r>
  <r>
    <x v="79"/>
  </r>
  <r>
    <x v="10"/>
  </r>
  <r>
    <x v="138"/>
  </r>
  <r>
    <x v="11"/>
  </r>
  <r>
    <x v="11"/>
  </r>
  <r>
    <x v="2"/>
  </r>
  <r>
    <x v="57"/>
  </r>
  <r>
    <x v="3"/>
  </r>
  <r>
    <x v="3"/>
  </r>
  <r>
    <x v="3"/>
  </r>
  <r>
    <x v="57"/>
  </r>
  <r>
    <x v="54"/>
  </r>
  <r>
    <x v="54"/>
  </r>
  <r>
    <x v="22"/>
  </r>
  <r>
    <x v="28"/>
  </r>
  <r>
    <x v="28"/>
  </r>
  <r>
    <x v="10"/>
  </r>
  <r>
    <x v="8"/>
  </r>
  <r>
    <x v="138"/>
  </r>
  <r>
    <x v="28"/>
  </r>
  <r>
    <x v="28"/>
  </r>
  <r>
    <x v="138"/>
  </r>
  <r>
    <x v="138"/>
  </r>
  <r>
    <x v="8"/>
  </r>
  <r>
    <x v="8"/>
  </r>
  <r>
    <x v="79"/>
  </r>
  <r>
    <x v="46"/>
  </r>
  <r>
    <x v="9"/>
  </r>
  <r>
    <x v="11"/>
  </r>
  <r>
    <x v="11"/>
  </r>
  <r>
    <x v="8"/>
  </r>
  <r>
    <x v="28"/>
  </r>
  <r>
    <x v="28"/>
  </r>
  <r>
    <x v="32"/>
  </r>
  <r>
    <x v="10"/>
  </r>
  <r>
    <x v="150"/>
  </r>
  <r>
    <x v="37"/>
  </r>
  <r>
    <x v="37"/>
  </r>
  <r>
    <x v="150"/>
  </r>
  <r>
    <x v="150"/>
  </r>
  <r>
    <x v="71"/>
  </r>
  <r>
    <x v="71"/>
  </r>
  <r>
    <x v="28"/>
  </r>
  <r>
    <x v="412"/>
  </r>
  <r>
    <x v="412"/>
  </r>
  <r>
    <x v="28"/>
  </r>
  <r>
    <x v="28"/>
  </r>
  <r>
    <x v="8"/>
  </r>
  <r>
    <x v="19"/>
  </r>
  <r>
    <x v="0"/>
  </r>
  <r>
    <x v="28"/>
  </r>
  <r>
    <x v="86"/>
  </r>
  <r>
    <x v="8"/>
  </r>
  <r>
    <x v="10"/>
  </r>
  <r>
    <x v="10"/>
  </r>
  <r>
    <x v="22"/>
  </r>
  <r>
    <x v="10"/>
  </r>
  <r>
    <x v="16"/>
  </r>
  <r>
    <x v="144"/>
  </r>
  <r>
    <x v="59"/>
  </r>
  <r>
    <x v="9"/>
  </r>
  <r>
    <x v="9"/>
  </r>
  <r>
    <x v="43"/>
  </r>
  <r>
    <x v="46"/>
  </r>
  <r>
    <x v="42"/>
  </r>
  <r>
    <x v="0"/>
  </r>
  <r>
    <x v="4"/>
  </r>
  <r>
    <x v="54"/>
  </r>
  <r>
    <x v="123"/>
  </r>
  <r>
    <x v="123"/>
  </r>
  <r>
    <x v="123"/>
  </r>
  <r>
    <x v="2"/>
  </r>
  <r>
    <x v="7"/>
  </r>
  <r>
    <x v="7"/>
  </r>
  <r>
    <x v="7"/>
  </r>
  <r>
    <x v="22"/>
  </r>
  <r>
    <x v="22"/>
  </r>
  <r>
    <x v="22"/>
  </r>
  <r>
    <x v="48"/>
  </r>
  <r>
    <x v="50"/>
  </r>
  <r>
    <x v="28"/>
  </r>
  <r>
    <x v="28"/>
  </r>
  <r>
    <x v="27"/>
  </r>
  <r>
    <x v="55"/>
  </r>
  <r>
    <x v="69"/>
  </r>
  <r>
    <x v="14"/>
  </r>
  <r>
    <x v="76"/>
  </r>
  <r>
    <x v="10"/>
  </r>
  <r>
    <x v="10"/>
  </r>
  <r>
    <x v="0"/>
  </r>
  <r>
    <x v="24"/>
  </r>
  <r>
    <x v="10"/>
  </r>
  <r>
    <x v="36"/>
  </r>
  <r>
    <x v="45"/>
  </r>
  <r>
    <x v="45"/>
  </r>
  <r>
    <x v="45"/>
  </r>
  <r>
    <x v="45"/>
  </r>
  <r>
    <x v="86"/>
  </r>
  <r>
    <x v="63"/>
  </r>
  <r>
    <x v="42"/>
  </r>
  <r>
    <x v="21"/>
  </r>
  <r>
    <x v="138"/>
  </r>
  <r>
    <x v="0"/>
  </r>
  <r>
    <x v="10"/>
  </r>
  <r>
    <x v="9"/>
  </r>
  <r>
    <x v="7"/>
  </r>
  <r>
    <x v="123"/>
  </r>
  <r>
    <x v="10"/>
  </r>
  <r>
    <x v="9"/>
  </r>
  <r>
    <x v="57"/>
  </r>
  <r>
    <x v="12"/>
  </r>
  <r>
    <x v="36"/>
  </r>
  <r>
    <x v="24"/>
  </r>
  <r>
    <x v="7"/>
  </r>
  <r>
    <x v="42"/>
  </r>
  <r>
    <x v="123"/>
  </r>
  <r>
    <x v="123"/>
  </r>
  <r>
    <x v="123"/>
  </r>
  <r>
    <x v="123"/>
  </r>
  <r>
    <x v="123"/>
  </r>
  <r>
    <x v="79"/>
  </r>
  <r>
    <x v="123"/>
  </r>
  <r>
    <x v="123"/>
  </r>
  <r>
    <x v="28"/>
  </r>
  <r>
    <x v="28"/>
  </r>
  <r>
    <x v="2"/>
  </r>
  <r>
    <x v="12"/>
  </r>
  <r>
    <x v="42"/>
  </r>
  <r>
    <x v="31"/>
  </r>
  <r>
    <x v="87"/>
  </r>
  <r>
    <x v="12"/>
  </r>
  <r>
    <x v="12"/>
  </r>
  <r>
    <x v="12"/>
  </r>
  <r>
    <x v="12"/>
  </r>
  <r>
    <x v="12"/>
  </r>
  <r>
    <x v="12"/>
  </r>
  <r>
    <x v="12"/>
  </r>
  <r>
    <x v="12"/>
  </r>
  <r>
    <x v="14"/>
  </r>
  <r>
    <x v="14"/>
  </r>
  <r>
    <x v="14"/>
  </r>
  <r>
    <x v="14"/>
  </r>
  <r>
    <x v="14"/>
  </r>
  <r>
    <x v="57"/>
  </r>
  <r>
    <x v="57"/>
  </r>
  <r>
    <x v="56"/>
  </r>
  <r>
    <x v="56"/>
  </r>
  <r>
    <x v="0"/>
  </r>
  <r>
    <x v="56"/>
  </r>
  <r>
    <x v="56"/>
  </r>
  <r>
    <x v="56"/>
  </r>
  <r>
    <x v="12"/>
  </r>
  <r>
    <x v="164"/>
  </r>
  <r>
    <x v="56"/>
  </r>
  <r>
    <x v="71"/>
  </r>
  <r>
    <x v="22"/>
  </r>
  <r>
    <x v="63"/>
  </r>
  <r>
    <x v="89"/>
  </r>
  <r>
    <x v="63"/>
  </r>
  <r>
    <x v="32"/>
  </r>
  <r>
    <x v="63"/>
  </r>
  <r>
    <x v="63"/>
  </r>
  <r>
    <x v="19"/>
  </r>
  <r>
    <x v="79"/>
  </r>
  <r>
    <x v="79"/>
  </r>
  <r>
    <x v="19"/>
  </r>
  <r>
    <x v="19"/>
  </r>
  <r>
    <x v="28"/>
  </r>
  <r>
    <x v="7"/>
  </r>
  <r>
    <x v="28"/>
  </r>
  <r>
    <x v="9"/>
  </r>
  <r>
    <x v="9"/>
  </r>
  <r>
    <x v="19"/>
  </r>
  <r>
    <x v="19"/>
  </r>
  <r>
    <x v="19"/>
  </r>
  <r>
    <x v="28"/>
  </r>
  <r>
    <x v="24"/>
  </r>
  <r>
    <x v="123"/>
  </r>
  <r>
    <x v="42"/>
  </r>
  <r>
    <x v="42"/>
  </r>
  <r>
    <x v="42"/>
  </r>
  <r>
    <x v="28"/>
  </r>
  <r>
    <x v="11"/>
  </r>
  <r>
    <x v="11"/>
  </r>
  <r>
    <x v="16"/>
  </r>
  <r>
    <x v="53"/>
  </r>
  <r>
    <x v="19"/>
  </r>
  <r>
    <x v="19"/>
  </r>
  <r>
    <x v="19"/>
  </r>
  <r>
    <x v="19"/>
  </r>
  <r>
    <x v="84"/>
  </r>
  <r>
    <x v="28"/>
  </r>
  <r>
    <x v="19"/>
  </r>
  <r>
    <x v="19"/>
  </r>
  <r>
    <x v="22"/>
  </r>
  <r>
    <x v="28"/>
  </r>
  <r>
    <x v="57"/>
  </r>
  <r>
    <x v="123"/>
  </r>
  <r>
    <x v="4"/>
  </r>
  <r>
    <x v="2"/>
  </r>
  <r>
    <x v="79"/>
  </r>
  <r>
    <x v="21"/>
  </r>
  <r>
    <x v="12"/>
  </r>
  <r>
    <x v="11"/>
  </r>
  <r>
    <x v="11"/>
  </r>
  <r>
    <x v="59"/>
  </r>
  <r>
    <x v="27"/>
  </r>
  <r>
    <x v="32"/>
  </r>
  <r>
    <x v="28"/>
  </r>
  <r>
    <x v="28"/>
  </r>
  <r>
    <x v="28"/>
  </r>
  <r>
    <x v="10"/>
  </r>
  <r>
    <x v="7"/>
  </r>
  <r>
    <x v="4"/>
  </r>
  <r>
    <x v="28"/>
  </r>
  <r>
    <x v="21"/>
  </r>
  <r>
    <x v="12"/>
  </r>
  <r>
    <x v="14"/>
  </r>
  <r>
    <x v="14"/>
  </r>
  <r>
    <x v="14"/>
  </r>
  <r>
    <x v="14"/>
  </r>
  <r>
    <x v="16"/>
  </r>
  <r>
    <x v="16"/>
  </r>
  <r>
    <x v="12"/>
  </r>
  <r>
    <x v="28"/>
  </r>
  <r>
    <x v="71"/>
  </r>
  <r>
    <x v="4"/>
  </r>
  <r>
    <x v="4"/>
  </r>
  <r>
    <x v="29"/>
  </r>
  <r>
    <x v="28"/>
  </r>
  <r>
    <x v="28"/>
  </r>
  <r>
    <x v="12"/>
  </r>
  <r>
    <x v="16"/>
  </r>
  <r>
    <x v="28"/>
  </r>
  <r>
    <x v="87"/>
  </r>
  <r>
    <x v="7"/>
  </r>
  <r>
    <x v="12"/>
  </r>
  <r>
    <x v="10"/>
  </r>
  <r>
    <x v="9"/>
  </r>
  <r>
    <x v="16"/>
  </r>
  <r>
    <x v="9"/>
  </r>
  <r>
    <x v="78"/>
  </r>
  <r>
    <x v="32"/>
  </r>
  <r>
    <x v="21"/>
  </r>
  <r>
    <x v="79"/>
  </r>
  <r>
    <x v="78"/>
  </r>
  <r>
    <x v="19"/>
  </r>
  <r>
    <x v="16"/>
  </r>
  <r>
    <x v="20"/>
  </r>
  <r>
    <x v="53"/>
  </r>
  <r>
    <x v="53"/>
  </r>
  <r>
    <x v="71"/>
  </r>
  <r>
    <x v="14"/>
  </r>
  <r>
    <x v="14"/>
  </r>
  <r>
    <x v="10"/>
  </r>
  <r>
    <x v="10"/>
  </r>
  <r>
    <x v="10"/>
  </r>
  <r>
    <x v="10"/>
  </r>
  <r>
    <x v="4"/>
  </r>
  <r>
    <x v="53"/>
  </r>
  <r>
    <x v="53"/>
  </r>
  <r>
    <x v="14"/>
  </r>
  <r>
    <x v="16"/>
  </r>
  <r>
    <x v="79"/>
  </r>
  <r>
    <x v="2"/>
  </r>
  <r>
    <x v="16"/>
  </r>
  <r>
    <x v="14"/>
  </r>
  <r>
    <x v="14"/>
  </r>
  <r>
    <x v="14"/>
  </r>
  <r>
    <x v="53"/>
  </r>
  <r>
    <x v="14"/>
  </r>
  <r>
    <x v="53"/>
  </r>
  <r>
    <x v="21"/>
  </r>
  <r>
    <x v="53"/>
  </r>
  <r>
    <x v="4"/>
  </r>
  <r>
    <x v="79"/>
  </r>
  <r>
    <x v="53"/>
  </r>
  <r>
    <x v="53"/>
  </r>
  <r>
    <x v="23"/>
  </r>
  <r>
    <x v="20"/>
  </r>
  <r>
    <x v="28"/>
  </r>
  <r>
    <x v="21"/>
  </r>
  <r>
    <x v="9"/>
  </r>
  <r>
    <x v="9"/>
  </r>
  <r>
    <x v="84"/>
  </r>
  <r>
    <x v="4"/>
  </r>
  <r>
    <x v="17"/>
  </r>
  <r>
    <x v="17"/>
  </r>
  <r>
    <x v="14"/>
  </r>
  <r>
    <x v="14"/>
  </r>
  <r>
    <x v="71"/>
  </r>
  <r>
    <x v="71"/>
  </r>
  <r>
    <x v="71"/>
  </r>
  <r>
    <x v="79"/>
  </r>
  <r>
    <x v="14"/>
  </r>
  <r>
    <x v="48"/>
  </r>
  <r>
    <x v="53"/>
  </r>
  <r>
    <x v="24"/>
  </r>
  <r>
    <x v="55"/>
  </r>
  <r>
    <x v="16"/>
  </r>
  <r>
    <x v="16"/>
  </r>
  <r>
    <x v="16"/>
  </r>
  <r>
    <x v="14"/>
  </r>
  <r>
    <x v="10"/>
  </r>
  <r>
    <x v="10"/>
  </r>
  <r>
    <x v="10"/>
  </r>
  <r>
    <x v="53"/>
  </r>
  <r>
    <x v="53"/>
  </r>
  <r>
    <x v="53"/>
  </r>
  <r>
    <x v="11"/>
  </r>
  <r>
    <x v="12"/>
  </r>
  <r>
    <x v="28"/>
  </r>
  <r>
    <x v="4"/>
  </r>
  <r>
    <x v="17"/>
  </r>
  <r>
    <x v="45"/>
  </r>
  <r>
    <x v="71"/>
  </r>
  <r>
    <x v="22"/>
  </r>
  <r>
    <x v="22"/>
  </r>
  <r>
    <x v="28"/>
  </r>
  <r>
    <x v="42"/>
  </r>
  <r>
    <x v="14"/>
  </r>
  <r>
    <x v="7"/>
  </r>
  <r>
    <x v="0"/>
  </r>
  <r>
    <x v="4"/>
  </r>
  <r>
    <x v="22"/>
  </r>
  <r>
    <x v="7"/>
  </r>
  <r>
    <x v="9"/>
  </r>
  <r>
    <x v="14"/>
  </r>
  <r>
    <x v="42"/>
  </r>
  <r>
    <x v="76"/>
  </r>
  <r>
    <x v="14"/>
  </r>
  <r>
    <x v="42"/>
  </r>
  <r>
    <x v="57"/>
  </r>
  <r>
    <x v="71"/>
  </r>
  <r>
    <x v="71"/>
  </r>
  <r>
    <x v="71"/>
  </r>
  <r>
    <x v="10"/>
  </r>
  <r>
    <x v="71"/>
  </r>
  <r>
    <x v="56"/>
  </r>
  <r>
    <x v="56"/>
  </r>
  <r>
    <x v="56"/>
  </r>
  <r>
    <x v="16"/>
  </r>
  <r>
    <x v="22"/>
  </r>
  <r>
    <x v="53"/>
  </r>
  <r>
    <x v="12"/>
  </r>
  <r>
    <x v="12"/>
  </r>
  <r>
    <x v="6"/>
  </r>
  <r>
    <x v="28"/>
  </r>
  <r>
    <x v="28"/>
  </r>
  <r>
    <x v="76"/>
  </r>
  <r>
    <x v="76"/>
  </r>
  <r>
    <x v="71"/>
  </r>
  <r>
    <x v="71"/>
  </r>
  <r>
    <x v="71"/>
  </r>
  <r>
    <x v="53"/>
  </r>
  <r>
    <x v="71"/>
  </r>
  <r>
    <x v="0"/>
  </r>
  <r>
    <x v="86"/>
  </r>
  <r>
    <x v="21"/>
  </r>
  <r>
    <x v="71"/>
  </r>
  <r>
    <x v="71"/>
  </r>
  <r>
    <x v="71"/>
  </r>
  <r>
    <x v="71"/>
  </r>
  <r>
    <x v="57"/>
  </r>
  <r>
    <x v="56"/>
  </r>
  <r>
    <x v="4"/>
  </r>
  <r>
    <x v="63"/>
  </r>
  <r>
    <x v="63"/>
  </r>
  <r>
    <x v="63"/>
  </r>
  <r>
    <x v="63"/>
  </r>
  <r>
    <x v="63"/>
  </r>
  <r>
    <x v="63"/>
  </r>
  <r>
    <x v="53"/>
  </r>
  <r>
    <x v="2"/>
  </r>
  <r>
    <x v="2"/>
  </r>
  <r>
    <x v="2"/>
  </r>
  <r>
    <x v="45"/>
  </r>
  <r>
    <x v="42"/>
  </r>
  <r>
    <x v="45"/>
  </r>
  <r>
    <x v="45"/>
  </r>
  <r>
    <x v="57"/>
  </r>
  <r>
    <x v="233"/>
  </r>
  <r>
    <x v="2"/>
  </r>
  <r>
    <x v="45"/>
  </r>
  <r>
    <x v="29"/>
  </r>
  <r>
    <x v="29"/>
  </r>
  <r>
    <x v="71"/>
  </r>
  <r>
    <x v="16"/>
  </r>
  <r>
    <x v="14"/>
  </r>
  <r>
    <x v="7"/>
  </r>
  <r>
    <x v="123"/>
  </r>
  <r>
    <x v="28"/>
  </r>
  <r>
    <x v="56"/>
  </r>
  <r>
    <x v="11"/>
  </r>
  <r>
    <x v="7"/>
  </r>
  <r>
    <x v="136"/>
  </r>
  <r>
    <x v="4"/>
  </r>
  <r>
    <x v="12"/>
  </r>
  <r>
    <x v="25"/>
  </r>
  <r>
    <x v="25"/>
  </r>
  <r>
    <x v="25"/>
  </r>
  <r>
    <x v="25"/>
  </r>
  <r>
    <x v="146"/>
  </r>
  <r>
    <x v="10"/>
  </r>
  <r>
    <x v="0"/>
  </r>
  <r>
    <x v="78"/>
  </r>
  <r>
    <x v="0"/>
  </r>
  <r>
    <x v="25"/>
  </r>
  <r>
    <x v="48"/>
  </r>
  <r>
    <x v="122"/>
  </r>
  <r>
    <x v="128"/>
  </r>
  <r>
    <x v="128"/>
  </r>
  <r>
    <x v="25"/>
  </r>
  <r>
    <x v="138"/>
  </r>
  <r>
    <x v="50"/>
  </r>
  <r>
    <x v="7"/>
  </r>
  <r>
    <x v="7"/>
  </r>
  <r>
    <x v="7"/>
  </r>
  <r>
    <x v="34"/>
  </r>
  <r>
    <x v="4"/>
  </r>
  <r>
    <x v="52"/>
  </r>
  <r>
    <x v="28"/>
  </r>
  <r>
    <x v="48"/>
  </r>
  <r>
    <x v="141"/>
  </r>
  <r>
    <x v="12"/>
  </r>
  <r>
    <x v="4"/>
  </r>
  <r>
    <x v="11"/>
  </r>
  <r>
    <x v="168"/>
  </r>
  <r>
    <x v="108"/>
  </r>
  <r>
    <x v="123"/>
  </r>
  <r>
    <x v="123"/>
  </r>
  <r>
    <x v="138"/>
  </r>
  <r>
    <x v="71"/>
  </r>
  <r>
    <x v="37"/>
  </r>
  <r>
    <x v="12"/>
  </r>
  <r>
    <x v="135"/>
  </r>
  <r>
    <x v="123"/>
  </r>
  <r>
    <x v="14"/>
  </r>
  <r>
    <x v="50"/>
  </r>
  <r>
    <x v="42"/>
  </r>
  <r>
    <x v="144"/>
  </r>
  <r>
    <x v="123"/>
  </r>
  <r>
    <x v="1"/>
  </r>
  <r>
    <x v="42"/>
  </r>
  <r>
    <x v="79"/>
  </r>
  <r>
    <x v="29"/>
  </r>
  <r>
    <x v="29"/>
  </r>
  <r>
    <x v="77"/>
  </r>
  <r>
    <x v="298"/>
  </r>
  <r>
    <x v="10"/>
  </r>
  <r>
    <x v="0"/>
  </r>
  <r>
    <x v="7"/>
  </r>
  <r>
    <x v="28"/>
  </r>
  <r>
    <x v="90"/>
  </r>
  <r>
    <x v="90"/>
  </r>
  <r>
    <x v="11"/>
  </r>
  <r>
    <x v="12"/>
  </r>
  <r>
    <x v="28"/>
  </r>
  <r>
    <x v="14"/>
  </r>
  <r>
    <x v="14"/>
  </r>
  <r>
    <x v="14"/>
  </r>
  <r>
    <x v="14"/>
  </r>
  <r>
    <x v="14"/>
  </r>
  <r>
    <x v="14"/>
  </r>
  <r>
    <x v="21"/>
  </r>
  <r>
    <x v="21"/>
  </r>
  <r>
    <x v="24"/>
  </r>
  <r>
    <x v="0"/>
  </r>
  <r>
    <x v="76"/>
  </r>
  <r>
    <x v="14"/>
  </r>
  <r>
    <x v="4"/>
  </r>
  <r>
    <x v="4"/>
  </r>
  <r>
    <x v="17"/>
  </r>
  <r>
    <x v="14"/>
  </r>
  <r>
    <x v="14"/>
  </r>
  <r>
    <x v="14"/>
  </r>
  <r>
    <x v="31"/>
  </r>
  <r>
    <x v="9"/>
  </r>
  <r>
    <x v="86"/>
  </r>
  <r>
    <x v="16"/>
  </r>
  <r>
    <x v="16"/>
  </r>
  <r>
    <x v="0"/>
  </r>
  <r>
    <x v="16"/>
  </r>
  <r>
    <x v="16"/>
  </r>
  <r>
    <x v="16"/>
  </r>
  <r>
    <x v="22"/>
  </r>
  <r>
    <x v="11"/>
  </r>
  <r>
    <x v="11"/>
  </r>
  <r>
    <x v="19"/>
  </r>
  <r>
    <x v="42"/>
  </r>
  <r>
    <x v="57"/>
  </r>
  <r>
    <x v="28"/>
  </r>
  <r>
    <x v="57"/>
  </r>
  <r>
    <x v="28"/>
  </r>
  <r>
    <x v="79"/>
  </r>
  <r>
    <x v="79"/>
  </r>
  <r>
    <x v="79"/>
  </r>
  <r>
    <x v="29"/>
  </r>
  <r>
    <x v="55"/>
  </r>
  <r>
    <x v="31"/>
  </r>
  <r>
    <x v="11"/>
  </r>
  <r>
    <x v="14"/>
  </r>
  <r>
    <x v="28"/>
  </r>
  <r>
    <x v="28"/>
  </r>
  <r>
    <x v="14"/>
  </r>
  <r>
    <x v="14"/>
  </r>
  <r>
    <x v="14"/>
  </r>
  <r>
    <x v="14"/>
  </r>
  <r>
    <x v="28"/>
  </r>
  <r>
    <x v="28"/>
  </r>
  <r>
    <x v="28"/>
  </r>
  <r>
    <x v="17"/>
  </r>
  <r>
    <x v="17"/>
  </r>
  <r>
    <x v="19"/>
  </r>
  <r>
    <x v="12"/>
  </r>
  <r>
    <x v="4"/>
  </r>
  <r>
    <x v="42"/>
  </r>
  <r>
    <x v="19"/>
  </r>
  <r>
    <x v="19"/>
  </r>
  <r>
    <x v="19"/>
  </r>
  <r>
    <x v="19"/>
  </r>
  <r>
    <x v="31"/>
  </r>
  <r>
    <x v="31"/>
  </r>
  <r>
    <x v="31"/>
  </r>
  <r>
    <x v="28"/>
  </r>
  <r>
    <x v="28"/>
  </r>
  <r>
    <x v="29"/>
  </r>
  <r>
    <x v="28"/>
  </r>
  <r>
    <x v="14"/>
  </r>
  <r>
    <x v="7"/>
  </r>
  <r>
    <x v="7"/>
  </r>
  <r>
    <x v="7"/>
  </r>
  <r>
    <x v="7"/>
  </r>
  <r>
    <x v="7"/>
  </r>
  <r>
    <x v="123"/>
  </r>
  <r>
    <x v="71"/>
  </r>
  <r>
    <x v="71"/>
  </r>
  <r>
    <x v="16"/>
  </r>
  <r>
    <x v="31"/>
  </r>
  <r>
    <x v="31"/>
  </r>
  <r>
    <x v="14"/>
  </r>
  <r>
    <x v="29"/>
  </r>
  <r>
    <x v="29"/>
  </r>
  <r>
    <x v="31"/>
  </r>
  <r>
    <x v="24"/>
  </r>
  <r>
    <x v="1"/>
  </r>
  <r>
    <x v="28"/>
  </r>
  <r>
    <x v="28"/>
  </r>
  <r>
    <x v="28"/>
  </r>
  <r>
    <x v="7"/>
  </r>
  <r>
    <x v="12"/>
  </r>
  <r>
    <x v="28"/>
  </r>
  <r>
    <x v="28"/>
  </r>
  <r>
    <x v="12"/>
  </r>
  <r>
    <x v="12"/>
  </r>
  <r>
    <x v="12"/>
  </r>
  <r>
    <x v="14"/>
  </r>
  <r>
    <x v="56"/>
  </r>
  <r>
    <x v="12"/>
  </r>
  <r>
    <x v="43"/>
  </r>
  <r>
    <x v="12"/>
  </r>
  <r>
    <x v="77"/>
  </r>
  <r>
    <x v="54"/>
  </r>
  <r>
    <x v="54"/>
  </r>
  <r>
    <x v="42"/>
  </r>
  <r>
    <x v="48"/>
  </r>
  <r>
    <x v="81"/>
  </r>
  <r>
    <x v="28"/>
  </r>
  <r>
    <x v="28"/>
  </r>
  <r>
    <x v="9"/>
  </r>
  <r>
    <x v="28"/>
  </r>
  <r>
    <x v="72"/>
  </r>
  <r>
    <x v="72"/>
  </r>
  <r>
    <x v="72"/>
  </r>
  <r>
    <x v="87"/>
  </r>
  <r>
    <x v="87"/>
  </r>
  <r>
    <x v="63"/>
  </r>
  <r>
    <x v="87"/>
  </r>
  <r>
    <x v="87"/>
  </r>
  <r>
    <x v="87"/>
  </r>
  <r>
    <x v="87"/>
  </r>
  <r>
    <x v="15"/>
  </r>
  <r>
    <x v="25"/>
  </r>
  <r>
    <x v="27"/>
  </r>
  <r>
    <x v="251"/>
  </r>
  <r>
    <x v="2"/>
  </r>
  <r>
    <x v="8"/>
  </r>
  <r>
    <x v="8"/>
  </r>
  <r>
    <x v="8"/>
  </r>
  <r>
    <x v="4"/>
  </r>
  <r>
    <x v="0"/>
  </r>
  <r>
    <x v="86"/>
  </r>
  <r>
    <x v="9"/>
  </r>
  <r>
    <x v="4"/>
  </r>
  <r>
    <x v="9"/>
  </r>
  <r>
    <x v="11"/>
  </r>
  <r>
    <x v="56"/>
  </r>
  <r>
    <x v="17"/>
  </r>
  <r>
    <x v="56"/>
  </r>
  <r>
    <x v="12"/>
  </r>
  <r>
    <x v="182"/>
  </r>
  <r>
    <x v="32"/>
  </r>
  <r>
    <x v="31"/>
  </r>
  <r>
    <x v="29"/>
  </r>
  <r>
    <x v="14"/>
  </r>
  <r>
    <x v="42"/>
  </r>
  <r>
    <x v="14"/>
  </r>
  <r>
    <x v="141"/>
  </r>
  <r>
    <x v="45"/>
  </r>
  <r>
    <x v="79"/>
  </r>
  <r>
    <x v="122"/>
  </r>
  <r>
    <x v="42"/>
  </r>
  <r>
    <x v="7"/>
  </r>
  <r>
    <x v="2"/>
  </r>
  <r>
    <x v="22"/>
  </r>
  <r>
    <x v="31"/>
  </r>
  <r>
    <x v="31"/>
  </r>
  <r>
    <x v="4"/>
  </r>
  <r>
    <x v="32"/>
  </r>
  <r>
    <x v="42"/>
  </r>
  <r>
    <x v="8"/>
  </r>
  <r>
    <x v="32"/>
  </r>
  <r>
    <x v="37"/>
  </r>
  <r>
    <x v="14"/>
  </r>
  <r>
    <x v="25"/>
  </r>
  <r>
    <x v="32"/>
  </r>
  <r>
    <x v="28"/>
  </r>
  <r>
    <x v="28"/>
  </r>
  <r>
    <x v="42"/>
  </r>
  <r>
    <x v="2"/>
  </r>
  <r>
    <x v="2"/>
  </r>
  <r>
    <x v="2"/>
  </r>
  <r>
    <x v="2"/>
  </r>
  <r>
    <x v="8"/>
  </r>
  <r>
    <x v="4"/>
  </r>
  <r>
    <x v="8"/>
  </r>
  <r>
    <x v="4"/>
  </r>
  <r>
    <x v="45"/>
  </r>
  <r>
    <x v="45"/>
  </r>
  <r>
    <x v="27"/>
  </r>
  <r>
    <x v="22"/>
  </r>
  <r>
    <x v="57"/>
  </r>
  <r>
    <x v="1"/>
  </r>
  <r>
    <x v="1"/>
  </r>
  <r>
    <x v="15"/>
  </r>
  <r>
    <x v="24"/>
  </r>
  <r>
    <x v="52"/>
  </r>
  <r>
    <x v="7"/>
  </r>
  <r>
    <x v="24"/>
  </r>
  <r>
    <x v="24"/>
  </r>
  <r>
    <x v="52"/>
  </r>
  <r>
    <x v="52"/>
  </r>
  <r>
    <x v="52"/>
  </r>
  <r>
    <x v="52"/>
  </r>
  <r>
    <x v="19"/>
  </r>
  <r>
    <x v="12"/>
  </r>
  <r>
    <x v="24"/>
  </r>
  <r>
    <x v="12"/>
  </r>
  <r>
    <x v="14"/>
  </r>
  <r>
    <x v="56"/>
  </r>
  <r>
    <x v="12"/>
  </r>
  <r>
    <x v="28"/>
  </r>
  <r>
    <x v="24"/>
  </r>
  <r>
    <x v="19"/>
  </r>
  <r>
    <x v="79"/>
  </r>
  <r>
    <x v="11"/>
  </r>
  <r>
    <x v="12"/>
  </r>
  <r>
    <x v="12"/>
  </r>
  <r>
    <x v="12"/>
  </r>
  <r>
    <x v="37"/>
  </r>
  <r>
    <x v="14"/>
  </r>
  <r>
    <x v="57"/>
  </r>
  <r>
    <x v="37"/>
  </r>
  <r>
    <x v="2"/>
  </r>
  <r>
    <x v="2"/>
  </r>
  <r>
    <x v="28"/>
  </r>
  <r>
    <x v="43"/>
  </r>
  <r>
    <x v="29"/>
  </r>
  <r>
    <x v="29"/>
  </r>
  <r>
    <x v="29"/>
  </r>
  <r>
    <x v="45"/>
  </r>
  <r>
    <x v="2"/>
  </r>
  <r>
    <x v="2"/>
  </r>
  <r>
    <x v="2"/>
  </r>
  <r>
    <x v="2"/>
  </r>
  <r>
    <x v="2"/>
  </r>
  <r>
    <x v="28"/>
  </r>
  <r>
    <x v="28"/>
  </r>
  <r>
    <x v="28"/>
  </r>
  <r>
    <x v="28"/>
  </r>
  <r>
    <x v="28"/>
  </r>
  <r>
    <x v="12"/>
  </r>
  <r>
    <x v="11"/>
  </r>
  <r>
    <x v="11"/>
  </r>
  <r>
    <x v="43"/>
  </r>
  <r>
    <x v="12"/>
  </r>
  <r>
    <x v="12"/>
  </r>
  <r>
    <x v="12"/>
  </r>
  <r>
    <x v="12"/>
  </r>
  <r>
    <x v="12"/>
  </r>
  <r>
    <x v="12"/>
  </r>
  <r>
    <x v="2"/>
  </r>
  <r>
    <x v="12"/>
  </r>
  <r>
    <x v="79"/>
  </r>
  <r>
    <x v="28"/>
  </r>
  <r>
    <x v="12"/>
  </r>
  <r>
    <x v="0"/>
  </r>
  <r>
    <x v="0"/>
  </r>
  <r>
    <x v="16"/>
  </r>
  <r>
    <x v="12"/>
  </r>
  <r>
    <x v="14"/>
  </r>
  <r>
    <x v="10"/>
  </r>
  <r>
    <x v="14"/>
  </r>
  <r>
    <x v="14"/>
  </r>
  <r>
    <x v="14"/>
  </r>
  <r>
    <x v="10"/>
  </r>
  <r>
    <x v="0"/>
  </r>
  <r>
    <x v="9"/>
  </r>
  <r>
    <x v="57"/>
  </r>
  <r>
    <x v="57"/>
  </r>
  <r>
    <x v="12"/>
  </r>
  <r>
    <x v="204"/>
  </r>
  <r>
    <x v="31"/>
  </r>
  <r>
    <x v="29"/>
  </r>
  <r>
    <x v="123"/>
  </r>
  <r>
    <x v="123"/>
  </r>
  <r>
    <x v="123"/>
  </r>
  <r>
    <x v="31"/>
  </r>
  <r>
    <x v="31"/>
  </r>
  <r>
    <x v="48"/>
  </r>
  <r>
    <x v="1"/>
  </r>
  <r>
    <x v="0"/>
  </r>
  <r>
    <x v="31"/>
  </r>
  <r>
    <x v="19"/>
  </r>
  <r>
    <x v="249"/>
  </r>
  <r>
    <x v="12"/>
  </r>
  <r>
    <x v="56"/>
  </r>
  <r>
    <x v="43"/>
  </r>
  <r>
    <x v="7"/>
  </r>
  <r>
    <x v="182"/>
  </r>
  <r>
    <x v="182"/>
  </r>
  <r>
    <x v="0"/>
  </r>
  <r>
    <x v="12"/>
  </r>
  <r>
    <x v="42"/>
  </r>
  <r>
    <x v="11"/>
  </r>
  <r>
    <x v="2"/>
  </r>
  <r>
    <x v="42"/>
  </r>
  <r>
    <x v="42"/>
  </r>
  <r>
    <x v="42"/>
  </r>
  <r>
    <x v="251"/>
  </r>
  <r>
    <x v="42"/>
  </r>
  <r>
    <x v="42"/>
  </r>
  <r>
    <x v="14"/>
  </r>
  <r>
    <x v="14"/>
  </r>
  <r>
    <x v="11"/>
  </r>
  <r>
    <x v="144"/>
  </r>
  <r>
    <x v="42"/>
  </r>
  <r>
    <x v="14"/>
  </r>
  <r>
    <x v="14"/>
  </r>
  <r>
    <x v="14"/>
  </r>
  <r>
    <x v="22"/>
  </r>
  <r>
    <x v="12"/>
  </r>
  <r>
    <x v="28"/>
  </r>
  <r>
    <x v="28"/>
  </r>
  <r>
    <x v="12"/>
  </r>
  <r>
    <x v="28"/>
  </r>
  <r>
    <x v="19"/>
  </r>
  <r>
    <x v="12"/>
  </r>
  <r>
    <x v="12"/>
  </r>
  <r>
    <x v="42"/>
  </r>
  <r>
    <x v="2"/>
  </r>
  <r>
    <x v="12"/>
  </r>
  <r>
    <x v="12"/>
  </r>
  <r>
    <x v="12"/>
  </r>
  <r>
    <x v="14"/>
  </r>
  <r>
    <x v="138"/>
  </r>
  <r>
    <x v="10"/>
  </r>
  <r>
    <x v="24"/>
  </r>
  <r>
    <x v="71"/>
  </r>
  <r>
    <x v="16"/>
  </r>
  <r>
    <x v="4"/>
  </r>
  <r>
    <x v="2"/>
  </r>
  <r>
    <x v="207"/>
  </r>
  <r>
    <x v="76"/>
  </r>
  <r>
    <x v="10"/>
  </r>
  <r>
    <x v="10"/>
  </r>
  <r>
    <x v="17"/>
  </r>
  <r>
    <x v="10"/>
  </r>
  <r>
    <x v="10"/>
  </r>
  <r>
    <x v="48"/>
  </r>
  <r>
    <x v="10"/>
  </r>
  <r>
    <x v="79"/>
  </r>
  <r>
    <x v="77"/>
  </r>
  <r>
    <x v="25"/>
  </r>
  <r>
    <x v="143"/>
  </r>
  <r>
    <x v="57"/>
  </r>
  <r>
    <x v="138"/>
  </r>
  <r>
    <x v="9"/>
  </r>
  <r>
    <x v="10"/>
  </r>
  <r>
    <x v="46"/>
  </r>
  <r>
    <x v="12"/>
  </r>
  <r>
    <x v="45"/>
  </r>
  <r>
    <x v="19"/>
  </r>
  <r>
    <x v="28"/>
  </r>
  <r>
    <x v="2"/>
  </r>
  <r>
    <x v="45"/>
  </r>
  <r>
    <x v="4"/>
  </r>
  <r>
    <x v="135"/>
  </r>
  <r>
    <x v="48"/>
  </r>
  <r>
    <x v="12"/>
  </r>
  <r>
    <x v="28"/>
  </r>
  <r>
    <x v="9"/>
  </r>
  <r>
    <x v="9"/>
  </r>
  <r>
    <x v="19"/>
  </r>
  <r>
    <x v="11"/>
  </r>
  <r>
    <x v="11"/>
  </r>
  <r>
    <x v="10"/>
  </r>
  <r>
    <x v="9"/>
  </r>
  <r>
    <x v="24"/>
  </r>
  <r>
    <x v="0"/>
  </r>
  <r>
    <x v="9"/>
  </r>
  <r>
    <x v="16"/>
  </r>
  <r>
    <x v="1"/>
  </r>
  <r>
    <x v="1"/>
  </r>
  <r>
    <x v="1"/>
  </r>
  <r>
    <x v="28"/>
  </r>
  <r>
    <x v="14"/>
  </r>
  <r>
    <x v="115"/>
  </r>
  <r>
    <x v="21"/>
  </r>
  <r>
    <x v="4"/>
  </r>
  <r>
    <x v="57"/>
  </r>
  <r>
    <x v="37"/>
  </r>
  <r>
    <x v="12"/>
  </r>
  <r>
    <x v="12"/>
  </r>
  <r>
    <x v="4"/>
  </r>
  <r>
    <x v="0"/>
  </r>
  <r>
    <x v="4"/>
  </r>
  <r>
    <x v="12"/>
  </r>
  <r>
    <x v="56"/>
  </r>
  <r>
    <x v="1"/>
  </r>
  <r>
    <x v="24"/>
  </r>
  <r>
    <x v="4"/>
  </r>
  <r>
    <x v="16"/>
  </r>
  <r>
    <x v="16"/>
  </r>
  <r>
    <x v="16"/>
  </r>
  <r>
    <x v="79"/>
  </r>
  <r>
    <x v="14"/>
  </r>
  <r>
    <x v="2"/>
  </r>
  <r>
    <x v="138"/>
  </r>
  <r>
    <x v="24"/>
  </r>
  <r>
    <x v="16"/>
  </r>
  <r>
    <x v="16"/>
  </r>
  <r>
    <x v="2"/>
  </r>
  <r>
    <x v="43"/>
  </r>
  <r>
    <x v="12"/>
  </r>
  <r>
    <x v="12"/>
  </r>
  <r>
    <x v="141"/>
  </r>
  <r>
    <x v="12"/>
  </r>
  <r>
    <x v="22"/>
  </r>
  <r>
    <x v="7"/>
  </r>
  <r>
    <x v="53"/>
  </r>
  <r>
    <x v="86"/>
  </r>
  <r>
    <x v="16"/>
  </r>
  <r>
    <x v="79"/>
  </r>
  <r>
    <x v="17"/>
  </r>
  <r>
    <x v="17"/>
  </r>
  <r>
    <x v="17"/>
  </r>
  <r>
    <x v="144"/>
  </r>
  <r>
    <x v="9"/>
  </r>
  <r>
    <x v="0"/>
  </r>
  <r>
    <x v="0"/>
  </r>
  <r>
    <x v="28"/>
  </r>
  <r>
    <x v="14"/>
  </r>
  <r>
    <x v="14"/>
  </r>
  <r>
    <x v="72"/>
  </r>
  <r>
    <x v="46"/>
  </r>
  <r>
    <x v="46"/>
  </r>
  <r>
    <x v="56"/>
  </r>
  <r>
    <x v="19"/>
  </r>
  <r>
    <x v="11"/>
  </r>
  <r>
    <x v="11"/>
  </r>
  <r>
    <x v="11"/>
  </r>
  <r>
    <x v="11"/>
  </r>
  <r>
    <x v="9"/>
  </r>
  <r>
    <x v="28"/>
  </r>
  <r>
    <x v="14"/>
  </r>
  <r>
    <x v="14"/>
  </r>
  <r>
    <x v="7"/>
  </r>
  <r>
    <x v="7"/>
  </r>
  <r>
    <x v="28"/>
  </r>
  <r>
    <x v="19"/>
  </r>
  <r>
    <x v="22"/>
  </r>
  <r>
    <x v="86"/>
  </r>
  <r>
    <x v="28"/>
  </r>
  <r>
    <x v="0"/>
  </r>
  <r>
    <x v="7"/>
  </r>
  <r>
    <x v="1"/>
  </r>
  <r>
    <x v="148"/>
  </r>
  <r>
    <x v="24"/>
  </r>
  <r>
    <x v="7"/>
  </r>
  <r>
    <x v="1"/>
  </r>
  <r>
    <x v="1"/>
  </r>
  <r>
    <x v="1"/>
  </r>
  <r>
    <x v="21"/>
  </r>
  <r>
    <x v="1"/>
  </r>
  <r>
    <x v="14"/>
  </r>
  <r>
    <x v="251"/>
  </r>
  <r>
    <x v="45"/>
  </r>
  <r>
    <x v="9"/>
  </r>
  <r>
    <x v="12"/>
  </r>
  <r>
    <x v="12"/>
  </r>
  <r>
    <x v="43"/>
  </r>
  <r>
    <x v="12"/>
  </r>
  <r>
    <x v="11"/>
  </r>
  <r>
    <x v="89"/>
  </r>
  <r>
    <x v="14"/>
  </r>
  <r>
    <x v="14"/>
  </r>
  <r>
    <x v="48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6"/>
  </r>
  <r>
    <x v="16"/>
  </r>
  <r>
    <x v="16"/>
  </r>
  <r>
    <x v="16"/>
  </r>
  <r>
    <x v="68"/>
  </r>
  <r>
    <x v="68"/>
  </r>
  <r>
    <x v="16"/>
  </r>
  <r>
    <x v="16"/>
  </r>
  <r>
    <x v="16"/>
  </r>
  <r>
    <x v="16"/>
  </r>
  <r>
    <x v="0"/>
  </r>
  <r>
    <x v="0"/>
  </r>
  <r>
    <x v="0"/>
  </r>
  <r>
    <x v="28"/>
  </r>
  <r>
    <x v="28"/>
  </r>
  <r>
    <x v="0"/>
  </r>
  <r>
    <x v="45"/>
  </r>
  <r>
    <x v="45"/>
  </r>
  <r>
    <x v="45"/>
  </r>
  <r>
    <x v="45"/>
  </r>
  <r>
    <x v="136"/>
  </r>
  <r>
    <x v="136"/>
  </r>
  <r>
    <x v="21"/>
  </r>
  <r>
    <x v="52"/>
  </r>
  <r>
    <x v="12"/>
  </r>
  <r>
    <x v="12"/>
  </r>
  <r>
    <x v="12"/>
  </r>
  <r>
    <x v="12"/>
  </r>
  <r>
    <x v="11"/>
  </r>
  <r>
    <x v="16"/>
  </r>
  <r>
    <x v="17"/>
  </r>
  <r>
    <x v="12"/>
  </r>
  <r>
    <x v="12"/>
  </r>
  <r>
    <x v="57"/>
  </r>
  <r>
    <x v="42"/>
  </r>
  <r>
    <x v="42"/>
  </r>
  <r>
    <x v="42"/>
  </r>
  <r>
    <x v="48"/>
  </r>
  <r>
    <x v="10"/>
  </r>
  <r>
    <x v="37"/>
  </r>
  <r>
    <x v="126"/>
  </r>
  <r>
    <x v="276"/>
  </r>
  <r>
    <x v="78"/>
  </r>
  <r>
    <x v="78"/>
  </r>
  <r>
    <x v="78"/>
  </r>
  <r>
    <x v="78"/>
  </r>
  <r>
    <x v="45"/>
  </r>
  <r>
    <x v="53"/>
  </r>
  <r>
    <x v="32"/>
  </r>
  <r>
    <x v="4"/>
  </r>
  <r>
    <x v="48"/>
  </r>
  <r>
    <x v="7"/>
  </r>
  <r>
    <x v="0"/>
  </r>
  <r>
    <x v="0"/>
  </r>
  <r>
    <x v="56"/>
  </r>
  <r>
    <x v="57"/>
  </r>
  <r>
    <x v="28"/>
  </r>
  <r>
    <x v="0"/>
  </r>
  <r>
    <x v="53"/>
  </r>
  <r>
    <x v="28"/>
  </r>
  <r>
    <x v="28"/>
  </r>
  <r>
    <x v="54"/>
  </r>
  <r>
    <x v="11"/>
  </r>
  <r>
    <x v="16"/>
  </r>
  <r>
    <x v="17"/>
  </r>
  <r>
    <x v="64"/>
  </r>
  <r>
    <x v="12"/>
  </r>
  <r>
    <x v="25"/>
  </r>
  <r>
    <x v="34"/>
  </r>
  <r>
    <x v="12"/>
  </r>
  <r>
    <x v="86"/>
  </r>
  <r>
    <x v="12"/>
  </r>
  <r>
    <x v="14"/>
  </r>
  <r>
    <x v="24"/>
  </r>
  <r>
    <x v="14"/>
  </r>
  <r>
    <x v="25"/>
  </r>
  <r>
    <x v="108"/>
  </r>
  <r>
    <x v="59"/>
  </r>
  <r>
    <x v="45"/>
  </r>
  <r>
    <x v="76"/>
  </r>
  <r>
    <x v="0"/>
  </r>
  <r>
    <x v="183"/>
  </r>
  <r>
    <x v="59"/>
  </r>
  <r>
    <x v="12"/>
  </r>
  <r>
    <x v="68"/>
  </r>
  <r>
    <x v="77"/>
  </r>
  <r>
    <x v="10"/>
  </r>
  <r>
    <x v="10"/>
  </r>
  <r>
    <x v="10"/>
  </r>
  <r>
    <x v="63"/>
  </r>
  <r>
    <x v="4"/>
  </r>
  <r>
    <x v="63"/>
  </r>
  <r>
    <x v="140"/>
  </r>
  <r>
    <x v="140"/>
  </r>
  <r>
    <x v="165"/>
  </r>
  <r>
    <x v="7"/>
  </r>
  <r>
    <x v="42"/>
  </r>
  <r>
    <x v="25"/>
  </r>
  <r>
    <x v="68"/>
  </r>
  <r>
    <x v="68"/>
  </r>
  <r>
    <x v="21"/>
  </r>
  <r>
    <x v="2"/>
  </r>
  <r>
    <x v="4"/>
  </r>
  <r>
    <x v="9"/>
  </r>
  <r>
    <x v="4"/>
  </r>
  <r>
    <x v="36"/>
  </r>
  <r>
    <x v="36"/>
  </r>
  <r>
    <x v="36"/>
  </r>
  <r>
    <x v="16"/>
  </r>
  <r>
    <x v="16"/>
  </r>
  <r>
    <x v="16"/>
  </r>
  <r>
    <x v="21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1"/>
  </r>
  <r>
    <x v="57"/>
  </r>
  <r>
    <x v="16"/>
  </r>
  <r>
    <x v="16"/>
  </r>
  <r>
    <x v="16"/>
  </r>
  <r>
    <x v="16"/>
  </r>
  <r>
    <x v="16"/>
  </r>
  <r>
    <x v="12"/>
  </r>
  <r>
    <x v="21"/>
  </r>
  <r>
    <x v="42"/>
  </r>
  <r>
    <x v="42"/>
  </r>
  <r>
    <x v="42"/>
  </r>
  <r>
    <x v="16"/>
  </r>
  <r>
    <x v="16"/>
  </r>
  <r>
    <x v="48"/>
  </r>
  <r>
    <x v="48"/>
  </r>
  <r>
    <x v="48"/>
  </r>
  <r>
    <x v="7"/>
  </r>
  <r>
    <x v="15"/>
  </r>
  <r>
    <x v="44"/>
  </r>
  <r>
    <x v="44"/>
  </r>
  <r>
    <x v="14"/>
  </r>
  <r>
    <x v="16"/>
  </r>
  <r>
    <x v="28"/>
  </r>
  <r>
    <x v="15"/>
  </r>
  <r>
    <x v="42"/>
  </r>
  <r>
    <x v="42"/>
  </r>
  <r>
    <x v="42"/>
  </r>
  <r>
    <x v="42"/>
  </r>
  <r>
    <x v="42"/>
  </r>
  <r>
    <x v="2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2"/>
  </r>
  <r>
    <x v="22"/>
  </r>
  <r>
    <x v="54"/>
  </r>
  <r>
    <x v="54"/>
  </r>
  <r>
    <x v="54"/>
  </r>
  <r>
    <x v="54"/>
  </r>
  <r>
    <x v="28"/>
  </r>
  <r>
    <x v="16"/>
  </r>
  <r>
    <x v="16"/>
  </r>
  <r>
    <x v="14"/>
  </r>
  <r>
    <x v="14"/>
  </r>
  <r>
    <x v="14"/>
  </r>
  <r>
    <x v="10"/>
  </r>
  <r>
    <x v="19"/>
  </r>
  <r>
    <x v="16"/>
  </r>
  <r>
    <x v="36"/>
  </r>
  <r>
    <x v="16"/>
  </r>
  <r>
    <x v="16"/>
  </r>
  <r>
    <x v="16"/>
  </r>
  <r>
    <x v="126"/>
  </r>
  <r>
    <x v="7"/>
  </r>
  <r>
    <x v="124"/>
  </r>
  <r>
    <x v="14"/>
  </r>
  <r>
    <x v="14"/>
  </r>
  <r>
    <x v="0"/>
  </r>
  <r>
    <x v="42"/>
  </r>
  <r>
    <x v="45"/>
  </r>
  <r>
    <x v="27"/>
  </r>
  <r>
    <x v="0"/>
  </r>
  <r>
    <x v="0"/>
  </r>
  <r>
    <x v="68"/>
  </r>
  <r>
    <x v="28"/>
  </r>
  <r>
    <x v="28"/>
  </r>
  <r>
    <x v="28"/>
  </r>
  <r>
    <x v="27"/>
  </r>
  <r>
    <x v="68"/>
  </r>
  <r>
    <x v="21"/>
  </r>
  <r>
    <x v="28"/>
  </r>
  <r>
    <x v="12"/>
  </r>
  <r>
    <x v="16"/>
  </r>
  <r>
    <x v="16"/>
  </r>
  <r>
    <x v="16"/>
  </r>
  <r>
    <x v="179"/>
  </r>
  <r>
    <x v="31"/>
  </r>
  <r>
    <x v="31"/>
  </r>
  <r>
    <x v="28"/>
  </r>
  <r>
    <x v="28"/>
  </r>
  <r>
    <x v="57"/>
  </r>
  <r>
    <x v="71"/>
  </r>
  <r>
    <x v="71"/>
  </r>
  <r>
    <x v="31"/>
  </r>
  <r>
    <x v="31"/>
  </r>
  <r>
    <x v="12"/>
  </r>
  <r>
    <x v="12"/>
  </r>
  <r>
    <x v="71"/>
  </r>
  <r>
    <x v="71"/>
  </r>
  <r>
    <x v="68"/>
  </r>
  <r>
    <x v="12"/>
  </r>
  <r>
    <x v="31"/>
  </r>
  <r>
    <x v="28"/>
  </r>
  <r>
    <x v="28"/>
  </r>
  <r>
    <x v="6"/>
  </r>
  <r>
    <x v="34"/>
  </r>
  <r>
    <x v="31"/>
  </r>
  <r>
    <x v="31"/>
  </r>
  <r>
    <x v="12"/>
  </r>
  <r>
    <x v="28"/>
  </r>
  <r>
    <x v="16"/>
  </r>
  <r>
    <x v="16"/>
  </r>
  <r>
    <x v="28"/>
  </r>
  <r>
    <x v="71"/>
  </r>
  <r>
    <x v="71"/>
  </r>
  <r>
    <x v="71"/>
  </r>
  <r>
    <x v="64"/>
  </r>
  <r>
    <x v="28"/>
  </r>
  <r>
    <x v="28"/>
  </r>
  <r>
    <x v="28"/>
  </r>
  <r>
    <x v="28"/>
  </r>
  <r>
    <x v="63"/>
  </r>
  <r>
    <x v="29"/>
  </r>
  <r>
    <x v="19"/>
  </r>
  <r>
    <x v="28"/>
  </r>
  <r>
    <x v="28"/>
  </r>
  <r>
    <x v="28"/>
  </r>
  <r>
    <x v="28"/>
  </r>
  <r>
    <x v="28"/>
  </r>
  <r>
    <x v="21"/>
  </r>
  <r>
    <x v="21"/>
  </r>
  <r>
    <x v="16"/>
  </r>
  <r>
    <x v="16"/>
  </r>
  <r>
    <x v="16"/>
  </r>
  <r>
    <x v="16"/>
  </r>
  <r>
    <x v="12"/>
  </r>
  <r>
    <x v="16"/>
  </r>
  <r>
    <x v="16"/>
  </r>
  <r>
    <x v="28"/>
  </r>
  <r>
    <x v="28"/>
  </r>
  <r>
    <x v="79"/>
  </r>
  <r>
    <x v="28"/>
  </r>
  <r>
    <x v="28"/>
  </r>
  <r>
    <x v="28"/>
  </r>
  <r>
    <x v="71"/>
  </r>
  <r>
    <x v="71"/>
  </r>
  <r>
    <x v="28"/>
  </r>
  <r>
    <x v="28"/>
  </r>
  <r>
    <x v="28"/>
  </r>
  <r>
    <x v="28"/>
  </r>
  <r>
    <x v="71"/>
  </r>
  <r>
    <x v="71"/>
  </r>
  <r>
    <x v="71"/>
  </r>
  <r>
    <x v="23"/>
  </r>
  <r>
    <x v="28"/>
  </r>
  <r>
    <x v="45"/>
  </r>
  <r>
    <x v="45"/>
  </r>
  <r>
    <x v="1"/>
  </r>
  <r>
    <x v="10"/>
  </r>
  <r>
    <x v="1"/>
  </r>
  <r>
    <x v="1"/>
  </r>
  <r>
    <x v="1"/>
  </r>
  <r>
    <x v="1"/>
  </r>
  <r>
    <x v="28"/>
  </r>
  <r>
    <x v="31"/>
  </r>
  <r>
    <x v="68"/>
  </r>
  <r>
    <x v="251"/>
  </r>
  <r>
    <x v="31"/>
  </r>
  <r>
    <x v="22"/>
  </r>
  <r>
    <x v="22"/>
  </r>
  <r>
    <x v="24"/>
  </r>
  <r>
    <x v="6"/>
  </r>
  <r>
    <x v="22"/>
  </r>
  <r>
    <x v="14"/>
  </r>
  <r>
    <x v="16"/>
  </r>
  <r>
    <x v="44"/>
  </r>
  <r>
    <x v="9"/>
  </r>
  <r>
    <x v="27"/>
  </r>
  <r>
    <x v="68"/>
  </r>
  <r>
    <x v="68"/>
  </r>
  <r>
    <x v="68"/>
  </r>
  <r>
    <x v="68"/>
  </r>
  <r>
    <x v="1"/>
  </r>
  <r>
    <x v="14"/>
  </r>
  <r>
    <x v="31"/>
  </r>
  <r>
    <x v="27"/>
  </r>
  <r>
    <x v="27"/>
  </r>
  <r>
    <x v="16"/>
  </r>
  <r>
    <x v="16"/>
  </r>
  <r>
    <x v="31"/>
  </r>
  <r>
    <x v="8"/>
  </r>
  <r>
    <x v="71"/>
  </r>
  <r>
    <x v="71"/>
  </r>
  <r>
    <x v="71"/>
  </r>
  <r>
    <x v="45"/>
  </r>
  <r>
    <x v="45"/>
  </r>
  <r>
    <x v="16"/>
  </r>
  <r>
    <x v="16"/>
  </r>
  <r>
    <x v="28"/>
  </r>
  <r>
    <x v="28"/>
  </r>
  <r>
    <x v="28"/>
  </r>
  <r>
    <x v="19"/>
  </r>
  <r>
    <x v="9"/>
  </r>
  <r>
    <x v="9"/>
  </r>
  <r>
    <x v="22"/>
  </r>
  <r>
    <x v="1"/>
  </r>
  <r>
    <x v="87"/>
  </r>
  <r>
    <x v="131"/>
  </r>
  <r>
    <x v="141"/>
  </r>
  <r>
    <x v="141"/>
  </r>
  <r>
    <x v="141"/>
  </r>
  <r>
    <x v="108"/>
  </r>
  <r>
    <x v="12"/>
  </r>
  <r>
    <x v="0"/>
  </r>
  <r>
    <x v="19"/>
  </r>
  <r>
    <x v="19"/>
  </r>
  <r>
    <x v="68"/>
  </r>
  <r>
    <x v="14"/>
  </r>
  <r>
    <x v="14"/>
  </r>
  <r>
    <x v="14"/>
  </r>
  <r>
    <x v="45"/>
  </r>
  <r>
    <x v="45"/>
  </r>
  <r>
    <x v="10"/>
  </r>
  <r>
    <x v="10"/>
  </r>
  <r>
    <x v="131"/>
  </r>
  <r>
    <x v="9"/>
  </r>
  <r>
    <x v="16"/>
  </r>
  <r>
    <x v="19"/>
  </r>
  <r>
    <x v="22"/>
  </r>
  <r>
    <x v="57"/>
  </r>
  <r>
    <x v="57"/>
  </r>
  <r>
    <x v="72"/>
  </r>
  <r>
    <x v="72"/>
  </r>
  <r>
    <x v="71"/>
  </r>
  <r>
    <x v="71"/>
  </r>
  <r>
    <x v="14"/>
  </r>
  <r>
    <x v="14"/>
  </r>
  <r>
    <x v="14"/>
  </r>
  <r>
    <x v="14"/>
  </r>
  <r>
    <x v="14"/>
  </r>
  <r>
    <x v="14"/>
  </r>
  <r>
    <x v="68"/>
  </r>
  <r>
    <x v="68"/>
  </r>
  <r>
    <x v="7"/>
  </r>
  <r>
    <x v="7"/>
  </r>
  <r>
    <x v="7"/>
  </r>
  <r>
    <x v="7"/>
  </r>
  <r>
    <x v="7"/>
  </r>
  <r>
    <x v="42"/>
  </r>
  <r>
    <x v="71"/>
  </r>
  <r>
    <x v="71"/>
  </r>
  <r>
    <x v="71"/>
  </r>
  <r>
    <x v="71"/>
  </r>
  <r>
    <x v="71"/>
  </r>
  <r>
    <x v="50"/>
  </r>
  <r>
    <x v="4"/>
  </r>
  <r>
    <x v="9"/>
  </r>
  <r>
    <x v="42"/>
  </r>
  <r>
    <x v="7"/>
  </r>
  <r>
    <x v="4"/>
  </r>
  <r>
    <x v="204"/>
  </r>
  <r>
    <x v="57"/>
  </r>
  <r>
    <x v="57"/>
  </r>
  <r>
    <x v="24"/>
  </r>
  <r>
    <x v="42"/>
  </r>
  <r>
    <x v="259"/>
  </r>
  <r>
    <x v="0"/>
  </r>
  <r>
    <x v="42"/>
  </r>
  <r>
    <x v="28"/>
  </r>
  <r>
    <x v="28"/>
  </r>
  <r>
    <x v="68"/>
  </r>
  <r>
    <x v="142"/>
  </r>
  <r>
    <x v="12"/>
  </r>
  <r>
    <x v="42"/>
  </r>
  <r>
    <x v="31"/>
  </r>
  <r>
    <x v="7"/>
  </r>
  <r>
    <x v="7"/>
  </r>
  <r>
    <x v="7"/>
  </r>
  <r>
    <x v="7"/>
  </r>
  <r>
    <x v="34"/>
  </r>
  <r>
    <x v="0"/>
  </r>
  <r>
    <x v="0"/>
  </r>
  <r>
    <x v="0"/>
  </r>
  <r>
    <x v="0"/>
  </r>
  <r>
    <x v="0"/>
  </r>
  <r>
    <x v="0"/>
  </r>
  <r>
    <x v="7"/>
  </r>
  <r>
    <x v="7"/>
  </r>
  <r>
    <x v="123"/>
  </r>
  <r>
    <x v="7"/>
  </r>
  <r>
    <x v="7"/>
  </r>
  <r>
    <x v="7"/>
  </r>
  <r>
    <x v="0"/>
  </r>
  <r>
    <x v="0"/>
  </r>
  <r>
    <x v="0"/>
  </r>
  <r>
    <x v="0"/>
  </r>
  <r>
    <x v="41"/>
  </r>
  <r>
    <x v="81"/>
  </r>
  <r>
    <x v="29"/>
  </r>
  <r>
    <x v="71"/>
  </r>
  <r>
    <x v="0"/>
  </r>
  <r>
    <x v="28"/>
  </r>
  <r>
    <x v="71"/>
  </r>
  <r>
    <x v="71"/>
  </r>
  <r>
    <x v="71"/>
  </r>
  <r>
    <x v="28"/>
  </r>
  <r>
    <x v="28"/>
  </r>
  <r>
    <x v="141"/>
  </r>
  <r>
    <x v="2"/>
  </r>
  <r>
    <x v="2"/>
  </r>
  <r>
    <x v="71"/>
  </r>
  <r>
    <x v="71"/>
  </r>
  <r>
    <x v="28"/>
  </r>
  <r>
    <x v="28"/>
  </r>
  <r>
    <x v="24"/>
  </r>
  <r>
    <x v="34"/>
  </r>
  <r>
    <x v="123"/>
  </r>
  <r>
    <x v="123"/>
  </r>
  <r>
    <x v="31"/>
  </r>
  <r>
    <x v="28"/>
  </r>
  <r>
    <x v="28"/>
  </r>
  <r>
    <x v="14"/>
  </r>
  <r>
    <x v="14"/>
  </r>
  <r>
    <x v="28"/>
  </r>
  <r>
    <x v="28"/>
  </r>
  <r>
    <x v="28"/>
  </r>
  <r>
    <x v="71"/>
  </r>
  <r>
    <x v="14"/>
  </r>
  <r>
    <x v="16"/>
  </r>
  <r>
    <x v="7"/>
  </r>
  <r>
    <x v="42"/>
  </r>
  <r>
    <x v="14"/>
  </r>
  <r>
    <x v="3"/>
  </r>
  <r>
    <x v="7"/>
  </r>
  <r>
    <x v="63"/>
  </r>
  <r>
    <x v="63"/>
  </r>
  <r>
    <x v="46"/>
  </r>
  <r>
    <x v="46"/>
  </r>
  <r>
    <x v="34"/>
  </r>
  <r>
    <x v="6"/>
  </r>
  <r>
    <x v="28"/>
  </r>
  <r>
    <x v="6"/>
  </r>
  <r>
    <x v="25"/>
  </r>
  <r>
    <x v="45"/>
  </r>
  <r>
    <x v="4"/>
  </r>
  <r>
    <x v="49"/>
  </r>
  <r>
    <x v="28"/>
  </r>
  <r>
    <x v="42"/>
  </r>
  <r>
    <x v="42"/>
  </r>
  <r>
    <x v="10"/>
  </r>
  <r>
    <x v="6"/>
  </r>
  <r>
    <x v="4"/>
  </r>
  <r>
    <x v="4"/>
  </r>
  <r>
    <x v="78"/>
  </r>
  <r>
    <x v="12"/>
  </r>
  <r>
    <x v="0"/>
  </r>
  <r>
    <x v="42"/>
  </r>
  <r>
    <x v="123"/>
  </r>
  <r>
    <x v="19"/>
  </r>
  <r>
    <x v="57"/>
  </r>
  <r>
    <x v="57"/>
  </r>
  <r>
    <x v="57"/>
  </r>
  <r>
    <x v="57"/>
  </r>
  <r>
    <x v="2"/>
  </r>
  <r>
    <x v="71"/>
  </r>
  <r>
    <x v="71"/>
  </r>
  <r>
    <x v="71"/>
  </r>
  <r>
    <x v="28"/>
  </r>
  <r>
    <x v="4"/>
  </r>
  <r>
    <x v="147"/>
  </r>
  <r>
    <x v="2"/>
  </r>
  <r>
    <x v="57"/>
  </r>
  <r>
    <x v="42"/>
  </r>
  <r>
    <x v="71"/>
  </r>
  <r>
    <x v="147"/>
  </r>
  <r>
    <x v="9"/>
  </r>
  <r>
    <x v="9"/>
  </r>
  <r>
    <x v="21"/>
  </r>
  <r>
    <x v="71"/>
  </r>
  <r>
    <x v="37"/>
  </r>
  <r>
    <x v="9"/>
  </r>
  <r>
    <x v="9"/>
  </r>
  <r>
    <x v="7"/>
  </r>
  <r>
    <x v="7"/>
  </r>
  <r>
    <x v="7"/>
  </r>
  <r>
    <x v="42"/>
  </r>
  <r>
    <x v="211"/>
  </r>
  <r>
    <x v="147"/>
  </r>
  <r>
    <x v="9"/>
  </r>
  <r>
    <x v="28"/>
  </r>
  <r>
    <x v="10"/>
  </r>
  <r>
    <x v="71"/>
  </r>
  <r>
    <x v="71"/>
  </r>
  <r>
    <x v="7"/>
  </r>
  <r>
    <x v="0"/>
  </r>
  <r>
    <x v="71"/>
  </r>
  <r>
    <x v="14"/>
  </r>
  <r>
    <x v="19"/>
  </r>
  <r>
    <x v="42"/>
  </r>
  <r>
    <x v="22"/>
  </r>
  <r>
    <x v="42"/>
  </r>
  <r>
    <x v="165"/>
  </r>
  <r>
    <x v="19"/>
  </r>
  <r>
    <x v="37"/>
  </r>
  <r>
    <x v="143"/>
  </r>
  <r>
    <x v="37"/>
  </r>
  <r>
    <x v="143"/>
  </r>
  <r>
    <x v="45"/>
  </r>
  <r>
    <x v="51"/>
  </r>
  <r>
    <x v="12"/>
  </r>
  <r>
    <x v="19"/>
  </r>
  <r>
    <x v="19"/>
  </r>
  <r>
    <x v="19"/>
  </r>
  <r>
    <x v="147"/>
  </r>
  <r>
    <x v="48"/>
  </r>
  <r>
    <x v="11"/>
  </r>
  <r>
    <x v="71"/>
  </r>
  <r>
    <x v="79"/>
  </r>
  <r>
    <x v="79"/>
  </r>
  <r>
    <x v="79"/>
  </r>
  <r>
    <x v="39"/>
  </r>
  <r>
    <x v="42"/>
  </r>
  <r>
    <x v="27"/>
  </r>
  <r>
    <x v="68"/>
  </r>
  <r>
    <x v="68"/>
  </r>
  <r>
    <x v="68"/>
  </r>
  <r>
    <x v="14"/>
  </r>
  <r>
    <x v="19"/>
  </r>
  <r>
    <x v="42"/>
  </r>
  <r>
    <x v="9"/>
  </r>
  <r>
    <x v="9"/>
  </r>
  <r>
    <x v="24"/>
  </r>
  <r>
    <x v="24"/>
  </r>
  <r>
    <x v="145"/>
  </r>
  <r>
    <x v="145"/>
  </r>
  <r>
    <x v="145"/>
  </r>
  <r>
    <x v="145"/>
  </r>
  <r>
    <x v="57"/>
  </r>
  <r>
    <x v="57"/>
  </r>
  <r>
    <x v="57"/>
  </r>
  <r>
    <x v="57"/>
  </r>
  <r>
    <x v="57"/>
  </r>
  <r>
    <x v="71"/>
  </r>
  <r>
    <x v="34"/>
  </r>
  <r>
    <x v="0"/>
  </r>
  <r>
    <x v="24"/>
  </r>
  <r>
    <x v="24"/>
  </r>
  <r>
    <x v="57"/>
  </r>
  <r>
    <x v="71"/>
  </r>
  <r>
    <x v="10"/>
  </r>
  <r>
    <x v="86"/>
  </r>
  <r>
    <x v="14"/>
  </r>
  <r>
    <x v="14"/>
  </r>
  <r>
    <x v="7"/>
  </r>
  <r>
    <x v="7"/>
  </r>
  <r>
    <x v="0"/>
  </r>
  <r>
    <x v="0"/>
  </r>
  <r>
    <x v="2"/>
  </r>
  <r>
    <x v="24"/>
  </r>
  <r>
    <x v="57"/>
  </r>
  <r>
    <x v="7"/>
  </r>
  <r>
    <x v="7"/>
  </r>
  <r>
    <x v="14"/>
  </r>
  <r>
    <x v="14"/>
  </r>
  <r>
    <x v="7"/>
  </r>
  <r>
    <x v="3"/>
  </r>
  <r>
    <x v="4"/>
  </r>
  <r>
    <x v="4"/>
  </r>
  <r>
    <x v="9"/>
  </r>
  <r>
    <x v="0"/>
  </r>
  <r>
    <x v="0"/>
  </r>
  <r>
    <x v="56"/>
  </r>
  <r>
    <x v="4"/>
  </r>
  <r>
    <x v="53"/>
  </r>
  <r>
    <x v="141"/>
  </r>
  <r>
    <x v="19"/>
  </r>
  <r>
    <x v="0"/>
  </r>
  <r>
    <x v="0"/>
  </r>
  <r>
    <x v="7"/>
  </r>
  <r>
    <x v="28"/>
  </r>
  <r>
    <x v="28"/>
  </r>
  <r>
    <x v="28"/>
  </r>
  <r>
    <x v="28"/>
  </r>
  <r>
    <x v="24"/>
  </r>
  <r>
    <x v="10"/>
  </r>
  <r>
    <x v="14"/>
  </r>
  <r>
    <x v="14"/>
  </r>
  <r>
    <x v="14"/>
  </r>
  <r>
    <x v="53"/>
  </r>
  <r>
    <x v="53"/>
  </r>
  <r>
    <x v="53"/>
  </r>
  <r>
    <x v="141"/>
  </r>
  <r>
    <x v="141"/>
  </r>
  <r>
    <x v="0"/>
  </r>
  <r>
    <x v="19"/>
  </r>
  <r>
    <x v="28"/>
  </r>
  <r>
    <x v="54"/>
  </r>
  <r>
    <x v="72"/>
  </r>
  <r>
    <x v="28"/>
  </r>
  <r>
    <x v="28"/>
  </r>
  <r>
    <x v="71"/>
  </r>
  <r>
    <x v="71"/>
  </r>
  <r>
    <x v="76"/>
  </r>
  <r>
    <x v="112"/>
  </r>
  <r>
    <x v="14"/>
  </r>
  <r>
    <x v="14"/>
  </r>
  <r>
    <x v="14"/>
  </r>
  <r>
    <x v="37"/>
  </r>
  <r>
    <x v="6"/>
  </r>
  <r>
    <x v="71"/>
  </r>
  <r>
    <x v="0"/>
  </r>
  <r>
    <x v="7"/>
  </r>
  <r>
    <x v="7"/>
  </r>
  <r>
    <x v="4"/>
  </r>
  <r>
    <x v="7"/>
  </r>
  <r>
    <x v="0"/>
  </r>
  <r>
    <x v="53"/>
  </r>
  <r>
    <x v="53"/>
  </r>
  <r>
    <x v="24"/>
  </r>
  <r>
    <x v="37"/>
  </r>
  <r>
    <x v="37"/>
  </r>
  <r>
    <x v="37"/>
  </r>
  <r>
    <x v="37"/>
  </r>
  <r>
    <x v="14"/>
  </r>
  <r>
    <x v="28"/>
  </r>
  <r>
    <x v="54"/>
  </r>
  <r>
    <x v="3"/>
  </r>
  <r>
    <x v="3"/>
  </r>
  <r>
    <x v="3"/>
  </r>
  <r>
    <x v="71"/>
  </r>
  <r>
    <x v="0"/>
  </r>
  <r>
    <x v="53"/>
  </r>
  <r>
    <x v="57"/>
  </r>
  <r>
    <x v="57"/>
  </r>
  <r>
    <x v="151"/>
  </r>
  <r>
    <x v="42"/>
  </r>
  <r>
    <x v="151"/>
  </r>
  <r>
    <x v="6"/>
  </r>
  <r>
    <x v="6"/>
  </r>
  <r>
    <x v="45"/>
  </r>
  <r>
    <x v="0"/>
  </r>
  <r>
    <x v="35"/>
  </r>
  <r>
    <x v="57"/>
  </r>
  <r>
    <x v="22"/>
  </r>
  <r>
    <x v="68"/>
  </r>
  <r>
    <x v="0"/>
  </r>
  <r>
    <x v="68"/>
  </r>
  <r>
    <x v="68"/>
  </r>
  <r>
    <x v="42"/>
  </r>
  <r>
    <x v="22"/>
  </r>
  <r>
    <x v="22"/>
  </r>
  <r>
    <x v="9"/>
  </r>
  <r>
    <x v="141"/>
  </r>
  <r>
    <x v="57"/>
  </r>
  <r>
    <x v="31"/>
  </r>
  <r>
    <x v="151"/>
  </r>
  <r>
    <x v="151"/>
  </r>
  <r>
    <x v="22"/>
  </r>
  <r>
    <x v="22"/>
  </r>
  <r>
    <x v="22"/>
  </r>
  <r>
    <x v="68"/>
  </r>
  <r>
    <x v="57"/>
  </r>
  <r>
    <x v="12"/>
  </r>
  <r>
    <x v="12"/>
  </r>
  <r>
    <x v="28"/>
  </r>
  <r>
    <x v="4"/>
  </r>
  <r>
    <x v="4"/>
  </r>
  <r>
    <x v="123"/>
  </r>
  <r>
    <x v="2"/>
  </r>
  <r>
    <x v="78"/>
  </r>
  <r>
    <x v="16"/>
  </r>
  <r>
    <x v="16"/>
  </r>
  <r>
    <x v="16"/>
  </r>
  <r>
    <x v="24"/>
  </r>
  <r>
    <x v="4"/>
  </r>
  <r>
    <x v="52"/>
  </r>
  <r>
    <x v="24"/>
  </r>
  <r>
    <x v="24"/>
  </r>
  <r>
    <x v="123"/>
  </r>
  <r>
    <x v="14"/>
  </r>
  <r>
    <x v="16"/>
  </r>
  <r>
    <x v="7"/>
  </r>
  <r>
    <x v="54"/>
  </r>
  <r>
    <x v="54"/>
  </r>
  <r>
    <x v="71"/>
  </r>
  <r>
    <x v="10"/>
  </r>
  <r>
    <x v="10"/>
  </r>
  <r>
    <x v="126"/>
  </r>
  <r>
    <x v="126"/>
  </r>
  <r>
    <x v="37"/>
  </r>
  <r>
    <x v="9"/>
  </r>
  <r>
    <x v="37"/>
  </r>
  <r>
    <x v="4"/>
  </r>
  <r>
    <x v="0"/>
  </r>
  <r>
    <x v="2"/>
  </r>
  <r>
    <x v="7"/>
  </r>
  <r>
    <x v="9"/>
  </r>
  <r>
    <x v="16"/>
  </r>
  <r>
    <x v="81"/>
  </r>
  <r>
    <x v="162"/>
  </r>
  <r>
    <x v="12"/>
  </r>
  <r>
    <x v="64"/>
  </r>
  <r>
    <x v="19"/>
  </r>
  <r>
    <x v="0"/>
  </r>
  <r>
    <x v="0"/>
  </r>
  <r>
    <x v="12"/>
  </r>
  <r>
    <x v="9"/>
  </r>
  <r>
    <x v="42"/>
  </r>
  <r>
    <x v="9"/>
  </r>
  <r>
    <x v="24"/>
  </r>
  <r>
    <x v="11"/>
  </r>
  <r>
    <x v="28"/>
  </r>
  <r>
    <x v="22"/>
  </r>
  <r>
    <x v="57"/>
  </r>
  <r>
    <x v="7"/>
  </r>
  <r>
    <x v="43"/>
  </r>
  <r>
    <x v="45"/>
  </r>
  <r>
    <x v="4"/>
  </r>
  <r>
    <x v="28"/>
  </r>
  <r>
    <x v="56"/>
  </r>
  <r>
    <x v="4"/>
  </r>
  <r>
    <x v="4"/>
  </r>
  <r>
    <x v="28"/>
  </r>
  <r>
    <x v="4"/>
  </r>
  <r>
    <x v="16"/>
  </r>
  <r>
    <x v="68"/>
  </r>
  <r>
    <x v="16"/>
  </r>
  <r>
    <x v="7"/>
  </r>
  <r>
    <x v="9"/>
  </r>
  <r>
    <x v="1"/>
  </r>
  <r>
    <x v="19"/>
  </r>
  <r>
    <x v="131"/>
  </r>
  <r>
    <x v="7"/>
  </r>
  <r>
    <x v="12"/>
  </r>
  <r>
    <x v="2"/>
  </r>
  <r>
    <x v="28"/>
  </r>
  <r>
    <x v="10"/>
  </r>
  <r>
    <x v="86"/>
  </r>
  <r>
    <x v="86"/>
  </r>
  <r>
    <x v="42"/>
  </r>
  <r>
    <x v="42"/>
  </r>
  <r>
    <x v="4"/>
  </r>
  <r>
    <x v="4"/>
  </r>
  <r>
    <x v="123"/>
  </r>
  <r>
    <x v="152"/>
  </r>
  <r>
    <x v="17"/>
  </r>
  <r>
    <x v="42"/>
  </r>
  <r>
    <x v="71"/>
  </r>
  <r>
    <x v="2"/>
  </r>
  <r>
    <x v="4"/>
  </r>
  <r>
    <x v="2"/>
  </r>
  <r>
    <x v="7"/>
  </r>
  <r>
    <x v="155"/>
  </r>
  <r>
    <x v="0"/>
  </r>
  <r>
    <x v="0"/>
  </r>
  <r>
    <x v="48"/>
  </r>
  <r>
    <x v="48"/>
  </r>
  <r>
    <x v="2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48"/>
  </r>
  <r>
    <x v="48"/>
  </r>
  <r>
    <x v="0"/>
  </r>
  <r>
    <x v="0"/>
  </r>
  <r>
    <x v="0"/>
  </r>
  <r>
    <x v="0"/>
  </r>
  <r>
    <x v="0"/>
  </r>
  <r>
    <x v="48"/>
  </r>
  <r>
    <x v="42"/>
  </r>
  <r>
    <x v="39"/>
  </r>
  <r>
    <x v="39"/>
  </r>
  <r>
    <x v="39"/>
  </r>
  <r>
    <x v="22"/>
  </r>
  <r>
    <x v="22"/>
  </r>
  <r>
    <x v="22"/>
  </r>
  <r>
    <x v="22"/>
  </r>
  <r>
    <x v="22"/>
  </r>
  <r>
    <x v="22"/>
  </r>
  <r>
    <x v="79"/>
  </r>
  <r>
    <x v="4"/>
  </r>
  <r>
    <x v="28"/>
  </r>
  <r>
    <x v="28"/>
  </r>
  <r>
    <x v="10"/>
  </r>
  <r>
    <x v="28"/>
  </r>
  <r>
    <x v="28"/>
  </r>
  <r>
    <x v="15"/>
  </r>
  <r>
    <x v="4"/>
  </r>
  <r>
    <x v="0"/>
  </r>
  <r>
    <x v="42"/>
  </r>
  <r>
    <x v="9"/>
  </r>
  <r>
    <x v="0"/>
  </r>
  <r>
    <x v="10"/>
  </r>
  <r>
    <x v="10"/>
  </r>
  <r>
    <x v="10"/>
  </r>
  <r>
    <x v="86"/>
  </r>
  <r>
    <x v="19"/>
  </r>
  <r>
    <x v="7"/>
  </r>
  <r>
    <x v="45"/>
  </r>
  <r>
    <x v="45"/>
  </r>
  <r>
    <x v="71"/>
  </r>
  <r>
    <x v="12"/>
  </r>
  <r>
    <x v="9"/>
  </r>
  <r>
    <x v="141"/>
  </r>
  <r>
    <x v="14"/>
  </r>
  <r>
    <x v="123"/>
  </r>
  <r>
    <x v="16"/>
  </r>
  <r>
    <x v="28"/>
  </r>
  <r>
    <x v="28"/>
  </r>
  <r>
    <x v="76"/>
  </r>
  <r>
    <x v="57"/>
  </r>
  <r>
    <x v="7"/>
  </r>
  <r>
    <x v="10"/>
  </r>
  <r>
    <x v="0"/>
  </r>
  <r>
    <x v="57"/>
  </r>
  <r>
    <x v="48"/>
  </r>
  <r>
    <x v="10"/>
  </r>
  <r>
    <x v="102"/>
  </r>
  <r>
    <x v="102"/>
  </r>
  <r>
    <x v="23"/>
  </r>
  <r>
    <x v="141"/>
  </r>
  <r>
    <x v="88"/>
  </r>
  <r>
    <x v="0"/>
  </r>
  <r>
    <x v="0"/>
  </r>
  <r>
    <x v="0"/>
  </r>
  <r>
    <x v="0"/>
  </r>
  <r>
    <x v="0"/>
  </r>
  <r>
    <x v="93"/>
  </r>
  <r>
    <x v="0"/>
  </r>
  <r>
    <x v="0"/>
  </r>
  <r>
    <x v="0"/>
  </r>
  <r>
    <x v="0"/>
  </r>
  <r>
    <x v="123"/>
  </r>
  <r>
    <x v="123"/>
  </r>
  <r>
    <x v="17"/>
  </r>
  <r>
    <x v="27"/>
  </r>
  <r>
    <x v="27"/>
  </r>
  <r>
    <x v="27"/>
  </r>
  <r>
    <x v="12"/>
  </r>
  <r>
    <x v="1"/>
  </r>
  <r>
    <x v="14"/>
  </r>
  <r>
    <x v="63"/>
  </r>
  <r>
    <x v="10"/>
  </r>
  <r>
    <x v="9"/>
  </r>
  <r>
    <x v="123"/>
  </r>
  <r>
    <x v="10"/>
  </r>
  <r>
    <x v="78"/>
  </r>
  <r>
    <x v="16"/>
  </r>
  <r>
    <x v="10"/>
  </r>
  <r>
    <x v="10"/>
  </r>
  <r>
    <x v="72"/>
  </r>
  <r>
    <x v="4"/>
  </r>
  <r>
    <x v="0"/>
  </r>
  <r>
    <x v="12"/>
  </r>
  <r>
    <x v="1"/>
  </r>
  <r>
    <x v="7"/>
  </r>
  <r>
    <x v="12"/>
  </r>
  <r>
    <x v="4"/>
  </r>
  <r>
    <x v="68"/>
  </r>
  <r>
    <x v="14"/>
  </r>
  <r>
    <x v="63"/>
  </r>
  <r>
    <x v="0"/>
  </r>
  <r>
    <x v="19"/>
  </r>
  <r>
    <x v="19"/>
  </r>
  <r>
    <x v="19"/>
  </r>
  <r>
    <x v="21"/>
  </r>
  <r>
    <x v="21"/>
  </r>
  <r>
    <x v="21"/>
  </r>
  <r>
    <x v="24"/>
  </r>
  <r>
    <x v="24"/>
  </r>
  <r>
    <x v="24"/>
  </r>
  <r>
    <x v="24"/>
  </r>
  <r>
    <x v="16"/>
  </r>
  <r>
    <x v="16"/>
  </r>
  <r>
    <x v="24"/>
  </r>
  <r>
    <x v="24"/>
  </r>
  <r>
    <x v="24"/>
  </r>
  <r>
    <x v="16"/>
  </r>
  <r>
    <x v="21"/>
  </r>
  <r>
    <x v="24"/>
  </r>
  <r>
    <x v="24"/>
  </r>
  <r>
    <x v="24"/>
  </r>
  <r>
    <x v="0"/>
  </r>
  <r>
    <x v="17"/>
  </r>
  <r>
    <x v="16"/>
  </r>
  <r>
    <x v="12"/>
  </r>
  <r>
    <x v="43"/>
  </r>
  <r>
    <x v="10"/>
  </r>
  <r>
    <x v="42"/>
  </r>
  <r>
    <x v="39"/>
  </r>
  <r>
    <x v="56"/>
  </r>
  <r>
    <x v="12"/>
  </r>
  <r>
    <x v="19"/>
  </r>
  <r>
    <x v="19"/>
  </r>
  <r>
    <x v="19"/>
  </r>
  <r>
    <x v="19"/>
  </r>
  <r>
    <x v="19"/>
  </r>
  <r>
    <x v="14"/>
  </r>
  <r>
    <x v="14"/>
  </r>
  <r>
    <x v="42"/>
  </r>
  <r>
    <x v="27"/>
  </r>
  <r>
    <x v="56"/>
  </r>
  <r>
    <x v="25"/>
  </r>
  <r>
    <x v="123"/>
  </r>
  <r>
    <x v="19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4"/>
  </r>
  <r>
    <x v="16"/>
  </r>
  <r>
    <x v="16"/>
  </r>
  <r>
    <x v="24"/>
  </r>
  <r>
    <x v="45"/>
  </r>
  <r>
    <x v="45"/>
  </r>
  <r>
    <x v="45"/>
  </r>
  <r>
    <x v="12"/>
  </r>
  <r>
    <x v="4"/>
  </r>
  <r>
    <x v="57"/>
  </r>
  <r>
    <x v="28"/>
  </r>
  <r>
    <x v="9"/>
  </r>
  <r>
    <x v="28"/>
  </r>
  <r>
    <x v="12"/>
  </r>
  <r>
    <x v="71"/>
  </r>
  <r>
    <x v="21"/>
  </r>
  <r>
    <x v="21"/>
  </r>
  <r>
    <x v="45"/>
  </r>
  <r>
    <x v="36"/>
  </r>
  <r>
    <x v="36"/>
  </r>
  <r>
    <x v="14"/>
  </r>
  <r>
    <x v="24"/>
  </r>
  <r>
    <x v="24"/>
  </r>
  <r>
    <x v="24"/>
  </r>
  <r>
    <x v="16"/>
  </r>
  <r>
    <x v="16"/>
  </r>
  <r>
    <x v="16"/>
  </r>
  <r>
    <x v="10"/>
  </r>
  <r>
    <x v="10"/>
  </r>
  <r>
    <x v="10"/>
  </r>
  <r>
    <x v="87"/>
  </r>
  <r>
    <x v="16"/>
  </r>
  <r>
    <x v="24"/>
  </r>
  <r>
    <x v="16"/>
  </r>
  <r>
    <x v="16"/>
  </r>
  <r>
    <x v="19"/>
  </r>
  <r>
    <x v="31"/>
  </r>
  <r>
    <x v="14"/>
  </r>
  <r>
    <x v="208"/>
  </r>
  <r>
    <x v="208"/>
  </r>
  <r>
    <x v="208"/>
  </r>
  <r>
    <x v="208"/>
  </r>
  <r>
    <x v="0"/>
  </r>
  <r>
    <x v="14"/>
  </r>
  <r>
    <x v="0"/>
  </r>
  <r>
    <x v="28"/>
  </r>
  <r>
    <x v="14"/>
  </r>
  <r>
    <x v="14"/>
  </r>
  <r>
    <x v="24"/>
  </r>
  <r>
    <x v="16"/>
  </r>
  <r>
    <x v="16"/>
  </r>
  <r>
    <x v="16"/>
  </r>
  <r>
    <x v="16"/>
  </r>
  <r>
    <x v="16"/>
  </r>
  <r>
    <x v="16"/>
  </r>
  <r>
    <x v="16"/>
  </r>
  <r>
    <x v="16"/>
  </r>
  <r>
    <x v="24"/>
  </r>
  <r>
    <x v="24"/>
  </r>
  <r>
    <x v="24"/>
  </r>
  <r>
    <x v="0"/>
  </r>
  <r>
    <x v="0"/>
  </r>
  <r>
    <x v="0"/>
  </r>
  <r>
    <x v="0"/>
  </r>
  <r>
    <x v="0"/>
  </r>
  <r>
    <x v="0"/>
  </r>
  <r>
    <x v="0"/>
  </r>
  <r>
    <x v="29"/>
  </r>
  <r>
    <x v="29"/>
  </r>
  <r>
    <x v="16"/>
  </r>
  <r>
    <x v="16"/>
  </r>
  <r>
    <x v="16"/>
  </r>
  <r>
    <x v="24"/>
  </r>
  <r>
    <x v="24"/>
  </r>
  <r>
    <x v="19"/>
  </r>
  <r>
    <x v="24"/>
  </r>
  <r>
    <x v="14"/>
  </r>
  <r>
    <x v="24"/>
  </r>
  <r>
    <x v="152"/>
  </r>
  <r>
    <x v="152"/>
  </r>
  <r>
    <x v="152"/>
  </r>
  <r>
    <x v="24"/>
  </r>
  <r>
    <x v="28"/>
  </r>
  <r>
    <x v="19"/>
  </r>
  <r>
    <x v="19"/>
  </r>
  <r>
    <x v="56"/>
  </r>
  <r>
    <x v="12"/>
  </r>
  <r>
    <x v="56"/>
  </r>
  <r>
    <x v="19"/>
  </r>
  <r>
    <x v="31"/>
  </r>
  <r>
    <x v="19"/>
  </r>
  <r>
    <x v="19"/>
  </r>
  <r>
    <x v="19"/>
  </r>
  <r>
    <x v="19"/>
  </r>
  <r>
    <x v="14"/>
  </r>
  <r>
    <x v="56"/>
  </r>
  <r>
    <x v="4"/>
  </r>
  <r>
    <x v="63"/>
  </r>
  <r>
    <x v="56"/>
  </r>
  <r>
    <x v="56"/>
  </r>
  <r>
    <x v="56"/>
  </r>
  <r>
    <x v="68"/>
  </r>
  <r>
    <x v="68"/>
  </r>
  <r>
    <x v="14"/>
  </r>
  <r>
    <x v="14"/>
  </r>
  <r>
    <x v="14"/>
  </r>
  <r>
    <x v="14"/>
  </r>
  <r>
    <x v="56"/>
  </r>
  <r>
    <x v="10"/>
  </r>
  <r>
    <x v="10"/>
  </r>
  <r>
    <x v="56"/>
  </r>
  <r>
    <x v="71"/>
  </r>
  <r>
    <x v="71"/>
  </r>
  <r>
    <x v="0"/>
  </r>
  <r>
    <x v="14"/>
  </r>
  <r>
    <x v="24"/>
  </r>
  <r>
    <x v="14"/>
  </r>
  <r>
    <x v="14"/>
  </r>
  <r>
    <x v="14"/>
  </r>
  <r>
    <x v="14"/>
  </r>
  <r>
    <x v="14"/>
  </r>
  <r>
    <x v="42"/>
  </r>
  <r>
    <x v="28"/>
  </r>
  <r>
    <x v="24"/>
  </r>
  <r>
    <x v="24"/>
  </r>
  <r>
    <x v="57"/>
  </r>
  <r>
    <x v="4"/>
  </r>
  <r>
    <x v="29"/>
  </r>
  <r>
    <x v="14"/>
  </r>
  <r>
    <x v="17"/>
  </r>
  <r>
    <x v="17"/>
  </r>
  <r>
    <x v="52"/>
  </r>
  <r>
    <x v="1"/>
  </r>
  <r>
    <x v="16"/>
  </r>
  <r>
    <x v="68"/>
  </r>
  <r>
    <x v="24"/>
  </r>
  <r>
    <x v="14"/>
  </r>
  <r>
    <x v="14"/>
  </r>
  <r>
    <x v="16"/>
  </r>
  <r>
    <x v="12"/>
  </r>
  <r>
    <x v="24"/>
  </r>
  <r>
    <x v="21"/>
  </r>
  <r>
    <x v="14"/>
  </r>
  <r>
    <x v="14"/>
  </r>
  <r>
    <x v="4"/>
  </r>
  <r>
    <x v="14"/>
  </r>
  <r>
    <x v="57"/>
  </r>
  <r>
    <x v="68"/>
  </r>
  <r>
    <x v="68"/>
  </r>
  <r>
    <x v="68"/>
  </r>
  <r>
    <x v="31"/>
  </r>
  <r>
    <x v="22"/>
  </r>
  <r>
    <x v="42"/>
  </r>
  <r>
    <x v="48"/>
  </r>
  <r>
    <x v="75"/>
  </r>
  <r>
    <x v="12"/>
  </r>
  <r>
    <x v="14"/>
  </r>
  <r>
    <x v="11"/>
  </r>
  <r>
    <x v="22"/>
  </r>
  <r>
    <x v="63"/>
  </r>
  <r>
    <x v="4"/>
  </r>
  <r>
    <x v="14"/>
  </r>
  <r>
    <x v="71"/>
  </r>
  <r>
    <x v="12"/>
  </r>
  <r>
    <x v="57"/>
  </r>
  <r>
    <x v="19"/>
  </r>
  <r>
    <x v="16"/>
  </r>
  <r>
    <x v="71"/>
  </r>
  <r>
    <x v="71"/>
  </r>
  <r>
    <x v="24"/>
  </r>
  <r>
    <x v="24"/>
  </r>
  <r>
    <x v="24"/>
  </r>
  <r>
    <x v="19"/>
  </r>
  <r>
    <x v="19"/>
  </r>
  <r>
    <x v="19"/>
  </r>
  <r>
    <x v="19"/>
  </r>
  <r>
    <x v="14"/>
  </r>
  <r>
    <x v="9"/>
  </r>
  <r>
    <x v="9"/>
  </r>
  <r>
    <x v="123"/>
  </r>
  <r>
    <x v="28"/>
  </r>
  <r>
    <x v="22"/>
  </r>
  <r>
    <x v="19"/>
  </r>
  <r>
    <x v="22"/>
  </r>
  <r>
    <x v="71"/>
  </r>
  <r>
    <x v="71"/>
  </r>
  <r>
    <x v="28"/>
  </r>
  <r>
    <x v="8"/>
  </r>
  <r>
    <x v="56"/>
  </r>
  <r>
    <x v="31"/>
  </r>
  <r>
    <x v="7"/>
  </r>
  <r>
    <x v="71"/>
  </r>
  <r>
    <x v="71"/>
  </r>
  <r>
    <x v="71"/>
  </r>
  <r>
    <x v="29"/>
  </r>
  <r>
    <x v="14"/>
  </r>
  <r>
    <x v="45"/>
  </r>
  <r>
    <x v="143"/>
  </r>
  <r>
    <x v="71"/>
  </r>
  <r>
    <x v="71"/>
  </r>
  <r>
    <x v="71"/>
  </r>
  <r>
    <x v="123"/>
  </r>
  <r>
    <x v="123"/>
  </r>
  <r>
    <x v="123"/>
  </r>
  <r>
    <x v="31"/>
  </r>
  <r>
    <x v="31"/>
  </r>
  <r>
    <x v="71"/>
  </r>
  <r>
    <x v="71"/>
  </r>
  <r>
    <x v="71"/>
  </r>
  <r>
    <x v="71"/>
  </r>
  <r>
    <x v="16"/>
  </r>
  <r>
    <x v="14"/>
  </r>
  <r>
    <x v="14"/>
  </r>
  <r>
    <x v="14"/>
  </r>
  <r>
    <x v="22"/>
  </r>
  <r>
    <x v="22"/>
  </r>
  <r>
    <x v="87"/>
  </r>
  <r>
    <x v="87"/>
  </r>
  <r>
    <x v="42"/>
  </r>
  <r>
    <x v="10"/>
  </r>
  <r>
    <x v="8"/>
  </r>
  <r>
    <x v="8"/>
  </r>
  <r>
    <x v="8"/>
  </r>
  <r>
    <x v="55"/>
  </r>
  <r>
    <x v="55"/>
  </r>
  <r>
    <x v="56"/>
  </r>
  <r>
    <x v="16"/>
  </r>
  <r>
    <x v="16"/>
  </r>
  <r>
    <x v="16"/>
  </r>
  <r>
    <x v="16"/>
  </r>
  <r>
    <x v="14"/>
  </r>
  <r>
    <x v="71"/>
  </r>
  <r>
    <x v="27"/>
  </r>
  <r>
    <x v="10"/>
  </r>
  <r>
    <x v="14"/>
  </r>
  <r>
    <x v="9"/>
  </r>
  <r>
    <x v="9"/>
  </r>
  <r>
    <x v="33"/>
  </r>
  <r>
    <x v="55"/>
  </r>
  <r>
    <x v="14"/>
  </r>
  <r>
    <x v="42"/>
  </r>
  <r>
    <x v="28"/>
  </r>
  <r>
    <x v="87"/>
  </r>
  <r>
    <x v="87"/>
  </r>
  <r>
    <x v="17"/>
  </r>
  <r>
    <x v="12"/>
  </r>
  <r>
    <x v="12"/>
  </r>
  <r>
    <x v="29"/>
  </r>
  <r>
    <x v="21"/>
  </r>
  <r>
    <x v="31"/>
  </r>
  <r>
    <x v="123"/>
  </r>
  <r>
    <x v="28"/>
  </r>
  <r>
    <x v="28"/>
  </r>
  <r>
    <x v="22"/>
  </r>
  <r>
    <x v="22"/>
  </r>
  <r>
    <x v="22"/>
  </r>
  <r>
    <x v="1"/>
  </r>
  <r>
    <x v="14"/>
  </r>
  <r>
    <x v="7"/>
  </r>
  <r>
    <x v="24"/>
  </r>
  <r>
    <x v="16"/>
  </r>
  <r>
    <x v="57"/>
  </r>
  <r>
    <x v="57"/>
  </r>
  <r>
    <x v="25"/>
  </r>
  <r>
    <x v="22"/>
  </r>
  <r>
    <x v="22"/>
  </r>
  <r>
    <x v="57"/>
  </r>
  <r>
    <x v="4"/>
  </r>
  <r>
    <x v="57"/>
  </r>
  <r>
    <x v="57"/>
  </r>
  <r>
    <x v="9"/>
  </r>
  <r>
    <x v="9"/>
  </r>
  <r>
    <x v="9"/>
  </r>
  <r>
    <x v="9"/>
  </r>
  <r>
    <x v="71"/>
  </r>
  <r>
    <x v="71"/>
  </r>
  <r>
    <x v="71"/>
  </r>
  <r>
    <x v="14"/>
  </r>
  <r>
    <x v="22"/>
  </r>
  <r>
    <x v="9"/>
  </r>
  <r>
    <x v="9"/>
  </r>
  <r>
    <x v="4"/>
  </r>
  <r>
    <x v="19"/>
  </r>
  <r>
    <x v="19"/>
  </r>
  <r>
    <x v="71"/>
  </r>
  <r>
    <x v="71"/>
  </r>
  <r>
    <x v="9"/>
  </r>
  <r>
    <x v="9"/>
  </r>
  <r>
    <x v="71"/>
  </r>
  <r>
    <x v="22"/>
  </r>
  <r>
    <x v="16"/>
  </r>
  <r>
    <x v="53"/>
  </r>
  <r>
    <x v="0"/>
  </r>
  <r>
    <x v="0"/>
  </r>
  <r>
    <x v="16"/>
  </r>
  <r>
    <x v="16"/>
  </r>
  <r>
    <x v="14"/>
  </r>
  <r>
    <x v="28"/>
  </r>
  <r>
    <x v="28"/>
  </r>
  <r>
    <x v="22"/>
  </r>
  <r>
    <x v="33"/>
  </r>
  <r>
    <x v="53"/>
  </r>
  <r>
    <x v="33"/>
  </r>
  <r>
    <x v="14"/>
  </r>
  <r>
    <x v="14"/>
  </r>
  <r>
    <x v="14"/>
  </r>
  <r>
    <x v="14"/>
  </r>
  <r>
    <x v="14"/>
  </r>
  <r>
    <x v="53"/>
  </r>
  <r>
    <x v="14"/>
  </r>
  <r>
    <x v="48"/>
  </r>
  <r>
    <x v="48"/>
  </r>
  <r>
    <x v="14"/>
  </r>
  <r>
    <x v="14"/>
  </r>
  <r>
    <x v="14"/>
  </r>
  <r>
    <x v="14"/>
  </r>
  <r>
    <x v="14"/>
  </r>
  <r>
    <x v="24"/>
  </r>
  <r>
    <x v="12"/>
  </r>
  <r>
    <x v="12"/>
  </r>
  <r>
    <x v="12"/>
  </r>
  <r>
    <x v="2"/>
  </r>
  <r>
    <x v="4"/>
  </r>
  <r>
    <x v="14"/>
  </r>
  <r>
    <x v="14"/>
  </r>
  <r>
    <x v="14"/>
  </r>
  <r>
    <x v="45"/>
  </r>
  <r>
    <x v="71"/>
  </r>
  <r>
    <x v="14"/>
  </r>
  <r>
    <x v="29"/>
  </r>
  <r>
    <x v="17"/>
  </r>
  <r>
    <x v="2"/>
  </r>
  <r>
    <x v="100"/>
  </r>
  <r>
    <x v="14"/>
  </r>
  <r>
    <x v="143"/>
  </r>
  <r>
    <x v="14"/>
  </r>
  <r>
    <x v="14"/>
  </r>
  <r>
    <x v="14"/>
  </r>
  <r>
    <x v="14"/>
  </r>
  <r>
    <x v="14"/>
  </r>
  <r>
    <x v="0"/>
  </r>
  <r>
    <x v="22"/>
  </r>
  <r>
    <x v="12"/>
  </r>
  <r>
    <x v="141"/>
  </r>
  <r>
    <x v="141"/>
  </r>
  <r>
    <x v="141"/>
  </r>
  <r>
    <x v="141"/>
  </r>
  <r>
    <x v="141"/>
  </r>
  <r>
    <x v="8"/>
  </r>
  <r>
    <x v="8"/>
  </r>
  <r>
    <x v="8"/>
  </r>
  <r>
    <x v="143"/>
  </r>
  <r>
    <x v="17"/>
  </r>
  <r>
    <x v="17"/>
  </r>
  <r>
    <x v="12"/>
  </r>
  <r>
    <x v="48"/>
  </r>
  <r>
    <x v="141"/>
  </r>
  <r>
    <x v="141"/>
  </r>
  <r>
    <x v="143"/>
  </r>
  <r>
    <x v="141"/>
  </r>
  <r>
    <x v="17"/>
  </r>
  <r>
    <x v="10"/>
  </r>
  <r>
    <x v="27"/>
  </r>
  <r>
    <x v="27"/>
  </r>
  <r>
    <x v="27"/>
  </r>
  <r>
    <x v="17"/>
  </r>
  <r>
    <x v="71"/>
  </r>
  <r>
    <x v="53"/>
  </r>
  <r>
    <x v="143"/>
  </r>
  <r>
    <x v="4"/>
  </r>
  <r>
    <x v="57"/>
  </r>
  <r>
    <x v="4"/>
  </r>
  <r>
    <x v="63"/>
  </r>
  <r>
    <x v="71"/>
  </r>
  <r>
    <x v="4"/>
  </r>
  <r>
    <x v="141"/>
  </r>
  <r>
    <x v="141"/>
  </r>
  <r>
    <x v="141"/>
  </r>
  <r>
    <x v="4"/>
  </r>
  <r>
    <x v="42"/>
  </r>
  <r>
    <x v="42"/>
  </r>
  <r>
    <x v="71"/>
  </r>
  <r>
    <x v="169"/>
  </r>
  <r>
    <x v="169"/>
  </r>
  <r>
    <x v="22"/>
  </r>
  <r>
    <x v="22"/>
  </r>
  <r>
    <x v="123"/>
  </r>
  <r>
    <x v="63"/>
  </r>
  <r>
    <x v="111"/>
  </r>
  <r>
    <x v="12"/>
  </r>
  <r>
    <x v="141"/>
  </r>
  <r>
    <x v="29"/>
  </r>
  <r>
    <x v="53"/>
  </r>
  <r>
    <x v="53"/>
  </r>
  <r>
    <x v="53"/>
  </r>
  <r>
    <x v="28"/>
  </r>
  <r>
    <x v="28"/>
  </r>
  <r>
    <x v="28"/>
  </r>
  <r>
    <x v="56"/>
  </r>
  <r>
    <x v="56"/>
  </r>
  <r>
    <x v="7"/>
  </r>
  <r>
    <x v="22"/>
  </r>
  <r>
    <x v="22"/>
  </r>
  <r>
    <x v="22"/>
  </r>
  <r>
    <x v="28"/>
  </r>
  <r>
    <x v="25"/>
  </r>
  <r>
    <x v="25"/>
  </r>
  <r>
    <x v="25"/>
  </r>
  <r>
    <x v="25"/>
  </r>
  <r>
    <x v="25"/>
  </r>
  <r>
    <x v="25"/>
  </r>
  <r>
    <x v="56"/>
  </r>
  <r>
    <x v="56"/>
  </r>
  <r>
    <x v="54"/>
  </r>
  <r>
    <x v="54"/>
  </r>
  <r>
    <x v="16"/>
  </r>
  <r>
    <x v="7"/>
  </r>
  <r>
    <x v="6"/>
  </r>
  <r>
    <x v="4"/>
  </r>
  <r>
    <x v="37"/>
  </r>
  <r>
    <x v="10"/>
  </r>
  <r>
    <x v="16"/>
  </r>
  <r>
    <x v="57"/>
  </r>
  <r>
    <x v="7"/>
  </r>
  <r>
    <x v="123"/>
  </r>
  <r>
    <x v="1"/>
  </r>
  <r>
    <x v="123"/>
  </r>
  <r>
    <x v="37"/>
  </r>
  <r>
    <x v="10"/>
  </r>
  <r>
    <x v="14"/>
  </r>
  <r>
    <x v="16"/>
  </r>
  <r>
    <x v="8"/>
  </r>
  <r>
    <x v="8"/>
  </r>
  <r>
    <x v="8"/>
  </r>
  <r>
    <x v="1"/>
  </r>
  <r>
    <x v="53"/>
  </r>
  <r>
    <x v="10"/>
  </r>
  <r>
    <x v="1"/>
  </r>
  <r>
    <x v="1"/>
  </r>
  <r>
    <x v="71"/>
  </r>
  <r>
    <x v="71"/>
  </r>
  <r>
    <x v="57"/>
  </r>
  <r>
    <x v="12"/>
  </r>
  <r>
    <x v="71"/>
  </r>
  <r>
    <x v="71"/>
  </r>
  <r>
    <x v="71"/>
  </r>
  <r>
    <x v="71"/>
  </r>
  <r>
    <x v="71"/>
  </r>
  <r>
    <x v="71"/>
  </r>
  <r>
    <x v="71"/>
  </r>
  <r>
    <x v="71"/>
  </r>
  <r>
    <x v="12"/>
  </r>
  <r>
    <x v="57"/>
  </r>
  <r>
    <x v="10"/>
  </r>
  <r>
    <x v="76"/>
  </r>
  <r>
    <x v="28"/>
  </r>
  <r>
    <x v="28"/>
  </r>
  <r>
    <x v="9"/>
  </r>
  <r>
    <x v="7"/>
  </r>
  <r>
    <x v="7"/>
  </r>
  <r>
    <x v="48"/>
  </r>
  <r>
    <x v="57"/>
  </r>
  <r>
    <x v="23"/>
  </r>
  <r>
    <x v="7"/>
  </r>
  <r>
    <x v="12"/>
  </r>
  <r>
    <x v="76"/>
  </r>
  <r>
    <x v="8"/>
  </r>
  <r>
    <x v="123"/>
  </r>
  <r>
    <x v="71"/>
  </r>
  <r>
    <x v="55"/>
  </r>
  <r>
    <x v="42"/>
  </r>
  <r>
    <x v="4"/>
  </r>
  <r>
    <x v="23"/>
  </r>
  <r>
    <x v="4"/>
  </r>
  <r>
    <x v="42"/>
  </r>
  <r>
    <x v="17"/>
  </r>
  <r>
    <x v="6"/>
  </r>
  <r>
    <x v="14"/>
  </r>
  <r>
    <x v="24"/>
  </r>
  <r>
    <x v="4"/>
  </r>
  <r>
    <x v="4"/>
  </r>
  <r>
    <x v="251"/>
  </r>
  <r>
    <x v="45"/>
  </r>
  <r>
    <x v="6"/>
  </r>
  <r>
    <x v="91"/>
  </r>
  <r>
    <x v="6"/>
  </r>
  <r>
    <x v="91"/>
  </r>
  <r>
    <x v="3"/>
  </r>
  <r>
    <x v="45"/>
  </r>
  <r>
    <x v="12"/>
  </r>
  <r>
    <x v="12"/>
  </r>
  <r>
    <x v="24"/>
  </r>
  <r>
    <x v="24"/>
  </r>
  <r>
    <x v="24"/>
  </r>
  <r>
    <x v="6"/>
  </r>
  <r>
    <x v="413"/>
  </r>
  <r>
    <x v="42"/>
  </r>
  <r>
    <x v="9"/>
  </r>
  <r>
    <x v="19"/>
  </r>
  <r>
    <x v="54"/>
  </r>
  <r>
    <x v="22"/>
  </r>
  <r>
    <x v="1"/>
  </r>
  <r>
    <x v="1"/>
  </r>
  <r>
    <x v="56"/>
  </r>
  <r>
    <x v="123"/>
  </r>
  <r>
    <x v="123"/>
  </r>
  <r>
    <x v="19"/>
  </r>
  <r>
    <x v="86"/>
  </r>
  <r>
    <x v="1"/>
  </r>
  <r>
    <x v="123"/>
  </r>
  <r>
    <x v="19"/>
  </r>
  <r>
    <x v="12"/>
  </r>
  <r>
    <x v="56"/>
  </r>
  <r>
    <x v="56"/>
  </r>
  <r>
    <x v="22"/>
  </r>
  <r>
    <x v="1"/>
  </r>
  <r>
    <x v="0"/>
  </r>
  <r>
    <x v="12"/>
  </r>
  <r>
    <x v="1"/>
  </r>
  <r>
    <x v="0"/>
  </r>
  <r>
    <x v="10"/>
  </r>
  <r>
    <x v="7"/>
  </r>
  <r>
    <x v="63"/>
  </r>
  <r>
    <x v="123"/>
  </r>
  <r>
    <x v="19"/>
  </r>
  <r>
    <x v="86"/>
  </r>
  <r>
    <x v="138"/>
  </r>
  <r>
    <x v="4"/>
  </r>
  <r>
    <x v="56"/>
  </r>
  <r>
    <x v="12"/>
  </r>
  <r>
    <x v="152"/>
  </r>
  <r>
    <x v="152"/>
  </r>
  <r>
    <x v="10"/>
  </r>
  <r>
    <x v="10"/>
  </r>
  <r>
    <x v="7"/>
  </r>
  <r>
    <x v="19"/>
  </r>
  <r>
    <x v="19"/>
  </r>
  <r>
    <x v="28"/>
  </r>
  <r>
    <x v="17"/>
  </r>
  <r>
    <x v="17"/>
  </r>
  <r>
    <x v="17"/>
  </r>
  <r>
    <x v="16"/>
  </r>
  <r>
    <x v="16"/>
  </r>
  <r>
    <x v="8"/>
  </r>
  <r>
    <x v="8"/>
  </r>
  <r>
    <x v="4"/>
  </r>
  <r>
    <x v="11"/>
  </r>
  <r>
    <x v="45"/>
  </r>
  <r>
    <x v="123"/>
  </r>
  <r>
    <x v="14"/>
  </r>
  <r>
    <x v="24"/>
  </r>
  <r>
    <x v="123"/>
  </r>
  <r>
    <x v="9"/>
  </r>
  <r>
    <x v="16"/>
  </r>
  <r>
    <x v="16"/>
  </r>
  <r>
    <x v="16"/>
  </r>
  <r>
    <x v="6"/>
  </r>
  <r>
    <x v="160"/>
  </r>
  <r>
    <x v="86"/>
  </r>
  <r>
    <x v="37"/>
  </r>
  <r>
    <x v="152"/>
  </r>
  <r>
    <x v="152"/>
  </r>
  <r>
    <x v="152"/>
  </r>
  <r>
    <x v="152"/>
  </r>
  <r>
    <x v="7"/>
  </r>
  <r>
    <x v="37"/>
  </r>
  <r>
    <x v="16"/>
  </r>
  <r>
    <x v="28"/>
  </r>
  <r>
    <x v="24"/>
  </r>
  <r>
    <x v="32"/>
  </r>
  <r>
    <x v="32"/>
  </r>
  <r>
    <x v="17"/>
  </r>
  <r>
    <x v="10"/>
  </r>
  <r>
    <x v="10"/>
  </r>
  <r>
    <x v="0"/>
  </r>
  <r>
    <x v="0"/>
  </r>
  <r>
    <x v="3"/>
  </r>
  <r>
    <x v="32"/>
  </r>
  <r>
    <x v="32"/>
  </r>
  <r>
    <x v="123"/>
  </r>
  <r>
    <x v="1"/>
  </r>
  <r>
    <x v="37"/>
  </r>
  <r>
    <x v="37"/>
  </r>
  <r>
    <x v="152"/>
  </r>
  <r>
    <x v="152"/>
  </r>
  <r>
    <x v="8"/>
  </r>
  <r>
    <x v="8"/>
  </r>
  <r>
    <x v="27"/>
  </r>
  <r>
    <x v="27"/>
  </r>
  <r>
    <x v="27"/>
  </r>
  <r>
    <x v="19"/>
  </r>
  <r>
    <x v="14"/>
  </r>
  <r>
    <x v="7"/>
  </r>
  <r>
    <x v="7"/>
  </r>
  <r>
    <x v="7"/>
  </r>
  <r>
    <x v="152"/>
  </r>
  <r>
    <x v="152"/>
  </r>
  <r>
    <x v="2"/>
  </r>
  <r>
    <x v="7"/>
  </r>
  <r>
    <x v="14"/>
  </r>
  <r>
    <x v="152"/>
  </r>
  <r>
    <x v="152"/>
  </r>
  <r>
    <x v="123"/>
  </r>
  <r>
    <x v="14"/>
  </r>
  <r>
    <x v="28"/>
  </r>
  <r>
    <x v="4"/>
  </r>
  <r>
    <x v="31"/>
  </r>
  <r>
    <x v="11"/>
  </r>
  <r>
    <x v="71"/>
  </r>
  <r>
    <x v="16"/>
  </r>
  <r>
    <x v="4"/>
  </r>
  <r>
    <x v="14"/>
  </r>
  <r>
    <x v="138"/>
  </r>
  <r>
    <x v="10"/>
  </r>
  <r>
    <x v="2"/>
  </r>
  <r>
    <x v="22"/>
  </r>
  <r>
    <x v="100"/>
  </r>
  <r>
    <x v="4"/>
  </r>
  <r>
    <x v="24"/>
  </r>
  <r>
    <x v="12"/>
  </r>
  <r>
    <x v="12"/>
  </r>
  <r>
    <x v="152"/>
  </r>
  <r>
    <x v="0"/>
  </r>
  <r>
    <x v="0"/>
  </r>
  <r>
    <x v="12"/>
  </r>
  <r>
    <x v="12"/>
  </r>
  <r>
    <x v="63"/>
  </r>
  <r>
    <x v="2"/>
  </r>
  <r>
    <x v="12"/>
  </r>
  <r>
    <x v="12"/>
  </r>
  <r>
    <x v="12"/>
  </r>
  <r>
    <x v="12"/>
  </r>
  <r>
    <x v="12"/>
  </r>
  <r>
    <x v="12"/>
  </r>
  <r>
    <x v="12"/>
  </r>
  <r>
    <x v="63"/>
  </r>
  <r>
    <x v="63"/>
  </r>
  <r>
    <x v="10"/>
  </r>
  <r>
    <x v="10"/>
  </r>
  <r>
    <x v="54"/>
  </r>
  <r>
    <x v="4"/>
  </r>
  <r>
    <x v="12"/>
  </r>
  <r>
    <x v="42"/>
  </r>
  <r>
    <x v="0"/>
  </r>
  <r>
    <x v="147"/>
  </r>
  <r>
    <x v="147"/>
  </r>
  <r>
    <x v="28"/>
  </r>
  <r>
    <x v="28"/>
  </r>
  <r>
    <x v="63"/>
  </r>
  <r>
    <x v="28"/>
  </r>
  <r>
    <x v="1"/>
  </r>
  <r>
    <x v="131"/>
  </r>
  <r>
    <x v="1"/>
  </r>
  <r>
    <x v="14"/>
  </r>
  <r>
    <x v="48"/>
  </r>
  <r>
    <x v="14"/>
  </r>
  <r>
    <x v="28"/>
  </r>
  <r>
    <x v="28"/>
  </r>
  <r>
    <x v="54"/>
  </r>
  <r>
    <x v="54"/>
  </r>
  <r>
    <x v="63"/>
  </r>
  <r>
    <x v="57"/>
  </r>
  <r>
    <x v="138"/>
  </r>
  <r>
    <x v="0"/>
  </r>
  <r>
    <x v="63"/>
  </r>
  <r>
    <x v="63"/>
  </r>
  <r>
    <x v="2"/>
  </r>
  <r>
    <x v="152"/>
  </r>
  <r>
    <x v="1"/>
  </r>
  <r>
    <x v="71"/>
  </r>
  <r>
    <x v="4"/>
  </r>
  <r>
    <x v="11"/>
  </r>
  <r>
    <x v="16"/>
  </r>
  <r>
    <x v="19"/>
  </r>
  <r>
    <x v="19"/>
  </r>
  <r>
    <x v="19"/>
  </r>
  <r>
    <x v="19"/>
  </r>
  <r>
    <x v="1"/>
  </r>
  <r>
    <x v="19"/>
  </r>
  <r>
    <x v="11"/>
  </r>
  <r>
    <x v="28"/>
  </r>
  <r>
    <x v="42"/>
  </r>
  <r>
    <x v="152"/>
  </r>
  <r>
    <x v="54"/>
  </r>
  <r>
    <x v="54"/>
  </r>
  <r>
    <x v="32"/>
  </r>
  <r>
    <x v="32"/>
  </r>
  <r>
    <x v="37"/>
  </r>
  <r>
    <x v="19"/>
  </r>
  <r>
    <x v="91"/>
  </r>
  <r>
    <x v="17"/>
  </r>
  <r>
    <x v="17"/>
  </r>
  <r>
    <x v="123"/>
  </r>
  <r>
    <x v="63"/>
  </r>
  <r>
    <x v="42"/>
  </r>
  <r>
    <x v="28"/>
  </r>
  <r>
    <x v="10"/>
  </r>
  <r>
    <x v="2"/>
  </r>
  <r>
    <x v="48"/>
  </r>
  <r>
    <x v="68"/>
  </r>
  <r>
    <x v="123"/>
  </r>
  <r>
    <x v="123"/>
  </r>
  <r>
    <x v="123"/>
  </r>
  <r>
    <x v="152"/>
  </r>
  <r>
    <x v="55"/>
  </r>
  <r>
    <x v="4"/>
  </r>
  <r>
    <x v="7"/>
  </r>
  <r>
    <x v="4"/>
  </r>
  <r>
    <x v="123"/>
  </r>
  <r>
    <x v="152"/>
  </r>
  <r>
    <x v="152"/>
  </r>
  <r>
    <x v="87"/>
  </r>
  <r>
    <x v="87"/>
  </r>
  <r>
    <x v="56"/>
  </r>
  <r>
    <x v="4"/>
  </r>
  <r>
    <x v="10"/>
  </r>
  <r>
    <x v="14"/>
  </r>
  <r>
    <x v="21"/>
  </r>
  <r>
    <x v="17"/>
  </r>
  <r>
    <x v="10"/>
  </r>
  <r>
    <x v="12"/>
  </r>
  <r>
    <x v="162"/>
  </r>
  <r>
    <x v="25"/>
  </r>
  <r>
    <x v="12"/>
  </r>
  <r>
    <x v="0"/>
  </r>
  <r>
    <x v="0"/>
  </r>
  <r>
    <x v="0"/>
  </r>
  <r>
    <x v="0"/>
  </r>
  <r>
    <x v="0"/>
  </r>
  <r>
    <x v="0"/>
  </r>
  <r>
    <x v="10"/>
  </r>
  <r>
    <x v="10"/>
  </r>
  <r>
    <x v="87"/>
  </r>
  <r>
    <x v="25"/>
  </r>
  <r>
    <x v="45"/>
  </r>
  <r>
    <x v="79"/>
  </r>
  <r>
    <x v="79"/>
  </r>
  <r>
    <x v="1"/>
  </r>
  <r>
    <x v="1"/>
  </r>
  <r>
    <x v="0"/>
  </r>
  <r>
    <x v="48"/>
  </r>
  <r>
    <x v="4"/>
  </r>
  <r>
    <x v="0"/>
  </r>
  <r>
    <x v="0"/>
  </r>
  <r>
    <x v="0"/>
  </r>
  <r>
    <x v="142"/>
  </r>
  <r>
    <x v="142"/>
  </r>
  <r>
    <x v="142"/>
  </r>
  <r>
    <x v="142"/>
  </r>
  <r>
    <x v="19"/>
  </r>
  <r>
    <x v="138"/>
  </r>
  <r>
    <x v="57"/>
  </r>
  <r>
    <x v="27"/>
  </r>
  <r>
    <x v="27"/>
  </r>
  <r>
    <x v="34"/>
  </r>
  <r>
    <x v="27"/>
  </r>
  <r>
    <x v="28"/>
  </r>
  <r>
    <x v="28"/>
  </r>
  <r>
    <x v="19"/>
  </r>
  <r>
    <x v="28"/>
  </r>
  <r>
    <x v="27"/>
  </r>
  <r>
    <x v="28"/>
  </r>
  <r>
    <x v="144"/>
  </r>
  <r>
    <x v="144"/>
  </r>
  <r>
    <x v="144"/>
  </r>
  <r>
    <x v="57"/>
  </r>
  <r>
    <x v="19"/>
  </r>
  <r>
    <x v="37"/>
  </r>
  <r>
    <x v="37"/>
  </r>
  <r>
    <x v="19"/>
  </r>
  <r>
    <x v="10"/>
  </r>
  <r>
    <x v="4"/>
  </r>
  <r>
    <x v="37"/>
  </r>
  <r>
    <x v="37"/>
  </r>
  <r>
    <x v="37"/>
  </r>
  <r>
    <x v="0"/>
  </r>
  <r>
    <x v="1"/>
  </r>
  <r>
    <x v="57"/>
  </r>
  <r>
    <x v="1"/>
  </r>
  <r>
    <x v="10"/>
  </r>
  <r>
    <x v="10"/>
  </r>
  <r>
    <x v="10"/>
  </r>
  <r>
    <x v="1"/>
  </r>
  <r>
    <x v="0"/>
  </r>
  <r>
    <x v="0"/>
  </r>
  <r>
    <x v="0"/>
  </r>
  <r>
    <x v="0"/>
  </r>
  <r>
    <x v="28"/>
  </r>
  <r>
    <x v="28"/>
  </r>
  <r>
    <x v="115"/>
  </r>
  <r>
    <x v="115"/>
  </r>
  <r>
    <x v="19"/>
  </r>
  <r>
    <x v="19"/>
  </r>
  <r>
    <x v="1"/>
  </r>
  <r>
    <x v="1"/>
  </r>
  <r>
    <x v="1"/>
  </r>
  <r>
    <x v="1"/>
  </r>
  <r>
    <x v="19"/>
  </r>
  <r>
    <x v="37"/>
  </r>
  <r>
    <x v="1"/>
  </r>
  <r>
    <x v="1"/>
  </r>
  <r>
    <x v="19"/>
  </r>
  <r>
    <x v="1"/>
  </r>
  <r>
    <x v="19"/>
  </r>
  <r>
    <x v="142"/>
  </r>
  <r>
    <x v="142"/>
  </r>
  <r>
    <x v="1"/>
  </r>
  <r>
    <x v="1"/>
  </r>
  <r>
    <x v="1"/>
  </r>
  <r>
    <x v="1"/>
  </r>
  <r>
    <x v="1"/>
  </r>
  <r>
    <x v="11"/>
  </r>
  <r>
    <x v="11"/>
  </r>
  <r>
    <x v="11"/>
  </r>
  <r>
    <x v="12"/>
  </r>
  <r>
    <x v="12"/>
  </r>
  <r>
    <x v="0"/>
  </r>
  <r>
    <x v="12"/>
  </r>
  <r>
    <x v="77"/>
  </r>
  <r>
    <x v="28"/>
  </r>
  <r>
    <x v="28"/>
  </r>
  <r>
    <x v="28"/>
  </r>
  <r>
    <x v="28"/>
  </r>
  <r>
    <x v="1"/>
  </r>
  <r>
    <x v="1"/>
  </r>
  <r>
    <x v="52"/>
  </r>
  <r>
    <x v="89"/>
  </r>
  <r>
    <x v="89"/>
  </r>
  <r>
    <x v="9"/>
  </r>
  <r>
    <x v="89"/>
  </r>
  <r>
    <x v="19"/>
  </r>
  <r>
    <x v="7"/>
  </r>
  <r>
    <x v="14"/>
  </r>
  <r>
    <x v="108"/>
  </r>
  <r>
    <x v="4"/>
  </r>
  <r>
    <x v="28"/>
  </r>
  <r>
    <x v="28"/>
  </r>
  <r>
    <x v="42"/>
  </r>
  <r>
    <x v="42"/>
  </r>
  <r>
    <x v="7"/>
  </r>
  <r>
    <x v="7"/>
  </r>
  <r>
    <x v="0"/>
  </r>
  <r>
    <x v="0"/>
  </r>
  <r>
    <x v="0"/>
  </r>
  <r>
    <x v="0"/>
  </r>
  <r>
    <x v="48"/>
  </r>
  <r>
    <x v="14"/>
  </r>
  <r>
    <x v="16"/>
  </r>
  <r>
    <x v="16"/>
  </r>
  <r>
    <x v="37"/>
  </r>
  <r>
    <x v="0"/>
  </r>
  <r>
    <x v="71"/>
  </r>
  <r>
    <x v="0"/>
  </r>
  <r>
    <x v="45"/>
  </r>
  <r>
    <x v="16"/>
  </r>
  <r>
    <x v="16"/>
  </r>
  <r>
    <x v="111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0"/>
  </r>
  <r>
    <x v="0"/>
  </r>
  <r>
    <x v="123"/>
  </r>
  <r>
    <x v="0"/>
  </r>
  <r>
    <x v="48"/>
  </r>
  <r>
    <x v="0"/>
  </r>
  <r>
    <x v="0"/>
  </r>
  <r>
    <x v="0"/>
  </r>
  <r>
    <x v="130"/>
  </r>
  <r>
    <x v="130"/>
  </r>
  <r>
    <x v="130"/>
  </r>
  <r>
    <x v="8"/>
  </r>
  <r>
    <x v="79"/>
  </r>
  <r>
    <x v="79"/>
  </r>
  <r>
    <x v="28"/>
  </r>
  <r>
    <x v="86"/>
  </r>
  <r>
    <x v="9"/>
  </r>
  <r>
    <x v="14"/>
  </r>
  <r>
    <x v="14"/>
  </r>
  <r>
    <x v="14"/>
  </r>
  <r>
    <x v="29"/>
  </r>
  <r>
    <x v="29"/>
  </r>
  <r>
    <x v="19"/>
  </r>
  <r>
    <x v="54"/>
  </r>
  <r>
    <x v="54"/>
  </r>
  <r>
    <x v="54"/>
  </r>
  <r>
    <x v="56"/>
  </r>
  <r>
    <x v="56"/>
  </r>
  <r>
    <x v="16"/>
  </r>
  <r>
    <x v="16"/>
  </r>
  <r>
    <x v="84"/>
  </r>
  <r>
    <x v="55"/>
  </r>
  <r>
    <x v="54"/>
  </r>
  <r>
    <x v="24"/>
  </r>
  <r>
    <x v="54"/>
  </r>
  <r>
    <x v="160"/>
  </r>
  <r>
    <x v="56"/>
  </r>
  <r>
    <x v="54"/>
  </r>
  <r>
    <x v="54"/>
  </r>
  <r>
    <x v="72"/>
  </r>
  <r>
    <x v="54"/>
  </r>
  <r>
    <x v="160"/>
  </r>
  <r>
    <x v="54"/>
  </r>
  <r>
    <x v="160"/>
  </r>
  <r>
    <x v="42"/>
  </r>
  <r>
    <x v="4"/>
  </r>
  <r>
    <x v="54"/>
  </r>
  <r>
    <x v="160"/>
  </r>
  <r>
    <x v="160"/>
  </r>
  <r>
    <x v="42"/>
  </r>
  <r>
    <x v="46"/>
  </r>
  <r>
    <x v="28"/>
  </r>
  <r>
    <x v="12"/>
  </r>
  <r>
    <x v="160"/>
  </r>
  <r>
    <x v="9"/>
  </r>
  <r>
    <x v="14"/>
  </r>
  <r>
    <x v="14"/>
  </r>
  <r>
    <x v="1"/>
  </r>
  <r>
    <x v="1"/>
  </r>
  <r>
    <x v="29"/>
  </r>
  <r>
    <x v="4"/>
  </r>
  <r>
    <x v="16"/>
  </r>
  <r>
    <x v="16"/>
  </r>
  <r>
    <x v="16"/>
  </r>
  <r>
    <x v="16"/>
  </r>
  <r>
    <x v="16"/>
  </r>
  <r>
    <x v="16"/>
  </r>
  <r>
    <x v="1"/>
  </r>
  <r>
    <x v="45"/>
  </r>
  <r>
    <x v="11"/>
  </r>
  <r>
    <x v="55"/>
  </r>
  <r>
    <x v="55"/>
  </r>
  <r>
    <x v="4"/>
  </r>
  <r>
    <x v="45"/>
  </r>
  <r>
    <x v="45"/>
  </r>
  <r>
    <x v="123"/>
  </r>
  <r>
    <x v="16"/>
  </r>
  <r>
    <x v="42"/>
  </r>
  <r>
    <x v="42"/>
  </r>
  <r>
    <x v="1"/>
  </r>
  <r>
    <x v="28"/>
  </r>
  <r>
    <x v="12"/>
  </r>
  <r>
    <x v="12"/>
  </r>
  <r>
    <x v="12"/>
  </r>
  <r>
    <x v="15"/>
  </r>
  <r>
    <x v="15"/>
  </r>
  <r>
    <x v="15"/>
  </r>
  <r>
    <x v="55"/>
  </r>
  <r>
    <x v="6"/>
  </r>
  <r>
    <x v="24"/>
  </r>
  <r>
    <x v="24"/>
  </r>
  <r>
    <x v="12"/>
  </r>
  <r>
    <x v="28"/>
  </r>
  <r>
    <x v="28"/>
  </r>
  <r>
    <x v="42"/>
  </r>
  <r>
    <x v="28"/>
  </r>
  <r>
    <x v="42"/>
  </r>
  <r>
    <x v="160"/>
  </r>
  <r>
    <x v="53"/>
  </r>
  <r>
    <x v="71"/>
  </r>
  <r>
    <x v="71"/>
  </r>
  <r>
    <x v="78"/>
  </r>
  <r>
    <x v="0"/>
  </r>
  <r>
    <x v="56"/>
  </r>
  <r>
    <x v="14"/>
  </r>
  <r>
    <x v="6"/>
  </r>
  <r>
    <x v="55"/>
  </r>
  <r>
    <x v="16"/>
  </r>
  <r>
    <x v="16"/>
  </r>
  <r>
    <x v="16"/>
  </r>
  <r>
    <x v="14"/>
  </r>
  <r>
    <x v="14"/>
  </r>
  <r>
    <x v="37"/>
  </r>
  <r>
    <x v="19"/>
  </r>
  <r>
    <x v="1"/>
  </r>
  <r>
    <x v="28"/>
  </r>
  <r>
    <x v="19"/>
  </r>
  <r>
    <x v="63"/>
  </r>
  <r>
    <x v="63"/>
  </r>
  <r>
    <x v="63"/>
  </r>
  <r>
    <x v="63"/>
  </r>
  <r>
    <x v="63"/>
  </r>
  <r>
    <x v="63"/>
  </r>
  <r>
    <x v="63"/>
  </r>
  <r>
    <x v="63"/>
  </r>
  <r>
    <x v="160"/>
  </r>
  <r>
    <x v="28"/>
  </r>
  <r>
    <x v="14"/>
  </r>
  <r>
    <x v="183"/>
  </r>
  <r>
    <x v="19"/>
  </r>
  <r>
    <x v="163"/>
  </r>
  <r>
    <x v="42"/>
  </r>
  <r>
    <x v="42"/>
  </r>
  <r>
    <x v="42"/>
  </r>
  <r>
    <x v="42"/>
  </r>
  <r>
    <x v="19"/>
  </r>
  <r>
    <x v="19"/>
  </r>
  <r>
    <x v="160"/>
  </r>
  <r>
    <x v="160"/>
  </r>
  <r>
    <x v="160"/>
  </r>
  <r>
    <x v="21"/>
  </r>
  <r>
    <x v="21"/>
  </r>
  <r>
    <x v="21"/>
  </r>
  <r>
    <x v="21"/>
  </r>
  <r>
    <x v="21"/>
  </r>
  <r>
    <x v="14"/>
  </r>
  <r>
    <x v="14"/>
  </r>
  <r>
    <x v="28"/>
  </r>
  <r>
    <x v="0"/>
  </r>
  <r>
    <x v="63"/>
  </r>
  <r>
    <x v="25"/>
  </r>
  <r>
    <x v="16"/>
  </r>
  <r>
    <x v="12"/>
  </r>
  <r>
    <x v="24"/>
  </r>
  <r>
    <x v="3"/>
  </r>
  <r>
    <x v="56"/>
  </r>
  <r>
    <x v="48"/>
  </r>
  <r>
    <x v="57"/>
  </r>
  <r>
    <x v="47"/>
  </r>
  <r>
    <x v="36"/>
  </r>
  <r>
    <x v="24"/>
  </r>
  <r>
    <x v="31"/>
  </r>
  <r>
    <x v="37"/>
  </r>
  <r>
    <x v="9"/>
  </r>
  <r>
    <x v="9"/>
  </r>
  <r>
    <x v="2"/>
  </r>
  <r>
    <x v="53"/>
  </r>
  <r>
    <x v="7"/>
  </r>
  <r>
    <x v="26"/>
  </r>
  <r>
    <x v="135"/>
  </r>
  <r>
    <x v="9"/>
  </r>
  <r>
    <x v="7"/>
  </r>
  <r>
    <x v="7"/>
  </r>
  <r>
    <x v="77"/>
  </r>
  <r>
    <x v="152"/>
  </r>
  <r>
    <x v="10"/>
  </r>
  <r>
    <x v="19"/>
  </r>
  <r>
    <x v="57"/>
  </r>
  <r>
    <x v="4"/>
  </r>
  <r>
    <x v="4"/>
  </r>
  <r>
    <x v="4"/>
  </r>
  <r>
    <x v="17"/>
  </r>
  <r>
    <x v="2"/>
  </r>
  <r>
    <x v="78"/>
  </r>
  <r>
    <x v="86"/>
  </r>
  <r>
    <x v="9"/>
  </r>
  <r>
    <x v="76"/>
  </r>
  <r>
    <x v="9"/>
  </r>
  <r>
    <x v="71"/>
  </r>
  <r>
    <x v="19"/>
  </r>
  <r>
    <x v="4"/>
  </r>
  <r>
    <x v="4"/>
  </r>
  <r>
    <x v="4"/>
  </r>
  <r>
    <x v="150"/>
  </r>
  <r>
    <x v="4"/>
  </r>
  <r>
    <x v="4"/>
  </r>
  <r>
    <x v="14"/>
  </r>
  <r>
    <x v="16"/>
  </r>
  <r>
    <x v="4"/>
  </r>
  <r>
    <x v="68"/>
  </r>
  <r>
    <x v="16"/>
  </r>
  <r>
    <x v="42"/>
  </r>
  <r>
    <x v="42"/>
  </r>
  <r>
    <x v="42"/>
  </r>
  <r>
    <x v="42"/>
  </r>
  <r>
    <x v="2"/>
  </r>
  <r>
    <x v="0"/>
  </r>
  <r>
    <x v="135"/>
  </r>
  <r>
    <x v="16"/>
  </r>
  <r>
    <x v="17"/>
  </r>
  <r>
    <x v="17"/>
  </r>
  <r>
    <x v="30"/>
  </r>
  <r>
    <x v="28"/>
  </r>
  <r>
    <x v="79"/>
  </r>
  <r>
    <x v="46"/>
  </r>
  <r>
    <x v="10"/>
  </r>
  <r>
    <x v="84"/>
  </r>
  <r>
    <x v="123"/>
  </r>
  <r>
    <x v="123"/>
  </r>
  <r>
    <x v="123"/>
  </r>
  <r>
    <x v="123"/>
  </r>
  <r>
    <x v="123"/>
  </r>
  <r>
    <x v="123"/>
  </r>
  <r>
    <x v="12"/>
  </r>
  <r>
    <x v="12"/>
  </r>
  <r>
    <x v="28"/>
  </r>
  <r>
    <x v="35"/>
  </r>
  <r>
    <x v="46"/>
  </r>
  <r>
    <x v="25"/>
  </r>
  <r>
    <x v="12"/>
  </r>
  <r>
    <x v="12"/>
  </r>
  <r>
    <x v="28"/>
  </r>
  <r>
    <x v="28"/>
  </r>
  <r>
    <x v="157"/>
  </r>
  <r>
    <x v="139"/>
  </r>
  <r>
    <x v="35"/>
  </r>
  <r>
    <x v="139"/>
  </r>
  <r>
    <x v="45"/>
  </r>
  <r>
    <x v="199"/>
  </r>
  <r>
    <x v="199"/>
  </r>
  <r>
    <x v="204"/>
  </r>
  <r>
    <x v="0"/>
  </r>
  <r>
    <x v="251"/>
  </r>
  <r>
    <x v="12"/>
  </r>
  <r>
    <x v="16"/>
  </r>
  <r>
    <x v="14"/>
  </r>
  <r>
    <x v="207"/>
  </r>
  <r>
    <x v="207"/>
  </r>
  <r>
    <x v="131"/>
  </r>
  <r>
    <x v="64"/>
  </r>
  <r>
    <x v="45"/>
  </r>
  <r>
    <x v="16"/>
  </r>
  <r>
    <x v="22"/>
  </r>
  <r>
    <x v="10"/>
  </r>
  <r>
    <x v="84"/>
  </r>
  <r>
    <x v="130"/>
  </r>
  <r>
    <x v="14"/>
  </r>
  <r>
    <x v="131"/>
  </r>
  <r>
    <x v="166"/>
  </r>
  <r>
    <x v="30"/>
  </r>
  <r>
    <x v="84"/>
  </r>
  <r>
    <x v="217"/>
  </r>
  <r>
    <x v="14"/>
  </r>
  <r>
    <x v="141"/>
  </r>
  <r>
    <x v="48"/>
  </r>
  <r>
    <x v="199"/>
  </r>
  <r>
    <x v="76"/>
  </r>
  <r>
    <x v="34"/>
  </r>
  <r>
    <x v="249"/>
  </r>
  <r>
    <x v="0"/>
  </r>
  <r>
    <x v="0"/>
  </r>
  <r>
    <x v="45"/>
  </r>
  <r>
    <x v="45"/>
  </r>
  <r>
    <x v="45"/>
  </r>
  <r>
    <x v="217"/>
  </r>
  <r>
    <x v="0"/>
  </r>
  <r>
    <x v="0"/>
  </r>
  <r>
    <x v="10"/>
  </r>
  <r>
    <x v="14"/>
  </r>
  <r>
    <x v="126"/>
  </r>
  <r>
    <x v="14"/>
  </r>
  <r>
    <x v="123"/>
  </r>
  <r>
    <x v="0"/>
  </r>
  <r>
    <x v="0"/>
  </r>
  <r>
    <x v="10"/>
  </r>
  <r>
    <x v="123"/>
  </r>
  <r>
    <x v="123"/>
  </r>
  <r>
    <x v="123"/>
  </r>
  <r>
    <x v="14"/>
  </r>
  <r>
    <x v="123"/>
  </r>
  <r>
    <x v="123"/>
  </r>
  <r>
    <x v="123"/>
  </r>
  <r>
    <x v="123"/>
  </r>
  <r>
    <x v="123"/>
  </r>
  <r>
    <x v="123"/>
  </r>
  <r>
    <x v="123"/>
  </r>
  <r>
    <x v="152"/>
  </r>
  <r>
    <x v="152"/>
  </r>
  <r>
    <x v="171"/>
  </r>
  <r>
    <x v="123"/>
  </r>
  <r>
    <x v="42"/>
  </r>
  <r>
    <x v="42"/>
  </r>
  <r>
    <x v="123"/>
  </r>
  <r>
    <x v="123"/>
  </r>
  <r>
    <x v="10"/>
  </r>
  <r>
    <x v="171"/>
  </r>
  <r>
    <x v="42"/>
  </r>
  <r>
    <x v="76"/>
  </r>
  <r>
    <x v="76"/>
  </r>
  <r>
    <x v="42"/>
  </r>
  <r>
    <x v="42"/>
  </r>
  <r>
    <x v="42"/>
  </r>
  <r>
    <x v="35"/>
  </r>
  <r>
    <x v="207"/>
  </r>
  <r>
    <x v="10"/>
  </r>
  <r>
    <x v="123"/>
  </r>
  <r>
    <x v="146"/>
  </r>
  <r>
    <x v="146"/>
  </r>
  <r>
    <x v="146"/>
  </r>
  <r>
    <x v="146"/>
  </r>
  <r>
    <x v="146"/>
  </r>
  <r>
    <x v="146"/>
  </r>
  <r>
    <x v="146"/>
  </r>
  <r>
    <x v="207"/>
  </r>
  <r>
    <x v="79"/>
  </r>
  <r>
    <x v="174"/>
  </r>
  <r>
    <x v="10"/>
  </r>
  <r>
    <x v="79"/>
  </r>
  <r>
    <x v="35"/>
  </r>
  <r>
    <x v="35"/>
  </r>
  <r>
    <x v="42"/>
  </r>
  <r>
    <x v="249"/>
  </r>
  <r>
    <x v="204"/>
  </r>
  <r>
    <x v="79"/>
  </r>
  <r>
    <x v="26"/>
  </r>
  <r>
    <x v="79"/>
  </r>
  <r>
    <x v="79"/>
  </r>
  <r>
    <x v="79"/>
  </r>
  <r>
    <x v="79"/>
  </r>
  <r>
    <x v="79"/>
  </r>
  <r>
    <x v="204"/>
  </r>
  <r>
    <x v="79"/>
  </r>
  <r>
    <x v="10"/>
  </r>
  <r>
    <x v="179"/>
  </r>
  <r>
    <x v="10"/>
  </r>
  <r>
    <x v="24"/>
  </r>
  <r>
    <x v="52"/>
  </r>
  <r>
    <x v="123"/>
  </r>
  <r>
    <x v="123"/>
  </r>
  <r>
    <x v="123"/>
  </r>
  <r>
    <x v="42"/>
  </r>
  <r>
    <x v="24"/>
  </r>
  <r>
    <x v="24"/>
  </r>
  <r>
    <x v="24"/>
  </r>
  <r>
    <x v="24"/>
  </r>
  <r>
    <x v="10"/>
  </r>
  <r>
    <x v="4"/>
  </r>
  <r>
    <x v="24"/>
  </r>
  <r>
    <x v="100"/>
  </r>
  <r>
    <x v="24"/>
  </r>
  <r>
    <x v="24"/>
  </r>
  <r>
    <x v="24"/>
  </r>
  <r>
    <x v="60"/>
  </r>
  <r>
    <x v="24"/>
  </r>
  <r>
    <x v="24"/>
  </r>
  <r>
    <x v="102"/>
  </r>
  <r>
    <x v="100"/>
  </r>
  <r>
    <x v="12"/>
  </r>
  <r>
    <x v="12"/>
  </r>
  <r>
    <x v="12"/>
  </r>
  <r>
    <x v="10"/>
  </r>
  <r>
    <x v="4"/>
  </r>
  <r>
    <x v="36"/>
  </r>
  <r>
    <x v="12"/>
  </r>
  <r>
    <x v="129"/>
  </r>
  <r>
    <x v="92"/>
  </r>
  <r>
    <x v="114"/>
  </r>
  <r>
    <x v="36"/>
  </r>
  <r>
    <x v="34"/>
  </r>
  <r>
    <x v="10"/>
  </r>
  <r>
    <x v="10"/>
  </r>
  <r>
    <x v="175"/>
  </r>
  <r>
    <x v="10"/>
  </r>
  <r>
    <x v="76"/>
  </r>
  <r>
    <x v="76"/>
  </r>
  <r>
    <x v="67"/>
  </r>
  <r>
    <x v="175"/>
  </r>
  <r>
    <x v="175"/>
  </r>
  <r>
    <x v="175"/>
  </r>
  <r>
    <x v="45"/>
  </r>
  <r>
    <x v="86"/>
  </r>
  <r>
    <x v="86"/>
  </r>
  <r>
    <x v="175"/>
  </r>
  <r>
    <x v="487"/>
  </r>
  <r>
    <x v="487"/>
  </r>
  <r>
    <x v="488"/>
  </r>
  <r>
    <x v="192"/>
  </r>
  <r>
    <x v="48"/>
  </r>
  <r>
    <x v="205"/>
  </r>
  <r>
    <x v="41"/>
  </r>
  <r>
    <x v="0"/>
  </r>
  <r>
    <x v="0"/>
  </r>
  <r>
    <x v="0"/>
  </r>
  <r>
    <x v="0"/>
  </r>
  <r>
    <x v="4"/>
  </r>
  <r>
    <x v="0"/>
  </r>
  <r>
    <x v="16"/>
  </r>
  <r>
    <x v="3"/>
  </r>
  <r>
    <x v="2"/>
  </r>
  <r>
    <x v="193"/>
  </r>
  <r>
    <x v="71"/>
  </r>
  <r>
    <x v="45"/>
  </r>
  <r>
    <x v="48"/>
  </r>
  <r>
    <x v="17"/>
  </r>
  <r>
    <x v="45"/>
  </r>
  <r>
    <x v="16"/>
  </r>
  <r>
    <x v="14"/>
  </r>
  <r>
    <x v="14"/>
  </r>
  <r>
    <x v="31"/>
  </r>
  <r>
    <x v="6"/>
  </r>
  <r>
    <x v="6"/>
  </r>
  <r>
    <x v="12"/>
  </r>
  <r>
    <x v="36"/>
  </r>
  <r>
    <x v="0"/>
  </r>
  <r>
    <x v="7"/>
  </r>
  <r>
    <x v="131"/>
  </r>
  <r>
    <x v="14"/>
  </r>
  <r>
    <x v="39"/>
  </r>
  <r>
    <x v="31"/>
  </r>
  <r>
    <x v="30"/>
  </r>
  <r>
    <x v="28"/>
  </r>
  <r>
    <x v="21"/>
  </r>
  <r>
    <x v="17"/>
  </r>
  <r>
    <x v="9"/>
  </r>
  <r>
    <x v="14"/>
  </r>
  <r>
    <x v="52"/>
  </r>
  <r>
    <x v="10"/>
  </r>
  <r>
    <x v="10"/>
  </r>
  <r>
    <x v="0"/>
  </r>
  <r>
    <x v="0"/>
  </r>
  <r>
    <x v="17"/>
  </r>
  <r>
    <x v="17"/>
  </r>
  <r>
    <x v="69"/>
  </r>
  <r>
    <x v="14"/>
  </r>
  <r>
    <x v="14"/>
  </r>
  <r>
    <x v="115"/>
  </r>
  <r>
    <x v="31"/>
  </r>
  <r>
    <x v="31"/>
  </r>
  <r>
    <x v="24"/>
  </r>
  <r>
    <x v="71"/>
  </r>
  <r>
    <x v="37"/>
  </r>
  <r>
    <x v="43"/>
  </r>
  <r>
    <x v="28"/>
  </r>
  <r>
    <x v="28"/>
  </r>
  <r>
    <x v="28"/>
  </r>
  <r>
    <x v="28"/>
  </r>
  <r>
    <x v="49"/>
  </r>
  <r>
    <x v="48"/>
  </r>
  <r>
    <x v="0"/>
  </r>
  <r>
    <x v="28"/>
  </r>
  <r>
    <x v="7"/>
  </r>
  <r>
    <x v="10"/>
  </r>
  <r>
    <x v="42"/>
  </r>
  <r>
    <x v="42"/>
  </r>
  <r>
    <x v="42"/>
  </r>
  <r>
    <x v="115"/>
  </r>
  <r>
    <x v="115"/>
  </r>
  <r>
    <x v="11"/>
  </r>
  <r>
    <x v="71"/>
  </r>
  <r>
    <x v="21"/>
  </r>
  <r>
    <x v="47"/>
  </r>
  <r>
    <x v="24"/>
  </r>
  <r>
    <x v="64"/>
  </r>
  <r>
    <x v="81"/>
  </r>
  <r>
    <x v="10"/>
  </r>
  <r>
    <x v="2"/>
  </r>
  <r>
    <x v="4"/>
  </r>
  <r>
    <x v="14"/>
  </r>
  <r>
    <x v="12"/>
  </r>
  <r>
    <x v="14"/>
  </r>
  <r>
    <x v="7"/>
  </r>
  <r>
    <x v="17"/>
  </r>
  <r>
    <x v="78"/>
  </r>
  <r>
    <x v="12"/>
  </r>
  <r>
    <x v="12"/>
  </r>
  <r>
    <x v="11"/>
  </r>
  <r>
    <x v="0"/>
  </r>
  <r>
    <x v="48"/>
  </r>
  <r>
    <x v="48"/>
  </r>
  <r>
    <x v="48"/>
  </r>
  <r>
    <x v="48"/>
  </r>
  <r>
    <x v="48"/>
  </r>
  <r>
    <x v="48"/>
  </r>
  <r>
    <x v="12"/>
  </r>
  <r>
    <x v="12"/>
  </r>
  <r>
    <x v="12"/>
  </r>
  <r>
    <x v="7"/>
  </r>
  <r>
    <x v="14"/>
  </r>
  <r>
    <x v="24"/>
  </r>
  <r>
    <x v="24"/>
  </r>
  <r>
    <x v="14"/>
  </r>
  <r>
    <x v="14"/>
  </r>
  <r>
    <x v="37"/>
  </r>
  <r>
    <x v="37"/>
  </r>
  <r>
    <x v="37"/>
  </r>
  <r>
    <x v="0"/>
  </r>
  <r>
    <x v="64"/>
  </r>
  <r>
    <x v="17"/>
  </r>
  <r>
    <x v="17"/>
  </r>
  <r>
    <x v="14"/>
  </r>
  <r>
    <x v="14"/>
  </r>
  <r>
    <x v="14"/>
  </r>
  <r>
    <x v="40"/>
  </r>
  <r>
    <x v="17"/>
  </r>
  <r>
    <x v="4"/>
  </r>
  <r>
    <x v="10"/>
  </r>
  <r>
    <x v="16"/>
  </r>
  <r>
    <x v="16"/>
  </r>
  <r>
    <x v="21"/>
  </r>
  <r>
    <x v="10"/>
  </r>
  <r>
    <x v="17"/>
  </r>
  <r>
    <x v="37"/>
  </r>
  <r>
    <x v="37"/>
  </r>
  <r>
    <x v="37"/>
  </r>
  <r>
    <x v="16"/>
  </r>
  <r>
    <x v="87"/>
  </r>
  <r>
    <x v="12"/>
  </r>
  <r>
    <x v="60"/>
  </r>
  <r>
    <x v="60"/>
  </r>
  <r>
    <x v="106"/>
  </r>
  <r>
    <x v="106"/>
  </r>
  <r>
    <x v="10"/>
  </r>
  <r>
    <x v="45"/>
  </r>
  <r>
    <x v="14"/>
  </r>
  <r>
    <x v="16"/>
  </r>
  <r>
    <x v="16"/>
  </r>
  <r>
    <x v="16"/>
  </r>
  <r>
    <x v="60"/>
  </r>
  <r>
    <x v="9"/>
  </r>
  <r>
    <x v="21"/>
  </r>
  <r>
    <x v="21"/>
  </r>
  <r>
    <x v="37"/>
  </r>
  <r>
    <x v="37"/>
  </r>
  <r>
    <x v="48"/>
  </r>
  <r>
    <x v="48"/>
  </r>
  <r>
    <x v="154"/>
  </r>
  <r>
    <x v="84"/>
  </r>
  <r>
    <x v="10"/>
  </r>
  <r>
    <x v="14"/>
  </r>
  <r>
    <x v="60"/>
  </r>
  <r>
    <x v="45"/>
  </r>
  <r>
    <x v="45"/>
  </r>
  <r>
    <x v="45"/>
  </r>
  <r>
    <x v="2"/>
  </r>
  <r>
    <x v="0"/>
  </r>
  <r>
    <x v="0"/>
  </r>
  <r>
    <x v="0"/>
  </r>
  <r>
    <x v="0"/>
  </r>
  <r>
    <x v="0"/>
  </r>
  <r>
    <x v="0"/>
  </r>
  <r>
    <x v="28"/>
  </r>
  <r>
    <x v="14"/>
  </r>
  <r>
    <x v="14"/>
  </r>
  <r>
    <x v="14"/>
  </r>
  <r>
    <x v="14"/>
  </r>
  <r>
    <x v="57"/>
  </r>
  <r>
    <x v="57"/>
  </r>
  <r>
    <x v="57"/>
  </r>
  <r>
    <x v="57"/>
  </r>
  <r>
    <x v="49"/>
  </r>
  <r>
    <x v="87"/>
  </r>
  <r>
    <x v="42"/>
  </r>
  <r>
    <x v="11"/>
  </r>
  <r>
    <x v="12"/>
  </r>
  <r>
    <x v="12"/>
  </r>
  <r>
    <x v="14"/>
  </r>
  <r>
    <x v="6"/>
  </r>
  <r>
    <x v="6"/>
  </r>
  <r>
    <x v="12"/>
  </r>
  <r>
    <x v="74"/>
  </r>
  <r>
    <x v="74"/>
  </r>
  <r>
    <x v="57"/>
  </r>
  <r>
    <x v="48"/>
  </r>
  <r>
    <x v="48"/>
  </r>
  <r>
    <x v="48"/>
  </r>
  <r>
    <x v="42"/>
  </r>
  <r>
    <x v="37"/>
  </r>
  <r>
    <x v="37"/>
  </r>
  <r>
    <x v="0"/>
  </r>
  <r>
    <x v="9"/>
  </r>
  <r>
    <x v="12"/>
  </r>
  <r>
    <x v="28"/>
  </r>
  <r>
    <x v="28"/>
  </r>
  <r>
    <x v="152"/>
  </r>
  <r>
    <x v="46"/>
  </r>
  <r>
    <x v="10"/>
  </r>
  <r>
    <x v="2"/>
  </r>
  <r>
    <x v="7"/>
  </r>
  <r>
    <x v="28"/>
  </r>
  <r>
    <x v="46"/>
  </r>
  <r>
    <x v="46"/>
  </r>
  <r>
    <x v="14"/>
  </r>
  <r>
    <x v="17"/>
  </r>
  <r>
    <x v="14"/>
  </r>
  <r>
    <x v="42"/>
  </r>
  <r>
    <x v="7"/>
  </r>
  <r>
    <x v="22"/>
  </r>
  <r>
    <x v="22"/>
  </r>
  <r>
    <x v="61"/>
  </r>
  <r>
    <x v="111"/>
  </r>
  <r>
    <x v="0"/>
  </r>
  <r>
    <x v="12"/>
  </r>
  <r>
    <x v="12"/>
  </r>
  <r>
    <x v="22"/>
  </r>
  <r>
    <x v="49"/>
  </r>
  <r>
    <x v="14"/>
  </r>
  <r>
    <x v="24"/>
  </r>
  <r>
    <x v="4"/>
  </r>
  <r>
    <x v="222"/>
  </r>
  <r>
    <x v="47"/>
  </r>
  <r>
    <x v="14"/>
  </r>
  <r>
    <x v="60"/>
  </r>
  <r>
    <x v="60"/>
  </r>
  <r>
    <x v="14"/>
  </r>
  <r>
    <x v="1"/>
  </r>
  <r>
    <x v="14"/>
  </r>
  <r>
    <x v="10"/>
  </r>
  <r>
    <x v="22"/>
  </r>
  <r>
    <x v="22"/>
  </r>
  <r>
    <x v="16"/>
  </r>
  <r>
    <x v="16"/>
  </r>
  <r>
    <x v="14"/>
  </r>
  <r>
    <x v="14"/>
  </r>
  <r>
    <x v="64"/>
  </r>
  <r>
    <x v="64"/>
  </r>
  <r>
    <x v="0"/>
  </r>
  <r>
    <x v="0"/>
  </r>
  <r>
    <x v="7"/>
  </r>
  <r>
    <x v="1"/>
  </r>
  <r>
    <x v="1"/>
  </r>
  <r>
    <x v="0"/>
  </r>
  <r>
    <x v="130"/>
  </r>
  <r>
    <x v="177"/>
  </r>
  <r>
    <x v="14"/>
  </r>
  <r>
    <x v="14"/>
  </r>
  <r>
    <x v="2"/>
  </r>
  <r>
    <x v="22"/>
  </r>
  <r>
    <x v="49"/>
  </r>
  <r>
    <x v="9"/>
  </r>
  <r>
    <x v="60"/>
  </r>
  <r>
    <x v="37"/>
  </r>
  <r>
    <x v="24"/>
  </r>
  <r>
    <x v="22"/>
  </r>
  <r>
    <x v="12"/>
  </r>
  <r>
    <x v="28"/>
  </r>
  <r>
    <x v="1"/>
  </r>
  <r>
    <x v="1"/>
  </r>
  <r>
    <x v="1"/>
  </r>
  <r>
    <x v="1"/>
  </r>
  <r>
    <x v="1"/>
  </r>
  <r>
    <x v="7"/>
  </r>
  <r>
    <x v="2"/>
  </r>
  <r>
    <x v="10"/>
  </r>
  <r>
    <x v="17"/>
  </r>
  <r>
    <x v="17"/>
  </r>
  <r>
    <x v="40"/>
  </r>
  <r>
    <x v="0"/>
  </r>
  <r>
    <x v="71"/>
  </r>
  <r>
    <x v="0"/>
  </r>
  <r>
    <x v="60"/>
  </r>
  <r>
    <x v="28"/>
  </r>
  <r>
    <x v="24"/>
  </r>
  <r>
    <x v="14"/>
  </r>
  <r>
    <x v="10"/>
  </r>
  <r>
    <x v="10"/>
  </r>
  <r>
    <x v="10"/>
  </r>
  <r>
    <x v="12"/>
  </r>
  <r>
    <x v="16"/>
  </r>
  <r>
    <x v="45"/>
  </r>
  <r>
    <x v="12"/>
  </r>
  <r>
    <x v="12"/>
  </r>
  <r>
    <x v="10"/>
  </r>
  <r>
    <x v="77"/>
  </r>
  <r>
    <x v="32"/>
  </r>
  <r>
    <x v="32"/>
  </r>
  <r>
    <x v="55"/>
  </r>
  <r>
    <x v="22"/>
  </r>
  <r>
    <x v="31"/>
  </r>
  <r>
    <x v="31"/>
  </r>
  <r>
    <x v="16"/>
  </r>
  <r>
    <x v="16"/>
  </r>
  <r>
    <x v="17"/>
  </r>
  <r>
    <x v="22"/>
  </r>
  <r>
    <x v="17"/>
  </r>
  <r>
    <x v="17"/>
  </r>
  <r>
    <x v="10"/>
  </r>
  <r>
    <x v="28"/>
  </r>
  <r>
    <x v="1"/>
  </r>
  <r>
    <x v="1"/>
  </r>
  <r>
    <x v="1"/>
  </r>
  <r>
    <x v="1"/>
  </r>
  <r>
    <x v="1"/>
  </r>
  <r>
    <x v="12"/>
  </r>
  <r>
    <x v="12"/>
  </r>
  <r>
    <x v="12"/>
  </r>
  <r>
    <x v="92"/>
  </r>
  <r>
    <x v="14"/>
  </r>
  <r>
    <x v="28"/>
  </r>
  <r>
    <x v="28"/>
  </r>
  <r>
    <x v="42"/>
  </r>
  <r>
    <x v="12"/>
  </r>
  <r>
    <x v="12"/>
  </r>
  <r>
    <x v="12"/>
  </r>
  <r>
    <x v="12"/>
  </r>
  <r>
    <x v="44"/>
  </r>
  <r>
    <x v="44"/>
  </r>
  <r>
    <x v="22"/>
  </r>
  <r>
    <x v="71"/>
  </r>
  <r>
    <x v="21"/>
  </r>
  <r>
    <x v="62"/>
  </r>
  <r>
    <x v="31"/>
  </r>
  <r>
    <x v="71"/>
  </r>
  <r>
    <x v="11"/>
  </r>
  <r>
    <x v="28"/>
  </r>
  <r>
    <x v="28"/>
  </r>
  <r>
    <x v="71"/>
  </r>
  <r>
    <x v="76"/>
  </r>
  <r>
    <x v="12"/>
  </r>
  <r>
    <x v="14"/>
  </r>
  <r>
    <x v="17"/>
  </r>
  <r>
    <x v="17"/>
  </r>
  <r>
    <x v="17"/>
  </r>
  <r>
    <x v="0"/>
  </r>
  <r>
    <x v="14"/>
  </r>
  <r>
    <x v="21"/>
  </r>
  <r>
    <x v="14"/>
  </r>
  <r>
    <x v="14"/>
  </r>
  <r>
    <x v="14"/>
  </r>
  <r>
    <x v="14"/>
  </r>
  <r>
    <x v="14"/>
  </r>
  <r>
    <x v="40"/>
  </r>
  <r>
    <x v="21"/>
  </r>
  <r>
    <x v="14"/>
  </r>
  <r>
    <x v="21"/>
  </r>
  <r>
    <x v="21"/>
  </r>
  <r>
    <x v="14"/>
  </r>
  <r>
    <x v="17"/>
  </r>
  <r>
    <x v="17"/>
  </r>
  <r>
    <x v="17"/>
  </r>
  <r>
    <x v="17"/>
  </r>
  <r>
    <x v="17"/>
  </r>
  <r>
    <x v="14"/>
  </r>
  <r>
    <x v="14"/>
  </r>
  <r>
    <x v="40"/>
  </r>
  <r>
    <x v="6"/>
  </r>
  <r>
    <x v="17"/>
  </r>
  <r>
    <x v="17"/>
  </r>
  <r>
    <x v="64"/>
  </r>
  <r>
    <x v="226"/>
  </r>
  <r>
    <x v="226"/>
  </r>
  <r>
    <x v="12"/>
  </r>
  <r>
    <x v="71"/>
  </r>
  <r>
    <x v="71"/>
  </r>
  <r>
    <x v="17"/>
  </r>
  <r>
    <x v="62"/>
  </r>
  <r>
    <x v="14"/>
  </r>
  <r>
    <x v="14"/>
  </r>
  <r>
    <x v="64"/>
  </r>
  <r>
    <x v="14"/>
  </r>
  <r>
    <x v="9"/>
  </r>
  <r>
    <x v="16"/>
  </r>
  <r>
    <x v="16"/>
  </r>
  <r>
    <x v="16"/>
  </r>
  <r>
    <x v="207"/>
  </r>
  <r>
    <x v="166"/>
  </r>
  <r>
    <x v="14"/>
  </r>
  <r>
    <x v="14"/>
  </r>
  <r>
    <x v="16"/>
  </r>
  <r>
    <x v="16"/>
  </r>
  <r>
    <x v="16"/>
  </r>
  <r>
    <x v="16"/>
  </r>
  <r>
    <x v="14"/>
  </r>
  <r>
    <x v="16"/>
  </r>
  <r>
    <x v="14"/>
  </r>
  <r>
    <x v="40"/>
  </r>
  <r>
    <x v="14"/>
  </r>
  <r>
    <x v="22"/>
  </r>
  <r>
    <x v="22"/>
  </r>
  <r>
    <x v="22"/>
  </r>
  <r>
    <x v="22"/>
  </r>
  <r>
    <x v="14"/>
  </r>
  <r>
    <x v="16"/>
  </r>
  <r>
    <x v="21"/>
  </r>
  <r>
    <x v="40"/>
  </r>
  <r>
    <x v="12"/>
  </r>
  <r>
    <x v="16"/>
  </r>
  <r>
    <x v="17"/>
  </r>
  <r>
    <x v="17"/>
  </r>
  <r>
    <x v="40"/>
  </r>
  <r>
    <x v="40"/>
  </r>
  <r>
    <x v="40"/>
  </r>
  <r>
    <x v="16"/>
  </r>
  <r>
    <x v="9"/>
  </r>
  <r>
    <x v="0"/>
  </r>
  <r>
    <x v="11"/>
  </r>
  <r>
    <x v="12"/>
  </r>
  <r>
    <x v="0"/>
  </r>
  <r>
    <x v="12"/>
  </r>
  <r>
    <x v="12"/>
  </r>
  <r>
    <x v="31"/>
  </r>
  <r>
    <x v="11"/>
  </r>
  <r>
    <x v="11"/>
  </r>
  <r>
    <x v="39"/>
  </r>
  <r>
    <x v="37"/>
  </r>
  <r>
    <x v="37"/>
  </r>
  <r>
    <x v="24"/>
  </r>
  <r>
    <x v="48"/>
  </r>
  <r>
    <x v="31"/>
  </r>
  <r>
    <x v="12"/>
  </r>
  <r>
    <x v="12"/>
  </r>
  <r>
    <x v="10"/>
  </r>
  <r>
    <x v="21"/>
  </r>
  <r>
    <x v="52"/>
  </r>
  <r>
    <x v="14"/>
  </r>
  <r>
    <x v="16"/>
  </r>
  <r>
    <x v="12"/>
  </r>
  <r>
    <x v="14"/>
  </r>
  <r>
    <x v="12"/>
  </r>
  <r>
    <x v="10"/>
  </r>
  <r>
    <x v="16"/>
  </r>
  <r>
    <x v="17"/>
  </r>
  <r>
    <x v="30"/>
  </r>
  <r>
    <x v="31"/>
  </r>
  <r>
    <x v="30"/>
  </r>
  <r>
    <x v="30"/>
  </r>
  <r>
    <x v="0"/>
  </r>
  <r>
    <x v="87"/>
  </r>
  <r>
    <x v="52"/>
  </r>
  <r>
    <x v="2"/>
  </r>
  <r>
    <x v="52"/>
  </r>
  <r>
    <x v="40"/>
  </r>
  <r>
    <x v="131"/>
  </r>
  <r>
    <x v="14"/>
  </r>
  <r>
    <x v="14"/>
  </r>
  <r>
    <x v="21"/>
  </r>
  <r>
    <x v="14"/>
  </r>
  <r>
    <x v="74"/>
  </r>
  <r>
    <x v="74"/>
  </r>
  <r>
    <x v="74"/>
  </r>
  <r>
    <x v="74"/>
  </r>
  <r>
    <x v="14"/>
  </r>
  <r>
    <x v="17"/>
  </r>
  <r>
    <x v="12"/>
  </r>
  <r>
    <x v="16"/>
  </r>
  <r>
    <x v="16"/>
  </r>
  <r>
    <x v="2"/>
  </r>
  <r>
    <x v="10"/>
  </r>
  <r>
    <x v="12"/>
  </r>
  <r>
    <x v="60"/>
  </r>
  <r>
    <x v="77"/>
  </r>
  <r>
    <x v="34"/>
  </r>
  <r>
    <x v="0"/>
  </r>
  <r>
    <x v="30"/>
  </r>
  <r>
    <x v="55"/>
  </r>
  <r>
    <x v="12"/>
  </r>
  <r>
    <x v="12"/>
  </r>
  <r>
    <x v="12"/>
  </r>
  <r>
    <x v="28"/>
  </r>
  <r>
    <x v="10"/>
  </r>
  <r>
    <x v="16"/>
  </r>
  <r>
    <x v="131"/>
  </r>
  <r>
    <x v="48"/>
  </r>
  <r>
    <x v="48"/>
  </r>
  <r>
    <x v="45"/>
  </r>
  <r>
    <x v="14"/>
  </r>
  <r>
    <x v="14"/>
  </r>
  <r>
    <x v="14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76"/>
  </r>
  <r>
    <x v="49"/>
  </r>
  <r>
    <x v="0"/>
  </r>
  <r>
    <x v="0"/>
  </r>
  <r>
    <x v="0"/>
  </r>
  <r>
    <x v="76"/>
  </r>
  <r>
    <x v="0"/>
  </r>
  <r>
    <x v="0"/>
  </r>
  <r>
    <x v="28"/>
  </r>
  <r>
    <x v="16"/>
  </r>
  <r>
    <x v="171"/>
  </r>
  <r>
    <x v="76"/>
  </r>
  <r>
    <x v="12"/>
  </r>
  <r>
    <x v="46"/>
  </r>
  <r>
    <x v="17"/>
  </r>
  <r>
    <x v="11"/>
  </r>
  <r>
    <x v="37"/>
  </r>
  <r>
    <x v="8"/>
  </r>
  <r>
    <x v="49"/>
  </r>
  <r>
    <x v="40"/>
  </r>
  <r>
    <x v="52"/>
  </r>
  <r>
    <x v="126"/>
  </r>
  <r>
    <x v="11"/>
  </r>
  <r>
    <x v="0"/>
  </r>
  <r>
    <x v="0"/>
  </r>
  <r>
    <x v="0"/>
  </r>
  <r>
    <x v="28"/>
  </r>
  <r>
    <x v="12"/>
  </r>
  <r>
    <x v="17"/>
  </r>
  <r>
    <x v="22"/>
  </r>
  <r>
    <x v="0"/>
  </r>
  <r>
    <x v="48"/>
  </r>
  <r>
    <x v="12"/>
  </r>
  <r>
    <x v="9"/>
  </r>
  <r>
    <x v="16"/>
  </r>
  <r>
    <x v="29"/>
  </r>
  <r>
    <x v="131"/>
  </r>
  <r>
    <x v="0"/>
  </r>
  <r>
    <x v="0"/>
  </r>
  <r>
    <x v="0"/>
  </r>
  <r>
    <x v="46"/>
  </r>
  <r>
    <x v="12"/>
  </r>
  <r>
    <x v="48"/>
  </r>
  <r>
    <x v="28"/>
  </r>
  <r>
    <x v="28"/>
  </r>
  <r>
    <x v="28"/>
  </r>
  <r>
    <x v="17"/>
  </r>
  <r>
    <x v="130"/>
  </r>
  <r>
    <x v="17"/>
  </r>
  <r>
    <x v="17"/>
  </r>
  <r>
    <x v="64"/>
  </r>
  <r>
    <x v="64"/>
  </r>
  <r>
    <x v="17"/>
  </r>
  <r>
    <x v="64"/>
  </r>
  <r>
    <x v="64"/>
  </r>
  <r>
    <x v="17"/>
  </r>
  <r>
    <x v="17"/>
  </r>
  <r>
    <x v="17"/>
  </r>
  <r>
    <x v="64"/>
  </r>
  <r>
    <x v="14"/>
  </r>
  <r>
    <x v="0"/>
  </r>
  <r>
    <x v="24"/>
  </r>
  <r>
    <x v="17"/>
  </r>
  <r>
    <x v="231"/>
  </r>
  <r>
    <x v="8"/>
  </r>
  <r>
    <x v="30"/>
  </r>
  <r>
    <x v="11"/>
  </r>
  <r>
    <x v="14"/>
  </r>
  <r>
    <x v="223"/>
  </r>
  <r>
    <x v="223"/>
  </r>
  <r>
    <x v="223"/>
  </r>
  <r>
    <x v="48"/>
  </r>
  <r>
    <x v="7"/>
  </r>
  <r>
    <x v="0"/>
  </r>
  <r>
    <x v="12"/>
  </r>
  <r>
    <x v="12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4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7"/>
  </r>
  <r>
    <x v="37"/>
  </r>
  <r>
    <x v="37"/>
  </r>
  <r>
    <x v="79"/>
  </r>
  <r>
    <x v="45"/>
  </r>
  <r>
    <x v="16"/>
  </r>
  <r>
    <x v="24"/>
  </r>
  <r>
    <x v="37"/>
  </r>
  <r>
    <x v="14"/>
  </r>
  <r>
    <x v="14"/>
  </r>
  <r>
    <x v="10"/>
  </r>
  <r>
    <x v="0"/>
  </r>
  <r>
    <x v="187"/>
  </r>
  <r>
    <x v="48"/>
  </r>
  <r>
    <x v="48"/>
  </r>
  <r>
    <x v="48"/>
  </r>
  <r>
    <x v="126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11"/>
  </r>
  <r>
    <x v="45"/>
  </r>
  <r>
    <x v="48"/>
  </r>
  <r>
    <x v="19"/>
  </r>
  <r>
    <x v="12"/>
  </r>
  <r>
    <x v="4"/>
  </r>
  <r>
    <x v="12"/>
  </r>
  <r>
    <x v="29"/>
  </r>
  <r>
    <x v="48"/>
  </r>
  <r>
    <x v="130"/>
  </r>
  <r>
    <x v="187"/>
  </r>
  <r>
    <x v="45"/>
  </r>
  <r>
    <x v="45"/>
  </r>
  <r>
    <x v="34"/>
  </r>
  <r>
    <x v="10"/>
  </r>
  <r>
    <x v="17"/>
  </r>
  <r>
    <x v="17"/>
  </r>
  <r>
    <x v="17"/>
  </r>
  <r>
    <x v="28"/>
  </r>
  <r>
    <x v="10"/>
  </r>
  <r>
    <x v="6"/>
  </r>
  <r>
    <x v="6"/>
  </r>
  <r>
    <x v="42"/>
  </r>
  <r>
    <x v="14"/>
  </r>
  <r>
    <x v="204"/>
  </r>
  <r>
    <x v="171"/>
  </r>
  <r>
    <x v="42"/>
  </r>
  <r>
    <x v="25"/>
  </r>
  <r>
    <x v="64"/>
  </r>
  <r>
    <x v="16"/>
  </r>
  <r>
    <x v="26"/>
  </r>
  <r>
    <x v="0"/>
  </r>
  <r>
    <x v="17"/>
  </r>
  <r>
    <x v="12"/>
  </r>
  <r>
    <x v="0"/>
  </r>
  <r>
    <x v="6"/>
  </r>
  <r>
    <x v="12"/>
  </r>
  <r>
    <x v="30"/>
  </r>
  <r>
    <x v="87"/>
  </r>
  <r>
    <x v="77"/>
  </r>
  <r>
    <x v="8"/>
  </r>
  <r>
    <x v="12"/>
  </r>
  <r>
    <x v="2"/>
  </r>
  <r>
    <x v="0"/>
  </r>
  <r>
    <x v="0"/>
  </r>
  <r>
    <x v="40"/>
  </r>
  <r>
    <x v="40"/>
  </r>
  <r>
    <x v="40"/>
  </r>
  <r>
    <x v="40"/>
  </r>
  <r>
    <x v="40"/>
  </r>
  <r>
    <x v="40"/>
  </r>
  <r>
    <x v="17"/>
  </r>
  <r>
    <x v="17"/>
  </r>
  <r>
    <x v="14"/>
  </r>
  <r>
    <x v="14"/>
  </r>
  <r>
    <x v="14"/>
  </r>
  <r>
    <x v="14"/>
  </r>
  <r>
    <x v="14"/>
  </r>
  <r>
    <x v="130"/>
  </r>
  <r>
    <x v="45"/>
  </r>
  <r>
    <x v="16"/>
  </r>
  <r>
    <x v="141"/>
  </r>
  <r>
    <x v="21"/>
  </r>
  <r>
    <x v="49"/>
  </r>
  <r>
    <x v="14"/>
  </r>
  <r>
    <x v="21"/>
  </r>
  <r>
    <x v="18"/>
  </r>
  <r>
    <x v="115"/>
  </r>
  <r>
    <x v="2"/>
  </r>
  <r>
    <x v="11"/>
  </r>
  <r>
    <x v="11"/>
  </r>
  <r>
    <x v="12"/>
  </r>
  <r>
    <x v="28"/>
  </r>
  <r>
    <x v="30"/>
  </r>
  <r>
    <x v="16"/>
  </r>
  <r>
    <x v="12"/>
  </r>
  <r>
    <x v="17"/>
  </r>
  <r>
    <x v="17"/>
  </r>
  <r>
    <x v="17"/>
  </r>
  <r>
    <x v="21"/>
  </r>
  <r>
    <x v="8"/>
  </r>
  <r>
    <x v="8"/>
  </r>
  <r>
    <x v="8"/>
  </r>
  <r>
    <x v="14"/>
  </r>
  <r>
    <x v="62"/>
  </r>
  <r>
    <x v="76"/>
  </r>
  <r>
    <x v="7"/>
  </r>
  <r>
    <x v="37"/>
  </r>
  <r>
    <x v="45"/>
  </r>
  <r>
    <x v="45"/>
  </r>
  <r>
    <x v="30"/>
  </r>
  <r>
    <x v="12"/>
  </r>
  <r>
    <x v="12"/>
  </r>
  <r>
    <x v="12"/>
  </r>
  <r>
    <x v="30"/>
  </r>
  <r>
    <x v="81"/>
  </r>
  <r>
    <x v="9"/>
  </r>
  <r>
    <x v="48"/>
  </r>
  <r>
    <x v="12"/>
  </r>
  <r>
    <x v="51"/>
  </r>
  <r>
    <x v="51"/>
  </r>
  <r>
    <x v="111"/>
  </r>
  <r>
    <x v="111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7"/>
  </r>
  <r>
    <x v="17"/>
  </r>
  <r>
    <x v="28"/>
  </r>
  <r>
    <x v="17"/>
  </r>
  <r>
    <x v="17"/>
  </r>
  <r>
    <x v="87"/>
  </r>
  <r>
    <x v="0"/>
  </r>
  <r>
    <x v="61"/>
  </r>
  <r>
    <x v="61"/>
  </r>
  <r>
    <x v="226"/>
  </r>
  <r>
    <x v="27"/>
  </r>
  <r>
    <x v="12"/>
  </r>
  <r>
    <x v="48"/>
  </r>
  <r>
    <x v="48"/>
  </r>
  <r>
    <x v="48"/>
  </r>
  <r>
    <x v="48"/>
  </r>
  <r>
    <x v="48"/>
  </r>
  <r>
    <x v="22"/>
  </r>
  <r>
    <x v="7"/>
  </r>
  <r>
    <x v="7"/>
  </r>
  <r>
    <x v="14"/>
  </r>
  <r>
    <x v="31"/>
  </r>
  <r>
    <x v="10"/>
  </r>
  <r>
    <x v="14"/>
  </r>
  <r>
    <x v="14"/>
  </r>
  <r>
    <x v="14"/>
  </r>
  <r>
    <x v="37"/>
  </r>
  <r>
    <x v="28"/>
  </r>
  <r>
    <x v="98"/>
  </r>
  <r>
    <x v="69"/>
  </r>
  <r>
    <x v="34"/>
  </r>
  <r>
    <x v="12"/>
  </r>
  <r>
    <x v="9"/>
  </r>
  <r>
    <x v="10"/>
  </r>
  <r>
    <x v="10"/>
  </r>
  <r>
    <x v="17"/>
  </r>
  <r>
    <x v="9"/>
  </r>
  <r>
    <x v="16"/>
  </r>
  <r>
    <x v="28"/>
  </r>
  <r>
    <x v="28"/>
  </r>
  <r>
    <x v="28"/>
  </r>
  <r>
    <x v="22"/>
  </r>
  <r>
    <x v="28"/>
  </r>
  <r>
    <x v="12"/>
  </r>
  <r>
    <x v="52"/>
  </r>
  <r>
    <x v="71"/>
  </r>
  <r>
    <x v="48"/>
  </r>
  <r>
    <x v="55"/>
  </r>
  <r>
    <x v="45"/>
  </r>
  <r>
    <x v="45"/>
  </r>
  <r>
    <x v="45"/>
  </r>
  <r>
    <x v="17"/>
  </r>
  <r>
    <x v="48"/>
  </r>
  <r>
    <x v="12"/>
  </r>
  <r>
    <x v="10"/>
  </r>
  <r>
    <x v="17"/>
  </r>
  <r>
    <x v="17"/>
  </r>
  <r>
    <x v="28"/>
  </r>
  <r>
    <x v="16"/>
  </r>
  <r>
    <x v="16"/>
  </r>
  <r>
    <x v="28"/>
  </r>
  <r>
    <x v="10"/>
  </r>
  <r>
    <x v="76"/>
  </r>
  <r>
    <x v="76"/>
  </r>
  <r>
    <x v="76"/>
  </r>
  <r>
    <x v="16"/>
  </r>
  <r>
    <x v="45"/>
  </r>
  <r>
    <x v="49"/>
  </r>
  <r>
    <x v="45"/>
  </r>
  <r>
    <x v="16"/>
  </r>
  <r>
    <x v="21"/>
  </r>
  <r>
    <x v="26"/>
  </r>
  <r>
    <x v="224"/>
  </r>
  <r>
    <x v="17"/>
  </r>
  <r>
    <x v="7"/>
  </r>
  <r>
    <x v="42"/>
  </r>
  <r>
    <x v="16"/>
  </r>
  <r>
    <x v="10"/>
  </r>
  <r>
    <x v="14"/>
  </r>
  <r>
    <x v="10"/>
  </r>
  <r>
    <x v="42"/>
  </r>
  <r>
    <x v="48"/>
  </r>
  <r>
    <x v="10"/>
  </r>
  <r>
    <x v="8"/>
  </r>
  <r>
    <x v="111"/>
  </r>
  <r>
    <x v="22"/>
  </r>
  <r>
    <x v="10"/>
  </r>
  <r>
    <x v="49"/>
  </r>
  <r>
    <x v="14"/>
  </r>
  <r>
    <x v="17"/>
  </r>
  <r>
    <x v="17"/>
  </r>
  <r>
    <x v="28"/>
  </r>
  <r>
    <x v="49"/>
  </r>
  <r>
    <x v="49"/>
  </r>
  <r>
    <x v="24"/>
  </r>
  <r>
    <x v="2"/>
  </r>
  <r>
    <x v="2"/>
  </r>
  <r>
    <x v="28"/>
  </r>
  <r>
    <x v="28"/>
  </r>
  <r>
    <x v="28"/>
  </r>
  <r>
    <x v="62"/>
  </r>
  <r>
    <x v="4"/>
  </r>
  <r>
    <x v="9"/>
  </r>
  <r>
    <x v="10"/>
  </r>
  <r>
    <x v="32"/>
  </r>
  <r>
    <x v="14"/>
  </r>
  <r>
    <x v="14"/>
  </r>
  <r>
    <x v="17"/>
  </r>
  <r>
    <x v="17"/>
  </r>
  <r>
    <x v="17"/>
  </r>
  <r>
    <x v="17"/>
  </r>
  <r>
    <x v="17"/>
  </r>
  <r>
    <x v="10"/>
  </r>
  <r>
    <x v="10"/>
  </r>
  <r>
    <x v="10"/>
  </r>
  <r>
    <x v="71"/>
  </r>
  <r>
    <x v="28"/>
  </r>
  <r>
    <x v="0"/>
  </r>
  <r>
    <x v="24"/>
  </r>
  <r>
    <x v="17"/>
  </r>
  <r>
    <x v="4"/>
  </r>
  <r>
    <x v="48"/>
  </r>
  <r>
    <x v="48"/>
  </r>
  <r>
    <x v="21"/>
  </r>
  <r>
    <x v="21"/>
  </r>
  <r>
    <x v="14"/>
  </r>
  <r>
    <x v="14"/>
  </r>
  <r>
    <x v="231"/>
  </r>
  <r>
    <x v="61"/>
  </r>
  <r>
    <x v="61"/>
  </r>
  <r>
    <x v="0"/>
  </r>
  <r>
    <x v="0"/>
  </r>
  <r>
    <x v="0"/>
  </r>
  <r>
    <x v="0"/>
  </r>
  <r>
    <x v="0"/>
  </r>
  <r>
    <x v="0"/>
  </r>
  <r>
    <x v="17"/>
  </r>
  <r>
    <x v="17"/>
  </r>
  <r>
    <x v="115"/>
  </r>
  <r>
    <x v="115"/>
  </r>
  <r>
    <x v="69"/>
  </r>
  <r>
    <x v="69"/>
  </r>
  <r>
    <x v="69"/>
  </r>
  <r>
    <x v="34"/>
  </r>
  <r>
    <x v="46"/>
  </r>
  <r>
    <x v="55"/>
  </r>
  <r>
    <x v="71"/>
  </r>
  <r>
    <x v="12"/>
  </r>
  <r>
    <x v="12"/>
  </r>
  <r>
    <x v="12"/>
  </r>
  <r>
    <x v="12"/>
  </r>
  <r>
    <x v="56"/>
  </r>
  <r>
    <x v="21"/>
  </r>
  <r>
    <x v="24"/>
  </r>
  <r>
    <x v="53"/>
  </r>
  <r>
    <x v="14"/>
  </r>
  <r>
    <x v="53"/>
  </r>
  <r>
    <x v="14"/>
  </r>
  <r>
    <x v="12"/>
  </r>
  <r>
    <x v="17"/>
  </r>
  <r>
    <x v="10"/>
  </r>
  <r>
    <x v="4"/>
  </r>
  <r>
    <x v="6"/>
  </r>
  <r>
    <x v="8"/>
  </r>
  <r>
    <x v="14"/>
  </r>
  <r>
    <x v="48"/>
  </r>
  <r>
    <x v="12"/>
  </r>
  <r>
    <x v="12"/>
  </r>
  <r>
    <x v="16"/>
  </r>
  <r>
    <x v="79"/>
  </r>
  <r>
    <x v="40"/>
  </r>
  <r>
    <x v="37"/>
  </r>
  <r>
    <x v="40"/>
  </r>
  <r>
    <x v="45"/>
  </r>
  <r>
    <x v="115"/>
  </r>
  <r>
    <x v="0"/>
  </r>
  <r>
    <x v="0"/>
  </r>
  <r>
    <x v="0"/>
  </r>
  <r>
    <x v="14"/>
  </r>
  <r>
    <x v="26"/>
  </r>
  <r>
    <x v="42"/>
  </r>
  <r>
    <x v="24"/>
  </r>
  <r>
    <x v="12"/>
  </r>
  <r>
    <x v="45"/>
  </r>
  <r>
    <x v="40"/>
  </r>
  <r>
    <x v="247"/>
  </r>
  <r>
    <x v="21"/>
  </r>
  <r>
    <x v="21"/>
  </r>
  <r>
    <x v="12"/>
  </r>
  <r>
    <x v="10"/>
  </r>
  <r>
    <x v="0"/>
  </r>
  <r>
    <x v="40"/>
  </r>
  <r>
    <x v="175"/>
  </r>
  <r>
    <x v="60"/>
  </r>
  <r>
    <x v="39"/>
  </r>
  <r>
    <x v="12"/>
  </r>
  <r>
    <x v="26"/>
  </r>
  <r>
    <x v="26"/>
  </r>
  <r>
    <x v="24"/>
  </r>
  <r>
    <x v="24"/>
  </r>
  <r>
    <x v="24"/>
  </r>
  <r>
    <x v="28"/>
  </r>
  <r>
    <x v="22"/>
  </r>
  <r>
    <x v="26"/>
  </r>
  <r>
    <x v="37"/>
  </r>
  <r>
    <x v="31"/>
  </r>
  <r>
    <x v="48"/>
  </r>
  <r>
    <x v="48"/>
  </r>
  <r>
    <x v="48"/>
  </r>
  <r>
    <x v="48"/>
  </r>
  <r>
    <x v="48"/>
  </r>
  <r>
    <x v="11"/>
  </r>
  <r>
    <x v="7"/>
  </r>
  <r>
    <x v="21"/>
  </r>
  <r>
    <x v="62"/>
  </r>
  <r>
    <x v="62"/>
  </r>
  <r>
    <x v="27"/>
  </r>
  <r>
    <x v="26"/>
  </r>
  <r>
    <x v="12"/>
  </r>
  <r>
    <x v="188"/>
  </r>
  <r>
    <x v="33"/>
  </r>
  <r>
    <x v="40"/>
  </r>
  <r>
    <x v="12"/>
  </r>
  <r>
    <x v="12"/>
  </r>
  <r>
    <x v="16"/>
  </r>
  <r>
    <x v="187"/>
  </r>
  <r>
    <x v="42"/>
  </r>
  <r>
    <x v="42"/>
  </r>
  <r>
    <x v="26"/>
  </r>
  <r>
    <x v="8"/>
  </r>
  <r>
    <x v="14"/>
  </r>
  <r>
    <x v="0"/>
  </r>
  <r>
    <x v="0"/>
  </r>
  <r>
    <x v="16"/>
  </r>
  <r>
    <x v="144"/>
  </r>
  <r>
    <x v="0"/>
  </r>
  <r>
    <x v="55"/>
  </r>
  <r>
    <x v="55"/>
  </r>
  <r>
    <x v="55"/>
  </r>
  <r>
    <x v="0"/>
  </r>
  <r>
    <x v="16"/>
  </r>
  <r>
    <x v="12"/>
  </r>
  <r>
    <x v="131"/>
  </r>
  <r>
    <x v="37"/>
  </r>
  <r>
    <x v="24"/>
  </r>
  <r>
    <x v="24"/>
  </r>
  <r>
    <x v="28"/>
  </r>
  <r>
    <x v="37"/>
  </r>
  <r>
    <x v="48"/>
  </r>
  <r>
    <x v="8"/>
  </r>
  <r>
    <x v="8"/>
  </r>
  <r>
    <x v="28"/>
  </r>
  <r>
    <x v="42"/>
  </r>
  <r>
    <x v="61"/>
  </r>
  <r>
    <x v="115"/>
  </r>
  <r>
    <x v="14"/>
  </r>
  <r>
    <x v="48"/>
  </r>
  <r>
    <x v="0"/>
  </r>
  <r>
    <x v="0"/>
  </r>
  <r>
    <x v="22"/>
  </r>
  <r>
    <x v="126"/>
  </r>
  <r>
    <x v="99"/>
  </r>
  <r>
    <x v="48"/>
  </r>
  <r>
    <x v="17"/>
  </r>
  <r>
    <x v="17"/>
  </r>
  <r>
    <x v="42"/>
  </r>
  <r>
    <x v="0"/>
  </r>
  <r>
    <x v="14"/>
  </r>
  <r>
    <x v="14"/>
  </r>
  <r>
    <x v="14"/>
  </r>
  <r>
    <x v="14"/>
  </r>
  <r>
    <x v="12"/>
  </r>
  <r>
    <x v="71"/>
  </r>
  <r>
    <x v="48"/>
  </r>
  <r>
    <x v="48"/>
  </r>
  <r>
    <x v="48"/>
  </r>
  <r>
    <x v="48"/>
  </r>
  <r>
    <x v="17"/>
  </r>
  <r>
    <x v="14"/>
  </r>
  <r>
    <x v="14"/>
  </r>
  <r>
    <x v="14"/>
  </r>
  <r>
    <x v="14"/>
  </r>
  <r>
    <x v="4"/>
  </r>
  <r>
    <x v="48"/>
  </r>
  <r>
    <x v="123"/>
  </r>
  <r>
    <x v="1"/>
  </r>
  <r>
    <x v="17"/>
  </r>
  <r>
    <x v="17"/>
  </r>
  <r>
    <x v="22"/>
  </r>
  <r>
    <x v="2"/>
  </r>
  <r>
    <x v="1"/>
  </r>
  <r>
    <x v="8"/>
  </r>
  <r>
    <x v="29"/>
  </r>
  <r>
    <x v="29"/>
  </r>
  <r>
    <x v="65"/>
  </r>
  <r>
    <x v="48"/>
  </r>
  <r>
    <x v="10"/>
  </r>
  <r>
    <x v="49"/>
  </r>
  <r>
    <x v="14"/>
  </r>
  <r>
    <x v="14"/>
  </r>
  <r>
    <x v="14"/>
  </r>
  <r>
    <x v="22"/>
  </r>
  <r>
    <x v="49"/>
  </r>
  <r>
    <x v="14"/>
  </r>
  <r>
    <x v="14"/>
  </r>
  <r>
    <x v="22"/>
  </r>
  <r>
    <x v="123"/>
  </r>
  <r>
    <x v="10"/>
  </r>
  <r>
    <x v="48"/>
  </r>
  <r>
    <x v="14"/>
  </r>
  <r>
    <x v="8"/>
  </r>
  <r>
    <x v="14"/>
  </r>
  <r>
    <x v="78"/>
  </r>
  <r>
    <x v="2"/>
  </r>
  <r>
    <x v="17"/>
  </r>
  <r>
    <x v="17"/>
  </r>
  <r>
    <x v="28"/>
  </r>
  <r>
    <x v="28"/>
  </r>
  <r>
    <x v="34"/>
  </r>
  <r>
    <x v="12"/>
  </r>
  <r>
    <x v="28"/>
  </r>
  <r>
    <x v="28"/>
  </r>
  <r>
    <x v="14"/>
  </r>
  <r>
    <x v="11"/>
  </r>
  <r>
    <x v="11"/>
  </r>
  <r>
    <x v="12"/>
  </r>
  <r>
    <x v="115"/>
  </r>
  <r>
    <x v="11"/>
  </r>
  <r>
    <x v="169"/>
  </r>
  <r>
    <x v="0"/>
  </r>
  <r>
    <x v="37"/>
  </r>
  <r>
    <x v="41"/>
  </r>
  <r>
    <x v="58"/>
  </r>
  <r>
    <x v="58"/>
  </r>
  <r>
    <x v="58"/>
  </r>
  <r>
    <x v="58"/>
  </r>
  <r>
    <x v="0"/>
  </r>
  <r>
    <x v="46"/>
  </r>
  <r>
    <x v="77"/>
  </r>
  <r>
    <x v="4"/>
  </r>
  <r>
    <x v="24"/>
  </r>
  <r>
    <x v="24"/>
  </r>
  <r>
    <x v="60"/>
  </r>
  <r>
    <x v="12"/>
  </r>
  <r>
    <x v="61"/>
  </r>
  <r>
    <x v="61"/>
  </r>
  <r>
    <x v="161"/>
  </r>
  <r>
    <x v="17"/>
  </r>
  <r>
    <x v="17"/>
  </r>
  <r>
    <x v="17"/>
  </r>
  <r>
    <x v="11"/>
  </r>
  <r>
    <x v="16"/>
  </r>
  <r>
    <x v="64"/>
  </r>
  <r>
    <x v="17"/>
  </r>
  <r>
    <x v="4"/>
  </r>
  <r>
    <x v="6"/>
  </r>
  <r>
    <x v="14"/>
  </r>
  <r>
    <x v="14"/>
  </r>
  <r>
    <x v="17"/>
  </r>
  <r>
    <x v="9"/>
  </r>
  <r>
    <x v="4"/>
  </r>
  <r>
    <x v="4"/>
  </r>
  <r>
    <x v="14"/>
  </r>
  <r>
    <x v="45"/>
  </r>
  <r>
    <x v="0"/>
  </r>
  <r>
    <x v="0"/>
  </r>
  <r>
    <x v="48"/>
  </r>
  <r>
    <x v="48"/>
  </r>
  <r>
    <x v="48"/>
  </r>
  <r>
    <x v="48"/>
  </r>
  <r>
    <x v="58"/>
  </r>
  <r>
    <x v="58"/>
  </r>
  <r>
    <x v="58"/>
  </r>
  <r>
    <x v="143"/>
  </r>
  <r>
    <x v="17"/>
  </r>
  <r>
    <x v="17"/>
  </r>
  <r>
    <x v="17"/>
  </r>
  <r>
    <x v="14"/>
  </r>
  <r>
    <x v="95"/>
  </r>
  <r>
    <x v="10"/>
  </r>
  <r>
    <x v="48"/>
  </r>
  <r>
    <x v="14"/>
  </r>
  <r>
    <x v="17"/>
  </r>
  <r>
    <x v="45"/>
  </r>
  <r>
    <x v="48"/>
  </r>
  <r>
    <x v="48"/>
  </r>
  <r>
    <x v="10"/>
  </r>
  <r>
    <x v="4"/>
  </r>
  <r>
    <x v="56"/>
  </r>
  <r>
    <x v="56"/>
  </r>
  <r>
    <x v="56"/>
  </r>
  <r>
    <x v="48"/>
  </r>
  <r>
    <x v="48"/>
  </r>
  <r>
    <x v="14"/>
  </r>
  <r>
    <x v="56"/>
  </r>
  <r>
    <x v="56"/>
  </r>
  <r>
    <x v="56"/>
  </r>
  <r>
    <x v="56"/>
  </r>
  <r>
    <x v="22"/>
  </r>
  <r>
    <x v="22"/>
  </r>
  <r>
    <x v="22"/>
  </r>
  <r>
    <x v="22"/>
  </r>
  <r>
    <x v="22"/>
  </r>
  <r>
    <x v="22"/>
  </r>
  <r>
    <x v="22"/>
  </r>
  <r>
    <x v="14"/>
  </r>
  <r>
    <x v="22"/>
  </r>
  <r>
    <x v="22"/>
  </r>
  <r>
    <x v="22"/>
  </r>
  <r>
    <x v="22"/>
  </r>
  <r>
    <x v="22"/>
  </r>
  <r>
    <x v="22"/>
  </r>
  <r>
    <x v="22"/>
  </r>
  <r>
    <x v="71"/>
  </r>
  <r>
    <x v="52"/>
  </r>
  <r>
    <x v="42"/>
  </r>
  <r>
    <x v="14"/>
  </r>
  <r>
    <x v="14"/>
  </r>
  <r>
    <x v="10"/>
  </r>
  <r>
    <x v="71"/>
  </r>
  <r>
    <x v="7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12"/>
  </r>
  <r>
    <x v="12"/>
  </r>
  <r>
    <x v="17"/>
  </r>
  <r>
    <x v="17"/>
  </r>
  <r>
    <x v="16"/>
  </r>
  <r>
    <x v="16"/>
  </r>
  <r>
    <x v="14"/>
  </r>
  <r>
    <x v="17"/>
  </r>
  <r>
    <x v="48"/>
  </r>
  <r>
    <x v="2"/>
  </r>
  <r>
    <x v="0"/>
  </r>
  <r>
    <x v="17"/>
  </r>
  <r>
    <x v="14"/>
  </r>
  <r>
    <x v="14"/>
  </r>
  <r>
    <x v="0"/>
  </r>
  <r>
    <x v="0"/>
  </r>
  <r>
    <x v="0"/>
  </r>
  <r>
    <x v="17"/>
  </r>
  <r>
    <x v="17"/>
  </r>
  <r>
    <x v="17"/>
  </r>
  <r>
    <x v="17"/>
  </r>
  <r>
    <x v="17"/>
  </r>
  <r>
    <x v="17"/>
  </r>
  <r>
    <x v="2"/>
  </r>
  <r>
    <x v="14"/>
  </r>
  <r>
    <x v="14"/>
  </r>
  <r>
    <x v="22"/>
  </r>
  <r>
    <x v="22"/>
  </r>
  <r>
    <x v="22"/>
  </r>
  <r>
    <x v="12"/>
  </r>
  <r>
    <x v="12"/>
  </r>
  <r>
    <x v="12"/>
  </r>
  <r>
    <x v="12"/>
  </r>
  <r>
    <x v="12"/>
  </r>
  <r>
    <x v="11"/>
  </r>
  <r>
    <x v="0"/>
  </r>
  <r>
    <x v="14"/>
  </r>
  <r>
    <x v="0"/>
  </r>
  <r>
    <x v="72"/>
  </r>
  <r>
    <x v="48"/>
  </r>
  <r>
    <x v="63"/>
  </r>
  <r>
    <x v="63"/>
  </r>
  <r>
    <x v="48"/>
  </r>
  <r>
    <x v="48"/>
  </r>
  <r>
    <x v="14"/>
  </r>
  <r>
    <x v="48"/>
  </r>
  <r>
    <x v="42"/>
  </r>
  <r>
    <x v="48"/>
  </r>
  <r>
    <x v="63"/>
  </r>
  <r>
    <x v="0"/>
  </r>
  <r>
    <x v="21"/>
  </r>
  <r>
    <x v="48"/>
  </r>
  <r>
    <x v="29"/>
  </r>
  <r>
    <x v="48"/>
  </r>
  <r>
    <x v="11"/>
  </r>
  <r>
    <x v="0"/>
  </r>
  <r>
    <x v="108"/>
  </r>
  <r>
    <x v="12"/>
  </r>
  <r>
    <x v="165"/>
  </r>
  <r>
    <x v="14"/>
  </r>
  <r>
    <x v="42"/>
  </r>
  <r>
    <x v="81"/>
  </r>
  <r>
    <x v="81"/>
  </r>
  <r>
    <x v="42"/>
  </r>
  <r>
    <x v="14"/>
  </r>
  <r>
    <x v="81"/>
  </r>
  <r>
    <x v="81"/>
  </r>
  <r>
    <x v="0"/>
  </r>
  <r>
    <x v="23"/>
  </r>
  <r>
    <x v="0"/>
  </r>
  <r>
    <x v="23"/>
  </r>
  <r>
    <x v="0"/>
  </r>
  <r>
    <x v="12"/>
  </r>
  <r>
    <x v="23"/>
  </r>
  <r>
    <x v="2"/>
  </r>
  <r>
    <x v="17"/>
  </r>
  <r>
    <x v="28"/>
  </r>
  <r>
    <x v="0"/>
  </r>
  <r>
    <x v="48"/>
  </r>
  <r>
    <x v="28"/>
  </r>
  <r>
    <x v="62"/>
  </r>
  <r>
    <x v="87"/>
  </r>
  <r>
    <x v="28"/>
  </r>
  <r>
    <x v="10"/>
  </r>
  <r>
    <x v="23"/>
  </r>
  <r>
    <x v="48"/>
  </r>
  <r>
    <x v="34"/>
  </r>
  <r>
    <x v="64"/>
  </r>
  <r>
    <x v="48"/>
  </r>
  <r>
    <x v="4"/>
  </r>
  <r>
    <x v="83"/>
  </r>
  <r>
    <x v="1"/>
  </r>
  <r>
    <x v="14"/>
  </r>
  <r>
    <x v="57"/>
  </r>
  <r>
    <x v="57"/>
  </r>
  <r>
    <x v="22"/>
  </r>
  <r>
    <x v="22"/>
  </r>
  <r>
    <x v="51"/>
  </r>
  <r>
    <x v="57"/>
  </r>
  <r>
    <x v="57"/>
  </r>
  <r>
    <x v="57"/>
  </r>
  <r>
    <x v="78"/>
  </r>
  <r>
    <x v="78"/>
  </r>
  <r>
    <x v="0"/>
  </r>
  <r>
    <x v="0"/>
  </r>
  <r>
    <x v="0"/>
  </r>
  <r>
    <x v="14"/>
  </r>
  <r>
    <x v="14"/>
  </r>
  <r>
    <x v="28"/>
  </r>
  <r>
    <x v="17"/>
  </r>
  <r>
    <x v="17"/>
  </r>
  <r>
    <x v="17"/>
  </r>
  <r>
    <x v="0"/>
  </r>
  <r>
    <x v="14"/>
  </r>
  <r>
    <x v="17"/>
  </r>
  <r>
    <x v="0"/>
  </r>
  <r>
    <x v="28"/>
  </r>
  <r>
    <x v="14"/>
  </r>
  <r>
    <x v="0"/>
  </r>
  <r>
    <x v="17"/>
  </r>
  <r>
    <x v="0"/>
  </r>
  <r>
    <x v="17"/>
  </r>
  <r>
    <x v="78"/>
  </r>
  <r>
    <x v="78"/>
  </r>
  <r>
    <x v="78"/>
  </r>
  <r>
    <x v="12"/>
  </r>
  <r>
    <x v="12"/>
  </r>
  <r>
    <x v="12"/>
  </r>
  <r>
    <x v="12"/>
  </r>
  <r>
    <x v="12"/>
  </r>
  <r>
    <x v="22"/>
  </r>
  <r>
    <x v="22"/>
  </r>
  <r>
    <x v="22"/>
  </r>
  <r>
    <x v="17"/>
  </r>
  <r>
    <x v="22"/>
  </r>
  <r>
    <x v="22"/>
  </r>
  <r>
    <x v="22"/>
  </r>
  <r>
    <x v="22"/>
  </r>
  <r>
    <x v="22"/>
  </r>
  <r>
    <x v="17"/>
  </r>
  <r>
    <x v="48"/>
  </r>
  <r>
    <x v="16"/>
  </r>
  <r>
    <x v="0"/>
  </r>
  <r>
    <x v="17"/>
  </r>
  <r>
    <x v="28"/>
  </r>
  <r>
    <x v="22"/>
  </r>
  <r>
    <x v="22"/>
  </r>
  <r>
    <x v="17"/>
  </r>
  <r>
    <x v="17"/>
  </r>
  <r>
    <x v="17"/>
  </r>
  <r>
    <x v="66"/>
  </r>
  <r>
    <x v="14"/>
  </r>
  <r>
    <x v="14"/>
  </r>
  <r>
    <x v="41"/>
  </r>
  <r>
    <x v="17"/>
  </r>
  <r>
    <x v="47"/>
  </r>
  <r>
    <x v="143"/>
  </r>
  <r>
    <x v="143"/>
  </r>
  <r>
    <x v="78"/>
  </r>
  <r>
    <x v="14"/>
  </r>
  <r>
    <x v="14"/>
  </r>
  <r>
    <x v="14"/>
  </r>
  <r>
    <x v="48"/>
  </r>
  <r>
    <x v="48"/>
  </r>
  <r>
    <x v="91"/>
  </r>
  <r>
    <x v="46"/>
  </r>
  <r>
    <x v="46"/>
  </r>
  <r>
    <x v="46"/>
  </r>
  <r>
    <x v="29"/>
  </r>
  <r>
    <x v="0"/>
  </r>
  <r>
    <x v="14"/>
  </r>
  <r>
    <x v="14"/>
  </r>
  <r>
    <x v="14"/>
  </r>
  <r>
    <x v="28"/>
  </r>
  <r>
    <x v="42"/>
  </r>
  <r>
    <x v="42"/>
  </r>
  <r>
    <x v="42"/>
  </r>
  <r>
    <x v="42"/>
  </r>
  <r>
    <x v="42"/>
  </r>
  <r>
    <x v="42"/>
  </r>
  <r>
    <x v="42"/>
  </r>
  <r>
    <x v="31"/>
  </r>
  <r>
    <x v="31"/>
  </r>
  <r>
    <x v="14"/>
  </r>
  <r>
    <x v="42"/>
  </r>
  <r>
    <x v="28"/>
  </r>
  <r>
    <x v="42"/>
  </r>
  <r>
    <x v="115"/>
  </r>
  <r>
    <x v="115"/>
  </r>
  <r>
    <x v="115"/>
  </r>
  <r>
    <x v="22"/>
  </r>
  <r>
    <x v="22"/>
  </r>
  <r>
    <x v="48"/>
  </r>
  <r>
    <x v="46"/>
  </r>
  <r>
    <x v="46"/>
  </r>
  <r>
    <x v="14"/>
  </r>
  <r>
    <x v="42"/>
  </r>
  <r>
    <x v="62"/>
  </r>
  <r>
    <x v="62"/>
  </r>
  <r>
    <x v="4"/>
  </r>
  <r>
    <x v="4"/>
  </r>
  <r>
    <x v="4"/>
  </r>
  <r>
    <x v="16"/>
  </r>
  <r>
    <x v="16"/>
  </r>
  <r>
    <x v="21"/>
  </r>
  <r>
    <x v="21"/>
  </r>
  <r>
    <x v="21"/>
  </r>
  <r>
    <x v="21"/>
  </r>
  <r>
    <x v="34"/>
  </r>
  <r>
    <x v="21"/>
  </r>
  <r>
    <x v="21"/>
  </r>
  <r>
    <x v="21"/>
  </r>
  <r>
    <x v="48"/>
  </r>
  <r>
    <x v="28"/>
  </r>
  <r>
    <x v="11"/>
  </r>
  <r>
    <x v="21"/>
  </r>
  <r>
    <x v="61"/>
  </r>
  <r>
    <x v="16"/>
  </r>
  <r>
    <x v="17"/>
  </r>
  <r>
    <x v="17"/>
  </r>
  <r>
    <x v="14"/>
  </r>
  <r>
    <x v="0"/>
  </r>
  <r>
    <x v="17"/>
  </r>
  <r>
    <x v="28"/>
  </r>
  <r>
    <x v="28"/>
  </r>
  <r>
    <x v="113"/>
  </r>
  <r>
    <x v="32"/>
  </r>
  <r>
    <x v="32"/>
  </r>
  <r>
    <x v="32"/>
  </r>
  <r>
    <x v="9"/>
  </r>
  <r>
    <x v="9"/>
  </r>
  <r>
    <x v="4"/>
  </r>
  <r>
    <x v="0"/>
  </r>
  <r>
    <x v="0"/>
  </r>
  <r>
    <x v="0"/>
  </r>
  <r>
    <x v="17"/>
  </r>
  <r>
    <x v="17"/>
  </r>
  <r>
    <x v="77"/>
  </r>
  <r>
    <x v="17"/>
  </r>
  <r>
    <x v="0"/>
  </r>
  <r>
    <x v="0"/>
  </r>
  <r>
    <x v="0"/>
  </r>
  <r>
    <x v="17"/>
  </r>
  <r>
    <x v="14"/>
  </r>
  <r>
    <x v="17"/>
  </r>
  <r>
    <x v="14"/>
  </r>
  <r>
    <x v="14"/>
  </r>
  <r>
    <x v="14"/>
  </r>
  <r>
    <x v="17"/>
  </r>
  <r>
    <x v="16"/>
  </r>
  <r>
    <x v="14"/>
  </r>
  <r>
    <x v="14"/>
  </r>
  <r>
    <x v="21"/>
  </r>
  <r>
    <x v="21"/>
  </r>
  <r>
    <x v="14"/>
  </r>
  <r>
    <x v="7"/>
  </r>
  <r>
    <x v="7"/>
  </r>
  <r>
    <x v="7"/>
  </r>
  <r>
    <x v="28"/>
  </r>
  <r>
    <x v="12"/>
  </r>
  <r>
    <x v="42"/>
  </r>
  <r>
    <x v="28"/>
  </r>
  <r>
    <x v="9"/>
  </r>
  <r>
    <x v="76"/>
  </r>
  <r>
    <x v="14"/>
  </r>
  <r>
    <x v="14"/>
  </r>
  <r>
    <x v="14"/>
  </r>
  <r>
    <x v="14"/>
  </r>
  <r>
    <x v="84"/>
  </r>
  <r>
    <x v="78"/>
  </r>
  <r>
    <x v="16"/>
  </r>
  <r>
    <x v="74"/>
  </r>
  <r>
    <x v="40"/>
  </r>
  <r>
    <x v="14"/>
  </r>
  <r>
    <x v="14"/>
  </r>
  <r>
    <x v="17"/>
  </r>
  <r>
    <x v="48"/>
  </r>
  <r>
    <x v="74"/>
  </r>
  <r>
    <x v="192"/>
  </r>
  <r>
    <x v="226"/>
  </r>
  <r>
    <x v="74"/>
  </r>
  <r>
    <x v="74"/>
  </r>
  <r>
    <x v="17"/>
  </r>
  <r>
    <x v="17"/>
  </r>
  <r>
    <x v="17"/>
  </r>
  <r>
    <x v="17"/>
  </r>
  <r>
    <x v="17"/>
  </r>
  <r>
    <x v="17"/>
  </r>
  <r>
    <x v="14"/>
  </r>
  <r>
    <x v="16"/>
  </r>
  <r>
    <x v="81"/>
  </r>
  <r>
    <x v="81"/>
  </r>
  <r>
    <x v="81"/>
  </r>
  <r>
    <x v="40"/>
  </r>
  <r>
    <x v="40"/>
  </r>
  <r>
    <x v="40"/>
  </r>
  <r>
    <x v="81"/>
  </r>
  <r>
    <x v="81"/>
  </r>
  <r>
    <x v="81"/>
  </r>
  <r>
    <x v="81"/>
  </r>
  <r>
    <x v="81"/>
  </r>
  <r>
    <x v="81"/>
  </r>
  <r>
    <x v="14"/>
  </r>
  <r>
    <x v="14"/>
  </r>
  <r>
    <x v="40"/>
  </r>
  <r>
    <x v="40"/>
  </r>
  <r>
    <x v="66"/>
  </r>
  <r>
    <x v="14"/>
  </r>
  <r>
    <x v="81"/>
  </r>
  <r>
    <x v="81"/>
  </r>
  <r>
    <x v="64"/>
  </r>
  <r>
    <x v="64"/>
  </r>
  <r>
    <x v="62"/>
  </r>
  <r>
    <x v="62"/>
  </r>
  <r>
    <x v="56"/>
  </r>
  <r>
    <x v="56"/>
  </r>
  <r>
    <x v="56"/>
  </r>
  <r>
    <x v="17"/>
  </r>
  <r>
    <x v="17"/>
  </r>
  <r>
    <x v="55"/>
  </r>
  <r>
    <x v="55"/>
  </r>
  <r>
    <x v="55"/>
  </r>
  <r>
    <x v="48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7"/>
  </r>
  <r>
    <x v="166"/>
  </r>
  <r>
    <x v="41"/>
  </r>
  <r>
    <x v="41"/>
  </r>
  <r>
    <x v="41"/>
  </r>
  <r>
    <x v="45"/>
  </r>
  <r>
    <x v="10"/>
  </r>
  <r>
    <x v="10"/>
  </r>
  <r>
    <x v="2"/>
  </r>
  <r>
    <x v="0"/>
  </r>
  <r>
    <x v="40"/>
  </r>
  <r>
    <x v="52"/>
  </r>
  <r>
    <x v="28"/>
  </r>
  <r>
    <x v="0"/>
  </r>
  <r>
    <x v="0"/>
  </r>
  <r>
    <x v="42"/>
  </r>
  <r>
    <x v="42"/>
  </r>
  <r>
    <x v="42"/>
  </r>
  <r>
    <x v="166"/>
  </r>
  <r>
    <x v="17"/>
  </r>
  <r>
    <x v="17"/>
  </r>
  <r>
    <x v="17"/>
  </r>
  <r>
    <x v="17"/>
  </r>
  <r>
    <x v="14"/>
  </r>
  <r>
    <x v="62"/>
  </r>
  <r>
    <x v="17"/>
  </r>
  <r>
    <x v="17"/>
  </r>
  <r>
    <x v="174"/>
  </r>
  <r>
    <x v="174"/>
  </r>
  <r>
    <x v="12"/>
  </r>
  <r>
    <x v="28"/>
  </r>
  <r>
    <x v="31"/>
  </r>
  <r>
    <x v="14"/>
  </r>
  <r>
    <x v="14"/>
  </r>
  <r>
    <x v="41"/>
  </r>
  <r>
    <x v="45"/>
  </r>
  <r>
    <x v="61"/>
  </r>
  <r>
    <x v="23"/>
  </r>
  <r>
    <x v="171"/>
  </r>
  <r>
    <x v="14"/>
  </r>
  <r>
    <x v="16"/>
  </r>
  <r>
    <x v="61"/>
  </r>
  <r>
    <x v="46"/>
  </r>
  <r>
    <x v="166"/>
  </r>
  <r>
    <x v="7"/>
  </r>
  <r>
    <x v="45"/>
  </r>
  <r>
    <x v="22"/>
  </r>
  <r>
    <x v="22"/>
  </r>
  <r>
    <x v="16"/>
  </r>
  <r>
    <x v="16"/>
  </r>
  <r>
    <x v="61"/>
  </r>
  <r>
    <x v="61"/>
  </r>
  <r>
    <x v="61"/>
  </r>
  <r>
    <x v="10"/>
  </r>
  <r>
    <x v="14"/>
  </r>
  <r>
    <x v="130"/>
  </r>
  <r>
    <x v="81"/>
  </r>
  <r>
    <x v="16"/>
  </r>
  <r>
    <x v="16"/>
  </r>
  <r>
    <x v="71"/>
  </r>
  <r>
    <x v="71"/>
  </r>
  <r>
    <x v="0"/>
  </r>
  <r>
    <x v="45"/>
  </r>
  <r>
    <x v="131"/>
  </r>
  <r>
    <x v="131"/>
  </r>
  <r>
    <x v="2"/>
  </r>
  <r>
    <x v="2"/>
  </r>
  <r>
    <x v="34"/>
  </r>
  <r>
    <x v="28"/>
  </r>
  <r>
    <x v="0"/>
  </r>
  <r>
    <x v="53"/>
  </r>
  <r>
    <x v="14"/>
  </r>
  <r>
    <x v="30"/>
  </r>
  <r>
    <x v="30"/>
  </r>
  <r>
    <x v="24"/>
  </r>
  <r>
    <x v="41"/>
  </r>
  <r>
    <x v="4"/>
  </r>
  <r>
    <x v="4"/>
  </r>
  <r>
    <x v="4"/>
  </r>
  <r>
    <x v="86"/>
  </r>
  <r>
    <x v="14"/>
  </r>
  <r>
    <x v="14"/>
  </r>
  <r>
    <x v="14"/>
  </r>
  <r>
    <x v="32"/>
  </r>
  <r>
    <x v="17"/>
  </r>
  <r>
    <x v="0"/>
  </r>
  <r>
    <x v="10"/>
  </r>
  <r>
    <x v="10"/>
  </r>
  <r>
    <x v="14"/>
  </r>
  <r>
    <x v="14"/>
  </r>
  <r>
    <x v="131"/>
  </r>
  <r>
    <x v="24"/>
  </r>
  <r>
    <x v="53"/>
  </r>
  <r>
    <x v="17"/>
  </r>
  <r>
    <x v="17"/>
  </r>
  <r>
    <x v="0"/>
  </r>
  <r>
    <x v="143"/>
  </r>
  <r>
    <x v="17"/>
  </r>
  <r>
    <x v="0"/>
  </r>
  <r>
    <x v="57"/>
  </r>
  <r>
    <x v="17"/>
  </r>
  <r>
    <x v="17"/>
  </r>
  <r>
    <x v="24"/>
  </r>
  <r>
    <x v="16"/>
  </r>
  <r>
    <x v="0"/>
  </r>
  <r>
    <x v="34"/>
  </r>
  <r>
    <x v="7"/>
  </r>
  <r>
    <x v="7"/>
  </r>
  <r>
    <x v="7"/>
  </r>
  <r>
    <x v="15"/>
  </r>
  <r>
    <x v="71"/>
  </r>
  <r>
    <x v="164"/>
  </r>
  <r>
    <x v="21"/>
  </r>
  <r>
    <x v="28"/>
  </r>
  <r>
    <x v="17"/>
  </r>
  <r>
    <x v="11"/>
  </r>
  <r>
    <x v="12"/>
  </r>
  <r>
    <x v="42"/>
  </r>
  <r>
    <x v="42"/>
  </r>
  <r>
    <x v="42"/>
  </r>
  <r>
    <x v="42"/>
  </r>
  <r>
    <x v="42"/>
  </r>
  <r>
    <x v="42"/>
  </r>
  <r>
    <x v="14"/>
  </r>
  <r>
    <x v="28"/>
  </r>
  <r>
    <x v="7"/>
  </r>
  <r>
    <x v="53"/>
  </r>
  <r>
    <x v="7"/>
  </r>
  <r>
    <x v="4"/>
  </r>
  <r>
    <x v="7"/>
  </r>
  <r>
    <x v="42"/>
  </r>
  <r>
    <x v="42"/>
  </r>
  <r>
    <x v="4"/>
  </r>
  <r>
    <x v="4"/>
  </r>
  <r>
    <x v="42"/>
  </r>
  <r>
    <x v="71"/>
  </r>
  <r>
    <x v="71"/>
  </r>
  <r>
    <x v="71"/>
  </r>
  <r>
    <x v="71"/>
  </r>
  <r>
    <x v="53"/>
  </r>
  <r>
    <x v="10"/>
  </r>
  <r>
    <x v="37"/>
  </r>
  <r>
    <x v="10"/>
  </r>
  <r>
    <x v="53"/>
  </r>
  <r>
    <x v="42"/>
  </r>
  <r>
    <x v="53"/>
  </r>
  <r>
    <x v="53"/>
  </r>
  <r>
    <x v="71"/>
  </r>
  <r>
    <x v="8"/>
  </r>
  <r>
    <x v="12"/>
  </r>
  <r>
    <x v="42"/>
  </r>
  <r>
    <x v="42"/>
  </r>
  <r>
    <x v="9"/>
  </r>
  <r>
    <x v="12"/>
  </r>
  <r>
    <x v="42"/>
  </r>
  <r>
    <x v="2"/>
  </r>
  <r>
    <x v="57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7"/>
  </r>
  <r>
    <x v="71"/>
  </r>
  <r>
    <x v="71"/>
  </r>
  <r>
    <x v="24"/>
  </r>
  <r>
    <x v="62"/>
  </r>
  <r>
    <x v="71"/>
  </r>
  <r>
    <x v="42"/>
  </r>
  <r>
    <x v="42"/>
  </r>
  <r>
    <x v="71"/>
  </r>
  <r>
    <x v="71"/>
  </r>
  <r>
    <x v="14"/>
  </r>
  <r>
    <x v="14"/>
  </r>
  <r>
    <x v="24"/>
  </r>
  <r>
    <x v="42"/>
  </r>
  <r>
    <x v="42"/>
  </r>
  <r>
    <x v="52"/>
  </r>
  <r>
    <x v="71"/>
  </r>
  <r>
    <x v="52"/>
  </r>
  <r>
    <x v="42"/>
  </r>
  <r>
    <x v="71"/>
  </r>
  <r>
    <x v="71"/>
  </r>
  <r>
    <x v="16"/>
  </r>
  <r>
    <x v="71"/>
  </r>
  <r>
    <x v="1"/>
  </r>
  <r>
    <x v="1"/>
  </r>
  <r>
    <x v="1"/>
  </r>
  <r>
    <x v="1"/>
  </r>
  <r>
    <x v="31"/>
  </r>
  <r>
    <x v="86"/>
  </r>
  <r>
    <x v="31"/>
  </r>
  <r>
    <x v="37"/>
  </r>
  <r>
    <x v="4"/>
  </r>
  <r>
    <x v="4"/>
  </r>
  <r>
    <x v="4"/>
  </r>
  <r>
    <x v="4"/>
  </r>
  <r>
    <x v="31"/>
  </r>
  <r>
    <x v="42"/>
  </r>
  <r>
    <x v="4"/>
  </r>
  <r>
    <x v="42"/>
  </r>
  <r>
    <x v="4"/>
  </r>
  <r>
    <x v="4"/>
  </r>
  <r>
    <x v="42"/>
  </r>
  <r>
    <x v="34"/>
  </r>
  <r>
    <x v="42"/>
  </r>
  <r>
    <x v="12"/>
  </r>
  <r>
    <x v="12"/>
  </r>
  <r>
    <x v="12"/>
  </r>
  <r>
    <x v="42"/>
  </r>
  <r>
    <x v="12"/>
  </r>
  <r>
    <x v="12"/>
  </r>
  <r>
    <x v="4"/>
  </r>
  <r>
    <x v="42"/>
  </r>
  <r>
    <x v="42"/>
  </r>
  <r>
    <x v="71"/>
  </r>
  <r>
    <x v="4"/>
  </r>
  <r>
    <x v="45"/>
  </r>
  <r>
    <x v="4"/>
  </r>
  <r>
    <x v="4"/>
  </r>
  <r>
    <x v="22"/>
  </r>
  <r>
    <x v="53"/>
  </r>
  <r>
    <x v="53"/>
  </r>
  <r>
    <x v="42"/>
  </r>
  <r>
    <x v="7"/>
  </r>
  <r>
    <x v="53"/>
  </r>
  <r>
    <x v="53"/>
  </r>
  <r>
    <x v="53"/>
  </r>
  <r>
    <x v="12"/>
  </r>
  <r>
    <x v="0"/>
  </r>
  <r>
    <x v="0"/>
  </r>
  <r>
    <x v="0"/>
  </r>
  <r>
    <x v="0"/>
  </r>
  <r>
    <x v="24"/>
  </r>
  <r>
    <x v="0"/>
  </r>
  <r>
    <x v="9"/>
  </r>
  <r>
    <x v="8"/>
  </r>
  <r>
    <x v="11"/>
  </r>
  <r>
    <x v="37"/>
  </r>
  <r>
    <x v="4"/>
  </r>
  <r>
    <x v="12"/>
  </r>
  <r>
    <x v="12"/>
  </r>
  <r>
    <x v="4"/>
  </r>
  <r>
    <x v="4"/>
  </r>
  <r>
    <x v="45"/>
  </r>
  <r>
    <x v="8"/>
  </r>
  <r>
    <x v="45"/>
  </r>
  <r>
    <x v="45"/>
  </r>
  <r>
    <x v="53"/>
  </r>
  <r>
    <x v="8"/>
  </r>
  <r>
    <x v="90"/>
  </r>
  <r>
    <x v="42"/>
  </r>
  <r>
    <x v="53"/>
  </r>
  <r>
    <x v="53"/>
  </r>
  <r>
    <x v="53"/>
  </r>
  <r>
    <x v="53"/>
  </r>
  <r>
    <x v="53"/>
  </r>
  <r>
    <x v="53"/>
  </r>
  <r>
    <x v="53"/>
  </r>
  <r>
    <x v="0"/>
  </r>
  <r>
    <x v="4"/>
  </r>
  <r>
    <x v="53"/>
  </r>
  <r>
    <x v="53"/>
  </r>
  <r>
    <x v="4"/>
  </r>
  <r>
    <x v="0"/>
  </r>
  <r>
    <x v="115"/>
  </r>
  <r>
    <x v="31"/>
  </r>
  <r>
    <x v="71"/>
  </r>
  <r>
    <x v="71"/>
  </r>
  <r>
    <x v="71"/>
  </r>
  <r>
    <x v="71"/>
  </r>
  <r>
    <x v="71"/>
  </r>
  <r>
    <x v="71"/>
  </r>
  <r>
    <x v="71"/>
  </r>
  <r>
    <x v="53"/>
  </r>
  <r>
    <x v="39"/>
  </r>
  <r>
    <x v="48"/>
  </r>
  <r>
    <x v="71"/>
  </r>
  <r>
    <x v="42"/>
  </r>
  <r>
    <x v="71"/>
  </r>
  <r>
    <x v="71"/>
  </r>
  <r>
    <x v="42"/>
  </r>
  <r>
    <x v="42"/>
  </r>
  <r>
    <x v="53"/>
  </r>
  <r>
    <x v="53"/>
  </r>
  <r>
    <x v="53"/>
  </r>
  <r>
    <x v="53"/>
  </r>
  <r>
    <x v="11"/>
  </r>
  <r>
    <x v="11"/>
  </r>
  <r>
    <x v="53"/>
  </r>
  <r>
    <x v="11"/>
  </r>
  <r>
    <x v="42"/>
  </r>
  <r>
    <x v="4"/>
  </r>
  <r>
    <x v="11"/>
  </r>
  <r>
    <x v="11"/>
  </r>
  <r>
    <x v="11"/>
  </r>
  <r>
    <x v="111"/>
  </r>
  <r>
    <x v="4"/>
  </r>
  <r>
    <x v="1"/>
  </r>
  <r>
    <x v="28"/>
  </r>
  <r>
    <x v="53"/>
  </r>
  <r>
    <x v="28"/>
  </r>
  <r>
    <x v="135"/>
  </r>
  <r>
    <x v="253"/>
  </r>
  <r>
    <x v="71"/>
  </r>
  <r>
    <x v="71"/>
  </r>
  <r>
    <x v="14"/>
  </r>
  <r>
    <x v="151"/>
  </r>
  <r>
    <x v="14"/>
  </r>
  <r>
    <x v="37"/>
  </r>
  <r>
    <x v="28"/>
  </r>
  <r>
    <x v="14"/>
  </r>
  <r>
    <x v="28"/>
  </r>
  <r>
    <x v="12"/>
  </r>
  <r>
    <x v="34"/>
  </r>
  <r>
    <x v="42"/>
  </r>
  <r>
    <x v="52"/>
  </r>
  <r>
    <x v="52"/>
  </r>
  <r>
    <x v="52"/>
  </r>
  <r>
    <x v="52"/>
  </r>
  <r>
    <x v="11"/>
  </r>
  <r>
    <x v="52"/>
  </r>
  <r>
    <x v="52"/>
  </r>
  <r>
    <x v="135"/>
  </r>
  <r>
    <x v="0"/>
  </r>
  <r>
    <x v="0"/>
  </r>
  <r>
    <x v="14"/>
  </r>
  <r>
    <x v="71"/>
  </r>
  <r>
    <x v="42"/>
  </r>
  <r>
    <x v="71"/>
  </r>
  <r>
    <x v="22"/>
  </r>
  <r>
    <x v="79"/>
  </r>
  <r>
    <x v="42"/>
  </r>
  <r>
    <x v="42"/>
  </r>
  <r>
    <x v="25"/>
  </r>
  <r>
    <x v="4"/>
  </r>
  <r>
    <x v="4"/>
  </r>
  <r>
    <x v="14"/>
  </r>
  <r>
    <x v="9"/>
  </r>
  <r>
    <x v="0"/>
  </r>
  <r>
    <x v="0"/>
  </r>
  <r>
    <x v="0"/>
  </r>
  <r>
    <x v="42"/>
  </r>
  <r>
    <x v="42"/>
  </r>
  <r>
    <x v="216"/>
  </r>
  <r>
    <x v="216"/>
  </r>
  <r>
    <x v="14"/>
  </r>
  <r>
    <x v="14"/>
  </r>
  <r>
    <x v="17"/>
  </r>
  <r>
    <x v="17"/>
  </r>
  <r>
    <x v="17"/>
  </r>
  <r>
    <x v="162"/>
  </r>
  <r>
    <x v="162"/>
  </r>
  <r>
    <x v="21"/>
  </r>
  <r>
    <x v="142"/>
  </r>
  <r>
    <x v="21"/>
  </r>
  <r>
    <x v="142"/>
  </r>
  <r>
    <x v="142"/>
  </r>
  <r>
    <x v="17"/>
  </r>
  <r>
    <x v="0"/>
  </r>
  <r>
    <x v="0"/>
  </r>
  <r>
    <x v="0"/>
  </r>
  <r>
    <x v="17"/>
  </r>
  <r>
    <x v="17"/>
  </r>
  <r>
    <x v="216"/>
  </r>
  <r>
    <x v="216"/>
  </r>
  <r>
    <x v="216"/>
  </r>
  <r>
    <x v="31"/>
  </r>
  <r>
    <x v="14"/>
  </r>
  <r>
    <x v="14"/>
  </r>
  <r>
    <x v="136"/>
  </r>
  <r>
    <x v="0"/>
  </r>
  <r>
    <x v="12"/>
  </r>
  <r>
    <x v="12"/>
  </r>
  <r>
    <x v="10"/>
  </r>
  <r>
    <x v="10"/>
  </r>
  <r>
    <x v="144"/>
  </r>
  <r>
    <x v="0"/>
  </r>
  <r>
    <x v="0"/>
  </r>
  <r>
    <x v="0"/>
  </r>
  <r>
    <x v="37"/>
  </r>
  <r>
    <x v="14"/>
  </r>
  <r>
    <x v="12"/>
  </r>
  <r>
    <x v="4"/>
  </r>
  <r>
    <x v="11"/>
  </r>
  <r>
    <x v="12"/>
  </r>
  <r>
    <x v="12"/>
  </r>
  <r>
    <x v="11"/>
  </r>
  <r>
    <x v="19"/>
  </r>
  <r>
    <x v="12"/>
  </r>
  <r>
    <x v="12"/>
  </r>
  <r>
    <x v="57"/>
  </r>
  <r>
    <x v="46"/>
  </r>
  <r>
    <x v="28"/>
  </r>
  <r>
    <x v="28"/>
  </r>
  <r>
    <x v="19"/>
  </r>
  <r>
    <x v="19"/>
  </r>
  <r>
    <x v="42"/>
  </r>
  <r>
    <x v="42"/>
  </r>
  <r>
    <x v="0"/>
  </r>
  <r>
    <x v="52"/>
  </r>
  <r>
    <x v="48"/>
  </r>
  <r>
    <x v="48"/>
  </r>
  <r>
    <x v="12"/>
  </r>
  <r>
    <x v="42"/>
  </r>
  <r>
    <x v="12"/>
  </r>
  <r>
    <x v="12"/>
  </r>
  <r>
    <x v="12"/>
  </r>
  <r>
    <x v="135"/>
  </r>
  <r>
    <x v="135"/>
  </r>
  <r>
    <x v="19"/>
  </r>
  <r>
    <x v="71"/>
  </r>
  <r>
    <x v="56"/>
  </r>
  <r>
    <x v="64"/>
  </r>
  <r>
    <x v="53"/>
  </r>
  <r>
    <x v="16"/>
  </r>
  <r>
    <x v="42"/>
  </r>
  <r>
    <x v="12"/>
  </r>
  <r>
    <x v="12"/>
  </r>
  <r>
    <x v="4"/>
  </r>
  <r>
    <x v="12"/>
  </r>
  <r>
    <x v="12"/>
  </r>
  <r>
    <x v="12"/>
  </r>
  <r>
    <x v="12"/>
  </r>
  <r>
    <x v="42"/>
  </r>
  <r>
    <x v="42"/>
  </r>
  <r>
    <x v="42"/>
  </r>
  <r>
    <x v="42"/>
  </r>
  <r>
    <x v="19"/>
  </r>
  <r>
    <x v="42"/>
  </r>
  <r>
    <x v="11"/>
  </r>
  <r>
    <x v="39"/>
  </r>
  <r>
    <x v="39"/>
  </r>
  <r>
    <x v="39"/>
  </r>
  <r>
    <x v="37"/>
  </r>
  <r>
    <x v="12"/>
  </r>
  <r>
    <x v="4"/>
  </r>
  <r>
    <x v="64"/>
  </r>
  <r>
    <x v="56"/>
  </r>
  <r>
    <x v="56"/>
  </r>
  <r>
    <x v="56"/>
  </r>
  <r>
    <x v="6"/>
  </r>
  <r>
    <x v="4"/>
  </r>
  <r>
    <x v="37"/>
  </r>
  <r>
    <x v="135"/>
  </r>
  <r>
    <x v="9"/>
  </r>
  <r>
    <x v="7"/>
  </r>
  <r>
    <x v="7"/>
  </r>
  <r>
    <x v="135"/>
  </r>
  <r>
    <x v="79"/>
  </r>
  <r>
    <x v="12"/>
  </r>
  <r>
    <x v="12"/>
  </r>
  <r>
    <x v="12"/>
  </r>
  <r>
    <x v="12"/>
  </r>
  <r>
    <x v="12"/>
  </r>
  <r>
    <x v="17"/>
  </r>
  <r>
    <x v="64"/>
  </r>
  <r>
    <x v="31"/>
  </r>
  <r>
    <x v="31"/>
  </r>
  <r>
    <x v="42"/>
  </r>
  <r>
    <x v="27"/>
  </r>
  <r>
    <x v="27"/>
  </r>
  <r>
    <x v="27"/>
  </r>
  <r>
    <x v="7"/>
  </r>
  <r>
    <x v="19"/>
  </r>
  <r>
    <x v="37"/>
  </r>
  <r>
    <x v="19"/>
  </r>
  <r>
    <x v="19"/>
  </r>
  <r>
    <x v="14"/>
  </r>
  <r>
    <x v="14"/>
  </r>
  <r>
    <x v="14"/>
  </r>
  <r>
    <x v="14"/>
  </r>
  <r>
    <x v="14"/>
  </r>
  <r>
    <x v="42"/>
  </r>
  <r>
    <x v="7"/>
  </r>
  <r>
    <x v="14"/>
  </r>
  <r>
    <x v="8"/>
  </r>
  <r>
    <x v="7"/>
  </r>
  <r>
    <x v="86"/>
  </r>
  <r>
    <x v="42"/>
  </r>
  <r>
    <x v="16"/>
  </r>
  <r>
    <x v="16"/>
  </r>
  <r>
    <x v="68"/>
  </r>
  <r>
    <x v="71"/>
  </r>
  <r>
    <x v="71"/>
  </r>
  <r>
    <x v="4"/>
  </r>
  <r>
    <x v="71"/>
  </r>
  <r>
    <x v="86"/>
  </r>
  <r>
    <x v="86"/>
  </r>
  <r>
    <x v="14"/>
  </r>
  <r>
    <x v="14"/>
  </r>
  <r>
    <x v="53"/>
  </r>
  <r>
    <x v="53"/>
  </r>
  <r>
    <x v="53"/>
  </r>
  <r>
    <x v="53"/>
  </r>
  <r>
    <x v="53"/>
  </r>
  <r>
    <x v="2"/>
  </r>
  <r>
    <x v="22"/>
  </r>
  <r>
    <x v="22"/>
  </r>
  <r>
    <x v="53"/>
  </r>
  <r>
    <x v="131"/>
  </r>
  <r>
    <x v="9"/>
  </r>
  <r>
    <x v="42"/>
  </r>
  <r>
    <x v="42"/>
  </r>
  <r>
    <x v="31"/>
  </r>
  <r>
    <x v="27"/>
  </r>
  <r>
    <x v="135"/>
  </r>
  <r>
    <x v="143"/>
  </r>
  <r>
    <x v="31"/>
  </r>
  <r>
    <x v="34"/>
  </r>
  <r>
    <x v="34"/>
  </r>
  <r>
    <x v="34"/>
  </r>
  <r>
    <x v="31"/>
  </r>
  <r>
    <x v="34"/>
  </r>
  <r>
    <x v="31"/>
  </r>
  <r>
    <x v="31"/>
  </r>
  <r>
    <x v="9"/>
  </r>
  <r>
    <x v="9"/>
  </r>
  <r>
    <x v="53"/>
  </r>
  <r>
    <x v="53"/>
  </r>
  <r>
    <x v="53"/>
  </r>
  <r>
    <x v="19"/>
  </r>
  <r>
    <x v="12"/>
  </r>
  <r>
    <x v="37"/>
  </r>
  <r>
    <x v="9"/>
  </r>
  <r>
    <x v="9"/>
  </r>
  <r>
    <x v="9"/>
  </r>
  <r>
    <x v="37"/>
  </r>
  <r>
    <x v="27"/>
  </r>
  <r>
    <x v="27"/>
  </r>
  <r>
    <x v="27"/>
  </r>
  <r>
    <x v="151"/>
  </r>
  <r>
    <x v="71"/>
  </r>
  <r>
    <x v="71"/>
  </r>
  <r>
    <x v="71"/>
  </r>
  <r>
    <x v="71"/>
  </r>
  <r>
    <x v="14"/>
  </r>
  <r>
    <x v="14"/>
  </r>
  <r>
    <x v="11"/>
  </r>
  <r>
    <x v="7"/>
  </r>
  <r>
    <x v="17"/>
  </r>
  <r>
    <x v="17"/>
  </r>
  <r>
    <x v="42"/>
  </r>
  <r>
    <x v="53"/>
  </r>
  <r>
    <x v="53"/>
  </r>
  <r>
    <x v="28"/>
  </r>
  <r>
    <x v="71"/>
  </r>
  <r>
    <x v="42"/>
  </r>
  <r>
    <x v="71"/>
  </r>
  <r>
    <x v="71"/>
  </r>
  <r>
    <x v="4"/>
  </r>
  <r>
    <x v="4"/>
  </r>
  <r>
    <x v="1"/>
  </r>
  <r>
    <x v="1"/>
  </r>
  <r>
    <x v="1"/>
  </r>
  <r>
    <x v="1"/>
  </r>
  <r>
    <x v="37"/>
  </r>
  <r>
    <x v="37"/>
  </r>
  <r>
    <x v="37"/>
  </r>
  <r>
    <x v="57"/>
  </r>
  <r>
    <x v="42"/>
  </r>
  <r>
    <x v="8"/>
  </r>
  <r>
    <x v="14"/>
  </r>
  <r>
    <x v="86"/>
  </r>
  <r>
    <x v="86"/>
  </r>
  <r>
    <x v="37"/>
  </r>
  <r>
    <x v="71"/>
  </r>
  <r>
    <x v="12"/>
  </r>
  <r>
    <x v="12"/>
  </r>
  <r>
    <x v="475"/>
  </r>
  <r>
    <x v="12"/>
  </r>
  <r>
    <x v="28"/>
  </r>
  <r>
    <x v="17"/>
  </r>
  <r>
    <x v="28"/>
  </r>
  <r>
    <x v="28"/>
  </r>
  <r>
    <x v="17"/>
  </r>
  <r>
    <x v="8"/>
  </r>
  <r>
    <x v="14"/>
  </r>
  <r>
    <x v="9"/>
  </r>
  <r>
    <x v="28"/>
  </r>
  <r>
    <x v="42"/>
  </r>
  <r>
    <x v="8"/>
  </r>
  <r>
    <x v="8"/>
  </r>
  <r>
    <x v="86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24"/>
  </r>
  <r>
    <x v="14"/>
  </r>
  <r>
    <x v="253"/>
  </r>
  <r>
    <x v="14"/>
  </r>
  <r>
    <x v="4"/>
  </r>
  <r>
    <x v="14"/>
  </r>
  <r>
    <x v="130"/>
  </r>
  <r>
    <x v="22"/>
  </r>
  <r>
    <x v="9"/>
  </r>
  <r>
    <x v="4"/>
  </r>
  <r>
    <x v="130"/>
  </r>
  <r>
    <x v="130"/>
  </r>
  <r>
    <x v="12"/>
  </r>
  <r>
    <x v="130"/>
  </r>
  <r>
    <x v="130"/>
  </r>
  <r>
    <x v="53"/>
  </r>
  <r>
    <x v="11"/>
  </r>
  <r>
    <x v="11"/>
  </r>
  <r>
    <x v="86"/>
  </r>
  <r>
    <x v="86"/>
  </r>
  <r>
    <x v="4"/>
  </r>
  <r>
    <x v="4"/>
  </r>
  <r>
    <x v="4"/>
  </r>
  <r>
    <x v="8"/>
  </r>
  <r>
    <x v="4"/>
  </r>
  <r>
    <x v="4"/>
  </r>
  <r>
    <x v="42"/>
  </r>
  <r>
    <x v="7"/>
  </r>
  <r>
    <x v="12"/>
  </r>
  <r>
    <x v="12"/>
  </r>
  <r>
    <x v="12"/>
  </r>
  <r>
    <x v="12"/>
  </r>
  <r>
    <x v="14"/>
  </r>
  <r>
    <x v="14"/>
  </r>
  <r>
    <x v="142"/>
  </r>
  <r>
    <x v="42"/>
  </r>
  <r>
    <x v="42"/>
  </r>
  <r>
    <x v="45"/>
  </r>
  <r>
    <x v="4"/>
  </r>
  <r>
    <x v="28"/>
  </r>
  <r>
    <x v="19"/>
  </r>
  <r>
    <x v="2"/>
  </r>
  <r>
    <x v="2"/>
  </r>
  <r>
    <x v="15"/>
  </r>
  <r>
    <x v="19"/>
  </r>
  <r>
    <x v="28"/>
  </r>
  <r>
    <x v="15"/>
  </r>
  <r>
    <x v="1"/>
  </r>
  <r>
    <x v="15"/>
  </r>
  <r>
    <x v="135"/>
  </r>
  <r>
    <x v="4"/>
  </r>
  <r>
    <x v="12"/>
  </r>
  <r>
    <x v="24"/>
  </r>
  <r>
    <x v="0"/>
  </r>
  <r>
    <x v="0"/>
  </r>
  <r>
    <x v="11"/>
  </r>
  <r>
    <x v="2"/>
  </r>
  <r>
    <x v="0"/>
  </r>
  <r>
    <x v="24"/>
  </r>
  <r>
    <x v="2"/>
  </r>
  <r>
    <x v="115"/>
  </r>
  <r>
    <x v="115"/>
  </r>
  <r>
    <x v="10"/>
  </r>
  <r>
    <x v="115"/>
  </r>
  <r>
    <x v="115"/>
  </r>
  <r>
    <x v="142"/>
  </r>
  <r>
    <x v="28"/>
  </r>
  <r>
    <x v="4"/>
  </r>
  <r>
    <x v="115"/>
  </r>
  <r>
    <x v="14"/>
  </r>
  <r>
    <x v="113"/>
  </r>
  <r>
    <x v="53"/>
  </r>
  <r>
    <x v="4"/>
  </r>
  <r>
    <x v="53"/>
  </r>
  <r>
    <x v="53"/>
  </r>
  <r>
    <x v="8"/>
  </r>
  <r>
    <x v="71"/>
  </r>
  <r>
    <x v="4"/>
  </r>
  <r>
    <x v="130"/>
  </r>
  <r>
    <x v="30"/>
  </r>
  <r>
    <x v="71"/>
  </r>
  <r>
    <x v="71"/>
  </r>
  <r>
    <x v="4"/>
  </r>
  <r>
    <x v="2"/>
  </r>
  <r>
    <x v="2"/>
  </r>
  <r>
    <x v="4"/>
  </r>
  <r>
    <x v="8"/>
  </r>
  <r>
    <x v="8"/>
  </r>
  <r>
    <x v="52"/>
  </r>
  <r>
    <x v="52"/>
  </r>
  <r>
    <x v="52"/>
  </r>
  <r>
    <x v="52"/>
  </r>
  <r>
    <x v="52"/>
  </r>
  <r>
    <x v="4"/>
  </r>
  <r>
    <x v="0"/>
  </r>
  <r>
    <x v="142"/>
  </r>
  <r>
    <x v="142"/>
  </r>
  <r>
    <x v="56"/>
  </r>
  <r>
    <x v="142"/>
  </r>
  <r>
    <x v="12"/>
  </r>
  <r>
    <x v="11"/>
  </r>
  <r>
    <x v="12"/>
  </r>
  <r>
    <x v="12"/>
  </r>
  <r>
    <x v="11"/>
  </r>
  <r>
    <x v="42"/>
  </r>
  <r>
    <x v="71"/>
  </r>
  <r>
    <x v="71"/>
  </r>
  <r>
    <x v="42"/>
  </r>
  <r>
    <x v="142"/>
  </r>
  <r>
    <x v="11"/>
  </r>
  <r>
    <x v="28"/>
  </r>
  <r>
    <x v="37"/>
  </r>
  <r>
    <x v="56"/>
  </r>
  <r>
    <x v="27"/>
  </r>
  <r>
    <x v="27"/>
  </r>
  <r>
    <x v="24"/>
  </r>
  <r>
    <x v="24"/>
  </r>
  <r>
    <x v="24"/>
  </r>
  <r>
    <x v="62"/>
  </r>
  <r>
    <x v="1"/>
  </r>
  <r>
    <x v="4"/>
  </r>
  <r>
    <x v="12"/>
  </r>
  <r>
    <x v="71"/>
  </r>
  <r>
    <x v="1"/>
  </r>
  <r>
    <x v="1"/>
  </r>
  <r>
    <x v="0"/>
  </r>
  <r>
    <x v="0"/>
  </r>
  <r>
    <x v="42"/>
  </r>
  <r>
    <x v="10"/>
  </r>
  <r>
    <x v="0"/>
  </r>
  <r>
    <x v="0"/>
  </r>
  <r>
    <x v="12"/>
  </r>
  <r>
    <x v="52"/>
  </r>
  <r>
    <x v="8"/>
  </r>
  <r>
    <x v="12"/>
  </r>
  <r>
    <x v="12"/>
  </r>
  <r>
    <x v="12"/>
  </r>
  <r>
    <x v="0"/>
  </r>
  <r>
    <x v="7"/>
  </r>
  <r>
    <x v="7"/>
  </r>
  <r>
    <x v="7"/>
  </r>
  <r>
    <x v="7"/>
  </r>
  <r>
    <x v="14"/>
  </r>
  <r>
    <x v="115"/>
  </r>
  <r>
    <x v="115"/>
  </r>
  <r>
    <x v="0"/>
  </r>
  <r>
    <x v="8"/>
  </r>
  <r>
    <x v="8"/>
  </r>
  <r>
    <x v="1"/>
  </r>
  <r>
    <x v="42"/>
  </r>
  <r>
    <x v="12"/>
  </r>
  <r>
    <x v="0"/>
  </r>
  <r>
    <x v="0"/>
  </r>
  <r>
    <x v="0"/>
  </r>
  <r>
    <x v="86"/>
  </r>
  <r>
    <x v="86"/>
  </r>
  <r>
    <x v="42"/>
  </r>
  <r>
    <x v="42"/>
  </r>
  <r>
    <x v="1"/>
  </r>
  <r>
    <x v="1"/>
  </r>
  <r>
    <x v="1"/>
  </r>
  <r>
    <x v="1"/>
  </r>
  <r>
    <x v="1"/>
  </r>
  <r>
    <x v="115"/>
  </r>
  <r>
    <x v="1"/>
  </r>
  <r>
    <x v="16"/>
  </r>
  <r>
    <x v="53"/>
  </r>
  <r>
    <x v="53"/>
  </r>
  <r>
    <x v="53"/>
  </r>
  <r>
    <x v="2"/>
  </r>
  <r>
    <x v="34"/>
  </r>
  <r>
    <x v="34"/>
  </r>
  <r>
    <x v="4"/>
  </r>
  <r>
    <x v="4"/>
  </r>
  <r>
    <x v="4"/>
  </r>
  <r>
    <x v="53"/>
  </r>
  <r>
    <x v="4"/>
  </r>
  <r>
    <x v="12"/>
  </r>
  <r>
    <x v="12"/>
  </r>
  <r>
    <x v="53"/>
  </r>
  <r>
    <x v="28"/>
  </r>
  <r>
    <x v="386"/>
  </r>
  <r>
    <x v="37"/>
  </r>
  <r>
    <x v="9"/>
  </r>
  <r>
    <x v="24"/>
  </r>
  <r>
    <x v="24"/>
  </r>
  <r>
    <x v="8"/>
  </r>
  <r>
    <x v="8"/>
  </r>
  <r>
    <x v="46"/>
  </r>
  <r>
    <x v="137"/>
  </r>
  <r>
    <x v="4"/>
  </r>
  <r>
    <x v="0"/>
  </r>
  <r>
    <x v="12"/>
  </r>
  <r>
    <x v="4"/>
  </r>
  <r>
    <x v="12"/>
  </r>
  <r>
    <x v="11"/>
  </r>
  <r>
    <x v="57"/>
  </r>
  <r>
    <x v="21"/>
  </r>
  <r>
    <x v="21"/>
  </r>
  <r>
    <x v="21"/>
  </r>
  <r>
    <x v="21"/>
  </r>
  <r>
    <x v="21"/>
  </r>
  <r>
    <x v="21"/>
  </r>
  <r>
    <x v="21"/>
  </r>
  <r>
    <x v="53"/>
  </r>
  <r>
    <x v="53"/>
  </r>
  <r>
    <x v="53"/>
  </r>
  <r>
    <x v="14"/>
  </r>
  <r>
    <x v="53"/>
  </r>
  <r>
    <x v="9"/>
  </r>
  <r>
    <x v="0"/>
  </r>
  <r>
    <x v="14"/>
  </r>
  <r>
    <x v="14"/>
  </r>
  <r>
    <x v="12"/>
  </r>
  <r>
    <x v="115"/>
  </r>
  <r>
    <x v="9"/>
  </r>
  <r>
    <x v="9"/>
  </r>
  <r>
    <x v="27"/>
  </r>
  <r>
    <x v="52"/>
  </r>
  <r>
    <x v="52"/>
  </r>
  <r>
    <x v="1"/>
  </r>
  <r>
    <x v="12"/>
  </r>
  <r>
    <x v="42"/>
  </r>
  <r>
    <x v="12"/>
  </r>
  <r>
    <x v="1"/>
  </r>
  <r>
    <x v="154"/>
  </r>
  <r>
    <x v="16"/>
  </r>
  <r>
    <x v="12"/>
  </r>
  <r>
    <x v="12"/>
  </r>
  <r>
    <x v="24"/>
  </r>
  <r>
    <x v="0"/>
  </r>
  <r>
    <x v="4"/>
  </r>
  <r>
    <x v="0"/>
  </r>
  <r>
    <x v="21"/>
  </r>
  <r>
    <x v="21"/>
  </r>
  <r>
    <x v="4"/>
  </r>
  <r>
    <x v="4"/>
  </r>
  <r>
    <x v="10"/>
  </r>
  <r>
    <x v="115"/>
  </r>
  <r>
    <x v="9"/>
  </r>
  <r>
    <x v="9"/>
  </r>
  <r>
    <x v="12"/>
  </r>
  <r>
    <x v="4"/>
  </r>
  <r>
    <x v="1"/>
  </r>
  <r>
    <x v="1"/>
  </r>
  <r>
    <x v="1"/>
  </r>
  <r>
    <x v="1"/>
  </r>
  <r>
    <x v="57"/>
  </r>
  <r>
    <x v="57"/>
  </r>
  <r>
    <x v="45"/>
  </r>
  <r>
    <x v="57"/>
  </r>
  <r>
    <x v="14"/>
  </r>
  <r>
    <x v="12"/>
  </r>
  <r>
    <x v="1"/>
  </r>
  <r>
    <x v="45"/>
  </r>
  <r>
    <x v="42"/>
  </r>
  <r>
    <x v="12"/>
  </r>
  <r>
    <x v="16"/>
  </r>
  <r>
    <x v="16"/>
  </r>
  <r>
    <x v="0"/>
  </r>
  <r>
    <x v="60"/>
  </r>
  <r>
    <x v="22"/>
  </r>
  <r>
    <x v="45"/>
  </r>
  <r>
    <x v="71"/>
  </r>
  <r>
    <x v="22"/>
  </r>
  <r>
    <x v="22"/>
  </r>
  <r>
    <x v="9"/>
  </r>
  <r>
    <x v="12"/>
  </r>
  <r>
    <x v="155"/>
  </r>
  <r>
    <x v="42"/>
  </r>
  <r>
    <x v="0"/>
  </r>
  <r>
    <x v="0"/>
  </r>
  <r>
    <x v="4"/>
  </r>
  <r>
    <x v="28"/>
  </r>
  <r>
    <x v="16"/>
  </r>
  <r>
    <x v="14"/>
  </r>
  <r>
    <x v="0"/>
  </r>
  <r>
    <x v="141"/>
  </r>
  <r>
    <x v="2"/>
  </r>
  <r>
    <x v="48"/>
  </r>
  <r>
    <x v="4"/>
  </r>
  <r>
    <x v="27"/>
  </r>
  <r>
    <x v="48"/>
  </r>
  <r>
    <x v="12"/>
  </r>
  <r>
    <x v="45"/>
  </r>
  <r>
    <x v="2"/>
  </r>
  <r>
    <x v="42"/>
  </r>
  <r>
    <x v="53"/>
  </r>
  <r>
    <x v="131"/>
  </r>
  <r>
    <x v="39"/>
  </r>
  <r>
    <x v="71"/>
  </r>
  <r>
    <x v="53"/>
  </r>
  <r>
    <x v="53"/>
  </r>
  <r>
    <x v="53"/>
  </r>
  <r>
    <x v="42"/>
  </r>
  <r>
    <x v="0"/>
  </r>
  <r>
    <x v="42"/>
  </r>
  <r>
    <x v="42"/>
  </r>
  <r>
    <x v="42"/>
  </r>
  <r>
    <x v="42"/>
  </r>
  <r>
    <x v="42"/>
  </r>
  <r>
    <x v="42"/>
  </r>
  <r>
    <x v="53"/>
  </r>
  <r>
    <x v="53"/>
  </r>
  <r>
    <x v="53"/>
  </r>
  <r>
    <x v="108"/>
  </r>
  <r>
    <x v="14"/>
  </r>
  <r>
    <x v="12"/>
  </r>
  <r>
    <x v="16"/>
  </r>
  <r>
    <x v="10"/>
  </r>
  <r>
    <x v="14"/>
  </r>
  <r>
    <x v="14"/>
  </r>
  <r>
    <x v="48"/>
  </r>
  <r>
    <x v="42"/>
  </r>
  <r>
    <x v="42"/>
  </r>
  <r>
    <x v="4"/>
  </r>
  <r>
    <x v="10"/>
  </r>
  <r>
    <x v="17"/>
  </r>
  <r>
    <x v="17"/>
  </r>
  <r>
    <x v="81"/>
  </r>
  <r>
    <x v="68"/>
  </r>
  <r>
    <x v="24"/>
  </r>
  <r>
    <x v="51"/>
  </r>
  <r>
    <x v="12"/>
  </r>
  <r>
    <x v="37"/>
  </r>
  <r>
    <x v="37"/>
  </r>
  <r>
    <x v="12"/>
  </r>
  <r>
    <x v="12"/>
  </r>
  <r>
    <x v="12"/>
  </r>
  <r>
    <x v="12"/>
  </r>
  <r>
    <x v="24"/>
  </r>
  <r>
    <x v="24"/>
  </r>
  <r>
    <x v="53"/>
  </r>
  <r>
    <x v="53"/>
  </r>
  <r>
    <x v="0"/>
  </r>
  <r>
    <x v="53"/>
  </r>
  <r>
    <x v="0"/>
  </r>
  <r>
    <x v="42"/>
  </r>
  <r>
    <x v="21"/>
  </r>
  <r>
    <x v="4"/>
  </r>
  <r>
    <x v="45"/>
  </r>
  <r>
    <x v="2"/>
  </r>
  <r>
    <x v="7"/>
  </r>
  <r>
    <x v="4"/>
  </r>
  <r>
    <x v="40"/>
  </r>
  <r>
    <x v="27"/>
  </r>
  <r>
    <x v="42"/>
  </r>
  <r>
    <x v="42"/>
  </r>
  <r>
    <x v="12"/>
  </r>
  <r>
    <x v="28"/>
  </r>
  <r>
    <x v="28"/>
  </r>
  <r>
    <x v="4"/>
  </r>
  <r>
    <x v="53"/>
  </r>
  <r>
    <x v="53"/>
  </r>
  <r>
    <x v="4"/>
  </r>
  <r>
    <x v="138"/>
  </r>
  <r>
    <x v="68"/>
  </r>
  <r>
    <x v="53"/>
  </r>
  <r>
    <x v="42"/>
  </r>
  <r>
    <x v="42"/>
  </r>
  <r>
    <x v="42"/>
  </r>
  <r>
    <x v="14"/>
  </r>
  <r>
    <x v="53"/>
  </r>
  <r>
    <x v="14"/>
  </r>
  <r>
    <x v="14"/>
  </r>
  <r>
    <x v="143"/>
  </r>
  <r>
    <x v="25"/>
  </r>
  <r>
    <x v="25"/>
  </r>
  <r>
    <x v="76"/>
  </r>
  <r>
    <x v="25"/>
  </r>
  <r>
    <x v="72"/>
  </r>
  <r>
    <x v="104"/>
  </r>
  <r>
    <x v="25"/>
  </r>
  <r>
    <x v="76"/>
  </r>
  <r>
    <x v="76"/>
  </r>
  <r>
    <x v="76"/>
  </r>
  <r>
    <x v="102"/>
  </r>
  <r>
    <x v="72"/>
  </r>
  <r>
    <x v="72"/>
  </r>
  <r>
    <x v="25"/>
  </r>
  <r>
    <x v="25"/>
  </r>
  <r>
    <x v="0"/>
  </r>
  <r>
    <x v="0"/>
  </r>
  <r>
    <x v="0"/>
  </r>
  <r>
    <x v="0"/>
  </r>
  <r>
    <x v="0"/>
  </r>
  <r>
    <x v="0"/>
  </r>
  <r>
    <x v="0"/>
  </r>
  <r>
    <x v="25"/>
  </r>
  <r>
    <x v="72"/>
  </r>
  <r>
    <x v="25"/>
  </r>
  <r>
    <x v="25"/>
  </r>
  <r>
    <x v="80"/>
  </r>
  <r>
    <x v="82"/>
  </r>
  <r>
    <x v="25"/>
  </r>
  <r>
    <x v="25"/>
  </r>
  <r>
    <x v="82"/>
  </r>
  <r>
    <x v="72"/>
  </r>
  <r>
    <x v="25"/>
  </r>
  <r>
    <x v="25"/>
  </r>
  <r>
    <x v="72"/>
  </r>
  <r>
    <x v="102"/>
  </r>
  <r>
    <x v="82"/>
  </r>
  <r>
    <x v="82"/>
  </r>
  <r>
    <x v="72"/>
  </r>
  <r>
    <x v="25"/>
  </r>
  <r>
    <x v="72"/>
  </r>
  <r>
    <x v="25"/>
  </r>
  <r>
    <x v="25"/>
  </r>
  <r>
    <x v="72"/>
  </r>
  <r>
    <x v="72"/>
  </r>
  <r>
    <x v="25"/>
  </r>
  <r>
    <x v="72"/>
  </r>
  <r>
    <x v="117"/>
  </r>
  <r>
    <x v="25"/>
  </r>
  <r>
    <x v="25"/>
  </r>
  <r>
    <x v="25"/>
  </r>
  <r>
    <x v="25"/>
  </r>
  <r>
    <x v="72"/>
  </r>
  <r>
    <x v="72"/>
  </r>
  <r>
    <x v="25"/>
  </r>
  <r>
    <x v="25"/>
  </r>
  <r>
    <x v="102"/>
  </r>
  <r>
    <x v="102"/>
  </r>
  <r>
    <x v="25"/>
  </r>
  <r>
    <x v="102"/>
  </r>
  <r>
    <x v="104"/>
  </r>
  <r>
    <x v="25"/>
  </r>
  <r>
    <x v="72"/>
  </r>
  <r>
    <x v="72"/>
  </r>
  <r>
    <x v="25"/>
  </r>
  <r>
    <x v="72"/>
  </r>
  <r>
    <x v="102"/>
  </r>
  <r>
    <x v="72"/>
  </r>
  <r>
    <x v="102"/>
  </r>
  <r>
    <x v="25"/>
  </r>
  <r>
    <x v="72"/>
  </r>
  <r>
    <x v="72"/>
  </r>
  <r>
    <x v="25"/>
  </r>
  <r>
    <x v="25"/>
  </r>
  <r>
    <x v="25"/>
  </r>
  <r>
    <x v="25"/>
  </r>
  <r>
    <x v="102"/>
  </r>
  <r>
    <x v="25"/>
  </r>
  <r>
    <x v="102"/>
  </r>
  <r>
    <x v="72"/>
  </r>
  <r>
    <x v="76"/>
  </r>
  <r>
    <x v="72"/>
  </r>
  <r>
    <x v="25"/>
  </r>
  <r>
    <x v="72"/>
  </r>
  <r>
    <x v="25"/>
  </r>
  <r>
    <x v="25"/>
  </r>
  <r>
    <x v="76"/>
  </r>
  <r>
    <x v="102"/>
  </r>
  <r>
    <x v="25"/>
  </r>
  <r>
    <x v="102"/>
  </r>
  <r>
    <x v="25"/>
  </r>
  <r>
    <x v="104"/>
  </r>
  <r>
    <x v="25"/>
  </r>
  <r>
    <x v="25"/>
  </r>
  <r>
    <x v="25"/>
  </r>
  <r>
    <x v="102"/>
  </r>
  <r>
    <x v="72"/>
  </r>
  <r>
    <x v="72"/>
  </r>
  <r>
    <x v="25"/>
  </r>
  <r>
    <x v="42"/>
  </r>
  <r>
    <x v="78"/>
  </r>
  <r>
    <x v="68"/>
  </r>
  <r>
    <x v="82"/>
  </r>
  <r>
    <x v="96"/>
  </r>
  <r>
    <x v="100"/>
  </r>
  <r>
    <x v="29"/>
  </r>
  <r>
    <x v="29"/>
  </r>
  <r>
    <x v="75"/>
  </r>
  <r>
    <x v="81"/>
  </r>
  <r>
    <x v="81"/>
  </r>
  <r>
    <x v="217"/>
  </r>
  <r>
    <x v="93"/>
  </r>
  <r>
    <x v="93"/>
  </r>
  <r>
    <x v="87"/>
  </r>
  <r>
    <x v="78"/>
  </r>
  <r>
    <x v="42"/>
  </r>
  <r>
    <x v="10"/>
  </r>
  <r>
    <x v="81"/>
  </r>
  <r>
    <x v="81"/>
  </r>
  <r>
    <x v="219"/>
  </r>
  <r>
    <x v="142"/>
  </r>
  <r>
    <x v="81"/>
  </r>
  <r>
    <x v="219"/>
  </r>
  <r>
    <x v="219"/>
  </r>
  <r>
    <x v="50"/>
  </r>
  <r>
    <x v="99"/>
  </r>
  <r>
    <x v="25"/>
  </r>
  <r>
    <x v="12"/>
  </r>
  <r>
    <x v="12"/>
  </r>
  <r>
    <x v="12"/>
  </r>
  <r>
    <x v="78"/>
  </r>
  <r>
    <x v="12"/>
  </r>
  <r>
    <x v="78"/>
  </r>
  <r>
    <x v="86"/>
  </r>
  <r>
    <x v="7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72"/>
  </r>
  <r>
    <x v="72"/>
  </r>
  <r>
    <x v="25"/>
  </r>
  <r>
    <x v="108"/>
  </r>
  <r>
    <x v="102"/>
  </r>
  <r>
    <x v="25"/>
  </r>
  <r>
    <x v="25"/>
  </r>
  <r>
    <x v="82"/>
  </r>
  <r>
    <x v="25"/>
  </r>
  <r>
    <x v="25"/>
  </r>
  <r>
    <x v="20"/>
  </r>
  <r>
    <x v="25"/>
  </r>
  <r>
    <x v="25"/>
  </r>
  <r>
    <x v="25"/>
  </r>
  <r>
    <x v="25"/>
  </r>
  <r>
    <x v="25"/>
  </r>
  <r>
    <x v="76"/>
  </r>
  <r>
    <x v="25"/>
  </r>
  <r>
    <x v="117"/>
  </r>
  <r>
    <x v="25"/>
  </r>
  <r>
    <x v="76"/>
  </r>
  <r>
    <x v="48"/>
  </r>
  <r>
    <x v="108"/>
  </r>
  <r>
    <x v="72"/>
  </r>
  <r>
    <x v="85"/>
  </r>
  <r>
    <x v="82"/>
  </r>
  <r>
    <x v="25"/>
  </r>
  <r>
    <x v="10"/>
  </r>
  <r>
    <x v="1"/>
  </r>
  <r>
    <x v="1"/>
  </r>
  <r>
    <x v="25"/>
  </r>
  <r>
    <x v="85"/>
  </r>
  <r>
    <x v="12"/>
  </r>
  <r>
    <x v="72"/>
  </r>
  <r>
    <x v="12"/>
  </r>
  <r>
    <x v="48"/>
  </r>
  <r>
    <x v="85"/>
  </r>
  <r>
    <x v="85"/>
  </r>
  <r>
    <x v="122"/>
  </r>
  <r>
    <x v="3"/>
  </r>
  <r>
    <x v="122"/>
  </r>
  <r>
    <x v="48"/>
  </r>
  <r>
    <x v="82"/>
  </r>
  <r>
    <x v="232"/>
  </r>
  <r>
    <x v="10"/>
  </r>
  <r>
    <x v="229"/>
  </r>
  <r>
    <x v="229"/>
  </r>
  <r>
    <x v="31"/>
  </r>
  <r>
    <x v="92"/>
  </r>
  <r>
    <x v="93"/>
  </r>
  <r>
    <x v="48"/>
  </r>
  <r>
    <x v="55"/>
  </r>
  <r>
    <x v="48"/>
  </r>
  <r>
    <x v="2"/>
  </r>
  <r>
    <x v="2"/>
  </r>
  <r>
    <x v="36"/>
  </r>
  <r>
    <x v="25"/>
  </r>
  <r>
    <x v="76"/>
  </r>
  <r>
    <x v="76"/>
  </r>
  <r>
    <x v="25"/>
  </r>
  <r>
    <x v="25"/>
  </r>
  <r>
    <x v="59"/>
  </r>
  <r>
    <x v="25"/>
  </r>
  <r>
    <x v="25"/>
  </r>
  <r>
    <x v="25"/>
  </r>
  <r>
    <x v="108"/>
  </r>
  <r>
    <x v="25"/>
  </r>
  <r>
    <x v="105"/>
  </r>
  <r>
    <x v="25"/>
  </r>
  <r>
    <x v="76"/>
  </r>
  <r>
    <x v="94"/>
  </r>
  <r>
    <x v="72"/>
  </r>
  <r>
    <x v="63"/>
  </r>
  <r>
    <x v="72"/>
  </r>
  <r>
    <x v="117"/>
  </r>
  <r>
    <x v="27"/>
  </r>
  <r>
    <x v="0"/>
  </r>
  <r>
    <x v="0"/>
  </r>
  <r>
    <x v="131"/>
  </r>
  <r>
    <x v="31"/>
  </r>
  <r>
    <x v="94"/>
  </r>
  <r>
    <x v="48"/>
  </r>
  <r>
    <x v="25"/>
  </r>
  <r>
    <x v="25"/>
  </r>
  <r>
    <x v="25"/>
  </r>
  <r>
    <x v="111"/>
  </r>
  <r>
    <x v="81"/>
  </r>
  <r>
    <x v="7"/>
  </r>
  <r>
    <x v="48"/>
  </r>
  <r>
    <x v="79"/>
  </r>
  <r>
    <x v="15"/>
  </r>
  <r>
    <x v="31"/>
  </r>
  <r>
    <x v="48"/>
  </r>
  <r>
    <x v="87"/>
  </r>
  <r>
    <x v="2"/>
  </r>
  <r>
    <x v="34"/>
  </r>
  <r>
    <x v="1"/>
  </r>
  <r>
    <x v="80"/>
  </r>
  <r>
    <x v="7"/>
  </r>
  <r>
    <x v="78"/>
  </r>
  <r>
    <x v="7"/>
  </r>
  <r>
    <x v="7"/>
  </r>
  <r>
    <x v="76"/>
  </r>
  <r>
    <x v="82"/>
  </r>
  <r>
    <x v="25"/>
  </r>
  <r>
    <x v="25"/>
  </r>
  <r>
    <x v="10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72"/>
  </r>
  <r>
    <x v="14"/>
  </r>
  <r>
    <x v="77"/>
  </r>
  <r>
    <x v="63"/>
  </r>
  <r>
    <x v="87"/>
  </r>
  <r>
    <x v="45"/>
  </r>
  <r>
    <x v="80"/>
  </r>
  <r>
    <x v="131"/>
  </r>
  <r>
    <x v="31"/>
  </r>
  <r>
    <x v="31"/>
  </r>
  <r>
    <x v="77"/>
  </r>
  <r>
    <x v="59"/>
  </r>
  <r>
    <x v="31"/>
  </r>
  <r>
    <x v="97"/>
  </r>
  <r>
    <x v="31"/>
  </r>
  <r>
    <x v="52"/>
  </r>
  <r>
    <x v="14"/>
  </r>
  <r>
    <x v="10"/>
  </r>
  <r>
    <x v="56"/>
  </r>
  <r>
    <x v="77"/>
  </r>
  <r>
    <x v="93"/>
  </r>
  <r>
    <x v="31"/>
  </r>
  <r>
    <x v="154"/>
  </r>
  <r>
    <x v="154"/>
  </r>
  <r>
    <x v="154"/>
  </r>
  <r>
    <x v="10"/>
  </r>
  <r>
    <x v="25"/>
  </r>
  <r>
    <x v="48"/>
  </r>
  <r>
    <x v="34"/>
  </r>
  <r>
    <x v="108"/>
  </r>
  <r>
    <x v="108"/>
  </r>
  <r>
    <x v="48"/>
  </r>
  <r>
    <x v="93"/>
  </r>
  <r>
    <x v="93"/>
  </r>
  <r>
    <x v="93"/>
  </r>
  <r>
    <x v="76"/>
  </r>
  <r>
    <x v="93"/>
  </r>
  <r>
    <x v="94"/>
  </r>
  <r>
    <x v="94"/>
  </r>
  <r>
    <x v="142"/>
  </r>
  <r>
    <x v="142"/>
  </r>
  <r>
    <x v="93"/>
  </r>
  <r>
    <x v="93"/>
  </r>
  <r>
    <x v="25"/>
  </r>
  <r>
    <x v="217"/>
  </r>
  <r>
    <x v="113"/>
  </r>
  <r>
    <x v="113"/>
  </r>
  <r>
    <x v="25"/>
  </r>
  <r>
    <x v="93"/>
  </r>
  <r>
    <x v="217"/>
  </r>
  <r>
    <x v="12"/>
  </r>
  <r>
    <x v="93"/>
  </r>
  <r>
    <x v="12"/>
  </r>
  <r>
    <x v="12"/>
  </r>
  <r>
    <x v="25"/>
  </r>
  <r>
    <x v="10"/>
  </r>
  <r>
    <x v="25"/>
  </r>
  <r>
    <x v="76"/>
  </r>
  <r>
    <x v="96"/>
  </r>
  <r>
    <x v="76"/>
  </r>
  <r>
    <x v="76"/>
  </r>
  <r>
    <x v="76"/>
  </r>
  <r>
    <x v="76"/>
  </r>
  <r>
    <x v="76"/>
  </r>
  <r>
    <x v="96"/>
  </r>
  <r>
    <x v="416"/>
  </r>
  <r>
    <x v="94"/>
  </r>
  <r>
    <x v="72"/>
  </r>
  <r>
    <x v="0"/>
  </r>
  <r>
    <x v="76"/>
  </r>
  <r>
    <x v="76"/>
  </r>
  <r>
    <x v="76"/>
  </r>
  <r>
    <x v="76"/>
  </r>
  <r>
    <x v="232"/>
  </r>
  <r>
    <x v="75"/>
  </r>
  <r>
    <x v="12"/>
  </r>
  <r>
    <x v="82"/>
  </r>
  <r>
    <x v="93"/>
  </r>
  <r>
    <x v="93"/>
  </r>
  <r>
    <x v="93"/>
  </r>
  <r>
    <x v="25"/>
  </r>
  <r>
    <x v="93"/>
  </r>
  <r>
    <x v="93"/>
  </r>
  <r>
    <x v="29"/>
  </r>
  <r>
    <x v="76"/>
  </r>
  <r>
    <x v="157"/>
  </r>
  <r>
    <x v="76"/>
  </r>
  <r>
    <x v="76"/>
  </r>
  <r>
    <x v="76"/>
  </r>
  <r>
    <x v="76"/>
  </r>
  <r>
    <x v="76"/>
  </r>
  <r>
    <x v="76"/>
  </r>
  <r>
    <x v="76"/>
  </r>
  <r>
    <x v="76"/>
  </r>
  <r>
    <x v="75"/>
  </r>
  <r>
    <x v="78"/>
  </r>
  <r>
    <x v="12"/>
  </r>
  <r>
    <x v="20"/>
  </r>
  <r>
    <x v="76"/>
  </r>
  <r>
    <x v="76"/>
  </r>
  <r>
    <x v="29"/>
  </r>
  <r>
    <x v="76"/>
  </r>
  <r>
    <x v="76"/>
  </r>
  <r>
    <x v="76"/>
  </r>
  <r>
    <x v="78"/>
  </r>
  <r>
    <x v="78"/>
  </r>
  <r>
    <x v="76"/>
  </r>
  <r>
    <x v="93"/>
  </r>
  <r>
    <x v="217"/>
  </r>
  <r>
    <x v="217"/>
  </r>
  <r>
    <x v="217"/>
  </r>
  <r>
    <x v="96"/>
  </r>
  <r>
    <x v="7"/>
  </r>
  <r>
    <x v="93"/>
  </r>
  <r>
    <x v="78"/>
  </r>
  <r>
    <x v="78"/>
  </r>
  <r>
    <x v="82"/>
  </r>
  <r>
    <x v="76"/>
  </r>
  <r>
    <x v="78"/>
  </r>
  <r>
    <x v="29"/>
  </r>
  <r>
    <x v="29"/>
  </r>
  <r>
    <x v="28"/>
  </r>
  <r>
    <x v="22"/>
  </r>
  <r>
    <x v="81"/>
  </r>
  <r>
    <x v="31"/>
  </r>
  <r>
    <x v="14"/>
  </r>
  <r>
    <x v="14"/>
  </r>
  <r>
    <x v="114"/>
  </r>
  <r>
    <x v="154"/>
  </r>
  <r>
    <x v="29"/>
  </r>
  <r>
    <x v="48"/>
  </r>
  <r>
    <x v="55"/>
  </r>
  <r>
    <x v="0"/>
  </r>
  <r>
    <x v="0"/>
  </r>
  <r>
    <x v="0"/>
  </r>
  <r>
    <x v="0"/>
  </r>
  <r>
    <x v="117"/>
  </r>
  <r>
    <x v="28"/>
  </r>
  <r>
    <x v="12"/>
  </r>
  <r>
    <x v="25"/>
  </r>
  <r>
    <x v="25"/>
  </r>
  <r>
    <x v="0"/>
  </r>
  <r>
    <x v="0"/>
  </r>
  <r>
    <x v="0"/>
  </r>
  <r>
    <x v="0"/>
  </r>
  <r>
    <x v="10"/>
  </r>
  <r>
    <x v="25"/>
  </r>
  <r>
    <x v="25"/>
  </r>
  <r>
    <x v="52"/>
  </r>
  <r>
    <x v="25"/>
  </r>
  <r>
    <x v="52"/>
  </r>
  <r>
    <x v="25"/>
  </r>
  <r>
    <x v="64"/>
  </r>
  <r>
    <x v="30"/>
  </r>
  <r>
    <x v="52"/>
  </r>
  <r>
    <x v="64"/>
  </r>
  <r>
    <x v="17"/>
  </r>
  <r>
    <x v="42"/>
  </r>
  <r>
    <x v="87"/>
  </r>
  <r>
    <x v="3"/>
  </r>
  <r>
    <x v="3"/>
  </r>
  <r>
    <x v="28"/>
  </r>
  <r>
    <x v="12"/>
  </r>
  <r>
    <x v="12"/>
  </r>
  <r>
    <x v="12"/>
  </r>
  <r>
    <x v="30"/>
  </r>
  <r>
    <x v="72"/>
  </r>
  <r>
    <x v="72"/>
  </r>
  <r>
    <x v="17"/>
  </r>
  <r>
    <x v="42"/>
  </r>
  <r>
    <x v="42"/>
  </r>
  <r>
    <x v="111"/>
  </r>
  <r>
    <x v="196"/>
  </r>
  <r>
    <x v="7"/>
  </r>
  <r>
    <x v="7"/>
  </r>
  <r>
    <x v="31"/>
  </r>
  <r>
    <x v="72"/>
  </r>
  <r>
    <x v="25"/>
  </r>
  <r>
    <x v="12"/>
  </r>
  <r>
    <x v="12"/>
  </r>
  <r>
    <x v="25"/>
  </r>
  <r>
    <x v="25"/>
  </r>
  <r>
    <x v="12"/>
  </r>
  <r>
    <x v="59"/>
  </r>
  <r>
    <x v="76"/>
  </r>
  <r>
    <x v="44"/>
  </r>
  <r>
    <x v="10"/>
  </r>
  <r>
    <x v="45"/>
  </r>
  <r>
    <x v="45"/>
  </r>
  <r>
    <x v="10"/>
  </r>
  <r>
    <x v="10"/>
  </r>
  <r>
    <x v="42"/>
  </r>
  <r>
    <x v="10"/>
  </r>
  <r>
    <x v="227"/>
  </r>
  <r>
    <x v="77"/>
  </r>
  <r>
    <x v="0"/>
  </r>
  <r>
    <x v="12"/>
  </r>
  <r>
    <x v="48"/>
  </r>
  <r>
    <x v="48"/>
  </r>
  <r>
    <x v="48"/>
  </r>
  <r>
    <x v="48"/>
  </r>
  <r>
    <x v="12"/>
  </r>
  <r>
    <x v="227"/>
  </r>
  <r>
    <x v="227"/>
  </r>
  <r>
    <x v="17"/>
  </r>
  <r>
    <x v="97"/>
  </r>
  <r>
    <x v="76"/>
  </r>
  <r>
    <x v="3"/>
  </r>
  <r>
    <x v="28"/>
  </r>
  <r>
    <x v="28"/>
  </r>
  <r>
    <x v="87"/>
  </r>
  <r>
    <x v="10"/>
  </r>
  <r>
    <x v="235"/>
  </r>
  <r>
    <x v="99"/>
  </r>
  <r>
    <x v="118"/>
  </r>
  <r>
    <x v="118"/>
  </r>
  <r>
    <x v="20"/>
  </r>
  <r>
    <x v="56"/>
  </r>
  <r>
    <x v="0"/>
  </r>
  <r>
    <x v="0"/>
  </r>
  <r>
    <x v="0"/>
  </r>
  <r>
    <x v="0"/>
  </r>
  <r>
    <x v="0"/>
  </r>
  <r>
    <x v="29"/>
  </r>
  <r>
    <x v="86"/>
  </r>
  <r>
    <x v="25"/>
  </r>
  <r>
    <x v="81"/>
  </r>
  <r>
    <x v="45"/>
  </r>
  <r>
    <x v="0"/>
  </r>
  <r>
    <x v="0"/>
  </r>
  <r>
    <x v="26"/>
  </r>
  <r>
    <x v="87"/>
  </r>
  <r>
    <x v="44"/>
  </r>
  <r>
    <x v="2"/>
  </r>
  <r>
    <x v="44"/>
  </r>
  <r>
    <x v="12"/>
  </r>
  <r>
    <x v="25"/>
  </r>
  <r>
    <x v="12"/>
  </r>
  <r>
    <x v="48"/>
  </r>
  <r>
    <x v="50"/>
  </r>
  <r>
    <x v="48"/>
  </r>
  <r>
    <x v="48"/>
  </r>
  <r>
    <x v="17"/>
  </r>
  <r>
    <x v="130"/>
  </r>
  <r>
    <x v="130"/>
  </r>
  <r>
    <x v="17"/>
  </r>
  <r>
    <x v="17"/>
  </r>
  <r>
    <x v="17"/>
  </r>
  <r>
    <x v="56"/>
  </r>
  <r>
    <x v="28"/>
  </r>
  <r>
    <x v="28"/>
  </r>
  <r>
    <x v="28"/>
  </r>
  <r>
    <x v="103"/>
  </r>
  <r>
    <x v="76"/>
  </r>
  <r>
    <x v="0"/>
  </r>
  <r>
    <x v="0"/>
  </r>
  <r>
    <x v="57"/>
  </r>
  <r>
    <x v="25"/>
  </r>
  <r>
    <x v="25"/>
  </r>
  <r>
    <x v="76"/>
  </r>
  <r>
    <x v="76"/>
  </r>
  <r>
    <x v="76"/>
  </r>
  <r>
    <x v="217"/>
  </r>
  <r>
    <x v="217"/>
  </r>
  <r>
    <x v="23"/>
  </r>
  <r>
    <x v="0"/>
  </r>
  <r>
    <x v="0"/>
  </r>
  <r>
    <x v="23"/>
  </r>
  <r>
    <x v="23"/>
  </r>
  <r>
    <x v="23"/>
  </r>
  <r>
    <x v="86"/>
  </r>
  <r>
    <x v="48"/>
  </r>
  <r>
    <x v="81"/>
  </r>
  <r>
    <x v="9"/>
  </r>
  <r>
    <x v="9"/>
  </r>
  <r>
    <x v="9"/>
  </r>
  <r>
    <x v="9"/>
  </r>
  <r>
    <x v="9"/>
  </r>
  <r>
    <x v="26"/>
  </r>
  <r>
    <x v="219"/>
  </r>
  <r>
    <x v="115"/>
  </r>
  <r>
    <x v="115"/>
  </r>
  <r>
    <x v="48"/>
  </r>
  <r>
    <x v="30"/>
  </r>
  <r>
    <x v="229"/>
  </r>
  <r>
    <x v="48"/>
  </r>
  <r>
    <x v="0"/>
  </r>
  <r>
    <x v="63"/>
  </r>
  <r>
    <x v="63"/>
  </r>
  <r>
    <x v="0"/>
  </r>
  <r>
    <x v="71"/>
  </r>
  <r>
    <x v="12"/>
  </r>
  <r>
    <x v="10"/>
  </r>
  <r>
    <x v="10"/>
  </r>
  <r>
    <x v="108"/>
  </r>
  <r>
    <x v="108"/>
  </r>
  <r>
    <x v="108"/>
  </r>
  <r>
    <x v="0"/>
  </r>
  <r>
    <x v="0"/>
  </r>
  <r>
    <x v="0"/>
  </r>
  <r>
    <x v="81"/>
  </r>
  <r>
    <x v="48"/>
  </r>
  <r>
    <x v="48"/>
  </r>
  <r>
    <x v="48"/>
  </r>
  <r>
    <x v="12"/>
  </r>
  <r>
    <x v="83"/>
  </r>
  <r>
    <x v="12"/>
  </r>
  <r>
    <x v="6"/>
  </r>
  <r>
    <x v="83"/>
  </r>
  <r>
    <x v="22"/>
  </r>
  <r>
    <x v="81"/>
  </r>
  <r>
    <x v="111"/>
  </r>
  <r>
    <x v="10"/>
  </r>
  <r>
    <x v="10"/>
  </r>
  <r>
    <x v="83"/>
  </r>
  <r>
    <x v="42"/>
  </r>
  <r>
    <x v="42"/>
  </r>
  <r>
    <x v="42"/>
  </r>
  <r>
    <x v="42"/>
  </r>
  <r>
    <x v="14"/>
  </r>
  <r>
    <x v="12"/>
  </r>
  <r>
    <x v="10"/>
  </r>
  <r>
    <x v="48"/>
  </r>
  <r>
    <x v="10"/>
  </r>
  <r>
    <x v="86"/>
  </r>
  <r>
    <x v="78"/>
  </r>
  <r>
    <x v="14"/>
  </r>
  <r>
    <x v="31"/>
  </r>
  <r>
    <x v="1"/>
  </r>
  <r>
    <x v="42"/>
  </r>
  <r>
    <x v="118"/>
  </r>
  <r>
    <x v="80"/>
  </r>
  <r>
    <x v="80"/>
  </r>
  <r>
    <x v="80"/>
  </r>
  <r>
    <x v="63"/>
  </r>
  <r>
    <x v="12"/>
  </r>
  <r>
    <x v="12"/>
  </r>
  <r>
    <x v="29"/>
  </r>
  <r>
    <x v="29"/>
  </r>
  <r>
    <x v="2"/>
  </r>
  <r>
    <x v="81"/>
  </r>
  <r>
    <x v="42"/>
  </r>
  <r>
    <x v="42"/>
  </r>
  <r>
    <x v="42"/>
  </r>
  <r>
    <x v="82"/>
  </r>
  <r>
    <x v="42"/>
  </r>
  <r>
    <x v="93"/>
  </r>
  <r>
    <x v="93"/>
  </r>
  <r>
    <x v="82"/>
  </r>
  <r>
    <x v="93"/>
  </r>
  <r>
    <x v="48"/>
  </r>
  <r>
    <x v="42"/>
  </r>
  <r>
    <x v="217"/>
  </r>
  <r>
    <x v="42"/>
  </r>
  <r>
    <x v="217"/>
  </r>
  <r>
    <x v="112"/>
  </r>
  <r>
    <x v="42"/>
  </r>
  <r>
    <x v="104"/>
  </r>
  <r>
    <x v="48"/>
  </r>
  <r>
    <x v="22"/>
  </r>
  <r>
    <x v="76"/>
  </r>
  <r>
    <x v="25"/>
  </r>
  <r>
    <x v="76"/>
  </r>
  <r>
    <x v="72"/>
  </r>
  <r>
    <x v="25"/>
  </r>
  <r>
    <x v="25"/>
  </r>
  <r>
    <x v="25"/>
  </r>
  <r>
    <x v="76"/>
  </r>
  <r>
    <x v="25"/>
  </r>
  <r>
    <x v="25"/>
  </r>
  <r>
    <x v="76"/>
  </r>
  <r>
    <x v="76"/>
  </r>
  <r>
    <x v="76"/>
  </r>
  <r>
    <x v="25"/>
  </r>
  <r>
    <x v="82"/>
  </r>
  <r>
    <x v="103"/>
  </r>
  <r>
    <x v="2"/>
  </r>
  <r>
    <x v="72"/>
  </r>
  <r>
    <x v="93"/>
  </r>
  <r>
    <x v="76"/>
  </r>
  <r>
    <x v="76"/>
  </r>
  <r>
    <x v="76"/>
  </r>
  <r>
    <x v="76"/>
  </r>
  <r>
    <x v="76"/>
  </r>
  <r>
    <x v="42"/>
  </r>
  <r>
    <x v="99"/>
  </r>
  <r>
    <x v="83"/>
  </r>
  <r>
    <x v="30"/>
  </r>
  <r>
    <x v="30"/>
  </r>
  <r>
    <x v="83"/>
  </r>
  <r>
    <x v="83"/>
  </r>
  <r>
    <x v="83"/>
  </r>
  <r>
    <x v="86"/>
  </r>
  <r>
    <x v="63"/>
  </r>
  <r>
    <x v="42"/>
  </r>
  <r>
    <x v="0"/>
  </r>
  <r>
    <x v="0"/>
  </r>
  <r>
    <x v="48"/>
  </r>
  <r>
    <x v="25"/>
  </r>
  <r>
    <x v="14"/>
  </r>
  <r>
    <x v="30"/>
  </r>
  <r>
    <x v="30"/>
  </r>
  <r>
    <x v="112"/>
  </r>
  <r>
    <x v="112"/>
  </r>
  <r>
    <x v="17"/>
  </r>
  <r>
    <x v="10"/>
  </r>
  <r>
    <x v="45"/>
  </r>
  <r>
    <x v="99"/>
  </r>
  <r>
    <x v="50"/>
  </r>
  <r>
    <x v="50"/>
  </r>
  <r>
    <x v="50"/>
  </r>
  <r>
    <x v="10"/>
  </r>
  <r>
    <x v="50"/>
  </r>
  <r>
    <x v="10"/>
  </r>
  <r>
    <x v="339"/>
  </r>
  <r>
    <x v="50"/>
  </r>
  <r>
    <x v="10"/>
  </r>
  <r>
    <x v="25"/>
  </r>
  <r>
    <x v="0"/>
  </r>
  <r>
    <x v="42"/>
  </r>
  <r>
    <x v="37"/>
  </r>
  <r>
    <x v="25"/>
  </r>
  <r>
    <x v="25"/>
  </r>
  <r>
    <x v="25"/>
  </r>
  <r>
    <x v="25"/>
  </r>
  <r>
    <x v="94"/>
  </r>
  <r>
    <x v="35"/>
  </r>
  <r>
    <x v="105"/>
  </r>
  <r>
    <x v="105"/>
  </r>
  <r>
    <x v="48"/>
  </r>
  <r>
    <x v="35"/>
  </r>
  <r>
    <x v="0"/>
  </r>
  <r>
    <x v="93"/>
  </r>
  <r>
    <x v="105"/>
  </r>
  <r>
    <x v="105"/>
  </r>
  <r>
    <x v="12"/>
  </r>
  <r>
    <x v="11"/>
  </r>
  <r>
    <x v="12"/>
  </r>
  <r>
    <x v="12"/>
  </r>
  <r>
    <x v="11"/>
  </r>
  <r>
    <x v="10"/>
  </r>
  <r>
    <x v="14"/>
  </r>
  <r>
    <x v="489"/>
  </r>
  <r>
    <x v="4"/>
  </r>
  <r>
    <x v="4"/>
  </r>
  <r>
    <x v="25"/>
  </r>
  <r>
    <x v="99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0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02"/>
  </r>
  <r>
    <x v="25"/>
  </r>
  <r>
    <x v="25"/>
  </r>
  <r>
    <x v="25"/>
  </r>
  <r>
    <x v="87"/>
  </r>
  <r>
    <x v="25"/>
  </r>
  <r>
    <x v="25"/>
  </r>
  <r>
    <x v="25"/>
  </r>
  <r>
    <x v="25"/>
  </r>
  <r>
    <x v="25"/>
  </r>
  <r>
    <x v="25"/>
  </r>
  <r>
    <x v="87"/>
  </r>
  <r>
    <x v="25"/>
  </r>
  <r>
    <x v="72"/>
  </r>
  <r>
    <x v="7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4"/>
  </r>
  <r>
    <x v="29"/>
  </r>
  <r>
    <x v="3"/>
  </r>
  <r>
    <x v="30"/>
  </r>
  <r>
    <x v="99"/>
  </r>
  <r>
    <x v="103"/>
  </r>
  <r>
    <x v="99"/>
  </r>
  <r>
    <x v="103"/>
  </r>
  <r>
    <x v="101"/>
  </r>
  <r>
    <x v="99"/>
  </r>
  <r>
    <x v="103"/>
  </r>
  <r>
    <x v="5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2"/>
  </r>
  <r>
    <x v="8"/>
  </r>
  <r>
    <x v="78"/>
  </r>
  <r>
    <x v="14"/>
  </r>
  <r>
    <x v="21"/>
  </r>
  <r>
    <x v="29"/>
  </r>
  <r>
    <x v="29"/>
  </r>
  <r>
    <x v="25"/>
  </r>
  <r>
    <x v="35"/>
  </r>
  <r>
    <x v="35"/>
  </r>
  <r>
    <x v="35"/>
  </r>
  <r>
    <x v="35"/>
  </r>
  <r>
    <x v="63"/>
  </r>
  <r>
    <x v="108"/>
  </r>
  <r>
    <x v="108"/>
  </r>
  <r>
    <x v="108"/>
  </r>
  <r>
    <x v="108"/>
  </r>
  <r>
    <x v="108"/>
  </r>
  <r>
    <x v="25"/>
  </r>
  <r>
    <x v="72"/>
  </r>
  <r>
    <x v="76"/>
  </r>
  <r>
    <x v="76"/>
  </r>
  <r>
    <x v="25"/>
  </r>
  <r>
    <x v="76"/>
  </r>
  <r>
    <x v="48"/>
  </r>
  <r>
    <x v="72"/>
  </r>
  <r>
    <x v="63"/>
  </r>
  <r>
    <x v="151"/>
  </r>
  <r>
    <x v="25"/>
  </r>
  <r>
    <x v="25"/>
  </r>
  <r>
    <x v="72"/>
  </r>
  <r>
    <x v="25"/>
  </r>
  <r>
    <x v="72"/>
  </r>
  <r>
    <x v="25"/>
  </r>
  <r>
    <x v="25"/>
  </r>
  <r>
    <x v="108"/>
  </r>
  <r>
    <x v="72"/>
  </r>
  <r>
    <x v="25"/>
  </r>
  <r>
    <x v="72"/>
  </r>
  <r>
    <x v="25"/>
  </r>
  <r>
    <x v="25"/>
  </r>
  <r>
    <x v="72"/>
  </r>
  <r>
    <x v="25"/>
  </r>
  <r>
    <x v="25"/>
  </r>
  <r>
    <x v="25"/>
  </r>
  <r>
    <x v="25"/>
  </r>
  <r>
    <x v="25"/>
  </r>
  <r>
    <x v="82"/>
  </r>
  <r>
    <x v="25"/>
  </r>
  <r>
    <x v="25"/>
  </r>
  <r>
    <x v="76"/>
  </r>
  <r>
    <x v="85"/>
  </r>
  <r>
    <x v="85"/>
  </r>
  <r>
    <x v="31"/>
  </r>
  <r>
    <x v="22"/>
  </r>
  <r>
    <x v="31"/>
  </r>
  <r>
    <x v="25"/>
  </r>
  <r>
    <x v="141"/>
  </r>
  <r>
    <x v="14"/>
  </r>
  <r>
    <x v="72"/>
  </r>
  <r>
    <x v="72"/>
  </r>
  <r>
    <x v="25"/>
  </r>
  <r>
    <x v="25"/>
  </r>
  <r>
    <x v="25"/>
  </r>
  <r>
    <x v="25"/>
  </r>
  <r>
    <x v="25"/>
  </r>
  <r>
    <x v="25"/>
  </r>
  <r>
    <x v="72"/>
  </r>
  <r>
    <x v="72"/>
  </r>
  <r>
    <x v="72"/>
  </r>
  <r>
    <x v="25"/>
  </r>
  <r>
    <x v="25"/>
  </r>
  <r>
    <x v="72"/>
  </r>
  <r>
    <x v="112"/>
  </r>
  <r>
    <x v="163"/>
  </r>
  <r>
    <x v="31"/>
  </r>
  <r>
    <x v="8"/>
  </r>
  <r>
    <x v="31"/>
  </r>
  <r>
    <x v="31"/>
  </r>
  <r>
    <x v="31"/>
  </r>
  <r>
    <x v="31"/>
  </r>
  <r>
    <x v="30"/>
  </r>
  <r>
    <x v="71"/>
  </r>
  <r>
    <x v="30"/>
  </r>
  <r>
    <x v="72"/>
  </r>
  <r>
    <x v="72"/>
  </r>
  <r>
    <x v="25"/>
  </r>
  <r>
    <x v="72"/>
  </r>
  <r>
    <x v="71"/>
  </r>
  <r>
    <x v="76"/>
  </r>
  <r>
    <x v="25"/>
  </r>
  <r>
    <x v="25"/>
  </r>
  <r>
    <x v="76"/>
  </r>
  <r>
    <x v="82"/>
  </r>
  <r>
    <x v="42"/>
  </r>
  <r>
    <x v="25"/>
  </r>
  <r>
    <x v="25"/>
  </r>
  <r>
    <x v="25"/>
  </r>
  <r>
    <x v="112"/>
  </r>
  <r>
    <x v="154"/>
  </r>
  <r>
    <x v="331"/>
  </r>
  <r>
    <x v="112"/>
  </r>
  <r>
    <x v="30"/>
  </r>
  <r>
    <x v="31"/>
  </r>
  <r>
    <x v="31"/>
  </r>
  <r>
    <x v="31"/>
  </r>
  <r>
    <x v="31"/>
  </r>
  <r>
    <x v="82"/>
  </r>
  <r>
    <x v="94"/>
  </r>
  <r>
    <x v="72"/>
  </r>
  <r>
    <x v="118"/>
  </r>
  <r>
    <x v="76"/>
  </r>
  <r>
    <x v="76"/>
  </r>
  <r>
    <x v="59"/>
  </r>
  <r>
    <x v="59"/>
  </r>
  <r>
    <x v="37"/>
  </r>
  <r>
    <x v="83"/>
  </r>
  <r>
    <x v="83"/>
  </r>
  <r>
    <x v="59"/>
  </r>
  <r>
    <x v="25"/>
  </r>
  <r>
    <x v="72"/>
  </r>
  <r>
    <x v="42"/>
  </r>
  <r>
    <x v="118"/>
  </r>
  <r>
    <x v="12"/>
  </r>
  <r>
    <x v="81"/>
  </r>
  <r>
    <x v="81"/>
  </r>
  <r>
    <x v="134"/>
  </r>
  <r>
    <x v="63"/>
  </r>
  <r>
    <x v="59"/>
  </r>
  <r>
    <x v="0"/>
  </r>
  <r>
    <x v="0"/>
  </r>
  <r>
    <x v="0"/>
  </r>
  <r>
    <x v="0"/>
  </r>
  <r>
    <x v="99"/>
  </r>
  <r>
    <x v="80"/>
  </r>
  <r>
    <x v="80"/>
  </r>
  <r>
    <x v="80"/>
  </r>
  <r>
    <x v="80"/>
  </r>
  <r>
    <x v="59"/>
  </r>
  <r>
    <x v="59"/>
  </r>
  <r>
    <x v="85"/>
  </r>
  <r>
    <x v="85"/>
  </r>
  <r>
    <x v="59"/>
  </r>
  <r>
    <x v="59"/>
  </r>
  <r>
    <x v="25"/>
  </r>
  <r>
    <x v="22"/>
  </r>
  <r>
    <x v="63"/>
  </r>
  <r>
    <x v="63"/>
  </r>
  <r>
    <x v="63"/>
  </r>
  <r>
    <x v="63"/>
  </r>
  <r>
    <x v="103"/>
  </r>
  <r>
    <x v="103"/>
  </r>
  <r>
    <x v="103"/>
  </r>
  <r>
    <x v="0"/>
  </r>
  <r>
    <x v="3"/>
  </r>
  <r>
    <x v="80"/>
  </r>
  <r>
    <x v="0"/>
  </r>
  <r>
    <x v="0"/>
  </r>
  <r>
    <x v="0"/>
  </r>
  <r>
    <x v="81"/>
  </r>
  <r>
    <x v="81"/>
  </r>
  <r>
    <x v="30"/>
  </r>
  <r>
    <x v="30"/>
  </r>
  <r>
    <x v="76"/>
  </r>
  <r>
    <x v="81"/>
  </r>
  <r>
    <x v="112"/>
  </r>
  <r>
    <x v="25"/>
  </r>
  <r>
    <x v="114"/>
  </r>
  <r>
    <x v="12"/>
  </r>
  <r>
    <x v="36"/>
  </r>
  <r>
    <x v="12"/>
  </r>
  <r>
    <x v="76"/>
  </r>
  <r>
    <x v="42"/>
  </r>
  <r>
    <x v="42"/>
  </r>
  <r>
    <x v="42"/>
  </r>
  <r>
    <x v="48"/>
  </r>
  <r>
    <x v="42"/>
  </r>
  <r>
    <x v="42"/>
  </r>
  <r>
    <x v="42"/>
  </r>
  <r>
    <x v="42"/>
  </r>
  <r>
    <x v="59"/>
  </r>
  <r>
    <x v="42"/>
  </r>
  <r>
    <x v="42"/>
  </r>
  <r>
    <x v="42"/>
  </r>
  <r>
    <x v="0"/>
  </r>
  <r>
    <x v="90"/>
  </r>
  <r>
    <x v="0"/>
  </r>
  <r>
    <x v="81"/>
  </r>
  <r>
    <x v="30"/>
  </r>
  <r>
    <x v="34"/>
  </r>
  <r>
    <x v="25"/>
  </r>
  <r>
    <x v="71"/>
  </r>
  <r>
    <x v="42"/>
  </r>
  <r>
    <x v="48"/>
  </r>
  <r>
    <x v="80"/>
  </r>
  <r>
    <x v="71"/>
  </r>
  <r>
    <x v="34"/>
  </r>
  <r>
    <x v="71"/>
  </r>
  <r>
    <x v="75"/>
  </r>
  <r>
    <x v="15"/>
  </r>
  <r>
    <x v="59"/>
  </r>
  <r>
    <x v="57"/>
  </r>
  <r>
    <x v="0"/>
  </r>
  <r>
    <x v="42"/>
  </r>
  <r>
    <x v="86"/>
  </r>
  <r>
    <x v="22"/>
  </r>
  <r>
    <x v="86"/>
  </r>
  <r>
    <x v="22"/>
  </r>
  <r>
    <x v="86"/>
  </r>
  <r>
    <x v="0"/>
  </r>
  <r>
    <x v="25"/>
  </r>
  <r>
    <x v="86"/>
  </r>
  <r>
    <x v="25"/>
  </r>
  <r>
    <x v="30"/>
  </r>
  <r>
    <x v="25"/>
  </r>
  <r>
    <x v="25"/>
  </r>
  <r>
    <x v="25"/>
  </r>
  <r>
    <x v="78"/>
  </r>
  <r>
    <x v="56"/>
  </r>
  <r>
    <x v="52"/>
  </r>
  <r>
    <x v="56"/>
  </r>
  <r>
    <x v="26"/>
  </r>
  <r>
    <x v="56"/>
  </r>
  <r>
    <x v="52"/>
  </r>
  <r>
    <x v="15"/>
  </r>
  <r>
    <x v="56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4"/>
  </r>
  <r>
    <x v="113"/>
  </r>
  <r>
    <x v="113"/>
  </r>
  <r>
    <x v="113"/>
  </r>
  <r>
    <x v="6"/>
  </r>
  <r>
    <x v="125"/>
  </r>
  <r>
    <x v="48"/>
  </r>
  <r>
    <x v="48"/>
  </r>
  <r>
    <x v="93"/>
  </r>
  <r>
    <x v="93"/>
  </r>
  <r>
    <x v="48"/>
  </r>
  <r>
    <x v="34"/>
  </r>
  <r>
    <x v="93"/>
  </r>
  <r>
    <x v="93"/>
  </r>
  <r>
    <x v="93"/>
  </r>
  <r>
    <x v="93"/>
  </r>
  <r>
    <x v="14"/>
  </r>
  <r>
    <x v="75"/>
  </r>
  <r>
    <x v="75"/>
  </r>
  <r>
    <x v="14"/>
  </r>
  <r>
    <x v="173"/>
  </r>
  <r>
    <x v="125"/>
  </r>
  <r>
    <x v="125"/>
  </r>
  <r>
    <x v="78"/>
  </r>
  <r>
    <x v="85"/>
  </r>
  <r>
    <x v="0"/>
  </r>
  <r>
    <x v="25"/>
  </r>
  <r>
    <x v="0"/>
  </r>
  <r>
    <x v="22"/>
  </r>
  <r>
    <x v="10"/>
  </r>
  <r>
    <x v="99"/>
  </r>
  <r>
    <x v="232"/>
  </r>
  <r>
    <x v="115"/>
  </r>
  <r>
    <x v="122"/>
  </r>
  <r>
    <x v="211"/>
  </r>
  <r>
    <x v="48"/>
  </r>
  <r>
    <x v="48"/>
  </r>
  <r>
    <x v="12"/>
  </r>
  <r>
    <x v="0"/>
  </r>
  <r>
    <x v="72"/>
  </r>
  <r>
    <x v="56"/>
  </r>
  <r>
    <x v="56"/>
  </r>
  <r>
    <x v="56"/>
  </r>
  <r>
    <x v="85"/>
  </r>
  <r>
    <x v="12"/>
  </r>
  <r>
    <x v="75"/>
  </r>
  <r>
    <x v="0"/>
  </r>
  <r>
    <x v="81"/>
  </r>
  <r>
    <x v="12"/>
  </r>
  <r>
    <x v="25"/>
  </r>
  <r>
    <x v="25"/>
  </r>
  <r>
    <x v="0"/>
  </r>
  <r>
    <x v="29"/>
  </r>
  <r>
    <x v="29"/>
  </r>
  <r>
    <x v="30"/>
  </r>
  <r>
    <x v="30"/>
  </r>
  <r>
    <x v="29"/>
  </r>
  <r>
    <x v="29"/>
  </r>
  <r>
    <x v="29"/>
  </r>
  <r>
    <x v="30"/>
  </r>
  <r>
    <x v="30"/>
  </r>
  <r>
    <x v="30"/>
  </r>
  <r>
    <x v="483"/>
  </r>
  <r>
    <x v="128"/>
  </r>
  <r>
    <x v="25"/>
  </r>
  <r>
    <x v="27"/>
  </r>
  <r>
    <x v="27"/>
  </r>
  <r>
    <x v="27"/>
  </r>
  <r>
    <x v="78"/>
  </r>
  <r>
    <x v="78"/>
  </r>
  <r>
    <x v="78"/>
  </r>
  <r>
    <x v="78"/>
  </r>
  <r>
    <x v="78"/>
  </r>
  <r>
    <x v="78"/>
  </r>
  <r>
    <x v="78"/>
  </r>
  <r>
    <x v="78"/>
  </r>
  <r>
    <x v="93"/>
  </r>
  <r>
    <x v="93"/>
  </r>
  <r>
    <x v="78"/>
  </r>
  <r>
    <x v="78"/>
  </r>
  <r>
    <x v="112"/>
  </r>
  <r>
    <x v="103"/>
  </r>
  <r>
    <x v="103"/>
  </r>
  <r>
    <x v="99"/>
  </r>
  <r>
    <x v="99"/>
  </r>
  <r>
    <x v="99"/>
  </r>
  <r>
    <x v="99"/>
  </r>
  <r>
    <x v="99"/>
  </r>
  <r>
    <x v="99"/>
  </r>
  <r>
    <x v="99"/>
  </r>
  <r>
    <x v="99"/>
  </r>
  <r>
    <x v="93"/>
  </r>
  <r>
    <x v="93"/>
  </r>
  <r>
    <x v="78"/>
  </r>
  <r>
    <x v="93"/>
  </r>
  <r>
    <x v="78"/>
  </r>
  <r>
    <x v="93"/>
  </r>
  <r>
    <x v="131"/>
  </r>
  <r>
    <x v="81"/>
  </r>
  <r>
    <x v="72"/>
  </r>
  <r>
    <x v="99"/>
  </r>
  <r>
    <x v="99"/>
  </r>
  <r>
    <x v="99"/>
  </r>
  <r>
    <x v="93"/>
  </r>
  <r>
    <x v="93"/>
  </r>
  <r>
    <x v="78"/>
  </r>
  <r>
    <x v="78"/>
  </r>
  <r>
    <x v="93"/>
  </r>
  <r>
    <x v="48"/>
  </r>
  <r>
    <x v="48"/>
  </r>
  <r>
    <x v="78"/>
  </r>
  <r>
    <x v="117"/>
  </r>
  <r>
    <x v="93"/>
  </r>
  <r>
    <x v="93"/>
  </r>
  <r>
    <x v="14"/>
  </r>
  <r>
    <x v="82"/>
  </r>
  <r>
    <x v="72"/>
  </r>
  <r>
    <x v="25"/>
  </r>
  <r>
    <x v="0"/>
  </r>
  <r>
    <x v="0"/>
  </r>
  <r>
    <x v="72"/>
  </r>
  <r>
    <x v="81"/>
  </r>
  <r>
    <x v="29"/>
  </r>
  <r>
    <x v="29"/>
  </r>
  <r>
    <x v="29"/>
  </r>
  <r>
    <x v="29"/>
  </r>
  <r>
    <x v="29"/>
  </r>
  <r>
    <x v="48"/>
  </r>
  <r>
    <x v="72"/>
  </r>
  <r>
    <x v="78"/>
  </r>
  <r>
    <x v="78"/>
  </r>
  <r>
    <x v="93"/>
  </r>
  <r>
    <x v="25"/>
  </r>
  <r>
    <x v="0"/>
  </r>
  <r>
    <x v="0"/>
  </r>
  <r>
    <x v="3"/>
  </r>
  <r>
    <x v="56"/>
  </r>
  <r>
    <x v="0"/>
  </r>
  <r>
    <x v="0"/>
  </r>
  <r>
    <x v="0"/>
  </r>
  <r>
    <x v="23"/>
  </r>
  <r>
    <x v="14"/>
  </r>
  <r>
    <x v="56"/>
  </r>
  <r>
    <x v="56"/>
  </r>
  <r>
    <x v="56"/>
  </r>
  <r>
    <x v="25"/>
  </r>
  <r>
    <x v="25"/>
  </r>
  <r>
    <x v="126"/>
  </r>
  <r>
    <x v="79"/>
  </r>
  <r>
    <x v="79"/>
  </r>
  <r>
    <x v="78"/>
  </r>
  <r>
    <x v="0"/>
  </r>
  <r>
    <x v="96"/>
  </r>
  <r>
    <x v="76"/>
  </r>
  <r>
    <x v="56"/>
  </r>
  <r>
    <x v="78"/>
  </r>
  <r>
    <x v="78"/>
  </r>
  <r>
    <x v="93"/>
  </r>
  <r>
    <x v="93"/>
  </r>
  <r>
    <x v="78"/>
  </r>
  <r>
    <x v="81"/>
  </r>
  <r>
    <x v="79"/>
  </r>
  <r>
    <x v="25"/>
  </r>
  <r>
    <x v="3"/>
  </r>
  <r>
    <x v="10"/>
  </r>
  <r>
    <x v="10"/>
  </r>
  <r>
    <x v="108"/>
  </r>
  <r>
    <x v="12"/>
  </r>
  <r>
    <x v="25"/>
  </r>
  <r>
    <x v="80"/>
  </r>
  <r>
    <x v="14"/>
  </r>
  <r>
    <x v="25"/>
  </r>
  <r>
    <x v="25"/>
  </r>
  <r>
    <x v="25"/>
  </r>
  <r>
    <x v="81"/>
  </r>
  <r>
    <x v="81"/>
  </r>
  <r>
    <x v="0"/>
  </r>
  <r>
    <x v="0"/>
  </r>
  <r>
    <x v="2"/>
  </r>
  <r>
    <x v="113"/>
  </r>
  <r>
    <x v="113"/>
  </r>
  <r>
    <x v="2"/>
  </r>
  <r>
    <x v="0"/>
  </r>
  <r>
    <x v="134"/>
  </r>
  <r>
    <x v="13"/>
  </r>
  <r>
    <x v="134"/>
  </r>
  <r>
    <x v="34"/>
  </r>
  <r>
    <x v="34"/>
  </r>
  <r>
    <x v="0"/>
  </r>
  <r>
    <x v="0"/>
  </r>
  <r>
    <x v="34"/>
  </r>
  <r>
    <x v="0"/>
  </r>
  <r>
    <x v="0"/>
  </r>
  <r>
    <x v="111"/>
  </r>
  <r>
    <x v="25"/>
  </r>
  <r>
    <x v="79"/>
  </r>
  <r>
    <x v="0"/>
  </r>
  <r>
    <x v="10"/>
  </r>
  <r>
    <x v="0"/>
  </r>
  <r>
    <x v="121"/>
  </r>
  <r>
    <x v="79"/>
  </r>
  <r>
    <x v="81"/>
  </r>
  <r>
    <x v="81"/>
  </r>
  <r>
    <x v="113"/>
  </r>
  <r>
    <x v="76"/>
  </r>
  <r>
    <x v="81"/>
  </r>
  <r>
    <x v="111"/>
  </r>
  <r>
    <x v="111"/>
  </r>
  <r>
    <x v="88"/>
  </r>
  <r>
    <x v="35"/>
  </r>
  <r>
    <x v="35"/>
  </r>
  <r>
    <x v="86"/>
  </r>
  <r>
    <x v="35"/>
  </r>
  <r>
    <x v="35"/>
  </r>
  <r>
    <x v="35"/>
  </r>
  <r>
    <x v="81"/>
  </r>
  <r>
    <x v="81"/>
  </r>
  <r>
    <x v="81"/>
  </r>
  <r>
    <x v="88"/>
  </r>
  <r>
    <x v="4"/>
  </r>
  <r>
    <x v="71"/>
  </r>
  <r>
    <x v="25"/>
  </r>
  <r>
    <x v="71"/>
  </r>
  <r>
    <x v="71"/>
  </r>
  <r>
    <x v="91"/>
  </r>
  <r>
    <x v="25"/>
  </r>
  <r>
    <x v="25"/>
  </r>
  <r>
    <x v="25"/>
  </r>
  <r>
    <x v="25"/>
  </r>
  <r>
    <x v="103"/>
  </r>
  <r>
    <x v="103"/>
  </r>
  <r>
    <x v="28"/>
  </r>
  <r>
    <x v="25"/>
  </r>
  <r>
    <x v="25"/>
  </r>
  <r>
    <x v="25"/>
  </r>
  <r>
    <x v="25"/>
  </r>
  <r>
    <x v="79"/>
  </r>
  <r>
    <x v="14"/>
  </r>
  <r>
    <x v="25"/>
  </r>
  <r>
    <x v="103"/>
  </r>
  <r>
    <x v="23"/>
  </r>
  <r>
    <x v="85"/>
  </r>
  <r>
    <x v="25"/>
  </r>
  <r>
    <x v="25"/>
  </r>
  <r>
    <x v="99"/>
  </r>
  <r>
    <x v="45"/>
  </r>
  <r>
    <x v="93"/>
  </r>
  <r>
    <x v="29"/>
  </r>
  <r>
    <x v="93"/>
  </r>
  <r>
    <x v="93"/>
  </r>
  <r>
    <x v="93"/>
  </r>
  <r>
    <x v="93"/>
  </r>
  <r>
    <x v="93"/>
  </r>
  <r>
    <x v="93"/>
  </r>
  <r>
    <x v="93"/>
  </r>
  <r>
    <x v="93"/>
  </r>
  <r>
    <x v="0"/>
  </r>
  <r>
    <x v="0"/>
  </r>
  <r>
    <x v="25"/>
  </r>
  <r>
    <x v="0"/>
  </r>
  <r>
    <x v="23"/>
  </r>
  <r>
    <x v="0"/>
  </r>
  <r>
    <x v="0"/>
  </r>
  <r>
    <x v="10"/>
  </r>
  <r>
    <x v="25"/>
  </r>
  <r>
    <x v="10"/>
  </r>
  <r>
    <x v="10"/>
  </r>
  <r>
    <x v="318"/>
  </r>
  <r>
    <x v="10"/>
  </r>
  <r>
    <x v="25"/>
  </r>
  <r>
    <x v="25"/>
  </r>
  <r>
    <x v="25"/>
  </r>
  <r>
    <x v="10"/>
  </r>
  <r>
    <x v="10"/>
  </r>
  <r>
    <x v="25"/>
  </r>
  <r>
    <x v="25"/>
  </r>
  <r>
    <x v="10"/>
  </r>
  <r>
    <x v="25"/>
  </r>
  <r>
    <x v="25"/>
  </r>
  <r>
    <x v="25"/>
  </r>
  <r>
    <x v="25"/>
  </r>
  <r>
    <x v="25"/>
  </r>
  <r>
    <x v="25"/>
  </r>
  <r>
    <x v="25"/>
  </r>
  <r>
    <x v="55"/>
  </r>
  <r>
    <x v="55"/>
  </r>
  <r>
    <x v="64"/>
  </r>
  <r>
    <x v="81"/>
  </r>
  <r>
    <x v="14"/>
  </r>
  <r>
    <x v="14"/>
  </r>
  <r>
    <x v="12"/>
  </r>
  <r>
    <x v="12"/>
  </r>
  <r>
    <x v="22"/>
  </r>
  <r>
    <x v="24"/>
  </r>
  <r>
    <x v="24"/>
  </r>
  <r>
    <x v="188"/>
  </r>
  <r>
    <x v="91"/>
  </r>
  <r>
    <x v="10"/>
  </r>
  <r>
    <x v="10"/>
  </r>
  <r>
    <x v="10"/>
  </r>
  <r>
    <x v="152"/>
  </r>
  <r>
    <x v="25"/>
  </r>
  <r>
    <x v="112"/>
  </r>
  <r>
    <x v="0"/>
  </r>
  <r>
    <x v="0"/>
  </r>
  <r>
    <x v="76"/>
  </r>
  <r>
    <x v="31"/>
  </r>
  <r>
    <x v="10"/>
  </r>
  <r>
    <x v="10"/>
  </r>
  <r>
    <x v="31"/>
  </r>
  <r>
    <x v="31"/>
  </r>
  <r>
    <x v="10"/>
  </r>
  <r>
    <x v="10"/>
  </r>
  <r>
    <x v="10"/>
  </r>
  <r>
    <x v="26"/>
  </r>
  <r>
    <x v="82"/>
  </r>
  <r>
    <x v="76"/>
  </r>
  <r>
    <x v="25"/>
  </r>
  <r>
    <x v="25"/>
  </r>
  <r>
    <x v="25"/>
  </r>
  <r>
    <x v="31"/>
  </r>
  <r>
    <x v="31"/>
  </r>
  <r>
    <x v="25"/>
  </r>
  <r>
    <x v="25"/>
  </r>
  <r>
    <x v="25"/>
  </r>
  <r>
    <x v="25"/>
  </r>
  <r>
    <x v="25"/>
  </r>
  <r>
    <x v="25"/>
  </r>
  <r>
    <x v="25"/>
  </r>
  <r>
    <x v="25"/>
  </r>
  <r>
    <x v="0"/>
  </r>
  <r>
    <x v="30"/>
  </r>
  <r>
    <x v="108"/>
  </r>
  <r>
    <x v="108"/>
  </r>
  <r>
    <x v="25"/>
  </r>
  <r>
    <x v="25"/>
  </r>
  <r>
    <x v="25"/>
  </r>
  <r>
    <x v="79"/>
  </r>
  <r>
    <x v="31"/>
  </r>
  <r>
    <x v="31"/>
  </r>
  <r>
    <x v="0"/>
  </r>
  <r>
    <x v="63"/>
  </r>
  <r>
    <x v="17"/>
  </r>
  <r>
    <x v="25"/>
  </r>
  <r>
    <x v="25"/>
  </r>
  <r>
    <x v="133"/>
  </r>
  <r>
    <x v="25"/>
  </r>
  <r>
    <x v="79"/>
  </r>
  <r>
    <x v="25"/>
  </r>
  <r>
    <x v="15"/>
  </r>
  <r>
    <x v="25"/>
  </r>
  <r>
    <x v="25"/>
  </r>
  <r>
    <x v="91"/>
  </r>
  <r>
    <x v="91"/>
  </r>
  <r>
    <x v="25"/>
  </r>
  <r>
    <x v="25"/>
  </r>
  <r>
    <x v="25"/>
  </r>
  <r>
    <x v="25"/>
  </r>
  <r>
    <x v="25"/>
  </r>
  <r>
    <x v="25"/>
  </r>
  <r>
    <x v="93"/>
  </r>
  <r>
    <x v="25"/>
  </r>
  <r>
    <x v="25"/>
  </r>
  <r>
    <x v="25"/>
  </r>
  <r>
    <x v="0"/>
  </r>
  <r>
    <x v="25"/>
  </r>
  <r>
    <x v="0"/>
  </r>
  <r>
    <x v="25"/>
  </r>
  <r>
    <x v="25"/>
  </r>
  <r>
    <x v="25"/>
  </r>
  <r>
    <x v="25"/>
  </r>
  <r>
    <x v="76"/>
  </r>
  <r>
    <x v="111"/>
  </r>
  <r>
    <x v="0"/>
  </r>
  <r>
    <x v="0"/>
  </r>
  <r>
    <x v="25"/>
  </r>
  <r>
    <x v="94"/>
  </r>
  <r>
    <x v="76"/>
  </r>
  <r>
    <x v="0"/>
  </r>
  <r>
    <x v="34"/>
  </r>
  <r>
    <x v="82"/>
  </r>
  <r>
    <x v="25"/>
  </r>
  <r>
    <x v="111"/>
  </r>
  <r>
    <x v="25"/>
  </r>
  <r>
    <x v="25"/>
  </r>
  <r>
    <x v="25"/>
  </r>
  <r>
    <x v="0"/>
  </r>
  <r>
    <x v="0"/>
  </r>
  <r>
    <x v="25"/>
  </r>
  <r>
    <x v="25"/>
  </r>
  <r>
    <x v="25"/>
  </r>
  <r>
    <x v="25"/>
  </r>
  <r>
    <x v="91"/>
  </r>
  <r>
    <x v="91"/>
  </r>
  <r>
    <x v="25"/>
  </r>
  <r>
    <x v="25"/>
  </r>
  <r>
    <x v="25"/>
  </r>
  <r>
    <x v="25"/>
  </r>
  <r>
    <x v="25"/>
  </r>
  <r>
    <x v="25"/>
  </r>
  <r>
    <x v="103"/>
  </r>
  <r>
    <x v="63"/>
  </r>
  <r>
    <x v="25"/>
  </r>
  <r>
    <x v="25"/>
  </r>
  <r>
    <x v="25"/>
  </r>
  <r>
    <x v="25"/>
  </r>
  <r>
    <x v="25"/>
  </r>
  <r>
    <x v="0"/>
  </r>
  <r>
    <x v="25"/>
  </r>
  <r>
    <x v="25"/>
  </r>
  <r>
    <x v="25"/>
  </r>
  <r>
    <x v="25"/>
  </r>
  <r>
    <x v="78"/>
  </r>
  <r>
    <x v="25"/>
  </r>
  <r>
    <x v="103"/>
  </r>
  <r>
    <x v="71"/>
  </r>
  <r>
    <x v="25"/>
  </r>
  <r>
    <x v="25"/>
  </r>
  <r>
    <x v="76"/>
  </r>
  <r>
    <x v="76"/>
  </r>
  <r>
    <x v="76"/>
  </r>
  <r>
    <x v="76"/>
  </r>
  <r>
    <x v="2"/>
  </r>
  <r>
    <x v="79"/>
  </r>
  <r>
    <x v="79"/>
  </r>
  <r>
    <x v="93"/>
  </r>
  <r>
    <x v="93"/>
  </r>
  <r>
    <x v="93"/>
  </r>
  <r>
    <x v="93"/>
  </r>
  <r>
    <x v="91"/>
  </r>
  <r>
    <x v="91"/>
  </r>
  <r>
    <x v="91"/>
  </r>
  <r>
    <x v="25"/>
  </r>
  <r>
    <x v="30"/>
  </r>
  <r>
    <x v="25"/>
  </r>
  <r>
    <x v="25"/>
  </r>
  <r>
    <x v="25"/>
  </r>
  <r>
    <x v="25"/>
  </r>
  <r>
    <x v="25"/>
  </r>
  <r>
    <x v="0"/>
  </r>
  <r>
    <x v="25"/>
  </r>
  <r>
    <x v="25"/>
  </r>
  <r>
    <x v="25"/>
  </r>
  <r>
    <x v="91"/>
  </r>
  <r>
    <x v="91"/>
  </r>
  <r>
    <x v="48"/>
  </r>
  <r>
    <x v="48"/>
  </r>
  <r>
    <x v="48"/>
  </r>
  <r>
    <x v="79"/>
  </r>
  <r>
    <x v="48"/>
  </r>
  <r>
    <x v="48"/>
  </r>
  <r>
    <x v="48"/>
  </r>
  <r>
    <x v="48"/>
  </r>
  <r>
    <x v="48"/>
  </r>
  <r>
    <x v="48"/>
  </r>
  <r>
    <x v="79"/>
  </r>
  <r>
    <x v="48"/>
  </r>
  <r>
    <x v="78"/>
  </r>
  <r>
    <x v="78"/>
  </r>
  <r>
    <x v="78"/>
  </r>
  <r>
    <x v="78"/>
  </r>
  <r>
    <x v="78"/>
  </r>
  <r>
    <x v="76"/>
  </r>
  <r>
    <x v="78"/>
  </r>
  <r>
    <x v="78"/>
  </r>
  <r>
    <x v="78"/>
  </r>
  <r>
    <x v="78"/>
  </r>
  <r>
    <x v="78"/>
  </r>
  <r>
    <x v="93"/>
  </r>
  <r>
    <x v="76"/>
  </r>
  <r>
    <x v="48"/>
  </r>
  <r>
    <x v="83"/>
  </r>
  <r>
    <x v="83"/>
  </r>
  <r>
    <x v="78"/>
  </r>
  <r>
    <x v="93"/>
  </r>
  <r>
    <x v="29"/>
  </r>
  <r>
    <x v="82"/>
  </r>
  <r>
    <x v="29"/>
  </r>
  <r>
    <x v="42"/>
  </r>
  <r>
    <x v="90"/>
  </r>
  <r>
    <x v="90"/>
  </r>
  <r>
    <x v="82"/>
  </r>
  <r>
    <x v="62"/>
  </r>
  <r>
    <x v="62"/>
  </r>
  <r>
    <x v="216"/>
  </r>
  <r>
    <x v="25"/>
  </r>
  <r>
    <x v="31"/>
  </r>
  <r>
    <x v="48"/>
  </r>
  <r>
    <x v="31"/>
  </r>
  <r>
    <x v="20"/>
  </r>
  <r>
    <x v="48"/>
  </r>
  <r>
    <x v="102"/>
  </r>
  <r>
    <x v="117"/>
  </r>
  <r>
    <x v="25"/>
  </r>
  <r>
    <x v="25"/>
  </r>
  <r>
    <x v="117"/>
  </r>
  <r>
    <x v="76"/>
  </r>
  <r>
    <x v="25"/>
  </r>
  <r>
    <x v="25"/>
  </r>
  <r>
    <x v="25"/>
  </r>
  <r>
    <x v="25"/>
  </r>
  <r>
    <x v="25"/>
  </r>
  <r>
    <x v="25"/>
  </r>
  <r>
    <x v="25"/>
  </r>
  <r>
    <x v="199"/>
  </r>
  <r>
    <x v="86"/>
  </r>
  <r>
    <x v="121"/>
  </r>
  <r>
    <x v="85"/>
  </r>
  <r>
    <x v="25"/>
  </r>
  <r>
    <x v="48"/>
  </r>
  <r>
    <x v="81"/>
  </r>
  <r>
    <x v="25"/>
  </r>
  <r>
    <x v="25"/>
  </r>
  <r>
    <x v="2"/>
  </r>
  <r>
    <x v="91"/>
  </r>
  <r>
    <x v="25"/>
  </r>
  <r>
    <x v="82"/>
  </r>
  <r>
    <x v="48"/>
  </r>
  <r>
    <x v="25"/>
  </r>
  <r>
    <x v="25"/>
  </r>
  <r>
    <x v="48"/>
  </r>
  <r>
    <x v="48"/>
  </r>
  <r>
    <x v="81"/>
  </r>
  <r>
    <x v="81"/>
  </r>
  <r>
    <x v="81"/>
  </r>
  <r>
    <x v="81"/>
  </r>
  <r>
    <x v="81"/>
  </r>
  <r>
    <x v="81"/>
  </r>
  <r>
    <x v="81"/>
  </r>
  <r>
    <x v="7"/>
  </r>
  <r>
    <x v="100"/>
  </r>
  <r>
    <x v="100"/>
  </r>
  <r>
    <x v="25"/>
  </r>
  <r>
    <x v="25"/>
  </r>
  <r>
    <x v="76"/>
  </r>
  <r>
    <x v="31"/>
  </r>
  <r>
    <x v="91"/>
  </r>
  <r>
    <x v="25"/>
  </r>
  <r>
    <x v="72"/>
  </r>
  <r>
    <x v="25"/>
  </r>
  <r>
    <x v="48"/>
  </r>
  <r>
    <x v="76"/>
  </r>
  <r>
    <x v="25"/>
  </r>
  <r>
    <x v="72"/>
  </r>
  <r>
    <x v="72"/>
  </r>
  <r>
    <x v="76"/>
  </r>
  <r>
    <x v="25"/>
  </r>
  <r>
    <x v="25"/>
  </r>
  <r>
    <x v="25"/>
  </r>
  <r>
    <x v="72"/>
  </r>
  <r>
    <x v="25"/>
  </r>
  <r>
    <x v="104"/>
  </r>
  <r>
    <x v="102"/>
  </r>
  <r>
    <x v="76"/>
  </r>
  <r>
    <x v="72"/>
  </r>
  <r>
    <x v="72"/>
  </r>
  <r>
    <x v="25"/>
  </r>
  <r>
    <x v="102"/>
  </r>
  <r>
    <x v="25"/>
  </r>
  <r>
    <x v="219"/>
  </r>
  <r>
    <x v="219"/>
  </r>
  <r>
    <x v="0"/>
  </r>
  <r>
    <x v="0"/>
  </r>
  <r>
    <x v="0"/>
  </r>
  <r>
    <x v="0"/>
  </r>
  <r>
    <x v="0"/>
  </r>
  <r>
    <x v="0"/>
  </r>
  <r>
    <x v="78"/>
  </r>
  <r>
    <x v="77"/>
  </r>
  <r>
    <x v="22"/>
  </r>
  <r>
    <x v="0"/>
  </r>
  <r>
    <x v="99"/>
  </r>
  <r>
    <x v="99"/>
  </r>
  <r>
    <x v="0"/>
  </r>
  <r>
    <x v="79"/>
  </r>
  <r>
    <x v="17"/>
  </r>
  <r>
    <x v="79"/>
  </r>
  <r>
    <x v="79"/>
  </r>
  <r>
    <x v="79"/>
  </r>
  <r>
    <x v="79"/>
  </r>
  <r>
    <x v="45"/>
  </r>
  <r>
    <x v="55"/>
  </r>
  <r>
    <x v="76"/>
  </r>
  <r>
    <x v="76"/>
  </r>
  <r>
    <x v="76"/>
  </r>
  <r>
    <x v="85"/>
  </r>
  <r>
    <x v="76"/>
  </r>
  <r>
    <x v="76"/>
  </r>
  <r>
    <x v="76"/>
  </r>
  <r>
    <x v="90"/>
  </r>
  <r>
    <x v="76"/>
  </r>
  <r>
    <x v="85"/>
  </r>
  <r>
    <x v="72"/>
  </r>
  <r>
    <x v="0"/>
  </r>
  <r>
    <x v="22"/>
  </r>
  <r>
    <x v="48"/>
  </r>
  <r>
    <x v="103"/>
  </r>
  <r>
    <x v="22"/>
  </r>
  <r>
    <x v="22"/>
  </r>
  <r>
    <x v="90"/>
  </r>
  <r>
    <x v="90"/>
  </r>
  <r>
    <x v="27"/>
  </r>
  <r>
    <x v="22"/>
  </r>
  <r>
    <x v="48"/>
  </r>
  <r>
    <x v="48"/>
  </r>
  <r>
    <x v="48"/>
  </r>
  <r>
    <x v="25"/>
  </r>
  <r>
    <x v="25"/>
  </r>
  <r>
    <x v="102"/>
  </r>
  <r>
    <x v="76"/>
  </r>
  <r>
    <x v="25"/>
  </r>
  <r>
    <x v="72"/>
  </r>
  <r>
    <x v="25"/>
  </r>
  <r>
    <x v="102"/>
  </r>
  <r>
    <x v="72"/>
  </r>
  <r>
    <x v="232"/>
  </r>
  <r>
    <x v="25"/>
  </r>
  <r>
    <x v="25"/>
  </r>
  <r>
    <x v="78"/>
  </r>
  <r>
    <x v="25"/>
  </r>
  <r>
    <x v="25"/>
  </r>
  <r>
    <x v="25"/>
  </r>
  <r>
    <x v="82"/>
  </r>
  <r>
    <x v="102"/>
  </r>
  <r>
    <x v="25"/>
  </r>
  <r>
    <x v="25"/>
  </r>
  <r>
    <x v="76"/>
  </r>
  <r>
    <x v="76"/>
  </r>
  <r>
    <x v="91"/>
  </r>
  <r>
    <x v="81"/>
  </r>
  <r>
    <x v="81"/>
  </r>
  <r>
    <x v="10"/>
  </r>
  <r>
    <x v="10"/>
  </r>
  <r>
    <x v="10"/>
  </r>
  <r>
    <x v="10"/>
  </r>
  <r>
    <x v="10"/>
  </r>
  <r>
    <x v="10"/>
  </r>
  <r>
    <x v="9"/>
  </r>
  <r>
    <x v="14"/>
  </r>
  <r>
    <x v="45"/>
  </r>
  <r>
    <x v="76"/>
  </r>
  <r>
    <x v="157"/>
  </r>
  <r>
    <x v="130"/>
  </r>
  <r>
    <x v="48"/>
  </r>
  <r>
    <x v="45"/>
  </r>
  <r>
    <x v="22"/>
  </r>
  <r>
    <x v="41"/>
  </r>
  <r>
    <x v="16"/>
  </r>
  <r>
    <x v="30"/>
  </r>
  <r>
    <x v="16"/>
  </r>
  <r>
    <x v="30"/>
  </r>
  <r>
    <x v="14"/>
  </r>
  <r>
    <x v="30"/>
  </r>
  <r>
    <x v="17"/>
  </r>
  <r>
    <x v="24"/>
  </r>
  <r>
    <x v="24"/>
  </r>
  <r>
    <x v="21"/>
  </r>
  <r>
    <x v="14"/>
  </r>
  <r>
    <x v="14"/>
  </r>
  <r>
    <x v="14"/>
  </r>
  <r>
    <x v="22"/>
  </r>
  <r>
    <x v="22"/>
  </r>
  <r>
    <x v="46"/>
  </r>
  <r>
    <x v="131"/>
  </r>
  <r>
    <x v="131"/>
  </r>
  <r>
    <x v="131"/>
  </r>
  <r>
    <x v="16"/>
  </r>
  <r>
    <x v="9"/>
  </r>
  <r>
    <x v="17"/>
  </r>
  <r>
    <x v="17"/>
  </r>
  <r>
    <x v="45"/>
  </r>
  <r>
    <x v="62"/>
  </r>
  <r>
    <x v="62"/>
  </r>
  <r>
    <x v="0"/>
  </r>
  <r>
    <x v="28"/>
  </r>
  <r>
    <x v="28"/>
  </r>
  <r>
    <x v="48"/>
  </r>
  <r>
    <x v="22"/>
  </r>
  <r>
    <x v="12"/>
  </r>
  <r>
    <x v="31"/>
  </r>
  <r>
    <x v="22"/>
  </r>
  <r>
    <x v="10"/>
  </r>
  <r>
    <x v="10"/>
  </r>
  <r>
    <x v="12"/>
  </r>
  <r>
    <x v="12"/>
  </r>
  <r>
    <x v="22"/>
  </r>
  <r>
    <x v="28"/>
  </r>
  <r>
    <x v="131"/>
  </r>
  <r>
    <x v="40"/>
  </r>
  <r>
    <x v="16"/>
  </r>
  <r>
    <x v="37"/>
  </r>
  <r>
    <x v="0"/>
  </r>
  <r>
    <x v="0"/>
  </r>
  <r>
    <x v="0"/>
  </r>
  <r>
    <x v="22"/>
  </r>
  <r>
    <x v="22"/>
  </r>
  <r>
    <x v="14"/>
  </r>
  <r>
    <x v="14"/>
  </r>
  <r>
    <x v="0"/>
  </r>
  <r>
    <x v="17"/>
  </r>
  <r>
    <x v="16"/>
  </r>
  <r>
    <x v="10"/>
  </r>
  <r>
    <x v="24"/>
  </r>
  <r>
    <x v="10"/>
  </r>
  <r>
    <x v="48"/>
  </r>
  <r>
    <x v="8"/>
  </r>
  <r>
    <x v="22"/>
  </r>
  <r>
    <x v="102"/>
  </r>
  <r>
    <x v="7"/>
  </r>
  <r>
    <x v="28"/>
  </r>
  <r>
    <x v="224"/>
  </r>
  <r>
    <x v="0"/>
  </r>
  <r>
    <x v="40"/>
  </r>
  <r>
    <x v="30"/>
  </r>
  <r>
    <x v="30"/>
  </r>
  <r>
    <x v="48"/>
  </r>
  <r>
    <x v="17"/>
  </r>
  <r>
    <x v="17"/>
  </r>
  <r>
    <x v="14"/>
  </r>
  <r>
    <x v="14"/>
  </r>
  <r>
    <x v="28"/>
  </r>
  <r>
    <x v="130"/>
  </r>
  <r>
    <x v="130"/>
  </r>
  <r>
    <x v="130"/>
  </r>
  <r>
    <x v="16"/>
  </r>
  <r>
    <x v="60"/>
  </r>
  <r>
    <x v="45"/>
  </r>
  <r>
    <x v="48"/>
  </r>
  <r>
    <x v="48"/>
  </r>
  <r>
    <x v="14"/>
  </r>
  <r>
    <x v="143"/>
  </r>
  <r>
    <x v="16"/>
  </r>
  <r>
    <x v="131"/>
  </r>
  <r>
    <x v="131"/>
  </r>
  <r>
    <x v="22"/>
  </r>
  <r>
    <x v="48"/>
  </r>
  <r>
    <x v="48"/>
  </r>
  <r>
    <x v="16"/>
  </r>
  <r>
    <x v="62"/>
  </r>
  <r>
    <x v="62"/>
  </r>
  <r>
    <x v="14"/>
  </r>
  <r>
    <x v="14"/>
  </r>
  <r>
    <x v="32"/>
  </r>
  <r>
    <x v="48"/>
  </r>
  <r>
    <x v="130"/>
  </r>
  <r>
    <x v="130"/>
  </r>
  <r>
    <x v="26"/>
  </r>
  <r>
    <x v="14"/>
  </r>
  <r>
    <x v="14"/>
  </r>
  <r>
    <x v="14"/>
  </r>
  <r>
    <x v="14"/>
  </r>
  <r>
    <x v="14"/>
  </r>
  <r>
    <x v="16"/>
  </r>
  <r>
    <x v="45"/>
  </r>
  <r>
    <x v="64"/>
  </r>
  <r>
    <x v="64"/>
  </r>
  <r>
    <x v="64"/>
  </r>
  <r>
    <x v="64"/>
  </r>
  <r>
    <x v="130"/>
  </r>
  <r>
    <x v="30"/>
  </r>
  <r>
    <x v="22"/>
  </r>
  <r>
    <x v="45"/>
  </r>
  <r>
    <x v="45"/>
  </r>
  <r>
    <x v="17"/>
  </r>
  <r>
    <x v="46"/>
  </r>
  <r>
    <x v="46"/>
  </r>
  <r>
    <x v="37"/>
  </r>
  <r>
    <x v="37"/>
  </r>
  <r>
    <x v="37"/>
  </r>
  <r>
    <x v="17"/>
  </r>
  <r>
    <x v="17"/>
  </r>
  <r>
    <x v="17"/>
  </r>
  <r>
    <x v="9"/>
  </r>
  <r>
    <x v="28"/>
  </r>
  <r>
    <x v="28"/>
  </r>
  <r>
    <x v="28"/>
  </r>
  <r>
    <x v="28"/>
  </r>
  <r>
    <x v="46"/>
  </r>
  <r>
    <x v="46"/>
  </r>
  <r>
    <x v="62"/>
  </r>
  <r>
    <x v="62"/>
  </r>
  <r>
    <x v="7"/>
  </r>
  <r>
    <x v="10"/>
  </r>
  <r>
    <x v="30"/>
  </r>
  <r>
    <x v="30"/>
  </r>
  <r>
    <x v="2"/>
  </r>
  <r>
    <x v="0"/>
  </r>
  <r>
    <x v="76"/>
  </r>
  <r>
    <x v="37"/>
  </r>
  <r>
    <x v="62"/>
  </r>
  <r>
    <x v="64"/>
  </r>
  <r>
    <x v="64"/>
  </r>
  <r>
    <x v="22"/>
  </r>
  <r>
    <x v="22"/>
  </r>
  <r>
    <x v="130"/>
  </r>
  <r>
    <x v="10"/>
  </r>
  <r>
    <x v="16"/>
  </r>
  <r>
    <x v="14"/>
  </r>
  <r>
    <x v="81"/>
  </r>
  <r>
    <x v="34"/>
  </r>
  <r>
    <x v="25"/>
  </r>
  <r>
    <x v="93"/>
  </r>
  <r>
    <x v="29"/>
  </r>
  <r>
    <x v="93"/>
  </r>
  <r>
    <x v="93"/>
  </r>
  <r>
    <x v="10"/>
  </r>
  <r>
    <x v="76"/>
  </r>
  <r>
    <x v="25"/>
  </r>
  <r>
    <x v="76"/>
  </r>
  <r>
    <x v="0"/>
  </r>
  <r>
    <x v="93"/>
  </r>
  <r>
    <x v="12"/>
  </r>
  <r>
    <x v="93"/>
  </r>
  <r>
    <x v="93"/>
  </r>
  <r>
    <x v="12"/>
  </r>
  <r>
    <x v="29"/>
  </r>
  <r>
    <x v="29"/>
  </r>
  <r>
    <x v="29"/>
  </r>
  <r>
    <x v="3"/>
  </r>
  <r>
    <x v="25"/>
  </r>
  <r>
    <x v="76"/>
  </r>
  <r>
    <x v="76"/>
  </r>
  <r>
    <x v="76"/>
  </r>
  <r>
    <x v="231"/>
  </r>
  <r>
    <x v="76"/>
  </r>
  <r>
    <x v="76"/>
  </r>
  <r>
    <x v="76"/>
  </r>
  <r>
    <x v="93"/>
  </r>
  <r>
    <x v="76"/>
  </r>
  <r>
    <x v="76"/>
  </r>
  <r>
    <x v="82"/>
  </r>
  <r>
    <x v="76"/>
  </r>
  <r>
    <x v="76"/>
  </r>
  <r>
    <x v="142"/>
  </r>
  <r>
    <x v="76"/>
  </r>
  <r>
    <x v="76"/>
  </r>
  <r>
    <x v="76"/>
  </r>
  <r>
    <x v="76"/>
  </r>
  <r>
    <x v="25"/>
  </r>
  <r>
    <x v="25"/>
  </r>
  <r>
    <x v="76"/>
  </r>
  <r>
    <x v="25"/>
  </r>
  <r>
    <x v="25"/>
  </r>
  <r>
    <x v="94"/>
  </r>
  <r>
    <x v="76"/>
  </r>
  <r>
    <x v="12"/>
  </r>
  <r>
    <x v="76"/>
  </r>
  <r>
    <x v="76"/>
  </r>
  <r>
    <x v="76"/>
  </r>
  <r>
    <x v="78"/>
  </r>
  <r>
    <x v="76"/>
  </r>
  <r>
    <x v="76"/>
  </r>
  <r>
    <x v="93"/>
  </r>
  <r>
    <x v="93"/>
  </r>
  <r>
    <x v="93"/>
  </r>
  <r>
    <x v="78"/>
  </r>
  <r>
    <x v="78"/>
  </r>
  <r>
    <x v="76"/>
  </r>
  <r>
    <x v="78"/>
  </r>
  <r>
    <x v="29"/>
  </r>
  <r>
    <x v="48"/>
  </r>
  <r>
    <x v="115"/>
  </r>
  <r>
    <x v="115"/>
  </r>
  <r>
    <x v="115"/>
  </r>
  <r>
    <x v="81"/>
  </r>
  <r>
    <x v="81"/>
  </r>
  <r>
    <x v="81"/>
  </r>
  <r>
    <x v="48"/>
  </r>
  <r>
    <x v="48"/>
  </r>
  <r>
    <x v="48"/>
  </r>
  <r>
    <x v="48"/>
  </r>
  <r>
    <x v="112"/>
  </r>
  <r>
    <x v="0"/>
  </r>
  <r>
    <x v="0"/>
  </r>
  <r>
    <x v="0"/>
  </r>
  <r>
    <x v="117"/>
  </r>
  <r>
    <x v="14"/>
  </r>
  <r>
    <x v="14"/>
  </r>
  <r>
    <x v="31"/>
  </r>
  <r>
    <x v="14"/>
  </r>
  <r>
    <x v="31"/>
  </r>
  <r>
    <x v="3"/>
  </r>
  <r>
    <x v="37"/>
  </r>
  <r>
    <x v="48"/>
  </r>
  <r>
    <x v="114"/>
  </r>
  <r>
    <x v="42"/>
  </r>
  <r>
    <x v="71"/>
  </r>
  <r>
    <x v="130"/>
  </r>
  <r>
    <x v="96"/>
  </r>
  <r>
    <x v="105"/>
  </r>
  <r>
    <x v="25"/>
  </r>
  <r>
    <x v="25"/>
  </r>
  <r>
    <x v="25"/>
  </r>
  <r>
    <x v="25"/>
  </r>
  <r>
    <x v="25"/>
  </r>
  <r>
    <x v="25"/>
  </r>
  <r>
    <x v="42"/>
  </r>
  <r>
    <x v="91"/>
  </r>
  <r>
    <x v="25"/>
  </r>
  <r>
    <x v="25"/>
  </r>
  <r>
    <x v="410"/>
  </r>
  <r>
    <x v="410"/>
  </r>
  <r>
    <x v="25"/>
  </r>
  <r>
    <x v="25"/>
  </r>
  <r>
    <x v="25"/>
  </r>
  <r>
    <x v="25"/>
  </r>
  <r>
    <x v="25"/>
  </r>
  <r>
    <x v="25"/>
  </r>
  <r>
    <x v="25"/>
  </r>
  <r>
    <x v="25"/>
  </r>
  <r>
    <x v="12"/>
  </r>
  <r>
    <x v="12"/>
  </r>
  <r>
    <x v="12"/>
  </r>
  <r>
    <x v="12"/>
  </r>
  <r>
    <x v="81"/>
  </r>
  <r>
    <x v="23"/>
  </r>
  <r>
    <x v="12"/>
  </r>
  <r>
    <x v="23"/>
  </r>
  <r>
    <x v="25"/>
  </r>
  <r>
    <x v="12"/>
  </r>
  <r>
    <x v="12"/>
  </r>
  <r>
    <x v="23"/>
  </r>
  <r>
    <x v="25"/>
  </r>
  <r>
    <x v="23"/>
  </r>
  <r>
    <x v="23"/>
  </r>
  <r>
    <x v="81"/>
  </r>
  <r>
    <x v="99"/>
  </r>
  <r>
    <x v="99"/>
  </r>
  <r>
    <x v="99"/>
  </r>
  <r>
    <x v="99"/>
  </r>
  <r>
    <x v="99"/>
  </r>
  <r>
    <x v="99"/>
  </r>
  <r>
    <x v="99"/>
  </r>
  <r>
    <x v="244"/>
  </r>
  <r>
    <x v="244"/>
  </r>
  <r>
    <x v="244"/>
  </r>
  <r>
    <x v="21"/>
  </r>
  <r>
    <x v="42"/>
  </r>
  <r>
    <x v="23"/>
  </r>
  <r>
    <x v="25"/>
  </r>
  <r>
    <x v="23"/>
  </r>
  <r>
    <x v="23"/>
  </r>
  <r>
    <x v="25"/>
  </r>
  <r>
    <x v="23"/>
  </r>
  <r>
    <x v="25"/>
  </r>
  <r>
    <x v="25"/>
  </r>
  <r>
    <x v="94"/>
  </r>
  <r>
    <x v="81"/>
  </r>
  <r>
    <x v="81"/>
  </r>
  <r>
    <x v="21"/>
  </r>
  <r>
    <x v="12"/>
  </r>
  <r>
    <x v="29"/>
  </r>
  <r>
    <x v="29"/>
  </r>
  <r>
    <x v="29"/>
  </r>
  <r>
    <x v="104"/>
  </r>
  <r>
    <x v="104"/>
  </r>
  <r>
    <x v="23"/>
  </r>
  <r>
    <x v="23"/>
  </r>
  <r>
    <x v="23"/>
  </r>
  <r>
    <x v="23"/>
  </r>
  <r>
    <x v="29"/>
  </r>
  <r>
    <x v="21"/>
  </r>
  <r>
    <x v="21"/>
  </r>
  <r>
    <x v="21"/>
  </r>
  <r>
    <x v="21"/>
  </r>
  <r>
    <x v="193"/>
  </r>
  <r>
    <x v="21"/>
  </r>
  <r>
    <x v="21"/>
  </r>
  <r>
    <x v="21"/>
  </r>
  <r>
    <x v="177"/>
  </r>
  <r>
    <x v="9"/>
  </r>
  <r>
    <x v="42"/>
  </r>
  <r>
    <x v="21"/>
  </r>
  <r>
    <x v="21"/>
  </r>
  <r>
    <x v="23"/>
  </r>
  <r>
    <x v="99"/>
  </r>
  <r>
    <x v="99"/>
  </r>
  <r>
    <x v="29"/>
  </r>
  <r>
    <x v="29"/>
  </r>
  <r>
    <x v="29"/>
  </r>
  <r>
    <x v="29"/>
  </r>
  <r>
    <x v="29"/>
  </r>
  <r>
    <x v="29"/>
  </r>
  <r>
    <x v="29"/>
  </r>
  <r>
    <x v="99"/>
  </r>
  <r>
    <x v="28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4"/>
  </r>
  <r>
    <x v="4"/>
  </r>
  <r>
    <x v="4"/>
  </r>
  <r>
    <x v="117"/>
  </r>
  <r>
    <x v="4"/>
  </r>
  <r>
    <x v="82"/>
  </r>
  <r>
    <x v="126"/>
  </r>
  <r>
    <x v="23"/>
  </r>
  <r>
    <x v="93"/>
  </r>
  <r>
    <x v="75"/>
  </r>
  <r>
    <x v="2"/>
  </r>
  <r>
    <x v="23"/>
  </r>
  <r>
    <x v="25"/>
  </r>
  <r>
    <x v="75"/>
  </r>
  <r>
    <x v="199"/>
  </r>
  <r>
    <x v="76"/>
  </r>
  <r>
    <x v="75"/>
  </r>
  <r>
    <x v="199"/>
  </r>
  <r>
    <x v="25"/>
  </r>
  <r>
    <x v="25"/>
  </r>
  <r>
    <x v="76"/>
  </r>
  <r>
    <x v="25"/>
  </r>
  <r>
    <x v="76"/>
  </r>
  <r>
    <x v="76"/>
  </r>
  <r>
    <x v="76"/>
  </r>
  <r>
    <x v="23"/>
  </r>
  <r>
    <x v="2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8"/>
  </r>
  <r>
    <x v="78"/>
  </r>
  <r>
    <x v="78"/>
  </r>
  <r>
    <x v="22"/>
  </r>
  <r>
    <x v="22"/>
  </r>
  <r>
    <x v="22"/>
  </r>
  <r>
    <x v="22"/>
  </r>
  <r>
    <x v="78"/>
  </r>
  <r>
    <x v="78"/>
  </r>
  <r>
    <x v="78"/>
  </r>
  <r>
    <x v="78"/>
  </r>
  <r>
    <x v="78"/>
  </r>
  <r>
    <x v="78"/>
  </r>
  <r>
    <x v="78"/>
  </r>
  <r>
    <x v="22"/>
  </r>
  <r>
    <x v="78"/>
  </r>
  <r>
    <x v="78"/>
  </r>
  <r>
    <x v="0"/>
  </r>
  <r>
    <x v="56"/>
  </r>
  <r>
    <x v="56"/>
  </r>
  <r>
    <x v="56"/>
  </r>
  <r>
    <x v="79"/>
  </r>
  <r>
    <x v="79"/>
  </r>
  <r>
    <x v="79"/>
  </r>
  <r>
    <x v="79"/>
  </r>
  <r>
    <x v="79"/>
  </r>
  <r>
    <x v="79"/>
  </r>
  <r>
    <x v="79"/>
  </r>
  <r>
    <x v="79"/>
  </r>
  <r>
    <x v="56"/>
  </r>
  <r>
    <x v="56"/>
  </r>
  <r>
    <x v="56"/>
  </r>
  <r>
    <x v="56"/>
  </r>
  <r>
    <x v="56"/>
  </r>
  <r>
    <x v="56"/>
  </r>
  <r>
    <x v="56"/>
  </r>
  <r>
    <x v="91"/>
  </r>
  <r>
    <x v="91"/>
  </r>
  <r>
    <x v="48"/>
  </r>
  <r>
    <x v="14"/>
  </r>
  <r>
    <x v="2"/>
  </r>
  <r>
    <x v="27"/>
  </r>
  <r>
    <x v="2"/>
  </r>
  <r>
    <x v="2"/>
  </r>
  <r>
    <x v="79"/>
  </r>
  <r>
    <x v="79"/>
  </r>
  <r>
    <x v="79"/>
  </r>
  <r>
    <x v="79"/>
  </r>
  <r>
    <x v="2"/>
  </r>
  <r>
    <x v="79"/>
  </r>
  <r>
    <x v="79"/>
  </r>
  <r>
    <x v="79"/>
  </r>
  <r>
    <x v="32"/>
  </r>
  <r>
    <x v="2"/>
  </r>
  <r>
    <x v="80"/>
  </r>
  <r>
    <x v="80"/>
  </r>
  <r>
    <x v="48"/>
  </r>
  <r>
    <x v="48"/>
  </r>
  <r>
    <x v="48"/>
  </r>
  <r>
    <x v="14"/>
  </r>
  <r>
    <x v="14"/>
  </r>
  <r>
    <x v="14"/>
  </r>
  <r>
    <x v="14"/>
  </r>
  <r>
    <x v="14"/>
  </r>
  <r>
    <x v="0"/>
  </r>
  <r>
    <x v="80"/>
  </r>
  <r>
    <x v="37"/>
  </r>
  <r>
    <x v="0"/>
  </r>
  <r>
    <x v="0"/>
  </r>
  <r>
    <x v="83"/>
  </r>
  <r>
    <x v="14"/>
  </r>
  <r>
    <x v="104"/>
  </r>
  <r>
    <x v="14"/>
  </r>
  <r>
    <x v="55"/>
  </r>
  <r>
    <x v="14"/>
  </r>
  <r>
    <x v="14"/>
  </r>
  <r>
    <x v="56"/>
  </r>
  <r>
    <x v="14"/>
  </r>
  <r>
    <x v="14"/>
  </r>
  <r>
    <x v="14"/>
  </r>
  <r>
    <x v="72"/>
  </r>
  <r>
    <x v="76"/>
  </r>
  <r>
    <x v="85"/>
  </r>
  <r>
    <x v="14"/>
  </r>
  <r>
    <x v="14"/>
  </r>
  <r>
    <x v="14"/>
  </r>
  <r>
    <x v="14"/>
  </r>
  <r>
    <x v="48"/>
  </r>
  <r>
    <x v="48"/>
  </r>
  <r>
    <x v="14"/>
  </r>
  <r>
    <x v="14"/>
  </r>
  <r>
    <x v="14"/>
  </r>
  <r>
    <x v="14"/>
  </r>
  <r>
    <x v="14"/>
  </r>
  <r>
    <x v="82"/>
  </r>
  <r>
    <x v="14"/>
  </r>
  <r>
    <x v="14"/>
  </r>
  <r>
    <x v="84"/>
  </r>
  <r>
    <x v="84"/>
  </r>
  <r>
    <x v="84"/>
  </r>
  <r>
    <x v="14"/>
  </r>
  <r>
    <x v="14"/>
  </r>
  <r>
    <x v="14"/>
  </r>
  <r>
    <x v="14"/>
  </r>
  <r>
    <x v="14"/>
  </r>
  <r>
    <x v="14"/>
  </r>
  <r>
    <x v="14"/>
  </r>
  <r>
    <x v="56"/>
  </r>
  <r>
    <x v="48"/>
  </r>
  <r>
    <x v="23"/>
  </r>
  <r>
    <x v="23"/>
  </r>
  <r>
    <x v="55"/>
  </r>
  <r>
    <x v="85"/>
  </r>
  <r>
    <x v="22"/>
  </r>
  <r>
    <x v="48"/>
  </r>
  <r>
    <x v="2"/>
  </r>
  <r>
    <x v="59"/>
  </r>
  <r>
    <x v="59"/>
  </r>
  <r>
    <x v="48"/>
  </r>
  <r>
    <x v="12"/>
  </r>
  <r>
    <x v="86"/>
  </r>
  <r>
    <x v="86"/>
  </r>
  <r>
    <x v="48"/>
  </r>
  <r>
    <x v="12"/>
  </r>
  <r>
    <x v="32"/>
  </r>
  <r>
    <x v="28"/>
  </r>
  <r>
    <x v="28"/>
  </r>
  <r>
    <x v="48"/>
  </r>
  <r>
    <x v="48"/>
  </r>
  <r>
    <x v="12"/>
  </r>
  <r>
    <x v="10"/>
  </r>
  <r>
    <x v="10"/>
  </r>
  <r>
    <x v="71"/>
  </r>
  <r>
    <x v="71"/>
  </r>
  <r>
    <x v="71"/>
  </r>
  <r>
    <x v="10"/>
  </r>
  <r>
    <x v="79"/>
  </r>
  <r>
    <x v="79"/>
  </r>
  <r>
    <x v="79"/>
  </r>
  <r>
    <x v="25"/>
  </r>
  <r>
    <x v="25"/>
  </r>
  <r>
    <x v="25"/>
  </r>
  <r>
    <x v="25"/>
  </r>
  <r>
    <x v="59"/>
  </r>
  <r>
    <x v="59"/>
  </r>
  <r>
    <x v="59"/>
  </r>
  <r>
    <x v="59"/>
  </r>
  <r>
    <x v="59"/>
  </r>
  <r>
    <x v="32"/>
  </r>
  <r>
    <x v="32"/>
  </r>
  <r>
    <x v="25"/>
  </r>
  <r>
    <x v="25"/>
  </r>
  <r>
    <x v="25"/>
  </r>
  <r>
    <x v="25"/>
  </r>
  <r>
    <x v="25"/>
  </r>
  <r>
    <x v="25"/>
  </r>
  <r>
    <x v="22"/>
  </r>
  <r>
    <x v="78"/>
  </r>
  <r>
    <x v="78"/>
  </r>
  <r>
    <x v="78"/>
  </r>
  <r>
    <x v="78"/>
  </r>
  <r>
    <x v="7"/>
  </r>
  <r>
    <x v="7"/>
  </r>
  <r>
    <x v="14"/>
  </r>
  <r>
    <x v="14"/>
  </r>
  <r>
    <x v="78"/>
  </r>
  <r>
    <x v="7"/>
  </r>
  <r>
    <x v="7"/>
  </r>
  <r>
    <x v="7"/>
  </r>
  <r>
    <x v="7"/>
  </r>
  <r>
    <x v="7"/>
  </r>
  <r>
    <x v="88"/>
  </r>
  <r>
    <x v="88"/>
  </r>
  <r>
    <x v="7"/>
  </r>
  <r>
    <x v="7"/>
  </r>
  <r>
    <x v="7"/>
  </r>
  <r>
    <x v="89"/>
  </r>
  <r>
    <x v="7"/>
  </r>
  <r>
    <x v="89"/>
  </r>
  <r>
    <x v="89"/>
  </r>
  <r>
    <x v="89"/>
  </r>
  <r>
    <x v="89"/>
  </r>
  <r>
    <x v="89"/>
  </r>
  <r>
    <x v="89"/>
  </r>
  <r>
    <x v="118"/>
  </r>
  <r>
    <x v="10"/>
  </r>
  <r>
    <x v="31"/>
  </r>
  <r>
    <x v="12"/>
  </r>
  <r>
    <x v="42"/>
  </r>
  <r>
    <x v="31"/>
  </r>
  <r>
    <x v="71"/>
  </r>
  <r>
    <x v="48"/>
  </r>
  <r>
    <x v="71"/>
  </r>
  <r>
    <x v="71"/>
  </r>
  <r>
    <x v="31"/>
  </r>
  <r>
    <x v="10"/>
  </r>
  <r>
    <x v="90"/>
  </r>
  <r>
    <x v="25"/>
  </r>
  <r>
    <x v="91"/>
  </r>
  <r>
    <x v="91"/>
  </r>
  <r>
    <x v="14"/>
  </r>
  <r>
    <x v="79"/>
  </r>
  <r>
    <x v="89"/>
  </r>
  <r>
    <x v="90"/>
  </r>
  <r>
    <x v="90"/>
  </r>
  <r>
    <x v="12"/>
  </r>
  <r>
    <x v="92"/>
  </r>
  <r>
    <x v="92"/>
  </r>
  <r>
    <x v="89"/>
  </r>
  <r>
    <x v="92"/>
  </r>
  <r>
    <x v="92"/>
  </r>
  <r>
    <x v="92"/>
  </r>
  <r>
    <x v="89"/>
  </r>
  <r>
    <x v="59"/>
  </r>
  <r>
    <x v="59"/>
  </r>
  <r>
    <x v="25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25"/>
  </r>
  <r>
    <x v="48"/>
  </r>
  <r>
    <x v="48"/>
  </r>
  <r>
    <x v="48"/>
  </r>
  <r>
    <x v="93"/>
  </r>
  <r>
    <x v="93"/>
  </r>
  <r>
    <x v="93"/>
  </r>
  <r>
    <x v="93"/>
  </r>
  <r>
    <x v="93"/>
  </r>
  <r>
    <x v="93"/>
  </r>
  <r>
    <x v="93"/>
  </r>
  <r>
    <x v="93"/>
  </r>
  <r>
    <x v="25"/>
  </r>
  <r>
    <x v="124"/>
  </r>
  <r>
    <x v="93"/>
  </r>
  <r>
    <x v="93"/>
  </r>
  <r>
    <x v="93"/>
  </r>
  <r>
    <x v="76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77"/>
  </r>
  <r>
    <x v="77"/>
  </r>
  <r>
    <x v="48"/>
  </r>
  <r>
    <x v="48"/>
  </r>
  <r>
    <x v="48"/>
  </r>
  <r>
    <x v="48"/>
  </r>
  <r>
    <x v="93"/>
  </r>
  <r>
    <x v="93"/>
  </r>
  <r>
    <x v="93"/>
  </r>
  <r>
    <x v="25"/>
  </r>
  <r>
    <x v="93"/>
  </r>
  <r>
    <x v="124"/>
  </r>
  <r>
    <x v="78"/>
  </r>
  <r>
    <x v="78"/>
  </r>
  <r>
    <x v="78"/>
  </r>
  <r>
    <x v="93"/>
  </r>
  <r>
    <x v="0"/>
  </r>
  <r>
    <x v="81"/>
  </r>
  <r>
    <x v="93"/>
  </r>
  <r>
    <x v="93"/>
  </r>
  <r>
    <x v="78"/>
  </r>
  <r>
    <x v="78"/>
  </r>
  <r>
    <x v="78"/>
  </r>
  <r>
    <x v="0"/>
  </r>
  <r>
    <x v="42"/>
  </r>
  <r>
    <x v="14"/>
  </r>
  <r>
    <x v="78"/>
  </r>
  <r>
    <x v="78"/>
  </r>
  <r>
    <x v="78"/>
  </r>
  <r>
    <x v="78"/>
  </r>
  <r>
    <x v="78"/>
  </r>
  <r>
    <x v="78"/>
  </r>
  <r>
    <x v="78"/>
  </r>
  <r>
    <x v="78"/>
  </r>
  <r>
    <x v="48"/>
  </r>
  <r>
    <x v="48"/>
  </r>
  <r>
    <x v="48"/>
  </r>
  <r>
    <x v="48"/>
  </r>
  <r>
    <x v="48"/>
  </r>
  <r>
    <x v="48"/>
  </r>
  <r>
    <x v="48"/>
  </r>
  <r>
    <x v="48"/>
  </r>
  <r>
    <x v="85"/>
  </r>
  <r>
    <x v="78"/>
  </r>
  <r>
    <x v="42"/>
  </r>
  <r>
    <x v="42"/>
  </r>
  <r>
    <x v="48"/>
  </r>
  <r>
    <x v="95"/>
  </r>
  <r>
    <x v="78"/>
  </r>
  <r>
    <x v="78"/>
  </r>
  <r>
    <x v="93"/>
  </r>
  <r>
    <x v="93"/>
  </r>
  <r>
    <x v="93"/>
  </r>
  <r>
    <x v="93"/>
  </r>
  <r>
    <x v="85"/>
  </r>
  <r>
    <x v="85"/>
  </r>
  <r>
    <x v="85"/>
  </r>
  <r>
    <x v="93"/>
  </r>
  <r>
    <x v="93"/>
  </r>
  <r>
    <x v="85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78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29"/>
  </r>
  <r>
    <x v="93"/>
  </r>
  <r>
    <x v="78"/>
  </r>
  <r>
    <x v="25"/>
  </r>
  <r>
    <x v="25"/>
  </r>
  <r>
    <x v="173"/>
  </r>
  <r>
    <x v="78"/>
  </r>
  <r>
    <x v="93"/>
  </r>
  <r>
    <x v="93"/>
  </r>
  <r>
    <x v="93"/>
  </r>
  <r>
    <x v="93"/>
  </r>
  <r>
    <x v="93"/>
  </r>
  <r>
    <x v="93"/>
  </r>
  <r>
    <x v="93"/>
  </r>
  <r>
    <x v="93"/>
  </r>
  <r>
    <x v="78"/>
  </r>
  <r>
    <x v="72"/>
  </r>
  <r>
    <x v="72"/>
  </r>
  <r>
    <x v="93"/>
  </r>
  <r>
    <x v="93"/>
  </r>
  <r>
    <x v="93"/>
  </r>
  <r>
    <x v="93"/>
  </r>
  <r>
    <x v="63"/>
  </r>
  <r>
    <x v="63"/>
  </r>
  <r>
    <x v="48"/>
  </r>
  <r>
    <x v="93"/>
  </r>
  <r>
    <x v="93"/>
  </r>
  <r>
    <x v="93"/>
  </r>
  <r>
    <x v="94"/>
  </r>
  <r>
    <x v="93"/>
  </r>
  <r>
    <x v="93"/>
  </r>
  <r>
    <x v="93"/>
  </r>
  <r>
    <x v="93"/>
  </r>
  <r>
    <x v="30"/>
  </r>
  <r>
    <x v="93"/>
  </r>
  <r>
    <x v="93"/>
  </r>
  <r>
    <x v="78"/>
  </r>
  <r>
    <x v="96"/>
  </r>
  <r>
    <x v="124"/>
  </r>
  <r>
    <x v="124"/>
  </r>
  <r>
    <x v="52"/>
  </r>
  <r>
    <x v="83"/>
  </r>
  <r>
    <x v="83"/>
  </r>
  <r>
    <x v="23"/>
  </r>
  <r>
    <x v="17"/>
  </r>
  <r>
    <x v="80"/>
  </r>
  <r>
    <x v="80"/>
  </r>
  <r>
    <x v="80"/>
  </r>
  <r>
    <x v="80"/>
  </r>
  <r>
    <x v="80"/>
  </r>
  <r>
    <x v="80"/>
  </r>
  <r>
    <x v="80"/>
  </r>
  <r>
    <x v="80"/>
  </r>
  <r>
    <x v="63"/>
  </r>
  <r>
    <x v="63"/>
  </r>
  <r>
    <x v="7"/>
  </r>
  <r>
    <x v="63"/>
  </r>
  <r>
    <x v="63"/>
  </r>
  <r>
    <x v="63"/>
  </r>
  <r>
    <x v="37"/>
  </r>
  <r>
    <x v="55"/>
  </r>
  <r>
    <x v="55"/>
  </r>
  <r>
    <x v="103"/>
  </r>
  <r>
    <x v="99"/>
  </r>
  <r>
    <x v="42"/>
  </r>
  <r>
    <x v="6"/>
  </r>
  <r>
    <x v="6"/>
  </r>
  <r>
    <x v="6"/>
  </r>
  <r>
    <x v="48"/>
  </r>
  <r>
    <x v="32"/>
  </r>
  <r>
    <x v="201"/>
  </r>
  <r>
    <x v="3"/>
  </r>
  <r>
    <x v="6"/>
  </r>
  <r>
    <x v="187"/>
  </r>
  <r>
    <x v="112"/>
  </r>
  <r>
    <x v="14"/>
  </r>
  <r>
    <x v="6"/>
  </r>
  <r>
    <x v="48"/>
  </r>
  <r>
    <x v="80"/>
  </r>
  <r>
    <x v="80"/>
  </r>
  <r>
    <x v="80"/>
  </r>
  <r>
    <x v="80"/>
  </r>
  <r>
    <x v="46"/>
  </r>
  <r>
    <x v="56"/>
  </r>
  <r>
    <x v="14"/>
  </r>
  <r>
    <x v="63"/>
  </r>
  <r>
    <x v="63"/>
  </r>
  <r>
    <x v="63"/>
  </r>
  <r>
    <x v="87"/>
  </r>
  <r>
    <x v="80"/>
  </r>
  <r>
    <x v="108"/>
  </r>
  <r>
    <x v="87"/>
  </r>
  <r>
    <x v="108"/>
  </r>
  <r>
    <x v="48"/>
  </r>
  <r>
    <x v="48"/>
  </r>
  <r>
    <x v="48"/>
  </r>
  <r>
    <x v="48"/>
  </r>
  <r>
    <x v="31"/>
  </r>
  <r>
    <x v="100"/>
  </r>
  <r>
    <x v="100"/>
  </r>
  <r>
    <x v="100"/>
  </r>
  <r>
    <x v="100"/>
  </r>
  <r>
    <x v="100"/>
  </r>
  <r>
    <x v="100"/>
  </r>
  <r>
    <x v="91"/>
  </r>
  <r>
    <x v="113"/>
  </r>
  <r>
    <x v="113"/>
  </r>
  <r>
    <x v="113"/>
  </r>
  <r>
    <x v="113"/>
  </r>
  <r>
    <x v="113"/>
  </r>
  <r>
    <x v="112"/>
  </r>
  <r>
    <x v="83"/>
  </r>
  <r>
    <x v="23"/>
  </r>
  <r>
    <x v="23"/>
  </r>
  <r>
    <x v="30"/>
  </r>
  <r>
    <x v="83"/>
  </r>
  <r>
    <x v="25"/>
  </r>
  <r>
    <x v="25"/>
  </r>
  <r>
    <x v="25"/>
  </r>
  <r>
    <x v="25"/>
  </r>
  <r>
    <x v="25"/>
  </r>
  <r>
    <x v="25"/>
  </r>
  <r>
    <x v="25"/>
  </r>
  <r>
    <x v="25"/>
  </r>
  <r>
    <x v="112"/>
  </r>
  <r>
    <x v="3"/>
  </r>
  <r>
    <x v="63"/>
  </r>
  <r>
    <x v="93"/>
  </r>
  <r>
    <x v="27"/>
  </r>
  <r>
    <x v="93"/>
  </r>
  <r>
    <x v="25"/>
  </r>
  <r>
    <x v="12"/>
  </r>
  <r>
    <x v="25"/>
  </r>
  <r>
    <x v="25"/>
  </r>
  <r>
    <x v="25"/>
  </r>
  <r>
    <x v="25"/>
  </r>
  <r>
    <x v="0"/>
  </r>
  <r>
    <x v="78"/>
  </r>
  <r>
    <x v="78"/>
  </r>
  <r>
    <x v="27"/>
  </r>
  <r>
    <x v="112"/>
  </r>
  <r>
    <x v="0"/>
  </r>
  <r>
    <x v="0"/>
  </r>
  <r>
    <x v="0"/>
  </r>
  <r>
    <x v="12"/>
  </r>
  <r>
    <x v="8"/>
  </r>
  <r>
    <x v="86"/>
  </r>
  <r>
    <x v="86"/>
  </r>
  <r>
    <x v="12"/>
  </r>
  <r>
    <x v="106"/>
  </r>
  <r>
    <x v="12"/>
  </r>
  <r>
    <x v="10"/>
  </r>
  <r>
    <x v="25"/>
  </r>
  <r>
    <x v="10"/>
  </r>
  <r>
    <x v="10"/>
  </r>
  <r>
    <x v="55"/>
  </r>
  <r>
    <x v="86"/>
  </r>
  <r>
    <x v="0"/>
  </r>
  <r>
    <x v="8"/>
  </r>
  <r>
    <x v="48"/>
  </r>
  <r>
    <x v="50"/>
  </r>
  <r>
    <x v="50"/>
  </r>
  <r>
    <x v="8"/>
  </r>
  <r>
    <x v="80"/>
  </r>
  <r>
    <x v="89"/>
  </r>
  <r>
    <x v="80"/>
  </r>
  <r>
    <x v="14"/>
  </r>
  <r>
    <x v="122"/>
  </r>
  <r>
    <x v="37"/>
  </r>
  <r>
    <x v="87"/>
  </r>
  <r>
    <x v="87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02"/>
  </r>
  <r>
    <x v="25"/>
  </r>
  <r>
    <x v="25"/>
  </r>
  <r>
    <x v="97"/>
  </r>
  <r>
    <x v="57"/>
  </r>
  <r>
    <x v="48"/>
  </r>
  <r>
    <x v="122"/>
  </r>
  <r>
    <x v="23"/>
  </r>
  <r>
    <x v="122"/>
  </r>
  <r>
    <x v="122"/>
  </r>
  <r>
    <x v="42"/>
  </r>
  <r>
    <x v="122"/>
  </r>
  <r>
    <x v="23"/>
  </r>
  <r>
    <x v="23"/>
  </r>
  <r>
    <x v="23"/>
  </r>
  <r>
    <x v="0"/>
  </r>
  <r>
    <x v="87"/>
  </r>
  <r>
    <x v="83"/>
  </r>
  <r>
    <x v="14"/>
  </r>
  <r>
    <x v="112"/>
  </r>
  <r>
    <x v="27"/>
  </r>
  <r>
    <x v="10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2"/>
  </r>
  <r>
    <x v="25"/>
  </r>
  <r>
    <x v="25"/>
  </r>
  <r>
    <x v="25"/>
  </r>
  <r>
    <x v="32"/>
  </r>
  <r>
    <x v="44"/>
  </r>
  <r>
    <x v="46"/>
  </r>
  <r>
    <x v="118"/>
  </r>
  <r>
    <x v="71"/>
  </r>
  <r>
    <x v="82"/>
  </r>
  <r>
    <x v="71"/>
  </r>
  <r>
    <x v="56"/>
  </r>
  <r>
    <x v="56"/>
  </r>
  <r>
    <x v="17"/>
  </r>
  <r>
    <x v="56"/>
  </r>
  <r>
    <x v="48"/>
  </r>
  <r>
    <x v="0"/>
  </r>
  <r>
    <x v="0"/>
  </r>
  <r>
    <x v="17"/>
  </r>
  <r>
    <x v="80"/>
  </r>
  <r>
    <x v="80"/>
  </r>
  <r>
    <x v="28"/>
  </r>
  <r>
    <x v="22"/>
  </r>
  <r>
    <x v="22"/>
  </r>
  <r>
    <x v="17"/>
  </r>
  <r>
    <x v="423"/>
  </r>
  <r>
    <x v="14"/>
  </r>
  <r>
    <x v="91"/>
  </r>
  <r>
    <x v="87"/>
  </r>
  <r>
    <x v="87"/>
  </r>
  <r>
    <x v="87"/>
  </r>
  <r>
    <x v="87"/>
  </r>
  <r>
    <x v="17"/>
  </r>
  <r>
    <x v="142"/>
  </r>
  <r>
    <x v="48"/>
  </r>
  <r>
    <x v="108"/>
  </r>
  <r>
    <x v="45"/>
  </r>
  <r>
    <x v="108"/>
  </r>
  <r>
    <x v="2"/>
  </r>
  <r>
    <x v="68"/>
  </r>
  <r>
    <x v="86"/>
  </r>
  <r>
    <x v="25"/>
  </r>
  <r>
    <x v="108"/>
  </r>
  <r>
    <x v="10"/>
  </r>
  <r>
    <x v="10"/>
  </r>
  <r>
    <x v="31"/>
  </r>
  <r>
    <x v="86"/>
  </r>
  <r>
    <x v="112"/>
  </r>
  <r>
    <x v="6"/>
  </r>
  <r>
    <x v="108"/>
  </r>
  <r>
    <x v="0"/>
  </r>
  <r>
    <x v="0"/>
  </r>
  <r>
    <x v="0"/>
  </r>
  <r>
    <x v="0"/>
  </r>
  <r>
    <x v="86"/>
  </r>
  <r>
    <x v="90"/>
  </r>
  <r>
    <x v="89"/>
  </r>
  <r>
    <x v="86"/>
  </r>
  <r>
    <x v="86"/>
  </r>
  <r>
    <x v="112"/>
  </r>
  <r>
    <x v="112"/>
  </r>
  <r>
    <x v="50"/>
  </r>
  <r>
    <x v="112"/>
  </r>
  <r>
    <x v="111"/>
  </r>
  <r>
    <x v="72"/>
  </r>
  <r>
    <x v="14"/>
  </r>
  <r>
    <x v="48"/>
  </r>
  <r>
    <x v="48"/>
  </r>
  <r>
    <x v="114"/>
  </r>
  <r>
    <x v="115"/>
  </r>
  <r>
    <x v="2"/>
  </r>
  <r>
    <x v="118"/>
  </r>
  <r>
    <x v="25"/>
  </r>
  <r>
    <x v="25"/>
  </r>
  <r>
    <x v="83"/>
  </r>
  <r>
    <x v="29"/>
  </r>
  <r>
    <x v="42"/>
  </r>
  <r>
    <x v="0"/>
  </r>
  <r>
    <x v="48"/>
  </r>
  <r>
    <x v="78"/>
  </r>
  <r>
    <x v="10"/>
  </r>
  <r>
    <x v="78"/>
  </r>
  <r>
    <x v="14"/>
  </r>
  <r>
    <x v="14"/>
  </r>
  <r>
    <x v="14"/>
  </r>
  <r>
    <x v="0"/>
  </r>
  <r>
    <x v="48"/>
  </r>
  <r>
    <x v="0"/>
  </r>
  <r>
    <x v="0"/>
  </r>
  <r>
    <x v="25"/>
  </r>
  <r>
    <x v="72"/>
  </r>
  <r>
    <x v="56"/>
  </r>
  <r>
    <x v="56"/>
  </r>
  <r>
    <x v="10"/>
  </r>
  <r>
    <x v="99"/>
  </r>
  <r>
    <x v="219"/>
  </r>
  <r>
    <x v="10"/>
  </r>
  <r>
    <x v="10"/>
  </r>
  <r>
    <x v="0"/>
  </r>
  <r>
    <x v="4"/>
  </r>
  <r>
    <x v="0"/>
  </r>
  <r>
    <x v="48"/>
  </r>
  <r>
    <x v="0"/>
  </r>
  <r>
    <x v="0"/>
  </r>
  <r>
    <x v="72"/>
  </r>
  <r>
    <x v="10"/>
  </r>
  <r>
    <x v="10"/>
  </r>
  <r>
    <x v="10"/>
  </r>
  <r>
    <x v="10"/>
  </r>
  <r>
    <x v="10"/>
  </r>
  <r>
    <x v="81"/>
  </r>
  <r>
    <x v="23"/>
  </r>
  <r>
    <x v="0"/>
  </r>
  <r>
    <x v="0"/>
  </r>
  <r>
    <x v="45"/>
  </r>
  <r>
    <x v="17"/>
  </r>
  <r>
    <x v="86"/>
  </r>
  <r>
    <x v="86"/>
  </r>
  <r>
    <x v="86"/>
  </r>
  <r>
    <x v="48"/>
  </r>
  <r>
    <x v="12"/>
  </r>
  <r>
    <x v="12"/>
  </r>
  <r>
    <x v="12"/>
  </r>
  <r>
    <x v="0"/>
  </r>
  <r>
    <x v="48"/>
  </r>
  <r>
    <x v="48"/>
  </r>
  <r>
    <x v="86"/>
  </r>
  <r>
    <x v="86"/>
  </r>
  <r>
    <x v="56"/>
  </r>
  <r>
    <x v="37"/>
  </r>
  <r>
    <x v="56"/>
  </r>
  <r>
    <x v="52"/>
  </r>
  <r>
    <x v="56"/>
  </r>
  <r>
    <x v="56"/>
  </r>
  <r>
    <x v="52"/>
  </r>
  <r>
    <x v="56"/>
  </r>
  <r>
    <x v="93"/>
  </r>
  <r>
    <x v="93"/>
  </r>
  <r>
    <x v="93"/>
  </r>
  <r>
    <x v="52"/>
  </r>
  <r>
    <x v="10"/>
  </r>
  <r>
    <x v="111"/>
  </r>
  <r>
    <x v="87"/>
  </r>
  <r>
    <x v="154"/>
  </r>
  <r>
    <x v="154"/>
  </r>
  <r>
    <x v="106"/>
  </r>
  <r>
    <x v="34"/>
  </r>
  <r>
    <x v="34"/>
  </r>
  <r>
    <x v="42"/>
  </r>
  <r>
    <x v="71"/>
  </r>
  <r>
    <x v="100"/>
  </r>
  <r>
    <x v="100"/>
  </r>
  <r>
    <x v="138"/>
  </r>
  <r>
    <x v="63"/>
  </r>
  <r>
    <x v="93"/>
  </r>
  <r>
    <x v="76"/>
  </r>
  <r>
    <x v="93"/>
  </r>
  <r>
    <x v="76"/>
  </r>
  <r>
    <x v="76"/>
  </r>
  <r>
    <x v="82"/>
  </r>
  <r>
    <x v="130"/>
  </r>
  <r>
    <x v="98"/>
  </r>
  <r>
    <x v="14"/>
  </r>
  <r>
    <x v="13"/>
  </r>
  <r>
    <x v="14"/>
  </r>
  <r>
    <x v="13"/>
  </r>
  <r>
    <x v="132"/>
  </r>
  <r>
    <x v="78"/>
  </r>
  <r>
    <x v="56"/>
  </r>
  <r>
    <x v="4"/>
  </r>
  <r>
    <x v="132"/>
  </r>
  <r>
    <x v="56"/>
  </r>
  <r>
    <x v="76"/>
  </r>
  <r>
    <x v="25"/>
  </r>
  <r>
    <x v="25"/>
  </r>
  <r>
    <x v="25"/>
  </r>
  <r>
    <x v="25"/>
  </r>
  <r>
    <x v="25"/>
  </r>
  <r>
    <x v="15"/>
  </r>
  <r>
    <x v="25"/>
  </r>
  <r>
    <x v="82"/>
  </r>
  <r>
    <x v="76"/>
  </r>
  <r>
    <x v="78"/>
  </r>
  <r>
    <x v="78"/>
  </r>
  <r>
    <x v="78"/>
  </r>
  <r>
    <x v="78"/>
  </r>
  <r>
    <x v="93"/>
  </r>
  <r>
    <x v="94"/>
  </r>
  <r>
    <x v="94"/>
  </r>
  <r>
    <x v="48"/>
  </r>
  <r>
    <x v="26"/>
  </r>
  <r>
    <x v="26"/>
  </r>
  <r>
    <x v="85"/>
  </r>
  <r>
    <x v="76"/>
  </r>
  <r>
    <x v="82"/>
  </r>
  <r>
    <x v="121"/>
  </r>
  <r>
    <x v="121"/>
  </r>
  <r>
    <x v="108"/>
  </r>
  <r>
    <x v="121"/>
  </r>
  <r>
    <x v="85"/>
  </r>
  <r>
    <x v="15"/>
  </r>
  <r>
    <x v="121"/>
  </r>
  <r>
    <x v="121"/>
  </r>
  <r>
    <x v="76"/>
  </r>
  <r>
    <x v="15"/>
  </r>
  <r>
    <x v="10"/>
  </r>
  <r>
    <x v="34"/>
  </r>
  <r>
    <x v="76"/>
  </r>
  <r>
    <x v="10"/>
  </r>
  <r>
    <x v="56"/>
  </r>
  <r>
    <x v="56"/>
  </r>
  <r>
    <x v="56"/>
  </r>
  <r>
    <x v="56"/>
  </r>
  <r>
    <x v="56"/>
  </r>
  <r>
    <x v="25"/>
  </r>
  <r>
    <x v="10"/>
  </r>
  <r>
    <x v="10"/>
  </r>
  <r>
    <x v="56"/>
  </r>
  <r>
    <x v="143"/>
  </r>
  <r>
    <x v="12"/>
  </r>
  <r>
    <x v="76"/>
  </r>
  <r>
    <x v="76"/>
  </r>
  <r>
    <x v="52"/>
  </r>
  <r>
    <x v="78"/>
  </r>
  <r>
    <x v="78"/>
  </r>
  <r>
    <x v="56"/>
  </r>
  <r>
    <x v="56"/>
  </r>
  <r>
    <x v="56"/>
  </r>
  <r>
    <x v="10"/>
  </r>
  <r>
    <x v="76"/>
  </r>
  <r>
    <x v="113"/>
  </r>
  <r>
    <x v="113"/>
  </r>
  <r>
    <x v="86"/>
  </r>
  <r>
    <x v="86"/>
  </r>
  <r>
    <x v="85"/>
  </r>
  <r>
    <x v="94"/>
  </r>
  <r>
    <x v="76"/>
  </r>
  <r>
    <x v="48"/>
  </r>
  <r>
    <x v="76"/>
  </r>
  <r>
    <x v="86"/>
  </r>
  <r>
    <x v="6"/>
  </r>
  <r>
    <x v="113"/>
  </r>
  <r>
    <x v="78"/>
  </r>
  <r>
    <x v="108"/>
  </r>
  <r>
    <x v="12"/>
  </r>
  <r>
    <x v="0"/>
  </r>
  <r>
    <x v="55"/>
  </r>
  <r>
    <x v="14"/>
  </r>
  <r>
    <x v="85"/>
  </r>
  <r>
    <x v="10"/>
  </r>
  <r>
    <x v="14"/>
  </r>
  <r>
    <x v="82"/>
  </r>
  <r>
    <x v="71"/>
  </r>
  <r>
    <x v="71"/>
  </r>
  <r>
    <x v="14"/>
  </r>
  <r>
    <x v="48"/>
  </r>
  <r>
    <x v="20"/>
  </r>
  <r>
    <x v="14"/>
  </r>
  <r>
    <x v="182"/>
  </r>
  <r>
    <x v="34"/>
  </r>
  <r>
    <x v="48"/>
  </r>
  <r>
    <x v="42"/>
  </r>
  <r>
    <x v="1"/>
  </r>
  <r>
    <x v="55"/>
  </r>
  <r>
    <x v="22"/>
  </r>
  <r>
    <x v="31"/>
  </r>
  <r>
    <x v="0"/>
  </r>
  <r>
    <x v="48"/>
  </r>
  <r>
    <x v="17"/>
  </r>
  <r>
    <x v="1"/>
  </r>
  <r>
    <x v="52"/>
  </r>
  <r>
    <x v="56"/>
  </r>
  <r>
    <x v="30"/>
  </r>
  <r>
    <x v="30"/>
  </r>
  <r>
    <x v="25"/>
  </r>
  <r>
    <x v="56"/>
  </r>
  <r>
    <x v="75"/>
  </r>
  <r>
    <x v="103"/>
  </r>
  <r>
    <x v="103"/>
  </r>
  <r>
    <x v="103"/>
  </r>
  <r>
    <x v="31"/>
  </r>
  <r>
    <x v="17"/>
  </r>
  <r>
    <x v="31"/>
  </r>
  <r>
    <x v="17"/>
  </r>
  <r>
    <x v="143"/>
  </r>
  <r>
    <x v="94"/>
  </r>
  <r>
    <x v="56"/>
  </r>
  <r>
    <x v="25"/>
  </r>
  <r>
    <x v="108"/>
  </r>
  <r>
    <x v="52"/>
  </r>
  <r>
    <x v="93"/>
  </r>
  <r>
    <x v="93"/>
  </r>
  <r>
    <x v="93"/>
  </r>
  <r>
    <x v="10"/>
  </r>
  <r>
    <x v="76"/>
  </r>
  <r>
    <x v="76"/>
  </r>
  <r>
    <x v="76"/>
  </r>
  <r>
    <x v="72"/>
  </r>
  <r>
    <x v="87"/>
  </r>
  <r>
    <x v="6"/>
  </r>
  <r>
    <x v="6"/>
  </r>
  <r>
    <x v="15"/>
  </r>
  <r>
    <x v="22"/>
  </r>
  <r>
    <x v="2"/>
  </r>
  <r>
    <x v="2"/>
  </r>
  <r>
    <x v="56"/>
  </r>
  <r>
    <x v="92"/>
  </r>
  <r>
    <x v="81"/>
  </r>
  <r>
    <x v="81"/>
  </r>
  <r>
    <x v="124"/>
  </r>
  <r>
    <x v="48"/>
  </r>
  <r>
    <x v="48"/>
  </r>
  <r>
    <x v="81"/>
  </r>
  <r>
    <x v="81"/>
  </r>
  <r>
    <x v="93"/>
  </r>
  <r>
    <x v="93"/>
  </r>
  <r>
    <x v="93"/>
  </r>
  <r>
    <x v="123"/>
  </r>
  <r>
    <x v="123"/>
  </r>
  <r>
    <x v="93"/>
  </r>
  <r>
    <x v="93"/>
  </r>
  <r>
    <x v="56"/>
  </r>
  <r>
    <x v="124"/>
  </r>
  <r>
    <x v="93"/>
  </r>
  <r>
    <x v="15"/>
  </r>
  <r>
    <x v="15"/>
  </r>
  <r>
    <x v="93"/>
  </r>
  <r>
    <x v="93"/>
  </r>
  <r>
    <x v="93"/>
  </r>
  <r>
    <x v="93"/>
  </r>
  <r>
    <x v="56"/>
  </r>
  <r>
    <x v="0"/>
  </r>
  <r>
    <x v="93"/>
  </r>
  <r>
    <x v="78"/>
  </r>
  <r>
    <x v="93"/>
  </r>
  <r>
    <x v="78"/>
  </r>
  <r>
    <x v="78"/>
  </r>
  <r>
    <x v="78"/>
  </r>
  <r>
    <x v="78"/>
  </r>
  <r>
    <x v="78"/>
  </r>
  <r>
    <x v="78"/>
  </r>
  <r>
    <x v="12"/>
  </r>
  <r>
    <x v="12"/>
  </r>
  <r>
    <x v="76"/>
  </r>
  <r>
    <x v="56"/>
  </r>
  <r>
    <x v="56"/>
  </r>
  <r>
    <x v="56"/>
  </r>
  <r>
    <x v="56"/>
  </r>
  <r>
    <x v="93"/>
  </r>
  <r>
    <x v="93"/>
  </r>
  <r>
    <x v="93"/>
  </r>
  <r>
    <x v="72"/>
  </r>
  <r>
    <x v="93"/>
  </r>
  <r>
    <x v="93"/>
  </r>
  <r>
    <x v="78"/>
  </r>
  <r>
    <x v="12"/>
  </r>
  <r>
    <x v="12"/>
  </r>
  <r>
    <x v="25"/>
  </r>
  <r>
    <x v="93"/>
  </r>
  <r>
    <x v="93"/>
  </r>
  <r>
    <x v="93"/>
  </r>
  <r>
    <x v="93"/>
  </r>
  <r>
    <x v="93"/>
  </r>
  <r>
    <x v="93"/>
  </r>
  <r>
    <x v="93"/>
  </r>
  <r>
    <x v="93"/>
  </r>
  <r>
    <x v="149"/>
  </r>
  <r>
    <x v="177"/>
  </r>
  <r>
    <x v="25"/>
  </r>
  <r>
    <x v="78"/>
  </r>
  <r>
    <x v="99"/>
  </r>
  <r>
    <x v="77"/>
  </r>
  <r>
    <x v="20"/>
  </r>
  <r>
    <x v="81"/>
  </r>
  <r>
    <x v="188"/>
  </r>
  <r>
    <x v="114"/>
  </r>
  <r>
    <x v="28"/>
  </r>
  <r>
    <x v="188"/>
  </r>
  <r>
    <x v="111"/>
  </r>
  <r>
    <x v="48"/>
  </r>
  <r>
    <x v="99"/>
  </r>
  <r>
    <x v="99"/>
  </r>
  <r>
    <x v="188"/>
  </r>
  <r>
    <x v="71"/>
  </r>
  <r>
    <x v="85"/>
  </r>
  <r>
    <x v="20"/>
  </r>
  <r>
    <x v="71"/>
  </r>
  <r>
    <x v="99"/>
  </r>
  <r>
    <x v="78"/>
  </r>
  <r>
    <x v="59"/>
  </r>
  <r>
    <x v="25"/>
  </r>
  <r>
    <x v="59"/>
  </r>
  <r>
    <x v="85"/>
  </r>
  <r>
    <x v="85"/>
  </r>
  <r>
    <x v="85"/>
  </r>
  <r>
    <x v="12"/>
  </r>
  <r>
    <x v="79"/>
  </r>
  <r>
    <x v="25"/>
  </r>
  <r>
    <x v="25"/>
  </r>
  <r>
    <x v="93"/>
  </r>
  <r>
    <x v="93"/>
  </r>
  <r>
    <x v="30"/>
  </r>
  <r>
    <x v="128"/>
  </r>
  <r>
    <x v="128"/>
  </r>
  <r>
    <x v="25"/>
  </r>
  <r>
    <x v="30"/>
  </r>
  <r>
    <x v="128"/>
  </r>
  <r>
    <x v="128"/>
  </r>
  <r>
    <x v="8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7"/>
  </r>
  <r>
    <x v="77"/>
  </r>
  <r>
    <x v="42"/>
  </r>
  <r>
    <x v="42"/>
  </r>
  <r>
    <x v="80"/>
  </r>
  <r>
    <x v="0"/>
  </r>
  <r>
    <x v="2"/>
  </r>
  <r>
    <x v="0"/>
  </r>
  <r>
    <x v="0"/>
  </r>
  <r>
    <x v="0"/>
  </r>
  <r>
    <x v="2"/>
  </r>
  <r>
    <x v="0"/>
  </r>
  <r>
    <x v="117"/>
  </r>
  <r>
    <x v="0"/>
  </r>
  <r>
    <x v="0"/>
  </r>
  <r>
    <x v="0"/>
  </r>
  <r>
    <x v="93"/>
  </r>
  <r>
    <x v="22"/>
  </r>
  <r>
    <x v="219"/>
  </r>
  <r>
    <x v="219"/>
  </r>
  <r>
    <x v="219"/>
  </r>
  <r>
    <x v="81"/>
  </r>
  <r>
    <x v="72"/>
  </r>
  <r>
    <x v="25"/>
  </r>
  <r>
    <x v="25"/>
  </r>
  <r>
    <x v="72"/>
  </r>
  <r>
    <x v="78"/>
  </r>
  <r>
    <x v="76"/>
  </r>
  <r>
    <x v="82"/>
  </r>
  <r>
    <x v="25"/>
  </r>
  <r>
    <x v="88"/>
  </r>
  <r>
    <x v="25"/>
  </r>
  <r>
    <x v="111"/>
  </r>
  <r>
    <x v="111"/>
  </r>
  <r>
    <x v="81"/>
  </r>
  <r>
    <x v="81"/>
  </r>
  <r>
    <x v="217"/>
  </r>
  <r>
    <x v="75"/>
  </r>
  <r>
    <x v="81"/>
  </r>
  <r>
    <x v="23"/>
  </r>
  <r>
    <x v="12"/>
  </r>
  <r>
    <x v="111"/>
  </r>
  <r>
    <x v="111"/>
  </r>
  <r>
    <x v="36"/>
  </r>
  <r>
    <x v="23"/>
  </r>
  <r>
    <x v="0"/>
  </r>
  <r>
    <x v="111"/>
  </r>
  <r>
    <x v="23"/>
  </r>
  <r>
    <x v="23"/>
  </r>
  <r>
    <x v="111"/>
  </r>
  <r>
    <x v="111"/>
  </r>
  <r>
    <x v="1"/>
  </r>
  <r>
    <x v="108"/>
  </r>
  <r>
    <x v="36"/>
  </r>
  <r>
    <x v="78"/>
  </r>
  <r>
    <x v="111"/>
  </r>
  <r>
    <x v="23"/>
  </r>
  <r>
    <x v="25"/>
  </r>
  <r>
    <x v="25"/>
  </r>
  <r>
    <x v="25"/>
  </r>
  <r>
    <x v="25"/>
  </r>
  <r>
    <x v="25"/>
  </r>
  <r>
    <x v="25"/>
  </r>
  <r>
    <x v="25"/>
  </r>
  <r>
    <x v="25"/>
  </r>
  <r>
    <x v="82"/>
  </r>
  <r>
    <x v="80"/>
  </r>
  <r>
    <x v="25"/>
  </r>
  <r>
    <x v="111"/>
  </r>
  <r>
    <x v="25"/>
  </r>
  <r>
    <x v="25"/>
  </r>
  <r>
    <x v="25"/>
  </r>
  <r>
    <x v="25"/>
  </r>
  <r>
    <x v="25"/>
  </r>
  <r>
    <x v="72"/>
  </r>
  <r>
    <x v="25"/>
  </r>
  <r>
    <x v="23"/>
  </r>
  <r>
    <x v="25"/>
  </r>
  <r>
    <x v="111"/>
  </r>
  <r>
    <x v="111"/>
  </r>
  <r>
    <x v="25"/>
  </r>
  <r>
    <x v="25"/>
  </r>
  <r>
    <x v="25"/>
  </r>
  <r>
    <x v="25"/>
  </r>
  <r>
    <x v="25"/>
  </r>
  <r>
    <x v="25"/>
  </r>
  <r>
    <x v="25"/>
  </r>
  <r>
    <x v="3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88"/>
  </r>
  <r>
    <x v="78"/>
  </r>
  <r>
    <x v="31"/>
  </r>
  <r>
    <x v="91"/>
  </r>
  <r>
    <x v="91"/>
  </r>
  <r>
    <x v="112"/>
  </r>
  <r>
    <x v="23"/>
  </r>
  <r>
    <x v="96"/>
  </r>
  <r>
    <x v="91"/>
  </r>
  <r>
    <x v="99"/>
  </r>
  <r>
    <x v="77"/>
  </r>
  <r>
    <x v="78"/>
  </r>
  <r>
    <x v="78"/>
  </r>
  <r>
    <x v="78"/>
  </r>
  <r>
    <x v="78"/>
  </r>
  <r>
    <x v="78"/>
  </r>
  <r>
    <x v="78"/>
  </r>
  <r>
    <x v="78"/>
  </r>
  <r>
    <x v="4"/>
  </r>
  <r>
    <x v="72"/>
  </r>
  <r>
    <x v="12"/>
  </r>
  <r>
    <x v="29"/>
  </r>
  <r>
    <x v="26"/>
  </r>
  <r>
    <x v="4"/>
  </r>
  <r>
    <x v="16"/>
  </r>
  <r>
    <x v="2"/>
  </r>
  <r>
    <x v="52"/>
  </r>
  <r>
    <x v="22"/>
  </r>
  <r>
    <x v="24"/>
  </r>
  <r>
    <x v="24"/>
  </r>
  <r>
    <x v="14"/>
  </r>
  <r>
    <x v="14"/>
  </r>
  <r>
    <x v="14"/>
  </r>
  <r>
    <x v="14"/>
  </r>
  <r>
    <x v="28"/>
  </r>
  <r>
    <x v="17"/>
  </r>
  <r>
    <x v="14"/>
  </r>
  <r>
    <x v="14"/>
  </r>
  <r>
    <x v="28"/>
  </r>
  <r>
    <x v="79"/>
  </r>
  <r>
    <x v="2"/>
  </r>
  <r>
    <x v="4"/>
  </r>
  <r>
    <x v="24"/>
  </r>
  <r>
    <x v="14"/>
  </r>
  <r>
    <x v="14"/>
  </r>
  <r>
    <x v="45"/>
  </r>
  <r>
    <x v="21"/>
  </r>
  <r>
    <x v="31"/>
  </r>
  <r>
    <x v="0"/>
  </r>
  <r>
    <x v="0"/>
  </r>
  <r>
    <x v="0"/>
  </r>
  <r>
    <x v="53"/>
  </r>
  <r>
    <x v="53"/>
  </r>
  <r>
    <x v="53"/>
  </r>
  <r>
    <x v="28"/>
  </r>
  <r>
    <x v="76"/>
  </r>
  <r>
    <x v="28"/>
  </r>
  <r>
    <x v="53"/>
  </r>
  <r>
    <x v="29"/>
  </r>
  <r>
    <x v="42"/>
  </r>
  <r>
    <x v="12"/>
  </r>
  <r>
    <x v="42"/>
  </r>
  <r>
    <x v="3"/>
  </r>
  <r>
    <x v="12"/>
  </r>
  <r>
    <x v="27"/>
  </r>
  <r>
    <x v="12"/>
  </r>
  <r>
    <x v="4"/>
  </r>
  <r>
    <x v="53"/>
  </r>
  <r>
    <x v="10"/>
  </r>
  <r>
    <x v="77"/>
  </r>
  <r>
    <x v="8"/>
  </r>
  <r>
    <x v="8"/>
  </r>
  <r>
    <x v="8"/>
  </r>
  <r>
    <x v="8"/>
  </r>
  <r>
    <x v="8"/>
  </r>
  <r>
    <x v="8"/>
  </r>
  <r>
    <x v="8"/>
  </r>
  <r>
    <x v="10"/>
  </r>
  <r>
    <x v="8"/>
  </r>
  <r>
    <x v="37"/>
  </r>
  <r>
    <x v="31"/>
  </r>
  <r>
    <x v="14"/>
  </r>
  <r>
    <x v="10"/>
  </r>
  <r>
    <x v="10"/>
  </r>
  <r>
    <x v="108"/>
  </r>
  <r>
    <x v="14"/>
  </r>
  <r>
    <x v="55"/>
  </r>
  <r>
    <x v="55"/>
  </r>
  <r>
    <x v="12"/>
  </r>
  <r>
    <x v="1"/>
  </r>
  <r>
    <x v="31"/>
  </r>
  <r>
    <x v="0"/>
  </r>
  <r>
    <x v="131"/>
  </r>
  <r>
    <x v="141"/>
  </r>
  <r>
    <x v="22"/>
  </r>
  <r>
    <x v="28"/>
  </r>
  <r>
    <x v="71"/>
  </r>
  <r>
    <x v="42"/>
  </r>
  <r>
    <x v="86"/>
  </r>
  <r>
    <x v="10"/>
  </r>
  <r>
    <x v="131"/>
  </r>
  <r>
    <x v="55"/>
  </r>
  <r>
    <x v="14"/>
  </r>
  <r>
    <x v="10"/>
  </r>
  <r>
    <x v="14"/>
  </r>
  <r>
    <x v="14"/>
  </r>
  <r>
    <x v="3"/>
  </r>
  <r>
    <x v="4"/>
  </r>
  <r>
    <x v="22"/>
  </r>
  <r>
    <x v="1"/>
  </r>
  <r>
    <x v="81"/>
  </r>
  <r>
    <x v="14"/>
  </r>
  <r>
    <x v="9"/>
  </r>
  <r>
    <x v="4"/>
  </r>
  <r>
    <x v="31"/>
  </r>
  <r>
    <x v="15"/>
  </r>
  <r>
    <x v="0"/>
  </r>
  <r>
    <x v="45"/>
  </r>
  <r>
    <x v="24"/>
  </r>
  <r>
    <x v="24"/>
  </r>
  <r>
    <x v="154"/>
  </r>
  <r>
    <x v="71"/>
  </r>
  <r>
    <x v="0"/>
  </r>
  <r>
    <x v="4"/>
  </r>
  <r>
    <x v="142"/>
  </r>
  <r>
    <x v="142"/>
  </r>
  <r>
    <x v="16"/>
  </r>
  <r>
    <x v="21"/>
  </r>
  <r>
    <x v="21"/>
  </r>
  <r>
    <x v="21"/>
  </r>
  <r>
    <x v="22"/>
  </r>
  <r>
    <x v="16"/>
  </r>
  <r>
    <x v="21"/>
  </r>
  <r>
    <x v="131"/>
  </r>
  <r>
    <x v="0"/>
  </r>
  <r>
    <x v="21"/>
  </r>
  <r>
    <x v="28"/>
  </r>
  <r>
    <x v="19"/>
  </r>
  <r>
    <x v="112"/>
  </r>
  <r>
    <x v="112"/>
  </r>
  <r>
    <x v="10"/>
  </r>
  <r>
    <x v="12"/>
  </r>
  <r>
    <x v="33"/>
  </r>
  <r>
    <x v="89"/>
  </r>
  <r>
    <x v="21"/>
  </r>
  <r>
    <x v="16"/>
  </r>
  <r>
    <x v="16"/>
  </r>
  <r>
    <x v="16"/>
  </r>
  <r>
    <x v="12"/>
  </r>
  <r>
    <x v="12"/>
  </r>
  <r>
    <x v="12"/>
  </r>
  <r>
    <x v="12"/>
  </r>
  <r>
    <x v="0"/>
  </r>
  <r>
    <x v="4"/>
  </r>
  <r>
    <x v="39"/>
  </r>
  <r>
    <x v="19"/>
  </r>
  <r>
    <x v="27"/>
  </r>
  <r>
    <x v="52"/>
  </r>
  <r>
    <x v="2"/>
  </r>
  <r>
    <x v="55"/>
  </r>
  <r>
    <x v="0"/>
  </r>
  <r>
    <x v="28"/>
  </r>
  <r>
    <x v="14"/>
  </r>
  <r>
    <x v="14"/>
  </r>
  <r>
    <x v="4"/>
  </r>
  <r>
    <x v="14"/>
  </r>
  <r>
    <x v="52"/>
  </r>
  <r>
    <x v="3"/>
  </r>
  <r>
    <x v="71"/>
  </r>
  <r>
    <x v="21"/>
  </r>
  <r>
    <x v="176"/>
  </r>
  <r>
    <x v="21"/>
  </r>
  <r>
    <x v="176"/>
  </r>
  <r>
    <x v="176"/>
  </r>
  <r>
    <x v="57"/>
  </r>
  <r>
    <x v="14"/>
  </r>
  <r>
    <x v="45"/>
  </r>
  <r>
    <x v="4"/>
  </r>
  <r>
    <x v="4"/>
  </r>
  <r>
    <x v="45"/>
  </r>
  <r>
    <x v="31"/>
  </r>
  <r>
    <x v="31"/>
  </r>
  <r>
    <x v="12"/>
  </r>
  <r>
    <x v="12"/>
  </r>
  <r>
    <x v="273"/>
  </r>
  <r>
    <x v="8"/>
  </r>
  <r>
    <x v="19"/>
  </r>
  <r>
    <x v="76"/>
  </r>
  <r>
    <x v="0"/>
  </r>
  <r>
    <x v="42"/>
  </r>
  <r>
    <x v="4"/>
  </r>
  <r>
    <x v="9"/>
  </r>
  <r>
    <x v="115"/>
  </r>
  <r>
    <x v="48"/>
  </r>
  <r>
    <x v="24"/>
  </r>
  <r>
    <x v="10"/>
  </r>
  <r>
    <x v="12"/>
  </r>
  <r>
    <x v="12"/>
  </r>
  <r>
    <x v="9"/>
  </r>
  <r>
    <x v="9"/>
  </r>
  <r>
    <x v="4"/>
  </r>
  <r>
    <x v="115"/>
  </r>
  <r>
    <x v="4"/>
  </r>
  <r>
    <x v="40"/>
  </r>
  <r>
    <x v="45"/>
  </r>
  <r>
    <x v="37"/>
  </r>
  <r>
    <x v="48"/>
  </r>
  <r>
    <x v="14"/>
  </r>
  <r>
    <x v="12"/>
  </r>
  <r>
    <x v="0"/>
  </r>
  <r>
    <x v="16"/>
  </r>
  <r>
    <x v="37"/>
  </r>
  <r>
    <x v="69"/>
  </r>
  <r>
    <x v="69"/>
  </r>
  <r>
    <x v="16"/>
  </r>
  <r>
    <x v="12"/>
  </r>
  <r>
    <x v="16"/>
  </r>
  <r>
    <x v="16"/>
  </r>
  <r>
    <x v="12"/>
  </r>
  <r>
    <x v="21"/>
  </r>
  <r>
    <x v="21"/>
  </r>
  <r>
    <x v="84"/>
  </r>
  <r>
    <x v="45"/>
  </r>
  <r>
    <x v="1"/>
  </r>
  <r>
    <x v="12"/>
  </r>
  <r>
    <x v="19"/>
  </r>
  <r>
    <x v="64"/>
  </r>
  <r>
    <x v="19"/>
  </r>
  <r>
    <x v="64"/>
  </r>
  <r>
    <x v="45"/>
  </r>
  <r>
    <x v="16"/>
  </r>
  <r>
    <x v="68"/>
  </r>
  <r>
    <x v="17"/>
  </r>
  <r>
    <x v="39"/>
  </r>
  <r>
    <x v="45"/>
  </r>
  <r>
    <x v="68"/>
  </r>
  <r>
    <x v="28"/>
  </r>
  <r>
    <x v="28"/>
  </r>
  <r>
    <x v="6"/>
  </r>
  <r>
    <x v="86"/>
  </r>
  <r>
    <x v="4"/>
  </r>
  <r>
    <x v="115"/>
  </r>
  <r>
    <x v="12"/>
  </r>
  <r>
    <x v="53"/>
  </r>
  <r>
    <x v="115"/>
  </r>
  <r>
    <x v="115"/>
  </r>
  <r>
    <x v="0"/>
  </r>
  <r>
    <x v="34"/>
  </r>
  <r>
    <x v="34"/>
  </r>
  <r>
    <x v="1"/>
  </r>
  <r>
    <x v="12"/>
  </r>
  <r>
    <x v="48"/>
  </r>
  <r>
    <x v="16"/>
  </r>
  <r>
    <x v="17"/>
  </r>
  <r>
    <x v="28"/>
  </r>
  <r>
    <x v="28"/>
  </r>
  <r>
    <x v="12"/>
  </r>
  <r>
    <x v="12"/>
  </r>
  <r>
    <x v="14"/>
  </r>
  <r>
    <x v="43"/>
  </r>
  <r>
    <x v="16"/>
  </r>
  <r>
    <x v="33"/>
  </r>
  <r>
    <x v="33"/>
  </r>
  <r>
    <x v="17"/>
  </r>
  <r>
    <x v="16"/>
  </r>
  <r>
    <x v="266"/>
  </r>
  <r>
    <x v="266"/>
  </r>
  <r>
    <x v="266"/>
  </r>
  <r>
    <x v="28"/>
  </r>
  <r>
    <x v="28"/>
  </r>
  <r>
    <x v="28"/>
  </r>
  <r>
    <x v="17"/>
  </r>
  <r>
    <x v="8"/>
  </r>
  <r>
    <x v="4"/>
  </r>
  <r>
    <x v="19"/>
  </r>
  <r>
    <x v="14"/>
  </r>
  <r>
    <x v="12"/>
  </r>
  <r>
    <x v="34"/>
  </r>
  <r>
    <x v="11"/>
  </r>
  <r>
    <x v="130"/>
  </r>
  <r>
    <x v="9"/>
  </r>
  <r>
    <x v="17"/>
  </r>
  <r>
    <x v="10"/>
  </r>
  <r>
    <x v="4"/>
  </r>
  <r>
    <x v="4"/>
  </r>
  <r>
    <x v="0"/>
  </r>
  <r>
    <x v="10"/>
  </r>
  <r>
    <x v="10"/>
  </r>
  <r>
    <x v="19"/>
  </r>
  <r>
    <x v="19"/>
  </r>
  <r>
    <x v="4"/>
  </r>
  <r>
    <x v="39"/>
  </r>
  <r>
    <x v="52"/>
  </r>
  <r>
    <x v="70"/>
  </r>
  <r>
    <x v="70"/>
  </r>
  <r>
    <x v="70"/>
  </r>
  <r>
    <x v="12"/>
  </r>
  <r>
    <x v="16"/>
  </r>
  <r>
    <x v="14"/>
  </r>
  <r>
    <x v="14"/>
  </r>
  <r>
    <x v="14"/>
  </r>
  <r>
    <x v="12"/>
  </r>
  <r>
    <x v="2"/>
  </r>
  <r>
    <x v="7"/>
  </r>
  <r>
    <x v="70"/>
  </r>
  <r>
    <x v="25"/>
  </r>
  <r>
    <x v="0"/>
  </r>
  <r>
    <x v="10"/>
  </r>
  <r>
    <x v="9"/>
  </r>
  <r>
    <x v="9"/>
  </r>
  <r>
    <x v="31"/>
  </r>
  <r>
    <x v="70"/>
  </r>
  <r>
    <x v="70"/>
  </r>
  <r>
    <x v="17"/>
  </r>
  <r>
    <x v="9"/>
  </r>
  <r>
    <x v="71"/>
  </r>
  <r>
    <x v="70"/>
  </r>
  <r>
    <x v="14"/>
  </r>
  <r>
    <x v="12"/>
  </r>
  <r>
    <x v="19"/>
  </r>
  <r>
    <x v="19"/>
  </r>
  <r>
    <x v="387"/>
  </r>
  <r>
    <x v="14"/>
  </r>
  <r>
    <x v="12"/>
  </r>
  <r>
    <x v="10"/>
  </r>
  <r>
    <x v="0"/>
  </r>
  <r>
    <x v="12"/>
  </r>
  <r>
    <x v="0"/>
  </r>
  <r>
    <x v="24"/>
  </r>
  <r>
    <x v="21"/>
  </r>
  <r>
    <x v="1"/>
  </r>
  <r>
    <x v="9"/>
  </r>
  <r>
    <x v="2"/>
  </r>
  <r>
    <x v="4"/>
  </r>
  <r>
    <x v="2"/>
  </r>
  <r>
    <x v="4"/>
  </r>
  <r>
    <x v="48"/>
  </r>
  <r>
    <x v="27"/>
  </r>
  <r>
    <x v="0"/>
  </r>
  <r>
    <x v="25"/>
  </r>
  <r>
    <x v="25"/>
  </r>
  <r>
    <x v="7"/>
  </r>
  <r>
    <x v="7"/>
  </r>
  <r>
    <x v="7"/>
  </r>
  <r>
    <x v="7"/>
  </r>
  <r>
    <x v="7"/>
  </r>
  <r>
    <x v="7"/>
  </r>
  <r>
    <x v="21"/>
  </r>
  <r>
    <x v="131"/>
  </r>
  <r>
    <x v="48"/>
  </r>
  <r>
    <x v="4"/>
  </r>
  <r>
    <x v="12"/>
  </r>
  <r>
    <x v="12"/>
  </r>
  <r>
    <x v="12"/>
  </r>
  <r>
    <x v="76"/>
  </r>
  <r>
    <x v="48"/>
  </r>
  <r>
    <x v="9"/>
  </r>
  <r>
    <x v="17"/>
  </r>
  <r>
    <x v="4"/>
  </r>
  <r>
    <x v="12"/>
  </r>
  <r>
    <x v="4"/>
  </r>
  <r>
    <x v="48"/>
  </r>
  <r>
    <x v="0"/>
  </r>
  <r>
    <x v="98"/>
  </r>
  <r>
    <x v="4"/>
  </r>
  <r>
    <x v="28"/>
  </r>
  <r>
    <x v="12"/>
  </r>
  <r>
    <x v="10"/>
  </r>
  <r>
    <x v="12"/>
  </r>
  <r>
    <x v="12"/>
  </r>
  <r>
    <x v="7"/>
  </r>
  <r>
    <x v="30"/>
  </r>
  <r>
    <x v="4"/>
  </r>
  <r>
    <x v="4"/>
  </r>
  <r>
    <x v="12"/>
  </r>
  <r>
    <x v="6"/>
  </r>
  <r>
    <x v="1"/>
  </r>
  <r>
    <x v="18"/>
  </r>
  <r>
    <x v="10"/>
  </r>
  <r>
    <x v="53"/>
  </r>
  <r>
    <x v="1"/>
  </r>
  <r>
    <x v="19"/>
  </r>
  <r>
    <x v="53"/>
  </r>
  <r>
    <x v="126"/>
  </r>
  <r>
    <x v="143"/>
  </r>
  <r>
    <x v="0"/>
  </r>
  <r>
    <x v="14"/>
  </r>
  <r>
    <x v="4"/>
  </r>
  <r>
    <x v="14"/>
  </r>
  <r>
    <x v="14"/>
  </r>
  <r>
    <x v="22"/>
  </r>
  <r>
    <x v="1"/>
  </r>
  <r>
    <x v="12"/>
  </r>
  <r>
    <x v="16"/>
  </r>
  <r>
    <x v="102"/>
  </r>
  <r>
    <x v="12"/>
  </r>
  <r>
    <x v="11"/>
  </r>
  <r>
    <x v="12"/>
  </r>
  <r>
    <x v="14"/>
  </r>
  <r>
    <x v="16"/>
  </r>
  <r>
    <x v="12"/>
  </r>
  <r>
    <x v="12"/>
  </r>
  <r>
    <x v="12"/>
  </r>
  <r>
    <x v="16"/>
  </r>
  <r>
    <x v="12"/>
  </r>
  <r>
    <x v="12"/>
  </r>
  <r>
    <x v="12"/>
  </r>
  <r>
    <x v="12"/>
  </r>
  <r>
    <x v="16"/>
  </r>
  <r>
    <x v="12"/>
  </r>
  <r>
    <x v="12"/>
  </r>
  <r>
    <x v="12"/>
  </r>
  <r>
    <x v="0"/>
  </r>
  <r>
    <x v="28"/>
  </r>
  <r>
    <x v="2"/>
  </r>
  <r>
    <x v="9"/>
  </r>
  <r>
    <x v="48"/>
  </r>
  <r>
    <x v="37"/>
  </r>
  <r>
    <x v="4"/>
  </r>
  <r>
    <x v="14"/>
  </r>
  <r>
    <x v="14"/>
  </r>
  <r>
    <x v="1"/>
  </r>
  <r>
    <x v="1"/>
  </r>
  <r>
    <x v="1"/>
  </r>
  <r>
    <x v="1"/>
  </r>
  <r>
    <x v="1"/>
  </r>
  <r>
    <x v="1"/>
  </r>
  <r>
    <x v="10"/>
  </r>
  <r>
    <x v="10"/>
  </r>
  <r>
    <x v="4"/>
  </r>
  <r>
    <x v="0"/>
  </r>
  <r>
    <x v="21"/>
  </r>
  <r>
    <x v="12"/>
  </r>
  <r>
    <x v="12"/>
  </r>
  <r>
    <x v="4"/>
  </r>
  <r>
    <x v="53"/>
  </r>
  <r>
    <x v="4"/>
  </r>
  <r>
    <x v="4"/>
  </r>
  <r>
    <x v="0"/>
  </r>
  <r>
    <x v="4"/>
  </r>
  <r>
    <x v="28"/>
  </r>
  <r>
    <x v="4"/>
  </r>
  <r>
    <x v="162"/>
  </r>
  <r>
    <x v="53"/>
  </r>
  <r>
    <x v="21"/>
  </r>
  <r>
    <x v="28"/>
  </r>
  <r>
    <x v="28"/>
  </r>
  <r>
    <x v="1"/>
  </r>
  <r>
    <x v="16"/>
  </r>
  <r>
    <x v="14"/>
  </r>
  <r>
    <x v="4"/>
  </r>
  <r>
    <x v="4"/>
  </r>
  <r>
    <x v="14"/>
  </r>
  <r>
    <x v="28"/>
  </r>
  <r>
    <x v="0"/>
  </r>
  <r>
    <x v="0"/>
  </r>
  <r>
    <x v="0"/>
  </r>
  <r>
    <x v="0"/>
  </r>
  <r>
    <x v="53"/>
  </r>
  <r>
    <x v="10"/>
  </r>
  <r>
    <x v="130"/>
  </r>
  <r>
    <x v="28"/>
  </r>
  <r>
    <x v="12"/>
  </r>
  <r>
    <x v="2"/>
  </r>
  <r>
    <x v="4"/>
  </r>
  <r>
    <x v="4"/>
  </r>
  <r>
    <x v="0"/>
  </r>
  <r>
    <x v="16"/>
  </r>
  <r>
    <x v="33"/>
  </r>
  <r>
    <x v="8"/>
  </r>
  <r>
    <x v="12"/>
  </r>
  <r>
    <x v="28"/>
  </r>
  <r>
    <x v="12"/>
  </r>
  <r>
    <x v="11"/>
  </r>
  <r>
    <x v="10"/>
  </r>
  <r>
    <x v="14"/>
  </r>
  <r>
    <x v="14"/>
  </r>
  <r>
    <x v="4"/>
  </r>
  <r>
    <x v="4"/>
  </r>
  <r>
    <x v="33"/>
  </r>
  <r>
    <x v="45"/>
  </r>
  <r>
    <x v="9"/>
  </r>
  <r>
    <x v="9"/>
  </r>
  <r>
    <x v="31"/>
  </r>
  <r>
    <x v="9"/>
  </r>
  <r>
    <x v="12"/>
  </r>
  <r>
    <x v="12"/>
  </r>
  <r>
    <x v="115"/>
  </r>
  <r>
    <x v="22"/>
  </r>
  <r>
    <x v="2"/>
  </r>
  <r>
    <x v="31"/>
  </r>
  <r>
    <x v="33"/>
  </r>
  <r>
    <x v="10"/>
  </r>
  <r>
    <x v="11"/>
  </r>
  <r>
    <x v="4"/>
  </r>
  <r>
    <x v="4"/>
  </r>
  <r>
    <x v="130"/>
  </r>
  <r>
    <x v="14"/>
  </r>
  <r>
    <x v="28"/>
  </r>
  <r>
    <x v="28"/>
  </r>
  <r>
    <x v="7"/>
  </r>
  <r>
    <x v="7"/>
  </r>
  <r>
    <x v="12"/>
  </r>
  <r>
    <x v="55"/>
  </r>
  <r>
    <x v="42"/>
  </r>
  <r>
    <x v="14"/>
  </r>
  <r>
    <x v="14"/>
  </r>
  <r>
    <x v="10"/>
  </r>
  <r>
    <x v="2"/>
  </r>
  <r>
    <x v="10"/>
  </r>
  <r>
    <x v="19"/>
  </r>
  <r>
    <x v="56"/>
  </r>
  <r>
    <x v="11"/>
  </r>
  <r>
    <x v="33"/>
  </r>
  <r>
    <x v="42"/>
  </r>
  <r>
    <x v="115"/>
  </r>
  <r>
    <x v="10"/>
  </r>
  <r>
    <x v="4"/>
  </r>
  <r>
    <x v="12"/>
  </r>
  <r>
    <x v="4"/>
  </r>
  <r>
    <x v="67"/>
  </r>
  <r>
    <x v="55"/>
  </r>
  <r>
    <x v="67"/>
  </r>
  <r>
    <x v="12"/>
  </r>
  <r>
    <x v="10"/>
  </r>
  <r>
    <x v="12"/>
  </r>
  <r>
    <x v="11"/>
  </r>
  <r>
    <x v="12"/>
  </r>
  <r>
    <x v="7"/>
  </r>
  <r>
    <x v="24"/>
  </r>
  <r>
    <x v="238"/>
  </r>
  <r>
    <x v="12"/>
  </r>
  <r>
    <x v="4"/>
  </r>
  <r>
    <x v="21"/>
  </r>
  <r>
    <x v="11"/>
  </r>
  <r>
    <x v="53"/>
  </r>
  <r>
    <x v="135"/>
  </r>
  <r>
    <x v="86"/>
  </r>
  <r>
    <x v="86"/>
  </r>
  <r>
    <x v="22"/>
  </r>
  <r>
    <x v="86"/>
  </r>
  <r>
    <x v="86"/>
  </r>
  <r>
    <x v="86"/>
  </r>
  <r>
    <x v="135"/>
  </r>
  <r>
    <x v="14"/>
  </r>
  <r>
    <x v="14"/>
  </r>
  <r>
    <x v="11"/>
  </r>
  <r>
    <x v="0"/>
  </r>
  <r>
    <x v="0"/>
  </r>
  <r>
    <x v="0"/>
  </r>
  <r>
    <x v="0"/>
  </r>
  <r>
    <x v="28"/>
  </r>
  <r>
    <x v="28"/>
  </r>
  <r>
    <x v="28"/>
  </r>
  <r>
    <x v="3"/>
  </r>
  <r>
    <x v="48"/>
  </r>
  <r>
    <x v="34"/>
  </r>
  <r>
    <x v="22"/>
  </r>
  <r>
    <x v="22"/>
  </r>
  <r>
    <x v="12"/>
  </r>
  <r>
    <x v="11"/>
  </r>
  <r>
    <x v="11"/>
  </r>
  <r>
    <x v="135"/>
  </r>
  <r>
    <x v="14"/>
  </r>
  <r>
    <x v="14"/>
  </r>
  <r>
    <x v="7"/>
  </r>
  <r>
    <x v="135"/>
  </r>
  <r>
    <x v="28"/>
  </r>
  <r>
    <x v="71"/>
  </r>
  <r>
    <x v="71"/>
  </r>
  <r>
    <x v="53"/>
  </r>
  <r>
    <x v="16"/>
  </r>
  <r>
    <x v="0"/>
  </r>
  <r>
    <x v="0"/>
  </r>
  <r>
    <x v="0"/>
  </r>
  <r>
    <x v="14"/>
  </r>
  <r>
    <x v="9"/>
  </r>
  <r>
    <x v="11"/>
  </r>
  <r>
    <x v="135"/>
  </r>
  <r>
    <x v="24"/>
  </r>
  <r>
    <x v="12"/>
  </r>
  <r>
    <x v="12"/>
  </r>
  <r>
    <x v="12"/>
  </r>
  <r>
    <x v="4"/>
  </r>
  <r>
    <x v="14"/>
  </r>
  <r>
    <x v="53"/>
  </r>
  <r>
    <x v="53"/>
  </r>
  <r>
    <x v="12"/>
  </r>
  <r>
    <x v="12"/>
  </r>
  <r>
    <x v="12"/>
  </r>
  <r>
    <x v="12"/>
  </r>
  <r>
    <x v="12"/>
  </r>
  <r>
    <x v="12"/>
  </r>
  <r>
    <x v="2"/>
  </r>
  <r>
    <x v="12"/>
  </r>
  <r>
    <x v="111"/>
  </r>
  <r>
    <x v="12"/>
  </r>
  <r>
    <x v="53"/>
  </r>
  <r>
    <x v="71"/>
  </r>
  <r>
    <x v="12"/>
  </r>
  <r>
    <x v="144"/>
  </r>
  <r>
    <x v="144"/>
  </r>
  <r>
    <x v="12"/>
  </r>
  <r>
    <x v="34"/>
  </r>
  <r>
    <x v="53"/>
  </r>
  <r>
    <x v="55"/>
  </r>
  <r>
    <x v="9"/>
  </r>
  <r>
    <x v="144"/>
  </r>
  <r>
    <x v="21"/>
  </r>
  <r>
    <x v="63"/>
  </r>
  <r>
    <x v="71"/>
  </r>
  <r>
    <x v="39"/>
  </r>
  <r>
    <x v="51"/>
  </r>
  <r>
    <x v="7"/>
  </r>
  <r>
    <x v="7"/>
  </r>
  <r>
    <x v="12"/>
  </r>
  <r>
    <x v="57"/>
  </r>
  <r>
    <x v="57"/>
  </r>
  <r>
    <x v="71"/>
  </r>
  <r>
    <x v="7"/>
  </r>
  <r>
    <x v="12"/>
  </r>
  <r>
    <x v="12"/>
  </r>
  <r>
    <x v="12"/>
  </r>
  <r>
    <x v="16"/>
  </r>
  <r>
    <x v="11"/>
  </r>
  <r>
    <x v="12"/>
  </r>
  <r>
    <x v="12"/>
  </r>
  <r>
    <x v="17"/>
  </r>
  <r>
    <x v="8"/>
  </r>
  <r>
    <x v="130"/>
  </r>
  <r>
    <x v="12"/>
  </r>
  <r>
    <x v="10"/>
  </r>
  <r>
    <x v="53"/>
  </r>
  <r>
    <x v="53"/>
  </r>
  <r>
    <x v="53"/>
  </r>
  <r>
    <x v="130"/>
  </r>
  <r>
    <x v="1"/>
  </r>
  <r>
    <x v="12"/>
  </r>
  <r>
    <x v="12"/>
  </r>
  <r>
    <x v="0"/>
  </r>
  <r>
    <x v="0"/>
  </r>
  <r>
    <x v="115"/>
  </r>
  <r>
    <x v="115"/>
  </r>
  <r>
    <x v="17"/>
  </r>
  <r>
    <x v="17"/>
  </r>
  <r>
    <x v="57"/>
  </r>
  <r>
    <x v="45"/>
  </r>
  <r>
    <x v="24"/>
  </r>
  <r>
    <x v="24"/>
  </r>
  <r>
    <x v="1"/>
  </r>
  <r>
    <x v="1"/>
  </r>
  <r>
    <x v="28"/>
  </r>
  <r>
    <x v="28"/>
  </r>
  <r>
    <x v="28"/>
  </r>
  <r>
    <x v="0"/>
  </r>
  <r>
    <x v="130"/>
  </r>
  <r>
    <x v="16"/>
  </r>
  <r>
    <x v="16"/>
  </r>
  <r>
    <x v="16"/>
  </r>
  <r>
    <x v="28"/>
  </r>
  <r>
    <x v="28"/>
  </r>
  <r>
    <x v="28"/>
  </r>
  <r>
    <x v="2"/>
  </r>
  <r>
    <x v="2"/>
  </r>
  <r>
    <x v="2"/>
  </r>
  <r>
    <x v="2"/>
  </r>
  <r>
    <x v="2"/>
  </r>
  <r>
    <x v="54"/>
  </r>
  <r>
    <x v="89"/>
  </r>
  <r>
    <x v="79"/>
  </r>
  <r>
    <x v="79"/>
  </r>
  <r>
    <x v="37"/>
  </r>
  <r>
    <x v="37"/>
  </r>
  <r>
    <x v="37"/>
  </r>
  <r>
    <x v="14"/>
  </r>
  <r>
    <x v="14"/>
  </r>
  <r>
    <x v="76"/>
  </r>
  <r>
    <x v="76"/>
  </r>
  <r>
    <x v="108"/>
  </r>
  <r>
    <x v="25"/>
  </r>
  <r>
    <x v="108"/>
  </r>
  <r>
    <x v="4"/>
  </r>
  <r>
    <x v="25"/>
  </r>
  <r>
    <x v="22"/>
  </r>
  <r>
    <x v="199"/>
  </r>
  <r>
    <x v="14"/>
  </r>
  <r>
    <x v="115"/>
  </r>
  <r>
    <x v="41"/>
  </r>
  <r>
    <x v="25"/>
  </r>
  <r>
    <x v="25"/>
  </r>
  <r>
    <x v="25"/>
  </r>
  <r>
    <x v="85"/>
  </r>
  <r>
    <x v="124"/>
  </r>
  <r>
    <x v="124"/>
  </r>
  <r>
    <x v="124"/>
  </r>
  <r>
    <x v="124"/>
  </r>
  <r>
    <x v="124"/>
  </r>
  <r>
    <x v="81"/>
  </r>
  <r>
    <x v="7"/>
  </r>
  <r>
    <x v="28"/>
  </r>
  <r>
    <x v="4"/>
  </r>
  <r>
    <x v="8"/>
  </r>
  <r>
    <x v="8"/>
  </r>
  <r>
    <x v="12"/>
  </r>
  <r>
    <x v="12"/>
  </r>
  <r>
    <x v="123"/>
  </r>
  <r>
    <x v="12"/>
  </r>
  <r>
    <x v="12"/>
  </r>
  <r>
    <x v="123"/>
  </r>
  <r>
    <x v="12"/>
  </r>
  <r>
    <x v="4"/>
  </r>
  <r>
    <x v="4"/>
  </r>
  <r>
    <x v="10"/>
  </r>
  <r>
    <x v="52"/>
  </r>
  <r>
    <x v="42"/>
  </r>
  <r>
    <x v="42"/>
  </r>
  <r>
    <x v="42"/>
  </r>
  <r>
    <x v="28"/>
  </r>
  <r>
    <x v="29"/>
  </r>
  <r>
    <x v="0"/>
  </r>
  <r>
    <x v="57"/>
  </r>
  <r>
    <x v="57"/>
  </r>
  <r>
    <x v="54"/>
  </r>
  <r>
    <x v="21"/>
  </r>
  <r>
    <x v="21"/>
  </r>
  <r>
    <x v="76"/>
  </r>
  <r>
    <x v="76"/>
  </r>
  <r>
    <x v="76"/>
  </r>
  <r>
    <x v="199"/>
  </r>
  <r>
    <x v="76"/>
  </r>
  <r>
    <x v="29"/>
  </r>
  <r>
    <x v="29"/>
  </r>
  <r>
    <x v="72"/>
  </r>
  <r>
    <x v="0"/>
  </r>
  <r>
    <x v="0"/>
  </r>
  <r>
    <x v="0"/>
  </r>
  <r>
    <x v="42"/>
  </r>
  <r>
    <x v="4"/>
  </r>
  <r>
    <x v="4"/>
  </r>
  <r>
    <x v="4"/>
  </r>
  <r>
    <x v="42"/>
  </r>
  <r>
    <x v="0"/>
  </r>
  <r>
    <x v="42"/>
  </r>
  <r>
    <x v="42"/>
  </r>
  <r>
    <x v="53"/>
  </r>
  <r>
    <x v="53"/>
  </r>
  <r>
    <x v="53"/>
  </r>
  <r>
    <x v="53"/>
  </r>
  <r>
    <x v="4"/>
  </r>
  <r>
    <x v="53"/>
  </r>
  <r>
    <x v="42"/>
  </r>
  <r>
    <x v="4"/>
  </r>
  <r>
    <x v="53"/>
  </r>
  <r>
    <x v="143"/>
  </r>
  <r>
    <x v="14"/>
  </r>
  <r>
    <x v="42"/>
  </r>
  <r>
    <x v="42"/>
  </r>
  <r>
    <x v="42"/>
  </r>
  <r>
    <x v="42"/>
  </r>
  <r>
    <x v="42"/>
  </r>
  <r>
    <x v="15"/>
  </r>
  <r>
    <x v="15"/>
  </r>
  <r>
    <x v="42"/>
  </r>
  <r>
    <x v="42"/>
  </r>
  <r>
    <x v="42"/>
  </r>
  <r>
    <x v="42"/>
  </r>
  <r>
    <x v="42"/>
  </r>
  <r>
    <x v="0"/>
  </r>
  <r>
    <x v="10"/>
  </r>
  <r>
    <x v="10"/>
  </r>
  <r>
    <x v="4"/>
  </r>
  <r>
    <x v="28"/>
  </r>
  <r>
    <x v="28"/>
  </r>
  <r>
    <x v="57"/>
  </r>
  <r>
    <x v="0"/>
  </r>
  <r>
    <x v="24"/>
  </r>
  <r>
    <x v="11"/>
  </r>
  <r>
    <x v="14"/>
  </r>
  <r>
    <x v="14"/>
  </r>
  <r>
    <x v="64"/>
  </r>
  <r>
    <x v="40"/>
  </r>
  <r>
    <x v="40"/>
  </r>
  <r>
    <x v="39"/>
  </r>
  <r>
    <x v="10"/>
  </r>
  <r>
    <x v="9"/>
  </r>
  <r>
    <x v="387"/>
  </r>
  <r>
    <x v="10"/>
  </r>
  <r>
    <x v="13"/>
  </r>
  <r>
    <x v="8"/>
  </r>
  <r>
    <x v="19"/>
  </r>
  <r>
    <x v="14"/>
  </r>
  <r>
    <x v="10"/>
  </r>
  <r>
    <x v="25"/>
  </r>
  <r>
    <x v="4"/>
  </r>
  <r>
    <x v="4"/>
  </r>
  <r>
    <x v="4"/>
  </r>
  <r>
    <x v="10"/>
  </r>
  <r>
    <x v="9"/>
  </r>
  <r>
    <x v="15"/>
  </r>
  <r>
    <x v="115"/>
  </r>
  <r>
    <x v="4"/>
  </r>
  <r>
    <x v="7"/>
  </r>
  <r>
    <x v="7"/>
  </r>
  <r>
    <x v="28"/>
  </r>
  <r>
    <x v="21"/>
  </r>
  <r>
    <x v="25"/>
  </r>
  <r>
    <x v="113"/>
  </r>
  <r>
    <x v="4"/>
  </r>
  <r>
    <x v="29"/>
  </r>
  <r>
    <x v="9"/>
  </r>
  <r>
    <x v="10"/>
  </r>
  <r>
    <x v="10"/>
  </r>
  <r>
    <x v="14"/>
  </r>
  <r>
    <x v="14"/>
  </r>
  <r>
    <x v="33"/>
  </r>
  <r>
    <x v="12"/>
  </r>
  <r>
    <x v="12"/>
  </r>
  <r>
    <x v="12"/>
  </r>
  <r>
    <x v="4"/>
  </r>
  <r>
    <x v="45"/>
  </r>
  <r>
    <x v="46"/>
  </r>
  <r>
    <x v="19"/>
  </r>
  <r>
    <x v="10"/>
  </r>
  <r>
    <x v="31"/>
  </r>
  <r>
    <x v="67"/>
  </r>
  <r>
    <x v="67"/>
  </r>
  <r>
    <x v="67"/>
  </r>
  <r>
    <x v="67"/>
  </r>
  <r>
    <x v="67"/>
  </r>
  <r>
    <x v="67"/>
  </r>
  <r>
    <x v="12"/>
  </r>
  <r>
    <x v="34"/>
  </r>
  <r>
    <x v="34"/>
  </r>
  <r>
    <x v="34"/>
  </r>
  <r>
    <x v="34"/>
  </r>
  <r>
    <x v="4"/>
  </r>
  <r>
    <x v="12"/>
  </r>
  <r>
    <x v="15"/>
  </r>
  <r>
    <x v="33"/>
  </r>
  <r>
    <x v="46"/>
  </r>
  <r>
    <x v="46"/>
  </r>
  <r>
    <x v="9"/>
  </r>
  <r>
    <x v="0"/>
  </r>
  <r>
    <x v="0"/>
  </r>
  <r>
    <x v="0"/>
  </r>
  <r>
    <x v="2"/>
  </r>
  <r>
    <x v="162"/>
  </r>
  <r>
    <x v="75"/>
  </r>
  <r>
    <x v="29"/>
  </r>
  <r>
    <x v="11"/>
  </r>
  <r>
    <x v="11"/>
  </r>
  <r>
    <x v="9"/>
  </r>
  <r>
    <x v="0"/>
  </r>
  <r>
    <x v="75"/>
  </r>
  <r>
    <x v="55"/>
  </r>
  <r>
    <x v="42"/>
  </r>
  <r>
    <x v="30"/>
  </r>
  <r>
    <x v="53"/>
  </r>
  <r>
    <x v="12"/>
  </r>
  <r>
    <x v="0"/>
  </r>
  <r>
    <x v="0"/>
  </r>
  <r>
    <x v="21"/>
  </r>
  <r>
    <x v="34"/>
  </r>
  <r>
    <x v="4"/>
  </r>
  <r>
    <x v="28"/>
  </r>
  <r>
    <x v="0"/>
  </r>
  <r>
    <x v="11"/>
  </r>
  <r>
    <x v="11"/>
  </r>
  <r>
    <x v="29"/>
  </r>
  <r>
    <x v="4"/>
  </r>
  <r>
    <x v="35"/>
  </r>
  <r>
    <x v="12"/>
  </r>
  <r>
    <x v="12"/>
  </r>
  <r>
    <x v="48"/>
  </r>
  <r>
    <x v="12"/>
  </r>
  <r>
    <x v="1"/>
  </r>
  <r>
    <x v="75"/>
  </r>
  <r>
    <x v="9"/>
  </r>
  <r>
    <x v="0"/>
  </r>
  <r>
    <x v="19"/>
  </r>
  <r>
    <x v="57"/>
  </r>
  <r>
    <x v="31"/>
  </r>
  <r>
    <x v="53"/>
  </r>
  <r>
    <x v="11"/>
  </r>
  <r>
    <x v="9"/>
  </r>
  <r>
    <x v="11"/>
  </r>
  <r>
    <x v="4"/>
  </r>
  <r>
    <x v="37"/>
  </r>
  <r>
    <x v="4"/>
  </r>
  <r>
    <x v="4"/>
  </r>
  <r>
    <x v="11"/>
  </r>
  <r>
    <x v="4"/>
  </r>
  <r>
    <x v="4"/>
  </r>
  <r>
    <x v="48"/>
  </r>
  <r>
    <x v="4"/>
  </r>
  <r>
    <x v="0"/>
  </r>
  <r>
    <x v="76"/>
  </r>
  <r>
    <x v="45"/>
  </r>
  <r>
    <x v="45"/>
  </r>
  <r>
    <x v="45"/>
  </r>
  <r>
    <x v="19"/>
  </r>
  <r>
    <x v="12"/>
  </r>
  <r>
    <x v="4"/>
  </r>
  <r>
    <x v="4"/>
  </r>
  <r>
    <x v="19"/>
  </r>
  <r>
    <x v="64"/>
  </r>
  <r>
    <x v="12"/>
  </r>
  <r>
    <x v="12"/>
  </r>
  <r>
    <x v="12"/>
  </r>
  <r>
    <x v="12"/>
  </r>
  <r>
    <x v="1"/>
  </r>
  <r>
    <x v="7"/>
  </r>
  <r>
    <x v="12"/>
  </r>
  <r>
    <x v="19"/>
  </r>
  <r>
    <x v="45"/>
  </r>
  <r>
    <x v="14"/>
  </r>
  <r>
    <x v="45"/>
  </r>
  <r>
    <x v="11"/>
  </r>
  <r>
    <x v="11"/>
  </r>
  <r>
    <x v="11"/>
  </r>
  <r>
    <x v="4"/>
  </r>
  <r>
    <x v="55"/>
  </r>
  <r>
    <x v="55"/>
  </r>
  <r>
    <x v="55"/>
  </r>
  <r>
    <x v="78"/>
  </r>
  <r>
    <x v="78"/>
  </r>
  <r>
    <x v="16"/>
  </r>
  <r>
    <x v="1"/>
  </r>
  <r>
    <x v="3"/>
  </r>
  <r>
    <x v="0"/>
  </r>
  <r>
    <x v="12"/>
  </r>
  <r>
    <x v="12"/>
  </r>
  <r>
    <x v="4"/>
  </r>
  <r>
    <x v="12"/>
  </r>
  <r>
    <x v="4"/>
  </r>
  <r>
    <x v="31"/>
  </r>
  <r>
    <x v="4"/>
  </r>
  <r>
    <x v="4"/>
  </r>
  <r>
    <x v="4"/>
  </r>
  <r>
    <x v="12"/>
  </r>
  <r>
    <x v="12"/>
  </r>
  <r>
    <x v="14"/>
  </r>
  <r>
    <x v="24"/>
  </r>
  <r>
    <x v="15"/>
  </r>
  <r>
    <x v="24"/>
  </r>
  <r>
    <x v="12"/>
  </r>
  <r>
    <x v="12"/>
  </r>
  <r>
    <x v="12"/>
  </r>
  <r>
    <x v="12"/>
  </r>
  <r>
    <x v="0"/>
  </r>
  <r>
    <x v="55"/>
  </r>
  <r>
    <x v="4"/>
  </r>
  <r>
    <x v="4"/>
  </r>
  <r>
    <x v="21"/>
  </r>
  <r>
    <x v="21"/>
  </r>
  <r>
    <x v="4"/>
  </r>
  <r>
    <x v="48"/>
  </r>
  <r>
    <x v="28"/>
  </r>
  <r>
    <x v="28"/>
  </r>
  <r>
    <x v="7"/>
  </r>
  <r>
    <x v="12"/>
  </r>
  <r>
    <x v="111"/>
  </r>
  <r>
    <x v="115"/>
  </r>
  <r>
    <x v="12"/>
  </r>
  <r>
    <x v="14"/>
  </r>
  <r>
    <x v="0"/>
  </r>
  <r>
    <x v="11"/>
  </r>
  <r>
    <x v="42"/>
  </r>
  <r>
    <x v="9"/>
  </r>
  <r>
    <x v="16"/>
  </r>
  <r>
    <x v="39"/>
  </r>
  <r>
    <x v="4"/>
  </r>
  <r>
    <x v="4"/>
  </r>
  <r>
    <x v="12"/>
  </r>
  <r>
    <x v="12"/>
  </r>
  <r>
    <x v="64"/>
  </r>
  <r>
    <x v="72"/>
  </r>
  <r>
    <x v="115"/>
  </r>
  <r>
    <x v="40"/>
  </r>
  <r>
    <x v="0"/>
  </r>
  <r>
    <x v="12"/>
  </r>
  <r>
    <x v="9"/>
  </r>
  <r>
    <x v="16"/>
  </r>
  <r>
    <x v="12"/>
  </r>
  <r>
    <x v="14"/>
  </r>
  <r>
    <x v="53"/>
  </r>
  <r>
    <x v="14"/>
  </r>
  <r>
    <x v="4"/>
  </r>
  <r>
    <x v="4"/>
  </r>
  <r>
    <x v="64"/>
  </r>
  <r>
    <x v="16"/>
  </r>
  <r>
    <x v="115"/>
  </r>
  <r>
    <x v="115"/>
  </r>
  <r>
    <x v="12"/>
  </r>
  <r>
    <x v="69"/>
  </r>
  <r>
    <x v="69"/>
  </r>
  <r>
    <x v="21"/>
  </r>
  <r>
    <x v="115"/>
  </r>
  <r>
    <x v="6"/>
  </r>
  <r>
    <x v="39"/>
  </r>
  <r>
    <x v="68"/>
  </r>
  <r>
    <x v="28"/>
  </r>
  <r>
    <x v="28"/>
  </r>
  <r>
    <x v="48"/>
  </r>
  <r>
    <x v="4"/>
  </r>
  <r>
    <x v="57"/>
  </r>
  <r>
    <x v="7"/>
  </r>
  <r>
    <x v="4"/>
  </r>
  <r>
    <x v="87"/>
  </r>
  <r>
    <x v="2"/>
  </r>
  <r>
    <x v="51"/>
  </r>
  <r>
    <x v="78"/>
  </r>
  <r>
    <x v="16"/>
  </r>
  <r>
    <x v="12"/>
  </r>
  <r>
    <x v="84"/>
  </r>
  <r>
    <x v="19"/>
  </r>
  <r>
    <x v="12"/>
  </r>
  <r>
    <x v="12"/>
  </r>
  <r>
    <x v="12"/>
  </r>
  <r>
    <x v="12"/>
  </r>
  <r>
    <x v="19"/>
  </r>
  <r>
    <x v="53"/>
  </r>
  <r>
    <x v="53"/>
  </r>
  <r>
    <x v="19"/>
  </r>
  <r>
    <x v="53"/>
  </r>
  <r>
    <x v="41"/>
  </r>
  <r>
    <x v="19"/>
  </r>
  <r>
    <x v="53"/>
  </r>
  <r>
    <x v="19"/>
  </r>
  <r>
    <x v="53"/>
  </r>
  <r>
    <x v="48"/>
  </r>
  <r>
    <x v="48"/>
  </r>
  <r>
    <x v="48"/>
  </r>
  <r>
    <x v="48"/>
  </r>
  <r>
    <x v="141"/>
  </r>
  <r>
    <x v="115"/>
  </r>
  <r>
    <x v="115"/>
  </r>
  <r>
    <x v="141"/>
  </r>
  <r>
    <x v="19"/>
  </r>
  <r>
    <x v="34"/>
  </r>
  <r>
    <x v="115"/>
  </r>
  <r>
    <x v="115"/>
  </r>
  <r>
    <x v="63"/>
  </r>
  <r>
    <x v="50"/>
  </r>
  <r>
    <x v="76"/>
  </r>
  <r>
    <x v="4"/>
  </r>
  <r>
    <x v="70"/>
  </r>
  <r>
    <x v="70"/>
  </r>
  <r>
    <x v="115"/>
  </r>
  <r>
    <x v="115"/>
  </r>
  <r>
    <x v="115"/>
  </r>
  <r>
    <x v="57"/>
  </r>
  <r>
    <x v="115"/>
  </r>
  <r>
    <x v="115"/>
  </r>
  <r>
    <x v="57"/>
  </r>
  <r>
    <x v="34"/>
  </r>
  <r>
    <x v="1"/>
  </r>
  <r>
    <x v="29"/>
  </r>
  <r>
    <x v="141"/>
  </r>
  <r>
    <x v="141"/>
  </r>
  <r>
    <x v="16"/>
  </r>
  <r>
    <x v="16"/>
  </r>
  <r>
    <x v="16"/>
  </r>
  <r>
    <x v="16"/>
  </r>
  <r>
    <x v="115"/>
  </r>
  <r>
    <x v="7"/>
  </r>
  <r>
    <x v="7"/>
  </r>
  <r>
    <x v="76"/>
  </r>
  <r>
    <x v="56"/>
  </r>
  <r>
    <x v="21"/>
  </r>
  <r>
    <x v="4"/>
  </r>
  <r>
    <x v="17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4"/>
  </r>
  <r>
    <x v="57"/>
  </r>
  <r>
    <x v="48"/>
  </r>
  <r>
    <x v="76"/>
  </r>
  <r>
    <x v="76"/>
  </r>
  <r>
    <x v="48"/>
  </r>
  <r>
    <x v="48"/>
  </r>
  <r>
    <x v="48"/>
  </r>
  <r>
    <x v="48"/>
  </r>
  <r>
    <x v="57"/>
  </r>
  <r>
    <x v="57"/>
  </r>
  <r>
    <x v="57"/>
  </r>
  <r>
    <x v="12"/>
  </r>
  <r>
    <x v="14"/>
  </r>
  <r>
    <x v="4"/>
  </r>
  <r>
    <x v="142"/>
  </r>
  <r>
    <x v="42"/>
  </r>
  <r>
    <x v="16"/>
  </r>
  <r>
    <x v="142"/>
  </r>
  <r>
    <x v="142"/>
  </r>
  <r>
    <x v="46"/>
  </r>
  <r>
    <x v="1"/>
  </r>
  <r>
    <x v="1"/>
  </r>
  <r>
    <x v="19"/>
  </r>
  <r>
    <x v="19"/>
  </r>
  <r>
    <x v="115"/>
  </r>
  <r>
    <x v="52"/>
  </r>
  <r>
    <x v="12"/>
  </r>
  <r>
    <x v="131"/>
  </r>
  <r>
    <x v="27"/>
  </r>
  <r>
    <x v="27"/>
  </r>
  <r>
    <x v="52"/>
  </r>
  <r>
    <x v="52"/>
  </r>
  <r>
    <x v="144"/>
  </r>
  <r>
    <x v="144"/>
  </r>
  <r>
    <x v="28"/>
  </r>
  <r>
    <x v="28"/>
  </r>
  <r>
    <x v="28"/>
  </r>
  <r>
    <x v="28"/>
  </r>
  <r>
    <x v="28"/>
  </r>
  <r>
    <x v="28"/>
  </r>
  <r>
    <x v="28"/>
  </r>
  <r>
    <x v="59"/>
  </r>
  <r>
    <x v="143"/>
  </r>
  <r>
    <x v="143"/>
  </r>
  <r>
    <x v="143"/>
  </r>
  <r>
    <x v="143"/>
  </r>
  <r>
    <x v="12"/>
  </r>
  <r>
    <x v="71"/>
  </r>
  <r>
    <x v="71"/>
  </r>
  <r>
    <x v="81"/>
  </r>
  <r>
    <x v="53"/>
  </r>
  <r>
    <x v="53"/>
  </r>
  <r>
    <x v="57"/>
  </r>
  <r>
    <x v="62"/>
  </r>
  <r>
    <x v="4"/>
  </r>
  <r>
    <x v="53"/>
  </r>
  <r>
    <x v="4"/>
  </r>
  <r>
    <x v="4"/>
  </r>
  <r>
    <x v="4"/>
  </r>
  <r>
    <x v="7"/>
  </r>
  <r>
    <x v="7"/>
  </r>
  <r>
    <x v="12"/>
  </r>
  <r>
    <x v="53"/>
  </r>
  <r>
    <x v="45"/>
  </r>
  <r>
    <x v="115"/>
  </r>
  <r>
    <x v="115"/>
  </r>
  <r>
    <x v="71"/>
  </r>
  <r>
    <x v="0"/>
  </r>
  <r>
    <x v="42"/>
  </r>
  <r>
    <x v="42"/>
  </r>
  <r>
    <x v="4"/>
  </r>
  <r>
    <x v="28"/>
  </r>
  <r>
    <x v="0"/>
  </r>
  <r>
    <x v="24"/>
  </r>
  <r>
    <x v="59"/>
  </r>
  <r>
    <x v="64"/>
  </r>
  <r>
    <x v="2"/>
  </r>
  <r>
    <x v="2"/>
  </r>
  <r>
    <x v="28"/>
  </r>
  <r>
    <x v="37"/>
  </r>
  <r>
    <x v="28"/>
  </r>
  <r>
    <x v="28"/>
  </r>
  <r>
    <x v="28"/>
  </r>
  <r>
    <x v="4"/>
  </r>
  <r>
    <x v="4"/>
  </r>
  <r>
    <x v="71"/>
  </r>
  <r>
    <x v="71"/>
  </r>
  <r>
    <x v="135"/>
  </r>
  <r>
    <x v="25"/>
  </r>
  <r>
    <x v="25"/>
  </r>
  <r>
    <x v="100"/>
  </r>
  <r>
    <x v="28"/>
  </r>
  <r>
    <x v="25"/>
  </r>
  <r>
    <x v="25"/>
  </r>
  <r>
    <x v="82"/>
  </r>
  <r>
    <x v="72"/>
  </r>
  <r>
    <x v="76"/>
  </r>
  <r>
    <x v="25"/>
  </r>
  <r>
    <x v="25"/>
  </r>
  <r>
    <x v="25"/>
  </r>
  <r>
    <x v="25"/>
  </r>
  <r>
    <x v="25"/>
  </r>
  <r>
    <x v="25"/>
  </r>
  <r>
    <x v="72"/>
  </r>
  <r>
    <x v="25"/>
  </r>
  <r>
    <x v="25"/>
  </r>
  <r>
    <x v="72"/>
  </r>
  <r>
    <x v="82"/>
  </r>
  <r>
    <x v="82"/>
  </r>
  <r>
    <x v="82"/>
  </r>
  <r>
    <x v="72"/>
  </r>
  <r>
    <x v="78"/>
  </r>
  <r>
    <x v="78"/>
  </r>
  <r>
    <x v="57"/>
  </r>
  <r>
    <x v="25"/>
  </r>
  <r>
    <x v="25"/>
  </r>
  <r>
    <x v="25"/>
  </r>
  <r>
    <x v="72"/>
  </r>
  <r>
    <x v="25"/>
  </r>
  <r>
    <x v="72"/>
  </r>
  <r>
    <x v="25"/>
  </r>
  <r>
    <x v="25"/>
  </r>
  <r>
    <x v="76"/>
  </r>
  <r>
    <x v="72"/>
  </r>
  <r>
    <x v="25"/>
  </r>
  <r>
    <x v="25"/>
  </r>
  <r>
    <x v="0"/>
  </r>
  <r>
    <x v="0"/>
  </r>
  <r>
    <x v="25"/>
  </r>
  <r>
    <x v="57"/>
  </r>
  <r>
    <x v="72"/>
  </r>
  <r>
    <x v="25"/>
  </r>
  <r>
    <x v="0"/>
  </r>
  <r>
    <x v="0"/>
  </r>
  <r>
    <x v="14"/>
  </r>
  <r>
    <x v="229"/>
  </r>
  <r>
    <x v="57"/>
  </r>
  <r>
    <x v="25"/>
  </r>
  <r>
    <x v="17"/>
  </r>
  <r>
    <x v="82"/>
  </r>
  <r>
    <x v="82"/>
  </r>
  <r>
    <x v="25"/>
  </r>
  <r>
    <x v="72"/>
  </r>
  <r>
    <x v="0"/>
  </r>
  <r>
    <x v="25"/>
  </r>
  <r>
    <x v="25"/>
  </r>
  <r>
    <x v="79"/>
  </r>
  <r>
    <x v="42"/>
  </r>
  <r>
    <x v="2"/>
  </r>
  <r>
    <x v="20"/>
  </r>
  <r>
    <x v="25"/>
  </r>
  <r>
    <x v="25"/>
  </r>
  <r>
    <x v="82"/>
  </r>
  <r>
    <x v="0"/>
  </r>
  <r>
    <x v="0"/>
  </r>
  <r>
    <x v="82"/>
  </r>
  <r>
    <x v="86"/>
  </r>
  <r>
    <x v="57"/>
  </r>
  <r>
    <x v="25"/>
  </r>
  <r>
    <x v="48"/>
  </r>
  <r>
    <x v="48"/>
  </r>
  <r>
    <x v="57"/>
  </r>
  <r>
    <x v="3"/>
  </r>
  <r>
    <x v="72"/>
  </r>
  <r>
    <x v="10"/>
  </r>
  <r>
    <x v="110"/>
  </r>
  <r>
    <x v="24"/>
  </r>
  <r>
    <x v="25"/>
  </r>
  <r>
    <x v="72"/>
  </r>
  <r>
    <x v="25"/>
  </r>
  <r>
    <x v="25"/>
  </r>
  <r>
    <x v="104"/>
  </r>
  <r>
    <x v="25"/>
  </r>
  <r>
    <x v="82"/>
  </r>
  <r>
    <x v="59"/>
  </r>
  <r>
    <x v="25"/>
  </r>
  <r>
    <x v="72"/>
  </r>
  <r>
    <x v="12"/>
  </r>
  <r>
    <x v="12"/>
  </r>
  <r>
    <x v="12"/>
  </r>
  <r>
    <x v="128"/>
  </r>
  <r>
    <x v="42"/>
  </r>
  <r>
    <x v="72"/>
  </r>
  <r>
    <x v="72"/>
  </r>
  <r>
    <x v="79"/>
  </r>
  <r>
    <x v="27"/>
  </r>
  <r>
    <x v="82"/>
  </r>
  <r>
    <x v="27"/>
  </r>
  <r>
    <x v="27"/>
  </r>
  <r>
    <x v="16"/>
  </r>
  <r>
    <x v="16"/>
  </r>
  <r>
    <x v="27"/>
  </r>
  <r>
    <x v="56"/>
  </r>
  <r>
    <x v="16"/>
  </r>
  <r>
    <x v="16"/>
  </r>
  <r>
    <x v="16"/>
  </r>
  <r>
    <x v="27"/>
  </r>
  <r>
    <x v="27"/>
  </r>
  <r>
    <x v="32"/>
  </r>
  <r>
    <x v="136"/>
  </r>
  <r>
    <x v="31"/>
  </r>
  <r>
    <x v="31"/>
  </r>
  <r>
    <x v="31"/>
  </r>
  <r>
    <x v="31"/>
  </r>
  <r>
    <x v="31"/>
  </r>
  <r>
    <x v="134"/>
  </r>
  <r>
    <x v="155"/>
  </r>
  <r>
    <x v="31"/>
  </r>
  <r>
    <x v="31"/>
  </r>
  <r>
    <x v="10"/>
  </r>
  <r>
    <x v="10"/>
  </r>
  <r>
    <x v="10"/>
  </r>
  <r>
    <x v="10"/>
  </r>
  <r>
    <x v="14"/>
  </r>
  <r>
    <x v="113"/>
  </r>
  <r>
    <x v="93"/>
  </r>
  <r>
    <x v="83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26"/>
  </r>
  <r>
    <x v="25"/>
  </r>
  <r>
    <x v="25"/>
  </r>
  <r>
    <x v="25"/>
  </r>
  <r>
    <x v="0"/>
  </r>
  <r>
    <x v="75"/>
  </r>
  <r>
    <x v="75"/>
  </r>
  <r>
    <x v="0"/>
  </r>
  <r>
    <x v="75"/>
  </r>
  <r>
    <x v="93"/>
  </r>
  <r>
    <x v="76"/>
  </r>
  <r>
    <x v="72"/>
  </r>
  <r>
    <x v="76"/>
  </r>
  <r>
    <x v="72"/>
  </r>
  <r>
    <x v="72"/>
  </r>
  <r>
    <x v="72"/>
  </r>
  <r>
    <x v="26"/>
  </r>
  <r>
    <x v="127"/>
  </r>
  <r>
    <x v="82"/>
  </r>
  <r>
    <x v="204"/>
  </r>
  <r>
    <x v="25"/>
  </r>
  <r>
    <x v="85"/>
  </r>
  <r>
    <x v="27"/>
  </r>
  <r>
    <x v="63"/>
  </r>
  <r>
    <x v="63"/>
  </r>
  <r>
    <x v="76"/>
  </r>
  <r>
    <x v="87"/>
  </r>
  <r>
    <x v="83"/>
  </r>
  <r>
    <x v="27"/>
  </r>
  <r>
    <x v="32"/>
  </r>
  <r>
    <x v="76"/>
  </r>
  <r>
    <x v="216"/>
  </r>
  <r>
    <x v="82"/>
  </r>
  <r>
    <x v="83"/>
  </r>
  <r>
    <x v="83"/>
  </r>
  <r>
    <x v="83"/>
  </r>
  <r>
    <x v="83"/>
  </r>
  <r>
    <x v="34"/>
  </r>
  <r>
    <x v="10"/>
  </r>
  <r>
    <x v="182"/>
  </r>
  <r>
    <x v="70"/>
  </r>
  <r>
    <x v="128"/>
  </r>
  <r>
    <x v="233"/>
  </r>
  <r>
    <x v="44"/>
  </r>
  <r>
    <x v="34"/>
  </r>
  <r>
    <x v="60"/>
  </r>
  <r>
    <x v="14"/>
  </r>
  <r>
    <x v="14"/>
  </r>
  <r>
    <x v="57"/>
  </r>
  <r>
    <x v="57"/>
  </r>
  <r>
    <x v="57"/>
  </r>
  <r>
    <x v="57"/>
  </r>
  <r>
    <x v="57"/>
  </r>
  <r>
    <x v="57"/>
  </r>
  <r>
    <x v="57"/>
  </r>
  <r>
    <x v="14"/>
  </r>
  <r>
    <x v="14"/>
  </r>
  <r>
    <x v="31"/>
  </r>
  <r>
    <x v="82"/>
  </r>
  <r>
    <x v="82"/>
  </r>
  <r>
    <x v="24"/>
  </r>
  <r>
    <x v="10"/>
  </r>
  <r>
    <x v="10"/>
  </r>
  <r>
    <x v="10"/>
  </r>
  <r>
    <x v="10"/>
  </r>
  <r>
    <x v="31"/>
  </r>
  <r>
    <x v="76"/>
  </r>
  <r>
    <x v="76"/>
  </r>
  <r>
    <x v="25"/>
  </r>
  <r>
    <x v="14"/>
  </r>
  <r>
    <x v="76"/>
  </r>
  <r>
    <x v="76"/>
  </r>
  <r>
    <x v="76"/>
  </r>
  <r>
    <x v="14"/>
  </r>
  <r>
    <x v="14"/>
  </r>
  <r>
    <x v="14"/>
  </r>
  <r>
    <x v="16"/>
  </r>
  <r>
    <x v="29"/>
  </r>
  <r>
    <x v="124"/>
  </r>
  <r>
    <x v="124"/>
  </r>
  <r>
    <x v="154"/>
  </r>
  <r>
    <x v="124"/>
  </r>
  <r>
    <x v="205"/>
  </r>
  <r>
    <x v="25"/>
  </r>
  <r>
    <x v="25"/>
  </r>
  <r>
    <x v="76"/>
  </r>
  <r>
    <x v="25"/>
  </r>
  <r>
    <x v="50"/>
  </r>
  <r>
    <x v="110"/>
  </r>
  <r>
    <x v="72"/>
  </r>
  <r>
    <x v="25"/>
  </r>
  <r>
    <x v="25"/>
  </r>
  <r>
    <x v="25"/>
  </r>
  <r>
    <x v="7"/>
  </r>
  <r>
    <x v="7"/>
  </r>
  <r>
    <x v="96"/>
  </r>
  <r>
    <x v="31"/>
  </r>
  <r>
    <x v="3"/>
  </r>
  <r>
    <x v="86"/>
  </r>
  <r>
    <x v="100"/>
  </r>
  <r>
    <x v="182"/>
  </r>
  <r>
    <x v="216"/>
  </r>
  <r>
    <x v="68"/>
  </r>
  <r>
    <x v="82"/>
  </r>
  <r>
    <x v="68"/>
  </r>
  <r>
    <x v="59"/>
  </r>
  <r>
    <x v="114"/>
  </r>
  <r>
    <x v="121"/>
  </r>
  <r>
    <x v="82"/>
  </r>
  <r>
    <x v="127"/>
  </r>
  <r>
    <x v="10"/>
  </r>
  <r>
    <x v="10"/>
  </r>
  <r>
    <x v="48"/>
  </r>
  <r>
    <x v="10"/>
  </r>
  <r>
    <x v="48"/>
  </r>
  <r>
    <x v="10"/>
  </r>
  <r>
    <x v="10"/>
  </r>
  <r>
    <x v="10"/>
  </r>
  <r>
    <x v="48"/>
  </r>
  <r>
    <x v="48"/>
  </r>
  <r>
    <x v="112"/>
  </r>
  <r>
    <x v="182"/>
  </r>
  <r>
    <x v="31"/>
  </r>
  <r>
    <x v="31"/>
  </r>
  <r>
    <x v="31"/>
  </r>
  <r>
    <x v="142"/>
  </r>
  <r>
    <x v="44"/>
  </r>
  <r>
    <x v="21"/>
  </r>
  <r>
    <x v="21"/>
  </r>
  <r>
    <x v="21"/>
  </r>
  <r>
    <x v="22"/>
  </r>
  <r>
    <x v="46"/>
  </r>
  <r>
    <x v="27"/>
  </r>
  <r>
    <x v="31"/>
  </r>
  <r>
    <x v="79"/>
  </r>
  <r>
    <x v="76"/>
  </r>
  <r>
    <x v="29"/>
  </r>
  <r>
    <x v="93"/>
  </r>
  <r>
    <x v="93"/>
  </r>
  <r>
    <x v="71"/>
  </r>
  <r>
    <x v="79"/>
  </r>
  <r>
    <x v="79"/>
  </r>
  <r>
    <x v="173"/>
  </r>
  <r>
    <x v="182"/>
  </r>
  <r>
    <x v="142"/>
  </r>
  <r>
    <x v="3"/>
  </r>
  <r>
    <x v="31"/>
  </r>
  <r>
    <x v="329"/>
  </r>
  <r>
    <x v="44"/>
  </r>
  <r>
    <x v="31"/>
  </r>
  <r>
    <x v="86"/>
  </r>
  <r>
    <x v="81"/>
  </r>
  <r>
    <x v="85"/>
  </r>
  <r>
    <x v="2"/>
  </r>
  <r>
    <x v="79"/>
  </r>
  <r>
    <x v="22"/>
  </r>
  <r>
    <x v="22"/>
  </r>
  <r>
    <x v="143"/>
  </r>
  <r>
    <x v="81"/>
  </r>
  <r>
    <x v="204"/>
  </r>
  <r>
    <x v="85"/>
  </r>
  <r>
    <x v="29"/>
  </r>
  <r>
    <x v="81"/>
  </r>
  <r>
    <x v="199"/>
  </r>
  <r>
    <x v="96"/>
  </r>
  <r>
    <x v="10"/>
  </r>
  <r>
    <x v="328"/>
  </r>
  <r>
    <x v="328"/>
  </r>
  <r>
    <x v="82"/>
  </r>
  <r>
    <x v="3"/>
  </r>
  <r>
    <x v="82"/>
  </r>
  <r>
    <x v="25"/>
  </r>
  <r>
    <x v="99"/>
  </r>
  <r>
    <x v="76"/>
  </r>
  <r>
    <x v="108"/>
  </r>
  <r>
    <x v="63"/>
  </r>
  <r>
    <x v="63"/>
  </r>
  <r>
    <x v="25"/>
  </r>
  <r>
    <x v="102"/>
  </r>
  <r>
    <x v="83"/>
  </r>
  <r>
    <x v="82"/>
  </r>
  <r>
    <x v="102"/>
  </r>
  <r>
    <x v="24"/>
  </r>
  <r>
    <x v="24"/>
  </r>
  <r>
    <x v="6"/>
  </r>
  <r>
    <x v="73"/>
  </r>
  <r>
    <x v="126"/>
  </r>
  <r>
    <x v="10"/>
  </r>
  <r>
    <x v="7"/>
  </r>
  <r>
    <x v="3"/>
  </r>
  <r>
    <x v="198"/>
  </r>
  <r>
    <x v="82"/>
  </r>
  <r>
    <x v="76"/>
  </r>
  <r>
    <x v="25"/>
  </r>
  <r>
    <x v="25"/>
  </r>
  <r>
    <x v="25"/>
  </r>
  <r>
    <x v="14"/>
  </r>
  <r>
    <x v="14"/>
  </r>
  <r>
    <x v="14"/>
  </r>
  <r>
    <x v="14"/>
  </r>
  <r>
    <x v="25"/>
  </r>
  <r>
    <x v="76"/>
  </r>
  <r>
    <x v="25"/>
  </r>
  <r>
    <x v="25"/>
  </r>
  <r>
    <x v="25"/>
  </r>
  <r>
    <x v="25"/>
  </r>
  <r>
    <x v="25"/>
  </r>
  <r>
    <x v="14"/>
  </r>
  <r>
    <x v="82"/>
  </r>
  <r>
    <x v="76"/>
  </r>
  <r>
    <x v="14"/>
  </r>
  <r>
    <x v="24"/>
  </r>
  <r>
    <x v="25"/>
  </r>
  <r>
    <x v="218"/>
  </r>
  <r>
    <x v="102"/>
  </r>
  <r>
    <x v="76"/>
  </r>
  <r>
    <x v="82"/>
  </r>
  <r>
    <x v="86"/>
  </r>
  <r>
    <x v="345"/>
  </r>
  <r>
    <x v="25"/>
  </r>
  <r>
    <x v="10"/>
  </r>
  <r>
    <x v="22"/>
  </r>
  <r>
    <x v="25"/>
  </r>
  <r>
    <x v="22"/>
  </r>
  <r>
    <x v="22"/>
  </r>
  <r>
    <x v="22"/>
  </r>
  <r>
    <x v="130"/>
  </r>
  <r>
    <x v="14"/>
  </r>
  <r>
    <x v="56"/>
  </r>
  <r>
    <x v="77"/>
  </r>
  <r>
    <x v="218"/>
  </r>
  <r>
    <x v="102"/>
  </r>
  <r>
    <x v="56"/>
  </r>
  <r>
    <x v="56"/>
  </r>
  <r>
    <x v="10"/>
  </r>
  <r>
    <x v="10"/>
  </r>
  <r>
    <x v="10"/>
  </r>
  <r>
    <x v="10"/>
  </r>
  <r>
    <x v="2"/>
  </r>
  <r>
    <x v="25"/>
  </r>
  <r>
    <x v="25"/>
  </r>
  <r>
    <x v="46"/>
  </r>
  <r>
    <x v="17"/>
  </r>
  <r>
    <x v="17"/>
  </r>
  <r>
    <x v="52"/>
  </r>
  <r>
    <x v="119"/>
  </r>
  <r>
    <x v="25"/>
  </r>
  <r>
    <x v="25"/>
  </r>
  <r>
    <x v="31"/>
  </r>
  <r>
    <x v="31"/>
  </r>
  <r>
    <x v="85"/>
  </r>
  <r>
    <x v="102"/>
  </r>
  <r>
    <x v="45"/>
  </r>
  <r>
    <x v="76"/>
  </r>
  <r>
    <x v="81"/>
  </r>
  <r>
    <x v="143"/>
  </r>
  <r>
    <x v="3"/>
  </r>
  <r>
    <x v="83"/>
  </r>
  <r>
    <x v="134"/>
  </r>
  <r>
    <x v="134"/>
  </r>
  <r>
    <x v="93"/>
  </r>
  <r>
    <x v="93"/>
  </r>
  <r>
    <x v="177"/>
  </r>
  <r>
    <x v="76"/>
  </r>
  <r>
    <x v="76"/>
  </r>
  <r>
    <x v="76"/>
  </r>
  <r>
    <x v="93"/>
  </r>
  <r>
    <x v="81"/>
  </r>
  <r>
    <x v="81"/>
  </r>
  <r>
    <x v="93"/>
  </r>
  <r>
    <x v="93"/>
  </r>
  <r>
    <x v="93"/>
  </r>
  <r>
    <x v="93"/>
  </r>
  <r>
    <x v="219"/>
  </r>
  <r>
    <x v="227"/>
  </r>
  <r>
    <x v="10"/>
  </r>
  <r>
    <x v="103"/>
  </r>
  <r>
    <x v="20"/>
  </r>
  <r>
    <x v="14"/>
  </r>
  <r>
    <x v="118"/>
  </r>
  <r>
    <x v="14"/>
  </r>
  <r>
    <x v="10"/>
  </r>
  <r>
    <x v="10"/>
  </r>
  <r>
    <x v="24"/>
  </r>
  <r>
    <x v="205"/>
  </r>
  <r>
    <x v="81"/>
  </r>
  <r>
    <x v="29"/>
  </r>
  <r>
    <x v="82"/>
  </r>
  <r>
    <x v="82"/>
  </r>
  <r>
    <x v="78"/>
  </r>
  <r>
    <x v="82"/>
  </r>
  <r>
    <x v="2"/>
  </r>
  <r>
    <x v="133"/>
  </r>
  <r>
    <x v="2"/>
  </r>
  <r>
    <x v="113"/>
  </r>
  <r>
    <x v="133"/>
  </r>
  <r>
    <x v="133"/>
  </r>
  <r>
    <x v="30"/>
  </r>
  <r>
    <x v="102"/>
  </r>
  <r>
    <x v="25"/>
  </r>
  <r>
    <x v="10"/>
  </r>
  <r>
    <x v="7"/>
  </r>
  <r>
    <x v="31"/>
  </r>
  <r>
    <x v="31"/>
  </r>
  <r>
    <x v="24"/>
  </r>
  <r>
    <x v="10"/>
  </r>
  <r>
    <x v="72"/>
  </r>
  <r>
    <x v="82"/>
  </r>
  <r>
    <x v="10"/>
  </r>
  <r>
    <x v="10"/>
  </r>
  <r>
    <x v="10"/>
  </r>
  <r>
    <x v="82"/>
  </r>
  <r>
    <x v="29"/>
  </r>
  <r>
    <x v="99"/>
  </r>
  <r>
    <x v="83"/>
  </r>
  <r>
    <x v="216"/>
  </r>
  <r>
    <x v="25"/>
  </r>
  <r>
    <x v="25"/>
  </r>
  <r>
    <x v="25"/>
  </r>
  <r>
    <x v="6"/>
  </r>
  <r>
    <x v="52"/>
  </r>
  <r>
    <x v="57"/>
  </r>
  <r>
    <x v="208"/>
  </r>
  <r>
    <x v="208"/>
  </r>
  <r>
    <x v="208"/>
  </r>
  <r>
    <x v="208"/>
  </r>
  <r>
    <x v="24"/>
  </r>
  <r>
    <x v="24"/>
  </r>
  <r>
    <x v="91"/>
  </r>
  <r>
    <x v="23"/>
  </r>
  <r>
    <x v="86"/>
  </r>
  <r>
    <x v="7"/>
  </r>
  <r>
    <x v="3"/>
  </r>
  <r>
    <x v="10"/>
  </r>
  <r>
    <x v="10"/>
  </r>
  <r>
    <x v="10"/>
  </r>
  <r>
    <x v="10"/>
  </r>
  <r>
    <x v="10"/>
  </r>
  <r>
    <x v="10"/>
  </r>
  <r>
    <x v="10"/>
  </r>
  <r>
    <x v="76"/>
  </r>
  <r>
    <x v="25"/>
  </r>
  <r>
    <x v="27"/>
  </r>
  <r>
    <x v="143"/>
  </r>
  <r>
    <x v="82"/>
  </r>
  <r>
    <x v="29"/>
  </r>
  <r>
    <x v="10"/>
  </r>
  <r>
    <x v="102"/>
  </r>
  <r>
    <x v="212"/>
  </r>
  <r>
    <x v="204"/>
  </r>
  <r>
    <x v="82"/>
  </r>
  <r>
    <x v="10"/>
  </r>
  <r>
    <x v="28"/>
  </r>
  <r>
    <x v="28"/>
  </r>
  <r>
    <x v="78"/>
  </r>
  <r>
    <x v="154"/>
  </r>
  <r>
    <x v="48"/>
  </r>
  <r>
    <x v="48"/>
  </r>
  <r>
    <x v="127"/>
  </r>
  <r>
    <x v="24"/>
  </r>
  <r>
    <x v="82"/>
  </r>
  <r>
    <x v="45"/>
  </r>
  <r>
    <x v="45"/>
  </r>
  <r>
    <x v="85"/>
  </r>
  <r>
    <x v="78"/>
  </r>
  <r>
    <x v="10"/>
  </r>
  <r>
    <x v="10"/>
  </r>
  <r>
    <x v="10"/>
  </r>
  <r>
    <x v="10"/>
  </r>
  <r>
    <x v="10"/>
  </r>
  <r>
    <x v="10"/>
  </r>
  <r>
    <x v="10"/>
  </r>
  <r>
    <x v="143"/>
  </r>
  <r>
    <x v="30"/>
  </r>
  <r>
    <x v="82"/>
  </r>
  <r>
    <x v="72"/>
  </r>
  <r>
    <x v="177"/>
  </r>
  <r>
    <x v="86"/>
  </r>
  <r>
    <x v="121"/>
  </r>
  <r>
    <x v="24"/>
  </r>
  <r>
    <x v="82"/>
  </r>
  <r>
    <x v="10"/>
  </r>
  <r>
    <x v="85"/>
  </r>
  <r>
    <x v="102"/>
  </r>
  <r>
    <x v="46"/>
  </r>
  <r>
    <x v="82"/>
  </r>
  <r>
    <x v="7"/>
  </r>
  <r>
    <x v="31"/>
  </r>
  <r>
    <x v="25"/>
  </r>
  <r>
    <x v="102"/>
  </r>
  <r>
    <x v="78"/>
  </r>
  <r>
    <x v="78"/>
  </r>
  <r>
    <x v="78"/>
  </r>
  <r>
    <x v="78"/>
  </r>
  <r>
    <x v="10"/>
  </r>
  <r>
    <x v="103"/>
  </r>
  <r>
    <x v="103"/>
  </r>
  <r>
    <x v="296"/>
  </r>
  <r>
    <x v="76"/>
  </r>
  <r>
    <x v="76"/>
  </r>
  <r>
    <x v="24"/>
  </r>
  <r>
    <x v="31"/>
  </r>
  <r>
    <x v="37"/>
  </r>
  <r>
    <x v="10"/>
  </r>
  <r>
    <x v="56"/>
  </r>
  <r>
    <x v="103"/>
  </r>
  <r>
    <x v="82"/>
  </r>
  <r>
    <x v="2"/>
  </r>
  <r>
    <x v="83"/>
  </r>
  <r>
    <x v="24"/>
  </r>
  <r>
    <x v="48"/>
  </r>
  <r>
    <x v="157"/>
  </r>
  <r>
    <x v="31"/>
  </r>
  <r>
    <x v="320"/>
  </r>
  <r>
    <x v="25"/>
  </r>
  <r>
    <x v="31"/>
  </r>
  <r>
    <x v="42"/>
  </r>
  <r>
    <x v="154"/>
  </r>
  <r>
    <x v="4"/>
  </r>
  <r>
    <x v="72"/>
  </r>
  <r>
    <x v="12"/>
  </r>
  <r>
    <x v="12"/>
  </r>
  <r>
    <x v="12"/>
  </r>
  <r>
    <x v="12"/>
  </r>
  <r>
    <x v="12"/>
  </r>
  <r>
    <x v="12"/>
  </r>
  <r>
    <x v="24"/>
  </r>
  <r>
    <x v="31"/>
  </r>
  <r>
    <x v="82"/>
  </r>
  <r>
    <x v="7"/>
  </r>
  <r>
    <x v="25"/>
  </r>
  <r>
    <x v="25"/>
  </r>
  <r>
    <x v="72"/>
  </r>
  <r>
    <x v="86"/>
  </r>
  <r>
    <x v="25"/>
  </r>
  <r>
    <x v="4"/>
  </r>
  <r>
    <x v="22"/>
  </r>
  <r>
    <x v="111"/>
  </r>
  <r>
    <x v="78"/>
  </r>
  <r>
    <x v="78"/>
  </r>
  <r>
    <x v="31"/>
  </r>
  <r>
    <x v="112"/>
  </r>
  <r>
    <x v="55"/>
  </r>
  <r>
    <x v="82"/>
  </r>
  <r>
    <x v="24"/>
  </r>
  <r>
    <x v="24"/>
  </r>
  <r>
    <x v="48"/>
  </r>
  <r>
    <x v="25"/>
  </r>
  <r>
    <x v="154"/>
  </r>
  <r>
    <x v="154"/>
  </r>
  <r>
    <x v="10"/>
  </r>
  <r>
    <x v="25"/>
  </r>
  <r>
    <x v="111"/>
  </r>
  <r>
    <x v="25"/>
  </r>
  <r>
    <x v="25"/>
  </r>
  <r>
    <x v="82"/>
  </r>
  <r>
    <x v="82"/>
  </r>
  <r>
    <x v="10"/>
  </r>
  <r>
    <x v="10"/>
  </r>
  <r>
    <x v="10"/>
  </r>
  <r>
    <x v="10"/>
  </r>
  <r>
    <x v="10"/>
  </r>
  <r>
    <x v="48"/>
  </r>
  <r>
    <x v="136"/>
  </r>
  <r>
    <x v="126"/>
  </r>
  <r>
    <x v="48"/>
  </r>
  <r>
    <x v="22"/>
  </r>
  <r>
    <x v="45"/>
  </r>
  <r>
    <x v="29"/>
  </r>
  <r>
    <x v="29"/>
  </r>
  <r>
    <x v="12"/>
  </r>
  <r>
    <x v="76"/>
  </r>
  <r>
    <x v="29"/>
  </r>
  <r>
    <x v="29"/>
  </r>
  <r>
    <x v="29"/>
  </r>
  <r>
    <x v="29"/>
  </r>
  <r>
    <x v="29"/>
  </r>
  <r>
    <x v="29"/>
  </r>
  <r>
    <x v="29"/>
  </r>
  <r>
    <x v="12"/>
  </r>
  <r>
    <x v="48"/>
  </r>
  <r>
    <x v="29"/>
  </r>
  <r>
    <x v="25"/>
  </r>
  <r>
    <x v="25"/>
  </r>
  <r>
    <x v="25"/>
  </r>
  <r>
    <x v="25"/>
  </r>
  <r>
    <x v="25"/>
  </r>
  <r>
    <x v="25"/>
  </r>
  <r>
    <x v="12"/>
  </r>
  <r>
    <x v="29"/>
  </r>
  <r>
    <x v="12"/>
  </r>
  <r>
    <x v="199"/>
  </r>
  <r>
    <x v="82"/>
  </r>
  <r>
    <x v="82"/>
  </r>
  <r>
    <x v="25"/>
  </r>
  <r>
    <x v="72"/>
  </r>
  <r>
    <x v="12"/>
  </r>
  <r>
    <x v="12"/>
  </r>
  <r>
    <x v="52"/>
  </r>
  <r>
    <x v="25"/>
  </r>
  <r>
    <x v="25"/>
  </r>
  <r>
    <x v="25"/>
  </r>
  <r>
    <x v="25"/>
  </r>
  <r>
    <x v="25"/>
  </r>
  <r>
    <x v="25"/>
  </r>
  <r>
    <x v="31"/>
  </r>
  <r>
    <x v="31"/>
  </r>
  <r>
    <x v="31"/>
  </r>
  <r>
    <x v="25"/>
  </r>
  <r>
    <x v="232"/>
  </r>
  <r>
    <x v="0"/>
  </r>
  <r>
    <x v="0"/>
  </r>
  <r>
    <x v="0"/>
  </r>
  <r>
    <x v="4"/>
  </r>
  <r>
    <x v="9"/>
  </r>
  <r>
    <x v="50"/>
  </r>
  <r>
    <x v="80"/>
  </r>
  <r>
    <x v="10"/>
  </r>
  <r>
    <x v="10"/>
  </r>
  <r>
    <x v="42"/>
  </r>
  <r>
    <x v="10"/>
  </r>
  <r>
    <x v="108"/>
  </r>
  <r>
    <x v="48"/>
  </r>
  <r>
    <x v="48"/>
  </r>
  <r>
    <x v="48"/>
  </r>
  <r>
    <x v="48"/>
  </r>
  <r>
    <x v="45"/>
  </r>
  <r>
    <x v="10"/>
  </r>
  <r>
    <x v="143"/>
  </r>
  <r>
    <x v="96"/>
  </r>
  <r>
    <x v="10"/>
  </r>
  <r>
    <x v="81"/>
  </r>
  <r>
    <x v="14"/>
  </r>
  <r>
    <x v="81"/>
  </r>
  <r>
    <x v="81"/>
  </r>
  <r>
    <x v="93"/>
  </r>
  <r>
    <x v="81"/>
  </r>
  <r>
    <x v="81"/>
  </r>
  <r>
    <x v="205"/>
  </r>
  <r>
    <x v="3"/>
  </r>
  <r>
    <x v="3"/>
  </r>
  <r>
    <x v="14"/>
  </r>
  <r>
    <x v="93"/>
  </r>
  <r>
    <x v="3"/>
  </r>
  <r>
    <x v="3"/>
  </r>
  <r>
    <x v="6"/>
  </r>
  <r>
    <x v="45"/>
  </r>
  <r>
    <x v="12"/>
  </r>
  <r>
    <x v="234"/>
  </r>
  <r>
    <x v="14"/>
  </r>
  <r>
    <x v="79"/>
  </r>
  <r>
    <x v="76"/>
  </r>
  <r>
    <x v="71"/>
  </r>
  <r>
    <x v="40"/>
  </r>
  <r>
    <x v="71"/>
  </r>
  <r>
    <x v="10"/>
  </r>
  <r>
    <x v="7"/>
  </r>
  <r>
    <x v="7"/>
  </r>
  <r>
    <x v="7"/>
  </r>
  <r>
    <x v="7"/>
  </r>
  <r>
    <x v="7"/>
  </r>
  <r>
    <x v="71"/>
  </r>
  <r>
    <x v="96"/>
  </r>
  <r>
    <x v="11"/>
  </r>
  <r>
    <x v="78"/>
  </r>
  <r>
    <x v="31"/>
  </r>
  <r>
    <x v="37"/>
  </r>
  <r>
    <x v="34"/>
  </r>
  <r>
    <x v="26"/>
  </r>
  <r>
    <x v="7"/>
  </r>
  <r>
    <x v="126"/>
  </r>
  <r>
    <x v="126"/>
  </r>
  <r>
    <x v="48"/>
  </r>
  <r>
    <x v="55"/>
  </r>
  <r>
    <x v="50"/>
  </r>
  <r>
    <x v="50"/>
  </r>
  <r>
    <x v="50"/>
  </r>
  <r>
    <x v="50"/>
  </r>
  <r>
    <x v="1"/>
  </r>
  <r>
    <x v="200"/>
  </r>
  <r>
    <x v="26"/>
  </r>
  <r>
    <x v="31"/>
  </r>
  <r>
    <x v="87"/>
  </r>
  <r>
    <x v="48"/>
  </r>
  <r>
    <x v="234"/>
  </r>
  <r>
    <x v="234"/>
  </r>
  <r>
    <x v="234"/>
  </r>
  <r>
    <x v="14"/>
  </r>
  <r>
    <x v="17"/>
  </r>
  <r>
    <x v="87"/>
  </r>
  <r>
    <x v="71"/>
  </r>
  <r>
    <x v="59"/>
  </r>
  <r>
    <x v="71"/>
  </r>
  <r>
    <x v="236"/>
  </r>
  <r>
    <x v="27"/>
  </r>
  <r>
    <x v="55"/>
  </r>
  <r>
    <x v="14"/>
  </r>
  <r>
    <x v="0"/>
  </r>
  <r>
    <x v="3"/>
  </r>
  <r>
    <x v="23"/>
  </r>
  <r>
    <x v="3"/>
  </r>
  <r>
    <x v="25"/>
  </r>
  <r>
    <x v="23"/>
  </r>
  <r>
    <x v="48"/>
  </r>
  <r>
    <x v="91"/>
  </r>
  <r>
    <x v="23"/>
  </r>
  <r>
    <x v="14"/>
  </r>
  <r>
    <x v="99"/>
  </r>
  <r>
    <x v="81"/>
  </r>
  <r>
    <x v="99"/>
  </r>
  <r>
    <x v="121"/>
  </r>
  <r>
    <x v="489"/>
  </r>
  <r>
    <x v="3"/>
  </r>
  <r>
    <x v="82"/>
  </r>
  <r>
    <x v="71"/>
  </r>
  <r>
    <x v="71"/>
  </r>
  <r>
    <x v="14"/>
  </r>
  <r>
    <x v="6"/>
  </r>
  <r>
    <x v="71"/>
  </r>
  <r>
    <x v="71"/>
  </r>
  <r>
    <x v="82"/>
  </r>
  <r>
    <x v="234"/>
  </r>
  <r>
    <x v="79"/>
  </r>
  <r>
    <x v="21"/>
  </r>
  <r>
    <x v="29"/>
  </r>
  <r>
    <x v="29"/>
  </r>
  <r>
    <x v="71"/>
  </r>
  <r>
    <x v="71"/>
  </r>
  <r>
    <x v="48"/>
  </r>
  <r>
    <x v="25"/>
  </r>
  <r>
    <x v="71"/>
  </r>
  <r>
    <x v="71"/>
  </r>
  <r>
    <x v="71"/>
  </r>
  <r>
    <x v="25"/>
  </r>
  <r>
    <x v="25"/>
  </r>
  <r>
    <x v="25"/>
  </r>
  <r>
    <x v="196"/>
  </r>
  <r>
    <x v="48"/>
  </r>
  <r>
    <x v="57"/>
  </r>
  <r>
    <x v="77"/>
  </r>
  <r>
    <x v="77"/>
  </r>
  <r>
    <x v="35"/>
  </r>
  <r>
    <x v="10"/>
  </r>
  <r>
    <x v="35"/>
  </r>
  <r>
    <x v="27"/>
  </r>
  <r>
    <x v="10"/>
  </r>
  <r>
    <x v="59"/>
  </r>
  <r>
    <x v="25"/>
  </r>
  <r>
    <x v="25"/>
  </r>
  <r>
    <x v="25"/>
  </r>
  <r>
    <x v="25"/>
  </r>
  <r>
    <x v="25"/>
  </r>
  <r>
    <x v="104"/>
  </r>
  <r>
    <x v="104"/>
  </r>
  <r>
    <x v="76"/>
  </r>
  <r>
    <x v="76"/>
  </r>
  <r>
    <x v="6"/>
  </r>
  <r>
    <x v="56"/>
  </r>
  <r>
    <x v="18"/>
  </r>
  <r>
    <x v="78"/>
  </r>
  <r>
    <x v="28"/>
  </r>
  <r>
    <x v="28"/>
  </r>
  <r>
    <x v="187"/>
  </r>
  <r>
    <x v="56"/>
  </r>
  <r>
    <x v="0"/>
  </r>
  <r>
    <x v="81"/>
  </r>
  <r>
    <x v="77"/>
  </r>
  <r>
    <x v="10"/>
  </r>
  <r>
    <x v="10"/>
  </r>
  <r>
    <x v="10"/>
  </r>
  <r>
    <x v="86"/>
  </r>
  <r>
    <x v="0"/>
  </r>
  <r>
    <x v="2"/>
  </r>
  <r>
    <x v="18"/>
  </r>
  <r>
    <x v="18"/>
  </r>
  <r>
    <x v="2"/>
  </r>
  <r>
    <x v="10"/>
  </r>
  <r>
    <x v="0"/>
  </r>
  <r>
    <x v="0"/>
  </r>
  <r>
    <x v="48"/>
  </r>
  <r>
    <x v="12"/>
  </r>
  <r>
    <x v="86"/>
  </r>
  <r>
    <x v="30"/>
  </r>
  <r>
    <x v="30"/>
  </r>
  <r>
    <x v="2"/>
  </r>
  <r>
    <x v="31"/>
  </r>
  <r>
    <x v="78"/>
  </r>
  <r>
    <x v="0"/>
  </r>
  <r>
    <x v="87"/>
  </r>
  <r>
    <x v="78"/>
  </r>
  <r>
    <x v="78"/>
  </r>
  <r>
    <x v="12"/>
  </r>
  <r>
    <x v="0"/>
  </r>
  <r>
    <x v="14"/>
  </r>
  <r>
    <x v="14"/>
  </r>
  <r>
    <x v="0"/>
  </r>
  <r>
    <x v="63"/>
  </r>
  <r>
    <x v="12"/>
  </r>
  <r>
    <x v="32"/>
  </r>
  <r>
    <x v="76"/>
  </r>
  <r>
    <x v="1"/>
  </r>
  <r>
    <x v="48"/>
  </r>
  <r>
    <x v="217"/>
  </r>
  <r>
    <x v="105"/>
  </r>
  <r>
    <x v="71"/>
  </r>
  <r>
    <x v="71"/>
  </r>
  <r>
    <x v="71"/>
  </r>
  <r>
    <x v="46"/>
  </r>
  <r>
    <x v="46"/>
  </r>
  <r>
    <x v="36"/>
  </r>
  <r>
    <x v="36"/>
  </r>
  <r>
    <x v="36"/>
  </r>
  <r>
    <x v="36"/>
  </r>
  <r>
    <x v="2"/>
  </r>
  <r>
    <x v="57"/>
  </r>
  <r>
    <x v="188"/>
  </r>
  <r>
    <x v="188"/>
  </r>
  <r>
    <x v="57"/>
  </r>
  <r>
    <x v="42"/>
  </r>
  <r>
    <x v="42"/>
  </r>
  <r>
    <x v="9"/>
  </r>
  <r>
    <x v="9"/>
  </r>
  <r>
    <x v="9"/>
  </r>
  <r>
    <x v="7"/>
  </r>
  <r>
    <x v="9"/>
  </r>
  <r>
    <x v="9"/>
  </r>
  <r>
    <x v="45"/>
  </r>
  <r>
    <x v="45"/>
  </r>
  <r>
    <x v="45"/>
  </r>
  <r>
    <x v="45"/>
  </r>
  <r>
    <x v="76"/>
  </r>
  <r>
    <x v="200"/>
  </r>
  <r>
    <x v="122"/>
  </r>
  <r>
    <x v="9"/>
  </r>
  <r>
    <x v="9"/>
  </r>
  <r>
    <x v="9"/>
  </r>
  <r>
    <x v="9"/>
  </r>
  <r>
    <x v="30"/>
  </r>
  <r>
    <x v="12"/>
  </r>
  <r>
    <x v="30"/>
  </r>
  <r>
    <x v="82"/>
  </r>
  <r>
    <x v="93"/>
  </r>
  <r>
    <x v="78"/>
  </r>
  <r>
    <x v="111"/>
  </r>
  <r>
    <x v="83"/>
  </r>
  <r>
    <x v="154"/>
  </r>
  <r>
    <x v="230"/>
  </r>
  <r>
    <x v="230"/>
  </r>
  <r>
    <x v="108"/>
  </r>
  <r>
    <x v="25"/>
  </r>
  <r>
    <x v="25"/>
  </r>
  <r>
    <x v="25"/>
  </r>
  <r>
    <x v="149"/>
  </r>
  <r>
    <x v="72"/>
  </r>
  <r>
    <x v="72"/>
  </r>
  <r>
    <x v="72"/>
  </r>
  <r>
    <x v="10"/>
  </r>
  <r>
    <x v="75"/>
  </r>
  <r>
    <x v="75"/>
  </r>
  <r>
    <x v="75"/>
  </r>
  <r>
    <x v="93"/>
  </r>
  <r>
    <x v="93"/>
  </r>
  <r>
    <x v="72"/>
  </r>
  <r>
    <x v="227"/>
  </r>
  <r>
    <x v="227"/>
  </r>
  <r>
    <x v="198"/>
  </r>
  <r>
    <x v="36"/>
  </r>
  <r>
    <x v="36"/>
  </r>
  <r>
    <x v="36"/>
  </r>
  <r>
    <x v="10"/>
  </r>
  <r>
    <x v="72"/>
  </r>
  <r>
    <x v="72"/>
  </r>
  <r>
    <x v="115"/>
  </r>
  <r>
    <x v="115"/>
  </r>
  <r>
    <x v="117"/>
  </r>
  <r>
    <x v="2"/>
  </r>
  <r>
    <x v="72"/>
  </r>
  <r>
    <x v="25"/>
  </r>
  <r>
    <x v="25"/>
  </r>
  <r>
    <x v="72"/>
  </r>
  <r>
    <x v="72"/>
  </r>
  <r>
    <x v="82"/>
  </r>
  <r>
    <x v="76"/>
  </r>
  <r>
    <x v="72"/>
  </r>
  <r>
    <x v="25"/>
  </r>
  <r>
    <x v="105"/>
  </r>
  <r>
    <x v="29"/>
  </r>
  <r>
    <x v="80"/>
  </r>
  <r>
    <x v="108"/>
  </r>
  <r>
    <x v="108"/>
  </r>
  <r>
    <x v="115"/>
  </r>
  <r>
    <x v="77"/>
  </r>
  <r>
    <x v="48"/>
  </r>
  <r>
    <x v="48"/>
  </r>
  <r>
    <x v="48"/>
  </r>
  <r>
    <x v="48"/>
  </r>
  <r>
    <x v="48"/>
  </r>
  <r>
    <x v="230"/>
  </r>
  <r>
    <x v="85"/>
  </r>
  <r>
    <x v="25"/>
  </r>
  <r>
    <x v="25"/>
  </r>
  <r>
    <x v="25"/>
  </r>
  <r>
    <x v="104"/>
  </r>
  <r>
    <x v="25"/>
  </r>
  <r>
    <x v="81"/>
  </r>
  <r>
    <x v="72"/>
  </r>
  <r>
    <x v="76"/>
  </r>
  <r>
    <x v="154"/>
  </r>
  <r>
    <x v="86"/>
  </r>
  <r>
    <x v="82"/>
  </r>
  <r>
    <x v="48"/>
  </r>
  <r>
    <x v="108"/>
  </r>
  <r>
    <x v="25"/>
  </r>
  <r>
    <x v="85"/>
  </r>
  <r>
    <x v="25"/>
  </r>
  <r>
    <x v="25"/>
  </r>
  <r>
    <x v="82"/>
  </r>
  <r>
    <x v="72"/>
  </r>
  <r>
    <x v="78"/>
  </r>
  <r>
    <x v="78"/>
  </r>
  <r>
    <x v="78"/>
  </r>
  <r>
    <x v="78"/>
  </r>
  <r>
    <x v="78"/>
  </r>
  <r>
    <x v="78"/>
  </r>
  <r>
    <x v="93"/>
  </r>
  <r>
    <x v="78"/>
  </r>
  <r>
    <x v="78"/>
  </r>
  <r>
    <x v="78"/>
  </r>
  <r>
    <x v="25"/>
  </r>
  <r>
    <x v="25"/>
  </r>
  <r>
    <x v="25"/>
  </r>
  <r>
    <x v="75"/>
  </r>
  <r>
    <x v="59"/>
  </r>
  <r>
    <x v="7"/>
  </r>
  <r>
    <x v="7"/>
  </r>
  <r>
    <x v="87"/>
  </r>
  <r>
    <x v="87"/>
  </r>
  <r>
    <x v="42"/>
  </r>
  <r>
    <x v="48"/>
  </r>
  <r>
    <x v="48"/>
  </r>
  <r>
    <x v="48"/>
  </r>
  <r>
    <x v="48"/>
  </r>
  <r>
    <x v="14"/>
  </r>
  <r>
    <x v="72"/>
  </r>
  <r>
    <x v="45"/>
  </r>
  <r>
    <x v="4"/>
  </r>
  <r>
    <x v="4"/>
  </r>
  <r>
    <x v="25"/>
  </r>
  <r>
    <x v="25"/>
  </r>
  <r>
    <x v="31"/>
  </r>
  <r>
    <x v="11"/>
  </r>
  <r>
    <x v="10"/>
  </r>
  <r>
    <x v="10"/>
  </r>
  <r>
    <x v="10"/>
  </r>
  <r>
    <x v="10"/>
  </r>
  <r>
    <x v="4"/>
  </r>
  <r>
    <x v="71"/>
  </r>
  <r>
    <x v="2"/>
  </r>
  <r>
    <x v="122"/>
  </r>
  <r>
    <x v="122"/>
  </r>
  <r>
    <x v="10"/>
  </r>
  <r>
    <x v="59"/>
  </r>
  <r>
    <x v="50"/>
  </r>
  <r>
    <x v="59"/>
  </r>
  <r>
    <x v="28"/>
  </r>
  <r>
    <x v="28"/>
  </r>
  <r>
    <x v="28"/>
  </r>
  <r>
    <x v="28"/>
  </r>
  <r>
    <x v="28"/>
  </r>
  <r>
    <x v="28"/>
  </r>
  <r>
    <x v="28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7"/>
  </r>
  <r>
    <x v="48"/>
  </r>
  <r>
    <x v="217"/>
  </r>
  <r>
    <x v="4"/>
  </r>
  <r>
    <x v="143"/>
  </r>
  <r>
    <x v="143"/>
  </r>
  <r>
    <x v="29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43"/>
  </r>
  <r>
    <x v="32"/>
  </r>
  <r>
    <x v="37"/>
  </r>
  <r>
    <x v="56"/>
  </r>
  <r>
    <x v="56"/>
  </r>
  <r>
    <x v="56"/>
  </r>
  <r>
    <x v="56"/>
  </r>
  <r>
    <x v="56"/>
  </r>
  <r>
    <x v="10"/>
  </r>
  <r>
    <x v="10"/>
  </r>
  <r>
    <x v="10"/>
  </r>
  <r>
    <x v="48"/>
  </r>
  <r>
    <x v="48"/>
  </r>
  <r>
    <x v="48"/>
  </r>
  <r>
    <x v="85"/>
  </r>
  <r>
    <x v="143"/>
  </r>
  <r>
    <x v="32"/>
  </r>
  <r>
    <x v="45"/>
  </r>
  <r>
    <x v="45"/>
  </r>
  <r>
    <x v="10"/>
  </r>
  <r>
    <x v="10"/>
  </r>
  <r>
    <x v="10"/>
  </r>
  <r>
    <x v="10"/>
  </r>
  <r>
    <x v="45"/>
  </r>
  <r>
    <x v="45"/>
  </r>
  <r>
    <x v="45"/>
  </r>
  <r>
    <x v="45"/>
  </r>
  <r>
    <x v="45"/>
  </r>
  <r>
    <x v="10"/>
  </r>
  <r>
    <x v="10"/>
  </r>
  <r>
    <x v="10"/>
  </r>
  <r>
    <x v="10"/>
  </r>
  <r>
    <x v="10"/>
  </r>
  <r>
    <x v="48"/>
  </r>
  <r>
    <x v="45"/>
  </r>
  <r>
    <x v="31"/>
  </r>
  <r>
    <x v="31"/>
  </r>
  <r>
    <x v="79"/>
  </r>
  <r>
    <x v="79"/>
  </r>
  <r>
    <x v="56"/>
  </r>
  <r>
    <x v="56"/>
  </r>
  <r>
    <x v="56"/>
  </r>
  <r>
    <x v="56"/>
  </r>
  <r>
    <x v="48"/>
  </r>
  <r>
    <x v="57"/>
  </r>
  <r>
    <x v="10"/>
  </r>
  <r>
    <x v="10"/>
  </r>
  <r>
    <x v="2"/>
  </r>
  <r>
    <x v="2"/>
  </r>
  <r>
    <x v="2"/>
  </r>
  <r>
    <x v="24"/>
  </r>
  <r>
    <x v="10"/>
  </r>
  <r>
    <x v="10"/>
  </r>
  <r>
    <x v="10"/>
  </r>
  <r>
    <x v="10"/>
  </r>
  <r>
    <x v="10"/>
  </r>
  <r>
    <x v="57"/>
  </r>
  <r>
    <x v="79"/>
  </r>
  <r>
    <x v="79"/>
  </r>
  <r>
    <x v="79"/>
  </r>
  <r>
    <x v="2"/>
  </r>
  <r>
    <x v="57"/>
  </r>
  <r>
    <x v="31"/>
  </r>
  <r>
    <x v="31"/>
  </r>
  <r>
    <x v="31"/>
  </r>
  <r>
    <x v="14"/>
  </r>
  <r>
    <x v="79"/>
  </r>
  <r>
    <x v="79"/>
  </r>
  <r>
    <x v="79"/>
  </r>
  <r>
    <x v="57"/>
  </r>
  <r>
    <x v="79"/>
  </r>
  <r>
    <x v="31"/>
  </r>
  <r>
    <x v="31"/>
  </r>
  <r>
    <x v="10"/>
  </r>
  <r>
    <x v="106"/>
  </r>
  <r>
    <x v="10"/>
  </r>
  <r>
    <x v="10"/>
  </r>
  <r>
    <x v="10"/>
  </r>
  <r>
    <x v="179"/>
  </r>
  <r>
    <x v="2"/>
  </r>
  <r>
    <x v="2"/>
  </r>
  <r>
    <x v="82"/>
  </r>
  <r>
    <x v="2"/>
  </r>
  <r>
    <x v="2"/>
  </r>
  <r>
    <x v="79"/>
  </r>
  <r>
    <x v="79"/>
  </r>
  <r>
    <x v="79"/>
  </r>
  <r>
    <x v="82"/>
  </r>
  <r>
    <x v="0"/>
  </r>
  <r>
    <x v="22"/>
  </r>
  <r>
    <x v="0"/>
  </r>
  <r>
    <x v="2"/>
  </r>
  <r>
    <x v="79"/>
  </r>
  <r>
    <x v="82"/>
  </r>
  <r>
    <x v="48"/>
  </r>
  <r>
    <x v="229"/>
  </r>
  <r>
    <x v="229"/>
  </r>
  <r>
    <x v="229"/>
  </r>
  <r>
    <x v="229"/>
  </r>
  <r>
    <x v="57"/>
  </r>
  <r>
    <x v="57"/>
  </r>
  <r>
    <x v="57"/>
  </r>
  <r>
    <x v="62"/>
  </r>
  <r>
    <x v="62"/>
  </r>
  <r>
    <x v="62"/>
  </r>
  <r>
    <x v="57"/>
  </r>
  <r>
    <x v="57"/>
  </r>
  <r>
    <x v="62"/>
  </r>
  <r>
    <x v="62"/>
  </r>
  <r>
    <x v="57"/>
  </r>
  <r>
    <x v="57"/>
  </r>
  <r>
    <x v="57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103"/>
  </r>
  <r>
    <x v="37"/>
  </r>
  <r>
    <x v="81"/>
  </r>
  <r>
    <x v="81"/>
  </r>
  <r>
    <x v="27"/>
  </r>
  <r>
    <x v="27"/>
  </r>
  <r>
    <x v="57"/>
  </r>
  <r>
    <x v="64"/>
  </r>
  <r>
    <x v="27"/>
  </r>
  <r>
    <x v="57"/>
  </r>
  <r>
    <x v="57"/>
  </r>
  <r>
    <x v="81"/>
  </r>
  <r>
    <x v="81"/>
  </r>
  <r>
    <x v="79"/>
  </r>
  <r>
    <x v="79"/>
  </r>
  <r>
    <x v="79"/>
  </r>
  <r>
    <x v="79"/>
  </r>
  <r>
    <x v="79"/>
  </r>
  <r>
    <x v="79"/>
  </r>
  <r>
    <x v="79"/>
  </r>
  <r>
    <x v="79"/>
  </r>
  <r>
    <x v="0"/>
  </r>
  <r>
    <x v="0"/>
  </r>
  <r>
    <x v="0"/>
  </r>
  <r>
    <x v="2"/>
  </r>
  <r>
    <x v="2"/>
  </r>
  <r>
    <x v="2"/>
  </r>
  <r>
    <x v="2"/>
  </r>
  <r>
    <x v="2"/>
  </r>
  <r>
    <x v="28"/>
  </r>
  <r>
    <x v="8"/>
  </r>
  <r>
    <x v="8"/>
  </r>
  <r>
    <x v="8"/>
  </r>
  <r>
    <x v="42"/>
  </r>
  <r>
    <x v="42"/>
  </r>
  <r>
    <x v="22"/>
  </r>
  <r>
    <x v="113"/>
  </r>
  <r>
    <x v="113"/>
  </r>
  <r>
    <x v="113"/>
  </r>
  <r>
    <x v="15"/>
  </r>
  <r>
    <x v="2"/>
  </r>
  <r>
    <x v="490"/>
  </r>
  <r>
    <x v="17"/>
  </r>
  <r>
    <x v="17"/>
  </r>
  <r>
    <x v="17"/>
  </r>
  <r>
    <x v="78"/>
  </r>
  <r>
    <x v="14"/>
  </r>
  <r>
    <x v="25"/>
  </r>
  <r>
    <x v="25"/>
  </r>
  <r>
    <x v="98"/>
  </r>
  <r>
    <x v="37"/>
  </r>
  <r>
    <x v="56"/>
  </r>
  <r>
    <x v="56"/>
  </r>
  <r>
    <x v="83"/>
  </r>
  <r>
    <x v="83"/>
  </r>
  <r>
    <x v="164"/>
  </r>
  <r>
    <x v="154"/>
  </r>
  <r>
    <x v="17"/>
  </r>
  <r>
    <x v="62"/>
  </r>
  <r>
    <x v="79"/>
  </r>
  <r>
    <x v="164"/>
  </r>
  <r>
    <x v="55"/>
  </r>
  <r>
    <x v="164"/>
  </r>
  <r>
    <x v="103"/>
  </r>
  <r>
    <x v="89"/>
  </r>
  <r>
    <x v="48"/>
  </r>
  <r>
    <x v="32"/>
  </r>
  <r>
    <x v="10"/>
  </r>
  <r>
    <x v="10"/>
  </r>
  <r>
    <x v="10"/>
  </r>
  <r>
    <x v="10"/>
  </r>
  <r>
    <x v="32"/>
  </r>
  <r>
    <x v="10"/>
  </r>
  <r>
    <x v="10"/>
  </r>
  <r>
    <x v="10"/>
  </r>
  <r>
    <x v="48"/>
  </r>
  <r>
    <x v="100"/>
  </r>
  <r>
    <x v="28"/>
  </r>
  <r>
    <x v="6"/>
  </r>
  <r>
    <x v="24"/>
  </r>
  <r>
    <x v="82"/>
  </r>
  <r>
    <x v="24"/>
  </r>
  <r>
    <x v="82"/>
  </r>
  <r>
    <x v="24"/>
  </r>
  <r>
    <x v="81"/>
  </r>
  <r>
    <x v="154"/>
  </r>
  <r>
    <x v="202"/>
  </r>
  <r>
    <x v="202"/>
  </r>
  <r>
    <x v="10"/>
  </r>
  <r>
    <x v="31"/>
  </r>
  <r>
    <x v="31"/>
  </r>
  <r>
    <x v="31"/>
  </r>
  <r>
    <x v="31"/>
  </r>
  <r>
    <x v="31"/>
  </r>
  <r>
    <x v="2"/>
  </r>
  <r>
    <x v="36"/>
  </r>
  <r>
    <x v="100"/>
  </r>
  <r>
    <x v="104"/>
  </r>
  <r>
    <x v="108"/>
  </r>
  <r>
    <x v="115"/>
  </r>
  <r>
    <x v="115"/>
  </r>
  <r>
    <x v="14"/>
  </r>
  <r>
    <x v="42"/>
  </r>
  <r>
    <x v="100"/>
  </r>
  <r>
    <x v="87"/>
  </r>
  <r>
    <x v="37"/>
  </r>
  <r>
    <x v="107"/>
  </r>
  <r>
    <x v="42"/>
  </r>
  <r>
    <x v="83"/>
  </r>
  <r>
    <x v="129"/>
  </r>
  <r>
    <x v="108"/>
  </r>
  <r>
    <x v="48"/>
  </r>
  <r>
    <x v="100"/>
  </r>
  <r>
    <x v="3"/>
  </r>
  <r>
    <x v="3"/>
  </r>
  <r>
    <x v="188"/>
  </r>
  <r>
    <x v="87"/>
  </r>
  <r>
    <x v="87"/>
  </r>
  <r>
    <x v="288"/>
  </r>
  <r>
    <x v="12"/>
  </r>
  <r>
    <x v="129"/>
  </r>
  <r>
    <x v="48"/>
  </r>
  <r>
    <x v="80"/>
  </r>
  <r>
    <x v="170"/>
  </r>
  <r>
    <x v="179"/>
  </r>
  <r>
    <x v="129"/>
  </r>
  <r>
    <x v="83"/>
  </r>
  <r>
    <x v="100"/>
  </r>
  <r>
    <x v="82"/>
  </r>
  <r>
    <x v="111"/>
  </r>
  <r>
    <x v="92"/>
  </r>
  <r>
    <x v="86"/>
  </r>
  <r>
    <x v="92"/>
  </r>
  <r>
    <x v="86"/>
  </r>
  <r>
    <x v="82"/>
  </r>
  <r>
    <x v="86"/>
  </r>
  <r>
    <x v="86"/>
  </r>
  <r>
    <x v="45"/>
  </r>
  <r>
    <x v="78"/>
  </r>
  <r>
    <x v="86"/>
  </r>
  <r>
    <x v="2"/>
  </r>
  <r>
    <x v="81"/>
  </r>
  <r>
    <x v="86"/>
  </r>
  <r>
    <x v="86"/>
  </r>
  <r>
    <x v="44"/>
  </r>
  <r>
    <x v="44"/>
  </r>
  <r>
    <x v="86"/>
  </r>
  <r>
    <x v="2"/>
  </r>
  <r>
    <x v="86"/>
  </r>
  <r>
    <x v="2"/>
  </r>
  <r>
    <x v="2"/>
  </r>
  <r>
    <x v="64"/>
  </r>
  <r>
    <x v="10"/>
  </r>
  <r>
    <x v="10"/>
  </r>
  <r>
    <x v="82"/>
  </r>
  <r>
    <x v="81"/>
  </r>
  <r>
    <x v="69"/>
  </r>
  <r>
    <x v="82"/>
  </r>
  <r>
    <x v="56"/>
  </r>
  <r>
    <x v="31"/>
  </r>
  <r>
    <x v="31"/>
  </r>
  <r>
    <x v="57"/>
  </r>
  <r>
    <x v="82"/>
  </r>
  <r>
    <x v="37"/>
  </r>
  <r>
    <x v="57"/>
  </r>
  <r>
    <x v="27"/>
  </r>
  <r>
    <x v="0"/>
  </r>
  <r>
    <x v="37"/>
  </r>
  <r>
    <x v="37"/>
  </r>
  <r>
    <x v="37"/>
  </r>
  <r>
    <x v="57"/>
  </r>
  <r>
    <x v="55"/>
  </r>
  <r>
    <x v="37"/>
  </r>
  <r>
    <x v="22"/>
  </r>
  <r>
    <x v="48"/>
  </r>
  <r>
    <x v="31"/>
  </r>
  <r>
    <x v="6"/>
  </r>
  <r>
    <x v="55"/>
  </r>
  <r>
    <x v="21"/>
  </r>
  <r>
    <x v="55"/>
  </r>
  <r>
    <x v="78"/>
  </r>
  <r>
    <x v="82"/>
  </r>
  <r>
    <x v="87"/>
  </r>
  <r>
    <x v="87"/>
  </r>
  <r>
    <x v="87"/>
  </r>
  <r>
    <x v="46"/>
  </r>
  <r>
    <x v="45"/>
  </r>
  <r>
    <x v="45"/>
  </r>
  <r>
    <x v="45"/>
  </r>
  <r>
    <x v="45"/>
  </r>
  <r>
    <x v="45"/>
  </r>
  <r>
    <x v="45"/>
  </r>
  <r>
    <x v="48"/>
  </r>
  <r>
    <x v="48"/>
  </r>
  <r>
    <x v="48"/>
  </r>
  <r>
    <x v="48"/>
  </r>
  <r>
    <x v="78"/>
  </r>
  <r>
    <x v="48"/>
  </r>
  <r>
    <x v="78"/>
  </r>
  <r>
    <x v="78"/>
  </r>
  <r>
    <x v="48"/>
  </r>
  <r>
    <x v="48"/>
  </r>
  <r>
    <x v="48"/>
  </r>
  <r>
    <x v="48"/>
  </r>
  <r>
    <x v="48"/>
  </r>
  <r>
    <x v="14"/>
  </r>
  <r>
    <x v="14"/>
  </r>
  <r>
    <x v="48"/>
  </r>
  <r>
    <x v="48"/>
  </r>
  <r>
    <x v="48"/>
  </r>
  <r>
    <x v="106"/>
  </r>
  <r>
    <x v="55"/>
  </r>
  <r>
    <x v="10"/>
  </r>
  <r>
    <x v="72"/>
  </r>
  <r>
    <x v="34"/>
  </r>
  <r>
    <x v="82"/>
  </r>
  <r>
    <x v="26"/>
  </r>
  <r>
    <x v="28"/>
  </r>
  <r>
    <x v="28"/>
  </r>
  <r>
    <x v="0"/>
  </r>
  <r>
    <x v="0"/>
  </r>
  <r>
    <x v="49"/>
  </r>
  <r>
    <x v="10"/>
  </r>
  <r>
    <x v="23"/>
  </r>
  <r>
    <x v="14"/>
  </r>
  <r>
    <x v="42"/>
  </r>
  <r>
    <x v="71"/>
  </r>
  <r>
    <x v="71"/>
  </r>
  <r>
    <x v="12"/>
  </r>
  <r>
    <x v="44"/>
  </r>
  <r>
    <x v="26"/>
  </r>
  <r>
    <x v="61"/>
  </r>
  <r>
    <x v="113"/>
  </r>
  <r>
    <x v="113"/>
  </r>
  <r>
    <x v="6"/>
  </r>
  <r>
    <x v="61"/>
  </r>
  <r>
    <x v="57"/>
  </r>
  <r>
    <x v="57"/>
  </r>
  <r>
    <x v="57"/>
  </r>
  <r>
    <x v="28"/>
  </r>
  <r>
    <x v="28"/>
  </r>
  <r>
    <x v="57"/>
  </r>
  <r>
    <x v="57"/>
  </r>
  <r>
    <x v="28"/>
  </r>
  <r>
    <x v="0"/>
  </r>
  <r>
    <x v="82"/>
  </r>
  <r>
    <x v="0"/>
  </r>
  <r>
    <x v="98"/>
  </r>
  <r>
    <x v="98"/>
  </r>
  <r>
    <x v="98"/>
  </r>
  <r>
    <x v="0"/>
  </r>
  <r>
    <x v="0"/>
  </r>
  <r>
    <x v="6"/>
  </r>
  <r>
    <x v="24"/>
  </r>
  <r>
    <x v="30"/>
  </r>
  <r>
    <x v="10"/>
  </r>
  <r>
    <x v="106"/>
  </r>
  <r>
    <x v="68"/>
  </r>
  <r>
    <x v="68"/>
  </r>
  <r>
    <x v="10"/>
  </r>
  <r>
    <x v="10"/>
  </r>
  <r>
    <x v="10"/>
  </r>
  <r>
    <x v="10"/>
  </r>
  <r>
    <x v="10"/>
  </r>
  <r>
    <x v="48"/>
  </r>
  <r>
    <x v="109"/>
  </r>
  <r>
    <x v="93"/>
  </r>
  <r>
    <x v="93"/>
  </r>
  <r>
    <x v="3"/>
  </r>
  <r>
    <x v="48"/>
  </r>
  <r>
    <x v="20"/>
  </r>
  <r>
    <x v="48"/>
  </r>
  <r>
    <x v="200"/>
  </r>
  <r>
    <x v="77"/>
  </r>
  <r>
    <x v="48"/>
  </r>
  <r>
    <x v="78"/>
  </r>
  <r>
    <x v="57"/>
  </r>
  <r>
    <x v="57"/>
  </r>
  <r>
    <x v="48"/>
  </r>
  <r>
    <x v="12"/>
  </r>
  <r>
    <x v="0"/>
  </r>
  <r>
    <x v="0"/>
  </r>
  <r>
    <x v="0"/>
  </r>
  <r>
    <x v="0"/>
  </r>
  <r>
    <x v="48"/>
  </r>
  <r>
    <x v="10"/>
  </r>
  <r>
    <x v="10"/>
  </r>
  <r>
    <x v="0"/>
  </r>
  <r>
    <x v="194"/>
  </r>
  <r>
    <x v="194"/>
  </r>
  <r>
    <x v="48"/>
  </r>
  <r>
    <x v="0"/>
  </r>
  <r>
    <x v="0"/>
  </r>
  <r>
    <x v="0"/>
  </r>
  <r>
    <x v="0"/>
  </r>
  <r>
    <x v="31"/>
  </r>
  <r>
    <x v="31"/>
  </r>
  <r>
    <x v="6"/>
  </r>
  <r>
    <x v="81"/>
  </r>
  <r>
    <x v="81"/>
  </r>
  <r>
    <x v="37"/>
  </r>
  <r>
    <x v="37"/>
  </r>
  <r>
    <x v="37"/>
  </r>
  <r>
    <x v="37"/>
  </r>
  <r>
    <x v="6"/>
  </r>
  <r>
    <x v="48"/>
  </r>
  <r>
    <x v="48"/>
  </r>
  <r>
    <x v="48"/>
  </r>
  <r>
    <x v="48"/>
  </r>
  <r>
    <x v="48"/>
  </r>
  <r>
    <x v="48"/>
  </r>
  <r>
    <x v="48"/>
  </r>
  <r>
    <x v="208"/>
  </r>
  <r>
    <x v="68"/>
  </r>
  <r>
    <x v="31"/>
  </r>
  <r>
    <x v="29"/>
  </r>
  <r>
    <x v="23"/>
  </r>
  <r>
    <x v="82"/>
  </r>
  <r>
    <x v="0"/>
  </r>
  <r>
    <x v="81"/>
  </r>
  <r>
    <x v="25"/>
  </r>
  <r>
    <x v="76"/>
  </r>
  <r>
    <x v="25"/>
  </r>
  <r>
    <x v="27"/>
  </r>
  <r>
    <x v="76"/>
  </r>
  <r>
    <x v="76"/>
  </r>
  <r>
    <x v="76"/>
  </r>
  <r>
    <x v="93"/>
  </r>
  <r>
    <x v="93"/>
  </r>
  <r>
    <x v="90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0"/>
  </r>
  <r>
    <x v="0"/>
  </r>
  <r>
    <x v="103"/>
  </r>
  <r>
    <x v="31"/>
  </r>
  <r>
    <x v="200"/>
  </r>
  <r>
    <x v="80"/>
  </r>
  <r>
    <x v="20"/>
  </r>
  <r>
    <x v="48"/>
  </r>
  <r>
    <x v="48"/>
  </r>
  <r>
    <x v="48"/>
  </r>
  <r>
    <x v="48"/>
  </r>
  <r>
    <x v="48"/>
  </r>
  <r>
    <x v="63"/>
  </r>
  <r>
    <x v="48"/>
  </r>
  <r>
    <x v="48"/>
  </r>
  <r>
    <x v="64"/>
  </r>
  <r>
    <x v="78"/>
  </r>
  <r>
    <x v="25"/>
  </r>
  <r>
    <x v="142"/>
  </r>
  <r>
    <x v="142"/>
  </r>
  <r>
    <x v="11"/>
  </r>
  <r>
    <x v="117"/>
  </r>
  <r>
    <x v="142"/>
  </r>
  <r>
    <x v="117"/>
  </r>
  <r>
    <x v="491"/>
  </r>
  <r>
    <x v="125"/>
  </r>
  <r>
    <x v="14"/>
  </r>
  <r>
    <x v="93"/>
  </r>
  <r>
    <x v="93"/>
  </r>
  <r>
    <x v="93"/>
  </r>
  <r>
    <x v="93"/>
  </r>
  <r>
    <x v="93"/>
  </r>
  <r>
    <x v="93"/>
  </r>
  <r>
    <x v="10"/>
  </r>
  <r>
    <x v="10"/>
  </r>
  <r>
    <x v="2"/>
  </r>
  <r>
    <x v="25"/>
  </r>
  <r>
    <x v="25"/>
  </r>
  <r>
    <x v="25"/>
  </r>
  <r>
    <x v="25"/>
  </r>
  <r>
    <x v="78"/>
  </r>
  <r>
    <x v="1"/>
  </r>
  <r>
    <x v="48"/>
  </r>
  <r>
    <x v="64"/>
  </r>
  <r>
    <x v="63"/>
  </r>
  <r>
    <x v="63"/>
  </r>
  <r>
    <x v="78"/>
  </r>
  <r>
    <x v="48"/>
  </r>
  <r>
    <x v="89"/>
  </r>
  <r>
    <x v="22"/>
  </r>
  <r>
    <x v="22"/>
  </r>
  <r>
    <x v="0"/>
  </r>
  <r>
    <x v="78"/>
  </r>
  <r>
    <x v="78"/>
  </r>
  <r>
    <x v="48"/>
  </r>
  <r>
    <x v="78"/>
  </r>
  <r>
    <x v="78"/>
  </r>
  <r>
    <x v="48"/>
  </r>
  <r>
    <x v="27"/>
  </r>
  <r>
    <x v="29"/>
  </r>
  <r>
    <x v="492"/>
  </r>
  <r>
    <x v="93"/>
  </r>
  <r>
    <x v="492"/>
  </r>
  <r>
    <x v="75"/>
  </r>
  <r>
    <x v="75"/>
  </r>
  <r>
    <x v="93"/>
  </r>
  <r>
    <x v="93"/>
  </r>
  <r>
    <x v="93"/>
  </r>
  <r>
    <x v="93"/>
  </r>
  <r>
    <x v="75"/>
  </r>
  <r>
    <x v="72"/>
  </r>
  <r>
    <x v="89"/>
  </r>
  <r>
    <x v="71"/>
  </r>
  <r>
    <x v="50"/>
  </r>
  <r>
    <x v="122"/>
  </r>
  <r>
    <x v="2"/>
  </r>
  <r>
    <x v="2"/>
  </r>
  <r>
    <x v="2"/>
  </r>
  <r>
    <x v="2"/>
  </r>
  <r>
    <x v="28"/>
  </r>
  <r>
    <x v="28"/>
  </r>
  <r>
    <x v="28"/>
  </r>
  <r>
    <x v="28"/>
  </r>
  <r>
    <x v="28"/>
  </r>
  <r>
    <x v="56"/>
  </r>
  <r>
    <x v="2"/>
  </r>
  <r>
    <x v="2"/>
  </r>
  <r>
    <x v="2"/>
  </r>
  <r>
    <x v="2"/>
  </r>
  <r>
    <x v="2"/>
  </r>
  <r>
    <x v="2"/>
  </r>
  <r>
    <x v="23"/>
  </r>
  <r>
    <x v="28"/>
  </r>
  <r>
    <x v="2"/>
  </r>
  <r>
    <x v="2"/>
  </r>
  <r>
    <x v="2"/>
  </r>
  <r>
    <x v="83"/>
  </r>
  <r>
    <x v="14"/>
  </r>
  <r>
    <x v="10"/>
  </r>
  <r>
    <x v="25"/>
  </r>
  <r>
    <x v="25"/>
  </r>
  <r>
    <x v="86"/>
  </r>
  <r>
    <x v="86"/>
  </r>
  <r>
    <x v="10"/>
  </r>
  <r>
    <x v="25"/>
  </r>
  <r>
    <x v="10"/>
  </r>
  <r>
    <x v="32"/>
  </r>
  <r>
    <x v="48"/>
  </r>
  <r>
    <x v="48"/>
  </r>
  <r>
    <x v="48"/>
  </r>
  <r>
    <x v="48"/>
  </r>
  <r>
    <x v="48"/>
  </r>
  <r>
    <x v="48"/>
  </r>
  <r>
    <x v="48"/>
  </r>
  <r>
    <x v="48"/>
  </r>
  <r>
    <x v="1"/>
  </r>
  <r>
    <x v="1"/>
  </r>
  <r>
    <x v="1"/>
  </r>
  <r>
    <x v="1"/>
  </r>
  <r>
    <x v="82"/>
  </r>
  <r>
    <x v="82"/>
  </r>
  <r>
    <x v="1"/>
  </r>
  <r>
    <x v="1"/>
  </r>
  <r>
    <x v="48"/>
  </r>
  <r>
    <x v="48"/>
  </r>
  <r>
    <x v="48"/>
  </r>
  <r>
    <x v="48"/>
  </r>
  <r>
    <x v="48"/>
  </r>
  <r>
    <x v="48"/>
  </r>
  <r>
    <x v="48"/>
  </r>
  <r>
    <x v="48"/>
  </r>
  <r>
    <x v="8"/>
  </r>
  <r>
    <x v="34"/>
  </r>
  <r>
    <x v="25"/>
  </r>
  <r>
    <x v="72"/>
  </r>
  <r>
    <x v="78"/>
  </r>
  <r>
    <x v="87"/>
  </r>
  <r>
    <x v="87"/>
  </r>
  <r>
    <x v="87"/>
  </r>
  <r>
    <x v="87"/>
  </r>
  <r>
    <x v="87"/>
  </r>
  <r>
    <x v="87"/>
  </r>
  <r>
    <x v="87"/>
  </r>
  <r>
    <x v="87"/>
  </r>
  <r>
    <x v="143"/>
  </r>
  <r>
    <x v="143"/>
  </r>
  <r>
    <x v="143"/>
  </r>
  <r>
    <x v="143"/>
  </r>
  <r>
    <x v="143"/>
  </r>
  <r>
    <x v="14"/>
  </r>
  <r>
    <x v="70"/>
  </r>
  <r>
    <x v="70"/>
  </r>
  <r>
    <x v="81"/>
  </r>
  <r>
    <x v="81"/>
  </r>
  <r>
    <x v="81"/>
  </r>
  <r>
    <x v="193"/>
  </r>
  <r>
    <x v="193"/>
  </r>
  <r>
    <x v="70"/>
  </r>
  <r>
    <x v="236"/>
  </r>
  <r>
    <x v="117"/>
  </r>
  <r>
    <x v="37"/>
  </r>
  <r>
    <x v="8"/>
  </r>
  <r>
    <x v="100"/>
  </r>
  <r>
    <x v="45"/>
  </r>
  <r>
    <x v="290"/>
  </r>
  <r>
    <x v="10"/>
  </r>
  <r>
    <x v="3"/>
  </r>
  <r>
    <x v="29"/>
  </r>
  <r>
    <x v="0"/>
  </r>
  <r>
    <x v="48"/>
  </r>
  <r>
    <x v="52"/>
  </r>
  <r>
    <x v="25"/>
  </r>
  <r>
    <x v="98"/>
  </r>
  <r>
    <x v="112"/>
  </r>
  <r>
    <x v="99"/>
  </r>
  <r>
    <x v="25"/>
  </r>
  <r>
    <x v="25"/>
  </r>
  <r>
    <x v="25"/>
  </r>
  <r>
    <x v="78"/>
  </r>
  <r>
    <x v="93"/>
  </r>
  <r>
    <x v="87"/>
  </r>
  <r>
    <x v="55"/>
  </r>
  <r>
    <x v="93"/>
  </r>
  <r>
    <x v="23"/>
  </r>
  <r>
    <x v="30"/>
  </r>
  <r>
    <x v="93"/>
  </r>
  <r>
    <x v="93"/>
  </r>
  <r>
    <x v="21"/>
  </r>
  <r>
    <x v="12"/>
  </r>
  <r>
    <x v="2"/>
  </r>
  <r>
    <x v="0"/>
  </r>
  <r>
    <x v="14"/>
  </r>
  <r>
    <x v="25"/>
  </r>
  <r>
    <x v="25"/>
  </r>
  <r>
    <x v="25"/>
  </r>
  <r>
    <x v="105"/>
  </r>
  <r>
    <x v="76"/>
  </r>
  <r>
    <x v="199"/>
  </r>
  <r>
    <x v="59"/>
  </r>
  <r>
    <x v="25"/>
  </r>
  <r>
    <x v="63"/>
  </r>
  <r>
    <x v="218"/>
  </r>
  <r>
    <x v="72"/>
  </r>
  <r>
    <x v="3"/>
  </r>
  <r>
    <x v="102"/>
  </r>
  <r>
    <x v="3"/>
  </r>
  <r>
    <x v="41"/>
  </r>
  <r>
    <x v="82"/>
  </r>
  <r>
    <x v="94"/>
  </r>
  <r>
    <x v="25"/>
  </r>
  <r>
    <x v="199"/>
  </r>
  <r>
    <x v="48"/>
  </r>
  <r>
    <x v="83"/>
  </r>
  <r>
    <x v="25"/>
  </r>
  <r>
    <x v="82"/>
  </r>
  <r>
    <x v="23"/>
  </r>
  <r>
    <x v="102"/>
  </r>
  <r>
    <x v="25"/>
  </r>
  <r>
    <x v="81"/>
  </r>
  <r>
    <x v="25"/>
  </r>
  <r>
    <x v="104"/>
  </r>
  <r>
    <x v="99"/>
  </r>
  <r>
    <x v="99"/>
  </r>
  <r>
    <x v="95"/>
  </r>
  <r>
    <x v="123"/>
  </r>
  <r>
    <x v="123"/>
  </r>
  <r>
    <x v="123"/>
  </r>
  <r>
    <x v="36"/>
  </r>
  <r>
    <x v="36"/>
  </r>
  <r>
    <x v="72"/>
  </r>
  <r>
    <x v="179"/>
  </r>
  <r>
    <x v="87"/>
  </r>
  <r>
    <x v="87"/>
  </r>
  <r>
    <x v="87"/>
  </r>
  <r>
    <x v="36"/>
  </r>
  <r>
    <x v="56"/>
  </r>
  <r>
    <x v="31"/>
  </r>
  <r>
    <x v="30"/>
  </r>
  <r>
    <x v="30"/>
  </r>
  <r>
    <x v="30"/>
  </r>
  <r>
    <x v="25"/>
  </r>
  <r>
    <x v="72"/>
  </r>
  <r>
    <x v="78"/>
  </r>
  <r>
    <x v="23"/>
  </r>
  <r>
    <x v="36"/>
  </r>
  <r>
    <x v="29"/>
  </r>
  <r>
    <x v="29"/>
  </r>
  <r>
    <x v="113"/>
  </r>
  <r>
    <x v="86"/>
  </r>
  <r>
    <x v="82"/>
  </r>
  <r>
    <x v="25"/>
  </r>
  <r>
    <x v="25"/>
  </r>
  <r>
    <x v="77"/>
  </r>
  <r>
    <x v="36"/>
  </r>
  <r>
    <x v="48"/>
  </r>
  <r>
    <x v="23"/>
  </r>
  <r>
    <x v="48"/>
  </r>
  <r>
    <x v="143"/>
  </r>
  <r>
    <x v="85"/>
  </r>
  <r>
    <x v="87"/>
  </r>
  <r>
    <x v="81"/>
  </r>
  <r>
    <x v="56"/>
  </r>
  <r>
    <x v="25"/>
  </r>
  <r>
    <x v="130"/>
  </r>
  <r>
    <x v="78"/>
  </r>
  <r>
    <x v="72"/>
  </r>
  <r>
    <x v="14"/>
  </r>
  <r>
    <x v="76"/>
  </r>
  <r>
    <x v="72"/>
  </r>
  <r>
    <x v="72"/>
  </r>
  <r>
    <x v="25"/>
  </r>
  <r>
    <x v="82"/>
  </r>
  <r>
    <x v="198"/>
  </r>
  <r>
    <x v="25"/>
  </r>
  <r>
    <x v="25"/>
  </r>
  <r>
    <x v="25"/>
  </r>
  <r>
    <x v="25"/>
  </r>
  <r>
    <x v="25"/>
  </r>
  <r>
    <x v="25"/>
  </r>
  <r>
    <x v="76"/>
  </r>
  <r>
    <x v="25"/>
  </r>
  <r>
    <x v="76"/>
  </r>
  <r>
    <x v="25"/>
  </r>
  <r>
    <x v="25"/>
  </r>
  <r>
    <x v="25"/>
  </r>
  <r>
    <x v="25"/>
  </r>
  <r>
    <x v="76"/>
  </r>
  <r>
    <x v="82"/>
  </r>
  <r>
    <x v="76"/>
  </r>
  <r>
    <x v="76"/>
  </r>
  <r>
    <x v="113"/>
  </r>
  <r>
    <x v="113"/>
  </r>
  <r>
    <x v="113"/>
  </r>
  <r>
    <x v="48"/>
  </r>
  <r>
    <x v="72"/>
  </r>
  <r>
    <x v="25"/>
  </r>
  <r>
    <x v="82"/>
  </r>
  <r>
    <x v="25"/>
  </r>
  <r>
    <x v="25"/>
  </r>
  <r>
    <x v="102"/>
  </r>
  <r>
    <x v="72"/>
  </r>
  <r>
    <x v="72"/>
  </r>
  <r>
    <x v="72"/>
  </r>
  <r>
    <x v="76"/>
  </r>
  <r>
    <x v="78"/>
  </r>
  <r>
    <x v="76"/>
  </r>
  <r>
    <x v="76"/>
  </r>
  <r>
    <x v="10"/>
  </r>
  <r>
    <x v="25"/>
  </r>
  <r>
    <x v="25"/>
  </r>
  <r>
    <x v="72"/>
  </r>
  <r>
    <x v="82"/>
  </r>
  <r>
    <x v="23"/>
  </r>
  <r>
    <x v="12"/>
  </r>
  <r>
    <x v="102"/>
  </r>
  <r>
    <x v="76"/>
  </r>
  <r>
    <x v="72"/>
  </r>
  <r>
    <x v="108"/>
  </r>
  <r>
    <x v="31"/>
  </r>
  <r>
    <x v="188"/>
  </r>
  <r>
    <x v="31"/>
  </r>
  <r>
    <x v="188"/>
  </r>
  <r>
    <x v="31"/>
  </r>
  <r>
    <x v="24"/>
  </r>
  <r>
    <x v="107"/>
  </r>
  <r>
    <x v="31"/>
  </r>
  <r>
    <x v="218"/>
  </r>
  <r>
    <x v="238"/>
  </r>
  <r>
    <x v="31"/>
  </r>
  <r>
    <x v="31"/>
  </r>
  <r>
    <x v="31"/>
  </r>
  <r>
    <x v="31"/>
  </r>
  <r>
    <x v="31"/>
  </r>
  <r>
    <x v="31"/>
  </r>
  <r>
    <x v="31"/>
  </r>
  <r>
    <x v="119"/>
  </r>
  <r>
    <x v="76"/>
  </r>
  <r>
    <x v="24"/>
  </r>
  <r>
    <x v="70"/>
  </r>
  <r>
    <x v="371"/>
  </r>
  <r>
    <x v="25"/>
  </r>
  <r>
    <x v="113"/>
  </r>
  <r>
    <x v="10"/>
  </r>
  <r>
    <x v="82"/>
  </r>
  <r>
    <x v="25"/>
  </r>
  <r>
    <x v="10"/>
  </r>
  <r>
    <x v="31"/>
  </r>
  <r>
    <x v="242"/>
  </r>
  <r>
    <x v="72"/>
  </r>
  <r>
    <x v="10"/>
  </r>
  <r>
    <x v="76"/>
  </r>
  <r>
    <x v="113"/>
  </r>
  <r>
    <x v="113"/>
  </r>
  <r>
    <x v="10"/>
  </r>
  <r>
    <x v="10"/>
  </r>
  <r>
    <x v="31"/>
  </r>
  <r>
    <x v="31"/>
  </r>
  <r>
    <x v="24"/>
  </r>
  <r>
    <x v="86"/>
  </r>
  <r>
    <x v="25"/>
  </r>
  <r>
    <x v="25"/>
  </r>
  <r>
    <x v="78"/>
  </r>
  <r>
    <x v="25"/>
  </r>
  <r>
    <x v="25"/>
  </r>
  <r>
    <x v="82"/>
  </r>
  <r>
    <x v="78"/>
  </r>
  <r>
    <x v="173"/>
  </r>
  <r>
    <x v="23"/>
  </r>
  <r>
    <x v="36"/>
  </r>
  <r>
    <x v="216"/>
  </r>
  <r>
    <x v="82"/>
  </r>
  <r>
    <x v="86"/>
  </r>
  <r>
    <x v="86"/>
  </r>
  <r>
    <x v="113"/>
  </r>
  <r>
    <x v="86"/>
  </r>
  <r>
    <x v="82"/>
  </r>
  <r>
    <x v="102"/>
  </r>
  <r>
    <x v="100"/>
  </r>
  <r>
    <x v="4"/>
  </r>
  <r>
    <x v="76"/>
  </r>
  <r>
    <x v="25"/>
  </r>
  <r>
    <x v="4"/>
  </r>
  <r>
    <x v="25"/>
  </r>
  <r>
    <x v="76"/>
  </r>
  <r>
    <x v="25"/>
  </r>
  <r>
    <x v="25"/>
  </r>
  <r>
    <x v="110"/>
  </r>
  <r>
    <x v="110"/>
  </r>
  <r>
    <x v="62"/>
  </r>
  <r>
    <x v="52"/>
  </r>
  <r>
    <x v="55"/>
  </r>
  <r>
    <x v="52"/>
  </r>
  <r>
    <x v="113"/>
  </r>
  <r>
    <x v="82"/>
  </r>
  <r>
    <x v="55"/>
  </r>
  <r>
    <x v="113"/>
  </r>
  <r>
    <x v="155"/>
  </r>
  <r>
    <x v="113"/>
  </r>
  <r>
    <x v="57"/>
  </r>
  <r>
    <x v="30"/>
  </r>
  <r>
    <x v="30"/>
  </r>
  <r>
    <x v="30"/>
  </r>
  <r>
    <x v="28"/>
  </r>
  <r>
    <x v="72"/>
  </r>
  <r>
    <x v="72"/>
  </r>
  <r>
    <x v="12"/>
  </r>
  <r>
    <x v="155"/>
  </r>
  <r>
    <x v="2"/>
  </r>
  <r>
    <x v="155"/>
  </r>
  <r>
    <x v="4"/>
  </r>
  <r>
    <x v="121"/>
  </r>
  <r>
    <x v="83"/>
  </r>
  <r>
    <x v="25"/>
  </r>
  <r>
    <x v="63"/>
  </r>
  <r>
    <x v="0"/>
  </r>
  <r>
    <x v="83"/>
  </r>
  <r>
    <x v="83"/>
  </r>
  <r>
    <x v="83"/>
  </r>
  <r>
    <x v="10"/>
  </r>
  <r>
    <x v="31"/>
  </r>
  <r>
    <x v="6"/>
  </r>
  <r>
    <x v="182"/>
  </r>
  <r>
    <x v="181"/>
  </r>
  <r>
    <x v="212"/>
  </r>
  <r>
    <x v="25"/>
  </r>
  <r>
    <x v="394"/>
  </r>
  <r>
    <x v="102"/>
  </r>
  <r>
    <x v="31"/>
  </r>
  <r>
    <x v="394"/>
  </r>
  <r>
    <x v="82"/>
  </r>
  <r>
    <x v="31"/>
  </r>
  <r>
    <x v="82"/>
  </r>
  <r>
    <x v="212"/>
  </r>
  <r>
    <x v="82"/>
  </r>
  <r>
    <x v="32"/>
  </r>
  <r>
    <x v="12"/>
  </r>
  <r>
    <x v="63"/>
  </r>
  <r>
    <x v="63"/>
  </r>
  <r>
    <x v="12"/>
  </r>
  <r>
    <x v="12"/>
  </r>
  <r>
    <x v="72"/>
  </r>
  <r>
    <x v="7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26"/>
  </r>
  <r>
    <x v="83"/>
  </r>
  <r>
    <x v="227"/>
  </r>
  <r>
    <x v="121"/>
  </r>
  <r>
    <x v="227"/>
  </r>
  <r>
    <x v="25"/>
  </r>
  <r>
    <x v="227"/>
  </r>
  <r>
    <x v="128"/>
  </r>
  <r>
    <x v="83"/>
  </r>
  <r>
    <x v="10"/>
  </r>
  <r>
    <x v="30"/>
  </r>
  <r>
    <x v="12"/>
  </r>
  <r>
    <x v="30"/>
  </r>
  <r>
    <x v="93"/>
  </r>
  <r>
    <x v="25"/>
  </r>
  <r>
    <x v="30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72"/>
  </r>
  <r>
    <x v="94"/>
  </r>
  <r>
    <x v="72"/>
  </r>
  <r>
    <x v="72"/>
  </r>
  <r>
    <x v="72"/>
  </r>
  <r>
    <x v="112"/>
  </r>
  <r>
    <x v="34"/>
  </r>
  <r>
    <x v="10"/>
  </r>
  <r>
    <x v="10"/>
  </r>
  <r>
    <x v="10"/>
  </r>
  <r>
    <x v="76"/>
  </r>
  <r>
    <x v="10"/>
  </r>
  <r>
    <x v="22"/>
  </r>
  <r>
    <x v="22"/>
  </r>
  <r>
    <x v="76"/>
  </r>
  <r>
    <x v="71"/>
  </r>
  <r>
    <x v="10"/>
  </r>
  <r>
    <x v="78"/>
  </r>
  <r>
    <x v="81"/>
  </r>
  <r>
    <x v="25"/>
  </r>
  <r>
    <x v="71"/>
  </r>
  <r>
    <x v="81"/>
  </r>
  <r>
    <x v="10"/>
  </r>
  <r>
    <x v="78"/>
  </r>
  <r>
    <x v="25"/>
  </r>
  <r>
    <x v="78"/>
  </r>
  <r>
    <x v="78"/>
  </r>
  <r>
    <x v="71"/>
  </r>
  <r>
    <x v="78"/>
  </r>
  <r>
    <x v="25"/>
  </r>
  <r>
    <x v="25"/>
  </r>
  <r>
    <x v="55"/>
  </r>
  <r>
    <x v="2"/>
  </r>
  <r>
    <x v="26"/>
  </r>
  <r>
    <x v="40"/>
  </r>
  <r>
    <x v="40"/>
  </r>
  <r>
    <x v="78"/>
  </r>
  <r>
    <x v="25"/>
  </r>
  <r>
    <x v="25"/>
  </r>
  <r>
    <x v="25"/>
  </r>
  <r>
    <x v="81"/>
  </r>
  <r>
    <x v="12"/>
  </r>
  <r>
    <x v="76"/>
  </r>
  <r>
    <x v="81"/>
  </r>
  <r>
    <x v="71"/>
  </r>
  <r>
    <x v="63"/>
  </r>
  <r>
    <x v="29"/>
  </r>
  <r>
    <x v="29"/>
  </r>
  <r>
    <x v="29"/>
  </r>
  <r>
    <x v="76"/>
  </r>
  <r>
    <x v="76"/>
  </r>
  <r>
    <x v="76"/>
  </r>
  <r>
    <x v="76"/>
  </r>
  <r>
    <x v="81"/>
  </r>
  <r>
    <x v="87"/>
  </r>
  <r>
    <x v="72"/>
  </r>
  <r>
    <x v="57"/>
  </r>
  <r>
    <x v="76"/>
  </r>
  <r>
    <x v="76"/>
  </r>
  <r>
    <x v="34"/>
  </r>
  <r>
    <x v="121"/>
  </r>
  <r>
    <x v="10"/>
  </r>
  <r>
    <x v="10"/>
  </r>
  <r>
    <x v="57"/>
  </r>
  <r>
    <x v="57"/>
  </r>
  <r>
    <x v="97"/>
  </r>
  <r>
    <x v="76"/>
  </r>
  <r>
    <x v="76"/>
  </r>
  <r>
    <x v="10"/>
  </r>
  <r>
    <x v="25"/>
  </r>
  <r>
    <x v="78"/>
  </r>
  <r>
    <x v="76"/>
  </r>
  <r>
    <x v="78"/>
  </r>
  <r>
    <x v="10"/>
  </r>
  <r>
    <x v="22"/>
  </r>
  <r>
    <x v="81"/>
  </r>
  <r>
    <x v="81"/>
  </r>
  <r>
    <x v="29"/>
  </r>
  <r>
    <x v="29"/>
  </r>
  <r>
    <x v="213"/>
  </r>
  <r>
    <x v="48"/>
  </r>
  <r>
    <x v="3"/>
  </r>
  <r>
    <x v="25"/>
  </r>
  <r>
    <x v="71"/>
  </r>
  <r>
    <x v="45"/>
  </r>
  <r>
    <x v="71"/>
  </r>
  <r>
    <x v="56"/>
  </r>
  <r>
    <x v="0"/>
  </r>
  <r>
    <x v="78"/>
  </r>
  <r>
    <x v="76"/>
  </r>
  <r>
    <x v="0"/>
  </r>
  <r>
    <x v="0"/>
  </r>
  <r>
    <x v="23"/>
  </r>
  <r>
    <x v="82"/>
  </r>
  <r>
    <x v="25"/>
  </r>
  <r>
    <x v="208"/>
  </r>
  <r>
    <x v="388"/>
  </r>
  <r>
    <x v="25"/>
  </r>
  <r>
    <x v="115"/>
  </r>
  <r>
    <x v="0"/>
  </r>
  <r>
    <x v="82"/>
  </r>
  <r>
    <x v="82"/>
  </r>
  <r>
    <x v="72"/>
  </r>
  <r>
    <x v="25"/>
  </r>
  <r>
    <x v="25"/>
  </r>
  <r>
    <x v="25"/>
  </r>
  <r>
    <x v="72"/>
  </r>
  <r>
    <x v="25"/>
  </r>
  <r>
    <x v="177"/>
  </r>
  <r>
    <x v="126"/>
  </r>
  <r>
    <x v="50"/>
  </r>
  <r>
    <x v="76"/>
  </r>
  <r>
    <x v="76"/>
  </r>
  <r>
    <x v="76"/>
  </r>
  <r>
    <x v="76"/>
  </r>
  <r>
    <x v="76"/>
  </r>
  <r>
    <x v="76"/>
  </r>
  <r>
    <x v="78"/>
  </r>
  <r>
    <x v="78"/>
  </r>
  <r>
    <x v="48"/>
  </r>
  <r>
    <x v="100"/>
  </r>
  <r>
    <x v="100"/>
  </r>
  <r>
    <x v="111"/>
  </r>
  <r>
    <x v="105"/>
  </r>
  <r>
    <x v="20"/>
  </r>
  <r>
    <x v="111"/>
  </r>
  <r>
    <x v="25"/>
  </r>
  <r>
    <x v="63"/>
  </r>
  <r>
    <x v="63"/>
  </r>
  <r>
    <x v="63"/>
  </r>
  <r>
    <x v="21"/>
  </r>
  <r>
    <x v="46"/>
  </r>
  <r>
    <x v="87"/>
  </r>
  <r>
    <x v="87"/>
  </r>
  <r>
    <x v="87"/>
  </r>
  <r>
    <x v="63"/>
  </r>
  <r>
    <x v="14"/>
  </r>
  <r>
    <x v="113"/>
  </r>
  <r>
    <x v="48"/>
  </r>
  <r>
    <x v="37"/>
  </r>
  <r>
    <x v="7"/>
  </r>
  <r>
    <x v="7"/>
  </r>
  <r>
    <x v="212"/>
  </r>
  <r>
    <x v="10"/>
  </r>
  <r>
    <x v="212"/>
  </r>
  <r>
    <x v="76"/>
  </r>
  <r>
    <x v="25"/>
  </r>
  <r>
    <x v="82"/>
  </r>
  <r>
    <x v="199"/>
  </r>
  <r>
    <x v="25"/>
  </r>
  <r>
    <x v="72"/>
  </r>
  <r>
    <x v="25"/>
  </r>
  <r>
    <x v="72"/>
  </r>
  <r>
    <x v="82"/>
  </r>
  <r>
    <x v="199"/>
  </r>
  <r>
    <x v="199"/>
  </r>
  <r>
    <x v="102"/>
  </r>
  <r>
    <x v="72"/>
  </r>
  <r>
    <x v="82"/>
  </r>
  <r>
    <x v="96"/>
  </r>
  <r>
    <x v="25"/>
  </r>
  <r>
    <x v="82"/>
  </r>
  <r>
    <x v="25"/>
  </r>
  <r>
    <x v="102"/>
  </r>
  <r>
    <x v="100"/>
  </r>
  <r>
    <x v="85"/>
  </r>
  <r>
    <x v="72"/>
  </r>
  <r>
    <x v="72"/>
  </r>
  <r>
    <x v="72"/>
  </r>
  <r>
    <x v="72"/>
  </r>
  <r>
    <x v="10"/>
  </r>
  <r>
    <x v="10"/>
  </r>
  <r>
    <x v="82"/>
  </r>
  <r>
    <x v="76"/>
  </r>
  <r>
    <x v="72"/>
  </r>
  <r>
    <x v="79"/>
  </r>
  <r>
    <x v="31"/>
  </r>
  <r>
    <x v="113"/>
  </r>
  <r>
    <x v="75"/>
  </r>
  <r>
    <x v="75"/>
  </r>
  <r>
    <x v="133"/>
  </r>
  <r>
    <x v="76"/>
  </r>
  <r>
    <x v="86"/>
  </r>
  <r>
    <x v="86"/>
  </r>
  <r>
    <x v="86"/>
  </r>
  <r>
    <x v="86"/>
  </r>
  <r>
    <x v="81"/>
  </r>
  <r>
    <x v="81"/>
  </r>
  <r>
    <x v="81"/>
  </r>
  <r>
    <x v="48"/>
  </r>
  <r>
    <x v="48"/>
  </r>
  <r>
    <x v="48"/>
  </r>
  <r>
    <x v="78"/>
  </r>
  <r>
    <x v="76"/>
  </r>
  <r>
    <x v="14"/>
  </r>
  <r>
    <x v="14"/>
  </r>
  <r>
    <x v="76"/>
  </r>
  <r>
    <x v="25"/>
  </r>
  <r>
    <x v="25"/>
  </r>
  <r>
    <x v="102"/>
  </r>
  <r>
    <x v="190"/>
  </r>
  <r>
    <x v="198"/>
  </r>
  <r>
    <x v="82"/>
  </r>
  <r>
    <x v="72"/>
  </r>
  <r>
    <x v="78"/>
  </r>
  <r>
    <x v="20"/>
  </r>
  <r>
    <x v="20"/>
  </r>
  <r>
    <x v="99"/>
  </r>
  <r>
    <x v="52"/>
  </r>
  <r>
    <x v="111"/>
  </r>
  <r>
    <x v="12"/>
  </r>
  <r>
    <x v="4"/>
  </r>
  <r>
    <x v="25"/>
  </r>
  <r>
    <x v="25"/>
  </r>
  <r>
    <x v="219"/>
  </r>
  <r>
    <x v="78"/>
  </r>
  <r>
    <x v="78"/>
  </r>
  <r>
    <x v="78"/>
  </r>
  <r>
    <x v="36"/>
  </r>
  <r>
    <x v="48"/>
  </r>
  <r>
    <x v="113"/>
  </r>
  <r>
    <x v="4"/>
  </r>
  <r>
    <x v="42"/>
  </r>
  <r>
    <x v="12"/>
  </r>
  <r>
    <x v="10"/>
  </r>
  <r>
    <x v="42"/>
  </r>
  <r>
    <x v="17"/>
  </r>
  <r>
    <x v="17"/>
  </r>
  <r>
    <x v="14"/>
  </r>
  <r>
    <x v="7"/>
  </r>
  <r>
    <x v="10"/>
  </r>
  <r>
    <x v="239"/>
  </r>
  <r>
    <x v="42"/>
  </r>
  <r>
    <x v="42"/>
  </r>
  <r>
    <x v="0"/>
  </r>
  <r>
    <x v="33"/>
  </r>
  <r>
    <x v="56"/>
  </r>
  <r>
    <x v="32"/>
  </r>
  <r>
    <x v="32"/>
  </r>
  <r>
    <x v="34"/>
  </r>
  <r>
    <x v="34"/>
  </r>
  <r>
    <x v="2"/>
  </r>
  <r>
    <x v="11"/>
  </r>
  <r>
    <x v="11"/>
  </r>
  <r>
    <x v="42"/>
  </r>
  <r>
    <x v="42"/>
  </r>
  <r>
    <x v="42"/>
  </r>
  <r>
    <x v="4"/>
  </r>
  <r>
    <x v="7"/>
  </r>
  <r>
    <x v="42"/>
  </r>
  <r>
    <x v="4"/>
  </r>
  <r>
    <x v="163"/>
  </r>
  <r>
    <x v="42"/>
  </r>
  <r>
    <x v="7"/>
  </r>
  <r>
    <x v="7"/>
  </r>
  <r>
    <x v="12"/>
  </r>
  <r>
    <x v="4"/>
  </r>
  <r>
    <x v="48"/>
  </r>
  <r>
    <x v="40"/>
  </r>
  <r>
    <x v="7"/>
  </r>
  <r>
    <x v="7"/>
  </r>
  <r>
    <x v="42"/>
  </r>
  <r>
    <x v="12"/>
  </r>
  <r>
    <x v="42"/>
  </r>
  <r>
    <x v="42"/>
  </r>
  <r>
    <x v="0"/>
  </r>
  <r>
    <x v="39"/>
  </r>
  <r>
    <x v="6"/>
  </r>
  <r>
    <x v="48"/>
  </r>
  <r>
    <x v="6"/>
  </r>
  <r>
    <x v="22"/>
  </r>
  <r>
    <x v="7"/>
  </r>
  <r>
    <x v="7"/>
  </r>
  <r>
    <x v="40"/>
  </r>
  <r>
    <x v="40"/>
  </r>
  <r>
    <x v="10"/>
  </r>
  <r>
    <x v="11"/>
  </r>
  <r>
    <x v="22"/>
  </r>
  <r>
    <x v="4"/>
  </r>
  <r>
    <x v="7"/>
  </r>
  <r>
    <x v="4"/>
  </r>
  <r>
    <x v="15"/>
  </r>
  <r>
    <x v="0"/>
  </r>
  <r>
    <x v="4"/>
  </r>
  <r>
    <x v="14"/>
  </r>
  <r>
    <x v="14"/>
  </r>
  <r>
    <x v="91"/>
  </r>
  <r>
    <x v="7"/>
  </r>
  <r>
    <x v="7"/>
  </r>
  <r>
    <x v="7"/>
  </r>
  <r>
    <x v="24"/>
  </r>
  <r>
    <x v="0"/>
  </r>
  <r>
    <x v="4"/>
  </r>
  <r>
    <x v="4"/>
  </r>
  <r>
    <x v="0"/>
  </r>
  <r>
    <x v="4"/>
  </r>
  <r>
    <x v="4"/>
  </r>
  <r>
    <x v="4"/>
  </r>
  <r>
    <x v="4"/>
  </r>
  <r>
    <x v="48"/>
  </r>
  <r>
    <x v="17"/>
  </r>
  <r>
    <x v="4"/>
  </r>
  <r>
    <x v="4"/>
  </r>
  <r>
    <x v="55"/>
  </r>
  <r>
    <x v="0"/>
  </r>
  <r>
    <x v="0"/>
  </r>
  <r>
    <x v="40"/>
  </r>
  <r>
    <x v="10"/>
  </r>
  <r>
    <x v="53"/>
  </r>
  <r>
    <x v="48"/>
  </r>
  <r>
    <x v="4"/>
  </r>
  <r>
    <x v="48"/>
  </r>
  <r>
    <x v="17"/>
  </r>
  <r>
    <x v="17"/>
  </r>
  <r>
    <x v="55"/>
  </r>
  <r>
    <x v="12"/>
  </r>
  <r>
    <x v="16"/>
  </r>
  <r>
    <x v="16"/>
  </r>
  <r>
    <x v="21"/>
  </r>
  <r>
    <x v="42"/>
  </r>
  <r>
    <x v="28"/>
  </r>
  <r>
    <x v="48"/>
  </r>
  <r>
    <x v="17"/>
  </r>
  <r>
    <x v="17"/>
  </r>
  <r>
    <x v="4"/>
  </r>
  <r>
    <x v="4"/>
  </r>
  <r>
    <x v="37"/>
  </r>
  <r>
    <x v="4"/>
  </r>
  <r>
    <x v="8"/>
  </r>
  <r>
    <x v="4"/>
  </r>
  <r>
    <x v="37"/>
  </r>
  <r>
    <x v="10"/>
  </r>
  <r>
    <x v="21"/>
  </r>
  <r>
    <x v="4"/>
  </r>
  <r>
    <x v="24"/>
  </r>
  <r>
    <x v="15"/>
  </r>
  <r>
    <x v="12"/>
  </r>
  <r>
    <x v="2"/>
  </r>
  <r>
    <x v="28"/>
  </r>
  <r>
    <x v="28"/>
  </r>
  <r>
    <x v="115"/>
  </r>
  <r>
    <x v="4"/>
  </r>
  <r>
    <x v="7"/>
  </r>
  <r>
    <x v="10"/>
  </r>
  <r>
    <x v="12"/>
  </r>
  <r>
    <x v="4"/>
  </r>
  <r>
    <x v="21"/>
  </r>
  <r>
    <x v="28"/>
  </r>
  <r>
    <x v="42"/>
  </r>
  <r>
    <x v="0"/>
  </r>
  <r>
    <x v="22"/>
  </r>
  <r>
    <x v="9"/>
  </r>
  <r>
    <x v="0"/>
  </r>
  <r>
    <x v="48"/>
  </r>
  <r>
    <x v="48"/>
  </r>
  <r>
    <x v="10"/>
  </r>
  <r>
    <x v="10"/>
  </r>
  <r>
    <x v="45"/>
  </r>
  <r>
    <x v="9"/>
  </r>
  <r>
    <x v="4"/>
  </r>
  <r>
    <x v="37"/>
  </r>
  <r>
    <x v="37"/>
  </r>
  <r>
    <x v="12"/>
  </r>
  <r>
    <x v="45"/>
  </r>
  <r>
    <x v="12"/>
  </r>
  <r>
    <x v="12"/>
  </r>
  <r>
    <x v="17"/>
  </r>
  <r>
    <x v="11"/>
  </r>
  <r>
    <x v="8"/>
  </r>
  <r>
    <x v="6"/>
  </r>
  <r>
    <x v="6"/>
  </r>
  <r>
    <x v="4"/>
  </r>
  <r>
    <x v="40"/>
  </r>
  <r>
    <x v="4"/>
  </r>
  <r>
    <x v="8"/>
  </r>
  <r>
    <x v="17"/>
  </r>
  <r>
    <x v="4"/>
  </r>
  <r>
    <x v="4"/>
  </r>
  <r>
    <x v="4"/>
  </r>
  <r>
    <x v="2"/>
  </r>
  <r>
    <x v="0"/>
  </r>
  <r>
    <x v="0"/>
  </r>
  <r>
    <x v="4"/>
  </r>
  <r>
    <x v="8"/>
  </r>
  <r>
    <x v="17"/>
  </r>
  <r>
    <x v="11"/>
  </r>
  <r>
    <x v="28"/>
  </r>
  <r>
    <x v="28"/>
  </r>
  <r>
    <x v="11"/>
  </r>
  <r>
    <x v="21"/>
  </r>
  <r>
    <x v="52"/>
  </r>
  <r>
    <x v="42"/>
  </r>
  <r>
    <x v="53"/>
  </r>
  <r>
    <x v="17"/>
  </r>
  <r>
    <x v="12"/>
  </r>
  <r>
    <x v="12"/>
  </r>
  <r>
    <x v="12"/>
  </r>
  <r>
    <x v="12"/>
  </r>
  <r>
    <x v="37"/>
  </r>
  <r>
    <x v="2"/>
  </r>
  <r>
    <x v="42"/>
  </r>
  <r>
    <x v="28"/>
  </r>
  <r>
    <x v="12"/>
  </r>
  <r>
    <x v="22"/>
  </r>
  <r>
    <x v="10"/>
  </r>
  <r>
    <x v="21"/>
  </r>
  <r>
    <x v="55"/>
  </r>
  <r>
    <x v="11"/>
  </r>
  <r>
    <x v="11"/>
  </r>
  <r>
    <x v="17"/>
  </r>
  <r>
    <x v="45"/>
  </r>
  <r>
    <x v="11"/>
  </r>
  <r>
    <x v="10"/>
  </r>
  <r>
    <x v="4"/>
  </r>
  <r>
    <x v="17"/>
  </r>
  <r>
    <x v="0"/>
  </r>
  <r>
    <x v="9"/>
  </r>
  <r>
    <x v="42"/>
  </r>
  <r>
    <x v="45"/>
  </r>
  <r>
    <x v="10"/>
  </r>
  <r>
    <x v="33"/>
  </r>
  <r>
    <x v="33"/>
  </r>
  <r>
    <x v="4"/>
  </r>
  <r>
    <x v="12"/>
  </r>
  <r>
    <x v="70"/>
  </r>
  <r>
    <x v="7"/>
  </r>
  <r>
    <x v="11"/>
  </r>
  <r>
    <x v="28"/>
  </r>
  <r>
    <x v="4"/>
  </r>
  <r>
    <x v="42"/>
  </r>
  <r>
    <x v="21"/>
  </r>
  <r>
    <x v="4"/>
  </r>
  <r>
    <x v="22"/>
  </r>
  <r>
    <x v="6"/>
  </r>
  <r>
    <x v="12"/>
  </r>
  <r>
    <x v="10"/>
  </r>
  <r>
    <x v="0"/>
  </r>
  <r>
    <x v="33"/>
  </r>
  <r>
    <x v="4"/>
  </r>
  <r>
    <x v="4"/>
  </r>
  <r>
    <x v="14"/>
  </r>
  <r>
    <x v="4"/>
  </r>
  <r>
    <x v="28"/>
  </r>
  <r>
    <x v="0"/>
  </r>
  <r>
    <x v="12"/>
  </r>
  <r>
    <x v="12"/>
  </r>
  <r>
    <x v="4"/>
  </r>
  <r>
    <x v="4"/>
  </r>
  <r>
    <x v="33"/>
  </r>
  <r>
    <x v="0"/>
  </r>
  <r>
    <x v="0"/>
  </r>
  <r>
    <x v="0"/>
  </r>
  <r>
    <x v="11"/>
  </r>
  <r>
    <x v="21"/>
  </r>
  <r>
    <x v="6"/>
  </r>
  <r>
    <x v="20"/>
  </r>
  <r>
    <x v="21"/>
  </r>
  <r>
    <x v="4"/>
  </r>
  <r>
    <x v="21"/>
  </r>
  <r>
    <x v="24"/>
  </r>
  <r>
    <x v="0"/>
  </r>
  <r>
    <x v="0"/>
  </r>
  <r>
    <x v="0"/>
  </r>
  <r>
    <x v="204"/>
  </r>
  <r>
    <x v="0"/>
  </r>
  <r>
    <x v="28"/>
  </r>
  <r>
    <x v="28"/>
  </r>
  <r>
    <x v="9"/>
  </r>
  <r>
    <x v="9"/>
  </r>
  <r>
    <x v="9"/>
  </r>
  <r>
    <x v="10"/>
  </r>
  <r>
    <x v="115"/>
  </r>
  <r>
    <x v="12"/>
  </r>
  <r>
    <x v="4"/>
  </r>
  <r>
    <x v="34"/>
  </r>
  <r>
    <x v="33"/>
  </r>
  <r>
    <x v="24"/>
  </r>
  <r>
    <x v="4"/>
  </r>
  <r>
    <x v="64"/>
  </r>
  <r>
    <x v="0"/>
  </r>
  <r>
    <x v="2"/>
  </r>
  <r>
    <x v="22"/>
  </r>
  <r>
    <x v="10"/>
  </r>
  <r>
    <x v="39"/>
  </r>
  <r>
    <x v="12"/>
  </r>
  <r>
    <x v="24"/>
  </r>
  <r>
    <x v="0"/>
  </r>
  <r>
    <x v="0"/>
  </r>
  <r>
    <x v="14"/>
  </r>
  <r>
    <x v="40"/>
  </r>
  <r>
    <x v="21"/>
  </r>
  <r>
    <x v="17"/>
  </r>
  <r>
    <x v="17"/>
  </r>
  <r>
    <x v="35"/>
  </r>
  <r>
    <x v="4"/>
  </r>
  <r>
    <x v="4"/>
  </r>
  <r>
    <x v="10"/>
  </r>
  <r>
    <x v="14"/>
  </r>
  <r>
    <x v="31"/>
  </r>
  <r>
    <x v="2"/>
  </r>
  <r>
    <x v="2"/>
  </r>
  <r>
    <x v="62"/>
  </r>
  <r>
    <x v="62"/>
  </r>
  <r>
    <x v="17"/>
  </r>
  <r>
    <x v="12"/>
  </r>
  <r>
    <x v="28"/>
  </r>
  <r>
    <x v="4"/>
  </r>
  <r>
    <x v="45"/>
  </r>
  <r>
    <x v="0"/>
  </r>
  <r>
    <x v="42"/>
  </r>
  <r>
    <x v="42"/>
  </r>
  <r>
    <x v="0"/>
  </r>
  <r>
    <x v="0"/>
  </r>
  <r>
    <x v="17"/>
  </r>
  <r>
    <x v="0"/>
  </r>
  <r>
    <x v="0"/>
  </r>
  <r>
    <x v="0"/>
  </r>
  <r>
    <x v="74"/>
  </r>
  <r>
    <x v="87"/>
  </r>
  <r>
    <x v="17"/>
  </r>
  <r>
    <x v="42"/>
  </r>
  <r>
    <x v="42"/>
  </r>
  <r>
    <x v="40"/>
  </r>
  <r>
    <x v="6"/>
  </r>
  <r>
    <x v="45"/>
  </r>
  <r>
    <x v="4"/>
  </r>
  <r>
    <x v="17"/>
  </r>
  <r>
    <x v="12"/>
  </r>
  <r>
    <x v="12"/>
  </r>
  <r>
    <x v="12"/>
  </r>
  <r>
    <x v="87"/>
  </r>
  <r>
    <x v="28"/>
  </r>
  <r>
    <x v="0"/>
  </r>
  <r>
    <x v="17"/>
  </r>
  <r>
    <x v="0"/>
  </r>
  <r>
    <x v="10"/>
  </r>
  <r>
    <x v="76"/>
  </r>
  <r>
    <x v="9"/>
  </r>
  <r>
    <x v="74"/>
  </r>
  <r>
    <x v="74"/>
  </r>
  <r>
    <x v="4"/>
  </r>
  <r>
    <x v="8"/>
  </r>
  <r>
    <x v="28"/>
  </r>
  <r>
    <x v="0"/>
  </r>
  <r>
    <x v="0"/>
  </r>
  <r>
    <x v="12"/>
  </r>
  <r>
    <x v="17"/>
  </r>
  <r>
    <x v="17"/>
  </r>
  <r>
    <x v="29"/>
  </r>
  <r>
    <x v="123"/>
  </r>
  <r>
    <x v="1"/>
  </r>
  <r>
    <x v="4"/>
  </r>
  <r>
    <x v="14"/>
  </r>
  <r>
    <x v="62"/>
  </r>
  <r>
    <x v="10"/>
  </r>
  <r>
    <x v="10"/>
  </r>
  <r>
    <x v="48"/>
  </r>
  <r>
    <x v="33"/>
  </r>
  <r>
    <x v="16"/>
  </r>
  <r>
    <x v="28"/>
  </r>
  <r>
    <x v="0"/>
  </r>
  <r>
    <x v="2"/>
  </r>
  <r>
    <x v="16"/>
  </r>
  <r>
    <x v="10"/>
  </r>
  <r>
    <x v="136"/>
  </r>
  <r>
    <x v="1"/>
  </r>
  <r>
    <x v="16"/>
  </r>
  <r>
    <x v="114"/>
  </r>
  <r>
    <x v="4"/>
  </r>
  <r>
    <x v="2"/>
  </r>
  <r>
    <x v="74"/>
  </r>
  <r>
    <x v="7"/>
  </r>
  <r>
    <x v="33"/>
  </r>
  <r>
    <x v="55"/>
  </r>
  <r>
    <x v="4"/>
  </r>
  <r>
    <x v="10"/>
  </r>
  <r>
    <x v="0"/>
  </r>
  <r>
    <x v="53"/>
  </r>
  <r>
    <x v="4"/>
  </r>
  <r>
    <x v="53"/>
  </r>
  <r>
    <x v="17"/>
  </r>
  <r>
    <x v="10"/>
  </r>
  <r>
    <x v="10"/>
  </r>
  <r>
    <x v="53"/>
  </r>
  <r>
    <x v="12"/>
  </r>
  <r>
    <x v="24"/>
  </r>
  <r>
    <x v="28"/>
  </r>
  <r>
    <x v="8"/>
  </r>
  <r>
    <x v="0"/>
  </r>
  <r>
    <x v="4"/>
  </r>
  <r>
    <x v="17"/>
  </r>
  <r>
    <x v="40"/>
  </r>
  <r>
    <x v="28"/>
  </r>
  <r>
    <x v="9"/>
  </r>
  <r>
    <x v="37"/>
  </r>
  <r>
    <x v="79"/>
  </r>
  <r>
    <x v="79"/>
  </r>
  <r>
    <x v="79"/>
  </r>
  <r>
    <x v="48"/>
  </r>
  <r>
    <x v="21"/>
  </r>
  <r>
    <x v="17"/>
  </r>
  <r>
    <x v="21"/>
  </r>
  <r>
    <x v="21"/>
  </r>
  <r>
    <x v="21"/>
  </r>
  <r>
    <x v="17"/>
  </r>
  <r>
    <x v="17"/>
  </r>
  <r>
    <x v="22"/>
  </r>
  <r>
    <x v="4"/>
  </r>
  <r>
    <x v="28"/>
  </r>
  <r>
    <x v="28"/>
  </r>
  <r>
    <x v="0"/>
  </r>
  <r>
    <x v="45"/>
  </r>
  <r>
    <x v="28"/>
  </r>
  <r>
    <x v="143"/>
  </r>
  <r>
    <x v="17"/>
  </r>
  <r>
    <x v="28"/>
  </r>
  <r>
    <x v="37"/>
  </r>
  <r>
    <x v="28"/>
  </r>
  <r>
    <x v="28"/>
  </r>
  <r>
    <x v="37"/>
  </r>
  <r>
    <x v="37"/>
  </r>
  <r>
    <x v="12"/>
  </r>
  <r>
    <x v="9"/>
  </r>
  <r>
    <x v="17"/>
  </r>
  <r>
    <x v="59"/>
  </r>
  <r>
    <x v="48"/>
  </r>
  <r>
    <x v="42"/>
  </r>
  <r>
    <x v="4"/>
  </r>
  <r>
    <x v="11"/>
  </r>
  <r>
    <x v="11"/>
  </r>
  <r>
    <x v="11"/>
  </r>
  <r>
    <x v="2"/>
  </r>
  <r>
    <x v="24"/>
  </r>
  <r>
    <x v="40"/>
  </r>
  <r>
    <x v="0"/>
  </r>
  <r>
    <x v="0"/>
  </r>
  <r>
    <x v="40"/>
  </r>
  <r>
    <x v="0"/>
  </r>
  <r>
    <x v="2"/>
  </r>
  <r>
    <x v="17"/>
  </r>
  <r>
    <x v="17"/>
  </r>
  <r>
    <x v="4"/>
  </r>
  <r>
    <x v="0"/>
  </r>
  <r>
    <x v="9"/>
  </r>
  <r>
    <x v="0"/>
  </r>
  <r>
    <x v="0"/>
  </r>
  <r>
    <x v="0"/>
  </r>
  <r>
    <x v="144"/>
  </r>
  <r>
    <x v="4"/>
  </r>
  <r>
    <x v="4"/>
  </r>
  <r>
    <x v="2"/>
  </r>
  <r>
    <x v="45"/>
  </r>
  <r>
    <x v="45"/>
  </r>
  <r>
    <x v="10"/>
  </r>
  <r>
    <x v="37"/>
  </r>
  <r>
    <x v="165"/>
  </r>
  <r>
    <x v="40"/>
  </r>
  <r>
    <x v="10"/>
  </r>
  <r>
    <x v="4"/>
  </r>
  <r>
    <x v="4"/>
  </r>
  <r>
    <x v="8"/>
  </r>
  <r>
    <x v="17"/>
  </r>
  <r>
    <x v="17"/>
  </r>
  <r>
    <x v="4"/>
  </r>
  <r>
    <x v="4"/>
  </r>
  <r>
    <x v="0"/>
  </r>
  <r>
    <x v="2"/>
  </r>
  <r>
    <x v="14"/>
  </r>
  <r>
    <x v="40"/>
  </r>
  <r>
    <x v="28"/>
  </r>
  <r>
    <x v="12"/>
  </r>
  <r>
    <x v="37"/>
  </r>
  <r>
    <x v="37"/>
  </r>
  <r>
    <x v="0"/>
  </r>
  <r>
    <x v="4"/>
  </r>
  <r>
    <x v="21"/>
  </r>
  <r>
    <x v="9"/>
  </r>
  <r>
    <x v="4"/>
  </r>
  <r>
    <x v="37"/>
  </r>
  <r>
    <x v="0"/>
  </r>
  <r>
    <x v="25"/>
  </r>
  <r>
    <x v="28"/>
  </r>
  <r>
    <x v="17"/>
  </r>
  <r>
    <x v="9"/>
  </r>
  <r>
    <x v="16"/>
  </r>
  <r>
    <x v="37"/>
  </r>
  <r>
    <x v="37"/>
  </r>
  <r>
    <x v="17"/>
  </r>
  <r>
    <x v="17"/>
  </r>
  <r>
    <x v="28"/>
  </r>
  <r>
    <x v="11"/>
  </r>
  <r>
    <x v="4"/>
  </r>
  <r>
    <x v="53"/>
  </r>
  <r>
    <x v="40"/>
  </r>
  <r>
    <x v="49"/>
  </r>
  <r>
    <x v="10"/>
  </r>
  <r>
    <x v="45"/>
  </r>
  <r>
    <x v="45"/>
  </r>
  <r>
    <x v="4"/>
  </r>
  <r>
    <x v="17"/>
  </r>
  <r>
    <x v="10"/>
  </r>
  <r>
    <x v="17"/>
  </r>
  <r>
    <x v="115"/>
  </r>
  <r>
    <x v="0"/>
  </r>
  <r>
    <x v="0"/>
  </r>
  <r>
    <x v="55"/>
  </r>
  <r>
    <x v="29"/>
  </r>
  <r>
    <x v="130"/>
  </r>
  <r>
    <x v="28"/>
  </r>
  <r>
    <x v="40"/>
  </r>
  <r>
    <x v="17"/>
  </r>
  <r>
    <x v="9"/>
  </r>
  <r>
    <x v="37"/>
  </r>
  <r>
    <x v="37"/>
  </r>
  <r>
    <x v="37"/>
  </r>
  <r>
    <x v="37"/>
  </r>
  <r>
    <x v="37"/>
  </r>
  <r>
    <x v="0"/>
  </r>
  <r>
    <x v="0"/>
  </r>
  <r>
    <x v="0"/>
  </r>
  <r>
    <x v="123"/>
  </r>
  <r>
    <x v="0"/>
  </r>
  <r>
    <x v="136"/>
  </r>
  <r>
    <x v="222"/>
  </r>
  <r>
    <x v="9"/>
  </r>
  <r>
    <x v="4"/>
  </r>
  <r>
    <x v="0"/>
  </r>
  <r>
    <x v="0"/>
  </r>
  <r>
    <x v="0"/>
  </r>
  <r>
    <x v="74"/>
  </r>
  <r>
    <x v="8"/>
  </r>
  <r>
    <x v="11"/>
  </r>
  <r>
    <x v="42"/>
  </r>
  <r>
    <x v="17"/>
  </r>
  <r>
    <x v="17"/>
  </r>
  <r>
    <x v="14"/>
  </r>
  <r>
    <x v="9"/>
  </r>
  <r>
    <x v="2"/>
  </r>
  <r>
    <x v="11"/>
  </r>
  <r>
    <x v="0"/>
  </r>
  <r>
    <x v="0"/>
  </r>
  <r>
    <x v="2"/>
  </r>
  <r>
    <x v="74"/>
  </r>
  <r>
    <x v="14"/>
  </r>
  <r>
    <x v="14"/>
  </r>
  <r>
    <x v="14"/>
  </r>
  <r>
    <x v="17"/>
  </r>
  <r>
    <x v="17"/>
  </r>
  <r>
    <x v="17"/>
  </r>
  <r>
    <x v="17"/>
  </r>
  <r>
    <x v="0"/>
  </r>
  <r>
    <x v="16"/>
  </r>
  <r>
    <x v="48"/>
  </r>
  <r>
    <x v="0"/>
  </r>
  <r>
    <x v="8"/>
  </r>
  <r>
    <x v="4"/>
  </r>
  <r>
    <x v="40"/>
  </r>
  <r>
    <x v="14"/>
  </r>
  <r>
    <x v="11"/>
  </r>
  <r>
    <x v="9"/>
  </r>
  <r>
    <x v="9"/>
  </r>
  <r>
    <x v="9"/>
  </r>
  <r>
    <x v="21"/>
  </r>
  <r>
    <x v="10"/>
  </r>
  <r>
    <x v="8"/>
  </r>
  <r>
    <x v="0"/>
  </r>
  <r>
    <x v="45"/>
  </r>
  <r>
    <x v="45"/>
  </r>
  <r>
    <x v="17"/>
  </r>
  <r>
    <x v="17"/>
  </r>
  <r>
    <x v="24"/>
  </r>
  <r>
    <x v="17"/>
  </r>
  <r>
    <x v="14"/>
  </r>
  <r>
    <x v="17"/>
  </r>
  <r>
    <x v="37"/>
  </r>
  <r>
    <x v="17"/>
  </r>
  <r>
    <x v="17"/>
  </r>
  <r>
    <x v="33"/>
  </r>
  <r>
    <x v="130"/>
  </r>
  <r>
    <x v="28"/>
  </r>
  <r>
    <x v="0"/>
  </r>
  <r>
    <x v="21"/>
  </r>
  <r>
    <x v="16"/>
  </r>
  <r>
    <x v="10"/>
  </r>
  <r>
    <x v="0"/>
  </r>
  <r>
    <x v="4"/>
  </r>
  <r>
    <x v="10"/>
  </r>
  <r>
    <x v="0"/>
  </r>
  <r>
    <x v="0"/>
  </r>
  <r>
    <x v="14"/>
  </r>
  <r>
    <x v="12"/>
  </r>
  <r>
    <x v="9"/>
  </r>
  <r>
    <x v="9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1"/>
  </r>
  <r>
    <x v="17"/>
  </r>
  <r>
    <x v="17"/>
  </r>
  <r>
    <x v="12"/>
  </r>
  <r>
    <x v="12"/>
  </r>
  <r>
    <x v="4"/>
  </r>
  <r>
    <x v="4"/>
  </r>
  <r>
    <x v="4"/>
  </r>
  <r>
    <x v="14"/>
  </r>
  <r>
    <x v="11"/>
  </r>
  <r>
    <x v="28"/>
  </r>
  <r>
    <x v="12"/>
  </r>
  <r>
    <x v="74"/>
  </r>
  <r>
    <x v="17"/>
  </r>
  <r>
    <x v="249"/>
  </r>
  <r>
    <x v="16"/>
  </r>
  <r>
    <x v="40"/>
  </r>
  <r>
    <x v="0"/>
  </r>
  <r>
    <x v="4"/>
  </r>
  <r>
    <x v="14"/>
  </r>
  <r>
    <x v="6"/>
  </r>
  <r>
    <x v="16"/>
  </r>
  <r>
    <x v="14"/>
  </r>
  <r>
    <x v="4"/>
  </r>
  <r>
    <x v="2"/>
  </r>
  <r>
    <x v="48"/>
  </r>
  <r>
    <x v="10"/>
  </r>
  <r>
    <x v="2"/>
  </r>
  <r>
    <x v="10"/>
  </r>
  <r>
    <x v="53"/>
  </r>
  <r>
    <x v="53"/>
  </r>
  <r>
    <x v="15"/>
  </r>
  <r>
    <x v="21"/>
  </r>
  <r>
    <x v="40"/>
  </r>
  <r>
    <x v="15"/>
  </r>
  <r>
    <x v="40"/>
  </r>
  <r>
    <x v="4"/>
  </r>
  <r>
    <x v="42"/>
  </r>
  <r>
    <x v="17"/>
  </r>
  <r>
    <x v="42"/>
  </r>
  <r>
    <x v="17"/>
  </r>
  <r>
    <x v="16"/>
  </r>
  <r>
    <x v="12"/>
  </r>
  <r>
    <x v="74"/>
  </r>
  <r>
    <x v="28"/>
  </r>
  <r>
    <x v="14"/>
  </r>
  <r>
    <x v="0"/>
  </r>
  <r>
    <x v="11"/>
  </r>
  <r>
    <x v="48"/>
  </r>
  <r>
    <x v="7"/>
  </r>
  <r>
    <x v="40"/>
  </r>
  <r>
    <x v="8"/>
  </r>
  <r>
    <x v="14"/>
  </r>
  <r>
    <x v="8"/>
  </r>
  <r>
    <x v="28"/>
  </r>
  <r>
    <x v="40"/>
  </r>
  <r>
    <x v="28"/>
  </r>
  <r>
    <x v="40"/>
  </r>
  <r>
    <x v="28"/>
  </r>
  <r>
    <x v="28"/>
  </r>
  <r>
    <x v="40"/>
  </r>
  <r>
    <x v="28"/>
  </r>
  <r>
    <x v="28"/>
  </r>
  <r>
    <x v="28"/>
  </r>
  <r>
    <x v="40"/>
  </r>
  <r>
    <x v="28"/>
  </r>
  <r>
    <x v="40"/>
  </r>
  <r>
    <x v="40"/>
  </r>
  <r>
    <x v="40"/>
  </r>
  <r>
    <x v="28"/>
  </r>
  <r>
    <x v="40"/>
  </r>
  <r>
    <x v="40"/>
  </r>
  <r>
    <x v="40"/>
  </r>
  <r>
    <x v="28"/>
  </r>
  <r>
    <x v="28"/>
  </r>
  <r>
    <x v="28"/>
  </r>
  <r>
    <x v="28"/>
  </r>
  <r>
    <x v="28"/>
  </r>
  <r>
    <x v="40"/>
  </r>
  <r>
    <x v="28"/>
  </r>
  <r>
    <x v="28"/>
  </r>
  <r>
    <x v="0"/>
  </r>
  <r>
    <x v="10"/>
  </r>
  <r>
    <x v="19"/>
  </r>
  <r>
    <x v="56"/>
  </r>
  <r>
    <x v="12"/>
  </r>
  <r>
    <x v="39"/>
  </r>
  <r>
    <x v="21"/>
  </r>
  <r>
    <x v="48"/>
  </r>
  <r>
    <x v="12"/>
  </r>
  <r>
    <x v="12"/>
  </r>
  <r>
    <x v="21"/>
  </r>
  <r>
    <x v="39"/>
  </r>
  <r>
    <x v="39"/>
  </r>
  <r>
    <x v="10"/>
  </r>
  <r>
    <x v="0"/>
  </r>
  <r>
    <x v="12"/>
  </r>
  <r>
    <x v="12"/>
  </r>
  <r>
    <x v="39"/>
  </r>
  <r>
    <x v="12"/>
  </r>
  <r>
    <x v="39"/>
  </r>
  <r>
    <x v="11"/>
  </r>
  <r>
    <x v="12"/>
  </r>
  <r>
    <x v="11"/>
  </r>
  <r>
    <x v="12"/>
  </r>
  <r>
    <x v="21"/>
  </r>
  <r>
    <x v="21"/>
  </r>
  <r>
    <x v="12"/>
  </r>
  <r>
    <x v="12"/>
  </r>
  <r>
    <x v="12"/>
  </r>
  <r>
    <x v="12"/>
  </r>
  <r>
    <x v="24"/>
  </r>
  <r>
    <x v="24"/>
  </r>
  <r>
    <x v="11"/>
  </r>
  <r>
    <x v="12"/>
  </r>
  <r>
    <x v="39"/>
  </r>
  <r>
    <x v="53"/>
  </r>
  <r>
    <x v="4"/>
  </r>
  <r>
    <x v="21"/>
  </r>
  <r>
    <x v="17"/>
  </r>
  <r>
    <x v="21"/>
  </r>
  <r>
    <x v="10"/>
  </r>
  <r>
    <x v="1"/>
  </r>
  <r>
    <x v="12"/>
  </r>
  <r>
    <x v="45"/>
  </r>
  <r>
    <x v="19"/>
  </r>
  <r>
    <x v="32"/>
  </r>
  <r>
    <x v="10"/>
  </r>
  <r>
    <x v="11"/>
  </r>
  <r>
    <x v="152"/>
  </r>
  <r>
    <x v="31"/>
  </r>
  <r>
    <x v="123"/>
  </r>
  <r>
    <x v="30"/>
  </r>
  <r>
    <x v="30"/>
  </r>
  <r>
    <x v="30"/>
  </r>
  <r>
    <x v="30"/>
  </r>
  <r>
    <x v="37"/>
  </r>
  <r>
    <x v="17"/>
  </r>
  <r>
    <x v="17"/>
  </r>
  <r>
    <x v="28"/>
  </r>
  <r>
    <x v="0"/>
  </r>
  <r>
    <x v="0"/>
  </r>
  <r>
    <x v="22"/>
  </r>
  <r>
    <x v="10"/>
  </r>
  <r>
    <x v="12"/>
  </r>
  <r>
    <x v="12"/>
  </r>
  <r>
    <x v="4"/>
  </r>
  <r>
    <x v="12"/>
  </r>
  <r>
    <x v="10"/>
  </r>
  <r>
    <x v="4"/>
  </r>
  <r>
    <x v="12"/>
  </r>
  <r>
    <x v="10"/>
  </r>
  <r>
    <x v="0"/>
  </r>
  <r>
    <x v="39"/>
  </r>
  <r>
    <x v="28"/>
  </r>
  <r>
    <x v="4"/>
  </r>
  <r>
    <x v="14"/>
  </r>
  <r>
    <x v="11"/>
  </r>
  <r>
    <x v="22"/>
  </r>
  <r>
    <x v="12"/>
  </r>
  <r>
    <x v="19"/>
  </r>
  <r>
    <x v="11"/>
  </r>
  <r>
    <x v="2"/>
  </r>
  <r>
    <x v="204"/>
  </r>
  <r>
    <x v="0"/>
  </r>
  <r>
    <x v="11"/>
  </r>
  <r>
    <x v="24"/>
  </r>
  <r>
    <x v="4"/>
  </r>
  <r>
    <x v="4"/>
  </r>
  <r>
    <x v="4"/>
  </r>
  <r>
    <x v="39"/>
  </r>
  <r>
    <x v="21"/>
  </r>
  <r>
    <x v="39"/>
  </r>
  <r>
    <x v="11"/>
  </r>
  <r>
    <x v="0"/>
  </r>
  <r>
    <x v="23"/>
  </r>
  <r>
    <x v="0"/>
  </r>
  <r>
    <x v="11"/>
  </r>
  <r>
    <x v="0"/>
  </r>
  <r>
    <x v="22"/>
  </r>
  <r>
    <x v="39"/>
  </r>
  <r>
    <x v="39"/>
  </r>
  <r>
    <x v="11"/>
  </r>
  <r>
    <x v="11"/>
  </r>
  <r>
    <x v="0"/>
  </r>
  <r>
    <x v="0"/>
  </r>
  <r>
    <x v="8"/>
  </r>
  <r>
    <x v="0"/>
  </r>
  <r>
    <x v="0"/>
  </r>
  <r>
    <x v="28"/>
  </r>
  <r>
    <x v="2"/>
  </r>
  <r>
    <x v="11"/>
  </r>
  <r>
    <x v="24"/>
  </r>
  <r>
    <x v="22"/>
  </r>
  <r>
    <x v="21"/>
  </r>
  <r>
    <x v="21"/>
  </r>
  <r>
    <x v="12"/>
  </r>
  <r>
    <x v="4"/>
  </r>
  <r>
    <x v="4"/>
  </r>
  <r>
    <x v="4"/>
  </r>
  <r>
    <x v="9"/>
  </r>
  <r>
    <x v="4"/>
  </r>
  <r>
    <x v="11"/>
  </r>
  <r>
    <x v="2"/>
  </r>
  <r>
    <x v="17"/>
  </r>
  <r>
    <x v="10"/>
  </r>
  <r>
    <x v="28"/>
  </r>
  <r>
    <x v="31"/>
  </r>
  <r>
    <x v="0"/>
  </r>
  <r>
    <x v="11"/>
  </r>
  <r>
    <x v="4"/>
  </r>
  <r>
    <x v="11"/>
  </r>
  <r>
    <x v="30"/>
  </r>
  <r>
    <x v="12"/>
  </r>
  <r>
    <x v="30"/>
  </r>
  <r>
    <x v="12"/>
  </r>
  <r>
    <x v="4"/>
  </r>
  <r>
    <x v="11"/>
  </r>
  <r>
    <x v="10"/>
  </r>
  <r>
    <x v="24"/>
  </r>
  <r>
    <x v="0"/>
  </r>
  <r>
    <x v="0"/>
  </r>
  <r>
    <x v="14"/>
  </r>
  <r>
    <x v="14"/>
  </r>
  <r>
    <x v="4"/>
  </r>
  <r>
    <x v="14"/>
  </r>
  <r>
    <x v="4"/>
  </r>
  <r>
    <x v="24"/>
  </r>
  <r>
    <x v="4"/>
  </r>
  <r>
    <x v="0"/>
  </r>
  <r>
    <x v="1"/>
  </r>
  <r>
    <x v="9"/>
  </r>
  <r>
    <x v="12"/>
  </r>
  <r>
    <x v="12"/>
  </r>
  <r>
    <x v="9"/>
  </r>
  <r>
    <x v="9"/>
  </r>
  <r>
    <x v="24"/>
  </r>
  <r>
    <x v="12"/>
  </r>
  <r>
    <x v="4"/>
  </r>
  <r>
    <x v="7"/>
  </r>
  <r>
    <x v="11"/>
  </r>
  <r>
    <x v="14"/>
  </r>
  <r>
    <x v="14"/>
  </r>
  <r>
    <x v="14"/>
  </r>
  <r>
    <x v="28"/>
  </r>
  <r>
    <x v="28"/>
  </r>
  <r>
    <x v="28"/>
  </r>
  <r>
    <x v="28"/>
  </r>
  <r>
    <x v="162"/>
  </r>
  <r>
    <x v="39"/>
  </r>
  <r>
    <x v="162"/>
  </r>
  <r>
    <x v="162"/>
  </r>
  <r>
    <x v="39"/>
  </r>
  <r>
    <x v="162"/>
  </r>
  <r>
    <x v="39"/>
  </r>
  <r>
    <x v="14"/>
  </r>
  <r>
    <x v="162"/>
  </r>
  <r>
    <x v="162"/>
  </r>
  <r>
    <x v="162"/>
  </r>
  <r>
    <x v="162"/>
  </r>
  <r>
    <x v="162"/>
  </r>
  <r>
    <x v="39"/>
  </r>
  <r>
    <x v="28"/>
  </r>
  <r>
    <x v="28"/>
  </r>
  <r>
    <x v="12"/>
  </r>
  <r>
    <x v="30"/>
  </r>
  <r>
    <x v="1"/>
  </r>
  <r>
    <x v="1"/>
  </r>
  <r>
    <x v="4"/>
  </r>
  <r>
    <x v="10"/>
  </r>
  <r>
    <x v="14"/>
  </r>
  <r>
    <x v="130"/>
  </r>
  <r>
    <x v="11"/>
  </r>
  <r>
    <x v="19"/>
  </r>
  <r>
    <x v="55"/>
  </r>
  <r>
    <x v="0"/>
  </r>
  <r>
    <x v="22"/>
  </r>
  <r>
    <x v="39"/>
  </r>
  <r>
    <x v="7"/>
  </r>
  <r>
    <x v="42"/>
  </r>
  <r>
    <x v="52"/>
  </r>
  <r>
    <x v="56"/>
  </r>
  <r>
    <x v="10"/>
  </r>
  <r>
    <x v="14"/>
  </r>
  <r>
    <x v="1"/>
  </r>
  <r>
    <x v="28"/>
  </r>
  <r>
    <x v="4"/>
  </r>
  <r>
    <x v="0"/>
  </r>
  <r>
    <x v="10"/>
  </r>
  <r>
    <x v="0"/>
  </r>
  <r>
    <x v="4"/>
  </r>
  <r>
    <x v="12"/>
  </r>
  <r>
    <x v="9"/>
  </r>
  <r>
    <x v="4"/>
  </r>
  <r>
    <x v="48"/>
  </r>
  <r>
    <x v="33"/>
  </r>
  <r>
    <x v="0"/>
  </r>
  <r>
    <x v="0"/>
  </r>
  <r>
    <x v="0"/>
  </r>
  <r>
    <x v="8"/>
  </r>
  <r>
    <x v="30"/>
  </r>
  <r>
    <x v="4"/>
  </r>
  <r>
    <x v="4"/>
  </r>
  <r>
    <x v="53"/>
  </r>
  <r>
    <x v="0"/>
  </r>
  <r>
    <x v="14"/>
  </r>
  <r>
    <x v="39"/>
  </r>
  <r>
    <x v="12"/>
  </r>
  <r>
    <x v="30"/>
  </r>
  <r>
    <x v="19"/>
  </r>
  <r>
    <x v="30"/>
  </r>
  <r>
    <x v="9"/>
  </r>
  <r>
    <x v="32"/>
  </r>
  <r>
    <x v="9"/>
  </r>
  <r>
    <x v="9"/>
  </r>
  <r>
    <x v="4"/>
  </r>
  <r>
    <x v="0"/>
  </r>
  <r>
    <x v="33"/>
  </r>
  <r>
    <x v="4"/>
  </r>
  <r>
    <x v="28"/>
  </r>
  <r>
    <x v="11"/>
  </r>
  <r>
    <x v="10"/>
  </r>
  <r>
    <x v="28"/>
  </r>
  <r>
    <x v="19"/>
  </r>
  <r>
    <x v="12"/>
  </r>
  <r>
    <x v="12"/>
  </r>
  <r>
    <x v="0"/>
  </r>
  <r>
    <x v="0"/>
  </r>
  <r>
    <x v="29"/>
  </r>
  <r>
    <x v="14"/>
  </r>
  <r>
    <x v="19"/>
  </r>
  <r>
    <x v="2"/>
  </r>
  <r>
    <x v="0"/>
  </r>
  <r>
    <x v="10"/>
  </r>
  <r>
    <x v="4"/>
  </r>
  <r>
    <x v="0"/>
  </r>
  <r>
    <x v="30"/>
  </r>
  <r>
    <x v="21"/>
  </r>
  <r>
    <x v="46"/>
  </r>
  <r>
    <x v="4"/>
  </r>
  <r>
    <x v="19"/>
  </r>
  <r>
    <x v="24"/>
  </r>
  <r>
    <x v="4"/>
  </r>
  <r>
    <x v="0"/>
  </r>
  <r>
    <x v="19"/>
  </r>
  <r>
    <x v="9"/>
  </r>
  <r>
    <x v="8"/>
  </r>
  <r>
    <x v="12"/>
  </r>
  <r>
    <x v="4"/>
  </r>
  <r>
    <x v="1"/>
  </r>
  <r>
    <x v="4"/>
  </r>
  <r>
    <x v="4"/>
  </r>
  <r>
    <x v="16"/>
  </r>
  <r>
    <x v="64"/>
  </r>
  <r>
    <x v="19"/>
  </r>
  <r>
    <x v="9"/>
  </r>
  <r>
    <x v="28"/>
  </r>
  <r>
    <x v="24"/>
  </r>
  <r>
    <x v="0"/>
  </r>
  <r>
    <x v="0"/>
  </r>
  <r>
    <x v="4"/>
  </r>
  <r>
    <x v="4"/>
  </r>
  <r>
    <x v="8"/>
  </r>
  <r>
    <x v="4"/>
  </r>
  <r>
    <x v="0"/>
  </r>
  <r>
    <x v="9"/>
  </r>
  <r>
    <x v="9"/>
  </r>
  <r>
    <x v="28"/>
  </r>
  <r>
    <x v="21"/>
  </r>
  <r>
    <x v="14"/>
  </r>
  <r>
    <x v="387"/>
  </r>
  <r>
    <x v="0"/>
  </r>
  <r>
    <x v="10"/>
  </r>
  <r>
    <x v="14"/>
  </r>
  <r>
    <x v="14"/>
  </r>
  <r>
    <x v="14"/>
  </r>
  <r>
    <x v="14"/>
  </r>
  <r>
    <x v="9"/>
  </r>
  <r>
    <x v="29"/>
  </r>
  <r>
    <x v="0"/>
  </r>
  <r>
    <x v="34"/>
  </r>
  <r>
    <x v="10"/>
  </r>
  <r>
    <x v="4"/>
  </r>
  <r>
    <x v="31"/>
  </r>
  <r>
    <x v="12"/>
  </r>
  <r>
    <x v="17"/>
  </r>
  <r>
    <x v="28"/>
  </r>
  <r>
    <x v="4"/>
  </r>
  <r>
    <x v="10"/>
  </r>
  <r>
    <x v="19"/>
  </r>
  <r>
    <x v="1"/>
  </r>
  <r>
    <x v="57"/>
  </r>
  <r>
    <x v="19"/>
  </r>
  <r>
    <x v="10"/>
  </r>
  <r>
    <x v="42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4"/>
  </r>
  <r>
    <x v="30"/>
  </r>
  <r>
    <x v="11"/>
  </r>
  <r>
    <x v="0"/>
  </r>
  <r>
    <x v="22"/>
  </r>
  <r>
    <x v="162"/>
  </r>
  <r>
    <x v="10"/>
  </r>
  <r>
    <x v="10"/>
  </r>
  <r>
    <x v="11"/>
  </r>
  <r>
    <x v="4"/>
  </r>
  <r>
    <x v="9"/>
  </r>
  <r>
    <x v="24"/>
  </r>
  <r>
    <x v="12"/>
  </r>
  <r>
    <x v="4"/>
  </r>
  <r>
    <x v="4"/>
  </r>
  <r>
    <x v="4"/>
  </r>
  <r>
    <x v="4"/>
  </r>
  <r>
    <x v="4"/>
  </r>
  <r>
    <x v="130"/>
  </r>
  <r>
    <x v="9"/>
  </r>
  <r>
    <x v="13"/>
  </r>
  <r>
    <x v="4"/>
  </r>
  <r>
    <x v="4"/>
  </r>
  <r>
    <x v="7"/>
  </r>
  <r>
    <x v="0"/>
  </r>
  <r>
    <x v="19"/>
  </r>
  <r>
    <x v="48"/>
  </r>
  <r>
    <x v="0"/>
  </r>
  <r>
    <x v="0"/>
  </r>
  <r>
    <x v="4"/>
  </r>
  <r>
    <x v="130"/>
  </r>
  <r>
    <x v="162"/>
  </r>
  <r>
    <x v="130"/>
  </r>
  <r>
    <x v="12"/>
  </r>
  <r>
    <x v="0"/>
  </r>
  <r>
    <x v="15"/>
  </r>
  <r>
    <x v="12"/>
  </r>
  <r>
    <x v="12"/>
  </r>
  <r>
    <x v="4"/>
  </r>
  <r>
    <x v="12"/>
  </r>
  <r>
    <x v="24"/>
  </r>
  <r>
    <x v="12"/>
  </r>
  <r>
    <x v="12"/>
  </r>
  <r>
    <x v="6"/>
  </r>
  <r>
    <x v="45"/>
  </r>
  <r>
    <x v="14"/>
  </r>
  <r>
    <x v="4"/>
  </r>
  <r>
    <x v="24"/>
  </r>
  <r>
    <x v="12"/>
  </r>
  <r>
    <x v="75"/>
  </r>
  <r>
    <x v="14"/>
  </r>
  <r>
    <x v="12"/>
  </r>
  <r>
    <x v="12"/>
  </r>
  <r>
    <x v="154"/>
  </r>
  <r>
    <x v="10"/>
  </r>
  <r>
    <x v="12"/>
  </r>
  <r>
    <x v="22"/>
  </r>
  <r>
    <x v="130"/>
  </r>
  <r>
    <x v="4"/>
  </r>
  <r>
    <x v="17"/>
  </r>
  <r>
    <x v="2"/>
  </r>
  <r>
    <x v="12"/>
  </r>
  <r>
    <x v="56"/>
  </r>
  <r>
    <x v="9"/>
  </r>
  <r>
    <x v="11"/>
  </r>
  <r>
    <x v="11"/>
  </r>
  <r>
    <x v="12"/>
  </r>
  <r>
    <x v="30"/>
  </r>
  <r>
    <x v="30"/>
  </r>
  <r>
    <x v="28"/>
  </r>
  <r>
    <x v="0"/>
  </r>
  <r>
    <x v="0"/>
  </r>
  <r>
    <x v="12"/>
  </r>
  <r>
    <x v="9"/>
  </r>
  <r>
    <x v="33"/>
  </r>
  <r>
    <x v="33"/>
  </r>
  <r>
    <x v="33"/>
  </r>
  <r>
    <x v="75"/>
  </r>
  <r>
    <x v="14"/>
  </r>
  <r>
    <x v="0"/>
  </r>
  <r>
    <x v="31"/>
  </r>
  <r>
    <x v="39"/>
  </r>
  <r>
    <x v="162"/>
  </r>
  <r>
    <x v="199"/>
  </r>
  <r>
    <x v="4"/>
  </r>
  <r>
    <x v="12"/>
  </r>
  <r>
    <x v="7"/>
  </r>
  <r>
    <x v="10"/>
  </r>
  <r>
    <x v="33"/>
  </r>
  <r>
    <x v="19"/>
  </r>
  <r>
    <x v="4"/>
  </r>
  <r>
    <x v="0"/>
  </r>
  <r>
    <x v="159"/>
  </r>
  <r>
    <x v="4"/>
  </r>
  <r>
    <x v="10"/>
  </r>
  <r>
    <x v="4"/>
  </r>
  <r>
    <x v="7"/>
  </r>
  <r>
    <x v="14"/>
  </r>
  <r>
    <x v="12"/>
  </r>
  <r>
    <x v="4"/>
  </r>
  <r>
    <x v="2"/>
  </r>
  <r>
    <x v="130"/>
  </r>
  <r>
    <x v="130"/>
  </r>
  <r>
    <x v="53"/>
  </r>
  <r>
    <x v="52"/>
  </r>
  <r>
    <x v="45"/>
  </r>
  <r>
    <x v="55"/>
  </r>
  <r>
    <x v="0"/>
  </r>
  <r>
    <x v="19"/>
  </r>
  <r>
    <x v="4"/>
  </r>
  <r>
    <x v="9"/>
  </r>
  <r>
    <x v="63"/>
  </r>
  <r>
    <x v="14"/>
  </r>
  <r>
    <x v="0"/>
  </r>
  <r>
    <x v="45"/>
  </r>
  <r>
    <x v="14"/>
  </r>
  <r>
    <x v="17"/>
  </r>
  <r>
    <x v="28"/>
  </r>
  <r>
    <x v="21"/>
  </r>
  <r>
    <x v="14"/>
  </r>
  <r>
    <x v="14"/>
  </r>
  <r>
    <x v="8"/>
  </r>
  <r>
    <x v="21"/>
  </r>
  <r>
    <x v="21"/>
  </r>
  <r>
    <x v="2"/>
  </r>
  <r>
    <x v="6"/>
  </r>
  <r>
    <x v="7"/>
  </r>
  <r>
    <x v="4"/>
  </r>
  <r>
    <x v="0"/>
  </r>
  <r>
    <x v="1"/>
  </r>
  <r>
    <x v="1"/>
  </r>
  <r>
    <x v="1"/>
  </r>
  <r>
    <x v="22"/>
  </r>
  <r>
    <x v="28"/>
  </r>
  <r>
    <x v="55"/>
  </r>
  <r>
    <x v="8"/>
  </r>
  <r>
    <x v="12"/>
  </r>
  <r>
    <x v="4"/>
  </r>
  <r>
    <x v="17"/>
  </r>
  <r>
    <x v="10"/>
  </r>
  <r>
    <x v="4"/>
  </r>
  <r>
    <x v="175"/>
  </r>
  <r>
    <x v="4"/>
  </r>
  <r>
    <x v="4"/>
  </r>
  <r>
    <x v="24"/>
  </r>
  <r>
    <x v="42"/>
  </r>
  <r>
    <x v="10"/>
  </r>
  <r>
    <x v="130"/>
  </r>
  <r>
    <x v="0"/>
  </r>
  <r>
    <x v="0"/>
  </r>
  <r>
    <x v="1"/>
  </r>
  <r>
    <x v="1"/>
  </r>
  <r>
    <x v="4"/>
  </r>
  <r>
    <x v="4"/>
  </r>
  <r>
    <x v="0"/>
  </r>
  <r>
    <x v="33"/>
  </r>
  <r>
    <x v="11"/>
  </r>
  <r>
    <x v="32"/>
  </r>
  <r>
    <x v="28"/>
  </r>
  <r>
    <x v="37"/>
  </r>
  <r>
    <x v="0"/>
  </r>
  <r>
    <x v="10"/>
  </r>
  <r>
    <x v="31"/>
  </r>
  <r>
    <x v="0"/>
  </r>
  <r>
    <x v="24"/>
  </r>
  <r>
    <x v="10"/>
  </r>
  <r>
    <x v="14"/>
  </r>
  <r>
    <x v="37"/>
  </r>
  <r>
    <x v="9"/>
  </r>
  <r>
    <x v="4"/>
  </r>
  <r>
    <x v="30"/>
  </r>
  <r>
    <x v="29"/>
  </r>
  <r>
    <x v="21"/>
  </r>
  <r>
    <x v="0"/>
  </r>
  <r>
    <x v="37"/>
  </r>
  <r>
    <x v="0"/>
  </r>
  <r>
    <x v="22"/>
  </r>
  <r>
    <x v="12"/>
  </r>
  <r>
    <x v="12"/>
  </r>
  <r>
    <x v="14"/>
  </r>
  <r>
    <x v="17"/>
  </r>
  <r>
    <x v="24"/>
  </r>
  <r>
    <x v="1"/>
  </r>
  <r>
    <x v="75"/>
  </r>
  <r>
    <x v="75"/>
  </r>
  <r>
    <x v="0"/>
  </r>
  <r>
    <x v="14"/>
  </r>
  <r>
    <x v="57"/>
  </r>
  <r>
    <x v="57"/>
  </r>
  <r>
    <x v="10"/>
  </r>
  <r>
    <x v="10"/>
  </r>
  <r>
    <x v="1"/>
  </r>
  <r>
    <x v="7"/>
  </r>
  <r>
    <x v="9"/>
  </r>
  <r>
    <x v="24"/>
  </r>
  <r>
    <x v="4"/>
  </r>
  <r>
    <x v="12"/>
  </r>
  <r>
    <x v="9"/>
  </r>
  <r>
    <x v="9"/>
  </r>
  <r>
    <x v="11"/>
  </r>
  <r>
    <x v="24"/>
  </r>
  <r>
    <x v="24"/>
  </r>
  <r>
    <x v="12"/>
  </r>
  <r>
    <x v="12"/>
  </r>
  <r>
    <x v="6"/>
  </r>
  <r>
    <x v="6"/>
  </r>
  <r>
    <x v="42"/>
  </r>
  <r>
    <x v="17"/>
  </r>
  <r>
    <x v="0"/>
  </r>
  <r>
    <x v="12"/>
  </r>
  <r>
    <x v="48"/>
  </r>
  <r>
    <x v="48"/>
  </r>
  <r>
    <x v="12"/>
  </r>
  <r>
    <x v="13"/>
  </r>
  <r>
    <x v="9"/>
  </r>
  <r>
    <x v="48"/>
  </r>
  <r>
    <x v="57"/>
  </r>
  <r>
    <x v="0"/>
  </r>
  <r>
    <x v="28"/>
  </r>
  <r>
    <x v="28"/>
  </r>
  <r>
    <x v="28"/>
  </r>
  <r>
    <x v="28"/>
  </r>
  <r>
    <x v="12"/>
  </r>
  <r>
    <x v="14"/>
  </r>
  <r>
    <x v="19"/>
  </r>
  <r>
    <x v="30"/>
  </r>
  <r>
    <x v="53"/>
  </r>
  <r>
    <x v="0"/>
  </r>
  <r>
    <x v="30"/>
  </r>
  <r>
    <x v="14"/>
  </r>
  <r>
    <x v="42"/>
  </r>
  <r>
    <x v="42"/>
  </r>
  <r>
    <x v="42"/>
  </r>
  <r>
    <x v="37"/>
  </r>
  <r>
    <x v="24"/>
  </r>
  <r>
    <x v="48"/>
  </r>
  <r>
    <x v="53"/>
  </r>
  <r>
    <x v="24"/>
  </r>
  <r>
    <x v="39"/>
  </r>
  <r>
    <x v="39"/>
  </r>
  <r>
    <x v="7"/>
  </r>
  <r>
    <x v="2"/>
  </r>
  <r>
    <x v="12"/>
  </r>
  <r>
    <x v="24"/>
  </r>
  <r>
    <x v="24"/>
  </r>
  <r>
    <x v="24"/>
  </r>
  <r>
    <x v="8"/>
  </r>
  <r>
    <x v="1"/>
  </r>
  <r>
    <x v="1"/>
  </r>
  <r>
    <x v="1"/>
  </r>
  <r>
    <x v="30"/>
  </r>
  <r>
    <x v="30"/>
  </r>
  <r>
    <x v="30"/>
  </r>
  <r>
    <x v="10"/>
  </r>
  <r>
    <x v="10"/>
  </r>
  <r>
    <x v="11"/>
  </r>
  <r>
    <x v="4"/>
  </r>
  <r>
    <x v="22"/>
  </r>
  <r>
    <x v="22"/>
  </r>
  <r>
    <x v="17"/>
  </r>
  <r>
    <x v="7"/>
  </r>
  <r>
    <x v="12"/>
  </r>
  <r>
    <x v="14"/>
  </r>
  <r>
    <x v="40"/>
  </r>
  <r>
    <x v="10"/>
  </r>
  <r>
    <x v="37"/>
  </r>
  <r>
    <x v="6"/>
  </r>
  <r>
    <x v="4"/>
  </r>
  <r>
    <x v="22"/>
  </r>
  <r>
    <x v="22"/>
  </r>
  <r>
    <x v="56"/>
  </r>
  <r>
    <x v="56"/>
  </r>
  <r>
    <x v="56"/>
  </r>
  <r>
    <x v="56"/>
  </r>
  <r>
    <x v="56"/>
  </r>
  <r>
    <x v="56"/>
  </r>
  <r>
    <x v="2"/>
  </r>
  <r>
    <x v="4"/>
  </r>
  <r>
    <x v="4"/>
  </r>
  <r>
    <x v="34"/>
  </r>
  <r>
    <x v="14"/>
  </r>
  <r>
    <x v="0"/>
  </r>
  <r>
    <x v="4"/>
  </r>
  <r>
    <x v="22"/>
  </r>
  <r>
    <x v="37"/>
  </r>
  <r>
    <x v="10"/>
  </r>
  <r>
    <x v="11"/>
  </r>
  <r>
    <x v="37"/>
  </r>
  <r>
    <x v="12"/>
  </r>
  <r>
    <x v="10"/>
  </r>
  <r>
    <x v="24"/>
  </r>
  <r>
    <x v="8"/>
  </r>
  <r>
    <x v="52"/>
  </r>
  <r>
    <x v="0"/>
  </r>
  <r>
    <x v="0"/>
  </r>
  <r>
    <x v="14"/>
  </r>
  <r>
    <x v="56"/>
  </r>
  <r>
    <x v="12"/>
  </r>
  <r>
    <x v="0"/>
  </r>
  <r>
    <x v="0"/>
  </r>
  <r>
    <x v="12"/>
  </r>
  <r>
    <x v="2"/>
  </r>
  <r>
    <x v="6"/>
  </r>
  <r>
    <x v="14"/>
  </r>
  <r>
    <x v="12"/>
  </r>
  <r>
    <x v="53"/>
  </r>
  <r>
    <x v="30"/>
  </r>
  <r>
    <x v="0"/>
  </r>
  <r>
    <x v="14"/>
  </r>
  <r>
    <x v="10"/>
  </r>
  <r>
    <x v="15"/>
  </r>
  <r>
    <x v="2"/>
  </r>
  <r>
    <x v="0"/>
  </r>
  <r>
    <x v="25"/>
  </r>
  <r>
    <x v="4"/>
  </r>
  <r>
    <x v="4"/>
  </r>
  <r>
    <x v="10"/>
  </r>
  <r>
    <x v="22"/>
  </r>
  <r>
    <x v="0"/>
  </r>
  <r>
    <x v="28"/>
  </r>
  <r>
    <x v="28"/>
  </r>
  <r>
    <x v="7"/>
  </r>
  <r>
    <x v="45"/>
  </r>
  <r>
    <x v="16"/>
  </r>
  <r>
    <x v="17"/>
  </r>
  <r>
    <x v="17"/>
  </r>
  <r>
    <x v="2"/>
  </r>
  <r>
    <x v="12"/>
  </r>
  <r>
    <x v="16"/>
  </r>
  <r>
    <x v="16"/>
  </r>
  <r>
    <x v="17"/>
  </r>
  <r>
    <x v="4"/>
  </r>
  <r>
    <x v="14"/>
  </r>
  <r>
    <x v="57"/>
  </r>
  <r>
    <x v="11"/>
  </r>
  <r>
    <x v="115"/>
  </r>
  <r>
    <x v="4"/>
  </r>
  <r>
    <x v="10"/>
  </r>
  <r>
    <x v="2"/>
  </r>
  <r>
    <x v="0"/>
  </r>
  <r>
    <x v="0"/>
  </r>
  <r>
    <x v="0"/>
  </r>
  <r>
    <x v="10"/>
  </r>
  <r>
    <x v="22"/>
  </r>
  <r>
    <x v="4"/>
  </r>
  <r>
    <x v="24"/>
  </r>
  <r>
    <x v="40"/>
  </r>
  <r>
    <x v="42"/>
  </r>
  <r>
    <x v="56"/>
  </r>
  <r>
    <x v="4"/>
  </r>
  <r>
    <x v="4"/>
  </r>
  <r>
    <x v="10"/>
  </r>
  <r>
    <x v="56"/>
  </r>
  <r>
    <x v="0"/>
  </r>
  <r>
    <x v="4"/>
  </r>
  <r>
    <x v="0"/>
  </r>
  <r>
    <x v="0"/>
  </r>
  <r>
    <x v="6"/>
  </r>
  <r>
    <x v="4"/>
  </r>
  <r>
    <x v="6"/>
  </r>
  <r>
    <x v="4"/>
  </r>
  <r>
    <x v="4"/>
  </r>
  <r>
    <x v="4"/>
  </r>
  <r>
    <x v="17"/>
  </r>
  <r>
    <x v="28"/>
  </r>
  <r>
    <x v="28"/>
  </r>
  <r>
    <x v="11"/>
  </r>
  <r>
    <x v="165"/>
  </r>
  <r>
    <x v="0"/>
  </r>
  <r>
    <x v="17"/>
  </r>
  <r>
    <x v="57"/>
  </r>
  <r>
    <x v="4"/>
  </r>
  <r>
    <x v="10"/>
  </r>
  <r>
    <x v="87"/>
  </r>
  <r>
    <x v="2"/>
  </r>
  <r>
    <x v="11"/>
  </r>
  <r>
    <x v="0"/>
  </r>
  <r>
    <x v="2"/>
  </r>
  <r>
    <x v="4"/>
  </r>
  <r>
    <x v="7"/>
  </r>
  <r>
    <x v="4"/>
  </r>
  <r>
    <x v="14"/>
  </r>
  <r>
    <x v="24"/>
  </r>
  <r>
    <x v="24"/>
  </r>
  <r>
    <x v="4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4"/>
  </r>
  <r>
    <x v="4"/>
  </r>
  <r>
    <x v="2"/>
  </r>
  <r>
    <x v="17"/>
  </r>
  <r>
    <x v="17"/>
  </r>
  <r>
    <x v="17"/>
  </r>
  <r>
    <x v="17"/>
  </r>
  <r>
    <x v="17"/>
  </r>
  <r>
    <x v="17"/>
  </r>
  <r>
    <x v="11"/>
  </r>
  <r>
    <x v="1"/>
  </r>
  <r>
    <x v="2"/>
  </r>
  <r>
    <x v="57"/>
  </r>
  <r>
    <x v="11"/>
  </r>
  <r>
    <x v="11"/>
  </r>
  <r>
    <x v="57"/>
  </r>
  <r>
    <x v="11"/>
  </r>
  <r>
    <x v="57"/>
  </r>
  <r>
    <x v="48"/>
  </r>
  <r>
    <x v="48"/>
  </r>
  <r>
    <x v="11"/>
  </r>
  <r>
    <x v="48"/>
  </r>
  <r>
    <x v="11"/>
  </r>
  <r>
    <x v="17"/>
  </r>
  <r>
    <x v="17"/>
  </r>
  <r>
    <x v="17"/>
  </r>
  <r>
    <x v="17"/>
  </r>
  <r>
    <x v="17"/>
  </r>
  <r>
    <x v="17"/>
  </r>
  <r>
    <x v="17"/>
  </r>
  <r>
    <x v="17"/>
  </r>
  <r>
    <x v="4"/>
  </r>
  <r>
    <x v="28"/>
  </r>
  <r>
    <x v="60"/>
  </r>
  <r>
    <x v="28"/>
  </r>
  <r>
    <x v="12"/>
  </r>
  <r>
    <x v="20"/>
  </r>
  <r>
    <x v="15"/>
  </r>
  <r>
    <x v="4"/>
  </r>
  <r>
    <x v="4"/>
  </r>
  <r>
    <x v="0"/>
  </r>
  <r>
    <x v="4"/>
  </r>
  <r>
    <x v="9"/>
  </r>
  <r>
    <x v="11"/>
  </r>
  <r>
    <x v="11"/>
  </r>
  <r>
    <x v="9"/>
  </r>
  <r>
    <x v="48"/>
  </r>
  <r>
    <x v="8"/>
  </r>
  <r>
    <x v="28"/>
  </r>
  <r>
    <x v="9"/>
  </r>
  <r>
    <x v="10"/>
  </r>
  <r>
    <x v="10"/>
  </r>
  <r>
    <x v="108"/>
  </r>
  <r>
    <x v="108"/>
  </r>
  <r>
    <x v="9"/>
  </r>
  <r>
    <x v="42"/>
  </r>
  <r>
    <x v="7"/>
  </r>
  <r>
    <x v="37"/>
  </r>
  <r>
    <x v="12"/>
  </r>
  <r>
    <x v="16"/>
  </r>
  <r>
    <x v="16"/>
  </r>
  <r>
    <x v="8"/>
  </r>
  <r>
    <x v="12"/>
  </r>
  <r>
    <x v="48"/>
  </r>
  <r>
    <x v="12"/>
  </r>
  <r>
    <x v="163"/>
  </r>
  <r>
    <x v="253"/>
  </r>
  <r>
    <x v="19"/>
  </r>
  <r>
    <x v="53"/>
  </r>
  <r>
    <x v="19"/>
  </r>
  <r>
    <x v="12"/>
  </r>
  <r>
    <x v="12"/>
  </r>
  <r>
    <x v="163"/>
  </r>
  <r>
    <x v="163"/>
  </r>
  <r>
    <x v="57"/>
  </r>
  <r>
    <x v="115"/>
  </r>
  <r>
    <x v="115"/>
  </r>
  <r>
    <x v="34"/>
  </r>
  <r>
    <x v="115"/>
  </r>
  <r>
    <x v="115"/>
  </r>
  <r>
    <x v="34"/>
  </r>
  <r>
    <x v="34"/>
  </r>
  <r>
    <x v="115"/>
  </r>
  <r>
    <x v="115"/>
  </r>
  <r>
    <x v="12"/>
  </r>
  <r>
    <x v="12"/>
  </r>
  <r>
    <x v="12"/>
  </r>
  <r>
    <x v="29"/>
  </r>
  <r>
    <x v="6"/>
  </r>
  <r>
    <x v="6"/>
  </r>
  <r>
    <x v="17"/>
  </r>
  <r>
    <x v="17"/>
  </r>
  <r>
    <x v="17"/>
  </r>
  <r>
    <x v="34"/>
  </r>
  <r>
    <x v="12"/>
  </r>
  <r>
    <x v="12"/>
  </r>
  <r>
    <x v="115"/>
  </r>
  <r>
    <x v="115"/>
  </r>
  <r>
    <x v="115"/>
  </r>
  <r>
    <x v="141"/>
  </r>
  <r>
    <x v="17"/>
  </r>
  <r>
    <x v="17"/>
  </r>
  <r>
    <x v="16"/>
  </r>
  <r>
    <x v="16"/>
  </r>
  <r>
    <x v="16"/>
  </r>
  <r>
    <x v="16"/>
  </r>
  <r>
    <x v="115"/>
  </r>
  <r>
    <x v="7"/>
  </r>
  <r>
    <x v="7"/>
  </r>
  <r>
    <x v="7"/>
  </r>
  <r>
    <x v="12"/>
  </r>
  <r>
    <x v="4"/>
  </r>
  <r>
    <x v="14"/>
  </r>
  <r>
    <x v="115"/>
  </r>
  <r>
    <x v="1"/>
  </r>
  <r>
    <x v="1"/>
  </r>
  <r>
    <x v="10"/>
  </r>
  <r>
    <x v="53"/>
  </r>
  <r>
    <x v="115"/>
  </r>
  <r>
    <x v="45"/>
  </r>
  <r>
    <x v="115"/>
  </r>
  <r>
    <x v="115"/>
  </r>
  <r>
    <x v="4"/>
  </r>
  <r>
    <x v="14"/>
  </r>
  <r>
    <x v="28"/>
  </r>
  <r>
    <x v="7"/>
  </r>
  <r>
    <x v="8"/>
  </r>
  <r>
    <x v="19"/>
  </r>
  <r>
    <x v="21"/>
  </r>
  <r>
    <x v="21"/>
  </r>
  <r>
    <x v="14"/>
  </r>
  <r>
    <x v="55"/>
  </r>
  <r>
    <x v="86"/>
  </r>
  <r>
    <x v="86"/>
  </r>
  <r>
    <x v="86"/>
  </r>
  <r>
    <x v="86"/>
  </r>
  <r>
    <x v="16"/>
  </r>
  <r>
    <x v="57"/>
  </r>
  <r>
    <x v="57"/>
  </r>
  <r>
    <x v="57"/>
  </r>
  <r>
    <x v="4"/>
  </r>
  <r>
    <x v="45"/>
  </r>
  <r>
    <x v="2"/>
  </r>
  <r>
    <x v="9"/>
  </r>
  <r>
    <x v="12"/>
  </r>
  <r>
    <x v="17"/>
  </r>
  <r>
    <x v="17"/>
  </r>
  <r>
    <x v="14"/>
  </r>
  <r>
    <x v="14"/>
  </r>
  <r>
    <x v="4"/>
  </r>
  <r>
    <x v="4"/>
  </r>
  <r>
    <x v="131"/>
  </r>
  <r>
    <x v="131"/>
  </r>
  <r>
    <x v="131"/>
  </r>
  <r>
    <x v="131"/>
  </r>
  <r>
    <x v="130"/>
  </r>
  <r>
    <x v="130"/>
  </r>
  <r>
    <x v="130"/>
  </r>
  <r>
    <x v="130"/>
  </r>
  <r>
    <x v="2"/>
  </r>
  <r>
    <x v="14"/>
  </r>
  <r>
    <x v="131"/>
  </r>
  <r>
    <x v="130"/>
  </r>
  <r>
    <x v="115"/>
  </r>
  <r>
    <x v="9"/>
  </r>
  <r>
    <x v="14"/>
  </r>
  <r>
    <x v="28"/>
  </r>
  <r>
    <x v="17"/>
  </r>
  <r>
    <x v="12"/>
  </r>
  <r>
    <x v="12"/>
  </r>
  <r>
    <x v="0"/>
  </r>
  <r>
    <x v="4"/>
  </r>
  <r>
    <x v="4"/>
  </r>
  <r>
    <x v="15"/>
  </r>
  <r>
    <x v="1"/>
  </r>
  <r>
    <x v="12"/>
  </r>
  <r>
    <x v="53"/>
  </r>
  <r>
    <x v="42"/>
  </r>
  <r>
    <x v="28"/>
  </r>
  <r>
    <x v="115"/>
  </r>
  <r>
    <x v="1"/>
  </r>
  <r>
    <x v="1"/>
  </r>
  <r>
    <x v="4"/>
  </r>
  <r>
    <x v="10"/>
  </r>
  <r>
    <x v="24"/>
  </r>
  <r>
    <x v="24"/>
  </r>
  <r>
    <x v="8"/>
  </r>
  <r>
    <x v="131"/>
  </r>
  <r>
    <x v="169"/>
  </r>
  <r>
    <x v="12"/>
  </r>
  <r>
    <x v="0"/>
  </r>
  <r>
    <x v="21"/>
  </r>
  <r>
    <x v="4"/>
  </r>
  <r>
    <x v="4"/>
  </r>
  <r>
    <x v="52"/>
  </r>
  <r>
    <x v="131"/>
  </r>
  <r>
    <x v="24"/>
  </r>
  <r>
    <x v="57"/>
  </r>
  <r>
    <x v="15"/>
  </r>
  <r>
    <x v="70"/>
  </r>
  <r>
    <x v="70"/>
  </r>
  <r>
    <x v="70"/>
  </r>
  <r>
    <x v="12"/>
  </r>
  <r>
    <x v="12"/>
  </r>
  <r>
    <x v="21"/>
  </r>
  <r>
    <x v="21"/>
  </r>
  <r>
    <x v="22"/>
  </r>
  <r>
    <x v="16"/>
  </r>
  <r>
    <x v="12"/>
  </r>
  <r>
    <x v="21"/>
  </r>
  <r>
    <x v="52"/>
  </r>
  <r>
    <x v="52"/>
  </r>
  <r>
    <x v="55"/>
  </r>
  <r>
    <x v="21"/>
  </r>
  <r>
    <x v="72"/>
  </r>
  <r>
    <x v="12"/>
  </r>
  <r>
    <x v="45"/>
  </r>
  <r>
    <x v="4"/>
  </r>
  <r>
    <x v="12"/>
  </r>
  <r>
    <x v="16"/>
  </r>
  <r>
    <x v="4"/>
  </r>
  <r>
    <x v="68"/>
  </r>
  <r>
    <x v="131"/>
  </r>
  <r>
    <x v="28"/>
  </r>
  <r>
    <x v="10"/>
  </r>
  <r>
    <x v="42"/>
  </r>
  <r>
    <x v="42"/>
  </r>
  <r>
    <x v="42"/>
  </r>
  <r>
    <x v="16"/>
  </r>
  <r>
    <x v="16"/>
  </r>
  <r>
    <x v="10"/>
  </r>
  <r>
    <x v="8"/>
  </r>
  <r>
    <x v="16"/>
  </r>
  <r>
    <x v="11"/>
  </r>
  <r>
    <x v="4"/>
  </r>
  <r>
    <x v="4"/>
  </r>
  <r>
    <x v="4"/>
  </r>
  <r>
    <x v="4"/>
  </r>
  <r>
    <x v="4"/>
  </r>
  <r>
    <x v="39"/>
  </r>
  <r>
    <x v="39"/>
  </r>
  <r>
    <x v="39"/>
  </r>
  <r>
    <x v="39"/>
  </r>
  <r>
    <x v="142"/>
  </r>
  <r>
    <x v="77"/>
  </r>
  <r>
    <x v="152"/>
  </r>
  <r>
    <x v="17"/>
  </r>
  <r>
    <x v="53"/>
  </r>
  <r>
    <x v="53"/>
  </r>
  <r>
    <x v="17"/>
  </r>
  <r>
    <x v="131"/>
  </r>
  <r>
    <x v="131"/>
  </r>
  <r>
    <x v="131"/>
  </r>
  <r>
    <x v="52"/>
  </r>
  <r>
    <x v="52"/>
  </r>
  <r>
    <x v="12"/>
  </r>
  <r>
    <x v="12"/>
  </r>
  <r>
    <x v="21"/>
  </r>
  <r>
    <x v="21"/>
  </r>
  <r>
    <x v="15"/>
  </r>
  <r>
    <x v="11"/>
  </r>
  <r>
    <x v="30"/>
  </r>
  <r>
    <x v="115"/>
  </r>
  <r>
    <x v="115"/>
  </r>
  <r>
    <x v="115"/>
  </r>
  <r>
    <x v="115"/>
  </r>
  <r>
    <x v="115"/>
  </r>
  <r>
    <x v="42"/>
  </r>
  <r>
    <x v="16"/>
  </r>
  <r>
    <x v="4"/>
  </r>
  <r>
    <x v="4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14"/>
  </r>
  <r>
    <x v="14"/>
  </r>
  <r>
    <x v="8"/>
  </r>
  <r>
    <x v="131"/>
  </r>
  <r>
    <x v="131"/>
  </r>
  <r>
    <x v="8"/>
  </r>
  <r>
    <x v="131"/>
  </r>
  <r>
    <x v="24"/>
  </r>
  <r>
    <x v="48"/>
  </r>
  <r>
    <x v="4"/>
  </r>
  <r>
    <x v="14"/>
  </r>
  <r>
    <x v="8"/>
  </r>
  <r>
    <x v="86"/>
  </r>
  <r>
    <x v="20"/>
  </r>
  <r>
    <x v="4"/>
  </r>
  <r>
    <x v="4"/>
  </r>
  <r>
    <x v="17"/>
  </r>
  <r>
    <x v="19"/>
  </r>
  <r>
    <x v="76"/>
  </r>
  <r>
    <x v="45"/>
  </r>
  <r>
    <x v="130"/>
  </r>
  <r>
    <x v="37"/>
  </r>
  <r>
    <x v="16"/>
  </r>
  <r>
    <x v="53"/>
  </r>
  <r>
    <x v="115"/>
  </r>
  <r>
    <x v="48"/>
  </r>
  <r>
    <x v="138"/>
  </r>
  <r>
    <x v="11"/>
  </r>
  <r>
    <x v="39"/>
  </r>
  <r>
    <x v="10"/>
  </r>
  <r>
    <x v="59"/>
  </r>
  <r>
    <x v="22"/>
  </r>
  <r>
    <x v="138"/>
  </r>
  <r>
    <x v="68"/>
  </r>
  <r>
    <x v="10"/>
  </r>
  <r>
    <x v="144"/>
  </r>
  <r>
    <x v="144"/>
  </r>
  <r>
    <x v="79"/>
  </r>
  <r>
    <x v="115"/>
  </r>
  <r>
    <x v="115"/>
  </r>
  <r>
    <x v="12"/>
  </r>
  <r>
    <x v="71"/>
  </r>
  <r>
    <x v="12"/>
  </r>
  <r>
    <x v="155"/>
  </r>
  <r>
    <x v="155"/>
  </r>
  <r>
    <x v="155"/>
  </r>
  <r>
    <x v="155"/>
  </r>
  <r>
    <x v="115"/>
  </r>
  <r>
    <x v="14"/>
  </r>
  <r>
    <x v="76"/>
  </r>
  <r>
    <x v="16"/>
  </r>
  <r>
    <x v="199"/>
  </r>
  <r>
    <x v="45"/>
  </r>
  <r>
    <x v="131"/>
  </r>
  <r>
    <x v="131"/>
  </r>
  <r>
    <x v="131"/>
  </r>
  <r>
    <x v="131"/>
  </r>
  <r>
    <x v="76"/>
  </r>
  <r>
    <x v="142"/>
  </r>
  <r>
    <x v="142"/>
  </r>
  <r>
    <x v="142"/>
  </r>
  <r>
    <x v="142"/>
  </r>
  <r>
    <x v="39"/>
  </r>
  <r>
    <x v="39"/>
  </r>
  <r>
    <x v="142"/>
  </r>
  <r>
    <x v="142"/>
  </r>
  <r>
    <x v="142"/>
  </r>
  <r>
    <x v="142"/>
  </r>
  <r>
    <x v="39"/>
  </r>
  <r>
    <x v="64"/>
  </r>
  <r>
    <x v="130"/>
  </r>
  <r>
    <x v="39"/>
  </r>
  <r>
    <x v="53"/>
  </r>
  <r>
    <x v="46"/>
  </r>
  <r>
    <x v="12"/>
  </r>
  <r>
    <x v="12"/>
  </r>
  <r>
    <x v="12"/>
  </r>
  <r>
    <x v="37"/>
  </r>
  <r>
    <x v="21"/>
  </r>
  <r>
    <x v="6"/>
  </r>
  <r>
    <x v="12"/>
  </r>
  <r>
    <x v="75"/>
  </r>
  <r>
    <x v="10"/>
  </r>
  <r>
    <x v="64"/>
  </r>
  <r>
    <x v="4"/>
  </r>
  <r>
    <x v="115"/>
  </r>
  <r>
    <x v="12"/>
  </r>
  <r>
    <x v="142"/>
  </r>
  <r>
    <x v="142"/>
  </r>
  <r>
    <x v="142"/>
  </r>
  <r>
    <x v="16"/>
  </r>
  <r>
    <x v="64"/>
  </r>
  <r>
    <x v="131"/>
  </r>
  <r>
    <x v="7"/>
  </r>
  <r>
    <x v="99"/>
  </r>
  <r>
    <x v="42"/>
  </r>
  <r>
    <x v="42"/>
  </r>
  <r>
    <x v="42"/>
  </r>
  <r>
    <x v="16"/>
  </r>
  <r>
    <x v="7"/>
  </r>
  <r>
    <x v="8"/>
  </r>
  <r>
    <x v="12"/>
  </r>
  <r>
    <x v="2"/>
  </r>
  <r>
    <x v="21"/>
  </r>
  <r>
    <x v="1"/>
  </r>
  <r>
    <x v="53"/>
  </r>
  <r>
    <x v="39"/>
  </r>
  <r>
    <x v="28"/>
  </r>
  <r>
    <x v="10"/>
  </r>
  <r>
    <x v="1"/>
  </r>
  <r>
    <x v="12"/>
  </r>
  <r>
    <x v="12"/>
  </r>
  <r>
    <x v="28"/>
  </r>
  <r>
    <x v="28"/>
  </r>
  <r>
    <x v="12"/>
  </r>
  <r>
    <x v="28"/>
  </r>
  <r>
    <x v="21"/>
  </r>
  <r>
    <x v="72"/>
  </r>
  <r>
    <x v="87"/>
  </r>
  <r>
    <x v="10"/>
  </r>
  <r>
    <x v="2"/>
  </r>
  <r>
    <x v="20"/>
  </r>
  <r>
    <x v="141"/>
  </r>
  <r>
    <x v="141"/>
  </r>
  <r>
    <x v="31"/>
  </r>
  <r>
    <x v="9"/>
  </r>
  <r>
    <x v="4"/>
  </r>
  <r>
    <x v="10"/>
  </r>
  <r>
    <x v="347"/>
  </r>
  <r>
    <x v="10"/>
  </r>
  <r>
    <x v="39"/>
  </r>
  <r>
    <x v="2"/>
  </r>
  <r>
    <x v="9"/>
  </r>
  <r>
    <x v="10"/>
  </r>
  <r>
    <x v="14"/>
  </r>
  <r>
    <x v="14"/>
  </r>
  <r>
    <x v="136"/>
  </r>
  <r>
    <x v="8"/>
  </r>
  <r>
    <x v="0"/>
  </r>
  <r>
    <x v="7"/>
  </r>
  <r>
    <x v="14"/>
  </r>
  <r>
    <x v="165"/>
  </r>
  <r>
    <x v="165"/>
  </r>
  <r>
    <x v="102"/>
  </r>
  <r>
    <x v="112"/>
  </r>
  <r>
    <x v="42"/>
  </r>
  <r>
    <x v="9"/>
  </r>
  <r>
    <x v="12"/>
  </r>
  <r>
    <x v="12"/>
  </r>
  <r>
    <x v="42"/>
  </r>
  <r>
    <x v="42"/>
  </r>
  <r>
    <x v="12"/>
  </r>
  <r>
    <x v="12"/>
  </r>
  <r>
    <x v="72"/>
  </r>
  <r>
    <x v="12"/>
  </r>
  <r>
    <x v="12"/>
  </r>
  <r>
    <x v="102"/>
  </r>
  <r>
    <x v="16"/>
  </r>
  <r>
    <x v="9"/>
  </r>
  <r>
    <x v="7"/>
  </r>
  <r>
    <x v="130"/>
  </r>
  <r>
    <x v="48"/>
  </r>
  <r>
    <x v="87"/>
  </r>
  <r>
    <x v="130"/>
  </r>
  <r>
    <x v="12"/>
  </r>
  <r>
    <x v="12"/>
  </r>
  <r>
    <x v="59"/>
  </r>
  <r>
    <x v="63"/>
  </r>
  <r>
    <x v="45"/>
  </r>
  <r>
    <x v="14"/>
  </r>
  <r>
    <x v="10"/>
  </r>
  <r>
    <x v="4"/>
  </r>
  <r>
    <x v="8"/>
  </r>
  <r>
    <x v="8"/>
  </r>
  <r>
    <x v="111"/>
  </r>
  <r>
    <x v="76"/>
  </r>
  <r>
    <x v="76"/>
  </r>
  <r>
    <x v="76"/>
  </r>
  <r>
    <x v="4"/>
  </r>
  <r>
    <x v="16"/>
  </r>
  <r>
    <x v="0"/>
  </r>
  <r>
    <x v="0"/>
  </r>
  <r>
    <x v="0"/>
  </r>
  <r>
    <x v="0"/>
  </r>
  <r>
    <x v="28"/>
  </r>
  <r>
    <x v="42"/>
  </r>
  <r>
    <x v="62"/>
  </r>
  <r>
    <x v="21"/>
  </r>
  <r>
    <x v="0"/>
  </r>
  <r>
    <x v="70"/>
  </r>
  <r>
    <x v="57"/>
  </r>
  <r>
    <x v="42"/>
  </r>
  <r>
    <x v="42"/>
  </r>
  <r>
    <x v="53"/>
  </r>
  <r>
    <x v="28"/>
  </r>
  <r>
    <x v="70"/>
  </r>
  <r>
    <x v="12"/>
  </r>
  <r>
    <x v="4"/>
  </r>
  <r>
    <x v="21"/>
  </r>
  <r>
    <x v="21"/>
  </r>
  <r>
    <x v="19"/>
  </r>
  <r>
    <x v="142"/>
  </r>
  <r>
    <x v="70"/>
  </r>
  <r>
    <x v="10"/>
  </r>
  <r>
    <x v="42"/>
  </r>
  <r>
    <x v="11"/>
  </r>
  <r>
    <x v="16"/>
  </r>
  <r>
    <x v="16"/>
  </r>
  <r>
    <x v="45"/>
  </r>
  <r>
    <x v="28"/>
  </r>
  <r>
    <x v="28"/>
  </r>
  <r>
    <x v="42"/>
  </r>
  <r>
    <x v="115"/>
  </r>
  <r>
    <x v="42"/>
  </r>
  <r>
    <x v="63"/>
  </r>
  <r>
    <x v="8"/>
  </r>
  <r>
    <x v="0"/>
  </r>
  <r>
    <x v="0"/>
  </r>
  <r>
    <x v="28"/>
  </r>
  <r>
    <x v="28"/>
  </r>
  <r>
    <x v="4"/>
  </r>
  <r>
    <x v="130"/>
  </r>
  <r>
    <x v="130"/>
  </r>
  <r>
    <x v="130"/>
  </r>
  <r>
    <x v="57"/>
  </r>
  <r>
    <x v="28"/>
  </r>
  <r>
    <x v="12"/>
  </r>
  <r>
    <x v="42"/>
  </r>
  <r>
    <x v="123"/>
  </r>
  <r>
    <x v="123"/>
  </r>
  <r>
    <x v="19"/>
  </r>
  <r>
    <x v="46"/>
  </r>
  <r>
    <x v="46"/>
  </r>
  <r>
    <x v="57"/>
  </r>
  <r>
    <x v="138"/>
  </r>
  <r>
    <x v="12"/>
  </r>
  <r>
    <x v="2"/>
  </r>
  <r>
    <x v="11"/>
  </r>
  <r>
    <x v="46"/>
  </r>
  <r>
    <x v="57"/>
  </r>
  <r>
    <x v="57"/>
  </r>
  <r>
    <x v="9"/>
  </r>
  <r>
    <x v="4"/>
  </r>
  <r>
    <x v="12"/>
  </r>
  <r>
    <x v="11"/>
  </r>
  <r>
    <x v="12"/>
  </r>
  <r>
    <x v="45"/>
  </r>
  <r>
    <x v="52"/>
  </r>
  <r>
    <x v="16"/>
  </r>
  <r>
    <x v="131"/>
  </r>
  <r>
    <x v="42"/>
  </r>
  <r>
    <x v="10"/>
  </r>
  <r>
    <x v="53"/>
  </r>
  <r>
    <x v="50"/>
  </r>
  <r>
    <x v="1"/>
  </r>
  <r>
    <x v="0"/>
  </r>
  <r>
    <x v="152"/>
  </r>
  <r>
    <x v="0"/>
  </r>
  <r>
    <x v="123"/>
  </r>
  <r>
    <x v="414"/>
  </r>
  <r>
    <x v="11"/>
  </r>
  <r>
    <x v="14"/>
  </r>
  <r>
    <x v="14"/>
  </r>
  <r>
    <x v="130"/>
  </r>
  <r>
    <x v="12"/>
  </r>
  <r>
    <x v="16"/>
  </r>
  <r>
    <x v="1"/>
  </r>
  <r>
    <x v="63"/>
  </r>
  <r>
    <x v="16"/>
  </r>
  <r>
    <x v="76"/>
  </r>
  <r>
    <x v="8"/>
  </r>
  <r>
    <x v="28"/>
  </r>
  <r>
    <x v="72"/>
  </r>
  <r>
    <x v="10"/>
  </r>
  <r>
    <x v="12"/>
  </r>
  <r>
    <x v="28"/>
  </r>
  <r>
    <x v="14"/>
  </r>
  <r>
    <x v="1"/>
  </r>
  <r>
    <x v="12"/>
  </r>
  <r>
    <x v="28"/>
  </r>
  <r>
    <x v="0"/>
  </r>
  <r>
    <x v="68"/>
  </r>
  <r>
    <x v="0"/>
  </r>
  <r>
    <x v="6"/>
  </r>
  <r>
    <x v="12"/>
  </r>
  <r>
    <x v="57"/>
  </r>
  <r>
    <x v="37"/>
  </r>
  <r>
    <x v="184"/>
  </r>
  <r>
    <x v="6"/>
  </r>
  <r>
    <x v="37"/>
  </r>
  <r>
    <x v="89"/>
  </r>
  <r>
    <x v="22"/>
  </r>
  <r>
    <x v="22"/>
  </r>
  <r>
    <x v="22"/>
  </r>
  <r>
    <x v="22"/>
  </r>
  <r>
    <x v="15"/>
  </r>
  <r>
    <x v="15"/>
  </r>
  <r>
    <x v="15"/>
  </r>
  <r>
    <x v="15"/>
  </r>
  <r>
    <x v="15"/>
  </r>
  <r>
    <x v="15"/>
  </r>
  <r>
    <x v="53"/>
  </r>
  <r>
    <x v="8"/>
  </r>
  <r>
    <x v="8"/>
  </r>
  <r>
    <x v="11"/>
  </r>
  <r>
    <x v="2"/>
  </r>
  <r>
    <x v="57"/>
  </r>
  <r>
    <x v="57"/>
  </r>
  <r>
    <x v="115"/>
  </r>
  <r>
    <x v="28"/>
  </r>
  <r>
    <x v="28"/>
  </r>
  <r>
    <x v="9"/>
  </r>
  <r>
    <x v="12"/>
  </r>
  <r>
    <x v="12"/>
  </r>
  <r>
    <x v="184"/>
  </r>
  <r>
    <x v="89"/>
  </r>
  <r>
    <x v="17"/>
  </r>
  <r>
    <x v="28"/>
  </r>
  <r>
    <x v="57"/>
  </r>
  <r>
    <x v="57"/>
  </r>
  <r>
    <x v="57"/>
  </r>
  <r>
    <x v="57"/>
  </r>
  <r>
    <x v="57"/>
  </r>
  <r>
    <x v="57"/>
  </r>
  <r>
    <x v="57"/>
  </r>
  <r>
    <x v="10"/>
  </r>
  <r>
    <x v="115"/>
  </r>
  <r>
    <x v="12"/>
  </r>
  <r>
    <x v="57"/>
  </r>
  <r>
    <x v="45"/>
  </r>
  <r>
    <x v="8"/>
  </r>
  <r>
    <x v="8"/>
  </r>
  <r>
    <x v="8"/>
  </r>
  <r>
    <x v="8"/>
  </r>
  <r>
    <x v="8"/>
  </r>
  <r>
    <x v="8"/>
  </r>
  <r>
    <x v="15"/>
  </r>
  <r>
    <x v="21"/>
  </r>
  <r>
    <x v="0"/>
  </r>
  <r>
    <x v="68"/>
  </r>
  <r>
    <x v="0"/>
  </r>
  <r>
    <x v="57"/>
  </r>
  <r>
    <x v="64"/>
  </r>
  <r>
    <x v="34"/>
  </r>
  <r>
    <x v="9"/>
  </r>
  <r>
    <x v="4"/>
  </r>
  <r>
    <x v="4"/>
  </r>
  <r>
    <x v="42"/>
  </r>
  <r>
    <x v="12"/>
  </r>
  <r>
    <x v="0"/>
  </r>
  <r>
    <x v="2"/>
  </r>
  <r>
    <x v="2"/>
  </r>
  <r>
    <x v="4"/>
  </r>
  <r>
    <x v="16"/>
  </r>
  <r>
    <x v="28"/>
  </r>
  <r>
    <x v="12"/>
  </r>
  <r>
    <x v="8"/>
  </r>
  <r>
    <x v="28"/>
  </r>
  <r>
    <x v="28"/>
  </r>
  <r>
    <x v="115"/>
  </r>
  <r>
    <x v="115"/>
  </r>
  <r>
    <x v="16"/>
  </r>
  <r>
    <x v="16"/>
  </r>
  <r>
    <x v="37"/>
  </r>
  <r>
    <x v="37"/>
  </r>
  <r>
    <x v="0"/>
  </r>
  <r>
    <x v="28"/>
  </r>
  <r>
    <x v="28"/>
  </r>
  <r>
    <x v="16"/>
  </r>
  <r>
    <x v="28"/>
  </r>
  <r>
    <x v="16"/>
  </r>
  <r>
    <x v="16"/>
  </r>
  <r>
    <x v="28"/>
  </r>
  <r>
    <x v="28"/>
  </r>
  <r>
    <x v="6"/>
  </r>
  <r>
    <x v="57"/>
  </r>
  <r>
    <x v="16"/>
  </r>
  <r>
    <x v="1"/>
  </r>
  <r>
    <x v="130"/>
  </r>
  <r>
    <x v="130"/>
  </r>
  <r>
    <x v="130"/>
  </r>
  <r>
    <x v="1"/>
  </r>
  <r>
    <x v="1"/>
  </r>
  <r>
    <x v="0"/>
  </r>
  <r>
    <x v="0"/>
  </r>
  <r>
    <x v="0"/>
  </r>
  <r>
    <x v="16"/>
  </r>
  <r>
    <x v="81"/>
  </r>
  <r>
    <x v="4"/>
  </r>
  <r>
    <x v="42"/>
  </r>
  <r>
    <x v="12"/>
  </r>
  <r>
    <x v="12"/>
  </r>
  <r>
    <x v="12"/>
  </r>
  <r>
    <x v="12"/>
  </r>
  <r>
    <x v="16"/>
  </r>
  <r>
    <x v="1"/>
  </r>
  <r>
    <x v="57"/>
  </r>
  <r>
    <x v="2"/>
  </r>
  <r>
    <x v="42"/>
  </r>
  <r>
    <x v="42"/>
  </r>
  <r>
    <x v="17"/>
  </r>
  <r>
    <x v="2"/>
  </r>
  <r>
    <x v="42"/>
  </r>
  <r>
    <x v="16"/>
  </r>
  <r>
    <x v="16"/>
  </r>
  <r>
    <x v="0"/>
  </r>
  <r>
    <x v="0"/>
  </r>
  <r>
    <x v="16"/>
  </r>
  <r>
    <x v="0"/>
  </r>
  <r>
    <x v="45"/>
  </r>
  <r>
    <x v="8"/>
  </r>
  <r>
    <x v="11"/>
  </r>
  <r>
    <x v="18"/>
  </r>
  <r>
    <x v="16"/>
  </r>
  <r>
    <x v="42"/>
  </r>
  <r>
    <x v="57"/>
  </r>
  <r>
    <x v="21"/>
  </r>
  <r>
    <x v="14"/>
  </r>
  <r>
    <x v="4"/>
  </r>
  <r>
    <x v="0"/>
  </r>
  <r>
    <x v="0"/>
  </r>
  <r>
    <x v="11"/>
  </r>
  <r>
    <x v="0"/>
  </r>
  <r>
    <x v="21"/>
  </r>
  <r>
    <x v="9"/>
  </r>
  <r>
    <x v="4"/>
  </r>
  <r>
    <x v="16"/>
  </r>
  <r>
    <x v="11"/>
  </r>
  <r>
    <x v="12"/>
  </r>
  <r>
    <x v="17"/>
  </r>
  <r>
    <x v="150"/>
  </r>
  <r>
    <x v="12"/>
  </r>
  <r>
    <x v="7"/>
  </r>
  <r>
    <x v="12"/>
  </r>
  <r>
    <x v="53"/>
  </r>
  <r>
    <x v="45"/>
  </r>
  <r>
    <x v="18"/>
  </r>
  <r>
    <x v="24"/>
  </r>
  <r>
    <x v="42"/>
  </r>
  <r>
    <x v="42"/>
  </r>
  <r>
    <x v="64"/>
  </r>
  <r>
    <x v="80"/>
  </r>
  <r>
    <x v="4"/>
  </r>
  <r>
    <x v="4"/>
  </r>
  <r>
    <x v="4"/>
  </r>
  <r>
    <x v="4"/>
  </r>
  <r>
    <x v="16"/>
  </r>
  <r>
    <x v="28"/>
  </r>
  <r>
    <x v="16"/>
  </r>
  <r>
    <x v="28"/>
  </r>
  <r>
    <x v="28"/>
  </r>
  <r>
    <x v="28"/>
  </r>
  <r>
    <x v="12"/>
  </r>
  <r>
    <x v="12"/>
  </r>
  <r>
    <x v="12"/>
  </r>
  <r>
    <x v="12"/>
  </r>
  <r>
    <x v="14"/>
  </r>
  <r>
    <x v="14"/>
  </r>
  <r>
    <x v="43"/>
  </r>
  <r>
    <x v="16"/>
  </r>
  <r>
    <x v="16"/>
  </r>
  <r>
    <x v="16"/>
  </r>
  <r>
    <x v="16"/>
  </r>
  <r>
    <x v="16"/>
  </r>
  <r>
    <x v="12"/>
  </r>
  <r>
    <x v="14"/>
  </r>
  <r>
    <x v="31"/>
  </r>
  <r>
    <x v="16"/>
  </r>
  <r>
    <x v="17"/>
  </r>
  <r>
    <x v="16"/>
  </r>
  <r>
    <x v="16"/>
  </r>
  <r>
    <x v="4"/>
  </r>
  <r>
    <x v="42"/>
  </r>
  <r>
    <x v="4"/>
  </r>
  <r>
    <x v="9"/>
  </r>
  <r>
    <x v="131"/>
  </r>
  <r>
    <x v="1"/>
  </r>
  <r>
    <x v="10"/>
  </r>
  <r>
    <x v="45"/>
  </r>
  <r>
    <x v="12"/>
  </r>
  <r>
    <x v="28"/>
  </r>
  <r>
    <x v="28"/>
  </r>
  <r>
    <x v="18"/>
  </r>
  <r>
    <x v="18"/>
  </r>
  <r>
    <x v="14"/>
  </r>
  <r>
    <x v="14"/>
  </r>
  <r>
    <x v="57"/>
  </r>
  <r>
    <x v="180"/>
  </r>
  <r>
    <x v="12"/>
  </r>
  <r>
    <x v="12"/>
  </r>
  <r>
    <x v="0"/>
  </r>
  <r>
    <x v="0"/>
  </r>
  <r>
    <x v="0"/>
  </r>
  <r>
    <x v="0"/>
  </r>
  <r>
    <x v="16"/>
  </r>
  <r>
    <x v="16"/>
  </r>
  <r>
    <x v="115"/>
  </r>
  <r>
    <x v="115"/>
  </r>
  <r>
    <x v="42"/>
  </r>
  <r>
    <x v="17"/>
  </r>
  <r>
    <x v="37"/>
  </r>
  <r>
    <x v="16"/>
  </r>
  <r>
    <x v="16"/>
  </r>
  <r>
    <x v="1"/>
  </r>
  <r>
    <x v="115"/>
  </r>
  <r>
    <x v="0"/>
  </r>
  <r>
    <x v="16"/>
  </r>
  <r>
    <x v="16"/>
  </r>
  <r>
    <x v="31"/>
  </r>
  <r>
    <x v="31"/>
  </r>
  <r>
    <x v="12"/>
  </r>
  <r>
    <x v="23"/>
  </r>
  <r>
    <x v="53"/>
  </r>
  <r>
    <x v="10"/>
  </r>
  <r>
    <x v="10"/>
  </r>
  <r>
    <x v="10"/>
  </r>
  <r>
    <x v="10"/>
  </r>
  <r>
    <x v="14"/>
  </r>
  <r>
    <x v="4"/>
  </r>
  <r>
    <x v="0"/>
  </r>
  <r>
    <x v="8"/>
  </r>
  <r>
    <x v="40"/>
  </r>
  <r>
    <x v="40"/>
  </r>
  <r>
    <x v="37"/>
  </r>
  <r>
    <x v="0"/>
  </r>
  <r>
    <x v="21"/>
  </r>
  <r>
    <x v="53"/>
  </r>
  <r>
    <x v="4"/>
  </r>
  <r>
    <x v="17"/>
  </r>
  <r>
    <x v="14"/>
  </r>
  <r>
    <x v="16"/>
  </r>
  <r>
    <x v="6"/>
  </r>
  <r>
    <x v="74"/>
  </r>
  <r>
    <x v="34"/>
  </r>
  <r>
    <x v="31"/>
  </r>
  <r>
    <x v="45"/>
  </r>
  <r>
    <x v="0"/>
  </r>
  <r>
    <x v="42"/>
  </r>
  <r>
    <x v="4"/>
  </r>
  <r>
    <x v="40"/>
  </r>
  <r>
    <x v="40"/>
  </r>
  <r>
    <x v="74"/>
  </r>
  <r>
    <x v="14"/>
  </r>
  <r>
    <x v="14"/>
  </r>
  <r>
    <x v="8"/>
  </r>
  <r>
    <x v="21"/>
  </r>
  <r>
    <x v="10"/>
  </r>
  <r>
    <x v="10"/>
  </r>
  <r>
    <x v="40"/>
  </r>
  <r>
    <x v="10"/>
  </r>
  <r>
    <x v="17"/>
  </r>
  <r>
    <x v="17"/>
  </r>
  <r>
    <x v="55"/>
  </r>
  <r>
    <x v="17"/>
  </r>
  <r>
    <x v="17"/>
  </r>
  <r>
    <x v="10"/>
  </r>
  <r>
    <x v="55"/>
  </r>
  <r>
    <x v="55"/>
  </r>
  <r>
    <x v="55"/>
  </r>
  <r>
    <x v="17"/>
  </r>
  <r>
    <x v="55"/>
  </r>
  <r>
    <x v="49"/>
  </r>
  <r>
    <x v="4"/>
  </r>
  <r>
    <x v="0"/>
  </r>
  <r>
    <x v="39"/>
  </r>
  <r>
    <x v="6"/>
  </r>
  <r>
    <x v="1"/>
  </r>
  <r>
    <x v="42"/>
  </r>
  <r>
    <x v="33"/>
  </r>
  <r>
    <x v="24"/>
  </r>
  <r>
    <x v="8"/>
  </r>
  <r>
    <x v="22"/>
  </r>
  <r>
    <x v="14"/>
  </r>
  <r>
    <x v="39"/>
  </r>
  <r>
    <x v="45"/>
  </r>
  <r>
    <x v="16"/>
  </r>
  <r>
    <x v="39"/>
  </r>
  <r>
    <x v="8"/>
  </r>
  <r>
    <x v="37"/>
  </r>
  <r>
    <x v="2"/>
  </r>
  <r>
    <x v="14"/>
  </r>
  <r>
    <x v="222"/>
  </r>
  <r>
    <x v="48"/>
  </r>
  <r>
    <x v="138"/>
  </r>
  <r>
    <x v="37"/>
  </r>
  <r>
    <x v="45"/>
  </r>
  <r>
    <x v="45"/>
  </r>
  <r>
    <x v="53"/>
  </r>
  <r>
    <x v="53"/>
  </r>
  <r>
    <x v="53"/>
  </r>
  <r>
    <x v="53"/>
  </r>
  <r>
    <x v="53"/>
  </r>
  <r>
    <x v="43"/>
  </r>
  <r>
    <x v="40"/>
  </r>
  <r>
    <x v="28"/>
  </r>
  <r>
    <x v="28"/>
  </r>
  <r>
    <x v="28"/>
  </r>
  <r>
    <x v="17"/>
  </r>
  <r>
    <x v="100"/>
  </r>
  <r>
    <x v="42"/>
  </r>
  <r>
    <x v="17"/>
  </r>
  <r>
    <x v="37"/>
  </r>
  <r>
    <x v="28"/>
  </r>
  <r>
    <x v="10"/>
  </r>
  <r>
    <x v="64"/>
  </r>
  <r>
    <x v="9"/>
  </r>
  <r>
    <x v="1"/>
  </r>
  <r>
    <x v="8"/>
  </r>
  <r>
    <x v="222"/>
  </r>
  <r>
    <x v="10"/>
  </r>
  <r>
    <x v="4"/>
  </r>
  <r>
    <x v="17"/>
  </r>
  <r>
    <x v="45"/>
  </r>
  <r>
    <x v="10"/>
  </r>
  <r>
    <x v="10"/>
  </r>
  <r>
    <x v="10"/>
  </r>
  <r>
    <x v="11"/>
  </r>
  <r>
    <x v="48"/>
  </r>
  <r>
    <x v="17"/>
  </r>
  <r>
    <x v="16"/>
  </r>
  <r>
    <x v="11"/>
  </r>
  <r>
    <x v="0"/>
  </r>
  <r>
    <x v="222"/>
  </r>
  <r>
    <x v="40"/>
  </r>
  <r>
    <x v="40"/>
  </r>
  <r>
    <x v="4"/>
  </r>
  <r>
    <x v="37"/>
  </r>
  <r>
    <x v="14"/>
  </r>
  <r>
    <x v="8"/>
  </r>
  <r>
    <x v="37"/>
  </r>
  <r>
    <x v="4"/>
  </r>
  <r>
    <x v="4"/>
  </r>
  <r>
    <x v="12"/>
  </r>
  <r>
    <x v="0"/>
  </r>
  <r>
    <x v="0"/>
  </r>
  <r>
    <x v="12"/>
  </r>
  <r>
    <x v="12"/>
  </r>
  <r>
    <x v="16"/>
  </r>
  <r>
    <x v="0"/>
  </r>
  <r>
    <x v="12"/>
  </r>
  <r>
    <x v="12"/>
  </r>
  <r>
    <x v="14"/>
  </r>
  <r>
    <x v="9"/>
  </r>
  <r>
    <x v="4"/>
  </r>
  <r>
    <x v="14"/>
  </r>
  <r>
    <x v="14"/>
  </r>
  <r>
    <x v="40"/>
  </r>
  <r>
    <x v="40"/>
  </r>
  <r>
    <x v="40"/>
  </r>
  <r>
    <x v="4"/>
  </r>
  <r>
    <x v="6"/>
  </r>
  <r>
    <x v="174"/>
  </r>
  <r>
    <x v="17"/>
  </r>
  <r>
    <x v="14"/>
  </r>
  <r>
    <x v="48"/>
  </r>
  <r>
    <x v="34"/>
  </r>
  <r>
    <x v="15"/>
  </r>
  <r>
    <x v="4"/>
  </r>
  <r>
    <x v="53"/>
  </r>
  <r>
    <x v="0"/>
  </r>
  <r>
    <x v="4"/>
  </r>
  <r>
    <x v="4"/>
  </r>
  <r>
    <x v="10"/>
  </r>
  <r>
    <x v="37"/>
  </r>
  <r>
    <x v="14"/>
  </r>
  <r>
    <x v="28"/>
  </r>
  <r>
    <x v="76"/>
  </r>
  <r>
    <x v="28"/>
  </r>
  <r>
    <x v="11"/>
  </r>
  <r>
    <x v="14"/>
  </r>
  <r>
    <x v="10"/>
  </r>
  <r>
    <x v="9"/>
  </r>
  <r>
    <x v="9"/>
  </r>
  <r>
    <x v="33"/>
  </r>
  <r>
    <x v="16"/>
  </r>
  <r>
    <x v="16"/>
  </r>
  <r>
    <x v="10"/>
  </r>
  <r>
    <x v="31"/>
  </r>
  <r>
    <x v="0"/>
  </r>
  <r>
    <x v="0"/>
  </r>
  <r>
    <x v="174"/>
  </r>
  <r>
    <x v="0"/>
  </r>
  <r>
    <x v="115"/>
  </r>
  <r>
    <x v="22"/>
  </r>
  <r>
    <x v="48"/>
  </r>
  <r>
    <x v="4"/>
  </r>
  <r>
    <x v="10"/>
  </r>
  <r>
    <x v="11"/>
  </r>
  <r>
    <x v="4"/>
  </r>
  <r>
    <x v="4"/>
  </r>
  <r>
    <x v="12"/>
  </r>
  <r>
    <x v="4"/>
  </r>
  <r>
    <x v="414"/>
  </r>
  <r>
    <x v="0"/>
  </r>
  <r>
    <x v="187"/>
  </r>
  <r>
    <x v="17"/>
  </r>
  <r>
    <x v="16"/>
  </r>
  <r>
    <x v="34"/>
  </r>
  <r>
    <x v="17"/>
  </r>
  <r>
    <x v="14"/>
  </r>
  <r>
    <x v="17"/>
  </r>
  <r>
    <x v="0"/>
  </r>
  <r>
    <x v="17"/>
  </r>
  <r>
    <x v="10"/>
  </r>
  <r>
    <x v="17"/>
  </r>
  <r>
    <x v="0"/>
  </r>
  <r>
    <x v="4"/>
  </r>
  <r>
    <x v="17"/>
  </r>
  <r>
    <x v="9"/>
  </r>
  <r>
    <x v="28"/>
  </r>
  <r>
    <x v="17"/>
  </r>
  <r>
    <x v="17"/>
  </r>
  <r>
    <x v="17"/>
  </r>
  <r>
    <x v="14"/>
  </r>
  <r>
    <x v="0"/>
  </r>
  <r>
    <x v="0"/>
  </r>
  <r>
    <x v="0"/>
  </r>
  <r>
    <x v="0"/>
  </r>
  <r>
    <x v="33"/>
  </r>
  <r>
    <x v="19"/>
  </r>
  <r>
    <x v="48"/>
  </r>
  <r>
    <x v="62"/>
  </r>
  <r>
    <x v="28"/>
  </r>
  <r>
    <x v="4"/>
  </r>
  <r>
    <x v="52"/>
  </r>
  <r>
    <x v="10"/>
  </r>
  <r>
    <x v="11"/>
  </r>
  <r>
    <x v="4"/>
  </r>
  <r>
    <x v="0"/>
  </r>
  <r>
    <x v="17"/>
  </r>
  <r>
    <x v="17"/>
  </r>
  <r>
    <x v="17"/>
  </r>
  <r>
    <x v="17"/>
  </r>
  <r>
    <x v="16"/>
  </r>
  <r>
    <x v="48"/>
  </r>
  <r>
    <x v="16"/>
  </r>
  <r>
    <x v="71"/>
  </r>
  <r>
    <x v="34"/>
  </r>
  <r>
    <x v="9"/>
  </r>
  <r>
    <x v="71"/>
  </r>
  <r>
    <x v="48"/>
  </r>
  <r>
    <x v="42"/>
  </r>
  <r>
    <x v="2"/>
  </r>
  <r>
    <x v="11"/>
  </r>
  <r>
    <x v="48"/>
  </r>
  <r>
    <x v="48"/>
  </r>
  <r>
    <x v="64"/>
  </r>
  <r>
    <x v="42"/>
  </r>
  <r>
    <x v="2"/>
  </r>
  <r>
    <x v="71"/>
  </r>
  <r>
    <x v="19"/>
  </r>
  <r>
    <x v="0"/>
  </r>
  <r>
    <x v="37"/>
  </r>
  <r>
    <x v="14"/>
  </r>
  <r>
    <x v="16"/>
  </r>
  <r>
    <x v="11"/>
  </r>
  <r>
    <x v="99"/>
  </r>
  <r>
    <x v="28"/>
  </r>
  <r>
    <x v="28"/>
  </r>
  <r>
    <x v="111"/>
  </r>
  <r>
    <x v="111"/>
  </r>
  <r>
    <x v="111"/>
  </r>
  <r>
    <x v="111"/>
  </r>
  <r>
    <x v="17"/>
  </r>
  <r>
    <x v="17"/>
  </r>
  <r>
    <x v="14"/>
  </r>
  <r>
    <x v="14"/>
  </r>
  <r>
    <x v="14"/>
  </r>
  <r>
    <x v="59"/>
  </r>
  <r>
    <x v="4"/>
  </r>
  <r>
    <x v="0"/>
  </r>
  <r>
    <x v="0"/>
  </r>
  <r>
    <x v="0"/>
  </r>
  <r>
    <x v="1"/>
  </r>
  <r>
    <x v="63"/>
  </r>
  <r>
    <x v="1"/>
  </r>
  <r>
    <x v="0"/>
  </r>
  <r>
    <x v="0"/>
  </r>
  <r>
    <x v="12"/>
  </r>
  <r>
    <x v="23"/>
  </r>
  <r>
    <x v="23"/>
  </r>
  <r>
    <x v="142"/>
  </r>
  <r>
    <x v="10"/>
  </r>
  <r>
    <x v="14"/>
  </r>
  <r>
    <x v="14"/>
  </r>
  <r>
    <x v="14"/>
  </r>
  <r>
    <x v="55"/>
  </r>
  <r>
    <x v="53"/>
  </r>
  <r>
    <x v="53"/>
  </r>
  <r>
    <x v="53"/>
  </r>
  <r>
    <x v="53"/>
  </r>
  <r>
    <x v="199"/>
  </r>
  <r>
    <x v="76"/>
  </r>
  <r>
    <x v="12"/>
  </r>
  <r>
    <x v="7"/>
  </r>
  <r>
    <x v="4"/>
  </r>
  <r>
    <x v="28"/>
  </r>
  <r>
    <x v="37"/>
  </r>
  <r>
    <x v="17"/>
  </r>
  <r>
    <x v="10"/>
  </r>
  <r>
    <x v="10"/>
  </r>
  <r>
    <x v="55"/>
  </r>
  <r>
    <x v="4"/>
  </r>
  <r>
    <x v="48"/>
  </r>
  <r>
    <x v="161"/>
  </r>
  <r>
    <x v="14"/>
  </r>
  <r>
    <x v="28"/>
  </r>
  <r>
    <x v="12"/>
  </r>
  <r>
    <x v="22"/>
  </r>
  <r>
    <x v="22"/>
  </r>
  <r>
    <x v="10"/>
  </r>
  <r>
    <x v="12"/>
  </r>
  <r>
    <x v="0"/>
  </r>
  <r>
    <x v="48"/>
  </r>
  <r>
    <x v="57"/>
  </r>
  <r>
    <x v="22"/>
  </r>
  <r>
    <x v="26"/>
  </r>
  <r>
    <x v="10"/>
  </r>
  <r>
    <x v="17"/>
  </r>
  <r>
    <x v="17"/>
  </r>
  <r>
    <x v="6"/>
  </r>
  <r>
    <x v="143"/>
  </r>
  <r>
    <x v="143"/>
  </r>
  <r>
    <x v="143"/>
  </r>
  <r>
    <x v="2"/>
  </r>
  <r>
    <x v="2"/>
  </r>
  <r>
    <x v="57"/>
  </r>
  <r>
    <x v="57"/>
  </r>
  <r>
    <x v="87"/>
  </r>
  <r>
    <x v="79"/>
  </r>
  <r>
    <x v="77"/>
  </r>
  <r>
    <x v="14"/>
  </r>
  <r>
    <x v="0"/>
  </r>
  <r>
    <x v="32"/>
  </r>
  <r>
    <x v="0"/>
  </r>
  <r>
    <x v="0"/>
  </r>
  <r>
    <x v="48"/>
  </r>
  <r>
    <x v="48"/>
  </r>
  <r>
    <x v="7"/>
  </r>
  <r>
    <x v="2"/>
  </r>
  <r>
    <x v="7"/>
  </r>
  <r>
    <x v="17"/>
  </r>
  <r>
    <x v="14"/>
  </r>
  <r>
    <x v="11"/>
  </r>
  <r>
    <x v="8"/>
  </r>
  <r>
    <x v="14"/>
  </r>
  <r>
    <x v="28"/>
  </r>
  <r>
    <x v="8"/>
  </r>
  <r>
    <x v="14"/>
  </r>
  <r>
    <x v="12"/>
  </r>
  <r>
    <x v="32"/>
  </r>
  <r>
    <x v="24"/>
  </r>
  <r>
    <x v="4"/>
  </r>
  <r>
    <x v="44"/>
  </r>
  <r>
    <x v="0"/>
  </r>
  <r>
    <x v="76"/>
  </r>
  <r>
    <x v="6"/>
  </r>
  <r>
    <x v="44"/>
  </r>
  <r>
    <x v="152"/>
  </r>
  <r>
    <x v="174"/>
  </r>
  <r>
    <x v="22"/>
  </r>
  <r>
    <x v="46"/>
  </r>
  <r>
    <x v="196"/>
  </r>
  <r>
    <x v="17"/>
  </r>
  <r>
    <x v="17"/>
  </r>
  <r>
    <x v="17"/>
  </r>
  <r>
    <x v="14"/>
  </r>
  <r>
    <x v="0"/>
  </r>
  <r>
    <x v="37"/>
  </r>
  <r>
    <x v="2"/>
  </r>
  <r>
    <x v="0"/>
  </r>
  <r>
    <x v="43"/>
  </r>
  <r>
    <x v="9"/>
  </r>
  <r>
    <x v="68"/>
  </r>
  <r>
    <x v="24"/>
  </r>
  <r>
    <x v="201"/>
  </r>
  <r>
    <x v="24"/>
  </r>
  <r>
    <x v="2"/>
  </r>
  <r>
    <x v="7"/>
  </r>
  <r>
    <x v="44"/>
  </r>
  <r>
    <x v="16"/>
  </r>
  <r>
    <x v="42"/>
  </r>
  <r>
    <x v="39"/>
  </r>
  <r>
    <x v="45"/>
  </r>
  <r>
    <x v="45"/>
  </r>
  <r>
    <x v="2"/>
  </r>
  <r>
    <x v="154"/>
  </r>
  <r>
    <x v="12"/>
  </r>
  <r>
    <x v="9"/>
  </r>
  <r>
    <x v="60"/>
  </r>
  <r>
    <x v="12"/>
  </r>
  <r>
    <x v="12"/>
  </r>
  <r>
    <x v="14"/>
  </r>
  <r>
    <x v="7"/>
  </r>
  <r>
    <x v="14"/>
  </r>
  <r>
    <x v="8"/>
  </r>
  <r>
    <x v="115"/>
  </r>
  <r>
    <x v="8"/>
  </r>
  <r>
    <x v="33"/>
  </r>
  <r>
    <x v="17"/>
  </r>
  <r>
    <x v="21"/>
  </r>
  <r>
    <x v="42"/>
  </r>
  <r>
    <x v="4"/>
  </r>
  <r>
    <x v="12"/>
  </r>
  <r>
    <x v="174"/>
  </r>
  <r>
    <x v="2"/>
  </r>
  <r>
    <x v="37"/>
  </r>
  <r>
    <x v="4"/>
  </r>
  <r>
    <x v="14"/>
  </r>
  <r>
    <x v="14"/>
  </r>
  <r>
    <x v="9"/>
  </r>
  <r>
    <x v="10"/>
  </r>
  <r>
    <x v="40"/>
  </r>
  <r>
    <x v="16"/>
  </r>
  <r>
    <x v="16"/>
  </r>
  <r>
    <x v="16"/>
  </r>
  <r>
    <x v="16"/>
  </r>
  <r>
    <x v="16"/>
  </r>
  <r>
    <x v="16"/>
  </r>
  <r>
    <x v="14"/>
  </r>
  <r>
    <x v="17"/>
  </r>
  <r>
    <x v="37"/>
  </r>
  <r>
    <x v="9"/>
  </r>
  <r>
    <x v="0"/>
  </r>
  <r>
    <x v="24"/>
  </r>
  <r>
    <x v="42"/>
  </r>
  <r>
    <x v="14"/>
  </r>
  <r>
    <x v="68"/>
  </r>
  <r>
    <x v="14"/>
  </r>
  <r>
    <x v="8"/>
  </r>
  <r>
    <x v="25"/>
  </r>
  <r>
    <x v="1"/>
  </r>
  <r>
    <x v="12"/>
  </r>
  <r>
    <x v="10"/>
  </r>
  <r>
    <x v="2"/>
  </r>
  <r>
    <x v="6"/>
  </r>
  <r>
    <x v="45"/>
  </r>
  <r>
    <x v="74"/>
  </r>
  <r>
    <x v="7"/>
  </r>
  <r>
    <x v="27"/>
  </r>
  <r>
    <x v="16"/>
  </r>
  <r>
    <x v="7"/>
  </r>
  <r>
    <x v="14"/>
  </r>
  <r>
    <x v="28"/>
  </r>
  <r>
    <x v="37"/>
  </r>
  <r>
    <x v="6"/>
  </r>
  <r>
    <x v="19"/>
  </r>
  <r>
    <x v="0"/>
  </r>
  <r>
    <x v="0"/>
  </r>
  <r>
    <x v="32"/>
  </r>
  <r>
    <x v="14"/>
  </r>
  <r>
    <x v="12"/>
  </r>
  <r>
    <x v="53"/>
  </r>
  <r>
    <x v="31"/>
  </r>
  <r>
    <x v="44"/>
  </r>
  <r>
    <x v="17"/>
  </r>
  <r>
    <x v="17"/>
  </r>
  <r>
    <x v="17"/>
  </r>
  <r>
    <x v="17"/>
  </r>
  <r>
    <x v="17"/>
  </r>
  <r>
    <x v="17"/>
  </r>
  <r>
    <x v="16"/>
  </r>
  <r>
    <x v="51"/>
  </r>
  <r>
    <x v="51"/>
  </r>
  <r>
    <x v="51"/>
  </r>
  <r>
    <x v="51"/>
  </r>
  <r>
    <x v="16"/>
  </r>
  <r>
    <x v="39"/>
  </r>
  <r>
    <x v="39"/>
  </r>
  <r>
    <x v="43"/>
  </r>
  <r>
    <x v="0"/>
  </r>
  <r>
    <x v="37"/>
  </r>
  <r>
    <x v="0"/>
  </r>
  <r>
    <x v="10"/>
  </r>
  <r>
    <x v="4"/>
  </r>
  <r>
    <x v="8"/>
  </r>
  <r>
    <x v="14"/>
  </r>
  <r>
    <x v="14"/>
  </r>
  <r>
    <x v="4"/>
  </r>
  <r>
    <x v="0"/>
  </r>
  <r>
    <x v="1"/>
  </r>
  <r>
    <x v="31"/>
  </r>
  <r>
    <x v="17"/>
  </r>
  <r>
    <x v="16"/>
  </r>
  <r>
    <x v="0"/>
  </r>
  <r>
    <x v="59"/>
  </r>
  <r>
    <x v="11"/>
  </r>
  <r>
    <x v="7"/>
  </r>
  <r>
    <x v="4"/>
  </r>
  <r>
    <x v="0"/>
  </r>
  <r>
    <x v="14"/>
  </r>
  <r>
    <x v="40"/>
  </r>
  <r>
    <x v="40"/>
  </r>
  <r>
    <x v="12"/>
  </r>
  <r>
    <x v="174"/>
  </r>
  <r>
    <x v="104"/>
  </r>
  <r>
    <x v="42"/>
  </r>
  <r>
    <x v="14"/>
  </r>
  <r>
    <x v="0"/>
  </r>
  <r>
    <x v="12"/>
  </r>
  <r>
    <x v="14"/>
  </r>
  <r>
    <x v="2"/>
  </r>
  <r>
    <x v="4"/>
  </r>
  <r>
    <x v="12"/>
  </r>
  <r>
    <x v="1"/>
  </r>
  <r>
    <x v="14"/>
  </r>
  <r>
    <x v="0"/>
  </r>
  <r>
    <x v="37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71"/>
  </r>
  <r>
    <x v="71"/>
  </r>
  <r>
    <x v="0"/>
  </r>
  <r>
    <x v="14"/>
  </r>
  <r>
    <x v="14"/>
  </r>
  <r>
    <x v="14"/>
  </r>
  <r>
    <x v="0"/>
  </r>
  <r>
    <x v="63"/>
  </r>
  <r>
    <x v="63"/>
  </r>
  <r>
    <x v="12"/>
  </r>
  <r>
    <x v="192"/>
  </r>
  <r>
    <x v="28"/>
  </r>
  <r>
    <x v="222"/>
  </r>
  <r>
    <x v="7"/>
  </r>
  <r>
    <x v="76"/>
  </r>
  <r>
    <x v="10"/>
  </r>
  <r>
    <x v="87"/>
  </r>
  <r>
    <x v="25"/>
  </r>
  <r>
    <x v="11"/>
  </r>
  <r>
    <x v="11"/>
  </r>
  <r>
    <x v="115"/>
  </r>
  <r>
    <x v="76"/>
  </r>
  <r>
    <x v="9"/>
  </r>
  <r>
    <x v="28"/>
  </r>
  <r>
    <x v="71"/>
  </r>
  <r>
    <x v="115"/>
  </r>
  <r>
    <x v="14"/>
  </r>
  <r>
    <x v="49"/>
  </r>
  <r>
    <x v="112"/>
  </r>
  <r>
    <x v="112"/>
  </r>
  <r>
    <x v="14"/>
  </r>
  <r>
    <x v="0"/>
  </r>
  <r>
    <x v="12"/>
  </r>
  <r>
    <x v="2"/>
  </r>
  <r>
    <x v="28"/>
  </r>
  <r>
    <x v="28"/>
  </r>
  <r>
    <x v="17"/>
  </r>
  <r>
    <x v="17"/>
  </r>
  <r>
    <x v="48"/>
  </r>
  <r>
    <x v="47"/>
  </r>
  <r>
    <x v="48"/>
  </r>
  <r>
    <x v="48"/>
  </r>
  <r>
    <x v="48"/>
  </r>
  <r>
    <x v="48"/>
  </r>
  <r>
    <x v="48"/>
  </r>
  <r>
    <x v="48"/>
  </r>
  <r>
    <x v="19"/>
  </r>
  <r>
    <x v="14"/>
  </r>
  <r>
    <x v="10"/>
  </r>
  <r>
    <x v="17"/>
  </r>
  <r>
    <x v="4"/>
  </r>
  <r>
    <x v="12"/>
  </r>
  <r>
    <x v="12"/>
  </r>
  <r>
    <x v="12"/>
  </r>
  <r>
    <x v="10"/>
  </r>
  <r>
    <x v="0"/>
  </r>
  <r>
    <x v="53"/>
  </r>
  <r>
    <x v="0"/>
  </r>
  <r>
    <x v="42"/>
  </r>
  <r>
    <x v="37"/>
  </r>
  <r>
    <x v="34"/>
  </r>
  <r>
    <x v="23"/>
  </r>
  <r>
    <x v="2"/>
  </r>
  <r>
    <x v="28"/>
  </r>
  <r>
    <x v="10"/>
  </r>
  <r>
    <x v="10"/>
  </r>
  <r>
    <x v="10"/>
  </r>
  <r>
    <x v="60"/>
  </r>
  <r>
    <x v="14"/>
  </r>
  <r>
    <x v="42"/>
  </r>
  <r>
    <x v="14"/>
  </r>
  <r>
    <x v="37"/>
  </r>
  <r>
    <x v="7"/>
  </r>
  <r>
    <x v="7"/>
  </r>
  <r>
    <x v="71"/>
  </r>
  <r>
    <x v="42"/>
  </r>
  <r>
    <x v="0"/>
  </r>
  <r>
    <x v="28"/>
  </r>
  <r>
    <x v="12"/>
  </r>
  <r>
    <x v="0"/>
  </r>
  <r>
    <x v="0"/>
  </r>
  <r>
    <x v="64"/>
  </r>
  <r>
    <x v="53"/>
  </r>
  <r>
    <x v="0"/>
  </r>
  <r>
    <x v="49"/>
  </r>
  <r>
    <x v="12"/>
  </r>
  <r>
    <x v="24"/>
  </r>
  <r>
    <x v="49"/>
  </r>
  <r>
    <x v="6"/>
  </r>
  <r>
    <x v="12"/>
  </r>
  <r>
    <x v="1"/>
  </r>
  <r>
    <x v="71"/>
  </r>
  <r>
    <x v="17"/>
  </r>
  <r>
    <x v="131"/>
  </r>
  <r>
    <x v="131"/>
  </r>
  <r>
    <x v="11"/>
  </r>
  <r>
    <x v="28"/>
  </r>
  <r>
    <x v="14"/>
  </r>
  <r>
    <x v="48"/>
  </r>
  <r>
    <x v="6"/>
  </r>
  <r>
    <x v="12"/>
  </r>
  <r>
    <x v="12"/>
  </r>
  <r>
    <x v="24"/>
  </r>
  <r>
    <x v="6"/>
  </r>
  <r>
    <x v="12"/>
  </r>
  <r>
    <x v="112"/>
  </r>
  <r>
    <x v="11"/>
  </r>
  <r>
    <x v="11"/>
  </r>
  <r>
    <x v="11"/>
  </r>
  <r>
    <x v="8"/>
  </r>
  <r>
    <x v="0"/>
  </r>
  <r>
    <x v="71"/>
  </r>
  <r>
    <x v="17"/>
  </r>
  <r>
    <x v="115"/>
  </r>
  <r>
    <x v="40"/>
  </r>
  <r>
    <x v="10"/>
  </r>
  <r>
    <x v="14"/>
  </r>
  <r>
    <x v="14"/>
  </r>
  <r>
    <x v="48"/>
  </r>
  <r>
    <x v="28"/>
  </r>
  <r>
    <x v="72"/>
  </r>
  <r>
    <x v="28"/>
  </r>
  <r>
    <x v="14"/>
  </r>
  <r>
    <x v="42"/>
  </r>
  <r>
    <x v="14"/>
  </r>
  <r>
    <x v="28"/>
  </r>
  <r>
    <x v="14"/>
  </r>
  <r>
    <x v="14"/>
  </r>
  <r>
    <x v="14"/>
  </r>
  <r>
    <x v="122"/>
  </r>
  <r>
    <x v="138"/>
  </r>
  <r>
    <x v="154"/>
  </r>
  <r>
    <x v="24"/>
  </r>
  <r>
    <x v="22"/>
  </r>
  <r>
    <x v="42"/>
  </r>
  <r>
    <x v="14"/>
  </r>
  <r>
    <x v="14"/>
  </r>
  <r>
    <x v="47"/>
  </r>
  <r>
    <x v="71"/>
  </r>
  <r>
    <x v="37"/>
  </r>
  <r>
    <x v="37"/>
  </r>
  <r>
    <x v="37"/>
  </r>
  <r>
    <x v="63"/>
  </r>
  <r>
    <x v="115"/>
  </r>
  <r>
    <x v="14"/>
  </r>
  <r>
    <x v="37"/>
  </r>
  <r>
    <x v="119"/>
  </r>
  <r>
    <x v="9"/>
  </r>
  <r>
    <x v="9"/>
  </r>
  <r>
    <x v="14"/>
  </r>
  <r>
    <x v="11"/>
  </r>
  <r>
    <x v="142"/>
  </r>
  <r>
    <x v="142"/>
  </r>
  <r>
    <x v="17"/>
  </r>
  <r>
    <x v="17"/>
  </r>
  <r>
    <x v="2"/>
  </r>
  <r>
    <x v="48"/>
  </r>
  <r>
    <x v="14"/>
  </r>
  <r>
    <x v="14"/>
  </r>
  <r>
    <x v="14"/>
  </r>
  <r>
    <x v="115"/>
  </r>
  <r>
    <x v="17"/>
  </r>
  <r>
    <x v="17"/>
  </r>
  <r>
    <x v="17"/>
  </r>
  <r>
    <x v="17"/>
  </r>
  <r>
    <x v="41"/>
  </r>
  <r>
    <x v="26"/>
  </r>
  <r>
    <x v="26"/>
  </r>
  <r>
    <x v="14"/>
  </r>
  <r>
    <x v="22"/>
  </r>
  <r>
    <x v="9"/>
  </r>
  <r>
    <x v="17"/>
  </r>
  <r>
    <x v="22"/>
  </r>
  <r>
    <x v="22"/>
  </r>
  <r>
    <x v="60"/>
  </r>
  <r>
    <x v="115"/>
  </r>
  <r>
    <x v="115"/>
  </r>
  <r>
    <x v="28"/>
  </r>
  <r>
    <x v="28"/>
  </r>
  <r>
    <x v="119"/>
  </r>
  <r>
    <x v="44"/>
  </r>
  <r>
    <x v="21"/>
  </r>
  <r>
    <x v="28"/>
  </r>
  <r>
    <x v="24"/>
  </r>
  <r>
    <x v="14"/>
  </r>
  <r>
    <x v="26"/>
  </r>
  <r>
    <x v="14"/>
  </r>
  <r>
    <x v="45"/>
  </r>
  <r>
    <x v="28"/>
  </r>
  <r>
    <x v="28"/>
  </r>
  <r>
    <x v="28"/>
  </r>
  <r>
    <x v="28"/>
  </r>
  <r>
    <x v="4"/>
  </r>
  <r>
    <x v="0"/>
  </r>
  <r>
    <x v="9"/>
  </r>
  <r>
    <x v="9"/>
  </r>
  <r>
    <x v="24"/>
  </r>
  <r>
    <x v="17"/>
  </r>
  <r>
    <x v="2"/>
  </r>
  <r>
    <x v="48"/>
  </r>
  <r>
    <x v="6"/>
  </r>
  <r>
    <x v="28"/>
  </r>
  <r>
    <x v="17"/>
  </r>
  <r>
    <x v="71"/>
  </r>
  <r>
    <x v="49"/>
  </r>
  <r>
    <x v="10"/>
  </r>
  <r>
    <x v="10"/>
  </r>
  <r>
    <x v="22"/>
  </r>
  <r>
    <x v="10"/>
  </r>
  <r>
    <x v="55"/>
  </r>
  <r>
    <x v="55"/>
  </r>
  <r>
    <x v="37"/>
  </r>
  <r>
    <x v="55"/>
  </r>
  <r>
    <x v="37"/>
  </r>
  <r>
    <x v="14"/>
  </r>
  <r>
    <x v="142"/>
  </r>
  <r>
    <x v="0"/>
  </r>
  <r>
    <x v="17"/>
  </r>
  <r>
    <x v="17"/>
  </r>
  <r>
    <x v="17"/>
  </r>
  <r>
    <x v="17"/>
  </r>
  <r>
    <x v="49"/>
  </r>
  <r>
    <x v="45"/>
  </r>
  <r>
    <x v="42"/>
  </r>
  <r>
    <x v="52"/>
  </r>
  <r>
    <x v="0"/>
  </r>
  <r>
    <x v="40"/>
  </r>
  <r>
    <x v="40"/>
  </r>
  <r>
    <x v="40"/>
  </r>
  <r>
    <x v="12"/>
  </r>
  <r>
    <x v="40"/>
  </r>
  <r>
    <x v="40"/>
  </r>
  <r>
    <x v="40"/>
  </r>
  <r>
    <x v="40"/>
  </r>
  <r>
    <x v="6"/>
  </r>
  <r>
    <x v="24"/>
  </r>
  <r>
    <x v="48"/>
  </r>
  <r>
    <x v="130"/>
  </r>
  <r>
    <x v="12"/>
  </r>
  <r>
    <x v="37"/>
  </r>
  <r>
    <x v="37"/>
  </r>
  <r>
    <x v="11"/>
  </r>
  <r>
    <x v="11"/>
  </r>
  <r>
    <x v="9"/>
  </r>
  <r>
    <x v="14"/>
  </r>
  <r>
    <x v="21"/>
  </r>
  <r>
    <x v="0"/>
  </r>
  <r>
    <x v="388"/>
  </r>
  <r>
    <x v="29"/>
  </r>
  <r>
    <x v="0"/>
  </r>
  <r>
    <x v="37"/>
  </r>
  <r>
    <x v="0"/>
  </r>
  <r>
    <x v="0"/>
  </r>
  <r>
    <x v="0"/>
  </r>
  <r>
    <x v="0"/>
  </r>
  <r>
    <x v="10"/>
  </r>
  <r>
    <x v="10"/>
  </r>
  <r>
    <x v="49"/>
  </r>
  <r>
    <x v="6"/>
  </r>
  <r>
    <x v="55"/>
  </r>
  <r>
    <x v="14"/>
  </r>
  <r>
    <x v="28"/>
  </r>
  <r>
    <x v="11"/>
  </r>
  <r>
    <x v="11"/>
  </r>
  <r>
    <x v="12"/>
  </r>
  <r>
    <x v="81"/>
  </r>
  <r>
    <x v="7"/>
  </r>
  <r>
    <x v="6"/>
  </r>
  <r>
    <x v="24"/>
  </r>
  <r>
    <x v="22"/>
  </r>
  <r>
    <x v="28"/>
  </r>
  <r>
    <x v="22"/>
  </r>
  <r>
    <x v="47"/>
  </r>
  <r>
    <x v="37"/>
  </r>
  <r>
    <x v="37"/>
  </r>
  <r>
    <x v="16"/>
  </r>
  <r>
    <x v="12"/>
  </r>
  <r>
    <x v="11"/>
  </r>
  <r>
    <x v="7"/>
  </r>
  <r>
    <x v="69"/>
  </r>
  <r>
    <x v="69"/>
  </r>
  <r>
    <x v="6"/>
  </r>
  <r>
    <x v="6"/>
  </r>
  <r>
    <x v="4"/>
  </r>
  <r>
    <x v="4"/>
  </r>
  <r>
    <x v="16"/>
  </r>
  <r>
    <x v="6"/>
  </r>
  <r>
    <x v="51"/>
  </r>
  <r>
    <x v="89"/>
  </r>
  <r>
    <x v="8"/>
  </r>
  <r>
    <x v="24"/>
  </r>
  <r>
    <x v="32"/>
  </r>
  <r>
    <x v="55"/>
  </r>
  <r>
    <x v="32"/>
  </r>
  <r>
    <x v="32"/>
  </r>
  <r>
    <x v="32"/>
  </r>
  <r>
    <x v="32"/>
  </r>
  <r>
    <x v="246"/>
  </r>
  <r>
    <x v="247"/>
  </r>
  <r>
    <x v="247"/>
  </r>
  <r>
    <x v="14"/>
  </r>
  <r>
    <x v="21"/>
  </r>
  <r>
    <x v="17"/>
  </r>
  <r>
    <x v="99"/>
  </r>
  <r>
    <x v="8"/>
  </r>
  <r>
    <x v="2"/>
  </r>
  <r>
    <x v="21"/>
  </r>
  <r>
    <x v="9"/>
  </r>
  <r>
    <x v="247"/>
  </r>
  <r>
    <x v="247"/>
  </r>
  <r>
    <x v="247"/>
  </r>
  <r>
    <x v="247"/>
  </r>
  <r>
    <x v="247"/>
  </r>
  <r>
    <x v="247"/>
  </r>
  <r>
    <x v="247"/>
  </r>
  <r>
    <x v="14"/>
  </r>
  <r>
    <x v="14"/>
  </r>
  <r>
    <x v="0"/>
  </r>
  <r>
    <x v="115"/>
  </r>
  <r>
    <x v="115"/>
  </r>
  <r>
    <x v="12"/>
  </r>
  <r>
    <x v="17"/>
  </r>
  <r>
    <x v="2"/>
  </r>
  <r>
    <x v="9"/>
  </r>
  <r>
    <x v="7"/>
  </r>
  <r>
    <x v="131"/>
  </r>
  <r>
    <x v="6"/>
  </r>
  <r>
    <x v="4"/>
  </r>
  <r>
    <x v="111"/>
  </r>
  <r>
    <x v="111"/>
  </r>
  <r>
    <x v="49"/>
  </r>
  <r>
    <x v="9"/>
  </r>
  <r>
    <x v="122"/>
  </r>
  <r>
    <x v="48"/>
  </r>
  <r>
    <x v="52"/>
  </r>
  <r>
    <x v="52"/>
  </r>
  <r>
    <x v="28"/>
  </r>
  <r>
    <x v="11"/>
  </r>
  <r>
    <x v="2"/>
  </r>
  <r>
    <x v="48"/>
  </r>
  <r>
    <x v="14"/>
  </r>
  <r>
    <x v="55"/>
  </r>
  <r>
    <x v="31"/>
  </r>
  <r>
    <x v="10"/>
  </r>
  <r>
    <x v="0"/>
  </r>
  <r>
    <x v="0"/>
  </r>
  <r>
    <x v="0"/>
  </r>
  <r>
    <x v="14"/>
  </r>
  <r>
    <x v="14"/>
  </r>
  <r>
    <x v="87"/>
  </r>
  <r>
    <x v="48"/>
  </r>
  <r>
    <x v="16"/>
  </r>
  <r>
    <x v="16"/>
  </r>
  <r>
    <x v="24"/>
  </r>
  <r>
    <x v="21"/>
  </r>
  <r>
    <x v="31"/>
  </r>
  <r>
    <x v="24"/>
  </r>
  <r>
    <x v="24"/>
  </r>
  <r>
    <x v="115"/>
  </r>
  <r>
    <x v="76"/>
  </r>
  <r>
    <x v="21"/>
  </r>
  <r>
    <x v="119"/>
  </r>
  <r>
    <x v="31"/>
  </r>
  <r>
    <x v="111"/>
  </r>
  <r>
    <x v="0"/>
  </r>
  <r>
    <x v="28"/>
  </r>
  <r>
    <x v="28"/>
  </r>
  <r>
    <x v="14"/>
  </r>
  <r>
    <x v="28"/>
  </r>
  <r>
    <x v="9"/>
  </r>
  <r>
    <x v="6"/>
  </r>
  <r>
    <x v="14"/>
  </r>
  <r>
    <x v="14"/>
  </r>
  <r>
    <x v="48"/>
  </r>
  <r>
    <x v="59"/>
  </r>
  <r>
    <x v="2"/>
  </r>
  <r>
    <x v="7"/>
  </r>
  <r>
    <x v="17"/>
  </r>
  <r>
    <x v="17"/>
  </r>
  <r>
    <x v="17"/>
  </r>
  <r>
    <x v="17"/>
  </r>
  <r>
    <x v="12"/>
  </r>
  <r>
    <x v="14"/>
  </r>
  <r>
    <x v="58"/>
  </r>
  <r>
    <x v="58"/>
  </r>
  <r>
    <x v="58"/>
  </r>
  <r>
    <x v="58"/>
  </r>
  <r>
    <x v="44"/>
  </r>
  <r>
    <x v="14"/>
  </r>
  <r>
    <x v="25"/>
  </r>
  <r>
    <x v="61"/>
  </r>
  <r>
    <x v="14"/>
  </r>
  <r>
    <x v="49"/>
  </r>
  <r>
    <x v="21"/>
  </r>
  <r>
    <x v="64"/>
  </r>
  <r>
    <x v="64"/>
  </r>
  <r>
    <x v="7"/>
  </r>
  <r>
    <x v="21"/>
  </r>
  <r>
    <x v="17"/>
  </r>
  <r>
    <x v="14"/>
  </r>
  <r>
    <x v="14"/>
  </r>
  <r>
    <x v="2"/>
  </r>
  <r>
    <x v="2"/>
  </r>
  <r>
    <x v="47"/>
  </r>
  <r>
    <x v="0"/>
  </r>
  <r>
    <x v="17"/>
  </r>
  <r>
    <x v="24"/>
  </r>
  <r>
    <x v="24"/>
  </r>
  <r>
    <x v="56"/>
  </r>
  <r>
    <x v="14"/>
  </r>
  <r>
    <x v="10"/>
  </r>
  <r>
    <x v="49"/>
  </r>
  <r>
    <x v="47"/>
  </r>
  <r>
    <x v="119"/>
  </r>
  <r>
    <x v="37"/>
  </r>
  <r>
    <x v="49"/>
  </r>
  <r>
    <x v="11"/>
  </r>
  <r>
    <x v="0"/>
  </r>
  <r>
    <x v="10"/>
  </r>
  <r>
    <x v="17"/>
  </r>
  <r>
    <x v="27"/>
  </r>
  <r>
    <x v="53"/>
  </r>
  <r>
    <x v="6"/>
  </r>
  <r>
    <x v="6"/>
  </r>
  <r>
    <x v="7"/>
  </r>
  <r>
    <x v="9"/>
  </r>
  <r>
    <x v="10"/>
  </r>
  <r>
    <x v="37"/>
  </r>
  <r>
    <x v="16"/>
  </r>
  <r>
    <x v="2"/>
  </r>
  <r>
    <x v="37"/>
  </r>
  <r>
    <x v="64"/>
  </r>
  <r>
    <x v="9"/>
  </r>
  <r>
    <x v="48"/>
  </r>
  <r>
    <x v="7"/>
  </r>
  <r>
    <x v="24"/>
  </r>
  <r>
    <x v="12"/>
  </r>
  <r>
    <x v="24"/>
  </r>
  <r>
    <x v="150"/>
  </r>
  <r>
    <x v="42"/>
  </r>
  <r>
    <x v="2"/>
  </r>
  <r>
    <x v="2"/>
  </r>
  <r>
    <x v="49"/>
  </r>
  <r>
    <x v="2"/>
  </r>
  <r>
    <x v="21"/>
  </r>
  <r>
    <x v="64"/>
  </r>
  <r>
    <x v="48"/>
  </r>
  <r>
    <x v="40"/>
  </r>
  <r>
    <x v="16"/>
  </r>
  <r>
    <x v="32"/>
  </r>
  <r>
    <x v="8"/>
  </r>
  <r>
    <x v="4"/>
  </r>
  <r>
    <x v="4"/>
  </r>
  <r>
    <x v="4"/>
  </r>
  <r>
    <x v="123"/>
  </r>
  <r>
    <x v="16"/>
  </r>
  <r>
    <x v="28"/>
  </r>
  <r>
    <x v="47"/>
  </r>
  <r>
    <x v="14"/>
  </r>
  <r>
    <x v="14"/>
  </r>
  <r>
    <x v="14"/>
  </r>
  <r>
    <x v="14"/>
  </r>
  <r>
    <x v="14"/>
  </r>
  <r>
    <x v="14"/>
  </r>
  <r>
    <x v="46"/>
  </r>
  <r>
    <x v="28"/>
  </r>
  <r>
    <x v="6"/>
  </r>
  <r>
    <x v="61"/>
  </r>
  <r>
    <x v="14"/>
  </r>
  <r>
    <x v="14"/>
  </r>
  <r>
    <x v="14"/>
  </r>
  <r>
    <x v="14"/>
  </r>
  <r>
    <x v="0"/>
  </r>
  <r>
    <x v="16"/>
  </r>
  <r>
    <x v="64"/>
  </r>
  <r>
    <x v="64"/>
  </r>
  <r>
    <x v="64"/>
  </r>
  <r>
    <x v="64"/>
  </r>
  <r>
    <x v="10"/>
  </r>
  <r>
    <x v="10"/>
  </r>
  <r>
    <x v="28"/>
  </r>
  <r>
    <x v="49"/>
  </r>
  <r>
    <x v="64"/>
  </r>
  <r>
    <x v="64"/>
  </r>
  <r>
    <x v="64"/>
  </r>
  <r>
    <x v="64"/>
  </r>
  <r>
    <x v="0"/>
  </r>
  <r>
    <x v="46"/>
  </r>
  <r>
    <x v="46"/>
  </r>
  <r>
    <x v="6"/>
  </r>
  <r>
    <x v="49"/>
  </r>
  <r>
    <x v="49"/>
  </r>
  <r>
    <x v="49"/>
  </r>
  <r>
    <x v="64"/>
  </r>
  <r>
    <x v="64"/>
  </r>
  <r>
    <x v="24"/>
  </r>
  <r>
    <x v="24"/>
  </r>
  <r>
    <x v="12"/>
  </r>
  <r>
    <x v="0"/>
  </r>
  <r>
    <x v="21"/>
  </r>
  <r>
    <x v="21"/>
  </r>
  <r>
    <x v="11"/>
  </r>
  <r>
    <x v="12"/>
  </r>
  <r>
    <x v="12"/>
  </r>
  <r>
    <x v="12"/>
  </r>
  <r>
    <x v="45"/>
  </r>
  <r>
    <x v="45"/>
  </r>
  <r>
    <x v="14"/>
  </r>
  <r>
    <x v="49"/>
  </r>
  <r>
    <x v="64"/>
  </r>
  <r>
    <x v="64"/>
  </r>
  <r>
    <x v="28"/>
  </r>
  <r>
    <x v="12"/>
  </r>
  <r>
    <x v="17"/>
  </r>
  <r>
    <x v="14"/>
  </r>
  <r>
    <x v="56"/>
  </r>
  <r>
    <x v="11"/>
  </r>
  <r>
    <x v="41"/>
  </r>
  <r>
    <x v="12"/>
  </r>
  <r>
    <x v="12"/>
  </r>
  <r>
    <x v="11"/>
  </r>
  <r>
    <x v="11"/>
  </r>
  <r>
    <x v="11"/>
  </r>
  <r>
    <x v="45"/>
  </r>
  <r>
    <x v="0"/>
  </r>
  <r>
    <x v="12"/>
  </r>
  <r>
    <x v="10"/>
  </r>
  <r>
    <x v="53"/>
  </r>
  <r>
    <x v="14"/>
  </r>
  <r>
    <x v="53"/>
  </r>
  <r>
    <x v="132"/>
  </r>
  <r>
    <x v="0"/>
  </r>
  <r>
    <x v="7"/>
  </r>
  <r>
    <x v="0"/>
  </r>
  <r>
    <x v="0"/>
  </r>
  <r>
    <x v="11"/>
  </r>
  <r>
    <x v="87"/>
  </r>
  <r>
    <x v="48"/>
  </r>
  <r>
    <x v="10"/>
  </r>
  <r>
    <x v="28"/>
  </r>
  <r>
    <x v="55"/>
  </r>
  <r>
    <x v="10"/>
  </r>
  <r>
    <x v="21"/>
  </r>
  <r>
    <x v="21"/>
  </r>
  <r>
    <x v="11"/>
  </r>
  <r>
    <x v="61"/>
  </r>
  <r>
    <x v="61"/>
  </r>
  <r>
    <x v="22"/>
  </r>
  <r>
    <x v="119"/>
  </r>
  <r>
    <x v="115"/>
  </r>
  <r>
    <x v="40"/>
  </r>
  <r>
    <x v="53"/>
  </r>
  <r>
    <x v="0"/>
  </r>
  <r>
    <x v="12"/>
  </r>
  <r>
    <x v="87"/>
  </r>
  <r>
    <x v="61"/>
  </r>
  <r>
    <x v="14"/>
  </r>
  <r>
    <x v="37"/>
  </r>
  <r>
    <x v="6"/>
  </r>
  <r>
    <x v="14"/>
  </r>
  <r>
    <x v="24"/>
  </r>
  <r>
    <x v="11"/>
  </r>
  <r>
    <x v="53"/>
  </r>
  <r>
    <x v="17"/>
  </r>
  <r>
    <x v="43"/>
  </r>
  <r>
    <x v="14"/>
  </r>
  <r>
    <x v="7"/>
  </r>
  <r>
    <x v="14"/>
  </r>
  <r>
    <x v="14"/>
  </r>
  <r>
    <x v="18"/>
  </r>
  <r>
    <x v="10"/>
  </r>
  <r>
    <x v="14"/>
  </r>
  <r>
    <x v="26"/>
  </r>
  <r>
    <x v="12"/>
  </r>
  <r>
    <x v="14"/>
  </r>
  <r>
    <x v="24"/>
  </r>
  <r>
    <x v="21"/>
  </r>
  <r>
    <x v="17"/>
  </r>
  <r>
    <x v="17"/>
  </r>
  <r>
    <x v="24"/>
  </r>
  <r>
    <x v="24"/>
  </r>
  <r>
    <x v="2"/>
  </r>
  <r>
    <x v="11"/>
  </r>
  <r>
    <x v="14"/>
  </r>
  <r>
    <x v="14"/>
  </r>
  <r>
    <x v="122"/>
  </r>
  <r>
    <x v="8"/>
  </r>
  <r>
    <x v="37"/>
  </r>
  <r>
    <x v="14"/>
  </r>
  <r>
    <x v="53"/>
  </r>
  <r>
    <x v="6"/>
  </r>
  <r>
    <x v="26"/>
  </r>
  <r>
    <x v="42"/>
  </r>
  <r>
    <x v="0"/>
  </r>
  <r>
    <x v="21"/>
  </r>
  <r>
    <x v="14"/>
  </r>
  <r>
    <x v="14"/>
  </r>
  <r>
    <x v="21"/>
  </r>
  <r>
    <x v="61"/>
  </r>
  <r>
    <x v="0"/>
  </r>
  <r>
    <x v="16"/>
  </r>
  <r>
    <x v="16"/>
  </r>
  <r>
    <x v="0"/>
  </r>
  <r>
    <x v="44"/>
  </r>
  <r>
    <x v="0"/>
  </r>
  <r>
    <x v="17"/>
  </r>
  <r>
    <x v="0"/>
  </r>
  <r>
    <x v="37"/>
  </r>
  <r>
    <x v="27"/>
  </r>
  <r>
    <x v="21"/>
  </r>
  <r>
    <x v="48"/>
  </r>
  <r>
    <x v="14"/>
  </r>
  <r>
    <x v="12"/>
  </r>
  <r>
    <x v="14"/>
  </r>
  <r>
    <x v="115"/>
  </r>
  <r>
    <x v="24"/>
  </r>
  <r>
    <x v="24"/>
  </r>
  <r>
    <x v="0"/>
  </r>
  <r>
    <x v="12"/>
  </r>
  <r>
    <x v="26"/>
  </r>
  <r>
    <x v="2"/>
  </r>
  <r>
    <x v="12"/>
  </r>
  <r>
    <x v="12"/>
  </r>
  <r>
    <x v="12"/>
  </r>
  <r>
    <x v="37"/>
  </r>
  <r>
    <x v="132"/>
  </r>
  <r>
    <x v="24"/>
  </r>
  <r>
    <x v="10"/>
  </r>
  <r>
    <x v="4"/>
  </r>
  <r>
    <x v="37"/>
  </r>
  <r>
    <x v="115"/>
  </r>
  <r>
    <x v="115"/>
  </r>
  <r>
    <x v="28"/>
  </r>
  <r>
    <x v="28"/>
  </r>
  <r>
    <x v="28"/>
  </r>
  <r>
    <x v="14"/>
  </r>
  <r>
    <x v="14"/>
  </r>
  <r>
    <x v="61"/>
  </r>
  <r>
    <x v="92"/>
  </r>
  <r>
    <x v="16"/>
  </r>
  <r>
    <x v="115"/>
  </r>
  <r>
    <x v="0"/>
  </r>
  <r>
    <x v="11"/>
  </r>
  <r>
    <x v="9"/>
  </r>
  <r>
    <x v="12"/>
  </r>
  <r>
    <x v="10"/>
  </r>
  <r>
    <x v="26"/>
  </r>
  <r>
    <x v="37"/>
  </r>
  <r>
    <x v="0"/>
  </r>
  <r>
    <x v="14"/>
  </r>
  <r>
    <x v="7"/>
  </r>
  <r>
    <x v="7"/>
  </r>
  <r>
    <x v="14"/>
  </r>
  <r>
    <x v="8"/>
  </r>
  <r>
    <x v="8"/>
  </r>
  <r>
    <x v="6"/>
  </r>
  <r>
    <x v="26"/>
  </r>
  <r>
    <x v="49"/>
  </r>
  <r>
    <x v="31"/>
  </r>
  <r>
    <x v="0"/>
  </r>
  <r>
    <x v="46"/>
  </r>
  <r>
    <x v="44"/>
  </r>
  <r>
    <x v="44"/>
  </r>
  <r>
    <x v="24"/>
  </r>
  <r>
    <x v="44"/>
  </r>
  <r>
    <x v="14"/>
  </r>
  <r>
    <x v="24"/>
  </r>
  <r>
    <x v="61"/>
  </r>
  <r>
    <x v="55"/>
  </r>
  <r>
    <x v="17"/>
  </r>
  <r>
    <x v="14"/>
  </r>
  <r>
    <x v="61"/>
  </r>
  <r>
    <x v="0"/>
  </r>
  <r>
    <x v="10"/>
  </r>
  <r>
    <x v="0"/>
  </r>
  <r>
    <x v="64"/>
  </r>
  <r>
    <x v="40"/>
  </r>
  <r>
    <x v="17"/>
  </r>
  <r>
    <x v="14"/>
  </r>
  <r>
    <x v="14"/>
  </r>
  <r>
    <x v="2"/>
  </r>
  <r>
    <x v="26"/>
  </r>
  <r>
    <x v="0"/>
  </r>
  <r>
    <x v="0"/>
  </r>
  <r>
    <x v="10"/>
  </r>
  <r>
    <x v="0"/>
  </r>
  <r>
    <x v="15"/>
  </r>
  <r>
    <x v="28"/>
  </r>
  <r>
    <x v="10"/>
  </r>
  <r>
    <x v="19"/>
  </r>
  <r>
    <x v="60"/>
  </r>
  <r>
    <x v="28"/>
  </r>
  <r>
    <x v="14"/>
  </r>
  <r>
    <x v="1"/>
  </r>
  <r>
    <x v="11"/>
  </r>
  <r>
    <x v="0"/>
  </r>
  <r>
    <x v="2"/>
  </r>
  <r>
    <x v="0"/>
  </r>
  <r>
    <x v="0"/>
  </r>
  <r>
    <x v="14"/>
  </r>
  <r>
    <x v="0"/>
  </r>
  <r>
    <x v="17"/>
  </r>
  <r>
    <x v="0"/>
  </r>
  <r>
    <x v="81"/>
  </r>
  <r>
    <x v="47"/>
  </r>
  <r>
    <x v="47"/>
  </r>
  <r>
    <x v="8"/>
  </r>
  <r>
    <x v="3"/>
  </r>
  <r>
    <x v="14"/>
  </r>
  <r>
    <x v="11"/>
  </r>
  <r>
    <x v="0"/>
  </r>
  <r>
    <x v="14"/>
  </r>
  <r>
    <x v="26"/>
  </r>
  <r>
    <x v="0"/>
  </r>
  <r>
    <x v="119"/>
  </r>
  <r>
    <x v="115"/>
  </r>
  <r>
    <x v="10"/>
  </r>
  <r>
    <x v="0"/>
  </r>
  <r>
    <x v="0"/>
  </r>
  <r>
    <x v="0"/>
  </r>
  <r>
    <x v="0"/>
  </r>
  <r>
    <x v="28"/>
  </r>
  <r>
    <x v="55"/>
  </r>
  <r>
    <x v="17"/>
  </r>
  <r>
    <x v="55"/>
  </r>
  <r>
    <x v="103"/>
  </r>
  <r>
    <x v="17"/>
  </r>
  <r>
    <x v="17"/>
  </r>
  <r>
    <x v="49"/>
  </r>
  <r>
    <x v="77"/>
  </r>
  <r>
    <x v="2"/>
  </r>
  <r>
    <x v="9"/>
  </r>
  <r>
    <x v="9"/>
  </r>
  <r>
    <x v="26"/>
  </r>
  <r>
    <x v="17"/>
  </r>
  <r>
    <x v="9"/>
  </r>
  <r>
    <x v="17"/>
  </r>
  <r>
    <x v="21"/>
  </r>
  <r>
    <x v="14"/>
  </r>
  <r>
    <x v="45"/>
  </r>
  <r>
    <x v="14"/>
  </r>
  <r>
    <x v="60"/>
  </r>
  <r>
    <x v="10"/>
  </r>
  <r>
    <x v="0"/>
  </r>
  <r>
    <x v="17"/>
  </r>
  <r>
    <x v="10"/>
  </r>
  <r>
    <x v="12"/>
  </r>
  <r>
    <x v="12"/>
  </r>
  <r>
    <x v="12"/>
  </r>
  <r>
    <x v="17"/>
  </r>
  <r>
    <x v="17"/>
  </r>
  <r>
    <x v="14"/>
  </r>
  <r>
    <x v="0"/>
  </r>
  <r>
    <x v="57"/>
  </r>
  <r>
    <x v="57"/>
  </r>
  <r>
    <x v="57"/>
  </r>
  <r>
    <x v="57"/>
  </r>
  <r>
    <x v="57"/>
  </r>
  <r>
    <x v="57"/>
  </r>
  <r>
    <x v="48"/>
  </r>
  <r>
    <x v="25"/>
  </r>
  <r>
    <x v="7"/>
  </r>
  <r>
    <x v="59"/>
  </r>
  <r>
    <x v="28"/>
  </r>
  <r>
    <x v="12"/>
  </r>
  <r>
    <x v="12"/>
  </r>
  <r>
    <x v="17"/>
  </r>
  <r>
    <x v="17"/>
  </r>
  <r>
    <x v="14"/>
  </r>
  <r>
    <x v="0"/>
  </r>
  <r>
    <x v="28"/>
  </r>
  <r>
    <x v="83"/>
  </r>
  <r>
    <x v="12"/>
  </r>
  <r>
    <x v="49"/>
  </r>
  <r>
    <x v="87"/>
  </r>
  <r>
    <x v="14"/>
  </r>
  <r>
    <x v="31"/>
  </r>
  <r>
    <x v="24"/>
  </r>
  <r>
    <x v="14"/>
  </r>
  <r>
    <x v="71"/>
  </r>
  <r>
    <x v="12"/>
  </r>
  <r>
    <x v="119"/>
  </r>
  <r>
    <x v="51"/>
  </r>
  <r>
    <x v="1"/>
  </r>
  <r>
    <x v="123"/>
  </r>
  <r>
    <x v="123"/>
  </r>
  <r>
    <x v="77"/>
  </r>
  <r>
    <x v="2"/>
  </r>
  <r>
    <x v="7"/>
  </r>
  <r>
    <x v="6"/>
  </r>
  <r>
    <x v="14"/>
  </r>
  <r>
    <x v="14"/>
  </r>
  <r>
    <x v="14"/>
  </r>
  <r>
    <x v="14"/>
  </r>
  <r>
    <x v="14"/>
  </r>
  <r>
    <x v="14"/>
  </r>
  <r>
    <x v="10"/>
  </r>
  <r>
    <x v="10"/>
  </r>
  <r>
    <x v="28"/>
  </r>
  <r>
    <x v="184"/>
  </r>
  <r>
    <x v="21"/>
  </r>
  <r>
    <x v="21"/>
  </r>
  <r>
    <x v="29"/>
  </r>
  <r>
    <x v="48"/>
  </r>
  <r>
    <x v="119"/>
  </r>
  <r>
    <x v="119"/>
  </r>
  <r>
    <x v="119"/>
  </r>
  <r>
    <x v="4"/>
  </r>
  <r>
    <x v="14"/>
  </r>
  <r>
    <x v="11"/>
  </r>
  <r>
    <x v="76"/>
  </r>
  <r>
    <x v="52"/>
  </r>
  <r>
    <x v="52"/>
  </r>
  <r>
    <x v="17"/>
  </r>
  <r>
    <x v="60"/>
  </r>
  <r>
    <x v="0"/>
  </r>
  <r>
    <x v="0"/>
  </r>
  <r>
    <x v="16"/>
  </r>
  <r>
    <x v="17"/>
  </r>
  <r>
    <x v="83"/>
  </r>
  <r>
    <x v="1"/>
  </r>
  <r>
    <x v="48"/>
  </r>
  <r>
    <x v="48"/>
  </r>
  <r>
    <x v="0"/>
  </r>
  <r>
    <x v="10"/>
  </r>
  <r>
    <x v="37"/>
  </r>
  <r>
    <x v="14"/>
  </r>
  <r>
    <x v="31"/>
  </r>
  <r>
    <x v="4"/>
  </r>
  <r>
    <x v="21"/>
  </r>
  <r>
    <x v="14"/>
  </r>
  <r>
    <x v="49"/>
  </r>
  <r>
    <x v="32"/>
  </r>
  <r>
    <x v="7"/>
  </r>
  <r>
    <x v="14"/>
  </r>
  <r>
    <x v="7"/>
  </r>
  <r>
    <x v="85"/>
  </r>
  <r>
    <x v="76"/>
  </r>
  <r>
    <x v="25"/>
  </r>
  <r>
    <x v="25"/>
  </r>
  <r>
    <x v="25"/>
  </r>
  <r>
    <x v="25"/>
  </r>
  <r>
    <x v="25"/>
  </r>
  <r>
    <x v="177"/>
  </r>
  <r>
    <x v="14"/>
  </r>
  <r>
    <x v="0"/>
  </r>
  <r>
    <x v="14"/>
  </r>
  <r>
    <x v="10"/>
  </r>
  <r>
    <x v="64"/>
  </r>
  <r>
    <x v="42"/>
  </r>
  <r>
    <x v="9"/>
  </r>
  <r>
    <x v="14"/>
  </r>
  <r>
    <x v="28"/>
  </r>
  <r>
    <x v="9"/>
  </r>
  <r>
    <x v="9"/>
  </r>
  <r>
    <x v="9"/>
  </r>
  <r>
    <x v="12"/>
  </r>
  <r>
    <x v="130"/>
  </r>
  <r>
    <x v="49"/>
  </r>
  <r>
    <x v="10"/>
  </r>
  <r>
    <x v="17"/>
  </r>
  <r>
    <x v="32"/>
  </r>
  <r>
    <x v="10"/>
  </r>
  <r>
    <x v="108"/>
  </r>
  <r>
    <x v="9"/>
  </r>
  <r>
    <x v="2"/>
  </r>
  <r>
    <x v="21"/>
  </r>
  <r>
    <x v="21"/>
  </r>
  <r>
    <x v="9"/>
  </r>
  <r>
    <x v="9"/>
  </r>
  <r>
    <x v="14"/>
  </r>
  <r>
    <x v="55"/>
  </r>
  <r>
    <x v="55"/>
  </r>
  <r>
    <x v="33"/>
  </r>
  <r>
    <x v="2"/>
  </r>
  <r>
    <x v="9"/>
  </r>
  <r>
    <x v="9"/>
  </r>
  <r>
    <x v="1"/>
  </r>
  <r>
    <x v="10"/>
  </r>
  <r>
    <x v="81"/>
  </r>
  <r>
    <x v="122"/>
  </r>
  <r>
    <x v="31"/>
  </r>
  <r>
    <x v="10"/>
  </r>
  <r>
    <x v="12"/>
  </r>
  <r>
    <x v="90"/>
  </r>
  <r>
    <x v="0"/>
  </r>
  <r>
    <x v="24"/>
  </r>
  <r>
    <x v="26"/>
  </r>
  <r>
    <x v="17"/>
  </r>
  <r>
    <x v="2"/>
  </r>
  <r>
    <x v="2"/>
  </r>
  <r>
    <x v="21"/>
  </r>
  <r>
    <x v="77"/>
  </r>
  <r>
    <x v="0"/>
  </r>
  <r>
    <x v="2"/>
  </r>
  <r>
    <x v="46"/>
  </r>
  <r>
    <x v="11"/>
  </r>
  <r>
    <x v="60"/>
  </r>
  <r>
    <x v="9"/>
  </r>
  <r>
    <x v="40"/>
  </r>
  <r>
    <x v="2"/>
  </r>
  <r>
    <x v="2"/>
  </r>
  <r>
    <x v="49"/>
  </r>
  <r>
    <x v="115"/>
  </r>
  <r>
    <x v="22"/>
  </r>
  <r>
    <x v="2"/>
  </r>
  <r>
    <x v="87"/>
  </r>
  <r>
    <x v="17"/>
  </r>
  <r>
    <x v="10"/>
  </r>
  <r>
    <x v="7"/>
  </r>
  <r>
    <x v="17"/>
  </r>
  <r>
    <x v="17"/>
  </r>
  <r>
    <x v="24"/>
  </r>
  <r>
    <x v="24"/>
  </r>
  <r>
    <x v="42"/>
  </r>
  <r>
    <x v="0"/>
  </r>
  <r>
    <x v="0"/>
  </r>
  <r>
    <x v="0"/>
  </r>
  <r>
    <x v="53"/>
  </r>
  <r>
    <x v="14"/>
  </r>
  <r>
    <x v="7"/>
  </r>
  <r>
    <x v="17"/>
  </r>
  <r>
    <x v="6"/>
  </r>
  <r>
    <x v="6"/>
  </r>
  <r>
    <x v="6"/>
  </r>
  <r>
    <x v="14"/>
  </r>
  <r>
    <x v="14"/>
  </r>
  <r>
    <x v="14"/>
  </r>
  <r>
    <x v="2"/>
  </r>
  <r>
    <x v="2"/>
  </r>
  <r>
    <x v="12"/>
  </r>
  <r>
    <x v="9"/>
  </r>
  <r>
    <x v="87"/>
  </r>
  <r>
    <x v="136"/>
  </r>
  <r>
    <x v="10"/>
  </r>
  <r>
    <x v="11"/>
  </r>
  <r>
    <x v="11"/>
  </r>
  <r>
    <x v="11"/>
  </r>
  <r>
    <x v="24"/>
  </r>
  <r>
    <x v="37"/>
  </r>
  <r>
    <x v="1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5"/>
  </r>
  <r>
    <x v="28"/>
  </r>
  <r>
    <x v="28"/>
  </r>
  <r>
    <x v="10"/>
  </r>
  <r>
    <x v="17"/>
  </r>
  <r>
    <x v="17"/>
  </r>
  <r>
    <x v="17"/>
  </r>
  <r>
    <x v="14"/>
  </r>
  <r>
    <x v="9"/>
  </r>
  <r>
    <x v="11"/>
  </r>
  <r>
    <x v="244"/>
  </r>
  <r>
    <x v="177"/>
  </r>
  <r>
    <x v="2"/>
  </r>
  <r>
    <x v="2"/>
  </r>
  <r>
    <x v="2"/>
  </r>
  <r>
    <x v="25"/>
  </r>
  <r>
    <x v="19"/>
  </r>
  <r>
    <x v="25"/>
  </r>
  <r>
    <x v="6"/>
  </r>
  <r>
    <x v="10"/>
  </r>
  <r>
    <x v="25"/>
  </r>
  <r>
    <x v="14"/>
  </r>
  <r>
    <x v="28"/>
  </r>
  <r>
    <x v="9"/>
  </r>
  <r>
    <x v="48"/>
  </r>
  <r>
    <x v="48"/>
  </r>
  <r>
    <x v="14"/>
  </r>
  <r>
    <x v="28"/>
  </r>
  <r>
    <x v="28"/>
  </r>
  <r>
    <x v="28"/>
  </r>
  <r>
    <x v="28"/>
  </r>
  <r>
    <x v="28"/>
  </r>
  <r>
    <x v="28"/>
  </r>
  <r>
    <x v="28"/>
  </r>
  <r>
    <x v="0"/>
  </r>
  <r>
    <x v="22"/>
  </r>
  <r>
    <x v="42"/>
  </r>
  <r>
    <x v="6"/>
  </r>
  <r>
    <x v="6"/>
  </r>
  <r>
    <x v="24"/>
  </r>
  <r>
    <x v="22"/>
  </r>
  <r>
    <x v="115"/>
  </r>
  <r>
    <x v="17"/>
  </r>
  <r>
    <x v="14"/>
  </r>
  <r>
    <x v="12"/>
  </r>
  <r>
    <x v="12"/>
  </r>
  <r>
    <x v="14"/>
  </r>
  <r>
    <x v="22"/>
  </r>
  <r>
    <x v="22"/>
  </r>
  <r>
    <x v="165"/>
  </r>
  <r>
    <x v="37"/>
  </r>
  <r>
    <x v="0"/>
  </r>
  <r>
    <x v="24"/>
  </r>
  <r>
    <x v="63"/>
  </r>
  <r>
    <x v="17"/>
  </r>
  <r>
    <x v="31"/>
  </r>
  <r>
    <x v="31"/>
  </r>
  <r>
    <x v="111"/>
  </r>
  <r>
    <x v="14"/>
  </r>
  <r>
    <x v="71"/>
  </r>
  <r>
    <x v="63"/>
  </r>
  <r>
    <x v="63"/>
  </r>
  <r>
    <x v="16"/>
  </r>
  <r>
    <x v="2"/>
  </r>
  <r>
    <x v="64"/>
  </r>
  <r>
    <x v="42"/>
  </r>
  <r>
    <x v="42"/>
  </r>
  <r>
    <x v="24"/>
  </r>
  <r>
    <x v="79"/>
  </r>
  <r>
    <x v="162"/>
  </r>
  <r>
    <x v="0"/>
  </r>
  <r>
    <x v="11"/>
  </r>
  <r>
    <x v="11"/>
  </r>
  <r>
    <x v="11"/>
  </r>
  <r>
    <x v="74"/>
  </r>
  <r>
    <x v="74"/>
  </r>
  <r>
    <x v="33"/>
  </r>
  <r>
    <x v="28"/>
  </r>
  <r>
    <x v="28"/>
  </r>
  <r>
    <x v="28"/>
  </r>
  <r>
    <x v="0"/>
  </r>
  <r>
    <x v="0"/>
  </r>
  <r>
    <x v="24"/>
  </r>
  <r>
    <x v="42"/>
  </r>
  <r>
    <x v="42"/>
  </r>
  <r>
    <x v="14"/>
  </r>
  <r>
    <x v="37"/>
  </r>
  <r>
    <x v="24"/>
  </r>
  <r>
    <x v="14"/>
  </r>
  <r>
    <x v="71"/>
  </r>
  <r>
    <x v="36"/>
  </r>
  <r>
    <x v="14"/>
  </r>
  <r>
    <x v="16"/>
  </r>
  <r>
    <x v="17"/>
  </r>
  <r>
    <x v="2"/>
  </r>
  <r>
    <x v="42"/>
  </r>
  <r>
    <x v="131"/>
  </r>
  <r>
    <x v="14"/>
  </r>
  <r>
    <x v="14"/>
  </r>
  <r>
    <x v="14"/>
  </r>
  <r>
    <x v="14"/>
  </r>
  <r>
    <x v="14"/>
  </r>
  <r>
    <x v="14"/>
  </r>
  <r>
    <x v="14"/>
  </r>
  <r>
    <x v="14"/>
  </r>
  <r>
    <x v="42"/>
  </r>
  <r>
    <x v="42"/>
  </r>
  <r>
    <x v="42"/>
  </r>
  <r>
    <x v="21"/>
  </r>
  <r>
    <x v="21"/>
  </r>
  <r>
    <x v="21"/>
  </r>
  <r>
    <x v="21"/>
  </r>
  <r>
    <x v="2"/>
  </r>
  <r>
    <x v="71"/>
  </r>
  <r>
    <x v="11"/>
  </r>
  <r>
    <x v="11"/>
  </r>
  <r>
    <x v="4"/>
  </r>
  <r>
    <x v="49"/>
  </r>
  <r>
    <x v="28"/>
  </r>
  <r>
    <x v="251"/>
  </r>
  <r>
    <x v="31"/>
  </r>
  <r>
    <x v="48"/>
  </r>
  <r>
    <x v="24"/>
  </r>
  <r>
    <x v="14"/>
  </r>
  <r>
    <x v="28"/>
  </r>
  <r>
    <x v="17"/>
  </r>
  <r>
    <x v="28"/>
  </r>
  <r>
    <x v="28"/>
  </r>
  <r>
    <x v="17"/>
  </r>
  <r>
    <x v="87"/>
  </r>
  <r>
    <x v="17"/>
  </r>
  <r>
    <x v="17"/>
  </r>
  <r>
    <x v="74"/>
  </r>
  <r>
    <x v="74"/>
  </r>
  <r>
    <x v="24"/>
  </r>
  <r>
    <x v="28"/>
  </r>
  <r>
    <x v="2"/>
  </r>
  <r>
    <x v="11"/>
  </r>
  <r>
    <x v="2"/>
  </r>
  <r>
    <x v="11"/>
  </r>
  <r>
    <x v="60"/>
  </r>
  <r>
    <x v="87"/>
  </r>
  <r>
    <x v="21"/>
  </r>
  <r>
    <x v="45"/>
  </r>
  <r>
    <x v="22"/>
  </r>
  <r>
    <x v="86"/>
  </r>
  <r>
    <x v="21"/>
  </r>
  <r>
    <x v="21"/>
  </r>
  <r>
    <x v="0"/>
  </r>
  <r>
    <x v="14"/>
  </r>
  <r>
    <x v="48"/>
  </r>
  <r>
    <x v="14"/>
  </r>
  <r>
    <x v="28"/>
  </r>
  <r>
    <x v="34"/>
  </r>
  <r>
    <x v="34"/>
  </r>
  <r>
    <x v="0"/>
  </r>
  <r>
    <x v="11"/>
  </r>
  <r>
    <x v="2"/>
  </r>
  <r>
    <x v="53"/>
  </r>
  <r>
    <x v="0"/>
  </r>
  <r>
    <x v="17"/>
  </r>
  <r>
    <x v="111"/>
  </r>
  <r>
    <x v="22"/>
  </r>
  <r>
    <x v="55"/>
  </r>
  <r>
    <x v="0"/>
  </r>
  <r>
    <x v="0"/>
  </r>
  <r>
    <x v="0"/>
  </r>
  <r>
    <x v="49"/>
  </r>
  <r>
    <x v="11"/>
  </r>
  <r>
    <x v="10"/>
  </r>
  <r>
    <x v="10"/>
  </r>
  <r>
    <x v="10"/>
  </r>
  <r>
    <x v="14"/>
  </r>
  <r>
    <x v="24"/>
  </r>
  <r>
    <x v="28"/>
  </r>
  <r>
    <x v="21"/>
  </r>
  <r>
    <x v="61"/>
  </r>
  <r>
    <x v="24"/>
  </r>
  <r>
    <x v="24"/>
  </r>
  <r>
    <x v="28"/>
  </r>
  <r>
    <x v="25"/>
  </r>
  <r>
    <x v="25"/>
  </r>
  <r>
    <x v="14"/>
  </r>
  <r>
    <x v="14"/>
  </r>
  <r>
    <x v="10"/>
  </r>
  <r>
    <x v="28"/>
  </r>
  <r>
    <x v="28"/>
  </r>
  <r>
    <x v="0"/>
  </r>
  <r>
    <x v="0"/>
  </r>
  <r>
    <x v="0"/>
  </r>
  <r>
    <x v="0"/>
  </r>
  <r>
    <x v="27"/>
  </r>
  <r>
    <x v="27"/>
  </r>
  <r>
    <x v="17"/>
  </r>
  <r>
    <x v="12"/>
  </r>
  <r>
    <x v="223"/>
  </r>
  <r>
    <x v="223"/>
  </r>
  <r>
    <x v="223"/>
  </r>
  <r>
    <x v="223"/>
  </r>
  <r>
    <x v="83"/>
  </r>
  <r>
    <x v="28"/>
  </r>
  <r>
    <x v="152"/>
  </r>
  <r>
    <x v="2"/>
  </r>
  <r>
    <x v="44"/>
  </r>
  <r>
    <x v="14"/>
  </r>
  <r>
    <x v="14"/>
  </r>
  <r>
    <x v="28"/>
  </r>
  <r>
    <x v="10"/>
  </r>
  <r>
    <x v="2"/>
  </r>
  <r>
    <x v="28"/>
  </r>
  <r>
    <x v="0"/>
  </r>
  <r>
    <x v="28"/>
  </r>
  <r>
    <x v="37"/>
  </r>
  <r>
    <x v="48"/>
  </r>
  <r>
    <x v="66"/>
  </r>
  <r>
    <x v="14"/>
  </r>
  <r>
    <x v="0"/>
  </r>
  <r>
    <x v="0"/>
  </r>
  <r>
    <x v="0"/>
  </r>
  <r>
    <x v="0"/>
  </r>
  <r>
    <x v="10"/>
  </r>
  <r>
    <x v="9"/>
  </r>
  <r>
    <x v="9"/>
  </r>
  <r>
    <x v="9"/>
  </r>
  <r>
    <x v="64"/>
  </r>
  <r>
    <x v="130"/>
  </r>
  <r>
    <x v="130"/>
  </r>
  <r>
    <x v="24"/>
  </r>
  <r>
    <x v="9"/>
  </r>
  <r>
    <x v="9"/>
  </r>
  <r>
    <x v="14"/>
  </r>
  <r>
    <x v="14"/>
  </r>
  <r>
    <x v="14"/>
  </r>
  <r>
    <x v="14"/>
  </r>
  <r>
    <x v="42"/>
  </r>
  <r>
    <x v="14"/>
  </r>
  <r>
    <x v="28"/>
  </r>
  <r>
    <x v="21"/>
  </r>
  <r>
    <x v="0"/>
  </r>
  <r>
    <x v="64"/>
  </r>
  <r>
    <x v="22"/>
  </r>
  <r>
    <x v="22"/>
  </r>
  <r>
    <x v="17"/>
  </r>
  <r>
    <x v="81"/>
  </r>
  <r>
    <x v="171"/>
  </r>
  <r>
    <x v="16"/>
  </r>
  <r>
    <x v="12"/>
  </r>
  <r>
    <x v="12"/>
  </r>
  <r>
    <x v="2"/>
  </r>
  <r>
    <x v="130"/>
  </r>
  <r>
    <x v="30"/>
  </r>
  <r>
    <x v="14"/>
  </r>
  <r>
    <x v="56"/>
  </r>
  <r>
    <x v="45"/>
  </r>
  <r>
    <x v="45"/>
  </r>
  <r>
    <x v="0"/>
  </r>
  <r>
    <x v="45"/>
  </r>
  <r>
    <x v="28"/>
  </r>
  <r>
    <x v="48"/>
  </r>
  <r>
    <x v="48"/>
  </r>
  <r>
    <x v="48"/>
  </r>
  <r>
    <x v="81"/>
  </r>
  <r>
    <x v="81"/>
  </r>
  <r>
    <x v="48"/>
  </r>
  <r>
    <x v="45"/>
  </r>
  <r>
    <x v="45"/>
  </r>
  <r>
    <x v="45"/>
  </r>
  <r>
    <x v="171"/>
  </r>
  <r>
    <x v="171"/>
  </r>
  <r>
    <x v="171"/>
  </r>
  <r>
    <x v="171"/>
  </r>
  <r>
    <x v="23"/>
  </r>
  <r>
    <x v="23"/>
  </r>
  <r>
    <x v="10"/>
  </r>
  <r>
    <x v="48"/>
  </r>
  <r>
    <x v="76"/>
  </r>
  <r>
    <x v="48"/>
  </r>
  <r>
    <x v="16"/>
  </r>
  <r>
    <x v="16"/>
  </r>
  <r>
    <x v="16"/>
  </r>
  <r>
    <x v="10"/>
  </r>
  <r>
    <x v="28"/>
  </r>
  <r>
    <x v="112"/>
  </r>
  <r>
    <x v="14"/>
  </r>
  <r>
    <x v="131"/>
  </r>
  <r>
    <x v="286"/>
  </r>
  <r>
    <x v="24"/>
  </r>
  <r>
    <x v="28"/>
  </r>
  <r>
    <x v="52"/>
  </r>
  <r>
    <x v="14"/>
  </r>
  <r>
    <x v="28"/>
  </r>
  <r>
    <x v="0"/>
  </r>
  <r>
    <x v="37"/>
  </r>
  <r>
    <x v="14"/>
  </r>
  <r>
    <x v="14"/>
  </r>
  <r>
    <x v="14"/>
  </r>
  <r>
    <x v="46"/>
  </r>
  <r>
    <x v="41"/>
  </r>
  <r>
    <x v="78"/>
  </r>
  <r>
    <x v="14"/>
  </r>
  <r>
    <x v="14"/>
  </r>
  <r>
    <x v="14"/>
  </r>
  <r>
    <x v="48"/>
  </r>
  <r>
    <x v="64"/>
  </r>
  <r>
    <x v="28"/>
  </r>
  <r>
    <x v="46"/>
  </r>
  <r>
    <x v="48"/>
  </r>
  <r>
    <x v="140"/>
  </r>
  <r>
    <x v="40"/>
  </r>
  <r>
    <x v="28"/>
  </r>
  <r>
    <x v="41"/>
  </r>
  <r>
    <x v="41"/>
  </r>
  <r>
    <x v="93"/>
  </r>
  <r>
    <x v="50"/>
  </r>
  <r>
    <x v="31"/>
  </r>
  <r>
    <x v="12"/>
  </r>
  <r>
    <x v="34"/>
  </r>
  <r>
    <x v="26"/>
  </r>
  <r>
    <x v="28"/>
  </r>
  <r>
    <x v="119"/>
  </r>
  <r>
    <x v="86"/>
  </r>
  <r>
    <x v="7"/>
  </r>
  <r>
    <x v="48"/>
  </r>
  <r>
    <x v="40"/>
  </r>
  <r>
    <x v="28"/>
  </r>
  <r>
    <x v="48"/>
  </r>
  <r>
    <x v="37"/>
  </r>
  <r>
    <x v="40"/>
  </r>
  <r>
    <x v="40"/>
  </r>
  <r>
    <x v="22"/>
  </r>
  <r>
    <x v="171"/>
  </r>
  <r>
    <x v="48"/>
  </r>
  <r>
    <x v="6"/>
  </r>
  <r>
    <x v="10"/>
  </r>
  <r>
    <x v="62"/>
  </r>
  <r>
    <x v="87"/>
  </r>
  <r>
    <x v="17"/>
  </r>
  <r>
    <x v="14"/>
  </r>
  <r>
    <x v="14"/>
  </r>
  <r>
    <x v="78"/>
  </r>
  <r>
    <x v="55"/>
  </r>
  <r>
    <x v="64"/>
  </r>
  <r>
    <x v="10"/>
  </r>
  <r>
    <x v="34"/>
  </r>
  <r>
    <x v="9"/>
  </r>
  <r>
    <x v="33"/>
  </r>
  <r>
    <x v="17"/>
  </r>
  <r>
    <x v="14"/>
  </r>
  <r>
    <x v="143"/>
  </r>
  <r>
    <x v="28"/>
  </r>
  <r>
    <x v="16"/>
  </r>
  <r>
    <x v="48"/>
  </r>
  <r>
    <x v="55"/>
  </r>
  <r>
    <x v="55"/>
  </r>
  <r>
    <x v="28"/>
  </r>
  <r>
    <x v="17"/>
  </r>
  <r>
    <x v="0"/>
  </r>
  <r>
    <x v="12"/>
  </r>
  <r>
    <x v="30"/>
  </r>
  <r>
    <x v="30"/>
  </r>
  <r>
    <x v="12"/>
  </r>
  <r>
    <x v="48"/>
  </r>
  <r>
    <x v="9"/>
  </r>
  <r>
    <x v="37"/>
  </r>
  <r>
    <x v="53"/>
  </r>
  <r>
    <x v="16"/>
  </r>
  <r>
    <x v="41"/>
  </r>
  <r>
    <x v="30"/>
  </r>
  <r>
    <x v="62"/>
  </r>
  <r>
    <x v="17"/>
  </r>
  <r>
    <x v="81"/>
  </r>
  <r>
    <x v="2"/>
  </r>
  <r>
    <x v="28"/>
  </r>
  <r>
    <x v="28"/>
  </r>
  <r>
    <x v="14"/>
  </r>
  <r>
    <x v="11"/>
  </r>
  <r>
    <x v="30"/>
  </r>
  <r>
    <x v="0"/>
  </r>
  <r>
    <x v="12"/>
  </r>
  <r>
    <x v="9"/>
  </r>
  <r>
    <x v="10"/>
  </r>
  <r>
    <x v="2"/>
  </r>
  <r>
    <x v="171"/>
  </r>
  <r>
    <x v="62"/>
  </r>
  <r>
    <x v="48"/>
  </r>
  <r>
    <x v="6"/>
  </r>
  <r>
    <x v="41"/>
  </r>
  <r>
    <x v="41"/>
  </r>
  <r>
    <x v="55"/>
  </r>
  <r>
    <x v="10"/>
  </r>
  <r>
    <x v="62"/>
  </r>
  <r>
    <x v="14"/>
  </r>
  <r>
    <x v="28"/>
  </r>
  <r>
    <x v="28"/>
  </r>
  <r>
    <x v="14"/>
  </r>
  <r>
    <x v="131"/>
  </r>
  <r>
    <x v="17"/>
  </r>
  <r>
    <x v="62"/>
  </r>
  <r>
    <x v="41"/>
  </r>
  <r>
    <x v="28"/>
  </r>
  <r>
    <x v="6"/>
  </r>
  <r>
    <x v="11"/>
  </r>
  <r>
    <x v="130"/>
  </r>
  <r>
    <x v="14"/>
  </r>
  <r>
    <x v="157"/>
  </r>
  <r>
    <x v="10"/>
  </r>
  <r>
    <x v="10"/>
  </r>
  <r>
    <x v="37"/>
  </r>
  <r>
    <x v="46"/>
  </r>
  <r>
    <x v="10"/>
  </r>
  <r>
    <x v="34"/>
  </r>
  <r>
    <x v="28"/>
  </r>
  <r>
    <x v="28"/>
  </r>
  <r>
    <x v="2"/>
  </r>
  <r>
    <x v="64"/>
  </r>
  <r>
    <x v="64"/>
  </r>
  <r>
    <x v="64"/>
  </r>
  <r>
    <x v="48"/>
  </r>
  <r>
    <x v="14"/>
  </r>
  <r>
    <x v="17"/>
  </r>
  <r>
    <x v="46"/>
  </r>
  <r>
    <x v="46"/>
  </r>
  <r>
    <x v="46"/>
  </r>
  <r>
    <x v="10"/>
  </r>
  <r>
    <x v="10"/>
  </r>
  <r>
    <x v="28"/>
  </r>
  <r>
    <x v="10"/>
  </r>
  <r>
    <x v="10"/>
  </r>
  <r>
    <x v="11"/>
  </r>
  <r>
    <x v="30"/>
  </r>
  <r>
    <x v="24"/>
  </r>
  <r>
    <x v="2"/>
  </r>
  <r>
    <x v="28"/>
  </r>
  <r>
    <x v="171"/>
  </r>
  <r>
    <x v="171"/>
  </r>
  <r>
    <x v="171"/>
  </r>
  <r>
    <x v="22"/>
  </r>
  <r>
    <x v="30"/>
  </r>
  <r>
    <x v="0"/>
  </r>
  <r>
    <x v="48"/>
  </r>
  <r>
    <x v="48"/>
  </r>
  <r>
    <x v="7"/>
  </r>
  <r>
    <x v="0"/>
  </r>
  <r>
    <x v="0"/>
  </r>
  <r>
    <x v="0"/>
  </r>
  <r>
    <x v="0"/>
  </r>
  <r>
    <x v="80"/>
  </r>
  <r>
    <x v="125"/>
  </r>
  <r>
    <x v="125"/>
  </r>
  <r>
    <x v="2"/>
  </r>
  <r>
    <x v="2"/>
  </r>
  <r>
    <x v="2"/>
  </r>
  <r>
    <x v="2"/>
  </r>
  <r>
    <x v="2"/>
  </r>
  <r>
    <x v="14"/>
  </r>
  <r>
    <x v="14"/>
  </r>
  <r>
    <x v="14"/>
  </r>
  <r>
    <x v="45"/>
  </r>
  <r>
    <x v="45"/>
  </r>
  <r>
    <x v="91"/>
  </r>
  <r>
    <x v="4"/>
  </r>
  <r>
    <x v="19"/>
  </r>
  <r>
    <x v="0"/>
  </r>
  <r>
    <x v="0"/>
  </r>
  <r>
    <x v="0"/>
  </r>
  <r>
    <x v="0"/>
  </r>
  <r>
    <x v="14"/>
  </r>
  <r>
    <x v="14"/>
  </r>
  <r>
    <x v="9"/>
  </r>
  <r>
    <x v="19"/>
  </r>
  <r>
    <x v="12"/>
  </r>
  <r>
    <x v="52"/>
  </r>
  <r>
    <x v="52"/>
  </r>
  <r>
    <x v="9"/>
  </r>
  <r>
    <x v="64"/>
  </r>
  <r>
    <x v="0"/>
  </r>
  <r>
    <x v="0"/>
  </r>
  <r>
    <x v="0"/>
  </r>
  <r>
    <x v="21"/>
  </r>
  <r>
    <x v="12"/>
  </r>
  <r>
    <x v="12"/>
  </r>
  <r>
    <x v="12"/>
  </r>
  <r>
    <x v="0"/>
  </r>
  <r>
    <x v="19"/>
  </r>
  <r>
    <x v="14"/>
  </r>
  <r>
    <x v="78"/>
  </r>
  <r>
    <x v="64"/>
  </r>
  <r>
    <x v="64"/>
  </r>
  <r>
    <x v="78"/>
  </r>
  <r>
    <x v="78"/>
  </r>
  <r>
    <x v="36"/>
  </r>
  <r>
    <x v="36"/>
  </r>
  <r>
    <x v="36"/>
  </r>
  <r>
    <x v="36"/>
  </r>
  <r>
    <x v="36"/>
  </r>
  <r>
    <x v="36"/>
  </r>
  <r>
    <x v="57"/>
  </r>
  <r>
    <x v="57"/>
  </r>
  <r>
    <x v="42"/>
  </r>
  <r>
    <x v="42"/>
  </r>
  <r>
    <x v="42"/>
  </r>
  <r>
    <x v="42"/>
  </r>
  <r>
    <x v="42"/>
  </r>
  <r>
    <x v="12"/>
  </r>
  <r>
    <x v="4"/>
  </r>
  <r>
    <x v="0"/>
  </r>
  <r>
    <x v="0"/>
  </r>
  <r>
    <x v="0"/>
  </r>
  <r>
    <x v="4"/>
  </r>
  <r>
    <x v="11"/>
  </r>
  <r>
    <x v="0"/>
  </r>
  <r>
    <x v="152"/>
  </r>
  <r>
    <x v="152"/>
  </r>
  <r>
    <x v="1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0"/>
  </r>
  <r>
    <x v="56"/>
  </r>
  <r>
    <x v="100"/>
  </r>
  <r>
    <x v="10"/>
  </r>
  <r>
    <x v="92"/>
  </r>
  <r>
    <x v="11"/>
  </r>
  <r>
    <x v="0"/>
  </r>
  <r>
    <x v="0"/>
  </r>
  <r>
    <x v="48"/>
  </r>
  <r>
    <x v="7"/>
  </r>
  <r>
    <x v="1"/>
  </r>
  <r>
    <x v="19"/>
  </r>
  <r>
    <x v="0"/>
  </r>
  <r>
    <x v="17"/>
  </r>
  <r>
    <x v="48"/>
  </r>
  <r>
    <x v="10"/>
  </r>
  <r>
    <x v="7"/>
  </r>
  <r>
    <x v="0"/>
  </r>
  <r>
    <x v="0"/>
  </r>
  <r>
    <x v="19"/>
  </r>
  <r>
    <x v="4"/>
  </r>
  <r>
    <x v="0"/>
  </r>
  <r>
    <x v="0"/>
  </r>
  <r>
    <x v="4"/>
  </r>
  <r>
    <x v="28"/>
  </r>
  <r>
    <x v="45"/>
  </r>
  <r>
    <x v="1"/>
  </r>
  <r>
    <x v="0"/>
  </r>
  <r>
    <x v="0"/>
  </r>
  <r>
    <x v="0"/>
  </r>
  <r>
    <x v="12"/>
  </r>
  <r>
    <x v="0"/>
  </r>
  <r>
    <x v="11"/>
  </r>
  <r>
    <x v="42"/>
  </r>
  <r>
    <x v="19"/>
  </r>
  <r>
    <x v="0"/>
  </r>
  <r>
    <x v="92"/>
  </r>
  <r>
    <x v="17"/>
  </r>
  <r>
    <x v="24"/>
  </r>
  <r>
    <x v="6"/>
  </r>
  <r>
    <x v="1"/>
  </r>
  <r>
    <x v="6"/>
  </r>
  <r>
    <x v="24"/>
  </r>
  <r>
    <x v="6"/>
  </r>
  <r>
    <x v="9"/>
  </r>
  <r>
    <x v="6"/>
  </r>
  <r>
    <x v="6"/>
  </r>
  <r>
    <x v="9"/>
  </r>
  <r>
    <x v="9"/>
  </r>
  <r>
    <x v="9"/>
  </r>
  <r>
    <x v="1"/>
  </r>
  <r>
    <x v="9"/>
  </r>
  <r>
    <x v="9"/>
  </r>
  <r>
    <x v="9"/>
  </r>
  <r>
    <x v="6"/>
  </r>
  <r>
    <x v="92"/>
  </r>
  <r>
    <x v="17"/>
  </r>
  <r>
    <x v="25"/>
  </r>
  <r>
    <x v="25"/>
  </r>
  <r>
    <x v="10"/>
  </r>
  <r>
    <x v="19"/>
  </r>
  <r>
    <x v="19"/>
  </r>
  <r>
    <x v="19"/>
  </r>
  <r>
    <x v="19"/>
  </r>
  <r>
    <x v="12"/>
  </r>
  <r>
    <x v="152"/>
  </r>
  <r>
    <x v="152"/>
  </r>
  <r>
    <x v="152"/>
  </r>
  <r>
    <x v="0"/>
  </r>
  <r>
    <x v="92"/>
  </r>
  <r>
    <x v="12"/>
  </r>
  <r>
    <x v="12"/>
  </r>
  <r>
    <x v="69"/>
  </r>
  <r>
    <x v="69"/>
  </r>
  <r>
    <x v="75"/>
  </r>
  <r>
    <x v="69"/>
  </r>
  <r>
    <x v="69"/>
  </r>
  <r>
    <x v="42"/>
  </r>
  <r>
    <x v="16"/>
  </r>
  <r>
    <x v="12"/>
  </r>
  <r>
    <x v="12"/>
  </r>
  <r>
    <x v="0"/>
  </r>
  <r>
    <x v="11"/>
  </r>
  <r>
    <x v="0"/>
  </r>
  <r>
    <x v="17"/>
  </r>
  <r>
    <x v="17"/>
  </r>
  <r>
    <x v="42"/>
  </r>
  <r>
    <x v="28"/>
  </r>
  <r>
    <x v="152"/>
  </r>
  <r>
    <x v="152"/>
  </r>
  <r>
    <x v="152"/>
  </r>
  <r>
    <x v="12"/>
  </r>
  <r>
    <x v="120"/>
  </r>
  <r>
    <x v="92"/>
  </r>
  <r>
    <x v="19"/>
  </r>
  <r>
    <x v="15"/>
  </r>
  <r>
    <x v="56"/>
  </r>
  <r>
    <x v="12"/>
  </r>
  <r>
    <x v="12"/>
  </r>
  <r>
    <x v="9"/>
  </r>
  <r>
    <x v="9"/>
  </r>
  <r>
    <x v="15"/>
  </r>
  <r>
    <x v="29"/>
  </r>
  <r>
    <x v="57"/>
  </r>
  <r>
    <x v="9"/>
  </r>
  <r>
    <x v="9"/>
  </r>
  <r>
    <x v="152"/>
  </r>
  <r>
    <x v="45"/>
  </r>
  <r>
    <x v="14"/>
  </r>
  <r>
    <x v="28"/>
  </r>
  <r>
    <x v="64"/>
  </r>
  <r>
    <x v="0"/>
  </r>
  <r>
    <x v="42"/>
  </r>
  <r>
    <x v="12"/>
  </r>
  <r>
    <x v="42"/>
  </r>
  <r>
    <x v="19"/>
  </r>
  <r>
    <x v="123"/>
  </r>
  <r>
    <x v="56"/>
  </r>
  <r>
    <x v="25"/>
  </r>
  <r>
    <x v="4"/>
  </r>
  <r>
    <x v="4"/>
  </r>
  <r>
    <x v="108"/>
  </r>
  <r>
    <x v="56"/>
  </r>
  <r>
    <x v="56"/>
  </r>
  <r>
    <x v="12"/>
  </r>
  <r>
    <x v="57"/>
  </r>
  <r>
    <x v="123"/>
  </r>
  <r>
    <x v="42"/>
  </r>
  <r>
    <x v="12"/>
  </r>
  <r>
    <x v="12"/>
  </r>
  <r>
    <x v="54"/>
  </r>
  <r>
    <x v="71"/>
  </r>
  <r>
    <x v="28"/>
  </r>
  <r>
    <x v="28"/>
  </r>
  <r>
    <x v="0"/>
  </r>
  <r>
    <x v="63"/>
  </r>
  <r>
    <x v="19"/>
  </r>
  <r>
    <x v="0"/>
  </r>
  <r>
    <x v="36"/>
  </r>
  <r>
    <x v="10"/>
  </r>
  <r>
    <x v="113"/>
  </r>
  <r>
    <x v="12"/>
  </r>
  <r>
    <x v="152"/>
  </r>
  <r>
    <x v="152"/>
  </r>
  <r>
    <x v="152"/>
  </r>
  <r>
    <x v="14"/>
  </r>
  <r>
    <x v="3"/>
  </r>
  <r>
    <x v="3"/>
  </r>
  <r>
    <x v="3"/>
  </r>
  <r>
    <x v="3"/>
  </r>
  <r>
    <x v="474"/>
  </r>
  <r>
    <x v="12"/>
  </r>
  <r>
    <x v="4"/>
  </r>
  <r>
    <x v="123"/>
  </r>
  <r>
    <x v="21"/>
  </r>
  <r>
    <x v="31"/>
  </r>
  <r>
    <x v="31"/>
  </r>
  <r>
    <x v="21"/>
  </r>
  <r>
    <x v="16"/>
  </r>
  <r>
    <x v="4"/>
  </r>
  <r>
    <x v="42"/>
  </r>
  <r>
    <x v="4"/>
  </r>
  <r>
    <x v="7"/>
  </r>
  <r>
    <x v="123"/>
  </r>
  <r>
    <x v="11"/>
  </r>
  <r>
    <x v="17"/>
  </r>
  <r>
    <x v="123"/>
  </r>
  <r>
    <x v="123"/>
  </r>
  <r>
    <x v="16"/>
  </r>
  <r>
    <x v="78"/>
  </r>
  <r>
    <x v="76"/>
  </r>
  <r>
    <x v="63"/>
  </r>
  <r>
    <x v="0"/>
  </r>
  <r>
    <x v="126"/>
  </r>
  <r>
    <x v="21"/>
  </r>
  <r>
    <x v="21"/>
  </r>
  <r>
    <x v="31"/>
  </r>
  <r>
    <x v="57"/>
  </r>
  <r>
    <x v="16"/>
  </r>
  <r>
    <x v="77"/>
  </r>
  <r>
    <x v="7"/>
  </r>
  <r>
    <x v="78"/>
  </r>
  <r>
    <x v="138"/>
  </r>
  <r>
    <x v="131"/>
  </r>
  <r>
    <x v="10"/>
  </r>
  <r>
    <x v="152"/>
  </r>
  <r>
    <x v="0"/>
  </r>
  <r>
    <x v="216"/>
  </r>
  <r>
    <x v="12"/>
  </r>
  <r>
    <x v="4"/>
  </r>
  <r>
    <x v="8"/>
  </r>
  <r>
    <x v="9"/>
  </r>
  <r>
    <x v="87"/>
  </r>
  <r>
    <x v="28"/>
  </r>
  <r>
    <x v="166"/>
  </r>
  <r>
    <x v="31"/>
  </r>
  <r>
    <x v="253"/>
  </r>
  <r>
    <x v="29"/>
  </r>
  <r>
    <x v="1"/>
  </r>
  <r>
    <x v="165"/>
  </r>
  <r>
    <x v="42"/>
  </r>
  <r>
    <x v="12"/>
  </r>
  <r>
    <x v="21"/>
  </r>
  <r>
    <x v="4"/>
  </r>
  <r>
    <x v="4"/>
  </r>
  <r>
    <x v="4"/>
  </r>
  <r>
    <x v="76"/>
  </r>
  <r>
    <x v="76"/>
  </r>
  <r>
    <x v="76"/>
  </r>
  <r>
    <x v="10"/>
  </r>
  <r>
    <x v="9"/>
  </r>
  <r>
    <x v="123"/>
  </r>
  <r>
    <x v="28"/>
  </r>
  <r>
    <x v="16"/>
  </r>
  <r>
    <x v="12"/>
  </r>
  <r>
    <x v="14"/>
  </r>
  <r>
    <x v="57"/>
  </r>
  <r>
    <x v="4"/>
  </r>
  <r>
    <x v="141"/>
  </r>
  <r>
    <x v="1"/>
  </r>
  <r>
    <x v="123"/>
  </r>
  <r>
    <x v="123"/>
  </r>
  <r>
    <x v="123"/>
  </r>
  <r>
    <x v="123"/>
  </r>
  <r>
    <x v="123"/>
  </r>
  <r>
    <x v="123"/>
  </r>
  <r>
    <x v="11"/>
  </r>
  <r>
    <x v="16"/>
  </r>
  <r>
    <x v="19"/>
  </r>
  <r>
    <x v="152"/>
  </r>
  <r>
    <x v="12"/>
  </r>
  <r>
    <x v="48"/>
  </r>
  <r>
    <x v="182"/>
  </r>
  <r>
    <x v="19"/>
  </r>
  <r>
    <x v="87"/>
  </r>
  <r>
    <x v="28"/>
  </r>
  <r>
    <x v="31"/>
  </r>
  <r>
    <x v="21"/>
  </r>
  <r>
    <x v="21"/>
  </r>
  <r>
    <x v="25"/>
  </r>
  <r>
    <x v="42"/>
  </r>
  <r>
    <x v="4"/>
  </r>
  <r>
    <x v="123"/>
  </r>
  <r>
    <x v="123"/>
  </r>
  <r>
    <x v="123"/>
  </r>
  <r>
    <x v="123"/>
  </r>
  <r>
    <x v="123"/>
  </r>
  <r>
    <x v="30"/>
  </r>
  <r>
    <x v="7"/>
  </r>
  <r>
    <x v="34"/>
  </r>
  <r>
    <x v="4"/>
  </r>
  <r>
    <x v="7"/>
  </r>
  <r>
    <x v="11"/>
  </r>
  <r>
    <x v="4"/>
  </r>
  <r>
    <x v="25"/>
  </r>
  <r>
    <x v="12"/>
  </r>
  <r>
    <x v="12"/>
  </r>
  <r>
    <x v="71"/>
  </r>
  <r>
    <x v="25"/>
  </r>
  <r>
    <x v="71"/>
  </r>
  <r>
    <x v="9"/>
  </r>
  <r>
    <x v="31"/>
  </r>
  <r>
    <x v="31"/>
  </r>
  <r>
    <x v="10"/>
  </r>
  <r>
    <x v="152"/>
  </r>
  <r>
    <x v="152"/>
  </r>
  <r>
    <x v="152"/>
  </r>
  <r>
    <x v="152"/>
  </r>
  <r>
    <x v="152"/>
  </r>
  <r>
    <x v="152"/>
  </r>
  <r>
    <x v="12"/>
  </r>
  <r>
    <x v="25"/>
  </r>
  <r>
    <x v="42"/>
  </r>
  <r>
    <x v="42"/>
  </r>
  <r>
    <x v="9"/>
  </r>
  <r>
    <x v="42"/>
  </r>
  <r>
    <x v="12"/>
  </r>
  <r>
    <x v="42"/>
  </r>
  <r>
    <x v="19"/>
  </r>
  <r>
    <x v="4"/>
  </r>
  <r>
    <x v="8"/>
  </r>
  <r>
    <x v="10"/>
  </r>
  <r>
    <x v="10"/>
  </r>
  <r>
    <x v="10"/>
  </r>
  <r>
    <x v="42"/>
  </r>
  <r>
    <x v="4"/>
  </r>
  <r>
    <x v="22"/>
  </r>
  <r>
    <x v="28"/>
  </r>
  <r>
    <x v="152"/>
  </r>
  <r>
    <x v="123"/>
  </r>
  <r>
    <x v="123"/>
  </r>
  <r>
    <x v="123"/>
  </r>
  <r>
    <x v="123"/>
  </r>
  <r>
    <x v="123"/>
  </r>
  <r>
    <x v="1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28"/>
  </r>
  <r>
    <x v="28"/>
  </r>
  <r>
    <x v="28"/>
  </r>
  <r>
    <x v="19"/>
  </r>
  <r>
    <x v="71"/>
  </r>
  <r>
    <x v="91"/>
  </r>
  <r>
    <x v="12"/>
  </r>
  <r>
    <x v="45"/>
  </r>
  <r>
    <x v="0"/>
  </r>
  <r>
    <x v="47"/>
  </r>
  <r>
    <x v="14"/>
  </r>
  <r>
    <x v="46"/>
  </r>
  <r>
    <x v="11"/>
  </r>
  <r>
    <x v="42"/>
  </r>
  <r>
    <x v="42"/>
  </r>
  <r>
    <x v="48"/>
  </r>
  <r>
    <x v="1"/>
  </r>
  <r>
    <x v="19"/>
  </r>
  <r>
    <x v="42"/>
  </r>
  <r>
    <x v="45"/>
  </r>
  <r>
    <x v="6"/>
  </r>
  <r>
    <x v="6"/>
  </r>
  <r>
    <x v="24"/>
  </r>
  <r>
    <x v="9"/>
  </r>
  <r>
    <x v="10"/>
  </r>
  <r>
    <x v="102"/>
  </r>
  <r>
    <x v="19"/>
  </r>
  <r>
    <x v="4"/>
  </r>
  <r>
    <x v="10"/>
  </r>
  <r>
    <x v="42"/>
  </r>
  <r>
    <x v="45"/>
  </r>
  <r>
    <x v="45"/>
  </r>
  <r>
    <x v="9"/>
  </r>
  <r>
    <x v="123"/>
  </r>
  <r>
    <x v="16"/>
  </r>
  <r>
    <x v="21"/>
  </r>
  <r>
    <x v="12"/>
  </r>
  <r>
    <x v="9"/>
  </r>
  <r>
    <x v="24"/>
  </r>
  <r>
    <x v="42"/>
  </r>
  <r>
    <x v="4"/>
  </r>
  <r>
    <x v="10"/>
  </r>
  <r>
    <x v="11"/>
  </r>
  <r>
    <x v="37"/>
  </r>
  <r>
    <x v="19"/>
  </r>
  <r>
    <x v="19"/>
  </r>
  <r>
    <x v="12"/>
  </r>
  <r>
    <x v="4"/>
  </r>
  <r>
    <x v="22"/>
  </r>
  <r>
    <x v="22"/>
  </r>
  <r>
    <x v="4"/>
  </r>
  <r>
    <x v="169"/>
  </r>
  <r>
    <x v="11"/>
  </r>
  <r>
    <x v="1"/>
  </r>
  <r>
    <x v="10"/>
  </r>
  <r>
    <x v="78"/>
  </r>
  <r>
    <x v="78"/>
  </r>
  <r>
    <x v="78"/>
  </r>
  <r>
    <x v="123"/>
  </r>
  <r>
    <x v="123"/>
  </r>
  <r>
    <x v="42"/>
  </r>
  <r>
    <x v="42"/>
  </r>
  <r>
    <x v="10"/>
  </r>
  <r>
    <x v="7"/>
  </r>
  <r>
    <x v="0"/>
  </r>
  <r>
    <x v="24"/>
  </r>
  <r>
    <x v="0"/>
  </r>
  <r>
    <x v="14"/>
  </r>
  <r>
    <x v="63"/>
  </r>
  <r>
    <x v="4"/>
  </r>
  <r>
    <x v="11"/>
  </r>
  <r>
    <x v="4"/>
  </r>
  <r>
    <x v="9"/>
  </r>
  <r>
    <x v="0"/>
  </r>
  <r>
    <x v="14"/>
  </r>
  <r>
    <x v="0"/>
  </r>
  <r>
    <x v="14"/>
  </r>
  <r>
    <x v="0"/>
  </r>
  <r>
    <x v="10"/>
  </r>
  <r>
    <x v="17"/>
  </r>
  <r>
    <x v="17"/>
  </r>
  <r>
    <x v="131"/>
  </r>
  <r>
    <x v="87"/>
  </r>
  <r>
    <x v="7"/>
  </r>
  <r>
    <x v="16"/>
  </r>
  <r>
    <x v="152"/>
  </r>
  <r>
    <x v="10"/>
  </r>
  <r>
    <x v="86"/>
  </r>
  <r>
    <x v="12"/>
  </r>
  <r>
    <x v="152"/>
  </r>
  <r>
    <x v="78"/>
  </r>
  <r>
    <x v="25"/>
  </r>
  <r>
    <x v="76"/>
  </r>
  <r>
    <x v="33"/>
  </r>
  <r>
    <x v="78"/>
  </r>
  <r>
    <x v="78"/>
  </r>
  <r>
    <x v="0"/>
  </r>
  <r>
    <x v="123"/>
  </r>
  <r>
    <x v="123"/>
  </r>
  <r>
    <x v="42"/>
  </r>
  <r>
    <x v="21"/>
  </r>
  <r>
    <x v="21"/>
  </r>
  <r>
    <x v="19"/>
  </r>
  <r>
    <x v="4"/>
  </r>
  <r>
    <x v="12"/>
  </r>
  <r>
    <x v="14"/>
  </r>
  <r>
    <x v="37"/>
  </r>
  <r>
    <x v="37"/>
  </r>
  <r>
    <x v="37"/>
  </r>
  <r>
    <x v="37"/>
  </r>
  <r>
    <x v="37"/>
  </r>
  <r>
    <x v="37"/>
  </r>
  <r>
    <x v="37"/>
  </r>
  <r>
    <x v="37"/>
  </r>
  <r>
    <x v="45"/>
  </r>
  <r>
    <x v="45"/>
  </r>
  <r>
    <x v="36"/>
  </r>
  <r>
    <x v="4"/>
  </r>
  <r>
    <x v="9"/>
  </r>
  <r>
    <x v="14"/>
  </r>
  <r>
    <x v="12"/>
  </r>
  <r>
    <x v="57"/>
  </r>
  <r>
    <x v="28"/>
  </r>
  <r>
    <x v="28"/>
  </r>
  <r>
    <x v="28"/>
  </r>
  <r>
    <x v="57"/>
  </r>
  <r>
    <x v="57"/>
  </r>
  <r>
    <x v="142"/>
  </r>
  <r>
    <x v="10"/>
  </r>
  <r>
    <x v="10"/>
  </r>
  <r>
    <x v="24"/>
  </r>
  <r>
    <x v="9"/>
  </r>
  <r>
    <x v="12"/>
  </r>
  <r>
    <x v="0"/>
  </r>
  <r>
    <x v="0"/>
  </r>
  <r>
    <x v="0"/>
  </r>
  <r>
    <x v="16"/>
  </r>
  <r>
    <x v="2"/>
  </r>
  <r>
    <x v="0"/>
  </r>
  <r>
    <x v="24"/>
  </r>
  <r>
    <x v="19"/>
  </r>
  <r>
    <x v="12"/>
  </r>
  <r>
    <x v="24"/>
  </r>
  <r>
    <x v="10"/>
  </r>
  <r>
    <x v="12"/>
  </r>
  <r>
    <x v="19"/>
  </r>
  <r>
    <x v="19"/>
  </r>
  <r>
    <x v="19"/>
  </r>
  <r>
    <x v="9"/>
  </r>
  <r>
    <x v="10"/>
  </r>
  <r>
    <x v="3"/>
  </r>
  <r>
    <x v="3"/>
  </r>
  <r>
    <x v="12"/>
  </r>
  <r>
    <x v="24"/>
  </r>
  <r>
    <x v="22"/>
  </r>
  <r>
    <x v="12"/>
  </r>
  <r>
    <x v="12"/>
  </r>
  <r>
    <x v="2"/>
  </r>
  <r>
    <x v="12"/>
  </r>
  <r>
    <x v="79"/>
  </r>
  <r>
    <x v="12"/>
  </r>
  <r>
    <x v="12"/>
  </r>
  <r>
    <x v="12"/>
  </r>
  <r>
    <x v="160"/>
  </r>
  <r>
    <x v="42"/>
  </r>
  <r>
    <x v="42"/>
  </r>
  <r>
    <x v="42"/>
  </r>
  <r>
    <x v="55"/>
  </r>
  <r>
    <x v="10"/>
  </r>
  <r>
    <x v="28"/>
  </r>
  <r>
    <x v="28"/>
  </r>
  <r>
    <x v="28"/>
  </r>
  <r>
    <x v="28"/>
  </r>
  <r>
    <x v="28"/>
  </r>
  <r>
    <x v="42"/>
  </r>
  <r>
    <x v="16"/>
  </r>
  <r>
    <x v="16"/>
  </r>
  <r>
    <x v="7"/>
  </r>
  <r>
    <x v="14"/>
  </r>
  <r>
    <x v="4"/>
  </r>
  <r>
    <x v="37"/>
  </r>
  <r>
    <x v="86"/>
  </r>
  <r>
    <x v="86"/>
  </r>
  <r>
    <x v="86"/>
  </r>
  <r>
    <x v="86"/>
  </r>
  <r>
    <x v="86"/>
  </r>
  <r>
    <x v="86"/>
  </r>
  <r>
    <x v="86"/>
  </r>
  <r>
    <x v="16"/>
  </r>
  <r>
    <x v="11"/>
  </r>
  <r>
    <x v="16"/>
  </r>
  <r>
    <x v="16"/>
  </r>
  <r>
    <x v="16"/>
  </r>
  <r>
    <x v="16"/>
  </r>
  <r>
    <x v="16"/>
  </r>
  <r>
    <x v="42"/>
  </r>
  <r>
    <x v="28"/>
  </r>
  <r>
    <x v="28"/>
  </r>
  <r>
    <x v="28"/>
  </r>
  <r>
    <x v="161"/>
  </r>
  <r>
    <x v="55"/>
  </r>
  <r>
    <x v="55"/>
  </r>
  <r>
    <x v="161"/>
  </r>
  <r>
    <x v="55"/>
  </r>
  <r>
    <x v="55"/>
  </r>
  <r>
    <x v="9"/>
  </r>
  <r>
    <x v="56"/>
  </r>
  <r>
    <x v="24"/>
  </r>
  <r>
    <x v="68"/>
  </r>
  <r>
    <x v="14"/>
  </r>
  <r>
    <x v="55"/>
  </r>
  <r>
    <x v="55"/>
  </r>
  <r>
    <x v="10"/>
  </r>
  <r>
    <x v="10"/>
  </r>
  <r>
    <x v="10"/>
  </r>
  <r>
    <x v="12"/>
  </r>
  <r>
    <x v="9"/>
  </r>
  <r>
    <x v="9"/>
  </r>
  <r>
    <x v="28"/>
  </r>
  <r>
    <x v="19"/>
  </r>
  <r>
    <x v="9"/>
  </r>
  <r>
    <x v="12"/>
  </r>
  <r>
    <x v="12"/>
  </r>
  <r>
    <x v="12"/>
  </r>
  <r>
    <x v="12"/>
  </r>
  <r>
    <x v="14"/>
  </r>
  <r>
    <x v="14"/>
  </r>
  <r>
    <x v="8"/>
  </r>
  <r>
    <x v="8"/>
  </r>
  <r>
    <x v="8"/>
  </r>
  <r>
    <x v="8"/>
  </r>
  <r>
    <x v="14"/>
  </r>
  <r>
    <x v="14"/>
  </r>
  <r>
    <x v="14"/>
  </r>
  <r>
    <x v="9"/>
  </r>
  <r>
    <x v="55"/>
  </r>
  <r>
    <x v="55"/>
  </r>
  <r>
    <x v="161"/>
  </r>
  <r>
    <x v="161"/>
  </r>
  <r>
    <x v="55"/>
  </r>
  <r>
    <x v="55"/>
  </r>
  <r>
    <x v="12"/>
  </r>
  <r>
    <x v="12"/>
  </r>
  <r>
    <x v="12"/>
  </r>
  <r>
    <x v="12"/>
  </r>
  <r>
    <x v="19"/>
  </r>
  <r>
    <x v="19"/>
  </r>
  <r>
    <x v="11"/>
  </r>
  <r>
    <x v="123"/>
  </r>
  <r>
    <x v="19"/>
  </r>
  <r>
    <x v="19"/>
  </r>
  <r>
    <x v="12"/>
  </r>
  <r>
    <x v="12"/>
  </r>
  <r>
    <x v="9"/>
  </r>
  <r>
    <x v="9"/>
  </r>
  <r>
    <x v="9"/>
  </r>
  <r>
    <x v="12"/>
  </r>
  <r>
    <x v="12"/>
  </r>
  <r>
    <x v="123"/>
  </r>
  <r>
    <x v="123"/>
  </r>
  <r>
    <x v="123"/>
  </r>
  <r>
    <x v="21"/>
  </r>
  <r>
    <x v="14"/>
  </r>
  <r>
    <x v="14"/>
  </r>
  <r>
    <x v="14"/>
  </r>
  <r>
    <x v="14"/>
  </r>
  <r>
    <x v="14"/>
  </r>
  <r>
    <x v="9"/>
  </r>
  <r>
    <x v="9"/>
  </r>
  <r>
    <x v="19"/>
  </r>
  <r>
    <x v="19"/>
  </r>
  <r>
    <x v="19"/>
  </r>
  <r>
    <x v="19"/>
  </r>
  <r>
    <x v="9"/>
  </r>
  <r>
    <x v="123"/>
  </r>
  <r>
    <x v="123"/>
  </r>
  <r>
    <x v="123"/>
  </r>
  <r>
    <x v="42"/>
  </r>
  <r>
    <x v="19"/>
  </r>
  <r>
    <x v="28"/>
  </r>
  <r>
    <x v="123"/>
  </r>
  <r>
    <x v="19"/>
  </r>
  <r>
    <x v="9"/>
  </r>
  <r>
    <x v="9"/>
  </r>
  <r>
    <x v="12"/>
  </r>
  <r>
    <x v="14"/>
  </r>
  <r>
    <x v="14"/>
  </r>
  <r>
    <x v="123"/>
  </r>
  <r>
    <x v="123"/>
  </r>
  <r>
    <x v="123"/>
  </r>
  <r>
    <x v="9"/>
  </r>
  <r>
    <x v="28"/>
  </r>
  <r>
    <x v="28"/>
  </r>
  <r>
    <x v="28"/>
  </r>
  <r>
    <x v="28"/>
  </r>
  <r>
    <x v="10"/>
  </r>
  <r>
    <x v="9"/>
  </r>
  <r>
    <x v="14"/>
  </r>
  <r>
    <x v="24"/>
  </r>
  <r>
    <x v="19"/>
  </r>
  <r>
    <x v="24"/>
  </r>
  <r>
    <x v="19"/>
  </r>
  <r>
    <x v="77"/>
  </r>
  <r>
    <x v="19"/>
  </r>
  <r>
    <x v="19"/>
  </r>
  <r>
    <x v="19"/>
  </r>
  <r>
    <x v="19"/>
  </r>
  <r>
    <x v="28"/>
  </r>
  <r>
    <x v="28"/>
  </r>
  <r>
    <x v="42"/>
  </r>
  <r>
    <x v="16"/>
  </r>
  <r>
    <x v="28"/>
  </r>
  <r>
    <x v="0"/>
  </r>
  <r>
    <x v="28"/>
  </r>
  <r>
    <x v="14"/>
  </r>
  <r>
    <x v="14"/>
  </r>
  <r>
    <x v="14"/>
  </r>
  <r>
    <x v="14"/>
  </r>
  <r>
    <x v="14"/>
  </r>
  <r>
    <x v="12"/>
  </r>
  <r>
    <x v="12"/>
  </r>
  <r>
    <x v="4"/>
  </r>
  <r>
    <x v="71"/>
  </r>
  <r>
    <x v="28"/>
  </r>
  <r>
    <x v="28"/>
  </r>
  <r>
    <x v="28"/>
  </r>
  <r>
    <x v="0"/>
  </r>
  <r>
    <x v="123"/>
  </r>
  <r>
    <x v="123"/>
  </r>
  <r>
    <x v="28"/>
  </r>
  <r>
    <x v="28"/>
  </r>
  <r>
    <x v="28"/>
  </r>
  <r>
    <x v="45"/>
  </r>
  <r>
    <x v="28"/>
  </r>
  <r>
    <x v="56"/>
  </r>
  <r>
    <x v="56"/>
  </r>
  <r>
    <x v="57"/>
  </r>
  <r>
    <x v="78"/>
  </r>
  <r>
    <x v="123"/>
  </r>
  <r>
    <x v="77"/>
  </r>
  <r>
    <x v="77"/>
  </r>
  <r>
    <x v="102"/>
  </r>
  <r>
    <x v="1"/>
  </r>
  <r>
    <x v="1"/>
  </r>
  <r>
    <x v="72"/>
  </r>
  <r>
    <x v="7"/>
  </r>
  <r>
    <x v="6"/>
  </r>
  <r>
    <x v="9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77"/>
  </r>
  <r>
    <x v="77"/>
  </r>
  <r>
    <x v="45"/>
  </r>
  <r>
    <x v="7"/>
  </r>
  <r>
    <x v="9"/>
  </r>
  <r>
    <x v="0"/>
  </r>
  <r>
    <x v="48"/>
  </r>
  <r>
    <x v="16"/>
  </r>
  <r>
    <x v="16"/>
  </r>
  <r>
    <x v="16"/>
  </r>
  <r>
    <x v="130"/>
  </r>
  <r>
    <x v="130"/>
  </r>
  <r>
    <x v="130"/>
  </r>
  <r>
    <x v="7"/>
  </r>
  <r>
    <x v="7"/>
  </r>
  <r>
    <x v="7"/>
  </r>
  <r>
    <x v="45"/>
  </r>
  <r>
    <x v="45"/>
  </r>
  <r>
    <x v="45"/>
  </r>
  <r>
    <x v="45"/>
  </r>
  <r>
    <x v="45"/>
  </r>
  <r>
    <x v="45"/>
  </r>
  <r>
    <x v="7"/>
  </r>
  <r>
    <x v="7"/>
  </r>
  <r>
    <x v="7"/>
  </r>
  <r>
    <x v="7"/>
  </r>
  <r>
    <x v="7"/>
  </r>
  <r>
    <x v="7"/>
  </r>
  <r>
    <x v="12"/>
  </r>
  <r>
    <x v="7"/>
  </r>
  <r>
    <x v="6"/>
  </r>
  <r>
    <x v="6"/>
  </r>
  <r>
    <x v="162"/>
  </r>
  <r>
    <x v="162"/>
  </r>
  <r>
    <x v="7"/>
  </r>
  <r>
    <x v="162"/>
  </r>
  <r>
    <x v="162"/>
  </r>
  <r>
    <x v="162"/>
  </r>
  <r>
    <x v="16"/>
  </r>
  <r>
    <x v="16"/>
  </r>
  <r>
    <x v="16"/>
  </r>
  <r>
    <x v="7"/>
  </r>
  <r>
    <x v="7"/>
  </r>
  <r>
    <x v="7"/>
  </r>
  <r>
    <x v="7"/>
  </r>
  <r>
    <x v="37"/>
  </r>
  <r>
    <x v="37"/>
  </r>
  <r>
    <x v="162"/>
  </r>
  <r>
    <x v="162"/>
  </r>
  <r>
    <x v="162"/>
  </r>
  <r>
    <x v="162"/>
  </r>
  <r>
    <x v="162"/>
  </r>
  <r>
    <x v="37"/>
  </r>
  <r>
    <x v="37"/>
  </r>
  <r>
    <x v="138"/>
  </r>
  <r>
    <x v="37"/>
  </r>
  <r>
    <x v="37"/>
  </r>
  <r>
    <x v="10"/>
  </r>
  <r>
    <x v="31"/>
  </r>
  <r>
    <x v="162"/>
  </r>
  <r>
    <x v="162"/>
  </r>
  <r>
    <x v="162"/>
  </r>
  <r>
    <x v="1"/>
  </r>
  <r>
    <x v="141"/>
  </r>
  <r>
    <x v="141"/>
  </r>
  <r>
    <x v="141"/>
  </r>
  <r>
    <x v="1"/>
  </r>
  <r>
    <x v="51"/>
  </r>
  <r>
    <x v="7"/>
  </r>
  <r>
    <x v="19"/>
  </r>
  <r>
    <x v="7"/>
  </r>
  <r>
    <x v="6"/>
  </r>
  <r>
    <x v="6"/>
  </r>
  <r>
    <x v="16"/>
  </r>
  <r>
    <x v="16"/>
  </r>
  <r>
    <x v="16"/>
  </r>
  <r>
    <x v="16"/>
  </r>
  <r>
    <x v="16"/>
  </r>
  <r>
    <x v="14"/>
  </r>
  <r>
    <x v="71"/>
  </r>
  <r>
    <x v="14"/>
  </r>
  <r>
    <x v="14"/>
  </r>
  <r>
    <x v="11"/>
  </r>
  <r>
    <x v="12"/>
  </r>
  <r>
    <x v="12"/>
  </r>
  <r>
    <x v="184"/>
  </r>
  <r>
    <x v="30"/>
  </r>
  <r>
    <x v="16"/>
  </r>
  <r>
    <x v="16"/>
  </r>
  <r>
    <x v="16"/>
  </r>
  <r>
    <x v="10"/>
  </r>
  <r>
    <x v="11"/>
  </r>
  <r>
    <x v="11"/>
  </r>
  <r>
    <x v="1"/>
  </r>
  <r>
    <x v="26"/>
  </r>
  <r>
    <x v="21"/>
  </r>
  <r>
    <x v="11"/>
  </r>
  <r>
    <x v="11"/>
  </r>
  <r>
    <x v="32"/>
  </r>
  <r>
    <x v="62"/>
  </r>
  <r>
    <x v="52"/>
  </r>
  <r>
    <x v="22"/>
  </r>
  <r>
    <x v="52"/>
  </r>
  <r>
    <x v="52"/>
  </r>
  <r>
    <x v="52"/>
  </r>
  <r>
    <x v="52"/>
  </r>
  <r>
    <x v="19"/>
  </r>
  <r>
    <x v="4"/>
  </r>
  <r>
    <x v="4"/>
  </r>
  <r>
    <x v="71"/>
  </r>
  <r>
    <x v="9"/>
  </r>
  <r>
    <x v="112"/>
  </r>
  <r>
    <x v="162"/>
  </r>
  <r>
    <x v="162"/>
  </r>
  <r>
    <x v="162"/>
  </r>
  <r>
    <x v="112"/>
  </r>
  <r>
    <x v="79"/>
  </r>
  <r>
    <x v="4"/>
  </r>
  <r>
    <x v="10"/>
  </r>
  <r>
    <x v="162"/>
  </r>
  <r>
    <x v="71"/>
  </r>
  <r>
    <x v="6"/>
  </r>
  <r>
    <x v="6"/>
  </r>
  <r>
    <x v="6"/>
  </r>
  <r>
    <x v="7"/>
  </r>
  <r>
    <x v="7"/>
  </r>
  <r>
    <x v="162"/>
  </r>
  <r>
    <x v="26"/>
  </r>
  <r>
    <x v="26"/>
  </r>
  <r>
    <x v="1"/>
  </r>
  <r>
    <x v="0"/>
  </r>
  <r>
    <x v="1"/>
  </r>
  <r>
    <x v="48"/>
  </r>
  <r>
    <x v="141"/>
  </r>
  <r>
    <x v="14"/>
  </r>
  <r>
    <x v="161"/>
  </r>
  <r>
    <x v="161"/>
  </r>
  <r>
    <x v="161"/>
  </r>
  <r>
    <x v="1"/>
  </r>
  <r>
    <x v="7"/>
  </r>
  <r>
    <x v="45"/>
  </r>
  <r>
    <x v="64"/>
  </r>
  <r>
    <x v="161"/>
  </r>
  <r>
    <x v="161"/>
  </r>
  <r>
    <x v="161"/>
  </r>
  <r>
    <x v="45"/>
  </r>
  <r>
    <x v="4"/>
  </r>
  <r>
    <x v="14"/>
  </r>
  <r>
    <x v="6"/>
  </r>
  <r>
    <x v="162"/>
  </r>
  <r>
    <x v="162"/>
  </r>
  <r>
    <x v="28"/>
  </r>
  <r>
    <x v="141"/>
  </r>
  <r>
    <x v="9"/>
  </r>
  <r>
    <x v="37"/>
  </r>
  <r>
    <x v="28"/>
  </r>
  <r>
    <x v="4"/>
  </r>
  <r>
    <x v="10"/>
  </r>
  <r>
    <x v="152"/>
  </r>
  <r>
    <x v="63"/>
  </r>
  <r>
    <x v="114"/>
  </r>
  <r>
    <x v="17"/>
  </r>
  <r>
    <x v="115"/>
  </r>
  <r>
    <x v="7"/>
  </r>
  <r>
    <x v="141"/>
  </r>
  <r>
    <x v="7"/>
  </r>
  <r>
    <x v="141"/>
  </r>
  <r>
    <x v="7"/>
  </r>
  <r>
    <x v="7"/>
  </r>
  <r>
    <x v="71"/>
  </r>
  <r>
    <x v="16"/>
  </r>
  <r>
    <x v="7"/>
  </r>
  <r>
    <x v="141"/>
  </r>
  <r>
    <x v="141"/>
  </r>
  <r>
    <x v="162"/>
  </r>
  <r>
    <x v="141"/>
  </r>
  <r>
    <x v="141"/>
  </r>
  <r>
    <x v="57"/>
  </r>
  <r>
    <x v="141"/>
  </r>
  <r>
    <x v="57"/>
  </r>
  <r>
    <x v="57"/>
  </r>
  <r>
    <x v="81"/>
  </r>
  <r>
    <x v="10"/>
  </r>
  <r>
    <x v="71"/>
  </r>
  <r>
    <x v="7"/>
  </r>
  <r>
    <x v="141"/>
  </r>
  <r>
    <x v="57"/>
  </r>
  <r>
    <x v="6"/>
  </r>
  <r>
    <x v="6"/>
  </r>
  <r>
    <x v="21"/>
  </r>
  <r>
    <x v="21"/>
  </r>
  <r>
    <x v="6"/>
  </r>
  <r>
    <x v="57"/>
  </r>
  <r>
    <x v="21"/>
  </r>
  <r>
    <x v="6"/>
  </r>
  <r>
    <x v="162"/>
  </r>
  <r>
    <x v="0"/>
  </r>
  <r>
    <x v="7"/>
  </r>
  <r>
    <x v="162"/>
  </r>
  <r>
    <x v="162"/>
  </r>
  <r>
    <x v="28"/>
  </r>
  <r>
    <x v="28"/>
  </r>
  <r>
    <x v="28"/>
  </r>
  <r>
    <x v="162"/>
  </r>
  <r>
    <x v="78"/>
  </r>
  <r>
    <x v="42"/>
  </r>
  <r>
    <x v="71"/>
  </r>
  <r>
    <x v="29"/>
  </r>
  <r>
    <x v="10"/>
  </r>
  <r>
    <x v="53"/>
  </r>
  <r>
    <x v="64"/>
  </r>
  <r>
    <x v="16"/>
  </r>
  <r>
    <x v="16"/>
  </r>
  <r>
    <x v="2"/>
  </r>
  <r>
    <x v="162"/>
  </r>
  <r>
    <x v="7"/>
  </r>
  <r>
    <x v="14"/>
  </r>
  <r>
    <x v="16"/>
  </r>
  <r>
    <x v="16"/>
  </r>
  <r>
    <x v="28"/>
  </r>
  <r>
    <x v="7"/>
  </r>
  <r>
    <x v="7"/>
  </r>
  <r>
    <x v="7"/>
  </r>
  <r>
    <x v="7"/>
  </r>
  <r>
    <x v="28"/>
  </r>
  <r>
    <x v="16"/>
  </r>
  <r>
    <x v="16"/>
  </r>
  <r>
    <x v="22"/>
  </r>
  <r>
    <x v="57"/>
  </r>
  <r>
    <x v="10"/>
  </r>
  <r>
    <x v="7"/>
  </r>
  <r>
    <x v="161"/>
  </r>
  <r>
    <x v="7"/>
  </r>
  <r>
    <x v="7"/>
  </r>
  <r>
    <x v="79"/>
  </r>
  <r>
    <x v="63"/>
  </r>
  <r>
    <x v="51"/>
  </r>
  <r>
    <x v="77"/>
  </r>
  <r>
    <x v="7"/>
  </r>
  <r>
    <x v="7"/>
  </r>
  <r>
    <x v="48"/>
  </r>
  <r>
    <x v="4"/>
  </r>
  <r>
    <x v="10"/>
  </r>
  <r>
    <x v="56"/>
  </r>
  <r>
    <x v="26"/>
  </r>
  <r>
    <x v="4"/>
  </r>
  <r>
    <x v="45"/>
  </r>
  <r>
    <x v="42"/>
  </r>
  <r>
    <x v="23"/>
  </r>
  <r>
    <x v="42"/>
  </r>
  <r>
    <x v="0"/>
  </r>
  <r>
    <x v="141"/>
  </r>
  <r>
    <x v="4"/>
  </r>
  <r>
    <x v="72"/>
  </r>
  <r>
    <x v="162"/>
  </r>
  <r>
    <x v="1"/>
  </r>
  <r>
    <x v="16"/>
  </r>
  <r>
    <x v="16"/>
  </r>
  <r>
    <x v="16"/>
  </r>
  <r>
    <x v="16"/>
  </r>
  <r>
    <x v="2"/>
  </r>
  <r>
    <x v="31"/>
  </r>
  <r>
    <x v="2"/>
  </r>
  <r>
    <x v="2"/>
  </r>
  <r>
    <x v="16"/>
  </r>
  <r>
    <x v="16"/>
  </r>
  <r>
    <x v="16"/>
  </r>
  <r>
    <x v="16"/>
  </r>
  <r>
    <x v="162"/>
  </r>
  <r>
    <x v="123"/>
  </r>
  <r>
    <x v="123"/>
  </r>
  <r>
    <x v="16"/>
  </r>
  <r>
    <x v="123"/>
  </r>
  <r>
    <x v="123"/>
  </r>
  <r>
    <x v="123"/>
  </r>
  <r>
    <x v="11"/>
  </r>
  <r>
    <x v="28"/>
  </r>
  <r>
    <x v="28"/>
  </r>
  <r>
    <x v="7"/>
  </r>
  <r>
    <x v="79"/>
  </r>
  <r>
    <x v="42"/>
  </r>
  <r>
    <x v="16"/>
  </r>
  <r>
    <x v="1"/>
  </r>
  <r>
    <x v="162"/>
  </r>
  <r>
    <x v="162"/>
  </r>
  <r>
    <x v="161"/>
  </r>
  <r>
    <x v="161"/>
  </r>
  <r>
    <x v="161"/>
  </r>
  <r>
    <x v="10"/>
  </r>
  <r>
    <x v="16"/>
  </r>
  <r>
    <x v="6"/>
  </r>
  <r>
    <x v="37"/>
  </r>
  <r>
    <x v="4"/>
  </r>
  <r>
    <x v="4"/>
  </r>
  <r>
    <x v="174"/>
  </r>
  <r>
    <x v="31"/>
  </r>
  <r>
    <x v="4"/>
  </r>
  <r>
    <x v="112"/>
  </r>
  <r>
    <x v="0"/>
  </r>
  <r>
    <x v="26"/>
  </r>
  <r>
    <x v="12"/>
  </r>
  <r>
    <x v="0"/>
  </r>
  <r>
    <x v="17"/>
  </r>
  <r>
    <x v="0"/>
  </r>
  <r>
    <x v="4"/>
  </r>
  <r>
    <x v="42"/>
  </r>
  <r>
    <x v="12"/>
  </r>
  <r>
    <x v="4"/>
  </r>
  <r>
    <x v="56"/>
  </r>
  <r>
    <x v="0"/>
  </r>
  <r>
    <x v="14"/>
  </r>
  <r>
    <x v="4"/>
  </r>
  <r>
    <x v="49"/>
  </r>
  <r>
    <x v="4"/>
  </r>
  <r>
    <x v="4"/>
  </r>
  <r>
    <x v="0"/>
  </r>
  <r>
    <x v="42"/>
  </r>
  <r>
    <x v="10"/>
  </r>
  <r>
    <x v="9"/>
  </r>
  <r>
    <x v="2"/>
  </r>
  <r>
    <x v="28"/>
  </r>
  <r>
    <x v="39"/>
  </r>
  <r>
    <x v="28"/>
  </r>
  <r>
    <x v="28"/>
  </r>
  <r>
    <x v="56"/>
  </r>
  <r>
    <x v="0"/>
  </r>
  <r>
    <x v="2"/>
  </r>
  <r>
    <x v="57"/>
  </r>
  <r>
    <x v="7"/>
  </r>
  <r>
    <x v="161"/>
  </r>
  <r>
    <x v="42"/>
  </r>
  <r>
    <x v="2"/>
  </r>
  <r>
    <x v="6"/>
  </r>
  <r>
    <x v="12"/>
  </r>
  <r>
    <x v="0"/>
  </r>
  <r>
    <x v="0"/>
  </r>
  <r>
    <x v="0"/>
  </r>
  <r>
    <x v="12"/>
  </r>
  <r>
    <x v="12"/>
  </r>
  <r>
    <x v="12"/>
  </r>
  <r>
    <x v="12"/>
  </r>
  <r>
    <x v="152"/>
  </r>
  <r>
    <x v="77"/>
  </r>
  <r>
    <x v="12"/>
  </r>
  <r>
    <x v="16"/>
  </r>
  <r>
    <x v="112"/>
  </r>
  <r>
    <x v="28"/>
  </r>
  <r>
    <x v="28"/>
  </r>
  <r>
    <x v="0"/>
  </r>
  <r>
    <x v="16"/>
  </r>
  <r>
    <x v="48"/>
  </r>
  <r>
    <x v="4"/>
  </r>
  <r>
    <x v="24"/>
  </r>
  <r>
    <x v="10"/>
  </r>
  <r>
    <x v="128"/>
  </r>
  <r>
    <x v="70"/>
  </r>
  <r>
    <x v="63"/>
  </r>
  <r>
    <x v="63"/>
  </r>
  <r>
    <x v="63"/>
  </r>
  <r>
    <x v="63"/>
  </r>
  <r>
    <x v="133"/>
  </r>
  <r>
    <x v="7"/>
  </r>
  <r>
    <x v="15"/>
  </r>
  <r>
    <x v="22"/>
  </r>
  <r>
    <x v="72"/>
  </r>
  <r>
    <x v="24"/>
  </r>
  <r>
    <x v="31"/>
  </r>
  <r>
    <x v="28"/>
  </r>
  <r>
    <x v="28"/>
  </r>
  <r>
    <x v="19"/>
  </r>
  <r>
    <x v="19"/>
  </r>
  <r>
    <x v="19"/>
  </r>
  <r>
    <x v="24"/>
  </r>
  <r>
    <x v="10"/>
  </r>
  <r>
    <x v="24"/>
  </r>
  <r>
    <x v="7"/>
  </r>
  <r>
    <x v="12"/>
  </r>
  <r>
    <x v="12"/>
  </r>
  <r>
    <x v="19"/>
  </r>
  <r>
    <x v="19"/>
  </r>
  <r>
    <x v="71"/>
  </r>
  <r>
    <x v="123"/>
  </r>
  <r>
    <x v="92"/>
  </r>
  <r>
    <x v="92"/>
  </r>
  <r>
    <x v="4"/>
  </r>
  <r>
    <x v="71"/>
  </r>
  <r>
    <x v="37"/>
  </r>
  <r>
    <x v="42"/>
  </r>
  <r>
    <x v="42"/>
  </r>
  <r>
    <x v="0"/>
  </r>
  <r>
    <x v="28"/>
  </r>
  <r>
    <x v="12"/>
  </r>
  <r>
    <x v="4"/>
  </r>
  <r>
    <x v="80"/>
  </r>
  <r>
    <x v="12"/>
  </r>
  <r>
    <x v="28"/>
  </r>
  <r>
    <x v="14"/>
  </r>
  <r>
    <x v="3"/>
  </r>
  <r>
    <x v="115"/>
  </r>
  <r>
    <x v="11"/>
  </r>
  <r>
    <x v="10"/>
  </r>
  <r>
    <x v="42"/>
  </r>
  <r>
    <x v="4"/>
  </r>
  <r>
    <x v="4"/>
  </r>
  <r>
    <x v="10"/>
  </r>
  <r>
    <x v="10"/>
  </r>
  <r>
    <x v="136"/>
  </r>
  <r>
    <x v="0"/>
  </r>
  <r>
    <x v="78"/>
  </r>
  <r>
    <x v="27"/>
  </r>
  <r>
    <x v="95"/>
  </r>
  <r>
    <x v="4"/>
  </r>
  <r>
    <x v="10"/>
  </r>
  <r>
    <x v="81"/>
  </r>
  <r>
    <x v="10"/>
  </r>
  <r>
    <x v="28"/>
  </r>
  <r>
    <x v="4"/>
  </r>
  <r>
    <x v="14"/>
  </r>
  <r>
    <x v="87"/>
  </r>
  <r>
    <x v="71"/>
  </r>
  <r>
    <x v="138"/>
  </r>
  <r>
    <x v="14"/>
  </r>
  <r>
    <x v="7"/>
  </r>
  <r>
    <x v="10"/>
  </r>
  <r>
    <x v="24"/>
  </r>
  <r>
    <x v="25"/>
  </r>
  <r>
    <x v="79"/>
  </r>
  <r>
    <x v="79"/>
  </r>
  <r>
    <x v="10"/>
  </r>
  <r>
    <x v="31"/>
  </r>
  <r>
    <x v="152"/>
  </r>
  <r>
    <x v="7"/>
  </r>
  <r>
    <x v="56"/>
  </r>
  <r>
    <x v="56"/>
  </r>
  <r>
    <x v="12"/>
  </r>
  <r>
    <x v="12"/>
  </r>
  <r>
    <x v="11"/>
  </r>
  <r>
    <x v="4"/>
  </r>
  <r>
    <x v="12"/>
  </r>
  <r>
    <x v="15"/>
  </r>
  <r>
    <x v="15"/>
  </r>
  <r>
    <x v="15"/>
  </r>
  <r>
    <x v="12"/>
  </r>
  <r>
    <x v="10"/>
  </r>
  <r>
    <x v="4"/>
  </r>
  <r>
    <x v="14"/>
  </r>
  <r>
    <x v="4"/>
  </r>
  <r>
    <x v="86"/>
  </r>
  <r>
    <x v="138"/>
  </r>
  <r>
    <x v="14"/>
  </r>
  <r>
    <x v="76"/>
  </r>
  <r>
    <x v="56"/>
  </r>
  <r>
    <x v="14"/>
  </r>
  <r>
    <x v="152"/>
  </r>
  <r>
    <x v="10"/>
  </r>
  <r>
    <x v="4"/>
  </r>
  <r>
    <x v="10"/>
  </r>
  <r>
    <x v="76"/>
  </r>
  <r>
    <x v="9"/>
  </r>
  <r>
    <x v="152"/>
  </r>
  <r>
    <x v="7"/>
  </r>
  <r>
    <x v="77"/>
  </r>
  <r>
    <x v="7"/>
  </r>
  <r>
    <x v="48"/>
  </r>
  <r>
    <x v="22"/>
  </r>
  <r>
    <x v="123"/>
  </r>
  <r>
    <x v="56"/>
  </r>
  <r>
    <x v="56"/>
  </r>
  <r>
    <x v="4"/>
  </r>
  <r>
    <x v="2"/>
  </r>
  <r>
    <x v="11"/>
  </r>
  <r>
    <x v="29"/>
  </r>
  <r>
    <x v="123"/>
  </r>
  <r>
    <x v="12"/>
  </r>
  <r>
    <x v="12"/>
  </r>
  <r>
    <x v="12"/>
  </r>
  <r>
    <x v="72"/>
  </r>
  <r>
    <x v="72"/>
  </r>
  <r>
    <x v="72"/>
  </r>
  <r>
    <x v="12"/>
  </r>
  <r>
    <x v="12"/>
  </r>
  <r>
    <x v="141"/>
  </r>
  <r>
    <x v="64"/>
  </r>
  <r>
    <x v="10"/>
  </r>
  <r>
    <x v="10"/>
  </r>
  <r>
    <x v="14"/>
  </r>
  <r>
    <x v="28"/>
  </r>
  <r>
    <x v="9"/>
  </r>
  <r>
    <x v="77"/>
  </r>
  <r>
    <x v="10"/>
  </r>
  <r>
    <x v="10"/>
  </r>
  <r>
    <x v="14"/>
  </r>
  <r>
    <x v="14"/>
  </r>
  <r>
    <x v="45"/>
  </r>
  <r>
    <x v="0"/>
  </r>
  <r>
    <x v="42"/>
  </r>
  <r>
    <x v="12"/>
  </r>
  <r>
    <x v="42"/>
  </r>
  <r>
    <x v="12"/>
  </r>
  <r>
    <x v="42"/>
  </r>
  <r>
    <x v="12"/>
  </r>
  <r>
    <x v="12"/>
  </r>
  <r>
    <x v="42"/>
  </r>
  <r>
    <x v="42"/>
  </r>
  <r>
    <x v="10"/>
  </r>
  <r>
    <x v="165"/>
  </r>
  <r>
    <x v="57"/>
  </r>
  <r>
    <x v="2"/>
  </r>
  <r>
    <x v="2"/>
  </r>
  <r>
    <x v="28"/>
  </r>
  <r>
    <x v="0"/>
  </r>
  <r>
    <x v="9"/>
  </r>
  <r>
    <x v="123"/>
  </r>
  <r>
    <x v="12"/>
  </r>
  <r>
    <x v="12"/>
  </r>
  <r>
    <x v="12"/>
  </r>
  <r>
    <x v="12"/>
  </r>
  <r>
    <x v="10"/>
  </r>
  <r>
    <x v="10"/>
  </r>
  <r>
    <x v="42"/>
  </r>
  <r>
    <x v="33"/>
  </r>
  <r>
    <x v="4"/>
  </r>
  <r>
    <x v="15"/>
  </r>
  <r>
    <x v="4"/>
  </r>
  <r>
    <x v="16"/>
  </r>
  <r>
    <x v="16"/>
  </r>
  <r>
    <x v="57"/>
  </r>
  <r>
    <x v="413"/>
  </r>
  <r>
    <x v="63"/>
  </r>
  <r>
    <x v="42"/>
  </r>
  <r>
    <x v="42"/>
  </r>
  <r>
    <x v="28"/>
  </r>
  <r>
    <x v="28"/>
  </r>
  <r>
    <x v="16"/>
  </r>
  <r>
    <x v="4"/>
  </r>
  <r>
    <x v="4"/>
  </r>
  <r>
    <x v="4"/>
  </r>
  <r>
    <x v="56"/>
  </r>
  <r>
    <x v="86"/>
  </r>
  <r>
    <x v="16"/>
  </r>
  <r>
    <x v="141"/>
  </r>
  <r>
    <x v="37"/>
  </r>
  <r>
    <x v="9"/>
  </r>
  <r>
    <x v="79"/>
  </r>
  <r>
    <x v="12"/>
  </r>
  <r>
    <x v="4"/>
  </r>
  <r>
    <x v="7"/>
  </r>
  <r>
    <x v="42"/>
  </r>
  <r>
    <x v="141"/>
  </r>
  <r>
    <x v="10"/>
  </r>
  <r>
    <x v="6"/>
  </r>
  <r>
    <x v="42"/>
  </r>
  <r>
    <x v="4"/>
  </r>
  <r>
    <x v="19"/>
  </r>
  <r>
    <x v="4"/>
  </r>
  <r>
    <x v="16"/>
  </r>
  <r>
    <x v="4"/>
  </r>
  <r>
    <x v="4"/>
  </r>
  <r>
    <x v="42"/>
  </r>
  <r>
    <x v="9"/>
  </r>
  <r>
    <x v="152"/>
  </r>
  <r>
    <x v="0"/>
  </r>
  <r>
    <x v="0"/>
  </r>
  <r>
    <x v="11"/>
  </r>
  <r>
    <x v="41"/>
  </r>
  <r>
    <x v="12"/>
  </r>
  <r>
    <x v="12"/>
  </r>
  <r>
    <x v="12"/>
  </r>
  <r>
    <x v="12"/>
  </r>
  <r>
    <x v="10"/>
  </r>
  <r>
    <x v="9"/>
  </r>
  <r>
    <x v="7"/>
  </r>
  <r>
    <x v="81"/>
  </r>
  <r>
    <x v="42"/>
  </r>
  <r>
    <x v="2"/>
  </r>
  <r>
    <x v="11"/>
  </r>
  <r>
    <x v="0"/>
  </r>
  <r>
    <x v="7"/>
  </r>
  <r>
    <x v="108"/>
  </r>
  <r>
    <x v="152"/>
  </r>
  <r>
    <x v="152"/>
  </r>
  <r>
    <x v="11"/>
  </r>
  <r>
    <x v="11"/>
  </r>
  <r>
    <x v="10"/>
  </r>
  <r>
    <x v="8"/>
  </r>
  <r>
    <x v="29"/>
  </r>
  <r>
    <x v="24"/>
  </r>
  <r>
    <x v="10"/>
  </r>
  <r>
    <x v="10"/>
  </r>
  <r>
    <x v="43"/>
  </r>
  <r>
    <x v="71"/>
  </r>
  <r>
    <x v="71"/>
  </r>
  <r>
    <x v="160"/>
  </r>
  <r>
    <x v="63"/>
  </r>
  <r>
    <x v="76"/>
  </r>
  <r>
    <x v="11"/>
  </r>
  <r>
    <x v="152"/>
  </r>
  <r>
    <x v="42"/>
  </r>
  <r>
    <x v="64"/>
  </r>
  <r>
    <x v="12"/>
  </r>
  <r>
    <x v="14"/>
  </r>
  <r>
    <x v="1"/>
  </r>
  <r>
    <x v="10"/>
  </r>
  <r>
    <x v="77"/>
  </r>
  <r>
    <x v="29"/>
  </r>
  <r>
    <x v="39"/>
  </r>
  <r>
    <x v="39"/>
  </r>
  <r>
    <x v="39"/>
  </r>
  <r>
    <x v="4"/>
  </r>
  <r>
    <x v="10"/>
  </r>
  <r>
    <x v="21"/>
  </r>
  <r>
    <x v="10"/>
  </r>
  <r>
    <x v="10"/>
  </r>
  <r>
    <x v="10"/>
  </r>
  <r>
    <x v="10"/>
  </r>
  <r>
    <x v="16"/>
  </r>
  <r>
    <x v="10"/>
  </r>
  <r>
    <x v="4"/>
  </r>
  <r>
    <x v="43"/>
  </r>
  <r>
    <x v="102"/>
  </r>
  <r>
    <x v="52"/>
  </r>
  <r>
    <x v="10"/>
  </r>
  <r>
    <x v="14"/>
  </r>
  <r>
    <x v="4"/>
  </r>
  <r>
    <x v="10"/>
  </r>
  <r>
    <x v="42"/>
  </r>
  <r>
    <x v="12"/>
  </r>
  <r>
    <x v="7"/>
  </r>
  <r>
    <x v="7"/>
  </r>
  <r>
    <x v="14"/>
  </r>
  <r>
    <x v="43"/>
  </r>
  <r>
    <x v="12"/>
  </r>
  <r>
    <x v="12"/>
  </r>
  <r>
    <x v="77"/>
  </r>
  <r>
    <x v="2"/>
  </r>
  <r>
    <x v="12"/>
  </r>
  <r>
    <x v="168"/>
  </r>
  <r>
    <x v="138"/>
  </r>
  <r>
    <x v="4"/>
  </r>
  <r>
    <x v="123"/>
  </r>
  <r>
    <x v="7"/>
  </r>
  <r>
    <x v="42"/>
  </r>
  <r>
    <x v="87"/>
  </r>
  <r>
    <x v="24"/>
  </r>
  <r>
    <x v="123"/>
  </r>
  <r>
    <x v="123"/>
  </r>
  <r>
    <x v="4"/>
  </r>
  <r>
    <x v="9"/>
  </r>
  <r>
    <x v="12"/>
  </r>
  <r>
    <x v="22"/>
  </r>
  <r>
    <x v="42"/>
  </r>
  <r>
    <x v="141"/>
  </r>
  <r>
    <x v="152"/>
  </r>
  <r>
    <x v="42"/>
  </r>
  <r>
    <x v="24"/>
  </r>
  <r>
    <x v="24"/>
  </r>
  <r>
    <x v="24"/>
  </r>
  <r>
    <x v="24"/>
  </r>
  <r>
    <x v="24"/>
  </r>
  <r>
    <x v="24"/>
  </r>
  <r>
    <x v="123"/>
  </r>
  <r>
    <x v="123"/>
  </r>
  <r>
    <x v="252"/>
  </r>
  <r>
    <x v="19"/>
  </r>
  <r>
    <x v="10"/>
  </r>
  <r>
    <x v="51"/>
  </r>
  <r>
    <x v="7"/>
  </r>
  <r>
    <x v="45"/>
  </r>
  <r>
    <x v="57"/>
  </r>
  <r>
    <x v="7"/>
  </r>
  <r>
    <x v="45"/>
  </r>
  <r>
    <x v="7"/>
  </r>
  <r>
    <x v="1"/>
  </r>
  <r>
    <x v="7"/>
  </r>
  <r>
    <x v="45"/>
  </r>
  <r>
    <x v="51"/>
  </r>
  <r>
    <x v="51"/>
  </r>
  <r>
    <x v="12"/>
  </r>
  <r>
    <x v="63"/>
  </r>
  <r>
    <x v="12"/>
  </r>
  <r>
    <x v="25"/>
  </r>
  <r>
    <x v="63"/>
  </r>
  <r>
    <x v="12"/>
  </r>
  <r>
    <x v="14"/>
  </r>
  <r>
    <x v="14"/>
  </r>
  <r>
    <x v="63"/>
  </r>
  <r>
    <x v="63"/>
  </r>
  <r>
    <x v="144"/>
  </r>
  <r>
    <x v="144"/>
  </r>
  <r>
    <x v="12"/>
  </r>
  <r>
    <x v="144"/>
  </r>
  <r>
    <x v="15"/>
  </r>
  <r>
    <x v="7"/>
  </r>
  <r>
    <x v="28"/>
  </r>
  <r>
    <x v="28"/>
  </r>
  <r>
    <x v="28"/>
  </r>
  <r>
    <x v="28"/>
  </r>
  <r>
    <x v="12"/>
  </r>
  <r>
    <x v="165"/>
  </r>
  <r>
    <x v="78"/>
  </r>
  <r>
    <x v="51"/>
  </r>
  <r>
    <x v="87"/>
  </r>
  <r>
    <x v="87"/>
  </r>
  <r>
    <x v="7"/>
  </r>
  <r>
    <x v="7"/>
  </r>
  <r>
    <x v="7"/>
  </r>
  <r>
    <x v="71"/>
  </r>
  <r>
    <x v="144"/>
  </r>
  <r>
    <x v="144"/>
  </r>
  <r>
    <x v="144"/>
  </r>
  <r>
    <x v="7"/>
  </r>
  <r>
    <x v="7"/>
  </r>
  <r>
    <x v="7"/>
  </r>
  <r>
    <x v="7"/>
  </r>
  <r>
    <x v="7"/>
  </r>
  <r>
    <x v="12"/>
  </r>
  <r>
    <x v="14"/>
  </r>
  <r>
    <x v="14"/>
  </r>
  <r>
    <x v="141"/>
  </r>
  <r>
    <x v="141"/>
  </r>
  <r>
    <x v="141"/>
  </r>
  <r>
    <x v="141"/>
  </r>
  <r>
    <x v="141"/>
  </r>
  <r>
    <x v="141"/>
  </r>
  <r>
    <x v="141"/>
  </r>
  <r>
    <x v="63"/>
  </r>
  <r>
    <x v="1"/>
  </r>
  <r>
    <x v="45"/>
  </r>
  <r>
    <x v="7"/>
  </r>
  <r>
    <x v="15"/>
  </r>
  <r>
    <x v="15"/>
  </r>
  <r>
    <x v="7"/>
  </r>
  <r>
    <x v="12"/>
  </r>
  <r>
    <x v="12"/>
  </r>
  <r>
    <x v="12"/>
  </r>
  <r>
    <x v="12"/>
  </r>
  <r>
    <x v="12"/>
  </r>
  <r>
    <x v="7"/>
  </r>
  <r>
    <x v="7"/>
  </r>
  <r>
    <x v="7"/>
  </r>
  <r>
    <x v="12"/>
  </r>
  <r>
    <x v="162"/>
  </r>
  <r>
    <x v="12"/>
  </r>
  <r>
    <x v="71"/>
  </r>
  <r>
    <x v="15"/>
  </r>
  <r>
    <x v="15"/>
  </r>
  <r>
    <x v="45"/>
  </r>
  <r>
    <x v="162"/>
  </r>
  <r>
    <x v="162"/>
  </r>
  <r>
    <x v="12"/>
  </r>
  <r>
    <x v="7"/>
  </r>
  <r>
    <x v="19"/>
  </r>
  <r>
    <x v="19"/>
  </r>
  <r>
    <x v="7"/>
  </r>
  <r>
    <x v="7"/>
  </r>
  <r>
    <x v="1"/>
  </r>
  <r>
    <x v="19"/>
  </r>
  <r>
    <x v="4"/>
  </r>
  <r>
    <x v="12"/>
  </r>
  <r>
    <x v="12"/>
  </r>
  <r>
    <x v="12"/>
  </r>
  <r>
    <x v="12"/>
  </r>
  <r>
    <x v="0"/>
  </r>
  <r>
    <x v="0"/>
  </r>
  <r>
    <x v="63"/>
  </r>
  <r>
    <x v="63"/>
  </r>
  <r>
    <x v="63"/>
  </r>
  <r>
    <x v="15"/>
  </r>
  <r>
    <x v="15"/>
  </r>
  <r>
    <x v="52"/>
  </r>
  <r>
    <x v="0"/>
  </r>
  <r>
    <x v="42"/>
  </r>
  <r>
    <x v="0"/>
  </r>
  <r>
    <x v="0"/>
  </r>
  <r>
    <x v="71"/>
  </r>
  <r>
    <x v="1"/>
  </r>
  <r>
    <x v="1"/>
  </r>
  <r>
    <x v="1"/>
  </r>
  <r>
    <x v="51"/>
  </r>
  <r>
    <x v="75"/>
  </r>
  <r>
    <x v="0"/>
  </r>
  <r>
    <x v="25"/>
  </r>
  <r>
    <x v="25"/>
  </r>
  <r>
    <x v="10"/>
  </r>
  <r>
    <x v="51"/>
  </r>
  <r>
    <x v="51"/>
  </r>
  <r>
    <x v="51"/>
  </r>
  <r>
    <x v="102"/>
  </r>
  <r>
    <x v="45"/>
  </r>
  <r>
    <x v="45"/>
  </r>
  <r>
    <x v="45"/>
  </r>
  <r>
    <x v="45"/>
  </r>
  <r>
    <x v="16"/>
  </r>
  <r>
    <x v="16"/>
  </r>
  <r>
    <x v="16"/>
  </r>
  <r>
    <x v="28"/>
  </r>
  <r>
    <x v="28"/>
  </r>
  <r>
    <x v="45"/>
  </r>
  <r>
    <x v="71"/>
  </r>
  <r>
    <x v="45"/>
  </r>
  <r>
    <x v="16"/>
  </r>
  <r>
    <x v="16"/>
  </r>
  <r>
    <x v="16"/>
  </r>
  <r>
    <x v="28"/>
  </r>
  <r>
    <x v="42"/>
  </r>
  <r>
    <x v="42"/>
  </r>
  <r>
    <x v="12"/>
  </r>
  <r>
    <x v="12"/>
  </r>
  <r>
    <x v="12"/>
  </r>
  <r>
    <x v="12"/>
  </r>
  <r>
    <x v="1"/>
  </r>
  <r>
    <x v="1"/>
  </r>
  <r>
    <x v="1"/>
  </r>
  <r>
    <x v="12"/>
  </r>
  <r>
    <x v="12"/>
  </r>
  <r>
    <x v="12"/>
  </r>
  <r>
    <x v="0"/>
  </r>
  <r>
    <x v="0"/>
  </r>
  <r>
    <x v="12"/>
  </r>
  <r>
    <x v="63"/>
  </r>
  <r>
    <x v="12"/>
  </r>
  <r>
    <x v="12"/>
  </r>
  <r>
    <x v="42"/>
  </r>
  <r>
    <x v="71"/>
  </r>
  <r>
    <x v="71"/>
  </r>
  <r>
    <x v="71"/>
  </r>
  <r>
    <x v="0"/>
  </r>
  <r>
    <x v="28"/>
  </r>
  <r>
    <x v="28"/>
  </r>
  <r>
    <x v="28"/>
  </r>
  <r>
    <x v="71"/>
  </r>
  <r>
    <x v="71"/>
  </r>
  <r>
    <x v="0"/>
  </r>
  <r>
    <x v="28"/>
  </r>
  <r>
    <x v="28"/>
  </r>
  <r>
    <x v="28"/>
  </r>
  <r>
    <x v="45"/>
  </r>
  <r>
    <x v="71"/>
  </r>
  <r>
    <x v="45"/>
  </r>
  <r>
    <x v="71"/>
  </r>
  <r>
    <x v="12"/>
  </r>
  <r>
    <x v="63"/>
  </r>
  <r>
    <x v="71"/>
  </r>
  <r>
    <x v="141"/>
  </r>
  <r>
    <x v="141"/>
  </r>
  <r>
    <x v="0"/>
  </r>
  <r>
    <x v="63"/>
  </r>
  <r>
    <x v="0"/>
  </r>
  <r>
    <x v="63"/>
  </r>
  <r>
    <x v="0"/>
  </r>
  <r>
    <x v="28"/>
  </r>
  <r>
    <x v="28"/>
  </r>
  <r>
    <x v="28"/>
  </r>
  <r>
    <x v="28"/>
  </r>
  <r>
    <x v="28"/>
  </r>
  <r>
    <x v="16"/>
  </r>
  <r>
    <x v="71"/>
  </r>
  <r>
    <x v="71"/>
  </r>
  <r>
    <x v="71"/>
  </r>
  <r>
    <x v="71"/>
  </r>
  <r>
    <x v="71"/>
  </r>
  <r>
    <x v="45"/>
  </r>
  <r>
    <x v="0"/>
  </r>
  <r>
    <x v="28"/>
  </r>
  <r>
    <x v="0"/>
  </r>
  <r>
    <x v="28"/>
  </r>
  <r>
    <x v="28"/>
  </r>
  <r>
    <x v="0"/>
  </r>
  <r>
    <x v="0"/>
  </r>
  <r>
    <x v="42"/>
  </r>
  <r>
    <x v="162"/>
  </r>
  <r>
    <x v="34"/>
  </r>
  <r>
    <x v="63"/>
  </r>
  <r>
    <x v="0"/>
  </r>
  <r>
    <x v="0"/>
  </r>
  <r>
    <x v="37"/>
  </r>
  <r>
    <x v="57"/>
  </r>
  <r>
    <x v="0"/>
  </r>
  <r>
    <x v="0"/>
  </r>
  <r>
    <x v="0"/>
  </r>
  <r>
    <x v="1"/>
  </r>
  <r>
    <x v="144"/>
  </r>
  <r>
    <x v="0"/>
  </r>
  <r>
    <x v="0"/>
  </r>
  <r>
    <x v="28"/>
  </r>
  <r>
    <x v="28"/>
  </r>
  <r>
    <x v="12"/>
  </r>
  <r>
    <x v="12"/>
  </r>
  <r>
    <x v="28"/>
  </r>
  <r>
    <x v="71"/>
  </r>
  <r>
    <x v="71"/>
  </r>
  <r>
    <x v="28"/>
  </r>
  <r>
    <x v="28"/>
  </r>
  <r>
    <x v="28"/>
  </r>
  <r>
    <x v="28"/>
  </r>
  <r>
    <x v="12"/>
  </r>
  <r>
    <x v="0"/>
  </r>
  <r>
    <x v="0"/>
  </r>
  <r>
    <x v="0"/>
  </r>
  <r>
    <x v="28"/>
  </r>
  <r>
    <x v="12"/>
  </r>
  <r>
    <x v="12"/>
  </r>
  <r>
    <x v="12"/>
  </r>
  <r>
    <x v="63"/>
  </r>
  <r>
    <x v="12"/>
  </r>
  <r>
    <x v="162"/>
  </r>
  <r>
    <x v="47"/>
  </r>
  <r>
    <x v="112"/>
  </r>
  <r>
    <x v="112"/>
  </r>
  <r>
    <x v="112"/>
  </r>
  <r>
    <x v="4"/>
  </r>
  <r>
    <x v="25"/>
  </r>
  <r>
    <x v="10"/>
  </r>
  <r>
    <x v="10"/>
  </r>
  <r>
    <x v="28"/>
  </r>
  <r>
    <x v="14"/>
  </r>
  <r>
    <x v="10"/>
  </r>
  <r>
    <x v="115"/>
  </r>
  <r>
    <x v="10"/>
  </r>
  <r>
    <x v="4"/>
  </r>
  <r>
    <x v="0"/>
  </r>
  <r>
    <x v="11"/>
  </r>
  <r>
    <x v="16"/>
  </r>
  <r>
    <x v="37"/>
  </r>
  <r>
    <x v="12"/>
  </r>
  <r>
    <x v="48"/>
  </r>
  <r>
    <x v="42"/>
  </r>
  <r>
    <x v="28"/>
  </r>
  <r>
    <x v="16"/>
  </r>
  <r>
    <x v="28"/>
  </r>
  <r>
    <x v="12"/>
  </r>
  <r>
    <x v="71"/>
  </r>
  <r>
    <x v="71"/>
  </r>
  <r>
    <x v="4"/>
  </r>
  <r>
    <x v="4"/>
  </r>
  <r>
    <x v="4"/>
  </r>
  <r>
    <x v="14"/>
  </r>
  <r>
    <x v="71"/>
  </r>
  <r>
    <x v="71"/>
  </r>
  <r>
    <x v="45"/>
  </r>
  <r>
    <x v="42"/>
  </r>
  <r>
    <x v="42"/>
  </r>
  <r>
    <x v="71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1"/>
  </r>
  <r>
    <x v="7"/>
  </r>
  <r>
    <x v="4"/>
  </r>
  <r>
    <x v="4"/>
  </r>
  <r>
    <x v="1"/>
  </r>
  <r>
    <x v="63"/>
  </r>
  <r>
    <x v="63"/>
  </r>
  <r>
    <x v="0"/>
  </r>
  <r>
    <x v="0"/>
  </r>
  <r>
    <x v="0"/>
  </r>
  <r>
    <x v="63"/>
  </r>
  <r>
    <x v="63"/>
  </r>
  <r>
    <x v="63"/>
  </r>
  <r>
    <x v="1"/>
  </r>
  <r>
    <x v="1"/>
  </r>
  <r>
    <x v="1"/>
  </r>
  <r>
    <x v="1"/>
  </r>
  <r>
    <x v="36"/>
  </r>
  <r>
    <x v="7"/>
  </r>
  <r>
    <x v="7"/>
  </r>
  <r>
    <x v="4"/>
  </r>
  <r>
    <x v="1"/>
  </r>
  <r>
    <x v="19"/>
  </r>
  <r>
    <x v="1"/>
  </r>
  <r>
    <x v="1"/>
  </r>
  <r>
    <x v="12"/>
  </r>
  <r>
    <x v="12"/>
  </r>
  <r>
    <x v="12"/>
  </r>
  <r>
    <x v="12"/>
  </r>
  <r>
    <x v="144"/>
  </r>
  <r>
    <x v="28"/>
  </r>
  <r>
    <x v="57"/>
  </r>
  <r>
    <x v="12"/>
  </r>
  <r>
    <x v="28"/>
  </r>
  <r>
    <x v="0"/>
  </r>
  <r>
    <x v="144"/>
  </r>
  <r>
    <x v="144"/>
  </r>
  <r>
    <x v="63"/>
  </r>
  <r>
    <x v="63"/>
  </r>
  <r>
    <x v="63"/>
  </r>
  <r>
    <x v="12"/>
  </r>
  <r>
    <x v="0"/>
  </r>
  <r>
    <x v="9"/>
  </r>
  <r>
    <x v="45"/>
  </r>
  <r>
    <x v="141"/>
  </r>
  <r>
    <x v="4"/>
  </r>
  <r>
    <x v="4"/>
  </r>
  <r>
    <x v="48"/>
  </r>
  <r>
    <x v="63"/>
  </r>
  <r>
    <x v="63"/>
  </r>
  <r>
    <x v="4"/>
  </r>
  <r>
    <x v="1"/>
  </r>
  <r>
    <x v="1"/>
  </r>
  <r>
    <x v="1"/>
  </r>
  <r>
    <x v="1"/>
  </r>
  <r>
    <x v="141"/>
  </r>
  <r>
    <x v="141"/>
  </r>
  <r>
    <x v="141"/>
  </r>
  <r>
    <x v="4"/>
  </r>
  <r>
    <x v="1"/>
  </r>
  <r>
    <x v="4"/>
  </r>
  <r>
    <x v="63"/>
  </r>
  <r>
    <x v="14"/>
  </r>
  <r>
    <x v="1"/>
  </r>
  <r>
    <x v="42"/>
  </r>
  <r>
    <x v="7"/>
  </r>
  <r>
    <x v="7"/>
  </r>
  <r>
    <x v="1"/>
  </r>
  <r>
    <x v="7"/>
  </r>
  <r>
    <x v="1"/>
  </r>
  <r>
    <x v="1"/>
  </r>
  <r>
    <x v="1"/>
  </r>
  <r>
    <x v="1"/>
  </r>
  <r>
    <x v="1"/>
  </r>
  <r>
    <x v="1"/>
  </r>
  <r>
    <x v="28"/>
  </r>
  <r>
    <x v="16"/>
  </r>
  <r>
    <x v="0"/>
  </r>
  <r>
    <x v="2"/>
  </r>
  <r>
    <x v="2"/>
  </r>
  <r>
    <x v="77"/>
  </r>
  <r>
    <x v="10"/>
  </r>
  <r>
    <x v="50"/>
  </r>
  <r>
    <x v="10"/>
  </r>
  <r>
    <x v="77"/>
  </r>
  <r>
    <x v="16"/>
  </r>
  <r>
    <x v="7"/>
  </r>
  <r>
    <x v="7"/>
  </r>
  <r>
    <x v="63"/>
  </r>
  <r>
    <x v="57"/>
  </r>
  <r>
    <x v="10"/>
  </r>
  <r>
    <x v="4"/>
  </r>
  <r>
    <x v="4"/>
  </r>
  <r>
    <x v="12"/>
  </r>
  <r>
    <x v="12"/>
  </r>
  <r>
    <x v="51"/>
  </r>
  <r>
    <x v="51"/>
  </r>
  <r>
    <x v="7"/>
  </r>
  <r>
    <x v="12"/>
  </r>
  <r>
    <x v="12"/>
  </r>
  <r>
    <x v="10"/>
  </r>
  <r>
    <x v="57"/>
  </r>
  <r>
    <x v="0"/>
  </r>
  <r>
    <x v="71"/>
  </r>
  <r>
    <x v="71"/>
  </r>
  <r>
    <x v="48"/>
  </r>
  <r>
    <x v="12"/>
  </r>
  <r>
    <x v="12"/>
  </r>
  <r>
    <x v="12"/>
  </r>
  <r>
    <x v="1"/>
  </r>
  <r>
    <x v="1"/>
  </r>
  <r>
    <x v="1"/>
  </r>
  <r>
    <x v="1"/>
  </r>
  <r>
    <x v="12"/>
  </r>
  <r>
    <x v="12"/>
  </r>
  <r>
    <x v="12"/>
  </r>
  <r>
    <x v="12"/>
  </r>
  <r>
    <x v="12"/>
  </r>
  <r>
    <x v="12"/>
  </r>
  <r>
    <x v="1"/>
  </r>
  <r>
    <x v="63"/>
  </r>
  <r>
    <x v="51"/>
  </r>
  <r>
    <x v="1"/>
  </r>
  <r>
    <x v="86"/>
  </r>
  <r>
    <x v="12"/>
  </r>
  <r>
    <x v="12"/>
  </r>
  <r>
    <x v="12"/>
  </r>
  <r>
    <x v="12"/>
  </r>
  <r>
    <x v="7"/>
  </r>
  <r>
    <x v="51"/>
  </r>
  <r>
    <x v="7"/>
  </r>
  <r>
    <x v="17"/>
  </r>
  <r>
    <x v="148"/>
  </r>
  <r>
    <x v="12"/>
  </r>
  <r>
    <x v="12"/>
  </r>
  <r>
    <x v="51"/>
  </r>
  <r>
    <x v="51"/>
  </r>
  <r>
    <x v="51"/>
  </r>
  <r>
    <x v="51"/>
  </r>
  <r>
    <x v="12"/>
  </r>
  <r>
    <x v="12"/>
  </r>
  <r>
    <x v="12"/>
  </r>
  <r>
    <x v="51"/>
  </r>
  <r>
    <x v="12"/>
  </r>
  <r>
    <x v="19"/>
  </r>
  <r>
    <x v="7"/>
  </r>
  <r>
    <x v="51"/>
  </r>
  <r>
    <x v="79"/>
  </r>
  <r>
    <x v="79"/>
  </r>
  <r>
    <x v="79"/>
  </r>
  <r>
    <x v="51"/>
  </r>
  <r>
    <x v="51"/>
  </r>
  <r>
    <x v="28"/>
  </r>
  <r>
    <x v="33"/>
  </r>
  <r>
    <x v="12"/>
  </r>
  <r>
    <x v="33"/>
  </r>
  <r>
    <x v="12"/>
  </r>
  <r>
    <x v="12"/>
  </r>
  <r>
    <x v="12"/>
  </r>
  <r>
    <x v="51"/>
  </r>
  <r>
    <x v="51"/>
  </r>
  <r>
    <x v="12"/>
  </r>
  <r>
    <x v="12"/>
  </r>
  <r>
    <x v="51"/>
  </r>
  <r>
    <x v="45"/>
  </r>
  <r>
    <x v="63"/>
  </r>
  <r>
    <x v="45"/>
  </r>
  <r>
    <x v="7"/>
  </r>
  <r>
    <x v="45"/>
  </r>
  <r>
    <x v="7"/>
  </r>
  <r>
    <x v="7"/>
  </r>
  <r>
    <x v="45"/>
  </r>
  <r>
    <x v="7"/>
  </r>
  <r>
    <x v="12"/>
  </r>
  <r>
    <x v="12"/>
  </r>
  <r>
    <x v="12"/>
  </r>
  <r>
    <x v="33"/>
  </r>
  <r>
    <x v="28"/>
  </r>
  <r>
    <x v="28"/>
  </r>
  <r>
    <x v="33"/>
  </r>
  <r>
    <x v="33"/>
  </r>
  <r>
    <x v="33"/>
  </r>
  <r>
    <x v="57"/>
  </r>
  <r>
    <x v="51"/>
  </r>
  <r>
    <x v="10"/>
  </r>
  <r>
    <x v="12"/>
  </r>
  <r>
    <x v="190"/>
  </r>
  <r>
    <x v="45"/>
  </r>
  <r>
    <x v="152"/>
  </r>
  <r>
    <x v="28"/>
  </r>
  <r>
    <x v="28"/>
  </r>
  <r>
    <x v="56"/>
  </r>
  <r>
    <x v="19"/>
  </r>
  <r>
    <x v="0"/>
  </r>
  <r>
    <x v="71"/>
  </r>
  <r>
    <x v="24"/>
  </r>
  <r>
    <x v="57"/>
  </r>
  <r>
    <x v="1"/>
  </r>
  <r>
    <x v="1"/>
  </r>
  <r>
    <x v="57"/>
  </r>
  <r>
    <x v="57"/>
  </r>
  <r>
    <x v="162"/>
  </r>
  <r>
    <x v="12"/>
  </r>
  <r>
    <x v="12"/>
  </r>
  <r>
    <x v="12"/>
  </r>
  <r>
    <x v="12"/>
  </r>
  <r>
    <x v="4"/>
  </r>
  <r>
    <x v="10"/>
  </r>
  <r>
    <x v="162"/>
  </r>
  <r>
    <x v="45"/>
  </r>
  <r>
    <x v="7"/>
  </r>
  <r>
    <x v="7"/>
  </r>
  <r>
    <x v="45"/>
  </r>
  <r>
    <x v="45"/>
  </r>
  <r>
    <x v="45"/>
  </r>
  <r>
    <x v="7"/>
  </r>
  <r>
    <x v="7"/>
  </r>
  <r>
    <x v="7"/>
  </r>
  <r>
    <x v="7"/>
  </r>
  <r>
    <x v="7"/>
  </r>
  <r>
    <x v="7"/>
  </r>
  <r>
    <x v="57"/>
  </r>
  <r>
    <x v="84"/>
  </r>
  <r>
    <x v="84"/>
  </r>
  <r>
    <x v="57"/>
  </r>
  <r>
    <x v="4"/>
  </r>
  <r>
    <x v="10"/>
  </r>
  <r>
    <x v="4"/>
  </r>
  <r>
    <x v="48"/>
  </r>
  <r>
    <x v="71"/>
  </r>
  <r>
    <x v="51"/>
  </r>
  <r>
    <x v="51"/>
  </r>
  <r>
    <x v="84"/>
  </r>
  <r>
    <x v="57"/>
  </r>
  <r>
    <x v="57"/>
  </r>
  <r>
    <x v="57"/>
  </r>
  <r>
    <x v="57"/>
  </r>
  <r>
    <x v="7"/>
  </r>
  <r>
    <x v="0"/>
  </r>
  <r>
    <x v="25"/>
  </r>
  <r>
    <x v="56"/>
  </r>
  <r>
    <x v="0"/>
  </r>
  <r>
    <x v="0"/>
  </r>
  <r>
    <x v="7"/>
  </r>
  <r>
    <x v="57"/>
  </r>
  <r>
    <x v="16"/>
  </r>
  <r>
    <x v="16"/>
  </r>
  <r>
    <x v="7"/>
  </r>
  <r>
    <x v="37"/>
  </r>
  <r>
    <x v="12"/>
  </r>
  <r>
    <x v="16"/>
  </r>
  <r>
    <x v="16"/>
  </r>
  <r>
    <x v="16"/>
  </r>
  <r>
    <x v="57"/>
  </r>
  <r>
    <x v="45"/>
  </r>
  <r>
    <x v="2"/>
  </r>
  <r>
    <x v="16"/>
  </r>
  <r>
    <x v="57"/>
  </r>
  <r>
    <x v="42"/>
  </r>
  <r>
    <x v="4"/>
  </r>
  <r>
    <x v="4"/>
  </r>
  <r>
    <x v="16"/>
  </r>
  <r>
    <x v="16"/>
  </r>
  <r>
    <x v="1"/>
  </r>
  <r>
    <x v="1"/>
  </r>
  <r>
    <x v="16"/>
  </r>
  <r>
    <x v="2"/>
  </r>
  <r>
    <x v="42"/>
  </r>
  <r>
    <x v="141"/>
  </r>
  <r>
    <x v="141"/>
  </r>
  <r>
    <x v="12"/>
  </r>
  <r>
    <x v="141"/>
  </r>
  <r>
    <x v="141"/>
  </r>
  <r>
    <x v="45"/>
  </r>
  <r>
    <x v="45"/>
  </r>
  <r>
    <x v="45"/>
  </r>
  <r>
    <x v="141"/>
  </r>
  <r>
    <x v="42"/>
  </r>
  <r>
    <x v="7"/>
  </r>
  <r>
    <x v="7"/>
  </r>
  <r>
    <x v="4"/>
  </r>
  <r>
    <x v="15"/>
  </r>
  <r>
    <x v="15"/>
  </r>
  <r>
    <x v="16"/>
  </r>
  <r>
    <x v="16"/>
  </r>
  <r>
    <x v="16"/>
  </r>
  <r>
    <x v="7"/>
  </r>
  <r>
    <x v="7"/>
  </r>
  <r>
    <x v="4"/>
  </r>
  <r>
    <x v="33"/>
  </r>
  <r>
    <x v="45"/>
  </r>
  <r>
    <x v="45"/>
  </r>
  <r>
    <x v="141"/>
  </r>
  <r>
    <x v="4"/>
  </r>
  <r>
    <x v="71"/>
  </r>
  <r>
    <x v="45"/>
  </r>
  <r>
    <x v="45"/>
  </r>
  <r>
    <x v="45"/>
  </r>
  <r>
    <x v="0"/>
  </r>
  <r>
    <x v="26"/>
  </r>
  <r>
    <x v="12"/>
  </r>
  <r>
    <x v="16"/>
  </r>
  <r>
    <x v="16"/>
  </r>
  <r>
    <x v="16"/>
  </r>
  <r>
    <x v="4"/>
  </r>
  <r>
    <x v="4"/>
  </r>
  <r>
    <x v="12"/>
  </r>
  <r>
    <x v="12"/>
  </r>
  <r>
    <x v="0"/>
  </r>
  <r>
    <x v="9"/>
  </r>
  <r>
    <x v="12"/>
  </r>
  <r>
    <x v="4"/>
  </r>
  <r>
    <x v="4"/>
  </r>
  <r>
    <x v="1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38"/>
  </r>
  <r>
    <x v="12"/>
  </r>
  <r>
    <x v="169"/>
  </r>
  <r>
    <x v="0"/>
  </r>
  <r>
    <x v="28"/>
  </r>
  <r>
    <x v="71"/>
  </r>
  <r>
    <x v="12"/>
  </r>
  <r>
    <x v="0"/>
  </r>
  <r>
    <x v="0"/>
  </r>
  <r>
    <x v="171"/>
  </r>
  <r>
    <x v="1"/>
  </r>
  <r>
    <x v="42"/>
  </r>
  <r>
    <x v="42"/>
  </r>
  <r>
    <x v="0"/>
  </r>
  <r>
    <x v="45"/>
  </r>
  <r>
    <x v="0"/>
  </r>
  <r>
    <x v="0"/>
  </r>
  <r>
    <x v="16"/>
  </r>
  <r>
    <x v="16"/>
  </r>
  <r>
    <x v="42"/>
  </r>
  <r>
    <x v="45"/>
  </r>
  <r>
    <x v="12"/>
  </r>
  <r>
    <x v="12"/>
  </r>
  <r>
    <x v="14"/>
  </r>
  <r>
    <x v="36"/>
  </r>
  <r>
    <x v="12"/>
  </r>
  <r>
    <x v="15"/>
  </r>
  <r>
    <x v="15"/>
  </r>
  <r>
    <x v="45"/>
  </r>
  <r>
    <x v="45"/>
  </r>
  <r>
    <x v="25"/>
  </r>
  <r>
    <x v="10"/>
  </r>
  <r>
    <x v="42"/>
  </r>
  <r>
    <x v="57"/>
  </r>
  <r>
    <x v="57"/>
  </r>
  <r>
    <x v="19"/>
  </r>
  <r>
    <x v="47"/>
  </r>
  <r>
    <x v="47"/>
  </r>
  <r>
    <x v="47"/>
  </r>
  <r>
    <x v="2"/>
  </r>
  <r>
    <x v="19"/>
  </r>
  <r>
    <x v="19"/>
  </r>
  <r>
    <x v="16"/>
  </r>
  <r>
    <x v="16"/>
  </r>
  <r>
    <x v="12"/>
  </r>
  <r>
    <x v="12"/>
  </r>
  <r>
    <x v="12"/>
  </r>
  <r>
    <x v="42"/>
  </r>
  <r>
    <x v="12"/>
  </r>
  <r>
    <x v="68"/>
  </r>
  <r>
    <x v="15"/>
  </r>
  <r>
    <x v="149"/>
  </r>
  <r>
    <x v="4"/>
  </r>
  <r>
    <x v="4"/>
  </r>
  <r>
    <x v="4"/>
  </r>
  <r>
    <x v="4"/>
  </r>
  <r>
    <x v="15"/>
  </r>
  <r>
    <x v="11"/>
  </r>
  <r>
    <x v="15"/>
  </r>
  <r>
    <x v="15"/>
  </r>
  <r>
    <x v="12"/>
  </r>
  <r>
    <x v="1"/>
  </r>
  <r>
    <x v="1"/>
  </r>
  <r>
    <x v="10"/>
  </r>
  <r>
    <x v="9"/>
  </r>
  <r>
    <x v="12"/>
  </r>
  <r>
    <x v="50"/>
  </r>
  <r>
    <x v="12"/>
  </r>
  <r>
    <x v="12"/>
  </r>
  <r>
    <x v="12"/>
  </r>
  <r>
    <x v="12"/>
  </r>
  <r>
    <x v="28"/>
  </r>
  <r>
    <x v="28"/>
  </r>
  <r>
    <x v="12"/>
  </r>
  <r>
    <x v="16"/>
  </r>
  <r>
    <x v="0"/>
  </r>
  <r>
    <x v="0"/>
  </r>
  <r>
    <x v="16"/>
  </r>
  <r>
    <x v="0"/>
  </r>
  <r>
    <x v="0"/>
  </r>
  <r>
    <x v="31"/>
  </r>
  <r>
    <x v="19"/>
  </r>
  <r>
    <x v="28"/>
  </r>
  <r>
    <x v="28"/>
  </r>
  <r>
    <x v="28"/>
  </r>
  <r>
    <x v="50"/>
  </r>
  <r>
    <x v="50"/>
  </r>
  <r>
    <x v="50"/>
  </r>
  <r>
    <x v="50"/>
  </r>
  <r>
    <x v="28"/>
  </r>
  <r>
    <x v="28"/>
  </r>
  <r>
    <x v="47"/>
  </r>
  <r>
    <x v="47"/>
  </r>
  <r>
    <x v="31"/>
  </r>
  <r>
    <x v="50"/>
  </r>
  <r>
    <x v="2"/>
  </r>
  <r>
    <x v="28"/>
  </r>
  <r>
    <x v="28"/>
  </r>
  <r>
    <x v="28"/>
  </r>
  <r>
    <x v="28"/>
  </r>
  <r>
    <x v="12"/>
  </r>
  <r>
    <x v="12"/>
  </r>
  <r>
    <x v="12"/>
  </r>
  <r>
    <x v="12"/>
  </r>
  <r>
    <x v="12"/>
  </r>
  <r>
    <x v="11"/>
  </r>
  <r>
    <x v="12"/>
  </r>
  <r>
    <x v="15"/>
  </r>
  <r>
    <x v="57"/>
  </r>
  <r>
    <x v="47"/>
  </r>
  <r>
    <x v="4"/>
  </r>
  <r>
    <x v="15"/>
  </r>
  <r>
    <x v="28"/>
  </r>
  <r>
    <x v="0"/>
  </r>
  <r>
    <x v="0"/>
  </r>
  <r>
    <x v="0"/>
  </r>
  <r>
    <x v="0"/>
  </r>
  <r>
    <x v="24"/>
  </r>
  <r>
    <x v="15"/>
  </r>
  <r>
    <x v="24"/>
  </r>
  <r>
    <x v="57"/>
  </r>
  <r>
    <x v="28"/>
  </r>
  <r>
    <x v="57"/>
  </r>
  <r>
    <x v="57"/>
  </r>
  <r>
    <x v="29"/>
  </r>
  <r>
    <x v="29"/>
  </r>
  <r>
    <x v="15"/>
  </r>
  <r>
    <x v="15"/>
  </r>
  <r>
    <x v="12"/>
  </r>
  <r>
    <x v="19"/>
  </r>
  <r>
    <x v="26"/>
  </r>
  <r>
    <x v="17"/>
  </r>
  <r>
    <x v="28"/>
  </r>
  <r>
    <x v="92"/>
  </r>
  <r>
    <x v="15"/>
  </r>
  <r>
    <x v="92"/>
  </r>
  <r>
    <x v="15"/>
  </r>
  <r>
    <x v="26"/>
  </r>
  <r>
    <x v="17"/>
  </r>
  <r>
    <x v="26"/>
  </r>
  <r>
    <x v="15"/>
  </r>
  <r>
    <x v="29"/>
  </r>
  <r>
    <x v="29"/>
  </r>
  <r>
    <x v="50"/>
  </r>
  <r>
    <x v="2"/>
  </r>
  <r>
    <x v="2"/>
  </r>
  <r>
    <x v="2"/>
  </r>
  <r>
    <x v="2"/>
  </r>
  <r>
    <x v="152"/>
  </r>
  <r>
    <x v="89"/>
  </r>
  <r>
    <x v="21"/>
  </r>
  <r>
    <x v="10"/>
  </r>
  <r>
    <x v="19"/>
  </r>
  <r>
    <x v="19"/>
  </r>
  <r>
    <x v="19"/>
  </r>
  <r>
    <x v="2"/>
  </r>
  <r>
    <x v="57"/>
  </r>
  <r>
    <x v="2"/>
  </r>
  <r>
    <x v="2"/>
  </r>
  <r>
    <x v="2"/>
  </r>
  <r>
    <x v="2"/>
  </r>
  <r>
    <x v="45"/>
  </r>
  <r>
    <x v="45"/>
  </r>
  <r>
    <x v="10"/>
  </r>
  <r>
    <x v="138"/>
  </r>
  <r>
    <x v="2"/>
  </r>
  <r>
    <x v="2"/>
  </r>
  <r>
    <x v="57"/>
  </r>
  <r>
    <x v="19"/>
  </r>
  <r>
    <x v="0"/>
  </r>
  <r>
    <x v="0"/>
  </r>
  <r>
    <x v="12"/>
  </r>
  <r>
    <x v="12"/>
  </r>
  <r>
    <x v="12"/>
  </r>
  <r>
    <x v="12"/>
  </r>
  <r>
    <x v="57"/>
  </r>
  <r>
    <x v="152"/>
  </r>
  <r>
    <x v="139"/>
  </r>
  <r>
    <x v="87"/>
  </r>
  <r>
    <x v="152"/>
  </r>
  <r>
    <x v="152"/>
  </r>
  <r>
    <x v="12"/>
  </r>
  <r>
    <x v="57"/>
  </r>
  <r>
    <x v="16"/>
  </r>
  <r>
    <x v="12"/>
  </r>
  <r>
    <x v="24"/>
  </r>
  <r>
    <x v="7"/>
  </r>
  <r>
    <x v="4"/>
  </r>
  <r>
    <x v="138"/>
  </r>
  <r>
    <x v="0"/>
  </r>
  <r>
    <x v="0"/>
  </r>
  <r>
    <x v="0"/>
  </r>
  <r>
    <x v="0"/>
  </r>
  <r>
    <x v="63"/>
  </r>
  <r>
    <x v="63"/>
  </r>
  <r>
    <x v="25"/>
  </r>
  <r>
    <x v="2"/>
  </r>
  <r>
    <x v="12"/>
  </r>
  <r>
    <x v="12"/>
  </r>
  <r>
    <x v="12"/>
  </r>
  <r>
    <x v="15"/>
  </r>
  <r>
    <x v="4"/>
  </r>
  <r>
    <x v="26"/>
  </r>
  <r>
    <x v="26"/>
  </r>
  <r>
    <x v="26"/>
  </r>
  <r>
    <x v="17"/>
  </r>
  <r>
    <x v="26"/>
  </r>
  <r>
    <x v="19"/>
  </r>
  <r>
    <x v="0"/>
  </r>
  <r>
    <x v="0"/>
  </r>
  <r>
    <x v="11"/>
  </r>
  <r>
    <x v="11"/>
  </r>
  <r>
    <x v="31"/>
  </r>
  <r>
    <x v="31"/>
  </r>
  <r>
    <x v="19"/>
  </r>
  <r>
    <x v="19"/>
  </r>
  <r>
    <x v="19"/>
  </r>
  <r>
    <x v="4"/>
  </r>
  <r>
    <x v="47"/>
  </r>
  <r>
    <x v="0"/>
  </r>
  <r>
    <x v="14"/>
  </r>
  <r>
    <x v="0"/>
  </r>
  <r>
    <x v="19"/>
  </r>
  <r>
    <x v="0"/>
  </r>
  <r>
    <x v="47"/>
  </r>
  <r>
    <x v="47"/>
  </r>
  <r>
    <x v="47"/>
  </r>
  <r>
    <x v="26"/>
  </r>
  <r>
    <x v="17"/>
  </r>
  <r>
    <x v="19"/>
  </r>
  <r>
    <x v="19"/>
  </r>
  <r>
    <x v="19"/>
  </r>
  <r>
    <x v="0"/>
  </r>
  <r>
    <x v="19"/>
  </r>
  <r>
    <x v="19"/>
  </r>
  <r>
    <x v="50"/>
  </r>
  <r>
    <x v="45"/>
  </r>
  <r>
    <x v="48"/>
  </r>
  <r>
    <x v="11"/>
  </r>
  <r>
    <x v="11"/>
  </r>
  <r>
    <x v="11"/>
  </r>
  <r>
    <x v="11"/>
  </r>
  <r>
    <x v="11"/>
  </r>
  <r>
    <x v="11"/>
  </r>
  <r>
    <x v="11"/>
  </r>
  <r>
    <x v="11"/>
  </r>
  <r>
    <x v="152"/>
  </r>
  <r>
    <x v="0"/>
  </r>
  <r>
    <x v="42"/>
  </r>
  <r>
    <x v="0"/>
  </r>
  <r>
    <x v="0"/>
  </r>
  <r>
    <x v="12"/>
  </r>
  <r>
    <x v="12"/>
  </r>
  <r>
    <x v="12"/>
  </r>
  <r>
    <x v="0"/>
  </r>
  <r>
    <x v="56"/>
  </r>
  <r>
    <x v="77"/>
  </r>
  <r>
    <x v="77"/>
  </r>
  <r>
    <x v="123"/>
  </r>
  <r>
    <x v="17"/>
  </r>
  <r>
    <x v="17"/>
  </r>
  <r>
    <x v="15"/>
  </r>
  <r>
    <x v="15"/>
  </r>
  <r>
    <x v="57"/>
  </r>
  <r>
    <x v="57"/>
  </r>
  <r>
    <x v="57"/>
  </r>
  <r>
    <x v="12"/>
  </r>
  <r>
    <x v="12"/>
  </r>
  <r>
    <x v="0"/>
  </r>
  <r>
    <x v="0"/>
  </r>
  <r>
    <x v="0"/>
  </r>
  <r>
    <x v="19"/>
  </r>
  <r>
    <x v="7"/>
  </r>
  <r>
    <x v="12"/>
  </r>
  <r>
    <x v="0"/>
  </r>
  <r>
    <x v="0"/>
  </r>
  <r>
    <x v="0"/>
  </r>
  <r>
    <x v="12"/>
  </r>
  <r>
    <x v="57"/>
  </r>
  <r>
    <x v="57"/>
  </r>
  <r>
    <x v="0"/>
  </r>
  <r>
    <x v="15"/>
  </r>
  <r>
    <x v="12"/>
  </r>
  <r>
    <x v="12"/>
  </r>
  <r>
    <x v="12"/>
  </r>
  <r>
    <x v="12"/>
  </r>
  <r>
    <x v="12"/>
  </r>
  <r>
    <x v="131"/>
  </r>
  <r>
    <x v="15"/>
  </r>
  <r>
    <x v="47"/>
  </r>
  <r>
    <x v="19"/>
  </r>
  <r>
    <x v="47"/>
  </r>
  <r>
    <x v="47"/>
  </r>
  <r>
    <x v="19"/>
  </r>
  <r>
    <x v="19"/>
  </r>
  <r>
    <x v="0"/>
  </r>
  <r>
    <x v="47"/>
  </r>
  <r>
    <x v="19"/>
  </r>
  <r>
    <x v="47"/>
  </r>
  <r>
    <x v="47"/>
  </r>
  <r>
    <x v="47"/>
  </r>
  <r>
    <x v="28"/>
  </r>
  <r>
    <x v="11"/>
  </r>
  <r>
    <x v="17"/>
  </r>
  <r>
    <x v="17"/>
  </r>
  <r>
    <x v="31"/>
  </r>
  <r>
    <x v="42"/>
  </r>
  <r>
    <x v="42"/>
  </r>
  <r>
    <x v="42"/>
  </r>
  <r>
    <x v="0"/>
  </r>
  <r>
    <x v="0"/>
  </r>
  <r>
    <x v="2"/>
  </r>
  <r>
    <x v="2"/>
  </r>
  <r>
    <x v="21"/>
  </r>
  <r>
    <x v="21"/>
  </r>
  <r>
    <x v="2"/>
  </r>
  <r>
    <x v="57"/>
  </r>
  <r>
    <x v="10"/>
  </r>
  <r>
    <x v="19"/>
  </r>
  <r>
    <x v="51"/>
  </r>
  <r>
    <x v="12"/>
  </r>
  <r>
    <x v="19"/>
  </r>
  <r>
    <x v="19"/>
  </r>
  <r>
    <x v="78"/>
  </r>
  <r>
    <x v="78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9"/>
  </r>
  <r>
    <x v="0"/>
  </r>
  <r>
    <x v="11"/>
  </r>
  <r>
    <x v="11"/>
  </r>
  <r>
    <x v="11"/>
  </r>
  <r>
    <x v="10"/>
  </r>
  <r>
    <x v="10"/>
  </r>
  <r>
    <x v="10"/>
  </r>
  <r>
    <x v="112"/>
  </r>
  <r>
    <x v="128"/>
  </r>
  <r>
    <x v="12"/>
  </r>
  <r>
    <x v="48"/>
  </r>
  <r>
    <x v="42"/>
  </r>
  <r>
    <x v="0"/>
  </r>
  <r>
    <x v="0"/>
  </r>
  <r>
    <x v="0"/>
  </r>
  <r>
    <x v="0"/>
  </r>
  <r>
    <x v="152"/>
  </r>
  <r>
    <x v="0"/>
  </r>
  <r>
    <x v="0"/>
  </r>
  <r>
    <x v="123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2"/>
  </r>
  <r>
    <x v="47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0"/>
  </r>
  <r>
    <x v="28"/>
  </r>
  <r>
    <x v="12"/>
  </r>
  <r>
    <x v="12"/>
  </r>
  <r>
    <x v="0"/>
  </r>
  <r>
    <x v="0"/>
  </r>
  <r>
    <x v="0"/>
  </r>
  <r>
    <x v="0"/>
  </r>
  <r>
    <x v="0"/>
  </r>
  <r>
    <x v="0"/>
  </r>
  <r>
    <x v="47"/>
  </r>
  <r>
    <x v="47"/>
  </r>
  <r>
    <x v="14"/>
  </r>
  <r>
    <x v="1"/>
  </r>
  <r>
    <x v="4"/>
  </r>
  <r>
    <x v="47"/>
  </r>
  <r>
    <x v="47"/>
  </r>
  <r>
    <x v="4"/>
  </r>
  <r>
    <x v="10"/>
  </r>
  <r>
    <x v="19"/>
  </r>
  <r>
    <x v="19"/>
  </r>
  <r>
    <x v="9"/>
  </r>
  <r>
    <x v="9"/>
  </r>
  <r>
    <x v="9"/>
  </r>
  <r>
    <x v="9"/>
  </r>
  <r>
    <x v="9"/>
  </r>
  <r>
    <x v="11"/>
  </r>
  <r>
    <x v="93"/>
  </r>
  <r>
    <x v="4"/>
  </r>
  <r>
    <x v="4"/>
  </r>
  <r>
    <x v="4"/>
  </r>
  <r>
    <x v="10"/>
  </r>
  <r>
    <x v="31"/>
  </r>
  <r>
    <x v="17"/>
  </r>
  <r>
    <x v="2"/>
  </r>
  <r>
    <x v="0"/>
  </r>
  <r>
    <x v="183"/>
  </r>
  <r>
    <x v="87"/>
  </r>
  <r>
    <x v="0"/>
  </r>
  <r>
    <x v="0"/>
  </r>
  <r>
    <x v="0"/>
  </r>
  <r>
    <x v="12"/>
  </r>
  <r>
    <x v="0"/>
  </r>
  <r>
    <x v="152"/>
  </r>
  <r>
    <x v="11"/>
  </r>
  <r>
    <x v="152"/>
  </r>
  <r>
    <x v="0"/>
  </r>
  <r>
    <x v="12"/>
  </r>
  <r>
    <x v="12"/>
  </r>
  <r>
    <x v="56"/>
  </r>
  <r>
    <x v="9"/>
  </r>
  <r>
    <x v="12"/>
  </r>
  <r>
    <x v="12"/>
  </r>
  <r>
    <x v="1"/>
  </r>
  <r>
    <x v="1"/>
  </r>
  <r>
    <x v="4"/>
  </r>
  <r>
    <x v="31"/>
  </r>
  <r>
    <x v="31"/>
  </r>
  <r>
    <x v="12"/>
  </r>
  <r>
    <x v="7"/>
  </r>
  <r>
    <x v="31"/>
  </r>
  <r>
    <x v="10"/>
  </r>
  <r>
    <x v="12"/>
  </r>
  <r>
    <x v="12"/>
  </r>
  <r>
    <x v="12"/>
  </r>
  <r>
    <x v="0"/>
  </r>
  <r>
    <x v="11"/>
  </r>
  <r>
    <x v="12"/>
  </r>
  <r>
    <x v="12"/>
  </r>
  <r>
    <x v="47"/>
  </r>
  <r>
    <x v="19"/>
  </r>
  <r>
    <x v="19"/>
  </r>
  <r>
    <x v="11"/>
  </r>
  <r>
    <x v="19"/>
  </r>
  <r>
    <x v="0"/>
  </r>
  <r>
    <x v="12"/>
  </r>
  <r>
    <x v="12"/>
  </r>
  <r>
    <x v="12"/>
  </r>
  <r>
    <x v="12"/>
  </r>
  <r>
    <x v="19"/>
  </r>
  <r>
    <x v="19"/>
  </r>
  <r>
    <x v="9"/>
  </r>
  <r>
    <x v="9"/>
  </r>
  <r>
    <x v="0"/>
  </r>
  <r>
    <x v="9"/>
  </r>
  <r>
    <x v="14"/>
  </r>
  <r>
    <x v="141"/>
  </r>
  <r>
    <x v="16"/>
  </r>
  <r>
    <x v="34"/>
  </r>
  <r>
    <x v="24"/>
  </r>
  <r>
    <x v="14"/>
  </r>
  <r>
    <x v="0"/>
  </r>
  <r>
    <x v="0"/>
  </r>
  <r>
    <x v="0"/>
  </r>
  <r>
    <x v="0"/>
  </r>
  <r>
    <x v="0"/>
  </r>
  <r>
    <x v="0"/>
  </r>
  <r>
    <x v="14"/>
  </r>
  <r>
    <x v="14"/>
  </r>
  <r>
    <x v="0"/>
  </r>
  <r>
    <x v="14"/>
  </r>
  <r>
    <x v="14"/>
  </r>
  <r>
    <x v="14"/>
  </r>
  <r>
    <x v="14"/>
  </r>
  <r>
    <x v="14"/>
  </r>
  <r>
    <x v="14"/>
  </r>
  <r>
    <x v="14"/>
  </r>
  <r>
    <x v="9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14"/>
  </r>
  <r>
    <x v="21"/>
  </r>
  <r>
    <x v="48"/>
  </r>
  <r>
    <x v="11"/>
  </r>
  <r>
    <x v="77"/>
  </r>
  <r>
    <x v="138"/>
  </r>
  <r>
    <x v="11"/>
  </r>
  <r>
    <x v="0"/>
  </r>
  <r>
    <x v="0"/>
  </r>
  <r>
    <x v="14"/>
  </r>
  <r>
    <x v="11"/>
  </r>
  <r>
    <x v="0"/>
  </r>
  <r>
    <x v="7"/>
  </r>
  <r>
    <x v="42"/>
  </r>
  <r>
    <x v="53"/>
  </r>
  <r>
    <x v="0"/>
  </r>
  <r>
    <x v="0"/>
  </r>
  <r>
    <x v="1"/>
  </r>
  <r>
    <x v="12"/>
  </r>
  <r>
    <x v="14"/>
  </r>
  <r>
    <x v="14"/>
  </r>
  <r>
    <x v="14"/>
  </r>
  <r>
    <x v="14"/>
  </r>
  <r>
    <x v="14"/>
  </r>
  <r>
    <x v="9"/>
  </r>
  <r>
    <x v="0"/>
  </r>
  <r>
    <x v="64"/>
  </r>
  <r>
    <x v="64"/>
  </r>
  <r>
    <x v="9"/>
  </r>
  <r>
    <x v="12"/>
  </r>
  <r>
    <x v="45"/>
  </r>
  <r>
    <x v="45"/>
  </r>
  <r>
    <x v="17"/>
  </r>
  <r>
    <x v="17"/>
  </r>
  <r>
    <x v="45"/>
  </r>
  <r>
    <x v="78"/>
  </r>
  <r>
    <x v="78"/>
  </r>
  <r>
    <x v="76"/>
  </r>
  <r>
    <x v="12"/>
  </r>
  <r>
    <x v="12"/>
  </r>
  <r>
    <x v="0"/>
  </r>
  <r>
    <x v="53"/>
  </r>
  <r>
    <x v="28"/>
  </r>
  <r>
    <x v="122"/>
  </r>
  <r>
    <x v="46"/>
  </r>
  <r>
    <x v="23"/>
  </r>
  <r>
    <x v="23"/>
  </r>
  <r>
    <x v="23"/>
  </r>
  <r>
    <x v="9"/>
  </r>
  <r>
    <x v="23"/>
  </r>
  <r>
    <x v="10"/>
  </r>
  <r>
    <x v="10"/>
  </r>
  <r>
    <x v="51"/>
  </r>
  <r>
    <x v="51"/>
  </r>
  <r>
    <x v="77"/>
  </r>
  <r>
    <x v="37"/>
  </r>
  <r>
    <x v="25"/>
  </r>
  <r>
    <x v="4"/>
  </r>
  <r>
    <x v="25"/>
  </r>
  <r>
    <x v="24"/>
  </r>
  <r>
    <x v="26"/>
  </r>
  <r>
    <x v="112"/>
  </r>
  <r>
    <x v="29"/>
  </r>
  <r>
    <x v="29"/>
  </r>
  <r>
    <x v="29"/>
  </r>
  <r>
    <x v="29"/>
  </r>
  <r>
    <x v="29"/>
  </r>
  <r>
    <x v="29"/>
  </r>
  <r>
    <x v="19"/>
  </r>
  <r>
    <x v="0"/>
  </r>
  <r>
    <x v="0"/>
  </r>
  <r>
    <x v="2"/>
  </r>
  <r>
    <x v="0"/>
  </r>
  <r>
    <x v="79"/>
  </r>
  <r>
    <x v="54"/>
  </r>
  <r>
    <x v="54"/>
  </r>
  <r>
    <x v="24"/>
  </r>
  <r>
    <x v="68"/>
  </r>
  <r>
    <x v="7"/>
  </r>
  <r>
    <x v="16"/>
  </r>
  <r>
    <x v="48"/>
  </r>
  <r>
    <x v="28"/>
  </r>
  <r>
    <x v="123"/>
  </r>
  <r>
    <x v="175"/>
  </r>
  <r>
    <x v="25"/>
  </r>
  <r>
    <x v="77"/>
  </r>
  <r>
    <x v="12"/>
  </r>
  <r>
    <x v="55"/>
  </r>
  <r>
    <x v="14"/>
  </r>
  <r>
    <x v="29"/>
  </r>
  <r>
    <x v="7"/>
  </r>
  <r>
    <x v="148"/>
  </r>
  <r>
    <x v="56"/>
  </r>
  <r>
    <x v="56"/>
  </r>
  <r>
    <x v="130"/>
  </r>
  <r>
    <x v="2"/>
  </r>
  <r>
    <x v="10"/>
  </r>
  <r>
    <x v="10"/>
  </r>
  <r>
    <x v="165"/>
  </r>
  <r>
    <x v="22"/>
  </r>
  <r>
    <x v="62"/>
  </r>
  <r>
    <x v="24"/>
  </r>
  <r>
    <x v="12"/>
  </r>
  <r>
    <x v="4"/>
  </r>
  <r>
    <x v="4"/>
  </r>
  <r>
    <x v="72"/>
  </r>
  <r>
    <x v="12"/>
  </r>
  <r>
    <x v="10"/>
  </r>
  <r>
    <x v="48"/>
  </r>
  <r>
    <x v="64"/>
  </r>
  <r>
    <x v="17"/>
  </r>
  <r>
    <x v="17"/>
  </r>
  <r>
    <x v="17"/>
  </r>
  <r>
    <x v="0"/>
  </r>
  <r>
    <x v="16"/>
  </r>
  <r>
    <x v="87"/>
  </r>
  <r>
    <x v="87"/>
  </r>
  <r>
    <x v="4"/>
  </r>
  <r>
    <x v="37"/>
  </r>
  <r>
    <x v="12"/>
  </r>
  <r>
    <x v="10"/>
  </r>
  <r>
    <x v="267"/>
  </r>
  <r>
    <x v="12"/>
  </r>
  <r>
    <x v="10"/>
  </r>
  <r>
    <x v="86"/>
  </r>
  <r>
    <x v="11"/>
  </r>
  <r>
    <x v="11"/>
  </r>
  <r>
    <x v="164"/>
  </r>
  <r>
    <x v="12"/>
  </r>
  <r>
    <x v="169"/>
  </r>
  <r>
    <x v="24"/>
  </r>
  <r>
    <x v="0"/>
  </r>
  <r>
    <x v="63"/>
  </r>
  <r>
    <x v="1"/>
  </r>
  <r>
    <x v="71"/>
  </r>
  <r>
    <x v="71"/>
  </r>
  <r>
    <x v="31"/>
  </r>
  <r>
    <x v="10"/>
  </r>
  <r>
    <x v="7"/>
  </r>
  <r>
    <x v="14"/>
  </r>
  <r>
    <x v="16"/>
  </r>
  <r>
    <x v="48"/>
  </r>
  <r>
    <x v="12"/>
  </r>
  <r>
    <x v="12"/>
  </r>
  <r>
    <x v="19"/>
  </r>
  <r>
    <x v="69"/>
  </r>
  <r>
    <x v="37"/>
  </r>
  <r>
    <x v="15"/>
  </r>
  <r>
    <x v="184"/>
  </r>
  <r>
    <x v="22"/>
  </r>
  <r>
    <x v="12"/>
  </r>
  <r>
    <x v="152"/>
  </r>
  <r>
    <x v="152"/>
  </r>
  <r>
    <x v="19"/>
  </r>
  <r>
    <x v="45"/>
  </r>
  <r>
    <x v="4"/>
  </r>
  <r>
    <x v="12"/>
  </r>
  <r>
    <x v="16"/>
  </r>
  <r>
    <x v="28"/>
  </r>
  <r>
    <x v="141"/>
  </r>
  <r>
    <x v="92"/>
  </r>
  <r>
    <x v="92"/>
  </r>
  <r>
    <x v="188"/>
  </r>
  <r>
    <x v="102"/>
  </r>
  <r>
    <x v="152"/>
  </r>
  <r>
    <x v="14"/>
  </r>
  <r>
    <x v="10"/>
  </r>
  <r>
    <x v="55"/>
  </r>
  <r>
    <x v="86"/>
  </r>
  <r>
    <x v="9"/>
  </r>
  <r>
    <x v="9"/>
  </r>
  <r>
    <x v="9"/>
  </r>
  <r>
    <x v="21"/>
  </r>
  <r>
    <x v="56"/>
  </r>
  <r>
    <x v="56"/>
  </r>
  <r>
    <x v="56"/>
  </r>
  <r>
    <x v="63"/>
  </r>
  <r>
    <x v="9"/>
  </r>
  <r>
    <x v="152"/>
  </r>
  <r>
    <x v="56"/>
  </r>
  <r>
    <x v="42"/>
  </r>
  <r>
    <x v="8"/>
  </r>
  <r>
    <x v="22"/>
  </r>
  <r>
    <x v="0"/>
  </r>
  <r>
    <x v="24"/>
  </r>
  <r>
    <x v="9"/>
  </r>
  <r>
    <x v="152"/>
  </r>
  <r>
    <x v="152"/>
  </r>
  <r>
    <x v="12"/>
  </r>
  <r>
    <x v="63"/>
  </r>
  <r>
    <x v="10"/>
  </r>
  <r>
    <x v="4"/>
  </r>
  <r>
    <x v="4"/>
  </r>
  <r>
    <x v="4"/>
  </r>
  <r>
    <x v="4"/>
  </r>
  <r>
    <x v="4"/>
  </r>
  <r>
    <x v="12"/>
  </r>
  <r>
    <x v="12"/>
  </r>
  <r>
    <x v="25"/>
  </r>
  <r>
    <x v="244"/>
  </r>
  <r>
    <x v="244"/>
  </r>
  <r>
    <x v="17"/>
  </r>
  <r>
    <x v="10"/>
  </r>
  <r>
    <x v="14"/>
  </r>
  <r>
    <x v="68"/>
  </r>
  <r>
    <x v="68"/>
  </r>
  <r>
    <x v="68"/>
  </r>
  <r>
    <x v="0"/>
  </r>
  <r>
    <x v="0"/>
  </r>
  <r>
    <x v="0"/>
  </r>
  <r>
    <x v="0"/>
  </r>
  <r>
    <x v="0"/>
  </r>
  <r>
    <x v="10"/>
  </r>
  <r>
    <x v="56"/>
  </r>
  <r>
    <x v="0"/>
  </r>
  <r>
    <x v="149"/>
  </r>
  <r>
    <x v="149"/>
  </r>
  <r>
    <x v="42"/>
  </r>
  <r>
    <x v="87"/>
  </r>
  <r>
    <x v="87"/>
  </r>
  <r>
    <x v="87"/>
  </r>
  <r>
    <x v="15"/>
  </r>
  <r>
    <x v="123"/>
  </r>
  <r>
    <x v="72"/>
  </r>
  <r>
    <x v="152"/>
  </r>
  <r>
    <x v="10"/>
  </r>
  <r>
    <x v="7"/>
  </r>
  <r>
    <x v="2"/>
  </r>
  <r>
    <x v="10"/>
  </r>
  <r>
    <x v="76"/>
  </r>
  <r>
    <x v="76"/>
  </r>
  <r>
    <x v="11"/>
  </r>
  <r>
    <x v="1"/>
  </r>
  <r>
    <x v="28"/>
  </r>
  <r>
    <x v="48"/>
  </r>
  <r>
    <x v="15"/>
  </r>
  <r>
    <x v="19"/>
  </r>
  <r>
    <x v="8"/>
  </r>
  <r>
    <x v="4"/>
  </r>
  <r>
    <x v="17"/>
  </r>
  <r>
    <x v="19"/>
  </r>
  <r>
    <x v="12"/>
  </r>
  <r>
    <x v="12"/>
  </r>
  <r>
    <x v="12"/>
  </r>
  <r>
    <x v="2"/>
  </r>
  <r>
    <x v="19"/>
  </r>
  <r>
    <x v="22"/>
  </r>
  <r>
    <x v="24"/>
  </r>
  <r>
    <x v="28"/>
  </r>
  <r>
    <x v="7"/>
  </r>
  <r>
    <x v="68"/>
  </r>
  <r>
    <x v="10"/>
  </r>
  <r>
    <x v="45"/>
  </r>
  <r>
    <x v="45"/>
  </r>
  <r>
    <x v="45"/>
  </r>
  <r>
    <x v="86"/>
  </r>
  <r>
    <x v="157"/>
  </r>
  <r>
    <x v="6"/>
  </r>
  <r>
    <x v="12"/>
  </r>
  <r>
    <x v="77"/>
  </r>
  <r>
    <x v="108"/>
  </r>
  <r>
    <x v="123"/>
  </r>
  <r>
    <x v="150"/>
  </r>
  <r>
    <x v="16"/>
  </r>
  <r>
    <x v="25"/>
  </r>
  <r>
    <x v="123"/>
  </r>
  <r>
    <x v="123"/>
  </r>
  <r>
    <x v="25"/>
  </r>
  <r>
    <x v="0"/>
  </r>
  <r>
    <x v="25"/>
  </r>
  <r>
    <x v="0"/>
  </r>
  <r>
    <x v="9"/>
  </r>
  <r>
    <x v="123"/>
  </r>
  <r>
    <x v="22"/>
  </r>
  <r>
    <x v="4"/>
  </r>
  <r>
    <x v="4"/>
  </r>
  <r>
    <x v="2"/>
  </r>
  <r>
    <x v="28"/>
  </r>
  <r>
    <x v="123"/>
  </r>
  <r>
    <x v="166"/>
  </r>
  <r>
    <x v="165"/>
  </r>
  <r>
    <x v="10"/>
  </r>
  <r>
    <x v="0"/>
  </r>
  <r>
    <x v="0"/>
  </r>
  <r>
    <x v="28"/>
  </r>
  <r>
    <x v="14"/>
  </r>
  <r>
    <x v="14"/>
  </r>
  <r>
    <x v="14"/>
  </r>
  <r>
    <x v="51"/>
  </r>
  <r>
    <x v="9"/>
  </r>
  <r>
    <x v="16"/>
  </r>
  <r>
    <x v="9"/>
  </r>
  <r>
    <x v="17"/>
  </r>
  <r>
    <x v="10"/>
  </r>
  <r>
    <x v="14"/>
  </r>
  <r>
    <x v="14"/>
  </r>
  <r>
    <x v="123"/>
  </r>
  <r>
    <x v="123"/>
  </r>
  <r>
    <x v="123"/>
  </r>
  <r>
    <x v="28"/>
  </r>
  <r>
    <x v="28"/>
  </r>
  <r>
    <x v="28"/>
  </r>
  <r>
    <x v="28"/>
  </r>
  <r>
    <x v="47"/>
  </r>
  <r>
    <x v="59"/>
  </r>
  <r>
    <x v="14"/>
  </r>
  <r>
    <x v="79"/>
  </r>
  <r>
    <x v="79"/>
  </r>
  <r>
    <x v="79"/>
  </r>
  <r>
    <x v="51"/>
  </r>
  <r>
    <x v="0"/>
  </r>
  <r>
    <x v="51"/>
  </r>
  <r>
    <x v="51"/>
  </r>
  <r>
    <x v="63"/>
  </r>
  <r>
    <x v="0"/>
  </r>
  <r>
    <x v="14"/>
  </r>
  <r>
    <x v="14"/>
  </r>
  <r>
    <x v="0"/>
  </r>
  <r>
    <x v="0"/>
  </r>
  <r>
    <x v="14"/>
  </r>
  <r>
    <x v="42"/>
  </r>
  <r>
    <x v="14"/>
  </r>
  <r>
    <x v="56"/>
  </r>
  <r>
    <x v="63"/>
  </r>
  <r>
    <x v="63"/>
  </r>
  <r>
    <x v="0"/>
  </r>
  <r>
    <x v="14"/>
  </r>
  <r>
    <x v="22"/>
  </r>
  <r>
    <x v="0"/>
  </r>
  <r>
    <x v="63"/>
  </r>
  <r>
    <x v="0"/>
  </r>
  <r>
    <x v="14"/>
  </r>
  <r>
    <x v="14"/>
  </r>
  <r>
    <x v="31"/>
  </r>
  <r>
    <x v="31"/>
  </r>
  <r>
    <x v="22"/>
  </r>
  <r>
    <x v="47"/>
  </r>
  <r>
    <x v="9"/>
  </r>
  <r>
    <x v="47"/>
  </r>
  <r>
    <x v="47"/>
  </r>
  <r>
    <x v="31"/>
  </r>
  <r>
    <x v="1"/>
  </r>
  <r>
    <x v="79"/>
  </r>
  <r>
    <x v="12"/>
  </r>
  <r>
    <x v="4"/>
  </r>
  <r>
    <x v="9"/>
  </r>
  <r>
    <x v="56"/>
  </r>
  <r>
    <x v="47"/>
  </r>
  <r>
    <x v="47"/>
  </r>
  <r>
    <x v="12"/>
  </r>
  <r>
    <x v="12"/>
  </r>
  <r>
    <x v="12"/>
  </r>
  <r>
    <x v="12"/>
  </r>
  <r>
    <x v="12"/>
  </r>
  <r>
    <x v="63"/>
  </r>
  <r>
    <x v="0"/>
  </r>
  <r>
    <x v="63"/>
  </r>
  <r>
    <x v="141"/>
  </r>
  <r>
    <x v="56"/>
  </r>
  <r>
    <x v="12"/>
  </r>
  <r>
    <x v="14"/>
  </r>
  <r>
    <x v="14"/>
  </r>
  <r>
    <x v="19"/>
  </r>
  <r>
    <x v="30"/>
  </r>
  <r>
    <x v="28"/>
  </r>
  <r>
    <x v="28"/>
  </r>
  <r>
    <x v="0"/>
  </r>
  <r>
    <x v="63"/>
  </r>
  <r>
    <x v="14"/>
  </r>
  <r>
    <x v="16"/>
  </r>
  <r>
    <x v="16"/>
  </r>
  <r>
    <x v="14"/>
  </r>
  <r>
    <x v="131"/>
  </r>
  <r>
    <x v="14"/>
  </r>
  <r>
    <x v="14"/>
  </r>
  <r>
    <x v="14"/>
  </r>
  <r>
    <x v="51"/>
  </r>
  <r>
    <x v="19"/>
  </r>
  <r>
    <x v="2"/>
  </r>
  <r>
    <x v="9"/>
  </r>
  <r>
    <x v="63"/>
  </r>
  <r>
    <x v="12"/>
  </r>
  <r>
    <x v="12"/>
  </r>
  <r>
    <x v="19"/>
  </r>
  <r>
    <x v="19"/>
  </r>
  <r>
    <x v="31"/>
  </r>
  <r>
    <x v="9"/>
  </r>
  <r>
    <x v="31"/>
  </r>
  <r>
    <x v="19"/>
  </r>
  <r>
    <x v="19"/>
  </r>
  <r>
    <x v="31"/>
  </r>
  <r>
    <x v="31"/>
  </r>
  <r>
    <x v="10"/>
  </r>
  <r>
    <x v="1"/>
  </r>
  <r>
    <x v="9"/>
  </r>
  <r>
    <x v="47"/>
  </r>
  <r>
    <x v="47"/>
  </r>
  <r>
    <x v="47"/>
  </r>
  <r>
    <x v="47"/>
  </r>
  <r>
    <x v="28"/>
  </r>
  <r>
    <x v="63"/>
  </r>
  <r>
    <x v="63"/>
  </r>
  <r>
    <x v="19"/>
  </r>
  <r>
    <x v="51"/>
  </r>
  <r>
    <x v="64"/>
  </r>
  <r>
    <x v="0"/>
  </r>
  <r>
    <x v="28"/>
  </r>
  <r>
    <x v="28"/>
  </r>
  <r>
    <x v="12"/>
  </r>
  <r>
    <x v="77"/>
  </r>
  <r>
    <x v="25"/>
  </r>
  <r>
    <x v="493"/>
  </r>
  <r>
    <x v="45"/>
  </r>
  <r>
    <x v="45"/>
  </r>
  <r>
    <x v="45"/>
  </r>
  <r>
    <x v="45"/>
  </r>
  <r>
    <x v="45"/>
  </r>
  <r>
    <x v="45"/>
  </r>
  <r>
    <x v="45"/>
  </r>
  <r>
    <x v="51"/>
  </r>
  <r>
    <x v="86"/>
  </r>
  <r>
    <x v="9"/>
  </r>
  <r>
    <x v="102"/>
  </r>
  <r>
    <x v="102"/>
  </r>
  <r>
    <x v="48"/>
  </r>
  <r>
    <x v="14"/>
  </r>
  <r>
    <x v="0"/>
  </r>
  <r>
    <x v="45"/>
  </r>
  <r>
    <x v="45"/>
  </r>
  <r>
    <x v="47"/>
  </r>
  <r>
    <x v="4"/>
  </r>
  <r>
    <x v="28"/>
  </r>
  <r>
    <x v="123"/>
  </r>
  <r>
    <x v="123"/>
  </r>
  <r>
    <x v="123"/>
  </r>
  <r>
    <x v="123"/>
  </r>
  <r>
    <x v="14"/>
  </r>
  <r>
    <x v="14"/>
  </r>
  <r>
    <x v="63"/>
  </r>
  <r>
    <x v="12"/>
  </r>
  <r>
    <x v="12"/>
  </r>
  <r>
    <x v="11"/>
  </r>
  <r>
    <x v="12"/>
  </r>
  <r>
    <x v="48"/>
  </r>
  <r>
    <x v="48"/>
  </r>
  <r>
    <x v="48"/>
  </r>
  <r>
    <x v="48"/>
  </r>
  <r>
    <x v="48"/>
  </r>
  <r>
    <x v="43"/>
  </r>
  <r>
    <x v="51"/>
  </r>
  <r>
    <x v="51"/>
  </r>
  <r>
    <x v="45"/>
  </r>
  <r>
    <x v="9"/>
  </r>
  <r>
    <x v="45"/>
  </r>
  <r>
    <x v="45"/>
  </r>
  <r>
    <x v="11"/>
  </r>
  <r>
    <x v="123"/>
  </r>
  <r>
    <x v="45"/>
  </r>
  <r>
    <x v="12"/>
  </r>
  <r>
    <x v="12"/>
  </r>
  <r>
    <x v="123"/>
  </r>
  <r>
    <x v="123"/>
  </r>
  <r>
    <x v="50"/>
  </r>
  <r>
    <x v="45"/>
  </r>
  <r>
    <x v="45"/>
  </r>
  <r>
    <x v="45"/>
  </r>
  <r>
    <x v="45"/>
  </r>
  <r>
    <x v="45"/>
  </r>
  <r>
    <x v="16"/>
  </r>
  <r>
    <x v="16"/>
  </r>
  <r>
    <x v="16"/>
  </r>
  <r>
    <x v="16"/>
  </r>
  <r>
    <x v="15"/>
  </r>
  <r>
    <x v="15"/>
  </r>
  <r>
    <x v="2"/>
  </r>
  <r>
    <x v="2"/>
  </r>
  <r>
    <x v="16"/>
  </r>
  <r>
    <x v="14"/>
  </r>
  <r>
    <x v="28"/>
  </r>
  <r>
    <x v="28"/>
  </r>
  <r>
    <x v="28"/>
  </r>
  <r>
    <x v="28"/>
  </r>
  <r>
    <x v="28"/>
  </r>
  <r>
    <x v="11"/>
  </r>
  <r>
    <x v="11"/>
  </r>
  <r>
    <x v="15"/>
  </r>
  <r>
    <x v="15"/>
  </r>
  <r>
    <x v="11"/>
  </r>
  <r>
    <x v="47"/>
  </r>
  <r>
    <x v="14"/>
  </r>
  <r>
    <x v="0"/>
  </r>
  <r>
    <x v="51"/>
  </r>
  <r>
    <x v="51"/>
  </r>
  <r>
    <x v="51"/>
  </r>
  <r>
    <x v="11"/>
  </r>
  <r>
    <x v="15"/>
  </r>
  <r>
    <x v="2"/>
  </r>
  <r>
    <x v="2"/>
  </r>
  <r>
    <x v="47"/>
  </r>
  <r>
    <x v="47"/>
  </r>
  <r>
    <x v="47"/>
  </r>
  <r>
    <x v="47"/>
  </r>
  <r>
    <x v="0"/>
  </r>
  <r>
    <x v="15"/>
  </r>
  <r>
    <x v="11"/>
  </r>
  <r>
    <x v="11"/>
  </r>
  <r>
    <x v="12"/>
  </r>
  <r>
    <x v="19"/>
  </r>
  <r>
    <x v="86"/>
  </r>
  <r>
    <x v="42"/>
  </r>
  <r>
    <x v="10"/>
  </r>
  <r>
    <x v="10"/>
  </r>
  <r>
    <x v="28"/>
  </r>
  <r>
    <x v="40"/>
  </r>
  <r>
    <x v="10"/>
  </r>
  <r>
    <x v="42"/>
  </r>
  <r>
    <x v="28"/>
  </r>
  <r>
    <x v="4"/>
  </r>
  <r>
    <x v="45"/>
  </r>
  <r>
    <x v="19"/>
  </r>
  <r>
    <x v="0"/>
  </r>
  <r>
    <x v="10"/>
  </r>
  <r>
    <x v="16"/>
  </r>
  <r>
    <x v="42"/>
  </r>
  <r>
    <x v="7"/>
  </r>
  <r>
    <x v="7"/>
  </r>
  <r>
    <x v="2"/>
  </r>
  <r>
    <x v="9"/>
  </r>
  <r>
    <x v="9"/>
  </r>
  <r>
    <x v="19"/>
  </r>
  <r>
    <x v="0"/>
  </r>
  <r>
    <x v="4"/>
  </r>
  <r>
    <x v="12"/>
  </r>
  <r>
    <x v="12"/>
  </r>
  <r>
    <x v="42"/>
  </r>
  <r>
    <x v="42"/>
  </r>
  <r>
    <x v="123"/>
  </r>
  <r>
    <x v="4"/>
  </r>
  <r>
    <x v="69"/>
  </r>
  <r>
    <x v="19"/>
  </r>
  <r>
    <x v="14"/>
  </r>
  <r>
    <x v="14"/>
  </r>
  <r>
    <x v="42"/>
  </r>
  <r>
    <x v="15"/>
  </r>
  <r>
    <x v="86"/>
  </r>
  <r>
    <x v="19"/>
  </r>
  <r>
    <x v="28"/>
  </r>
  <r>
    <x v="123"/>
  </r>
  <r>
    <x v="37"/>
  </r>
  <r>
    <x v="19"/>
  </r>
  <r>
    <x v="17"/>
  </r>
  <r>
    <x v="77"/>
  </r>
  <r>
    <x v="6"/>
  </r>
  <r>
    <x v="9"/>
  </r>
  <r>
    <x v="120"/>
  </r>
  <r>
    <x v="120"/>
  </r>
  <r>
    <x v="120"/>
  </r>
  <r>
    <x v="48"/>
  </r>
  <r>
    <x v="17"/>
  </r>
  <r>
    <x v="112"/>
  </r>
  <r>
    <x v="17"/>
  </r>
  <r>
    <x v="0"/>
  </r>
  <r>
    <x v="0"/>
  </r>
  <r>
    <x v="0"/>
  </r>
  <r>
    <x v="48"/>
  </r>
  <r>
    <x v="112"/>
  </r>
  <r>
    <x v="33"/>
  </r>
  <r>
    <x v="0"/>
  </r>
  <r>
    <x v="33"/>
  </r>
  <r>
    <x v="4"/>
  </r>
  <r>
    <x v="4"/>
  </r>
  <r>
    <x v="24"/>
  </r>
  <r>
    <x v="68"/>
  </r>
  <r>
    <x v="28"/>
  </r>
  <r>
    <x v="122"/>
  </r>
  <r>
    <x v="23"/>
  </r>
  <r>
    <x v="23"/>
  </r>
  <r>
    <x v="122"/>
  </r>
  <r>
    <x v="122"/>
  </r>
  <r>
    <x v="4"/>
  </r>
  <r>
    <x v="2"/>
  </r>
  <r>
    <x v="9"/>
  </r>
  <r>
    <x v="23"/>
  </r>
  <r>
    <x v="122"/>
  </r>
  <r>
    <x v="0"/>
  </r>
  <r>
    <x v="46"/>
  </r>
  <r>
    <x v="4"/>
  </r>
  <r>
    <x v="95"/>
  </r>
  <r>
    <x v="28"/>
  </r>
  <r>
    <x v="122"/>
  </r>
  <r>
    <x v="0"/>
  </r>
  <r>
    <x v="9"/>
  </r>
  <r>
    <x v="12"/>
  </r>
  <r>
    <x v="12"/>
  </r>
  <r>
    <x v="123"/>
  </r>
  <r>
    <x v="24"/>
  </r>
  <r>
    <x v="0"/>
  </r>
  <r>
    <x v="152"/>
  </r>
  <r>
    <x v="152"/>
  </r>
  <r>
    <x v="152"/>
  </r>
  <r>
    <x v="152"/>
  </r>
  <r>
    <x v="2"/>
  </r>
  <r>
    <x v="10"/>
  </r>
  <r>
    <x v="54"/>
  </r>
  <r>
    <x v="79"/>
  </r>
  <r>
    <x v="79"/>
  </r>
  <r>
    <x v="4"/>
  </r>
  <r>
    <x v="86"/>
  </r>
  <r>
    <x v="86"/>
  </r>
  <r>
    <x v="86"/>
  </r>
  <r>
    <x v="45"/>
  </r>
  <r>
    <x v="10"/>
  </r>
  <r>
    <x v="22"/>
  </r>
  <r>
    <x v="22"/>
  </r>
  <r>
    <x v="22"/>
  </r>
  <r>
    <x v="22"/>
  </r>
  <r>
    <x v="22"/>
  </r>
  <r>
    <x v="22"/>
  </r>
  <r>
    <x v="22"/>
  </r>
  <r>
    <x v="10"/>
  </r>
  <r>
    <x v="84"/>
  </r>
  <r>
    <x v="7"/>
  </r>
  <r>
    <x v="28"/>
  </r>
  <r>
    <x v="4"/>
  </r>
  <r>
    <x v="29"/>
  </r>
  <r>
    <x v="4"/>
  </r>
  <r>
    <x v="57"/>
  </r>
  <r>
    <x v="77"/>
  </r>
  <r>
    <x v="12"/>
  </r>
  <r>
    <x v="4"/>
  </r>
  <r>
    <x v="0"/>
  </r>
  <r>
    <x v="14"/>
  </r>
  <r>
    <x v="31"/>
  </r>
  <r>
    <x v="12"/>
  </r>
  <r>
    <x v="81"/>
  </r>
  <r>
    <x v="48"/>
  </r>
  <r>
    <x v="4"/>
  </r>
  <r>
    <x v="0"/>
  </r>
  <r>
    <x v="22"/>
  </r>
  <r>
    <x v="12"/>
  </r>
  <r>
    <x v="12"/>
  </r>
  <r>
    <x v="28"/>
  </r>
  <r>
    <x v="2"/>
  </r>
  <r>
    <x v="81"/>
  </r>
  <r>
    <x v="7"/>
  </r>
  <r>
    <x v="12"/>
  </r>
  <r>
    <x v="4"/>
  </r>
  <r>
    <x v="165"/>
  </r>
  <r>
    <x v="12"/>
  </r>
  <r>
    <x v="12"/>
  </r>
  <r>
    <x v="12"/>
  </r>
  <r>
    <x v="0"/>
  </r>
  <r>
    <x v="10"/>
  </r>
  <r>
    <x v="42"/>
  </r>
  <r>
    <x v="14"/>
  </r>
  <r>
    <x v="32"/>
  </r>
  <r>
    <x v="93"/>
  </r>
  <r>
    <x v="42"/>
  </r>
  <r>
    <x v="0"/>
  </r>
  <r>
    <x v="0"/>
  </r>
  <r>
    <x v="0"/>
  </r>
  <r>
    <x v="0"/>
  </r>
  <r>
    <x v="22"/>
  </r>
  <r>
    <x v="152"/>
  </r>
  <r>
    <x v="123"/>
  </r>
  <r>
    <x v="199"/>
  </r>
  <r>
    <x v="76"/>
  </r>
  <r>
    <x v="76"/>
  </r>
  <r>
    <x v="31"/>
  </r>
  <r>
    <x v="25"/>
  </r>
  <r>
    <x v="25"/>
  </r>
  <r>
    <x v="77"/>
  </r>
  <r>
    <x v="77"/>
  </r>
  <r>
    <x v="1"/>
  </r>
  <r>
    <x v="4"/>
  </r>
  <r>
    <x v="77"/>
  </r>
  <r>
    <x v="19"/>
  </r>
  <r>
    <x v="48"/>
  </r>
  <r>
    <x v="7"/>
  </r>
  <r>
    <x v="19"/>
  </r>
  <r>
    <x v="1"/>
  </r>
  <r>
    <x v="152"/>
  </r>
  <r>
    <x v="0"/>
  </r>
  <r>
    <x v="0"/>
  </r>
  <r>
    <x v="14"/>
  </r>
  <r>
    <x v="14"/>
  </r>
  <r>
    <x v="14"/>
  </r>
  <r>
    <x v="14"/>
  </r>
  <r>
    <x v="4"/>
  </r>
  <r>
    <x v="12"/>
  </r>
  <r>
    <x v="4"/>
  </r>
  <r>
    <x v="4"/>
  </r>
  <r>
    <x v="4"/>
  </r>
  <r>
    <x v="16"/>
  </r>
  <r>
    <x v="46"/>
  </r>
  <r>
    <x v="16"/>
  </r>
  <r>
    <x v="7"/>
  </r>
  <r>
    <x v="7"/>
  </r>
  <r>
    <x v="79"/>
  </r>
  <r>
    <x v="29"/>
  </r>
  <r>
    <x v="45"/>
  </r>
  <r>
    <x v="10"/>
  </r>
  <r>
    <x v="165"/>
  </r>
  <r>
    <x v="42"/>
  </r>
  <r>
    <x v="87"/>
  </r>
  <r>
    <x v="10"/>
  </r>
  <r>
    <x v="57"/>
  </r>
  <r>
    <x v="10"/>
  </r>
  <r>
    <x v="71"/>
  </r>
  <r>
    <x v="6"/>
  </r>
  <r>
    <x v="10"/>
  </r>
  <r>
    <x v="10"/>
  </r>
  <r>
    <x v="10"/>
  </r>
  <r>
    <x v="76"/>
  </r>
  <r>
    <x v="28"/>
  </r>
  <r>
    <x v="72"/>
  </r>
  <r>
    <x v="141"/>
  </r>
  <r>
    <x v="141"/>
  </r>
  <r>
    <x v="14"/>
  </r>
  <r>
    <x v="0"/>
  </r>
  <r>
    <x v="0"/>
  </r>
  <r>
    <x v="0"/>
  </r>
  <r>
    <x v="48"/>
  </r>
  <r>
    <x v="10"/>
  </r>
  <r>
    <x v="77"/>
  </r>
  <r>
    <x v="63"/>
  </r>
  <r>
    <x v="12"/>
  </r>
  <r>
    <x v="12"/>
  </r>
  <r>
    <x v="24"/>
  </r>
  <r>
    <x v="4"/>
  </r>
  <r>
    <x v="165"/>
  </r>
  <r>
    <x v="165"/>
  </r>
  <r>
    <x v="165"/>
  </r>
  <r>
    <x v="165"/>
  </r>
  <r>
    <x v="165"/>
  </r>
  <r>
    <x v="165"/>
  </r>
  <r>
    <x v="7"/>
  </r>
  <r>
    <x v="42"/>
  </r>
  <r>
    <x v="42"/>
  </r>
  <r>
    <x v="12"/>
  </r>
  <r>
    <x v="1"/>
  </r>
  <r>
    <x v="11"/>
  </r>
  <r>
    <x v="45"/>
  </r>
  <r>
    <x v="4"/>
  </r>
  <r>
    <x v="45"/>
  </r>
  <r>
    <x v="17"/>
  </r>
  <r>
    <x v="42"/>
  </r>
  <r>
    <x v="63"/>
  </r>
  <r>
    <x v="9"/>
  </r>
  <r>
    <x v="48"/>
  </r>
  <r>
    <x v="22"/>
  </r>
  <r>
    <x v="12"/>
  </r>
  <r>
    <x v="41"/>
  </r>
  <r>
    <x v="89"/>
  </r>
  <r>
    <x v="11"/>
  </r>
  <r>
    <x v="123"/>
  </r>
  <r>
    <x v="123"/>
  </r>
  <r>
    <x v="123"/>
  </r>
  <r>
    <x v="123"/>
  </r>
  <r>
    <x v="123"/>
  </r>
  <r>
    <x v="123"/>
  </r>
  <r>
    <x v="125"/>
  </r>
  <r>
    <x v="125"/>
  </r>
  <r>
    <x v="125"/>
  </r>
  <r>
    <x v="125"/>
  </r>
  <r>
    <x v="125"/>
  </r>
  <r>
    <x v="28"/>
  </r>
  <r>
    <x v="71"/>
  </r>
  <r>
    <x v="12"/>
  </r>
  <r>
    <x v="71"/>
  </r>
  <r>
    <x v="14"/>
  </r>
  <r>
    <x v="42"/>
  </r>
  <r>
    <x v="37"/>
  </r>
  <r>
    <x v="45"/>
  </r>
  <r>
    <x v="45"/>
  </r>
  <r>
    <x v="123"/>
  </r>
  <r>
    <x v="72"/>
  </r>
  <r>
    <x v="14"/>
  </r>
  <r>
    <x v="20"/>
  </r>
  <r>
    <x v="20"/>
  </r>
  <r>
    <x v="10"/>
  </r>
  <r>
    <x v="4"/>
  </r>
  <r>
    <x v="6"/>
  </r>
  <r>
    <x v="3"/>
  </r>
  <r>
    <x v="3"/>
  </r>
  <r>
    <x v="57"/>
  </r>
  <r>
    <x v="28"/>
  </r>
  <r>
    <x v="28"/>
  </r>
  <r>
    <x v="162"/>
  </r>
  <r>
    <x v="15"/>
  </r>
  <r>
    <x v="15"/>
  </r>
  <r>
    <x v="7"/>
  </r>
  <r>
    <x v="15"/>
  </r>
  <r>
    <x v="7"/>
  </r>
  <r>
    <x v="12"/>
  </r>
  <r>
    <x v="12"/>
  </r>
  <r>
    <x v="7"/>
  </r>
  <r>
    <x v="7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71"/>
  </r>
  <r>
    <x v="71"/>
  </r>
  <r>
    <x v="71"/>
  </r>
  <r>
    <x v="71"/>
  </r>
  <r>
    <x v="42"/>
  </r>
  <r>
    <x v="51"/>
  </r>
  <r>
    <x v="4"/>
  </r>
  <r>
    <x v="21"/>
  </r>
  <r>
    <x v="135"/>
  </r>
  <r>
    <x v="93"/>
  </r>
  <r>
    <x v="2"/>
  </r>
  <r>
    <x v="28"/>
  </r>
  <r>
    <x v="42"/>
  </r>
  <r>
    <x v="45"/>
  </r>
  <r>
    <x v="6"/>
  </r>
  <r>
    <x v="16"/>
  </r>
  <r>
    <x v="51"/>
  </r>
  <r>
    <x v="51"/>
  </r>
  <r>
    <x v="28"/>
  </r>
  <r>
    <x v="4"/>
  </r>
  <r>
    <x v="57"/>
  </r>
  <r>
    <x v="4"/>
  </r>
  <r>
    <x v="57"/>
  </r>
  <r>
    <x v="45"/>
  </r>
  <r>
    <x v="7"/>
  </r>
  <r>
    <x v="0"/>
  </r>
  <r>
    <x v="24"/>
  </r>
  <r>
    <x v="57"/>
  </r>
  <r>
    <x v="4"/>
  </r>
  <r>
    <x v="71"/>
  </r>
  <r>
    <x v="51"/>
  </r>
  <r>
    <x v="162"/>
  </r>
  <r>
    <x v="56"/>
  </r>
  <r>
    <x v="28"/>
  </r>
  <r>
    <x v="28"/>
  </r>
  <r>
    <x v="51"/>
  </r>
  <r>
    <x v="7"/>
  </r>
  <r>
    <x v="0"/>
  </r>
  <r>
    <x v="51"/>
  </r>
  <r>
    <x v="42"/>
  </r>
  <r>
    <x v="51"/>
  </r>
  <r>
    <x v="0"/>
  </r>
  <r>
    <x v="0"/>
  </r>
  <r>
    <x v="0"/>
  </r>
  <r>
    <x v="11"/>
  </r>
  <r>
    <x v="10"/>
  </r>
  <r>
    <x v="19"/>
  </r>
  <r>
    <x v="37"/>
  </r>
  <r>
    <x v="141"/>
  </r>
  <r>
    <x v="7"/>
  </r>
  <r>
    <x v="155"/>
  </r>
  <r>
    <x v="138"/>
  </r>
  <r>
    <x v="138"/>
  </r>
  <r>
    <x v="12"/>
  </r>
  <r>
    <x v="1"/>
  </r>
  <r>
    <x v="12"/>
  </r>
  <r>
    <x v="57"/>
  </r>
  <r>
    <x v="16"/>
  </r>
  <r>
    <x v="48"/>
  </r>
  <r>
    <x v="0"/>
  </r>
  <r>
    <x v="4"/>
  </r>
  <r>
    <x v="48"/>
  </r>
  <r>
    <x v="57"/>
  </r>
  <r>
    <x v="123"/>
  </r>
  <r>
    <x v="123"/>
  </r>
  <r>
    <x v="123"/>
  </r>
  <r>
    <x v="123"/>
  </r>
  <r>
    <x v="1"/>
  </r>
  <r>
    <x v="14"/>
  </r>
  <r>
    <x v="75"/>
  </r>
  <r>
    <x v="42"/>
  </r>
  <r>
    <x v="25"/>
  </r>
  <r>
    <x v="77"/>
  </r>
  <r>
    <x v="7"/>
  </r>
  <r>
    <x v="12"/>
  </r>
  <r>
    <x v="7"/>
  </r>
  <r>
    <x v="28"/>
  </r>
  <r>
    <x v="10"/>
  </r>
  <r>
    <x v="6"/>
  </r>
  <r>
    <x v="4"/>
  </r>
  <r>
    <x v="23"/>
  </r>
  <r>
    <x v="23"/>
  </r>
  <r>
    <x v="17"/>
  </r>
  <r>
    <x v="45"/>
  </r>
  <r>
    <x v="7"/>
  </r>
  <r>
    <x v="0"/>
  </r>
  <r>
    <x v="165"/>
  </r>
  <r>
    <x v="175"/>
  </r>
  <r>
    <x v="14"/>
  </r>
  <r>
    <x v="14"/>
  </r>
  <r>
    <x v="169"/>
  </r>
  <r>
    <x v="19"/>
  </r>
  <r>
    <x v="19"/>
  </r>
  <r>
    <x v="37"/>
  </r>
  <r>
    <x v="28"/>
  </r>
  <r>
    <x v="12"/>
  </r>
  <r>
    <x v="19"/>
  </r>
  <r>
    <x v="19"/>
  </r>
  <r>
    <x v="71"/>
  </r>
  <r>
    <x v="71"/>
  </r>
  <r>
    <x v="48"/>
  </r>
  <r>
    <x v="249"/>
  </r>
  <r>
    <x v="249"/>
  </r>
  <r>
    <x v="12"/>
  </r>
  <r>
    <x v="19"/>
  </r>
  <r>
    <x v="138"/>
  </r>
  <r>
    <x v="138"/>
  </r>
  <r>
    <x v="138"/>
  </r>
  <r>
    <x v="138"/>
  </r>
  <r>
    <x v="28"/>
  </r>
  <r>
    <x v="28"/>
  </r>
  <r>
    <x v="28"/>
  </r>
  <r>
    <x v="28"/>
  </r>
  <r>
    <x v="56"/>
  </r>
  <r>
    <x v="0"/>
  </r>
  <r>
    <x v="4"/>
  </r>
  <r>
    <x v="42"/>
  </r>
  <r>
    <x v="10"/>
  </r>
  <r>
    <x v="14"/>
  </r>
  <r>
    <x v="17"/>
  </r>
  <r>
    <x v="56"/>
  </r>
  <r>
    <x v="10"/>
  </r>
  <r>
    <x v="14"/>
  </r>
  <r>
    <x v="4"/>
  </r>
  <r>
    <x v="11"/>
  </r>
  <r>
    <x v="123"/>
  </r>
  <r>
    <x v="51"/>
  </r>
  <r>
    <x v="51"/>
  </r>
  <r>
    <x v="86"/>
  </r>
  <r>
    <x v="4"/>
  </r>
  <r>
    <x v="7"/>
  </r>
  <r>
    <x v="51"/>
  </r>
  <r>
    <x v="10"/>
  </r>
  <r>
    <x v="12"/>
  </r>
  <r>
    <x v="4"/>
  </r>
  <r>
    <x v="188"/>
  </r>
  <r>
    <x v="4"/>
  </r>
  <r>
    <x v="123"/>
  </r>
  <r>
    <x v="10"/>
  </r>
  <r>
    <x v="57"/>
  </r>
  <r>
    <x v="24"/>
  </r>
  <r>
    <x v="12"/>
  </r>
  <r>
    <x v="42"/>
  </r>
  <r>
    <x v="7"/>
  </r>
  <r>
    <x v="7"/>
  </r>
  <r>
    <x v="4"/>
  </r>
  <r>
    <x v="12"/>
  </r>
  <r>
    <x v="80"/>
  </r>
  <r>
    <x v="4"/>
  </r>
  <r>
    <x v="7"/>
  </r>
  <r>
    <x v="7"/>
  </r>
  <r>
    <x v="16"/>
  </r>
  <r>
    <x v="40"/>
  </r>
  <r>
    <x v="16"/>
  </r>
  <r>
    <x v="12"/>
  </r>
  <r>
    <x v="12"/>
  </r>
  <r>
    <x v="36"/>
  </r>
  <r>
    <x v="56"/>
  </r>
  <r>
    <x v="207"/>
  </r>
  <r>
    <x v="2"/>
  </r>
  <r>
    <x v="48"/>
  </r>
  <r>
    <x v="2"/>
  </r>
  <r>
    <x v="46"/>
  </r>
  <r>
    <x v="71"/>
  </r>
  <r>
    <x v="21"/>
  </r>
  <r>
    <x v="4"/>
  </r>
  <r>
    <x v="26"/>
  </r>
  <r>
    <x v="46"/>
  </r>
  <r>
    <x v="2"/>
  </r>
  <r>
    <x v="12"/>
  </r>
  <r>
    <x v="2"/>
  </r>
  <r>
    <x v="2"/>
  </r>
  <r>
    <x v="16"/>
  </r>
  <r>
    <x v="26"/>
  </r>
  <r>
    <x v="0"/>
  </r>
  <r>
    <x v="0"/>
  </r>
  <r>
    <x v="12"/>
  </r>
  <r>
    <x v="14"/>
  </r>
  <r>
    <x v="129"/>
  </r>
  <r>
    <x v="26"/>
  </r>
  <r>
    <x v="42"/>
  </r>
  <r>
    <x v="14"/>
  </r>
  <r>
    <x v="2"/>
  </r>
  <r>
    <x v="9"/>
  </r>
  <r>
    <x v="24"/>
  </r>
  <r>
    <x v="34"/>
  </r>
  <r>
    <x v="0"/>
  </r>
  <r>
    <x v="6"/>
  </r>
  <r>
    <x v="15"/>
  </r>
  <r>
    <x v="0"/>
  </r>
  <r>
    <x v="0"/>
  </r>
  <r>
    <x v="42"/>
  </r>
  <r>
    <x v="0"/>
  </r>
  <r>
    <x v="34"/>
  </r>
  <r>
    <x v="70"/>
  </r>
  <r>
    <x v="0"/>
  </r>
  <r>
    <x v="29"/>
  </r>
  <r>
    <x v="126"/>
  </r>
  <r>
    <x v="16"/>
  </r>
  <r>
    <x v="16"/>
  </r>
  <r>
    <x v="0"/>
  </r>
  <r>
    <x v="31"/>
  </r>
  <r>
    <x v="46"/>
  </r>
  <r>
    <x v="53"/>
  </r>
  <r>
    <x v="26"/>
  </r>
  <r>
    <x v="174"/>
  </r>
  <r>
    <x v="174"/>
  </r>
  <r>
    <x v="14"/>
  </r>
  <r>
    <x v="26"/>
  </r>
  <r>
    <x v="14"/>
  </r>
  <r>
    <x v="48"/>
  </r>
  <r>
    <x v="0"/>
  </r>
  <r>
    <x v="26"/>
  </r>
  <r>
    <x v="14"/>
  </r>
  <r>
    <x v="14"/>
  </r>
  <r>
    <x v="21"/>
  </r>
  <r>
    <x v="14"/>
  </r>
  <r>
    <x v="71"/>
  </r>
  <r>
    <x v="99"/>
  </r>
  <r>
    <x v="102"/>
  </r>
  <r>
    <x v="21"/>
  </r>
  <r>
    <x v="46"/>
  </r>
  <r>
    <x v="25"/>
  </r>
  <r>
    <x v="28"/>
  </r>
  <r>
    <x v="17"/>
  </r>
  <r>
    <x v="34"/>
  </r>
  <r>
    <x v="144"/>
  </r>
  <r>
    <x v="144"/>
  </r>
  <r>
    <x v="21"/>
  </r>
  <r>
    <x v="56"/>
  </r>
  <r>
    <x v="21"/>
  </r>
  <r>
    <x v="0"/>
  </r>
  <r>
    <x v="14"/>
  </r>
  <r>
    <x v="9"/>
  </r>
  <r>
    <x v="14"/>
  </r>
  <r>
    <x v="25"/>
  </r>
  <r>
    <x v="152"/>
  </r>
  <r>
    <x v="40"/>
  </r>
  <r>
    <x v="26"/>
  </r>
  <r>
    <x v="40"/>
  </r>
  <r>
    <x v="12"/>
  </r>
  <r>
    <x v="26"/>
  </r>
  <r>
    <x v="28"/>
  </r>
  <r>
    <x v="26"/>
  </r>
  <r>
    <x v="12"/>
  </r>
  <r>
    <x v="12"/>
  </r>
  <r>
    <x v="12"/>
  </r>
  <r>
    <x v="28"/>
  </r>
  <r>
    <x v="9"/>
  </r>
  <r>
    <x v="37"/>
  </r>
  <r>
    <x v="37"/>
  </r>
  <r>
    <x v="52"/>
  </r>
  <r>
    <x v="0"/>
  </r>
  <r>
    <x v="26"/>
  </r>
  <r>
    <x v="7"/>
  </r>
  <r>
    <x v="14"/>
  </r>
  <r>
    <x v="14"/>
  </r>
  <r>
    <x v="60"/>
  </r>
  <r>
    <x v="19"/>
  </r>
  <r>
    <x v="19"/>
  </r>
  <r>
    <x v="49"/>
  </r>
  <r>
    <x v="55"/>
  </r>
  <r>
    <x v="34"/>
  </r>
  <r>
    <x v="16"/>
  </r>
  <r>
    <x v="34"/>
  </r>
  <r>
    <x v="115"/>
  </r>
  <r>
    <x v="25"/>
  </r>
  <r>
    <x v="0"/>
  </r>
  <r>
    <x v="25"/>
  </r>
  <r>
    <x v="19"/>
  </r>
  <r>
    <x v="14"/>
  </r>
  <r>
    <x v="14"/>
  </r>
  <r>
    <x v="115"/>
  </r>
  <r>
    <x v="34"/>
  </r>
  <r>
    <x v="79"/>
  </r>
  <r>
    <x v="14"/>
  </r>
  <r>
    <x v="34"/>
  </r>
  <r>
    <x v="79"/>
  </r>
  <r>
    <x v="62"/>
  </r>
  <r>
    <x v="0"/>
  </r>
  <r>
    <x v="34"/>
  </r>
  <r>
    <x v="52"/>
  </r>
  <r>
    <x v="0"/>
  </r>
  <r>
    <x v="37"/>
  </r>
  <r>
    <x v="159"/>
  </r>
  <r>
    <x v="14"/>
  </r>
  <r>
    <x v="14"/>
  </r>
  <r>
    <x v="79"/>
  </r>
  <r>
    <x v="18"/>
  </r>
  <r>
    <x v="123"/>
  </r>
  <r>
    <x v="78"/>
  </r>
  <r>
    <x v="130"/>
  </r>
  <r>
    <x v="0"/>
  </r>
  <r>
    <x v="9"/>
  </r>
  <r>
    <x v="7"/>
  </r>
  <r>
    <x v="14"/>
  </r>
  <r>
    <x v="50"/>
  </r>
  <r>
    <x v="29"/>
  </r>
  <r>
    <x v="68"/>
  </r>
  <r>
    <x v="68"/>
  </r>
  <r>
    <x v="123"/>
  </r>
  <r>
    <x v="4"/>
  </r>
  <r>
    <x v="43"/>
  </r>
  <r>
    <x v="34"/>
  </r>
  <r>
    <x v="123"/>
  </r>
  <r>
    <x v="12"/>
  </r>
  <r>
    <x v="12"/>
  </r>
  <r>
    <x v="12"/>
  </r>
  <r>
    <x v="12"/>
  </r>
  <r>
    <x v="53"/>
  </r>
  <r>
    <x v="0"/>
  </r>
  <r>
    <x v="130"/>
  </r>
  <r>
    <x v="10"/>
  </r>
  <r>
    <x v="12"/>
  </r>
  <r>
    <x v="37"/>
  </r>
  <r>
    <x v="55"/>
  </r>
  <r>
    <x v="0"/>
  </r>
  <r>
    <x v="55"/>
  </r>
  <r>
    <x v="10"/>
  </r>
  <r>
    <x v="157"/>
  </r>
  <r>
    <x v="12"/>
  </r>
  <r>
    <x v="4"/>
  </r>
  <r>
    <x v="40"/>
  </r>
  <r>
    <x v="68"/>
  </r>
  <r>
    <x v="0"/>
  </r>
  <r>
    <x v="17"/>
  </r>
  <r>
    <x v="7"/>
  </r>
  <r>
    <x v="29"/>
  </r>
  <r>
    <x v="2"/>
  </r>
  <r>
    <x v="10"/>
  </r>
  <r>
    <x v="0"/>
  </r>
  <r>
    <x v="0"/>
  </r>
  <r>
    <x v="0"/>
  </r>
  <r>
    <x v="2"/>
  </r>
  <r>
    <x v="0"/>
  </r>
  <r>
    <x v="45"/>
  </r>
  <r>
    <x v="12"/>
  </r>
  <r>
    <x v="45"/>
  </r>
  <r>
    <x v="22"/>
  </r>
  <r>
    <x v="29"/>
  </r>
  <r>
    <x v="29"/>
  </r>
  <r>
    <x v="29"/>
  </r>
  <r>
    <x v="29"/>
  </r>
  <r>
    <x v="29"/>
  </r>
  <r>
    <x v="29"/>
  </r>
  <r>
    <x v="29"/>
  </r>
  <r>
    <x v="72"/>
  </r>
  <r>
    <x v="152"/>
  </r>
  <r>
    <x v="76"/>
  </r>
  <r>
    <x v="17"/>
  </r>
  <r>
    <x v="19"/>
  </r>
  <r>
    <x v="42"/>
  </r>
  <r>
    <x v="7"/>
  </r>
  <r>
    <x v="7"/>
  </r>
  <r>
    <x v="7"/>
  </r>
  <r>
    <x v="10"/>
  </r>
  <r>
    <x v="0"/>
  </r>
  <r>
    <x v="72"/>
  </r>
  <r>
    <x v="52"/>
  </r>
  <r>
    <x v="10"/>
  </r>
  <r>
    <x v="10"/>
  </r>
  <r>
    <x v="10"/>
  </r>
  <r>
    <x v="15"/>
  </r>
  <r>
    <x v="7"/>
  </r>
  <r>
    <x v="12"/>
  </r>
  <r>
    <x v="19"/>
  </r>
  <r>
    <x v="16"/>
  </r>
  <r>
    <x v="10"/>
  </r>
  <r>
    <x v="123"/>
  </r>
  <r>
    <x v="24"/>
  </r>
  <r>
    <x v="16"/>
  </r>
  <r>
    <x v="16"/>
  </r>
  <r>
    <x v="16"/>
  </r>
  <r>
    <x v="16"/>
  </r>
  <r>
    <x v="16"/>
  </r>
  <r>
    <x v="0"/>
  </r>
  <r>
    <x v="0"/>
  </r>
  <r>
    <x v="4"/>
  </r>
  <r>
    <x v="19"/>
  </r>
  <r>
    <x v="4"/>
  </r>
  <r>
    <x v="12"/>
  </r>
  <r>
    <x v="12"/>
  </r>
  <r>
    <x v="9"/>
  </r>
  <r>
    <x v="16"/>
  </r>
  <r>
    <x v="16"/>
  </r>
  <r>
    <x v="4"/>
  </r>
  <r>
    <x v="28"/>
  </r>
  <r>
    <x v="14"/>
  </r>
  <r>
    <x v="141"/>
  </r>
  <r>
    <x v="141"/>
  </r>
  <r>
    <x v="141"/>
  </r>
  <r>
    <x v="141"/>
  </r>
  <r>
    <x v="19"/>
  </r>
  <r>
    <x v="144"/>
  </r>
  <r>
    <x v="144"/>
  </r>
  <r>
    <x v="144"/>
  </r>
  <r>
    <x v="4"/>
  </r>
  <r>
    <x v="1"/>
  </r>
  <r>
    <x v="1"/>
  </r>
  <r>
    <x v="128"/>
  </r>
  <r>
    <x v="48"/>
  </r>
  <r>
    <x v="22"/>
  </r>
  <r>
    <x v="22"/>
  </r>
  <r>
    <x v="22"/>
  </r>
  <r>
    <x v="7"/>
  </r>
  <r>
    <x v="42"/>
  </r>
  <r>
    <x v="4"/>
  </r>
  <r>
    <x v="48"/>
  </r>
  <r>
    <x v="28"/>
  </r>
  <r>
    <x v="63"/>
  </r>
  <r>
    <x v="12"/>
  </r>
  <r>
    <x v="12"/>
  </r>
  <r>
    <x v="7"/>
  </r>
  <r>
    <x v="19"/>
  </r>
  <r>
    <x v="19"/>
  </r>
  <r>
    <x v="45"/>
  </r>
  <r>
    <x v="63"/>
  </r>
  <r>
    <x v="0"/>
  </r>
  <r>
    <x v="0"/>
  </r>
  <r>
    <x v="63"/>
  </r>
  <r>
    <x v="63"/>
  </r>
  <r>
    <x v="169"/>
  </r>
  <r>
    <x v="19"/>
  </r>
  <r>
    <x v="33"/>
  </r>
  <r>
    <x v="12"/>
  </r>
  <r>
    <x v="12"/>
  </r>
  <r>
    <x v="12"/>
  </r>
  <r>
    <x v="63"/>
  </r>
  <r>
    <x v="0"/>
  </r>
  <r>
    <x v="19"/>
  </r>
  <r>
    <x v="86"/>
  </r>
  <r>
    <x v="86"/>
  </r>
  <r>
    <x v="141"/>
  </r>
  <r>
    <x v="10"/>
  </r>
  <r>
    <x v="45"/>
  </r>
  <r>
    <x v="148"/>
  </r>
  <r>
    <x v="138"/>
  </r>
  <r>
    <x v="138"/>
  </r>
  <r>
    <x v="25"/>
  </r>
  <r>
    <x v="76"/>
  </r>
  <r>
    <x v="12"/>
  </r>
  <r>
    <x v="12"/>
  </r>
  <r>
    <x v="12"/>
  </r>
  <r>
    <x v="48"/>
  </r>
  <r>
    <x v="9"/>
  </r>
  <r>
    <x v="87"/>
  </r>
  <r>
    <x v="31"/>
  </r>
  <r>
    <x v="31"/>
  </r>
  <r>
    <x v="9"/>
  </r>
  <r>
    <x v="148"/>
  </r>
  <r>
    <x v="14"/>
  </r>
  <r>
    <x v="0"/>
  </r>
  <r>
    <x v="0"/>
  </r>
  <r>
    <x v="0"/>
  </r>
  <r>
    <x v="7"/>
  </r>
  <r>
    <x v="15"/>
  </r>
  <r>
    <x v="16"/>
  </r>
  <r>
    <x v="16"/>
  </r>
  <r>
    <x v="16"/>
  </r>
  <r>
    <x v="16"/>
  </r>
  <r>
    <x v="0"/>
  </r>
  <r>
    <x v="0"/>
  </r>
  <r>
    <x v="12"/>
  </r>
  <r>
    <x v="12"/>
  </r>
  <r>
    <x v="141"/>
  </r>
  <r>
    <x v="141"/>
  </r>
  <r>
    <x v="28"/>
  </r>
  <r>
    <x v="0"/>
  </r>
  <r>
    <x v="63"/>
  </r>
  <r>
    <x v="63"/>
  </r>
  <r>
    <x v="19"/>
  </r>
  <r>
    <x v="141"/>
  </r>
  <r>
    <x v="141"/>
  </r>
  <r>
    <x v="4"/>
  </r>
  <r>
    <x v="141"/>
  </r>
  <r>
    <x v="1"/>
  </r>
  <r>
    <x v="4"/>
  </r>
  <r>
    <x v="48"/>
  </r>
  <r>
    <x v="9"/>
  </r>
  <r>
    <x v="9"/>
  </r>
  <r>
    <x v="2"/>
  </r>
  <r>
    <x v="48"/>
  </r>
  <r>
    <x v="45"/>
  </r>
  <r>
    <x v="2"/>
  </r>
  <r>
    <x v="71"/>
  </r>
  <r>
    <x v="37"/>
  </r>
  <r>
    <x v="9"/>
  </r>
  <r>
    <x v="9"/>
  </r>
  <r>
    <x v="162"/>
  </r>
  <r>
    <x v="19"/>
  </r>
  <r>
    <x v="0"/>
  </r>
  <r>
    <x v="12"/>
  </r>
  <r>
    <x v="37"/>
  </r>
  <r>
    <x v="51"/>
  </r>
  <r>
    <x v="51"/>
  </r>
  <r>
    <x v="155"/>
  </r>
  <r>
    <x v="48"/>
  </r>
  <r>
    <x v="155"/>
  </r>
  <r>
    <x v="155"/>
  </r>
  <r>
    <x v="180"/>
  </r>
  <r>
    <x v="180"/>
  </r>
  <r>
    <x v="7"/>
  </r>
  <r>
    <x v="12"/>
  </r>
  <r>
    <x v="37"/>
  </r>
  <r>
    <x v="28"/>
  </r>
  <r>
    <x v="22"/>
  </r>
  <r>
    <x v="22"/>
  </r>
  <r>
    <x v="22"/>
  </r>
  <r>
    <x v="22"/>
  </r>
  <r>
    <x v="12"/>
  </r>
  <r>
    <x v="20"/>
  </r>
  <r>
    <x v="12"/>
  </r>
  <r>
    <x v="2"/>
  </r>
  <r>
    <x v="4"/>
  </r>
  <r>
    <x v="71"/>
  </r>
  <r>
    <x v="2"/>
  </r>
  <r>
    <x v="28"/>
  </r>
  <r>
    <x v="22"/>
  </r>
  <r>
    <x v="42"/>
  </r>
  <r>
    <x v="42"/>
  </r>
  <r>
    <x v="59"/>
  </r>
  <r>
    <x v="10"/>
  </r>
  <r>
    <x v="59"/>
  </r>
  <r>
    <x v="42"/>
  </r>
  <r>
    <x v="77"/>
  </r>
  <r>
    <x v="83"/>
  </r>
  <r>
    <x v="19"/>
  </r>
  <r>
    <x v="152"/>
  </r>
  <r>
    <x v="138"/>
  </r>
  <r>
    <x v="84"/>
  </r>
  <r>
    <x v="72"/>
  </r>
  <r>
    <x v="12"/>
  </r>
  <r>
    <x v="14"/>
  </r>
  <r>
    <x v="123"/>
  </r>
  <r>
    <x v="10"/>
  </r>
  <r>
    <x v="7"/>
  </r>
  <r>
    <x v="71"/>
  </r>
  <r>
    <x v="10"/>
  </r>
  <r>
    <x v="87"/>
  </r>
  <r>
    <x v="4"/>
  </r>
  <r>
    <x v="9"/>
  </r>
  <r>
    <x v="207"/>
  </r>
  <r>
    <x v="87"/>
  </r>
  <r>
    <x v="63"/>
  </r>
  <r>
    <x v="10"/>
  </r>
  <r>
    <x v="10"/>
  </r>
  <r>
    <x v="17"/>
  </r>
  <r>
    <x v="4"/>
  </r>
  <r>
    <x v="4"/>
  </r>
  <r>
    <x v="4"/>
  </r>
  <r>
    <x v="4"/>
  </r>
  <r>
    <x v="4"/>
  </r>
  <r>
    <x v="16"/>
  </r>
  <r>
    <x v="14"/>
  </r>
  <r>
    <x v="60"/>
  </r>
  <r>
    <x v="56"/>
  </r>
  <r>
    <x v="57"/>
  </r>
  <r>
    <x v="4"/>
  </r>
  <r>
    <x v="16"/>
  </r>
  <r>
    <x v="138"/>
  </r>
  <r>
    <x v="29"/>
  </r>
  <r>
    <x v="10"/>
  </r>
  <r>
    <x v="123"/>
  </r>
  <r>
    <x v="123"/>
  </r>
  <r>
    <x v="10"/>
  </r>
  <r>
    <x v="10"/>
  </r>
  <r>
    <x v="123"/>
  </r>
  <r>
    <x v="4"/>
  </r>
  <r>
    <x v="111"/>
  </r>
  <r>
    <x v="4"/>
  </r>
  <r>
    <x v="152"/>
  </r>
  <r>
    <x v="152"/>
  </r>
  <r>
    <x v="152"/>
  </r>
  <r>
    <x v="39"/>
  </r>
  <r>
    <x v="10"/>
  </r>
  <r>
    <x v="12"/>
  </r>
  <r>
    <x v="63"/>
  </r>
  <r>
    <x v="16"/>
  </r>
  <r>
    <x v="16"/>
  </r>
  <r>
    <x v="16"/>
  </r>
  <r>
    <x v="16"/>
  </r>
  <r>
    <x v="123"/>
  </r>
  <r>
    <x v="123"/>
  </r>
  <r>
    <x v="123"/>
  </r>
  <r>
    <x v="16"/>
  </r>
  <r>
    <x v="16"/>
  </r>
  <r>
    <x v="16"/>
  </r>
  <r>
    <x v="16"/>
  </r>
  <r>
    <x v="4"/>
  </r>
  <r>
    <x v="4"/>
  </r>
  <r>
    <x v="4"/>
  </r>
  <r>
    <x v="4"/>
  </r>
  <r>
    <x v="16"/>
  </r>
  <r>
    <x v="16"/>
  </r>
  <r>
    <x v="16"/>
  </r>
  <r>
    <x v="16"/>
  </r>
  <r>
    <x v="16"/>
  </r>
  <r>
    <x v="123"/>
  </r>
  <r>
    <x v="123"/>
  </r>
  <r>
    <x v="71"/>
  </r>
  <r>
    <x v="1"/>
  </r>
  <r>
    <x v="55"/>
  </r>
  <r>
    <x v="4"/>
  </r>
  <r>
    <x v="108"/>
  </r>
  <r>
    <x v="87"/>
  </r>
  <r>
    <x v="25"/>
  </r>
  <r>
    <x v="48"/>
  </r>
  <r>
    <x v="123"/>
  </r>
  <r>
    <x v="123"/>
  </r>
  <r>
    <x v="4"/>
  </r>
  <r>
    <x v="4"/>
  </r>
  <r>
    <x v="4"/>
  </r>
  <r>
    <x v="4"/>
  </r>
  <r>
    <x v="130"/>
  </r>
  <r>
    <x v="130"/>
  </r>
  <r>
    <x v="10"/>
  </r>
  <r>
    <x v="10"/>
  </r>
  <r>
    <x v="10"/>
  </r>
  <r>
    <x v="14"/>
  </r>
  <r>
    <x v="123"/>
  </r>
  <r>
    <x v="123"/>
  </r>
  <r>
    <x v="123"/>
  </r>
  <r>
    <x v="123"/>
  </r>
  <r>
    <x v="35"/>
  </r>
  <r>
    <x v="4"/>
  </r>
  <r>
    <x v="12"/>
  </r>
  <r>
    <x v="12"/>
  </r>
  <r>
    <x v="12"/>
  </r>
  <r>
    <x v="12"/>
  </r>
  <r>
    <x v="4"/>
  </r>
  <r>
    <x v="123"/>
  </r>
  <r>
    <x v="10"/>
  </r>
  <r>
    <x v="12"/>
  </r>
  <r>
    <x v="87"/>
  </r>
  <r>
    <x v="12"/>
  </r>
  <r>
    <x v="10"/>
  </r>
  <r>
    <x v="10"/>
  </r>
  <r>
    <x v="123"/>
  </r>
  <r>
    <x v="10"/>
  </r>
  <r>
    <x v="10"/>
  </r>
  <r>
    <x v="123"/>
  </r>
  <r>
    <x v="19"/>
  </r>
  <r>
    <x v="0"/>
  </r>
  <r>
    <x v="12"/>
  </r>
  <r>
    <x v="48"/>
  </r>
  <r>
    <x v="19"/>
  </r>
  <r>
    <x v="19"/>
  </r>
  <r>
    <x v="10"/>
  </r>
  <r>
    <x v="10"/>
  </r>
  <r>
    <x v="53"/>
  </r>
  <r>
    <x v="10"/>
  </r>
  <r>
    <x v="123"/>
  </r>
  <r>
    <x v="10"/>
  </r>
  <r>
    <x v="10"/>
  </r>
  <r>
    <x v="10"/>
  </r>
  <r>
    <x v="0"/>
  </r>
  <r>
    <x v="10"/>
  </r>
  <r>
    <x v="10"/>
  </r>
  <r>
    <x v="10"/>
  </r>
  <r>
    <x v="123"/>
  </r>
  <r>
    <x v="123"/>
  </r>
  <r>
    <x v="16"/>
  </r>
  <r>
    <x v="14"/>
  </r>
  <r>
    <x v="25"/>
  </r>
  <r>
    <x v="6"/>
  </r>
  <r>
    <x v="160"/>
  </r>
  <r>
    <x v="160"/>
  </r>
  <r>
    <x v="19"/>
  </r>
  <r>
    <x v="0"/>
  </r>
  <r>
    <x v="160"/>
  </r>
  <r>
    <x v="11"/>
  </r>
  <r>
    <x v="59"/>
  </r>
  <r>
    <x v="4"/>
  </r>
  <r>
    <x v="4"/>
  </r>
  <r>
    <x v="12"/>
  </r>
  <r>
    <x v="10"/>
  </r>
  <r>
    <x v="123"/>
  </r>
  <r>
    <x v="10"/>
  </r>
  <r>
    <x v="138"/>
  </r>
  <r>
    <x v="4"/>
  </r>
  <r>
    <x v="87"/>
  </r>
  <r>
    <x v="87"/>
  </r>
  <r>
    <x v="24"/>
  </r>
  <r>
    <x v="10"/>
  </r>
  <r>
    <x v="10"/>
  </r>
  <r>
    <x v="136"/>
  </r>
  <r>
    <x v="123"/>
  </r>
  <r>
    <x v="123"/>
  </r>
  <r>
    <x v="123"/>
  </r>
  <r>
    <x v="14"/>
  </r>
  <r>
    <x v="123"/>
  </r>
  <r>
    <x v="123"/>
  </r>
  <r>
    <x v="123"/>
  </r>
  <r>
    <x v="123"/>
  </r>
  <r>
    <x v="123"/>
  </r>
  <r>
    <x v="123"/>
  </r>
  <r>
    <x v="4"/>
  </r>
  <r>
    <x v="108"/>
  </r>
  <r>
    <x v="108"/>
  </r>
  <r>
    <x v="76"/>
  </r>
  <r>
    <x v="12"/>
  </r>
  <r>
    <x v="115"/>
  </r>
  <r>
    <x v="10"/>
  </r>
  <r>
    <x v="123"/>
  </r>
  <r>
    <x v="149"/>
  </r>
  <r>
    <x v="149"/>
  </r>
  <r>
    <x v="72"/>
  </r>
  <r>
    <x v="10"/>
  </r>
  <r>
    <x v="86"/>
  </r>
  <r>
    <x v="4"/>
  </r>
  <r>
    <x v="4"/>
  </r>
  <r>
    <x v="86"/>
  </r>
  <r>
    <x v="123"/>
  </r>
  <r>
    <x v="123"/>
  </r>
  <r>
    <x v="123"/>
  </r>
  <r>
    <x v="4"/>
  </r>
  <r>
    <x v="123"/>
  </r>
  <r>
    <x v="42"/>
  </r>
  <r>
    <x v="63"/>
  </r>
  <r>
    <x v="11"/>
  </r>
  <r>
    <x v="11"/>
  </r>
  <r>
    <x v="138"/>
  </r>
  <r>
    <x v="138"/>
  </r>
  <r>
    <x v="1"/>
  </r>
  <r>
    <x v="28"/>
  </r>
  <r>
    <x v="28"/>
  </r>
  <r>
    <x v="1"/>
  </r>
  <r>
    <x v="138"/>
  </r>
  <r>
    <x v="1"/>
  </r>
  <r>
    <x v="1"/>
  </r>
  <r>
    <x v="1"/>
  </r>
  <r>
    <x v="1"/>
  </r>
  <r>
    <x v="48"/>
  </r>
  <r>
    <x v="4"/>
  </r>
  <r>
    <x v="4"/>
  </r>
  <r>
    <x v="138"/>
  </r>
  <r>
    <x v="138"/>
  </r>
  <r>
    <x v="4"/>
  </r>
  <r>
    <x v="4"/>
  </r>
  <r>
    <x v="4"/>
  </r>
  <r>
    <x v="4"/>
  </r>
  <r>
    <x v="25"/>
  </r>
  <r>
    <x v="23"/>
  </r>
  <r>
    <x v="138"/>
  </r>
  <r>
    <x v="138"/>
  </r>
  <r>
    <x v="138"/>
  </r>
  <r>
    <x v="10"/>
  </r>
  <r>
    <x v="144"/>
  </r>
  <r>
    <x v="10"/>
  </r>
  <r>
    <x v="42"/>
  </r>
  <r>
    <x v="10"/>
  </r>
  <r>
    <x v="10"/>
  </r>
  <r>
    <x v="10"/>
  </r>
  <r>
    <x v="10"/>
  </r>
  <r>
    <x v="7"/>
  </r>
  <r>
    <x v="7"/>
  </r>
  <r>
    <x v="7"/>
  </r>
  <r>
    <x v="7"/>
  </r>
  <r>
    <x v="7"/>
  </r>
  <r>
    <x v="7"/>
  </r>
  <r>
    <x v="7"/>
  </r>
  <r>
    <x v="16"/>
  </r>
  <r>
    <x v="16"/>
  </r>
  <r>
    <x v="16"/>
  </r>
  <r>
    <x v="16"/>
  </r>
  <r>
    <x v="16"/>
  </r>
  <r>
    <x v="16"/>
  </r>
  <r>
    <x v="16"/>
  </r>
  <r>
    <x v="16"/>
  </r>
  <r>
    <x v="123"/>
  </r>
  <r>
    <x v="152"/>
  </r>
  <r>
    <x v="152"/>
  </r>
  <r>
    <x v="152"/>
  </r>
  <r>
    <x v="152"/>
  </r>
  <r>
    <x v="152"/>
  </r>
  <r>
    <x v="152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7"/>
  </r>
  <r>
    <x v="7"/>
  </r>
  <r>
    <x v="7"/>
  </r>
  <r>
    <x v="1"/>
  </r>
  <r>
    <x v="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0"/>
  </r>
  <r>
    <x v="25"/>
  </r>
  <r>
    <x v="10"/>
  </r>
  <r>
    <x v="10"/>
  </r>
  <r>
    <x v="10"/>
  </r>
  <r>
    <x v="138"/>
  </r>
  <r>
    <x v="138"/>
  </r>
  <r>
    <x v="4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0"/>
  </r>
  <r>
    <x v="21"/>
  </r>
  <r>
    <x v="10"/>
  </r>
  <r>
    <x v="10"/>
  </r>
  <r>
    <x v="10"/>
  </r>
  <r>
    <x v="10"/>
  </r>
  <r>
    <x v="10"/>
  </r>
  <r>
    <x v="10"/>
  </r>
  <r>
    <x v="4"/>
  </r>
  <r>
    <x v="4"/>
  </r>
  <r>
    <x v="123"/>
  </r>
  <r>
    <x v="123"/>
  </r>
  <r>
    <x v="123"/>
  </r>
  <r>
    <x v="138"/>
  </r>
  <r>
    <x v="138"/>
  </r>
  <r>
    <x v="138"/>
  </r>
  <r>
    <x v="138"/>
  </r>
  <r>
    <x v="123"/>
  </r>
  <r>
    <x v="123"/>
  </r>
  <r>
    <x v="123"/>
  </r>
  <r>
    <x v="123"/>
  </r>
  <r>
    <x v="1"/>
  </r>
  <r>
    <x v="1"/>
  </r>
  <r>
    <x v="123"/>
  </r>
  <r>
    <x v="1"/>
  </r>
  <r>
    <x v="138"/>
  </r>
  <r>
    <x v="138"/>
  </r>
  <r>
    <x v="12"/>
  </r>
  <r>
    <x v="12"/>
  </r>
  <r>
    <x v="12"/>
  </r>
  <r>
    <x v="12"/>
  </r>
  <r>
    <x v="12"/>
  </r>
  <r>
    <x v="17"/>
  </r>
  <r>
    <x v="1"/>
  </r>
  <r>
    <x v="123"/>
  </r>
  <r>
    <x v="3"/>
  </r>
  <r>
    <x v="71"/>
  </r>
  <r>
    <x v="0"/>
  </r>
  <r>
    <x v="0"/>
  </r>
  <r>
    <x v="10"/>
  </r>
  <r>
    <x v="7"/>
  </r>
  <r>
    <x v="22"/>
  </r>
  <r>
    <x v="31"/>
  </r>
  <r>
    <x v="19"/>
  </r>
  <r>
    <x v="0"/>
  </r>
  <r>
    <x v="7"/>
  </r>
  <r>
    <x v="42"/>
  </r>
  <r>
    <x v="19"/>
  </r>
  <r>
    <x v="0"/>
  </r>
  <r>
    <x v="19"/>
  </r>
  <r>
    <x v="0"/>
  </r>
  <r>
    <x v="19"/>
  </r>
  <r>
    <x v="20"/>
  </r>
  <r>
    <x v="19"/>
  </r>
  <r>
    <x v="87"/>
  </r>
  <r>
    <x v="14"/>
  </r>
  <r>
    <x v="123"/>
  </r>
  <r>
    <x v="59"/>
  </r>
  <r>
    <x v="4"/>
  </r>
  <r>
    <x v="138"/>
  </r>
  <r>
    <x v="138"/>
  </r>
  <r>
    <x v="42"/>
  </r>
  <r>
    <x v="64"/>
  </r>
  <r>
    <x v="28"/>
  </r>
  <r>
    <x v="138"/>
  </r>
  <r>
    <x v="138"/>
  </r>
  <r>
    <x v="4"/>
  </r>
  <r>
    <x v="28"/>
  </r>
  <r>
    <x v="28"/>
  </r>
  <r>
    <x v="142"/>
  </r>
  <r>
    <x v="41"/>
  </r>
  <r>
    <x v="12"/>
  </r>
  <r>
    <x v="87"/>
  </r>
  <r>
    <x v="4"/>
  </r>
  <r>
    <x v="77"/>
  </r>
  <r>
    <x v="77"/>
  </r>
  <r>
    <x v="10"/>
  </r>
  <r>
    <x v="10"/>
  </r>
  <r>
    <x v="112"/>
  </r>
  <r>
    <x v="48"/>
  </r>
  <r>
    <x v="4"/>
  </r>
  <r>
    <x v="24"/>
  </r>
  <r>
    <x v="53"/>
  </r>
  <r>
    <x v="42"/>
  </r>
  <r>
    <x v="0"/>
  </r>
  <r>
    <x v="14"/>
  </r>
  <r>
    <x v="115"/>
  </r>
  <r>
    <x v="7"/>
  </r>
  <r>
    <x v="141"/>
  </r>
  <r>
    <x v="141"/>
  </r>
  <r>
    <x v="141"/>
  </r>
  <r>
    <x v="141"/>
  </r>
  <r>
    <x v="1"/>
  </r>
  <r>
    <x v="10"/>
  </r>
  <r>
    <x v="0"/>
  </r>
  <r>
    <x v="10"/>
  </r>
  <r>
    <x v="4"/>
  </r>
  <r>
    <x v="141"/>
  </r>
  <r>
    <x v="33"/>
  </r>
  <r>
    <x v="33"/>
  </r>
  <r>
    <x v="12"/>
  </r>
  <r>
    <x v="45"/>
  </r>
  <r>
    <x v="87"/>
  </r>
  <r>
    <x v="42"/>
  </r>
  <r>
    <x v="45"/>
  </r>
  <r>
    <x v="78"/>
  </r>
  <r>
    <x v="112"/>
  </r>
  <r>
    <x v="141"/>
  </r>
  <r>
    <x v="141"/>
  </r>
  <r>
    <x v="126"/>
  </r>
  <r>
    <x v="0"/>
  </r>
  <r>
    <x v="141"/>
  </r>
  <r>
    <x v="9"/>
  </r>
  <r>
    <x v="0"/>
  </r>
  <r>
    <x v="1"/>
  </r>
  <r>
    <x v="1"/>
  </r>
  <r>
    <x v="123"/>
  </r>
  <r>
    <x v="123"/>
  </r>
  <r>
    <x v="16"/>
  </r>
  <r>
    <x v="57"/>
  </r>
  <r>
    <x v="4"/>
  </r>
  <r>
    <x v="4"/>
  </r>
  <r>
    <x v="12"/>
  </r>
  <r>
    <x v="10"/>
  </r>
  <r>
    <x v="0"/>
  </r>
  <r>
    <x v="10"/>
  </r>
  <r>
    <x v="23"/>
  </r>
  <r>
    <x v="63"/>
  </r>
  <r>
    <x v="42"/>
  </r>
  <r>
    <x v="0"/>
  </r>
  <r>
    <x v="78"/>
  </r>
  <r>
    <x v="0"/>
  </r>
  <r>
    <x v="0"/>
  </r>
  <r>
    <x v="17"/>
  </r>
  <r>
    <x v="123"/>
  </r>
  <r>
    <x v="12"/>
  </r>
  <r>
    <x v="131"/>
  </r>
  <r>
    <x v="0"/>
  </r>
  <r>
    <x v="87"/>
  </r>
  <r>
    <x v="87"/>
  </r>
  <r>
    <x v="50"/>
  </r>
  <r>
    <x v="50"/>
  </r>
  <r>
    <x v="50"/>
  </r>
  <r>
    <x v="12"/>
  </r>
  <r>
    <x v="42"/>
  </r>
  <r>
    <x v="123"/>
  </r>
  <r>
    <x v="150"/>
  </r>
  <r>
    <x v="12"/>
  </r>
  <r>
    <x v="12"/>
  </r>
  <r>
    <x v="12"/>
  </r>
  <r>
    <x v="10"/>
  </r>
  <r>
    <x v="115"/>
  </r>
  <r>
    <x v="0"/>
  </r>
  <r>
    <x v="0"/>
  </r>
  <r>
    <x v="0"/>
  </r>
  <r>
    <x v="79"/>
  </r>
  <r>
    <x v="10"/>
  </r>
  <r>
    <x v="12"/>
  </r>
  <r>
    <x v="46"/>
  </r>
  <r>
    <x v="115"/>
  </r>
  <r>
    <x v="19"/>
  </r>
  <r>
    <x v="16"/>
  </r>
  <r>
    <x v="60"/>
  </r>
  <r>
    <x v="57"/>
  </r>
  <r>
    <x v="14"/>
  </r>
  <r>
    <x v="4"/>
  </r>
  <r>
    <x v="48"/>
  </r>
  <r>
    <x v="14"/>
  </r>
  <r>
    <x v="4"/>
  </r>
  <r>
    <x v="1"/>
  </r>
  <r>
    <x v="53"/>
  </r>
  <r>
    <x v="1"/>
  </r>
  <r>
    <x v="28"/>
  </r>
  <r>
    <x v="9"/>
  </r>
  <r>
    <x v="144"/>
  </r>
  <r>
    <x v="28"/>
  </r>
  <r>
    <x v="28"/>
  </r>
  <r>
    <x v="60"/>
  </r>
  <r>
    <x v="16"/>
  </r>
  <r>
    <x v="12"/>
  </r>
  <r>
    <x v="12"/>
  </r>
  <r>
    <x v="12"/>
  </r>
  <r>
    <x v="53"/>
  </r>
  <r>
    <x v="25"/>
  </r>
  <r>
    <x v="224"/>
  </r>
  <r>
    <x v="224"/>
  </r>
  <r>
    <x v="42"/>
  </r>
  <r>
    <x v="37"/>
  </r>
  <r>
    <x v="14"/>
  </r>
  <r>
    <x v="4"/>
  </r>
  <r>
    <x v="10"/>
  </r>
  <r>
    <x v="141"/>
  </r>
  <r>
    <x v="12"/>
  </r>
  <r>
    <x v="6"/>
  </r>
  <r>
    <x v="55"/>
  </r>
  <r>
    <x v="7"/>
  </r>
  <r>
    <x v="57"/>
  </r>
  <r>
    <x v="21"/>
  </r>
  <r>
    <x v="102"/>
  </r>
  <r>
    <x v="28"/>
  </r>
  <r>
    <x v="12"/>
  </r>
  <r>
    <x v="12"/>
  </r>
  <r>
    <x v="12"/>
  </r>
  <r>
    <x v="12"/>
  </r>
  <r>
    <x v="4"/>
  </r>
  <r>
    <x v="4"/>
  </r>
  <r>
    <x v="4"/>
  </r>
  <r>
    <x v="123"/>
  </r>
  <r>
    <x v="123"/>
  </r>
  <r>
    <x v="12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2"/>
  </r>
  <r>
    <x v="14"/>
  </r>
  <r>
    <x v="71"/>
  </r>
  <r>
    <x v="10"/>
  </r>
  <r>
    <x v="12"/>
  </r>
  <r>
    <x v="0"/>
  </r>
  <r>
    <x v="154"/>
  </r>
  <r>
    <x v="55"/>
  </r>
  <r>
    <x v="0"/>
  </r>
  <r>
    <x v="0"/>
  </r>
  <r>
    <x v="28"/>
  </r>
  <r>
    <x v="28"/>
  </r>
  <r>
    <x v="12"/>
  </r>
  <r>
    <x v="0"/>
  </r>
  <r>
    <x v="160"/>
  </r>
  <r>
    <x v="48"/>
  </r>
  <r>
    <x v="7"/>
  </r>
  <r>
    <x v="24"/>
  </r>
  <r>
    <x v="4"/>
  </r>
  <r>
    <x v="4"/>
  </r>
  <r>
    <x v="4"/>
  </r>
  <r>
    <x v="31"/>
  </r>
  <r>
    <x v="4"/>
  </r>
  <r>
    <x v="16"/>
  </r>
  <r>
    <x v="31"/>
  </r>
  <r>
    <x v="131"/>
  </r>
  <r>
    <x v="115"/>
  </r>
  <r>
    <x v="131"/>
  </r>
  <r>
    <x v="33"/>
  </r>
  <r>
    <x v="48"/>
  </r>
  <r>
    <x v="48"/>
  </r>
  <r>
    <x v="131"/>
  </r>
  <r>
    <x v="79"/>
  </r>
  <r>
    <x v="10"/>
  </r>
  <r>
    <x v="54"/>
  </r>
  <r>
    <x v="0"/>
  </r>
  <r>
    <x v="37"/>
  </r>
  <r>
    <x v="19"/>
  </r>
  <r>
    <x v="12"/>
  </r>
  <r>
    <x v="16"/>
  </r>
  <r>
    <x v="12"/>
  </r>
  <r>
    <x v="17"/>
  </r>
  <r>
    <x v="16"/>
  </r>
  <r>
    <x v="10"/>
  </r>
  <r>
    <x v="56"/>
  </r>
  <r>
    <x v="12"/>
  </r>
  <r>
    <x v="0"/>
  </r>
  <r>
    <x v="10"/>
  </r>
  <r>
    <x v="10"/>
  </r>
  <r>
    <x v="168"/>
  </r>
  <r>
    <x v="1"/>
  </r>
  <r>
    <x v="12"/>
  </r>
  <r>
    <x v="14"/>
  </r>
  <r>
    <x v="10"/>
  </r>
  <r>
    <x v="79"/>
  </r>
  <r>
    <x v="12"/>
  </r>
  <r>
    <x v="0"/>
  </r>
  <r>
    <x v="61"/>
  </r>
  <r>
    <x v="4"/>
  </r>
  <r>
    <x v="115"/>
  </r>
  <r>
    <x v="48"/>
  </r>
  <r>
    <x v="42"/>
  </r>
  <r>
    <x v="48"/>
  </r>
  <r>
    <x v="8"/>
  </r>
  <r>
    <x v="123"/>
  </r>
  <r>
    <x v="28"/>
  </r>
  <r>
    <x v="57"/>
  </r>
  <r>
    <x v="10"/>
  </r>
  <r>
    <x v="11"/>
  </r>
  <r>
    <x v="10"/>
  </r>
  <r>
    <x v="123"/>
  </r>
  <r>
    <x v="22"/>
  </r>
  <r>
    <x v="10"/>
  </r>
  <r>
    <x v="9"/>
  </r>
  <r>
    <x v="24"/>
  </r>
  <r>
    <x v="24"/>
  </r>
  <r>
    <x v="152"/>
  </r>
  <r>
    <x v="142"/>
  </r>
  <r>
    <x v="53"/>
  </r>
  <r>
    <x v="1"/>
  </r>
  <r>
    <x v="76"/>
  </r>
  <r>
    <x v="87"/>
  </r>
  <r>
    <x v="123"/>
  </r>
  <r>
    <x v="42"/>
  </r>
  <r>
    <x v="7"/>
  </r>
  <r>
    <x v="14"/>
  </r>
  <r>
    <x v="9"/>
  </r>
  <r>
    <x v="160"/>
  </r>
  <r>
    <x v="12"/>
  </r>
  <r>
    <x v="63"/>
  </r>
  <r>
    <x v="21"/>
  </r>
  <r>
    <x v="126"/>
  </r>
  <r>
    <x v="28"/>
  </r>
  <r>
    <x v="2"/>
  </r>
  <r>
    <x v="57"/>
  </r>
  <r>
    <x v="49"/>
  </r>
  <r>
    <x v="123"/>
  </r>
  <r>
    <x v="4"/>
  </r>
  <r>
    <x v="51"/>
  </r>
  <r>
    <x v="24"/>
  </r>
  <r>
    <x v="4"/>
  </r>
  <r>
    <x v="4"/>
  </r>
  <r>
    <x v="4"/>
  </r>
  <r>
    <x v="48"/>
  </r>
  <r>
    <x v="10"/>
  </r>
  <r>
    <x v="27"/>
  </r>
  <r>
    <x v="51"/>
  </r>
  <r>
    <x v="48"/>
  </r>
  <r>
    <x v="16"/>
  </r>
  <r>
    <x v="7"/>
  </r>
  <r>
    <x v="23"/>
  </r>
  <r>
    <x v="7"/>
  </r>
  <r>
    <x v="42"/>
  </r>
  <r>
    <x v="9"/>
  </r>
  <r>
    <x v="9"/>
  </r>
  <r>
    <x v="7"/>
  </r>
  <r>
    <x v="56"/>
  </r>
  <r>
    <x v="12"/>
  </r>
  <r>
    <x v="9"/>
  </r>
  <r>
    <x v="56"/>
  </r>
  <r>
    <x v="37"/>
  </r>
  <r>
    <x v="4"/>
  </r>
  <r>
    <x v="4"/>
  </r>
  <r>
    <x v="4"/>
  </r>
  <r>
    <x v="2"/>
  </r>
  <r>
    <x v="112"/>
  </r>
  <r>
    <x v="81"/>
  </r>
  <r>
    <x v="79"/>
  </r>
  <r>
    <x v="41"/>
  </r>
  <r>
    <x v="9"/>
  </r>
  <r>
    <x v="4"/>
  </r>
  <r>
    <x v="10"/>
  </r>
  <r>
    <x v="10"/>
  </r>
  <r>
    <x v="11"/>
  </r>
  <r>
    <x v="6"/>
  </r>
  <r>
    <x v="25"/>
  </r>
  <r>
    <x v="42"/>
  </r>
  <r>
    <x v="17"/>
  </r>
  <r>
    <x v="0"/>
  </r>
  <r>
    <x v="0"/>
  </r>
  <r>
    <x v="12"/>
  </r>
  <r>
    <x v="12"/>
  </r>
  <r>
    <x v="1"/>
  </r>
  <r>
    <x v="4"/>
  </r>
  <r>
    <x v="28"/>
  </r>
  <r>
    <x v="24"/>
  </r>
  <r>
    <x v="4"/>
  </r>
  <r>
    <x v="4"/>
  </r>
  <r>
    <x v="4"/>
  </r>
  <r>
    <x v="4"/>
  </r>
  <r>
    <x v="4"/>
  </r>
  <r>
    <x v="4"/>
  </r>
  <r>
    <x v="51"/>
  </r>
  <r>
    <x v="51"/>
  </r>
  <r>
    <x v="51"/>
  </r>
  <r>
    <x v="51"/>
  </r>
  <r>
    <x v="51"/>
  </r>
  <r>
    <x v="51"/>
  </r>
  <r>
    <x v="51"/>
  </r>
  <r>
    <x v="28"/>
  </r>
  <r>
    <x v="51"/>
  </r>
  <r>
    <x v="51"/>
  </r>
  <r>
    <x v="5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0"/>
  </r>
  <r>
    <x v="4"/>
  </r>
  <r>
    <x v="4"/>
  </r>
  <r>
    <x v="4"/>
  </r>
  <r>
    <x v="4"/>
  </r>
  <r>
    <x v="4"/>
  </r>
  <r>
    <x v="4"/>
  </r>
  <r>
    <x v="4"/>
  </r>
  <r>
    <x v="4"/>
  </r>
  <r>
    <x v="152"/>
  </r>
  <r>
    <x v="152"/>
  </r>
  <r>
    <x v="152"/>
  </r>
  <r>
    <x v="152"/>
  </r>
  <r>
    <x v="152"/>
  </r>
  <r>
    <x v="152"/>
  </r>
  <r>
    <x v="152"/>
  </r>
  <r>
    <x v="4"/>
  </r>
  <r>
    <x v="4"/>
  </r>
  <r>
    <x v="123"/>
  </r>
  <r>
    <x v="123"/>
  </r>
  <r>
    <x v="123"/>
  </r>
  <r>
    <x v="123"/>
  </r>
  <r>
    <x v="123"/>
  </r>
  <r>
    <x v="138"/>
  </r>
  <r>
    <x v="138"/>
  </r>
  <r>
    <x v="28"/>
  </r>
  <r>
    <x v="99"/>
  </r>
  <r>
    <x v="63"/>
  </r>
  <r>
    <x v="22"/>
  </r>
  <r>
    <x v="14"/>
  </r>
  <r>
    <x v="87"/>
  </r>
  <r>
    <x v="87"/>
  </r>
  <r>
    <x v="138"/>
  </r>
  <r>
    <x v="51"/>
  </r>
  <r>
    <x v="37"/>
  </r>
  <r>
    <x v="4"/>
  </r>
  <r>
    <x v="12"/>
  </r>
  <r>
    <x v="12"/>
  </r>
  <r>
    <x v="138"/>
  </r>
  <r>
    <x v="53"/>
  </r>
  <r>
    <x v="12"/>
  </r>
  <r>
    <x v="4"/>
  </r>
  <r>
    <x v="4"/>
  </r>
  <r>
    <x v="4"/>
  </r>
  <r>
    <x v="4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4"/>
  </r>
  <r>
    <x v="63"/>
  </r>
  <r>
    <x v="45"/>
  </r>
  <r>
    <x v="4"/>
  </r>
  <r>
    <x v="4"/>
  </r>
  <r>
    <x v="123"/>
  </r>
  <r>
    <x v="7"/>
  </r>
  <r>
    <x v="7"/>
  </r>
  <r>
    <x v="7"/>
  </r>
  <r>
    <x v="123"/>
  </r>
  <r>
    <x v="123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23"/>
  </r>
  <r>
    <x v="123"/>
  </r>
  <r>
    <x v="123"/>
  </r>
  <r>
    <x v="123"/>
  </r>
  <r>
    <x v="123"/>
  </r>
  <r>
    <x v="123"/>
  </r>
  <r>
    <x v="4"/>
  </r>
  <r>
    <x v="51"/>
  </r>
  <r>
    <x v="51"/>
  </r>
  <r>
    <x v="51"/>
  </r>
  <r>
    <x v="123"/>
  </r>
  <r>
    <x v="123"/>
  </r>
  <r>
    <x v="123"/>
  </r>
  <r>
    <x v="123"/>
  </r>
  <r>
    <x v="4"/>
  </r>
  <r>
    <x v="138"/>
  </r>
  <r>
    <x v="10"/>
  </r>
  <r>
    <x v="51"/>
  </r>
  <r>
    <x v="51"/>
  </r>
  <r>
    <x v="51"/>
  </r>
  <r>
    <x v="4"/>
  </r>
  <r>
    <x v="4"/>
  </r>
  <r>
    <x v="4"/>
  </r>
  <r>
    <x v="4"/>
  </r>
  <r>
    <x v="4"/>
  </r>
  <r>
    <x v="4"/>
  </r>
  <r>
    <x v="4"/>
  </r>
  <r>
    <x v="4"/>
  </r>
  <r>
    <x v="138"/>
  </r>
  <r>
    <x v="138"/>
  </r>
  <r>
    <x v="138"/>
  </r>
  <r>
    <x v="138"/>
  </r>
  <r>
    <x v="51"/>
  </r>
  <r>
    <x v="51"/>
  </r>
  <r>
    <x v="4"/>
  </r>
  <r>
    <x v="123"/>
  </r>
  <r>
    <x v="4"/>
  </r>
  <r>
    <x v="12"/>
  </r>
  <r>
    <x v="12"/>
  </r>
  <r>
    <x v="12"/>
  </r>
  <r>
    <x v="12"/>
  </r>
  <r>
    <x v="12"/>
  </r>
  <r>
    <x v="14"/>
  </r>
  <r>
    <x v="7"/>
  </r>
  <r>
    <x v="7"/>
  </r>
  <r>
    <x v="108"/>
  </r>
  <r>
    <x v="126"/>
  </r>
  <r>
    <x v="25"/>
  </r>
  <r>
    <x v="24"/>
  </r>
  <r>
    <x v="7"/>
  </r>
  <r>
    <x v="12"/>
  </r>
  <r>
    <x v="19"/>
  </r>
  <r>
    <x v="71"/>
  </r>
  <r>
    <x v="71"/>
  </r>
  <r>
    <x v="22"/>
  </r>
  <r>
    <x v="37"/>
  </r>
  <r>
    <x v="2"/>
  </r>
  <r>
    <x v="78"/>
  </r>
  <r>
    <x v="141"/>
  </r>
  <r>
    <x v="4"/>
  </r>
  <r>
    <x v="4"/>
  </r>
  <r>
    <x v="4"/>
  </r>
  <r>
    <x v="4"/>
  </r>
  <r>
    <x v="4"/>
  </r>
  <r>
    <x v="51"/>
  </r>
  <r>
    <x v="37"/>
  </r>
  <r>
    <x v="37"/>
  </r>
  <r>
    <x v="37"/>
  </r>
  <r>
    <x v="37"/>
  </r>
  <r>
    <x v="37"/>
  </r>
  <r>
    <x v="37"/>
  </r>
  <r>
    <x v="12"/>
  </r>
  <r>
    <x v="12"/>
  </r>
  <r>
    <x v="12"/>
  </r>
  <r>
    <x v="12"/>
  </r>
  <r>
    <x v="16"/>
  </r>
  <r>
    <x v="51"/>
  </r>
  <r>
    <x v="7"/>
  </r>
  <r>
    <x v="78"/>
  </r>
  <r>
    <x v="41"/>
  </r>
  <r>
    <x v="12"/>
  </r>
  <r>
    <x v="22"/>
  </r>
  <r>
    <x v="42"/>
  </r>
  <r>
    <x v="63"/>
  </r>
  <r>
    <x v="7"/>
  </r>
  <r>
    <x v="7"/>
  </r>
  <r>
    <x v="7"/>
  </r>
  <r>
    <x v="7"/>
  </r>
  <r>
    <x v="7"/>
  </r>
  <r>
    <x v="78"/>
  </r>
  <r>
    <x v="6"/>
  </r>
  <r>
    <x v="6"/>
  </r>
  <r>
    <x v="54"/>
  </r>
  <r>
    <x v="28"/>
  </r>
  <r>
    <x v="28"/>
  </r>
  <r>
    <x v="28"/>
  </r>
  <r>
    <x v="28"/>
  </r>
  <r>
    <x v="80"/>
  </r>
  <r>
    <x v="12"/>
  </r>
  <r>
    <x v="80"/>
  </r>
  <r>
    <x v="80"/>
  </r>
  <r>
    <x v="12"/>
  </r>
  <r>
    <x v="80"/>
  </r>
  <r>
    <x v="9"/>
  </r>
  <r>
    <x v="12"/>
  </r>
  <r>
    <x v="12"/>
  </r>
  <r>
    <x v="57"/>
  </r>
  <r>
    <x v="12"/>
  </r>
  <r>
    <x v="80"/>
  </r>
  <r>
    <x v="80"/>
  </r>
  <r>
    <x v="80"/>
  </r>
  <r>
    <x v="80"/>
  </r>
  <r>
    <x v="12"/>
  </r>
  <r>
    <x v="8"/>
  </r>
  <r>
    <x v="12"/>
  </r>
  <r>
    <x v="80"/>
  </r>
  <r>
    <x v="80"/>
  </r>
  <r>
    <x v="80"/>
  </r>
  <r>
    <x v="80"/>
  </r>
  <r>
    <x v="12"/>
  </r>
  <r>
    <x v="80"/>
  </r>
  <r>
    <x v="12"/>
  </r>
  <r>
    <x v="8"/>
  </r>
  <r>
    <x v="86"/>
  </r>
  <r>
    <x v="86"/>
  </r>
  <r>
    <x v="86"/>
  </r>
  <r>
    <x v="162"/>
  </r>
  <r>
    <x v="123"/>
  </r>
  <r>
    <x v="56"/>
  </r>
  <r>
    <x v="25"/>
  </r>
  <r>
    <x v="80"/>
  </r>
  <r>
    <x v="80"/>
  </r>
  <r>
    <x v="56"/>
  </r>
  <r>
    <x v="56"/>
  </r>
  <r>
    <x v="56"/>
  </r>
  <r>
    <x v="56"/>
  </r>
  <r>
    <x v="0"/>
  </r>
  <r>
    <x v="0"/>
  </r>
  <r>
    <x v="0"/>
  </r>
  <r>
    <x v="0"/>
  </r>
  <r>
    <x v="0"/>
  </r>
  <r>
    <x v="0"/>
  </r>
  <r>
    <x v="86"/>
  </r>
  <r>
    <x v="86"/>
  </r>
  <r>
    <x v="79"/>
  </r>
  <r>
    <x v="86"/>
  </r>
  <r>
    <x v="86"/>
  </r>
  <r>
    <x v="14"/>
  </r>
  <r>
    <x v="12"/>
  </r>
  <r>
    <x v="12"/>
  </r>
  <r>
    <x v="12"/>
  </r>
  <r>
    <x v="87"/>
  </r>
  <r>
    <x v="152"/>
  </r>
  <r>
    <x v="152"/>
  </r>
  <r>
    <x v="152"/>
  </r>
  <r>
    <x v="14"/>
  </r>
  <r>
    <x v="77"/>
  </r>
  <r>
    <x v="152"/>
  </r>
  <r>
    <x v="14"/>
  </r>
  <r>
    <x v="52"/>
  </r>
  <r>
    <x v="52"/>
  </r>
  <r>
    <x v="52"/>
  </r>
  <r>
    <x v="52"/>
  </r>
  <r>
    <x v="28"/>
  </r>
  <r>
    <x v="28"/>
  </r>
  <r>
    <x v="28"/>
  </r>
  <r>
    <x v="28"/>
  </r>
  <r>
    <x v="28"/>
  </r>
  <r>
    <x v="86"/>
  </r>
  <r>
    <x v="87"/>
  </r>
  <r>
    <x v="87"/>
  </r>
  <r>
    <x v="87"/>
  </r>
  <r>
    <x v="87"/>
  </r>
  <r>
    <x v="36"/>
  </r>
  <r>
    <x v="87"/>
  </r>
  <r>
    <x v="87"/>
  </r>
  <r>
    <x v="87"/>
  </r>
  <r>
    <x v="115"/>
  </r>
  <r>
    <x v="115"/>
  </r>
  <r>
    <x v="115"/>
  </r>
  <r>
    <x v="115"/>
  </r>
  <r>
    <x v="115"/>
  </r>
  <r>
    <x v="51"/>
  </r>
  <r>
    <x v="24"/>
  </r>
  <r>
    <x v="24"/>
  </r>
  <r>
    <x v="115"/>
  </r>
  <r>
    <x v="115"/>
  </r>
  <r>
    <x v="51"/>
  </r>
  <r>
    <x v="86"/>
  </r>
  <r>
    <x v="71"/>
  </r>
  <r>
    <x v="8"/>
  </r>
  <r>
    <x v="114"/>
  </r>
  <r>
    <x v="131"/>
  </r>
  <r>
    <x v="76"/>
  </r>
  <r>
    <x v="33"/>
  </r>
  <r>
    <x v="86"/>
  </r>
  <r>
    <x v="86"/>
  </r>
  <r>
    <x v="86"/>
  </r>
  <r>
    <x v="86"/>
  </r>
  <r>
    <x v="10"/>
  </r>
  <r>
    <x v="10"/>
  </r>
  <r>
    <x v="10"/>
  </r>
  <r>
    <x v="10"/>
  </r>
  <r>
    <x v="86"/>
  </r>
  <r>
    <x v="10"/>
  </r>
  <r>
    <x v="10"/>
  </r>
  <r>
    <x v="10"/>
  </r>
  <r>
    <x v="10"/>
  </r>
  <r>
    <x v="10"/>
  </r>
  <r>
    <x v="141"/>
  </r>
  <r>
    <x v="0"/>
  </r>
  <r>
    <x v="0"/>
  </r>
  <r>
    <x v="12"/>
  </r>
  <r>
    <x v="12"/>
  </r>
  <r>
    <x v="17"/>
  </r>
  <r>
    <x v="12"/>
  </r>
  <r>
    <x v="12"/>
  </r>
  <r>
    <x v="12"/>
  </r>
  <r>
    <x v="12"/>
  </r>
  <r>
    <x v="12"/>
  </r>
  <r>
    <x v="14"/>
  </r>
  <r>
    <x v="14"/>
  </r>
  <r>
    <x v="14"/>
  </r>
  <r>
    <x v="14"/>
  </r>
  <r>
    <x v="188"/>
  </r>
  <r>
    <x v="14"/>
  </r>
  <r>
    <x v="14"/>
  </r>
  <r>
    <x v="14"/>
  </r>
  <r>
    <x v="14"/>
  </r>
  <r>
    <x v="14"/>
  </r>
  <r>
    <x v="10"/>
  </r>
  <r>
    <x v="10"/>
  </r>
  <r>
    <x v="0"/>
  </r>
  <r>
    <x v="1"/>
  </r>
  <r>
    <x v="36"/>
  </r>
  <r>
    <x v="22"/>
  </r>
  <r>
    <x v="22"/>
  </r>
  <r>
    <x v="22"/>
  </r>
  <r>
    <x v="68"/>
  </r>
  <r>
    <x v="12"/>
  </r>
  <r>
    <x v="10"/>
  </r>
  <r>
    <x v="22"/>
  </r>
  <r>
    <x v="12"/>
  </r>
  <r>
    <x v="12"/>
  </r>
  <r>
    <x v="56"/>
  </r>
  <r>
    <x v="56"/>
  </r>
  <r>
    <x v="56"/>
  </r>
  <r>
    <x v="56"/>
  </r>
  <r>
    <x v="56"/>
  </r>
  <r>
    <x v="78"/>
  </r>
  <r>
    <x v="9"/>
  </r>
  <r>
    <x v="9"/>
  </r>
  <r>
    <x v="9"/>
  </r>
  <r>
    <x v="9"/>
  </r>
  <r>
    <x v="4"/>
  </r>
  <r>
    <x v="4"/>
  </r>
  <r>
    <x v="28"/>
  </r>
  <r>
    <x v="31"/>
  </r>
  <r>
    <x v="31"/>
  </r>
  <r>
    <x v="24"/>
  </r>
  <r>
    <x v="17"/>
  </r>
  <r>
    <x v="28"/>
  </r>
  <r>
    <x v="185"/>
  </r>
  <r>
    <x v="12"/>
  </r>
  <r>
    <x v="12"/>
  </r>
  <r>
    <x v="12"/>
  </r>
  <r>
    <x v="63"/>
  </r>
  <r>
    <x v="146"/>
  </r>
  <r>
    <x v="86"/>
  </r>
  <r>
    <x v="146"/>
  </r>
  <r>
    <x v="146"/>
  </r>
  <r>
    <x v="115"/>
  </r>
  <r>
    <x v="115"/>
  </r>
  <r>
    <x v="115"/>
  </r>
  <r>
    <x v="115"/>
  </r>
  <r>
    <x v="115"/>
  </r>
  <r>
    <x v="267"/>
  </r>
  <r>
    <x v="10"/>
  </r>
  <r>
    <x v="10"/>
  </r>
  <r>
    <x v="10"/>
  </r>
  <r>
    <x v="146"/>
  </r>
  <r>
    <x v="10"/>
  </r>
  <r>
    <x v="10"/>
  </r>
  <r>
    <x v="10"/>
  </r>
  <r>
    <x v="10"/>
  </r>
  <r>
    <x v="14"/>
  </r>
  <r>
    <x v="12"/>
  </r>
  <r>
    <x v="12"/>
  </r>
  <r>
    <x v="12"/>
  </r>
  <r>
    <x v="14"/>
  </r>
  <r>
    <x v="14"/>
  </r>
  <r>
    <x v="14"/>
  </r>
  <r>
    <x v="12"/>
  </r>
  <r>
    <x v="14"/>
  </r>
  <r>
    <x v="14"/>
  </r>
  <r>
    <x v="39"/>
  </r>
  <r>
    <x v="39"/>
  </r>
  <r>
    <x v="42"/>
  </r>
  <r>
    <x v="81"/>
  </r>
  <r>
    <x v="81"/>
  </r>
  <r>
    <x v="33"/>
  </r>
  <r>
    <x v="33"/>
  </r>
  <r>
    <x v="33"/>
  </r>
  <r>
    <x v="165"/>
  </r>
  <r>
    <x v="63"/>
  </r>
  <r>
    <x v="12"/>
  </r>
  <r>
    <x v="11"/>
  </r>
  <r>
    <x v="10"/>
  </r>
  <r>
    <x v="128"/>
  </r>
  <r>
    <x v="128"/>
  </r>
  <r>
    <x v="12"/>
  </r>
  <r>
    <x v="10"/>
  </r>
  <r>
    <x v="45"/>
  </r>
  <r>
    <x v="17"/>
  </r>
  <r>
    <x v="10"/>
  </r>
  <r>
    <x v="0"/>
  </r>
  <r>
    <x v="27"/>
  </r>
  <r>
    <x v="27"/>
  </r>
  <r>
    <x v="10"/>
  </r>
  <r>
    <x v="10"/>
  </r>
  <r>
    <x v="27"/>
  </r>
  <r>
    <x v="27"/>
  </r>
  <r>
    <x v="10"/>
  </r>
  <r>
    <x v="10"/>
  </r>
  <r>
    <x v="4"/>
  </r>
  <r>
    <x v="4"/>
  </r>
  <r>
    <x v="4"/>
  </r>
  <r>
    <x v="10"/>
  </r>
  <r>
    <x v="4"/>
  </r>
  <r>
    <x v="12"/>
  </r>
  <r>
    <x v="12"/>
  </r>
  <r>
    <x v="12"/>
  </r>
  <r>
    <x v="24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4"/>
  </r>
  <r>
    <x v="4"/>
  </r>
  <r>
    <x v="15"/>
  </r>
  <r>
    <x v="4"/>
  </r>
  <r>
    <x v="4"/>
  </r>
  <r>
    <x v="4"/>
  </r>
  <r>
    <x v="4"/>
  </r>
  <r>
    <x v="4"/>
  </r>
  <r>
    <x v="4"/>
  </r>
  <r>
    <x v="4"/>
  </r>
  <r>
    <x v="270"/>
  </r>
  <r>
    <x v="4"/>
  </r>
  <r>
    <x v="4"/>
  </r>
  <r>
    <x v="86"/>
  </r>
  <r>
    <x v="4"/>
  </r>
  <r>
    <x v="4"/>
  </r>
  <r>
    <x v="138"/>
  </r>
  <r>
    <x v="138"/>
  </r>
  <r>
    <x v="114"/>
  </r>
  <r>
    <x v="138"/>
  </r>
  <r>
    <x v="138"/>
  </r>
  <r>
    <x v="114"/>
  </r>
  <r>
    <x v="138"/>
  </r>
  <r>
    <x v="138"/>
  </r>
  <r>
    <x v="138"/>
  </r>
  <r>
    <x v="138"/>
  </r>
  <r>
    <x v="24"/>
  </r>
  <r>
    <x v="138"/>
  </r>
  <r>
    <x v="138"/>
  </r>
  <r>
    <x v="10"/>
  </r>
  <r>
    <x v="10"/>
  </r>
  <r>
    <x v="10"/>
  </r>
  <r>
    <x v="4"/>
  </r>
  <r>
    <x v="123"/>
  </r>
  <r>
    <x v="4"/>
  </r>
  <r>
    <x v="123"/>
  </r>
  <r>
    <x v="165"/>
  </r>
  <r>
    <x v="50"/>
  </r>
  <r>
    <x v="28"/>
  </r>
  <r>
    <x v="10"/>
  </r>
  <r>
    <x v="28"/>
  </r>
  <r>
    <x v="25"/>
  </r>
  <r>
    <x v="63"/>
  </r>
  <r>
    <x v="24"/>
  </r>
  <r>
    <x v="22"/>
  </r>
  <r>
    <x v="31"/>
  </r>
  <r>
    <x v="31"/>
  </r>
  <r>
    <x v="0"/>
  </r>
  <r>
    <x v="24"/>
  </r>
  <r>
    <x v="0"/>
  </r>
  <r>
    <x v="0"/>
  </r>
  <r>
    <x v="168"/>
  </r>
  <r>
    <x v="12"/>
  </r>
  <r>
    <x v="36"/>
  </r>
  <r>
    <x v="36"/>
  </r>
  <r>
    <x v="36"/>
  </r>
  <r>
    <x v="36"/>
  </r>
  <r>
    <x v="9"/>
  </r>
  <r>
    <x v="12"/>
  </r>
  <r>
    <x v="36"/>
  </r>
  <r>
    <x v="0"/>
  </r>
  <r>
    <x v="12"/>
  </r>
  <r>
    <x v="271"/>
  </r>
  <r>
    <x v="75"/>
  </r>
  <r>
    <x v="102"/>
  </r>
  <r>
    <x v="152"/>
  </r>
  <r>
    <x v="42"/>
  </r>
  <r>
    <x v="42"/>
  </r>
  <r>
    <x v="4"/>
  </r>
  <r>
    <x v="43"/>
  </r>
  <r>
    <x v="42"/>
  </r>
  <r>
    <x v="12"/>
  </r>
  <r>
    <x v="42"/>
  </r>
  <r>
    <x v="12"/>
  </r>
  <r>
    <x v="123"/>
  </r>
  <r>
    <x v="48"/>
  </r>
  <r>
    <x v="123"/>
  </r>
  <r>
    <x v="123"/>
  </r>
  <r>
    <x v="123"/>
  </r>
  <r>
    <x v="123"/>
  </r>
  <r>
    <x v="123"/>
  </r>
  <r>
    <x v="123"/>
  </r>
  <r>
    <x v="123"/>
  </r>
  <r>
    <x v="40"/>
  </r>
  <r>
    <x v="86"/>
  </r>
  <r>
    <x v="28"/>
  </r>
  <r>
    <x v="86"/>
  </r>
  <r>
    <x v="37"/>
  </r>
  <r>
    <x v="115"/>
  </r>
  <r>
    <x v="42"/>
  </r>
  <r>
    <x v="10"/>
  </r>
  <r>
    <x v="42"/>
  </r>
  <r>
    <x v="14"/>
  </r>
  <r>
    <x v="12"/>
  </r>
  <r>
    <x v="12"/>
  </r>
  <r>
    <x v="12"/>
  </r>
  <r>
    <x v="12"/>
  </r>
  <r>
    <x v="12"/>
  </r>
  <r>
    <x v="7"/>
  </r>
  <r>
    <x v="123"/>
  </r>
  <r>
    <x v="123"/>
  </r>
  <r>
    <x v="123"/>
  </r>
  <r>
    <x v="123"/>
  </r>
  <r>
    <x v="123"/>
  </r>
  <r>
    <x v="123"/>
  </r>
  <r>
    <x v="123"/>
  </r>
  <r>
    <x v="63"/>
  </r>
  <r>
    <x v="123"/>
  </r>
  <r>
    <x v="123"/>
  </r>
  <r>
    <x v="123"/>
  </r>
  <r>
    <x v="123"/>
  </r>
  <r>
    <x v="10"/>
  </r>
  <r>
    <x v="28"/>
  </r>
  <r>
    <x v="77"/>
  </r>
  <r>
    <x v="4"/>
  </r>
  <r>
    <x v="186"/>
  </r>
  <r>
    <x v="152"/>
  </r>
  <r>
    <x v="152"/>
  </r>
  <r>
    <x v="108"/>
  </r>
  <r>
    <x v="24"/>
  </r>
  <r>
    <x v="24"/>
  </r>
  <r>
    <x v="24"/>
  </r>
  <r>
    <x v="28"/>
  </r>
  <r>
    <x v="42"/>
  </r>
  <r>
    <x v="28"/>
  </r>
  <r>
    <x v="28"/>
  </r>
  <r>
    <x v="28"/>
  </r>
  <r>
    <x v="28"/>
  </r>
  <r>
    <x v="4"/>
  </r>
  <r>
    <x v="123"/>
  </r>
  <r>
    <x v="123"/>
  </r>
  <r>
    <x v="25"/>
  </r>
  <r>
    <x v="10"/>
  </r>
  <r>
    <x v="111"/>
  </r>
  <r>
    <x v="128"/>
  </r>
  <r>
    <x v="42"/>
  </r>
  <r>
    <x v="42"/>
  </r>
  <r>
    <x v="42"/>
  </r>
  <r>
    <x v="42"/>
  </r>
  <r>
    <x v="12"/>
  </r>
  <r>
    <x v="12"/>
  </r>
  <r>
    <x v="28"/>
  </r>
  <r>
    <x v="142"/>
  </r>
  <r>
    <x v="14"/>
  </r>
  <r>
    <x v="16"/>
  </r>
  <r>
    <x v="28"/>
  </r>
  <r>
    <x v="19"/>
  </r>
  <r>
    <x v="29"/>
  </r>
  <r>
    <x v="45"/>
  </r>
  <r>
    <x v="22"/>
  </r>
  <r>
    <x v="12"/>
  </r>
  <r>
    <x v="126"/>
  </r>
  <r>
    <x v="123"/>
  </r>
  <r>
    <x v="123"/>
  </r>
  <r>
    <x v="123"/>
  </r>
  <r>
    <x v="56"/>
  </r>
  <r>
    <x v="56"/>
  </r>
  <r>
    <x v="70"/>
  </r>
  <r>
    <x v="56"/>
  </r>
  <r>
    <x v="10"/>
  </r>
  <r>
    <x v="56"/>
  </r>
  <r>
    <x v="56"/>
  </r>
  <r>
    <x v="12"/>
  </r>
  <r>
    <x v="12"/>
  </r>
  <r>
    <x v="12"/>
  </r>
  <r>
    <x v="78"/>
  </r>
  <r>
    <x v="31"/>
  </r>
  <r>
    <x v="7"/>
  </r>
  <r>
    <x v="10"/>
  </r>
  <r>
    <x v="9"/>
  </r>
  <r>
    <x v="10"/>
  </r>
  <r>
    <x v="10"/>
  </r>
  <r>
    <x v="12"/>
  </r>
  <r>
    <x v="10"/>
  </r>
  <r>
    <x v="130"/>
  </r>
  <r>
    <x v="4"/>
  </r>
  <r>
    <x v="19"/>
  </r>
  <r>
    <x v="4"/>
  </r>
  <r>
    <x v="4"/>
  </r>
  <r>
    <x v="4"/>
  </r>
  <r>
    <x v="4"/>
  </r>
  <r>
    <x v="4"/>
  </r>
  <r>
    <x v="24"/>
  </r>
  <r>
    <x v="4"/>
  </r>
  <r>
    <x v="138"/>
  </r>
  <r>
    <x v="4"/>
  </r>
  <r>
    <x v="4"/>
  </r>
  <r>
    <x v="4"/>
  </r>
  <r>
    <x v="4"/>
  </r>
  <r>
    <x v="4"/>
  </r>
  <r>
    <x v="4"/>
  </r>
  <r>
    <x v="138"/>
  </r>
  <r>
    <x v="22"/>
  </r>
  <r>
    <x v="165"/>
  </r>
  <r>
    <x v="15"/>
  </r>
  <r>
    <x v="45"/>
  </r>
  <r>
    <x v="165"/>
  </r>
  <r>
    <x v="165"/>
  </r>
  <r>
    <x v="165"/>
  </r>
  <r>
    <x v="165"/>
  </r>
  <r>
    <x v="165"/>
  </r>
  <r>
    <x v="87"/>
  </r>
  <r>
    <x v="42"/>
  </r>
  <r>
    <x v="11"/>
  </r>
  <r>
    <x v="14"/>
  </r>
  <r>
    <x v="12"/>
  </r>
  <r>
    <x v="36"/>
  </r>
  <r>
    <x v="36"/>
  </r>
  <r>
    <x v="17"/>
  </r>
  <r>
    <x v="10"/>
  </r>
  <r>
    <x v="10"/>
  </r>
  <r>
    <x v="10"/>
  </r>
  <r>
    <x v="10"/>
  </r>
  <r>
    <x v="10"/>
  </r>
  <r>
    <x v="10"/>
  </r>
  <r>
    <x v="12"/>
  </r>
  <r>
    <x v="12"/>
  </r>
  <r>
    <x v="12"/>
  </r>
  <r>
    <x v="45"/>
  </r>
  <r>
    <x v="10"/>
  </r>
  <r>
    <x v="10"/>
  </r>
  <r>
    <x v="10"/>
  </r>
  <r>
    <x v="10"/>
  </r>
  <r>
    <x v="0"/>
  </r>
  <r>
    <x v="10"/>
  </r>
  <r>
    <x v="10"/>
  </r>
  <r>
    <x v="10"/>
  </r>
  <r>
    <x v="78"/>
  </r>
  <r>
    <x v="78"/>
  </r>
  <r>
    <x v="78"/>
  </r>
  <r>
    <x v="10"/>
  </r>
  <r>
    <x v="10"/>
  </r>
  <r>
    <x v="10"/>
  </r>
  <r>
    <x v="10"/>
  </r>
  <r>
    <x v="0"/>
  </r>
  <r>
    <x v="0"/>
  </r>
  <r>
    <x v="0"/>
  </r>
  <r>
    <x v="22"/>
  </r>
  <r>
    <x v="7"/>
  </r>
  <r>
    <x v="24"/>
  </r>
  <r>
    <x v="181"/>
  </r>
  <r>
    <x v="77"/>
  </r>
  <r>
    <x v="10"/>
  </r>
  <r>
    <x v="10"/>
  </r>
  <r>
    <x v="10"/>
  </r>
  <r>
    <x v="10"/>
  </r>
  <r>
    <x v="138"/>
  </r>
  <r>
    <x v="138"/>
  </r>
  <r>
    <x v="138"/>
  </r>
  <r>
    <x v="138"/>
  </r>
  <r>
    <x v="165"/>
  </r>
  <r>
    <x v="165"/>
  </r>
  <r>
    <x v="79"/>
  </r>
  <r>
    <x v="10"/>
  </r>
  <r>
    <x v="10"/>
  </r>
  <r>
    <x v="87"/>
  </r>
  <r>
    <x v="10"/>
  </r>
  <r>
    <x v="25"/>
  </r>
  <r>
    <x v="12"/>
  </r>
  <r>
    <x v="12"/>
  </r>
  <r>
    <x v="12"/>
  </r>
  <r>
    <x v="12"/>
  </r>
  <r>
    <x v="12"/>
  </r>
  <r>
    <x v="12"/>
  </r>
  <r>
    <x v="12"/>
  </r>
  <r>
    <x v="10"/>
  </r>
  <r>
    <x v="10"/>
  </r>
  <r>
    <x v="10"/>
  </r>
  <r>
    <x v="10"/>
  </r>
  <r>
    <x v="71"/>
  </r>
  <r>
    <x v="72"/>
  </r>
  <r>
    <x v="72"/>
  </r>
  <r>
    <x v="72"/>
  </r>
  <r>
    <x v="76"/>
  </r>
  <r>
    <x v="72"/>
  </r>
  <r>
    <x v="72"/>
  </r>
  <r>
    <x v="28"/>
  </r>
  <r>
    <x v="28"/>
  </r>
  <r>
    <x v="28"/>
  </r>
  <r>
    <x v="28"/>
  </r>
  <r>
    <x v="10"/>
  </r>
  <r>
    <x v="28"/>
  </r>
  <r>
    <x v="10"/>
  </r>
  <r>
    <x v="42"/>
  </r>
  <r>
    <x v="22"/>
  </r>
  <r>
    <x v="48"/>
  </r>
  <r>
    <x v="48"/>
  </r>
  <r>
    <x v="48"/>
  </r>
  <r>
    <x v="24"/>
  </r>
  <r>
    <x v="24"/>
  </r>
  <r>
    <x v="24"/>
  </r>
  <r>
    <x v="24"/>
  </r>
  <r>
    <x v="24"/>
  </r>
  <r>
    <x v="48"/>
  </r>
  <r>
    <x v="48"/>
  </r>
  <r>
    <x v="48"/>
  </r>
  <r>
    <x v="24"/>
  </r>
  <r>
    <x v="10"/>
  </r>
  <r>
    <x v="10"/>
  </r>
  <r>
    <x v="12"/>
  </r>
  <r>
    <x v="24"/>
  </r>
  <r>
    <x v="24"/>
  </r>
  <r>
    <x v="42"/>
  </r>
  <r>
    <x v="12"/>
  </r>
  <r>
    <x v="6"/>
  </r>
  <r>
    <x v="62"/>
  </r>
  <r>
    <x v="14"/>
  </r>
  <r>
    <x v="112"/>
  </r>
  <r>
    <x v="0"/>
  </r>
  <r>
    <x v="64"/>
  </r>
  <r>
    <x v="14"/>
  </r>
  <r>
    <x v="64"/>
  </r>
  <r>
    <x v="10"/>
  </r>
  <r>
    <x v="64"/>
  </r>
  <r>
    <x v="75"/>
  </r>
  <r>
    <x v="59"/>
  </r>
  <r>
    <x v="248"/>
  </r>
  <r>
    <x v="86"/>
  </r>
  <r>
    <x v="11"/>
  </r>
  <r>
    <x v="128"/>
  </r>
  <r>
    <x v="123"/>
  </r>
  <r>
    <x v="123"/>
  </r>
  <r>
    <x v="123"/>
  </r>
  <r>
    <x v="42"/>
  </r>
  <r>
    <x v="36"/>
  </r>
  <r>
    <x v="36"/>
  </r>
  <r>
    <x v="36"/>
  </r>
  <r>
    <x v="14"/>
  </r>
  <r>
    <x v="175"/>
  </r>
  <r>
    <x v="22"/>
  </r>
  <r>
    <x v="63"/>
  </r>
  <r>
    <x v="63"/>
  </r>
  <r>
    <x v="87"/>
  </r>
  <r>
    <x v="57"/>
  </r>
  <r>
    <x v="4"/>
  </r>
  <r>
    <x v="4"/>
  </r>
  <r>
    <x v="9"/>
  </r>
  <r>
    <x v="9"/>
  </r>
  <r>
    <x v="9"/>
  </r>
  <r>
    <x v="9"/>
  </r>
  <r>
    <x v="9"/>
  </r>
  <r>
    <x v="52"/>
  </r>
  <r>
    <x v="19"/>
  </r>
  <r>
    <x v="0"/>
  </r>
  <r>
    <x v="0"/>
  </r>
  <r>
    <x v="0"/>
  </r>
  <r>
    <x v="0"/>
  </r>
  <r>
    <x v="0"/>
  </r>
  <r>
    <x v="0"/>
  </r>
  <r>
    <x v="5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8"/>
  </r>
  <r>
    <x v="28"/>
  </r>
  <r>
    <x v="0"/>
  </r>
  <r>
    <x v="0"/>
  </r>
  <r>
    <x v="7"/>
  </r>
  <r>
    <x v="7"/>
  </r>
  <r>
    <x v="7"/>
  </r>
  <r>
    <x v="7"/>
  </r>
  <r>
    <x v="7"/>
  </r>
  <r>
    <x v="7"/>
  </r>
  <r>
    <x v="69"/>
  </r>
  <r>
    <x v="69"/>
  </r>
  <r>
    <x v="69"/>
  </r>
  <r>
    <x v="69"/>
  </r>
  <r>
    <x v="69"/>
  </r>
  <r>
    <x v="69"/>
  </r>
  <r>
    <x v="69"/>
  </r>
  <r>
    <x v="152"/>
  </r>
  <r>
    <x v="152"/>
  </r>
  <r>
    <x v="152"/>
  </r>
  <r>
    <x v="152"/>
  </r>
  <r>
    <x v="152"/>
  </r>
  <r>
    <x v="78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6"/>
  </r>
  <r>
    <x v="89"/>
  </r>
  <r>
    <x v="10"/>
  </r>
  <r>
    <x v="152"/>
  </r>
  <r>
    <x v="152"/>
  </r>
  <r>
    <x v="152"/>
  </r>
  <r>
    <x v="152"/>
  </r>
  <r>
    <x v="14"/>
  </r>
  <r>
    <x v="152"/>
  </r>
  <r>
    <x v="152"/>
  </r>
  <r>
    <x v="152"/>
  </r>
  <r>
    <x v="152"/>
  </r>
  <r>
    <x v="87"/>
  </r>
  <r>
    <x v="14"/>
  </r>
  <r>
    <x v="12"/>
  </r>
  <r>
    <x v="12"/>
  </r>
  <r>
    <x v="10"/>
  </r>
  <r>
    <x v="10"/>
  </r>
  <r>
    <x v="10"/>
  </r>
  <r>
    <x v="12"/>
  </r>
  <r>
    <x v="12"/>
  </r>
  <r>
    <x v="42"/>
  </r>
  <r>
    <x v="0"/>
  </r>
  <r>
    <x v="85"/>
  </r>
  <r>
    <x v="87"/>
  </r>
  <r>
    <x v="87"/>
  </r>
  <r>
    <x v="87"/>
  </r>
  <r>
    <x v="123"/>
  </r>
  <r>
    <x v="8"/>
  </r>
  <r>
    <x v="8"/>
  </r>
  <r>
    <x v="8"/>
  </r>
  <r>
    <x v="21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152"/>
  </r>
  <r>
    <x v="21"/>
  </r>
  <r>
    <x v="8"/>
  </r>
  <r>
    <x v="19"/>
  </r>
  <r>
    <x v="64"/>
  </r>
  <r>
    <x v="4"/>
  </r>
  <r>
    <x v="4"/>
  </r>
  <r>
    <x v="19"/>
  </r>
  <r>
    <x v="53"/>
  </r>
  <r>
    <x v="53"/>
  </r>
  <r>
    <x v="10"/>
  </r>
  <r>
    <x v="16"/>
  </r>
  <r>
    <x v="12"/>
  </r>
  <r>
    <x v="25"/>
  </r>
  <r>
    <x v="14"/>
  </r>
  <r>
    <x v="12"/>
  </r>
  <r>
    <x v="14"/>
  </r>
  <r>
    <x v="14"/>
  </r>
  <r>
    <x v="55"/>
  </r>
  <r>
    <x v="1"/>
  </r>
  <r>
    <x v="17"/>
  </r>
  <r>
    <x v="0"/>
  </r>
  <r>
    <x v="80"/>
  </r>
  <r>
    <x v="4"/>
  </r>
  <r>
    <x v="4"/>
  </r>
  <r>
    <x v="28"/>
  </r>
  <r>
    <x v="56"/>
  </r>
  <r>
    <x v="56"/>
  </r>
  <r>
    <x v="56"/>
  </r>
  <r>
    <x v="56"/>
  </r>
  <r>
    <x v="123"/>
  </r>
  <r>
    <x v="2"/>
  </r>
  <r>
    <x v="10"/>
  </r>
  <r>
    <x v="63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0"/>
  </r>
  <r>
    <x v="10"/>
  </r>
  <r>
    <x v="10"/>
  </r>
  <r>
    <x v="0"/>
  </r>
  <r>
    <x v="0"/>
  </r>
  <r>
    <x v="0"/>
  </r>
  <r>
    <x v="14"/>
  </r>
  <r>
    <x v="14"/>
  </r>
  <r>
    <x v="14"/>
  </r>
  <r>
    <x v="14"/>
  </r>
  <r>
    <x v="14"/>
  </r>
  <r>
    <x v="4"/>
  </r>
  <r>
    <x v="57"/>
  </r>
  <r>
    <x v="4"/>
  </r>
  <r>
    <x v="152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7"/>
  </r>
  <r>
    <x v="7"/>
  </r>
  <r>
    <x v="12"/>
  </r>
  <r>
    <x v="7"/>
  </r>
  <r>
    <x v="12"/>
  </r>
  <r>
    <x v="4"/>
  </r>
  <r>
    <x v="87"/>
  </r>
  <r>
    <x v="4"/>
  </r>
  <r>
    <x v="4"/>
  </r>
  <r>
    <x v="4"/>
  </r>
  <r>
    <x v="4"/>
  </r>
  <r>
    <x v="4"/>
  </r>
  <r>
    <x v="4"/>
  </r>
  <r>
    <x v="4"/>
  </r>
  <r>
    <x v="4"/>
  </r>
  <r>
    <x v="4"/>
  </r>
  <r>
    <x v="9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4"/>
  </r>
  <r>
    <x v="4"/>
  </r>
  <r>
    <x v="4"/>
  </r>
  <r>
    <x v="4"/>
  </r>
  <r>
    <x v="4"/>
  </r>
  <r>
    <x v="7"/>
  </r>
  <r>
    <x v="17"/>
  </r>
  <r>
    <x v="17"/>
  </r>
  <r>
    <x v="4"/>
  </r>
  <r>
    <x v="79"/>
  </r>
  <r>
    <x v="2"/>
  </r>
  <r>
    <x v="71"/>
  </r>
  <r>
    <x v="71"/>
  </r>
  <r>
    <x v="123"/>
  </r>
  <r>
    <x v="42"/>
  </r>
  <r>
    <x v="12"/>
  </r>
  <r>
    <x v="12"/>
  </r>
  <r>
    <x v="28"/>
  </r>
  <r>
    <x v="21"/>
  </r>
  <r>
    <x v="2"/>
  </r>
  <r>
    <x v="42"/>
  </r>
  <r>
    <x v="42"/>
  </r>
  <r>
    <x v="42"/>
  </r>
  <r>
    <x v="42"/>
  </r>
  <r>
    <x v="28"/>
  </r>
  <r>
    <x v="86"/>
  </r>
  <r>
    <x v="10"/>
  </r>
  <r>
    <x v="123"/>
  </r>
  <r>
    <x v="123"/>
  </r>
  <r>
    <x v="129"/>
  </r>
  <r>
    <x v="123"/>
  </r>
  <r>
    <x v="123"/>
  </r>
  <r>
    <x v="11"/>
  </r>
  <r>
    <x v="12"/>
  </r>
  <r>
    <x v="0"/>
  </r>
  <r>
    <x v="9"/>
  </r>
  <r>
    <x v="14"/>
  </r>
  <r>
    <x v="71"/>
  </r>
  <r>
    <x v="7"/>
  </r>
  <r>
    <x v="2"/>
  </r>
  <r>
    <x v="37"/>
  </r>
  <r>
    <x v="2"/>
  </r>
  <r>
    <x v="28"/>
  </r>
  <r>
    <x v="0"/>
  </r>
  <r>
    <x v="28"/>
  </r>
  <r>
    <x v="130"/>
  </r>
  <r>
    <x v="0"/>
  </r>
  <r>
    <x v="71"/>
  </r>
  <r>
    <x v="64"/>
  </r>
  <r>
    <x v="42"/>
  </r>
  <r>
    <x v="0"/>
  </r>
  <r>
    <x v="7"/>
  </r>
  <r>
    <x v="87"/>
  </r>
  <r>
    <x v="87"/>
  </r>
  <r>
    <x v="10"/>
  </r>
  <r>
    <x v="17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3"/>
  </r>
  <r>
    <x v="87"/>
  </r>
  <r>
    <x v="87"/>
  </r>
  <r>
    <x v="4"/>
  </r>
  <r>
    <x v="10"/>
  </r>
  <r>
    <x v="50"/>
  </r>
  <r>
    <x v="48"/>
  </r>
  <r>
    <x v="10"/>
  </r>
  <r>
    <x v="7"/>
  </r>
  <r>
    <x v="123"/>
  </r>
  <r>
    <x v="52"/>
  </r>
  <r>
    <x v="130"/>
  </r>
  <r>
    <x v="29"/>
  </r>
  <r>
    <x v="0"/>
  </r>
  <r>
    <x v="28"/>
  </r>
  <r>
    <x v="10"/>
  </r>
  <r>
    <x v="14"/>
  </r>
  <r>
    <x v="0"/>
  </r>
  <r>
    <x v="37"/>
  </r>
  <r>
    <x v="42"/>
  </r>
  <r>
    <x v="4"/>
  </r>
  <r>
    <x v="86"/>
  </r>
  <r>
    <x v="19"/>
  </r>
  <r>
    <x v="4"/>
  </r>
  <r>
    <x v="25"/>
  </r>
  <r>
    <x v="165"/>
  </r>
  <r>
    <x v="123"/>
  </r>
  <r>
    <x v="4"/>
  </r>
  <r>
    <x v="80"/>
  </r>
  <r>
    <x v="80"/>
  </r>
  <r>
    <x v="87"/>
  </r>
  <r>
    <x v="87"/>
  </r>
  <r>
    <x v="7"/>
  </r>
  <r>
    <x v="12"/>
  </r>
  <r>
    <x v="42"/>
  </r>
  <r>
    <x v="10"/>
  </r>
  <r>
    <x v="0"/>
  </r>
  <r>
    <x v="0"/>
  </r>
  <r>
    <x v="42"/>
  </r>
  <r>
    <x v="22"/>
  </r>
  <r>
    <x v="388"/>
  </r>
  <r>
    <x v="56"/>
  </r>
  <r>
    <x v="4"/>
  </r>
  <r>
    <x v="22"/>
  </r>
  <r>
    <x v="22"/>
  </r>
  <r>
    <x v="22"/>
  </r>
  <r>
    <x v="22"/>
  </r>
  <r>
    <x v="22"/>
  </r>
  <r>
    <x v="22"/>
  </r>
  <r>
    <x v="25"/>
  </r>
  <r>
    <x v="10"/>
  </r>
  <r>
    <x v="71"/>
  </r>
  <r>
    <x v="71"/>
  </r>
  <r>
    <x v="16"/>
  </r>
  <r>
    <x v="37"/>
  </r>
  <r>
    <x v="28"/>
  </r>
  <r>
    <x v="4"/>
  </r>
  <r>
    <x v="10"/>
  </r>
  <r>
    <x v="56"/>
  </r>
  <r>
    <x v="4"/>
  </r>
  <r>
    <x v="37"/>
  </r>
  <r>
    <x v="45"/>
  </r>
  <r>
    <x v="0"/>
  </r>
  <r>
    <x v="7"/>
  </r>
  <r>
    <x v="68"/>
  </r>
  <r>
    <x v="78"/>
  </r>
  <r>
    <x v="42"/>
  </r>
  <r>
    <x v="42"/>
  </r>
  <r>
    <x v="14"/>
  </r>
  <r>
    <x v="14"/>
  </r>
  <r>
    <x v="45"/>
  </r>
  <r>
    <x v="45"/>
  </r>
  <r>
    <x v="112"/>
  </r>
  <r>
    <x v="112"/>
  </r>
  <r>
    <x v="77"/>
  </r>
  <r>
    <x v="45"/>
  </r>
  <r>
    <x v="123"/>
  </r>
  <r>
    <x v="123"/>
  </r>
  <r>
    <x v="115"/>
  </r>
  <r>
    <x v="14"/>
  </r>
  <r>
    <x v="184"/>
  </r>
  <r>
    <x v="10"/>
  </r>
  <r>
    <x v="10"/>
  </r>
  <r>
    <x v="10"/>
  </r>
  <r>
    <x v="10"/>
  </r>
  <r>
    <x v="22"/>
  </r>
  <r>
    <x v="10"/>
  </r>
  <r>
    <x v="4"/>
  </r>
  <r>
    <x v="78"/>
  </r>
  <r>
    <x v="78"/>
  </r>
  <r>
    <x v="78"/>
  </r>
  <r>
    <x v="78"/>
  </r>
  <r>
    <x v="78"/>
  </r>
  <r>
    <x v="78"/>
  </r>
  <r>
    <x v="4"/>
  </r>
  <r>
    <x v="14"/>
  </r>
  <r>
    <x v="10"/>
  </r>
  <r>
    <x v="10"/>
  </r>
  <r>
    <x v="10"/>
  </r>
  <r>
    <x v="4"/>
  </r>
  <r>
    <x v="24"/>
  </r>
  <r>
    <x v="24"/>
  </r>
  <r>
    <x v="16"/>
  </r>
  <r>
    <x v="39"/>
  </r>
  <r>
    <x v="39"/>
  </r>
  <r>
    <x v="28"/>
  </r>
  <r>
    <x v="42"/>
  </r>
  <r>
    <x v="10"/>
  </r>
  <r>
    <x v="42"/>
  </r>
  <r>
    <x v="123"/>
  </r>
  <r>
    <x v="123"/>
  </r>
  <r>
    <x v="123"/>
  </r>
  <r>
    <x v="123"/>
  </r>
  <r>
    <x v="0"/>
  </r>
  <r>
    <x v="79"/>
  </r>
  <r>
    <x v="16"/>
  </r>
  <r>
    <x v="17"/>
  </r>
  <r>
    <x v="4"/>
  </r>
  <r>
    <x v="12"/>
  </r>
  <r>
    <x v="10"/>
  </r>
  <r>
    <x v="10"/>
  </r>
  <r>
    <x v="16"/>
  </r>
  <r>
    <x v="78"/>
  </r>
  <r>
    <x v="78"/>
  </r>
  <r>
    <x v="123"/>
  </r>
  <r>
    <x v="123"/>
  </r>
  <r>
    <x v="16"/>
  </r>
  <r>
    <x v="42"/>
  </r>
  <r>
    <x v="63"/>
  </r>
  <r>
    <x v="78"/>
  </r>
  <r>
    <x v="123"/>
  </r>
  <r>
    <x v="123"/>
  </r>
  <r>
    <x v="28"/>
  </r>
  <r>
    <x v="78"/>
  </r>
  <r>
    <x v="78"/>
  </r>
  <r>
    <x v="123"/>
  </r>
  <r>
    <x v="123"/>
  </r>
  <r>
    <x v="123"/>
  </r>
  <r>
    <x v="22"/>
  </r>
  <r>
    <x v="4"/>
  </r>
  <r>
    <x v="4"/>
  </r>
  <r>
    <x v="33"/>
  </r>
  <r>
    <x v="87"/>
  </r>
  <r>
    <x v="10"/>
  </r>
  <r>
    <x v="10"/>
  </r>
  <r>
    <x v="4"/>
  </r>
  <r>
    <x v="4"/>
  </r>
  <r>
    <x v="25"/>
  </r>
  <r>
    <x v="0"/>
  </r>
  <r>
    <x v="27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168"/>
  </r>
  <r>
    <x v="22"/>
  </r>
  <r>
    <x v="22"/>
  </r>
  <r>
    <x v="1"/>
  </r>
  <r>
    <x v="10"/>
  </r>
  <r>
    <x v="25"/>
  </r>
  <r>
    <x v="87"/>
  </r>
  <r>
    <x v="22"/>
  </r>
  <r>
    <x v="102"/>
  </r>
  <r>
    <x v="87"/>
  </r>
  <r>
    <x v="87"/>
  </r>
  <r>
    <x v="12"/>
  </r>
  <r>
    <x v="12"/>
  </r>
  <r>
    <x v="2"/>
  </r>
  <r>
    <x v="16"/>
  </r>
  <r>
    <x v="2"/>
  </r>
  <r>
    <x v="2"/>
  </r>
  <r>
    <x v="131"/>
  </r>
  <r>
    <x v="123"/>
  </r>
  <r>
    <x v="7"/>
  </r>
  <r>
    <x v="0"/>
  </r>
  <r>
    <x v="0"/>
  </r>
  <r>
    <x v="1"/>
  </r>
  <r>
    <x v="1"/>
  </r>
  <r>
    <x v="1"/>
  </r>
  <r>
    <x v="1"/>
  </r>
  <r>
    <x v="16"/>
  </r>
  <r>
    <x v="71"/>
  </r>
  <r>
    <x v="48"/>
  </r>
  <r>
    <x v="76"/>
  </r>
  <r>
    <x v="4"/>
  </r>
  <r>
    <x v="42"/>
  </r>
  <r>
    <x v="31"/>
  </r>
  <r>
    <x v="1"/>
  </r>
  <r>
    <x v="1"/>
  </r>
  <r>
    <x v="10"/>
  </r>
  <r>
    <x v="10"/>
  </r>
  <r>
    <x v="8"/>
  </r>
  <r>
    <x v="80"/>
  </r>
  <r>
    <x v="19"/>
  </r>
  <r>
    <x v="48"/>
  </r>
  <r>
    <x v="152"/>
  </r>
  <r>
    <x v="10"/>
  </r>
  <r>
    <x v="141"/>
  </r>
  <r>
    <x v="152"/>
  </r>
  <r>
    <x v="152"/>
  </r>
  <r>
    <x v="36"/>
  </r>
  <r>
    <x v="36"/>
  </r>
  <r>
    <x v="36"/>
  </r>
  <r>
    <x v="36"/>
  </r>
  <r>
    <x v="36"/>
  </r>
  <r>
    <x v="152"/>
  </r>
  <r>
    <x v="152"/>
  </r>
  <r>
    <x v="152"/>
  </r>
  <r>
    <x v="71"/>
  </r>
  <r>
    <x v="51"/>
  </r>
  <r>
    <x v="86"/>
  </r>
  <r>
    <x v="42"/>
  </r>
  <r>
    <x v="12"/>
  </r>
  <r>
    <x v="12"/>
  </r>
  <r>
    <x v="152"/>
  </r>
  <r>
    <x v="152"/>
  </r>
  <r>
    <x v="63"/>
  </r>
  <r>
    <x v="63"/>
  </r>
  <r>
    <x v="63"/>
  </r>
  <r>
    <x v="63"/>
  </r>
  <r>
    <x v="0"/>
  </r>
  <r>
    <x v="0"/>
  </r>
  <r>
    <x v="57"/>
  </r>
  <r>
    <x v="7"/>
  </r>
  <r>
    <x v="26"/>
  </r>
  <r>
    <x v="12"/>
  </r>
  <r>
    <x v="12"/>
  </r>
  <r>
    <x v="12"/>
  </r>
  <r>
    <x v="10"/>
  </r>
  <r>
    <x v="57"/>
  </r>
  <r>
    <x v="53"/>
  </r>
  <r>
    <x v="57"/>
  </r>
  <r>
    <x v="210"/>
  </r>
  <r>
    <x v="0"/>
  </r>
  <r>
    <x v="43"/>
  </r>
  <r>
    <x v="56"/>
  </r>
  <r>
    <x v="71"/>
  </r>
  <r>
    <x v="57"/>
  </r>
  <r>
    <x v="57"/>
  </r>
  <r>
    <x v="86"/>
  </r>
  <r>
    <x v="28"/>
  </r>
  <r>
    <x v="4"/>
  </r>
  <r>
    <x v="57"/>
  </r>
  <r>
    <x v="57"/>
  </r>
  <r>
    <x v="63"/>
  </r>
  <r>
    <x v="63"/>
  </r>
  <r>
    <x v="138"/>
  </r>
  <r>
    <x v="138"/>
  </r>
  <r>
    <x v="138"/>
  </r>
  <r>
    <x v="138"/>
  </r>
  <r>
    <x v="138"/>
  </r>
  <r>
    <x v="138"/>
  </r>
  <r>
    <x v="138"/>
  </r>
  <r>
    <x v="53"/>
  </r>
  <r>
    <x v="47"/>
  </r>
  <r>
    <x v="47"/>
  </r>
  <r>
    <x v="47"/>
  </r>
  <r>
    <x v="2"/>
  </r>
  <r>
    <x v="2"/>
  </r>
  <r>
    <x v="2"/>
  </r>
  <r>
    <x v="10"/>
  </r>
  <r>
    <x v="10"/>
  </r>
  <r>
    <x v="4"/>
  </r>
  <r>
    <x v="71"/>
  </r>
  <r>
    <x v="87"/>
  </r>
  <r>
    <x v="10"/>
  </r>
  <r>
    <x v="138"/>
  </r>
  <r>
    <x v="138"/>
  </r>
  <r>
    <x v="138"/>
  </r>
  <r>
    <x v="138"/>
  </r>
  <r>
    <x v="138"/>
  </r>
  <r>
    <x v="47"/>
  </r>
  <r>
    <x v="2"/>
  </r>
  <r>
    <x v="2"/>
  </r>
  <r>
    <x v="2"/>
  </r>
  <r>
    <x v="2"/>
  </r>
  <r>
    <x v="2"/>
  </r>
  <r>
    <x v="2"/>
  </r>
  <r>
    <x v="2"/>
  </r>
  <r>
    <x v="11"/>
  </r>
  <r>
    <x v="2"/>
  </r>
  <r>
    <x v="2"/>
  </r>
  <r>
    <x v="2"/>
  </r>
  <r>
    <x v="2"/>
  </r>
  <r>
    <x v="2"/>
  </r>
  <r>
    <x v="1"/>
  </r>
  <r>
    <x v="10"/>
  </r>
  <r>
    <x v="131"/>
  </r>
  <r>
    <x v="6"/>
  </r>
  <r>
    <x v="14"/>
  </r>
  <r>
    <x v="4"/>
  </r>
  <r>
    <x v="10"/>
  </r>
  <r>
    <x v="10"/>
  </r>
  <r>
    <x v="4"/>
  </r>
  <r>
    <x v="4"/>
  </r>
  <r>
    <x v="10"/>
  </r>
  <r>
    <x v="9"/>
  </r>
  <r>
    <x v="2"/>
  </r>
  <r>
    <x v="152"/>
  </r>
  <r>
    <x v="152"/>
  </r>
  <r>
    <x v="164"/>
  </r>
  <r>
    <x v="1"/>
  </r>
  <r>
    <x v="63"/>
  </r>
  <r>
    <x v="63"/>
  </r>
  <r>
    <x v="2"/>
  </r>
  <r>
    <x v="2"/>
  </r>
  <r>
    <x v="2"/>
  </r>
  <r>
    <x v="2"/>
  </r>
  <r>
    <x v="56"/>
  </r>
  <r>
    <x v="56"/>
  </r>
  <r>
    <x v="26"/>
  </r>
  <r>
    <x v="123"/>
  </r>
  <r>
    <x v="123"/>
  </r>
  <r>
    <x v="63"/>
  </r>
  <r>
    <x v="164"/>
  </r>
  <r>
    <x v="17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63"/>
  </r>
  <r>
    <x v="170"/>
  </r>
  <r>
    <x v="164"/>
  </r>
  <r>
    <x v="6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8"/>
  </r>
  <r>
    <x v="28"/>
  </r>
  <r>
    <x v="2"/>
  </r>
  <r>
    <x v="28"/>
  </r>
  <r>
    <x v="28"/>
  </r>
  <r>
    <x v="50"/>
  </r>
  <r>
    <x v="14"/>
  </r>
  <r>
    <x v="1"/>
  </r>
  <r>
    <x v="42"/>
  </r>
  <r>
    <x v="1"/>
  </r>
  <r>
    <x v="63"/>
  </r>
  <r>
    <x v="14"/>
  </r>
  <r>
    <x v="14"/>
  </r>
  <r>
    <x v="141"/>
  </r>
  <r>
    <x v="141"/>
  </r>
  <r>
    <x v="141"/>
  </r>
  <r>
    <x v="141"/>
  </r>
  <r>
    <x v="164"/>
  </r>
  <r>
    <x v="2"/>
  </r>
  <r>
    <x v="2"/>
  </r>
  <r>
    <x v="164"/>
  </r>
  <r>
    <x v="164"/>
  </r>
  <r>
    <x v="16"/>
  </r>
  <r>
    <x v="16"/>
  </r>
  <r>
    <x v="28"/>
  </r>
  <r>
    <x v="28"/>
  </r>
  <r>
    <x v="28"/>
  </r>
  <r>
    <x v="71"/>
  </r>
  <r>
    <x v="16"/>
  </r>
  <r>
    <x v="16"/>
  </r>
  <r>
    <x v="50"/>
  </r>
  <r>
    <x v="63"/>
  </r>
  <r>
    <x v="16"/>
  </r>
  <r>
    <x v="10"/>
  </r>
  <r>
    <x v="10"/>
  </r>
  <r>
    <x v="86"/>
  </r>
  <r>
    <x v="36"/>
  </r>
  <r>
    <x v="36"/>
  </r>
  <r>
    <x v="80"/>
  </r>
  <r>
    <x v="129"/>
  </r>
  <r>
    <x v="16"/>
  </r>
  <r>
    <x v="57"/>
  </r>
  <r>
    <x v="1"/>
  </r>
  <r>
    <x v="47"/>
  </r>
  <r>
    <x v="19"/>
  </r>
  <r>
    <x v="47"/>
  </r>
  <r>
    <x v="47"/>
  </r>
  <r>
    <x v="47"/>
  </r>
  <r>
    <x v="47"/>
  </r>
  <r>
    <x v="47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28"/>
  </r>
  <r>
    <x v="28"/>
  </r>
  <r>
    <x v="50"/>
  </r>
  <r>
    <x v="50"/>
  </r>
  <r>
    <x v="28"/>
  </r>
  <r>
    <x v="16"/>
  </r>
  <r>
    <x v="16"/>
  </r>
  <r>
    <x v="17"/>
  </r>
  <r>
    <x v="16"/>
  </r>
  <r>
    <x v="16"/>
  </r>
  <r>
    <x v="16"/>
  </r>
  <r>
    <x v="16"/>
  </r>
  <r>
    <x v="28"/>
  </r>
  <r>
    <x v="47"/>
  </r>
  <r>
    <x v="47"/>
  </r>
  <r>
    <x v="47"/>
  </r>
  <r>
    <x v="47"/>
  </r>
  <r>
    <x v="47"/>
  </r>
  <r>
    <x v="12"/>
  </r>
  <r>
    <x v="12"/>
  </r>
  <r>
    <x v="12"/>
  </r>
  <r>
    <x v="16"/>
  </r>
  <r>
    <x v="78"/>
  </r>
  <r>
    <x v="78"/>
  </r>
  <r>
    <x v="78"/>
  </r>
  <r>
    <x v="78"/>
  </r>
  <r>
    <x v="47"/>
  </r>
  <r>
    <x v="47"/>
  </r>
  <r>
    <x v="47"/>
  </r>
  <r>
    <x v="47"/>
  </r>
  <r>
    <x v="17"/>
  </r>
  <r>
    <x v="47"/>
  </r>
  <r>
    <x v="28"/>
  </r>
  <r>
    <x v="28"/>
  </r>
  <r>
    <x v="24"/>
  </r>
  <r>
    <x v="4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63"/>
  </r>
  <r>
    <x v="63"/>
  </r>
  <r>
    <x v="2"/>
  </r>
  <r>
    <x v="2"/>
  </r>
  <r>
    <x v="2"/>
  </r>
  <r>
    <x v="2"/>
  </r>
  <r>
    <x v="33"/>
  </r>
  <r>
    <x v="77"/>
  </r>
  <r>
    <x v="10"/>
  </r>
  <r>
    <x v="4"/>
  </r>
  <r>
    <x v="16"/>
  </r>
  <r>
    <x v="16"/>
  </r>
  <r>
    <x v="16"/>
  </r>
  <r>
    <x v="16"/>
  </r>
  <r>
    <x v="16"/>
  </r>
  <r>
    <x v="16"/>
  </r>
  <r>
    <x v="51"/>
  </r>
  <r>
    <x v="51"/>
  </r>
  <r>
    <x v="42"/>
  </r>
  <r>
    <x v="36"/>
  </r>
  <r>
    <x v="12"/>
  </r>
  <r>
    <x v="12"/>
  </r>
  <r>
    <x v="12"/>
  </r>
  <r>
    <x v="210"/>
  </r>
  <r>
    <x v="57"/>
  </r>
  <r>
    <x v="138"/>
  </r>
  <r>
    <x v="123"/>
  </r>
  <r>
    <x v="123"/>
  </r>
  <r>
    <x v="123"/>
  </r>
  <r>
    <x v="123"/>
  </r>
  <r>
    <x v="123"/>
  </r>
  <r>
    <x v="123"/>
  </r>
  <r>
    <x v="1"/>
  </r>
  <r>
    <x v="63"/>
  </r>
  <r>
    <x v="28"/>
  </r>
  <r>
    <x v="28"/>
  </r>
  <r>
    <x v="32"/>
  </r>
  <r>
    <x v="37"/>
  </r>
  <r>
    <x v="16"/>
  </r>
  <r>
    <x v="16"/>
  </r>
  <r>
    <x v="152"/>
  </r>
  <r>
    <x v="152"/>
  </r>
  <r>
    <x v="152"/>
  </r>
  <r>
    <x v="152"/>
  </r>
  <r>
    <x v="152"/>
  </r>
  <r>
    <x v="28"/>
  </r>
  <r>
    <x v="146"/>
  </r>
  <r>
    <x v="146"/>
  </r>
  <r>
    <x v="48"/>
  </r>
  <r>
    <x v="56"/>
  </r>
  <r>
    <x v="6"/>
  </r>
  <r>
    <x v="6"/>
  </r>
  <r>
    <x v="6"/>
  </r>
  <r>
    <x v="126"/>
  </r>
  <r>
    <x v="16"/>
  </r>
  <r>
    <x v="1"/>
  </r>
  <r>
    <x v="42"/>
  </r>
  <r>
    <x v="165"/>
  </r>
  <r>
    <x v="10"/>
  </r>
  <r>
    <x v="10"/>
  </r>
  <r>
    <x v="63"/>
  </r>
  <r>
    <x v="28"/>
  </r>
  <r>
    <x v="1"/>
  </r>
  <r>
    <x v="10"/>
  </r>
  <r>
    <x v="77"/>
  </r>
  <r>
    <x v="129"/>
  </r>
  <r>
    <x v="1"/>
  </r>
  <r>
    <x v="1"/>
  </r>
  <r>
    <x v="152"/>
  </r>
  <r>
    <x v="12"/>
  </r>
  <r>
    <x v="16"/>
  </r>
  <r>
    <x v="16"/>
  </r>
  <r>
    <x v="10"/>
  </r>
  <r>
    <x v="10"/>
  </r>
  <r>
    <x v="31"/>
  </r>
  <r>
    <x v="10"/>
  </r>
  <r>
    <x v="14"/>
  </r>
  <r>
    <x v="12"/>
  </r>
  <r>
    <x v="16"/>
  </r>
  <r>
    <x v="6"/>
  </r>
  <r>
    <x v="78"/>
  </r>
  <r>
    <x v="56"/>
  </r>
  <r>
    <x v="10"/>
  </r>
  <r>
    <x v="12"/>
  </r>
  <r>
    <x v="14"/>
  </r>
  <r>
    <x v="25"/>
  </r>
  <r>
    <x v="123"/>
  </r>
  <r>
    <x v="123"/>
  </r>
  <r>
    <x v="48"/>
  </r>
  <r>
    <x v="14"/>
  </r>
  <r>
    <x v="51"/>
  </r>
  <r>
    <x v="170"/>
  </r>
  <r>
    <x v="170"/>
  </r>
  <r>
    <x v="152"/>
  </r>
  <r>
    <x v="47"/>
  </r>
  <r>
    <x v="47"/>
  </r>
  <r>
    <x v="47"/>
  </r>
  <r>
    <x v="47"/>
  </r>
  <r>
    <x v="47"/>
  </r>
  <r>
    <x v="47"/>
  </r>
  <r>
    <x v="47"/>
  </r>
  <r>
    <x v="47"/>
  </r>
  <r>
    <x v="36"/>
  </r>
  <r>
    <x v="36"/>
  </r>
  <r>
    <x v="36"/>
  </r>
  <r>
    <x v="36"/>
  </r>
  <r>
    <x v="47"/>
  </r>
  <r>
    <x v="36"/>
  </r>
  <r>
    <x v="47"/>
  </r>
  <r>
    <x v="47"/>
  </r>
  <r>
    <x v="47"/>
  </r>
  <r>
    <x v="36"/>
  </r>
  <r>
    <x v="16"/>
  </r>
  <r>
    <x v="16"/>
  </r>
  <r>
    <x v="36"/>
  </r>
  <r>
    <x v="36"/>
  </r>
  <r>
    <x v="36"/>
  </r>
  <r>
    <x v="36"/>
  </r>
  <r>
    <x v="36"/>
  </r>
  <r>
    <x v="36"/>
  </r>
  <r>
    <x v="36"/>
  </r>
  <r>
    <x v="47"/>
  </r>
  <r>
    <x v="47"/>
  </r>
  <r>
    <x v="47"/>
  </r>
  <r>
    <x v="123"/>
  </r>
  <r>
    <x v="123"/>
  </r>
  <r>
    <x v="14"/>
  </r>
  <r>
    <x v="63"/>
  </r>
  <r>
    <x v="16"/>
  </r>
  <r>
    <x v="1"/>
  </r>
  <r>
    <x v="1"/>
  </r>
  <r>
    <x v="4"/>
  </r>
  <r>
    <x v="72"/>
  </r>
  <r>
    <x v="10"/>
  </r>
  <r>
    <x v="10"/>
  </r>
  <r>
    <x v="10"/>
  </r>
  <r>
    <x v="76"/>
  </r>
  <r>
    <x v="12"/>
  </r>
  <r>
    <x v="277"/>
  </r>
  <r>
    <x v="17"/>
  </r>
  <r>
    <x v="277"/>
  </r>
  <r>
    <x v="10"/>
  </r>
  <r>
    <x v="79"/>
  </r>
  <r>
    <x v="57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"/>
  </r>
  <r>
    <x v="12"/>
  </r>
  <r>
    <x v="36"/>
  </r>
  <r>
    <x v="36"/>
  </r>
  <r>
    <x v="36"/>
  </r>
  <r>
    <x v="12"/>
  </r>
  <r>
    <x v="12"/>
  </r>
  <r>
    <x v="36"/>
  </r>
  <r>
    <x v="165"/>
  </r>
  <r>
    <x v="12"/>
  </r>
  <r>
    <x v="12"/>
  </r>
  <r>
    <x v="36"/>
  </r>
  <r>
    <x v="36"/>
  </r>
  <r>
    <x v="12"/>
  </r>
  <r>
    <x v="12"/>
  </r>
  <r>
    <x v="12"/>
  </r>
  <r>
    <x v="12"/>
  </r>
  <r>
    <x v="36"/>
  </r>
  <r>
    <x v="12"/>
  </r>
  <r>
    <x v="42"/>
  </r>
  <r>
    <x v="0"/>
  </r>
  <r>
    <x v="0"/>
  </r>
  <r>
    <x v="10"/>
  </r>
  <r>
    <x v="10"/>
  </r>
  <r>
    <x v="10"/>
  </r>
  <r>
    <x v="10"/>
  </r>
  <r>
    <x v="69"/>
  </r>
  <r>
    <x v="17"/>
  </r>
  <r>
    <x v="17"/>
  </r>
  <r>
    <x v="39"/>
  </r>
  <r>
    <x v="42"/>
  </r>
  <r>
    <x v="17"/>
  </r>
  <r>
    <x v="78"/>
  </r>
  <r>
    <x v="28"/>
  </r>
  <r>
    <x v="10"/>
  </r>
  <r>
    <x v="10"/>
  </r>
  <r>
    <x v="10"/>
  </r>
  <r>
    <x v="76"/>
  </r>
  <r>
    <x v="17"/>
  </r>
  <r>
    <x v="9"/>
  </r>
  <r>
    <x v="86"/>
  </r>
  <r>
    <x v="89"/>
  </r>
  <r>
    <x v="24"/>
  </r>
  <r>
    <x v="24"/>
  </r>
  <r>
    <x v="12"/>
  </r>
  <r>
    <x v="12"/>
  </r>
  <r>
    <x v="12"/>
  </r>
  <r>
    <x v="12"/>
  </r>
  <r>
    <x v="12"/>
  </r>
  <r>
    <x v="12"/>
  </r>
  <r>
    <x v="12"/>
  </r>
  <r>
    <x v="12"/>
  </r>
  <r>
    <x v="123"/>
  </r>
  <r>
    <x v="123"/>
  </r>
  <r>
    <x v="123"/>
  </r>
  <r>
    <x v="115"/>
  </r>
  <r>
    <x v="123"/>
  </r>
  <r>
    <x v="123"/>
  </r>
  <r>
    <x v="123"/>
  </r>
  <r>
    <x v="63"/>
  </r>
  <r>
    <x v="100"/>
  </r>
  <r>
    <x v="100"/>
  </r>
  <r>
    <x v="86"/>
  </r>
  <r>
    <x v="86"/>
  </r>
  <r>
    <x v="57"/>
  </r>
  <r>
    <x v="12"/>
  </r>
  <r>
    <x v="17"/>
  </r>
  <r>
    <x v="10"/>
  </r>
  <r>
    <x v="14"/>
  </r>
  <r>
    <x v="17"/>
  </r>
  <r>
    <x v="123"/>
  </r>
  <r>
    <x v="123"/>
  </r>
  <r>
    <x v="123"/>
  </r>
  <r>
    <x v="152"/>
  </r>
  <r>
    <x v="123"/>
  </r>
  <r>
    <x v="123"/>
  </r>
  <r>
    <x v="163"/>
  </r>
  <r>
    <x v="10"/>
  </r>
  <r>
    <x v="10"/>
  </r>
  <r>
    <x v="10"/>
  </r>
  <r>
    <x v="10"/>
  </r>
  <r>
    <x v="10"/>
  </r>
  <r>
    <x v="10"/>
  </r>
  <r>
    <x v="10"/>
  </r>
  <r>
    <x v="10"/>
  </r>
  <r>
    <x v="51"/>
  </r>
  <r>
    <x v="10"/>
  </r>
  <r>
    <x v="0"/>
  </r>
  <r>
    <x v="123"/>
  </r>
  <r>
    <x v="9"/>
  </r>
  <r>
    <x v="55"/>
  </r>
  <r>
    <x v="162"/>
  </r>
  <r>
    <x v="162"/>
  </r>
  <r>
    <x v="28"/>
  </r>
  <r>
    <x v="28"/>
  </r>
  <r>
    <x v="28"/>
  </r>
  <r>
    <x v="7"/>
  </r>
  <r>
    <x v="152"/>
  </r>
  <r>
    <x v="77"/>
  </r>
  <r>
    <x v="77"/>
  </r>
  <r>
    <x v="14"/>
  </r>
  <r>
    <x v="103"/>
  </r>
  <r>
    <x v="123"/>
  </r>
  <r>
    <x v="24"/>
  </r>
  <r>
    <x v="24"/>
  </r>
  <r>
    <x v="14"/>
  </r>
  <r>
    <x v="10"/>
  </r>
  <r>
    <x v="10"/>
  </r>
  <r>
    <x v="10"/>
  </r>
  <r>
    <x v="10"/>
  </r>
  <r>
    <x v="10"/>
  </r>
  <r>
    <x v="10"/>
  </r>
  <r>
    <x v="45"/>
  </r>
  <r>
    <x v="63"/>
  </r>
  <r>
    <x v="25"/>
  </r>
  <r>
    <x v="63"/>
  </r>
  <r>
    <x v="87"/>
  </r>
  <r>
    <x v="6"/>
  </r>
  <r>
    <x v="22"/>
  </r>
  <r>
    <x v="22"/>
  </r>
  <r>
    <x v="16"/>
  </r>
  <r>
    <x v="22"/>
  </r>
  <r>
    <x v="20"/>
  </r>
  <r>
    <x v="14"/>
  </r>
  <r>
    <x v="240"/>
  </r>
  <r>
    <x v="224"/>
  </r>
  <r>
    <x v="14"/>
  </r>
  <r>
    <x v="12"/>
  </r>
  <r>
    <x v="12"/>
  </r>
  <r>
    <x v="4"/>
  </r>
  <r>
    <x v="22"/>
  </r>
  <r>
    <x v="0"/>
  </r>
  <r>
    <x v="14"/>
  </r>
  <r>
    <x v="0"/>
  </r>
  <r>
    <x v="55"/>
  </r>
  <r>
    <x v="0"/>
  </r>
  <r>
    <x v="25"/>
  </r>
  <r>
    <x v="4"/>
  </r>
  <r>
    <x v="7"/>
  </r>
  <r>
    <x v="36"/>
  </r>
  <r>
    <x v="36"/>
  </r>
  <r>
    <x v="86"/>
  </r>
  <r>
    <x v="4"/>
  </r>
  <r>
    <x v="2"/>
  </r>
  <r>
    <x v="63"/>
  </r>
  <r>
    <x v="77"/>
  </r>
  <r>
    <x v="63"/>
  </r>
  <r>
    <x v="63"/>
  </r>
  <r>
    <x v="63"/>
  </r>
  <r>
    <x v="63"/>
  </r>
  <r>
    <x v="12"/>
  </r>
  <r>
    <x v="63"/>
  </r>
  <r>
    <x v="175"/>
  </r>
  <r>
    <x v="163"/>
  </r>
  <r>
    <x v="4"/>
  </r>
  <r>
    <x v="4"/>
  </r>
  <r>
    <x v="4"/>
  </r>
  <r>
    <x v="123"/>
  </r>
  <r>
    <x v="4"/>
  </r>
  <r>
    <x v="4"/>
  </r>
  <r>
    <x v="4"/>
  </r>
  <r>
    <x v="4"/>
  </r>
  <r>
    <x v="165"/>
  </r>
  <r>
    <x v="10"/>
  </r>
  <r>
    <x v="123"/>
  </r>
  <r>
    <x v="15"/>
  </r>
  <r>
    <x v="15"/>
  </r>
  <r>
    <x v="12"/>
  </r>
  <r>
    <x v="15"/>
  </r>
  <r>
    <x v="55"/>
  </r>
  <r>
    <x v="15"/>
  </r>
  <r>
    <x v="15"/>
  </r>
  <r>
    <x v="25"/>
  </r>
  <r>
    <x v="24"/>
  </r>
  <r>
    <x v="4"/>
  </r>
  <r>
    <x v="24"/>
  </r>
  <r>
    <x v="267"/>
  </r>
  <r>
    <x v="267"/>
  </r>
  <r>
    <x v="12"/>
  </r>
  <r>
    <x v="46"/>
  </r>
  <r>
    <x v="122"/>
  </r>
  <r>
    <x v="25"/>
  </r>
  <r>
    <x v="9"/>
  </r>
  <r>
    <x v="9"/>
  </r>
  <r>
    <x v="9"/>
  </r>
  <r>
    <x v="36"/>
  </r>
  <r>
    <x v="36"/>
  </r>
  <r>
    <x v="36"/>
  </r>
  <r>
    <x v="12"/>
  </r>
  <r>
    <x v="12"/>
  </r>
  <r>
    <x v="12"/>
  </r>
  <r>
    <x v="12"/>
  </r>
  <r>
    <x v="12"/>
  </r>
  <r>
    <x v="12"/>
  </r>
  <r>
    <x v="42"/>
  </r>
  <r>
    <x v="42"/>
  </r>
  <r>
    <x v="87"/>
  </r>
  <r>
    <x v="71"/>
  </r>
  <r>
    <x v="12"/>
  </r>
  <r>
    <x v="10"/>
  </r>
  <r>
    <x v="0"/>
  </r>
  <r>
    <x v="78"/>
  </r>
  <r>
    <x v="10"/>
  </r>
  <r>
    <x v="10"/>
  </r>
  <r>
    <x v="165"/>
  </r>
  <r>
    <x v="0"/>
  </r>
  <r>
    <x v="34"/>
  </r>
  <r>
    <x v="42"/>
  </r>
  <r>
    <x v="4"/>
  </r>
  <r>
    <x v="81"/>
  </r>
  <r>
    <x v="4"/>
  </r>
  <r>
    <x v="28"/>
  </r>
  <r>
    <x v="4"/>
  </r>
  <r>
    <x v="0"/>
  </r>
  <r>
    <x v="10"/>
  </r>
  <r>
    <x v="12"/>
  </r>
  <r>
    <x v="71"/>
  </r>
  <r>
    <x v="71"/>
  </r>
  <r>
    <x v="122"/>
  </r>
  <r>
    <x v="182"/>
  </r>
  <r>
    <x v="77"/>
  </r>
  <r>
    <x v="14"/>
  </r>
  <r>
    <x v="14"/>
  </r>
  <r>
    <x v="14"/>
  </r>
  <r>
    <x v="14"/>
  </r>
  <r>
    <x v="28"/>
  </r>
  <r>
    <x v="41"/>
  </r>
  <r>
    <x v="9"/>
  </r>
  <r>
    <x v="108"/>
  </r>
  <r>
    <x v="55"/>
  </r>
  <r>
    <x v="108"/>
  </r>
  <r>
    <x v="24"/>
  </r>
  <r>
    <x v="24"/>
  </r>
  <r>
    <x v="24"/>
  </r>
  <r>
    <x v="24"/>
  </r>
  <r>
    <x v="4"/>
  </r>
  <r>
    <x v="276"/>
  </r>
  <r>
    <x v="71"/>
  </r>
  <r>
    <x v="100"/>
  </r>
  <r>
    <x v="165"/>
  </r>
  <r>
    <x v="100"/>
  </r>
  <r>
    <x v="10"/>
  </r>
  <r>
    <x v="25"/>
  </r>
  <r>
    <x v="25"/>
  </r>
  <r>
    <x v="72"/>
  </r>
  <r>
    <x v="77"/>
  </r>
  <r>
    <x v="77"/>
  </r>
  <r>
    <x v="142"/>
  </r>
  <r>
    <x v="142"/>
  </r>
  <r>
    <x v="10"/>
  </r>
  <r>
    <x v="19"/>
  </r>
  <r>
    <x v="53"/>
  </r>
  <r>
    <x v="57"/>
  </r>
  <r>
    <x v="31"/>
  </r>
  <r>
    <x v="48"/>
  </r>
  <r>
    <x v="78"/>
  </r>
  <r>
    <x v="0"/>
  </r>
  <r>
    <x v="12"/>
  </r>
  <r>
    <x v="42"/>
  </r>
  <r>
    <x v="1"/>
  </r>
  <r>
    <x v="107"/>
  </r>
  <r>
    <x v="25"/>
  </r>
  <r>
    <x v="72"/>
  </r>
  <r>
    <x v="36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42"/>
  </r>
  <r>
    <x v="77"/>
  </r>
  <r>
    <x v="10"/>
  </r>
  <r>
    <x v="10"/>
  </r>
  <r>
    <x v="10"/>
  </r>
  <r>
    <x v="4"/>
  </r>
  <r>
    <x v="4"/>
  </r>
  <r>
    <x v="4"/>
  </r>
  <r>
    <x v="4"/>
  </r>
  <r>
    <x v="4"/>
  </r>
  <r>
    <x v="56"/>
  </r>
  <r>
    <x v="4"/>
  </r>
  <r>
    <x v="19"/>
  </r>
  <r>
    <x v="4"/>
  </r>
  <r>
    <x v="10"/>
  </r>
  <r>
    <x v="10"/>
  </r>
  <r>
    <x v="10"/>
  </r>
  <r>
    <x v="55"/>
  </r>
  <r>
    <x v="42"/>
  </r>
  <r>
    <x v="10"/>
  </r>
  <r>
    <x v="10"/>
  </r>
  <r>
    <x v="0"/>
  </r>
  <r>
    <x v="87"/>
  </r>
  <r>
    <x v="87"/>
  </r>
  <r>
    <x v="87"/>
  </r>
  <r>
    <x v="87"/>
  </r>
  <r>
    <x v="87"/>
  </r>
  <r>
    <x v="10"/>
  </r>
  <r>
    <x v="87"/>
  </r>
  <r>
    <x v="175"/>
  </r>
  <r>
    <x v="87"/>
  </r>
  <r>
    <x v="87"/>
  </r>
  <r>
    <x v="87"/>
  </r>
  <r>
    <x v="87"/>
  </r>
  <r>
    <x v="0"/>
  </r>
  <r>
    <x v="87"/>
  </r>
  <r>
    <x v="87"/>
  </r>
  <r>
    <x v="87"/>
  </r>
  <r>
    <x v="87"/>
  </r>
  <r>
    <x v="87"/>
  </r>
  <r>
    <x v="81"/>
  </r>
  <r>
    <x v="42"/>
  </r>
  <r>
    <x v="0"/>
  </r>
  <r>
    <x v="123"/>
  </r>
  <r>
    <x v="123"/>
  </r>
  <r>
    <x v="123"/>
  </r>
  <r>
    <x v="25"/>
  </r>
  <r>
    <x v="29"/>
  </r>
  <r>
    <x v="55"/>
  </r>
  <r>
    <x v="42"/>
  </r>
  <r>
    <x v="9"/>
  </r>
  <r>
    <x v="9"/>
  </r>
  <r>
    <x v="63"/>
  </r>
  <r>
    <x v="63"/>
  </r>
  <r>
    <x v="77"/>
  </r>
  <r>
    <x v="4"/>
  </r>
  <r>
    <x v="12"/>
  </r>
  <r>
    <x v="12"/>
  </r>
  <r>
    <x v="4"/>
  </r>
  <r>
    <x v="4"/>
  </r>
  <r>
    <x v="4"/>
  </r>
  <r>
    <x v="4"/>
  </r>
  <r>
    <x v="4"/>
  </r>
  <r>
    <x v="4"/>
  </r>
  <r>
    <x v="4"/>
  </r>
  <r>
    <x v="87"/>
  </r>
  <r>
    <x v="4"/>
  </r>
  <r>
    <x v="4"/>
  </r>
  <r>
    <x v="4"/>
  </r>
  <r>
    <x v="4"/>
  </r>
  <r>
    <x v="4"/>
  </r>
  <r>
    <x v="36"/>
  </r>
  <r>
    <x v="1"/>
  </r>
  <r>
    <x v="4"/>
  </r>
  <r>
    <x v="1"/>
  </r>
  <r>
    <x v="4"/>
  </r>
  <r>
    <x v="4"/>
  </r>
  <r>
    <x v="12"/>
  </r>
  <r>
    <x v="22"/>
  </r>
  <r>
    <x v="12"/>
  </r>
  <r>
    <x v="10"/>
  </r>
  <r>
    <x v="87"/>
  </r>
  <r>
    <x v="87"/>
  </r>
  <r>
    <x v="87"/>
  </r>
  <r>
    <x v="36"/>
  </r>
  <r>
    <x v="96"/>
  </r>
  <r>
    <x v="7"/>
  </r>
  <r>
    <x v="56"/>
  </r>
  <r>
    <x v="56"/>
  </r>
  <r>
    <x v="36"/>
  </r>
  <r>
    <x v="86"/>
  </r>
  <r>
    <x v="12"/>
  </r>
  <r>
    <x v="12"/>
  </r>
  <r>
    <x v="12"/>
  </r>
  <r>
    <x v="49"/>
  </r>
  <r>
    <x v="14"/>
  </r>
  <r>
    <x v="12"/>
  </r>
  <r>
    <x v="12"/>
  </r>
  <r>
    <x v="100"/>
  </r>
  <r>
    <x v="21"/>
  </r>
  <r>
    <x v="10"/>
  </r>
  <r>
    <x v="50"/>
  </r>
  <r>
    <x v="50"/>
  </r>
  <r>
    <x v="50"/>
  </r>
  <r>
    <x v="50"/>
  </r>
  <r>
    <x v="50"/>
  </r>
  <r>
    <x v="50"/>
  </r>
  <r>
    <x v="63"/>
  </r>
  <r>
    <x v="4"/>
  </r>
  <r>
    <x v="4"/>
  </r>
  <r>
    <x v="30"/>
  </r>
  <r>
    <x v="14"/>
  </r>
  <r>
    <x v="122"/>
  </r>
  <r>
    <x v="50"/>
  </r>
  <r>
    <x v="50"/>
  </r>
  <r>
    <x v="136"/>
  </r>
  <r>
    <x v="75"/>
  </r>
  <r>
    <x v="10"/>
  </r>
  <r>
    <x v="126"/>
  </r>
  <r>
    <x v="10"/>
  </r>
  <r>
    <x v="10"/>
  </r>
  <r>
    <x v="10"/>
  </r>
  <r>
    <x v="10"/>
  </r>
  <r>
    <x v="10"/>
  </r>
  <r>
    <x v="123"/>
  </r>
  <r>
    <x v="123"/>
  </r>
  <r>
    <x v="123"/>
  </r>
  <r>
    <x v="123"/>
  </r>
  <r>
    <x v="7"/>
  </r>
  <r>
    <x v="7"/>
  </r>
  <r>
    <x v="78"/>
  </r>
  <r>
    <x v="78"/>
  </r>
  <r>
    <x v="78"/>
  </r>
  <r>
    <x v="78"/>
  </r>
  <r>
    <x v="78"/>
  </r>
  <r>
    <x v="78"/>
  </r>
  <r>
    <x v="78"/>
  </r>
  <r>
    <x v="46"/>
  </r>
  <r>
    <x v="19"/>
  </r>
  <r>
    <x v="28"/>
  </r>
  <r>
    <x v="28"/>
  </r>
  <r>
    <x v="36"/>
  </r>
  <r>
    <x v="81"/>
  </r>
  <r>
    <x v="53"/>
  </r>
  <r>
    <x v="10"/>
  </r>
  <r>
    <x v="100"/>
  </r>
  <r>
    <x v="10"/>
  </r>
  <r>
    <x v="80"/>
  </r>
  <r>
    <x v="10"/>
  </r>
  <r>
    <x v="15"/>
  </r>
  <r>
    <x v="42"/>
  </r>
  <r>
    <x v="42"/>
  </r>
  <r>
    <x v="42"/>
  </r>
  <r>
    <x v="42"/>
  </r>
  <r>
    <x v="42"/>
  </r>
  <r>
    <x v="42"/>
  </r>
  <r>
    <x v="40"/>
  </r>
  <r>
    <x v="42"/>
  </r>
  <r>
    <x v="81"/>
  </r>
  <r>
    <x v="123"/>
  </r>
  <r>
    <x v="123"/>
  </r>
  <r>
    <x v="24"/>
  </r>
  <r>
    <x v="24"/>
  </r>
  <r>
    <x v="123"/>
  </r>
  <r>
    <x v="123"/>
  </r>
  <r>
    <x v="76"/>
  </r>
  <r>
    <x v="123"/>
  </r>
  <r>
    <x v="10"/>
  </r>
  <r>
    <x v="77"/>
  </r>
  <r>
    <x v="42"/>
  </r>
  <r>
    <x v="12"/>
  </r>
  <r>
    <x v="14"/>
  </r>
  <r>
    <x v="0"/>
  </r>
  <r>
    <x v="0"/>
  </r>
  <r>
    <x v="0"/>
  </r>
  <r>
    <x v="138"/>
  </r>
  <r>
    <x v="138"/>
  </r>
  <r>
    <x v="138"/>
  </r>
  <r>
    <x v="138"/>
  </r>
  <r>
    <x v="138"/>
  </r>
  <r>
    <x v="138"/>
  </r>
  <r>
    <x v="138"/>
  </r>
  <r>
    <x v="138"/>
  </r>
  <r>
    <x v="4"/>
  </r>
  <r>
    <x v="4"/>
  </r>
  <r>
    <x v="138"/>
  </r>
  <r>
    <x v="51"/>
  </r>
  <r>
    <x v="57"/>
  </r>
  <r>
    <x v="57"/>
  </r>
  <r>
    <x v="57"/>
  </r>
  <r>
    <x v="51"/>
  </r>
  <r>
    <x v="57"/>
  </r>
  <r>
    <x v="57"/>
  </r>
  <r>
    <x v="51"/>
  </r>
  <r>
    <x v="57"/>
  </r>
  <r>
    <x v="57"/>
  </r>
  <r>
    <x v="57"/>
  </r>
  <r>
    <x v="57"/>
  </r>
  <r>
    <x v="4"/>
  </r>
  <r>
    <x v="14"/>
  </r>
  <r>
    <x v="12"/>
  </r>
  <r>
    <x v="57"/>
  </r>
  <r>
    <x v="114"/>
  </r>
  <r>
    <x v="57"/>
  </r>
  <r>
    <x v="51"/>
  </r>
  <r>
    <x v="4"/>
  </r>
  <r>
    <x v="123"/>
  </r>
  <r>
    <x v="7"/>
  </r>
  <r>
    <x v="4"/>
  </r>
  <r>
    <x v="4"/>
  </r>
  <r>
    <x v="16"/>
  </r>
  <r>
    <x v="16"/>
  </r>
  <r>
    <x v="16"/>
  </r>
  <r>
    <x v="16"/>
  </r>
  <r>
    <x v="28"/>
  </r>
  <r>
    <x v="51"/>
  </r>
  <r>
    <x v="12"/>
  </r>
  <r>
    <x v="12"/>
  </r>
  <r>
    <x v="0"/>
  </r>
  <r>
    <x v="12"/>
  </r>
  <r>
    <x v="12"/>
  </r>
  <r>
    <x v="12"/>
  </r>
  <r>
    <x v="7"/>
  </r>
  <r>
    <x v="7"/>
  </r>
  <r>
    <x v="7"/>
  </r>
  <r>
    <x v="16"/>
  </r>
  <r>
    <x v="4"/>
  </r>
  <r>
    <x v="4"/>
  </r>
  <r>
    <x v="42"/>
  </r>
  <r>
    <x v="1"/>
  </r>
  <r>
    <x v="14"/>
  </r>
  <r>
    <x v="12"/>
  </r>
  <r>
    <x v="7"/>
  </r>
  <r>
    <x v="12"/>
  </r>
  <r>
    <x v="12"/>
  </r>
  <r>
    <x v="12"/>
  </r>
  <r>
    <x v="12"/>
  </r>
  <r>
    <x v="10"/>
  </r>
  <r>
    <x v="16"/>
  </r>
  <r>
    <x v="4"/>
  </r>
  <r>
    <x v="1"/>
  </r>
  <r>
    <x v="1"/>
  </r>
  <r>
    <x v="123"/>
  </r>
  <r>
    <x v="12"/>
  </r>
  <r>
    <x v="12"/>
  </r>
  <r>
    <x v="12"/>
  </r>
  <r>
    <x v="12"/>
  </r>
  <r>
    <x v="12"/>
  </r>
  <r>
    <x v="12"/>
  </r>
  <r>
    <x v="12"/>
  </r>
  <r>
    <x v="0"/>
  </r>
  <r>
    <x v="0"/>
  </r>
  <r>
    <x v="12"/>
  </r>
  <r>
    <x v="123"/>
  </r>
  <r>
    <x v="123"/>
  </r>
  <r>
    <x v="16"/>
  </r>
  <r>
    <x v="42"/>
  </r>
  <r>
    <x v="42"/>
  </r>
  <r>
    <x v="10"/>
  </r>
  <r>
    <x v="4"/>
  </r>
  <r>
    <x v="79"/>
  </r>
  <r>
    <x v="123"/>
  </r>
  <r>
    <x v="123"/>
  </r>
  <r>
    <x v="123"/>
  </r>
  <r>
    <x v="37"/>
  </r>
  <r>
    <x v="31"/>
  </r>
  <r>
    <x v="31"/>
  </r>
  <r>
    <x v="12"/>
  </r>
  <r>
    <x v="78"/>
  </r>
  <r>
    <x v="123"/>
  </r>
  <r>
    <x v="77"/>
  </r>
  <r>
    <x v="10"/>
  </r>
  <r>
    <x v="123"/>
  </r>
  <r>
    <x v="123"/>
  </r>
  <r>
    <x v="14"/>
  </r>
  <r>
    <x v="14"/>
  </r>
  <r>
    <x v="2"/>
  </r>
  <r>
    <x v="2"/>
  </r>
  <r>
    <x v="4"/>
  </r>
  <r>
    <x v="2"/>
  </r>
  <r>
    <x v="2"/>
  </r>
  <r>
    <x v="2"/>
  </r>
  <r>
    <x v="4"/>
  </r>
  <r>
    <x v="57"/>
  </r>
  <r>
    <x v="79"/>
  </r>
  <r>
    <x v="37"/>
  </r>
  <r>
    <x v="37"/>
  </r>
  <r>
    <x v="37"/>
  </r>
  <r>
    <x v="10"/>
  </r>
  <r>
    <x v="138"/>
  </r>
  <r>
    <x v="138"/>
  </r>
  <r>
    <x v="42"/>
  </r>
  <r>
    <x v="6"/>
  </r>
  <r>
    <x v="8"/>
  </r>
  <r>
    <x v="56"/>
  </r>
  <r>
    <x v="138"/>
  </r>
  <r>
    <x v="4"/>
  </r>
  <r>
    <x v="12"/>
  </r>
  <r>
    <x v="4"/>
  </r>
  <r>
    <x v="4"/>
  </r>
  <r>
    <x v="0"/>
  </r>
  <r>
    <x v="0"/>
  </r>
  <r>
    <x v="138"/>
  </r>
  <r>
    <x v="43"/>
  </r>
  <r>
    <x v="56"/>
  </r>
  <r>
    <x v="4"/>
  </r>
  <r>
    <x v="45"/>
  </r>
  <r>
    <x v="12"/>
  </r>
  <r>
    <x v="4"/>
  </r>
  <r>
    <x v="7"/>
  </r>
  <r>
    <x v="165"/>
  </r>
  <r>
    <x v="7"/>
  </r>
  <r>
    <x v="7"/>
  </r>
  <r>
    <x v="2"/>
  </r>
  <r>
    <x v="7"/>
  </r>
  <r>
    <x v="17"/>
  </r>
  <r>
    <x v="7"/>
  </r>
  <r>
    <x v="7"/>
  </r>
  <r>
    <x v="138"/>
  </r>
  <r>
    <x v="138"/>
  </r>
  <r>
    <x v="0"/>
  </r>
  <r>
    <x v="0"/>
  </r>
  <r>
    <x v="0"/>
  </r>
  <r>
    <x v="48"/>
  </r>
  <r>
    <x v="123"/>
  </r>
  <r>
    <x v="138"/>
  </r>
  <r>
    <x v="138"/>
  </r>
  <r>
    <x v="63"/>
  </r>
  <r>
    <x v="63"/>
  </r>
  <r>
    <x v="63"/>
  </r>
  <r>
    <x v="63"/>
  </r>
  <r>
    <x v="63"/>
  </r>
  <r>
    <x v="63"/>
  </r>
  <r>
    <x v="12"/>
  </r>
  <r>
    <x v="10"/>
  </r>
  <r>
    <x v="37"/>
  </r>
  <r>
    <x v="24"/>
  </r>
  <r>
    <x v="4"/>
  </r>
  <r>
    <x v="7"/>
  </r>
  <r>
    <x v="17"/>
  </r>
  <r>
    <x v="28"/>
  </r>
  <r>
    <x v="28"/>
  </r>
  <r>
    <x v="28"/>
  </r>
  <r>
    <x v="17"/>
  </r>
  <r>
    <x v="17"/>
  </r>
  <r>
    <x v="161"/>
  </r>
  <r>
    <x v="14"/>
  </r>
  <r>
    <x v="12"/>
  </r>
  <r>
    <x v="48"/>
  </r>
  <r>
    <x v="79"/>
  </r>
  <r>
    <x v="28"/>
  </r>
  <r>
    <x v="87"/>
  </r>
  <r>
    <x v="25"/>
  </r>
  <r>
    <x v="63"/>
  </r>
  <r>
    <x v="12"/>
  </r>
  <r>
    <x v="71"/>
  </r>
  <r>
    <x v="52"/>
  </r>
  <r>
    <x v="12"/>
  </r>
  <r>
    <x v="10"/>
  </r>
  <r>
    <x v="10"/>
  </r>
  <r>
    <x v="76"/>
  </r>
  <r>
    <x v="17"/>
  </r>
  <r>
    <x v="42"/>
  </r>
  <r>
    <x v="42"/>
  </r>
  <r>
    <x v="42"/>
  </r>
  <r>
    <x v="48"/>
  </r>
  <r>
    <x v="42"/>
  </r>
  <r>
    <x v="12"/>
  </r>
  <r>
    <x v="56"/>
  </r>
  <r>
    <x v="7"/>
  </r>
  <r>
    <x v="12"/>
  </r>
  <r>
    <x v="87"/>
  </r>
  <r>
    <x v="123"/>
  </r>
  <r>
    <x v="69"/>
  </r>
  <r>
    <x v="42"/>
  </r>
  <r>
    <x v="152"/>
  </r>
  <r>
    <x v="42"/>
  </r>
  <r>
    <x v="77"/>
  </r>
  <r>
    <x v="12"/>
  </r>
  <r>
    <x v="77"/>
  </r>
  <r>
    <x v="122"/>
  </r>
  <r>
    <x v="23"/>
  </r>
  <r>
    <x v="14"/>
  </r>
  <r>
    <x v="14"/>
  </r>
  <r>
    <x v="14"/>
  </r>
  <r>
    <x v="23"/>
  </r>
  <r>
    <x v="0"/>
  </r>
  <r>
    <x v="4"/>
  </r>
  <r>
    <x v="4"/>
  </r>
  <r>
    <x v="4"/>
  </r>
  <r>
    <x v="4"/>
  </r>
  <r>
    <x v="4"/>
  </r>
  <r>
    <x v="4"/>
  </r>
  <r>
    <x v="4"/>
  </r>
  <r>
    <x v="123"/>
  </r>
  <r>
    <x v="123"/>
  </r>
  <r>
    <x v="4"/>
  </r>
  <r>
    <x v="123"/>
  </r>
  <r>
    <x v="4"/>
  </r>
  <r>
    <x v="123"/>
  </r>
  <r>
    <x v="123"/>
  </r>
  <r>
    <x v="123"/>
  </r>
  <r>
    <x v="123"/>
  </r>
  <r>
    <x v="4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4"/>
  </r>
  <r>
    <x v="123"/>
  </r>
  <r>
    <x v="126"/>
  </r>
  <r>
    <x v="4"/>
  </r>
  <r>
    <x v="4"/>
  </r>
  <r>
    <x v="28"/>
  </r>
  <r>
    <x v="14"/>
  </r>
  <r>
    <x v="28"/>
  </r>
  <r>
    <x v="25"/>
  </r>
  <r>
    <x v="86"/>
  </r>
  <r>
    <x v="10"/>
  </r>
  <r>
    <x v="10"/>
  </r>
  <r>
    <x v="57"/>
  </r>
  <r>
    <x v="12"/>
  </r>
  <r>
    <x v="10"/>
  </r>
  <r>
    <x v="12"/>
  </r>
  <r>
    <x v="39"/>
  </r>
  <r>
    <x v="39"/>
  </r>
  <r>
    <x v="6"/>
  </r>
  <r>
    <x v="12"/>
  </r>
  <r>
    <x v="16"/>
  </r>
  <r>
    <x v="28"/>
  </r>
  <r>
    <x v="112"/>
  </r>
  <r>
    <x v="28"/>
  </r>
  <r>
    <x v="28"/>
  </r>
  <r>
    <x v="28"/>
  </r>
  <r>
    <x v="28"/>
  </r>
  <r>
    <x v="128"/>
  </r>
  <r>
    <x v="128"/>
  </r>
  <r>
    <x v="128"/>
  </r>
  <r>
    <x v="128"/>
  </r>
  <r>
    <x v="10"/>
  </r>
  <r>
    <x v="36"/>
  </r>
  <r>
    <x v="36"/>
  </r>
  <r>
    <x v="36"/>
  </r>
  <r>
    <x v="36"/>
  </r>
  <r>
    <x v="10"/>
  </r>
  <r>
    <x v="10"/>
  </r>
  <r>
    <x v="36"/>
  </r>
  <r>
    <x v="36"/>
  </r>
  <r>
    <x v="36"/>
  </r>
  <r>
    <x v="36"/>
  </r>
  <r>
    <x v="36"/>
  </r>
  <r>
    <x v="36"/>
  </r>
  <r>
    <x v="36"/>
  </r>
  <r>
    <x v="12"/>
  </r>
  <r>
    <x v="100"/>
  </r>
  <r>
    <x v="36"/>
  </r>
  <r>
    <x v="36"/>
  </r>
  <r>
    <x v="36"/>
  </r>
  <r>
    <x v="4"/>
  </r>
  <r>
    <x v="78"/>
  </r>
  <r>
    <x v="78"/>
  </r>
  <r>
    <x v="4"/>
  </r>
  <r>
    <x v="8"/>
  </r>
  <r>
    <x v="46"/>
  </r>
  <r>
    <x v="4"/>
  </r>
  <r>
    <x v="7"/>
  </r>
  <r>
    <x v="4"/>
  </r>
  <r>
    <x v="52"/>
  </r>
  <r>
    <x v="0"/>
  </r>
  <r>
    <x v="112"/>
  </r>
  <r>
    <x v="52"/>
  </r>
  <r>
    <x v="4"/>
  </r>
  <r>
    <x v="115"/>
  </r>
  <r>
    <x v="4"/>
  </r>
  <r>
    <x v="4"/>
  </r>
  <r>
    <x v="4"/>
  </r>
  <r>
    <x v="4"/>
  </r>
  <r>
    <x v="10"/>
  </r>
  <r>
    <x v="0"/>
  </r>
  <r>
    <x v="10"/>
  </r>
  <r>
    <x v="0"/>
  </r>
  <r>
    <x v="12"/>
  </r>
  <r>
    <x v="0"/>
  </r>
  <r>
    <x v="12"/>
  </r>
  <r>
    <x v="57"/>
  </r>
  <r>
    <x v="28"/>
  </r>
  <r>
    <x v="57"/>
  </r>
  <r>
    <x v="7"/>
  </r>
  <r>
    <x v="7"/>
  </r>
  <r>
    <x v="7"/>
  </r>
  <r>
    <x v="33"/>
  </r>
  <r>
    <x v="33"/>
  </r>
  <r>
    <x v="0"/>
  </r>
  <r>
    <x v="0"/>
  </r>
  <r>
    <x v="33"/>
  </r>
  <r>
    <x v="0"/>
  </r>
  <r>
    <x v="0"/>
  </r>
  <r>
    <x v="10"/>
  </r>
  <r>
    <x v="10"/>
  </r>
  <r>
    <x v="10"/>
  </r>
  <r>
    <x v="0"/>
  </r>
  <r>
    <x v="0"/>
  </r>
  <r>
    <x v="10"/>
  </r>
  <r>
    <x v="10"/>
  </r>
  <r>
    <x v="10"/>
  </r>
  <r>
    <x v="10"/>
  </r>
  <r>
    <x v="36"/>
  </r>
  <r>
    <x v="0"/>
  </r>
  <r>
    <x v="0"/>
  </r>
  <r>
    <x v="33"/>
  </r>
  <r>
    <x v="33"/>
  </r>
  <r>
    <x v="33"/>
  </r>
  <r>
    <x v="33"/>
  </r>
  <r>
    <x v="10"/>
  </r>
  <r>
    <x v="0"/>
  </r>
  <r>
    <x v="0"/>
  </r>
  <r>
    <x v="33"/>
  </r>
  <r>
    <x v="87"/>
  </r>
  <r>
    <x v="36"/>
  </r>
  <r>
    <x v="33"/>
  </r>
  <r>
    <x v="86"/>
  </r>
  <r>
    <x v="0"/>
  </r>
  <r>
    <x v="0"/>
  </r>
  <r>
    <x v="42"/>
  </r>
  <r>
    <x v="0"/>
  </r>
  <r>
    <x v="86"/>
  </r>
  <r>
    <x v="42"/>
  </r>
  <r>
    <x v="33"/>
  </r>
  <r>
    <x v="33"/>
  </r>
  <r>
    <x v="33"/>
  </r>
  <r>
    <x v="7"/>
  </r>
  <r>
    <x v="0"/>
  </r>
  <r>
    <x v="0"/>
  </r>
  <r>
    <x v="0"/>
  </r>
  <r>
    <x v="33"/>
  </r>
  <r>
    <x v="0"/>
  </r>
  <r>
    <x v="0"/>
  </r>
  <r>
    <x v="0"/>
  </r>
  <r>
    <x v="33"/>
  </r>
  <r>
    <x v="33"/>
  </r>
  <r>
    <x v="0"/>
  </r>
  <r>
    <x v="0"/>
  </r>
  <r>
    <x v="10"/>
  </r>
  <r>
    <x v="0"/>
  </r>
  <r>
    <x v="78"/>
  </r>
  <r>
    <x v="0"/>
  </r>
  <r>
    <x v="36"/>
  </r>
  <r>
    <x v="0"/>
  </r>
  <r>
    <x v="0"/>
  </r>
  <r>
    <x v="12"/>
  </r>
  <r>
    <x v="77"/>
  </r>
  <r>
    <x v="42"/>
  </r>
  <r>
    <x v="152"/>
  </r>
  <r>
    <x v="16"/>
  </r>
  <r>
    <x v="88"/>
  </r>
  <r>
    <x v="42"/>
  </r>
  <r>
    <x v="12"/>
  </r>
  <r>
    <x v="12"/>
  </r>
  <r>
    <x v="12"/>
  </r>
  <r>
    <x v="42"/>
  </r>
  <r>
    <x v="123"/>
  </r>
  <r>
    <x v="123"/>
  </r>
  <r>
    <x v="123"/>
  </r>
  <r>
    <x v="115"/>
  </r>
  <r>
    <x v="115"/>
  </r>
  <r>
    <x v="155"/>
  </r>
  <r>
    <x v="21"/>
  </r>
  <r>
    <x v="152"/>
  </r>
  <r>
    <x v="152"/>
  </r>
  <r>
    <x v="0"/>
  </r>
  <r>
    <x v="123"/>
  </r>
  <r>
    <x v="27"/>
  </r>
  <r>
    <x v="52"/>
  </r>
  <r>
    <x v="8"/>
  </r>
  <r>
    <x v="21"/>
  </r>
  <r>
    <x v="12"/>
  </r>
  <r>
    <x v="87"/>
  </r>
  <r>
    <x v="87"/>
  </r>
  <r>
    <x v="4"/>
  </r>
  <r>
    <x v="59"/>
  </r>
  <r>
    <x v="10"/>
  </r>
  <r>
    <x v="10"/>
  </r>
  <r>
    <x v="123"/>
  </r>
  <r>
    <x v="10"/>
  </r>
  <r>
    <x v="10"/>
  </r>
  <r>
    <x v="10"/>
  </r>
  <r>
    <x v="10"/>
  </r>
  <r>
    <x v="123"/>
  </r>
  <r>
    <x v="10"/>
  </r>
  <r>
    <x v="123"/>
  </r>
  <r>
    <x v="10"/>
  </r>
  <r>
    <x v="31"/>
  </r>
  <r>
    <x v="10"/>
  </r>
  <r>
    <x v="4"/>
  </r>
  <r>
    <x v="10"/>
  </r>
  <r>
    <x v="10"/>
  </r>
  <r>
    <x v="10"/>
  </r>
  <r>
    <x v="10"/>
  </r>
  <r>
    <x v="10"/>
  </r>
  <r>
    <x v="4"/>
  </r>
  <r>
    <x v="4"/>
  </r>
  <r>
    <x v="10"/>
  </r>
  <r>
    <x v="138"/>
  </r>
  <r>
    <x v="138"/>
  </r>
  <r>
    <x v="138"/>
  </r>
  <r>
    <x v="138"/>
  </r>
  <r>
    <x v="138"/>
  </r>
  <r>
    <x v="22"/>
  </r>
  <r>
    <x v="17"/>
  </r>
  <r>
    <x v="17"/>
  </r>
  <r>
    <x v="68"/>
  </r>
  <r>
    <x v="14"/>
  </r>
  <r>
    <x v="12"/>
  </r>
  <r>
    <x v="75"/>
  </r>
  <r>
    <x v="75"/>
  </r>
  <r>
    <x v="8"/>
  </r>
  <r>
    <x v="63"/>
  </r>
  <r>
    <x v="63"/>
  </r>
  <r>
    <x v="63"/>
  </r>
  <r>
    <x v="63"/>
  </r>
  <r>
    <x v="63"/>
  </r>
  <r>
    <x v="72"/>
  </r>
  <r>
    <x v="72"/>
  </r>
  <r>
    <x v="12"/>
  </r>
  <r>
    <x v="0"/>
  </r>
  <r>
    <x v="0"/>
  </r>
  <r>
    <x v="115"/>
  </r>
  <r>
    <x v="115"/>
  </r>
  <r>
    <x v="10"/>
  </r>
  <r>
    <x v="10"/>
  </r>
  <r>
    <x v="10"/>
  </r>
  <r>
    <x v="10"/>
  </r>
  <r>
    <x v="39"/>
  </r>
  <r>
    <x v="100"/>
  </r>
  <r>
    <x v="10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115"/>
  </r>
  <r>
    <x v="10"/>
  </r>
  <r>
    <x v="10"/>
  </r>
  <r>
    <x v="10"/>
  </r>
  <r>
    <x v="10"/>
  </r>
  <r>
    <x v="4"/>
  </r>
  <r>
    <x v="4"/>
  </r>
  <r>
    <x v="0"/>
  </r>
  <r>
    <x v="10"/>
  </r>
  <r>
    <x v="57"/>
  </r>
  <r>
    <x v="4"/>
  </r>
  <r>
    <x v="10"/>
  </r>
  <r>
    <x v="24"/>
  </r>
  <r>
    <x v="24"/>
  </r>
  <r>
    <x v="24"/>
  </r>
  <r>
    <x v="24"/>
  </r>
  <r>
    <x v="31"/>
  </r>
  <r>
    <x v="108"/>
  </r>
  <r>
    <x v="24"/>
  </r>
  <r>
    <x v="24"/>
  </r>
  <r>
    <x v="42"/>
  </r>
  <r>
    <x v="14"/>
  </r>
  <r>
    <x v="24"/>
  </r>
  <r>
    <x v="24"/>
  </r>
  <r>
    <x v="12"/>
  </r>
  <r>
    <x v="69"/>
  </r>
  <r>
    <x v="87"/>
  </r>
  <r>
    <x v="69"/>
  </r>
  <r>
    <x v="69"/>
  </r>
  <r>
    <x v="4"/>
  </r>
  <r>
    <x v="4"/>
  </r>
  <r>
    <x v="69"/>
  </r>
  <r>
    <x v="69"/>
  </r>
  <r>
    <x v="52"/>
  </r>
  <r>
    <x v="16"/>
  </r>
  <r>
    <x v="69"/>
  </r>
  <r>
    <x v="42"/>
  </r>
  <r>
    <x v="25"/>
  </r>
  <r>
    <x v="123"/>
  </r>
  <r>
    <x v="152"/>
  </r>
  <r>
    <x v="152"/>
  </r>
  <r>
    <x v="152"/>
  </r>
  <r>
    <x v="42"/>
  </r>
  <r>
    <x v="42"/>
  </r>
  <r>
    <x v="16"/>
  </r>
  <r>
    <x v="16"/>
  </r>
  <r>
    <x v="76"/>
  </r>
  <r>
    <x v="76"/>
  </r>
  <r>
    <x v="123"/>
  </r>
  <r>
    <x v="123"/>
  </r>
  <r>
    <x v="123"/>
  </r>
  <r>
    <x v="123"/>
  </r>
  <r>
    <x v="42"/>
  </r>
  <r>
    <x v="42"/>
  </r>
  <r>
    <x v="12"/>
  </r>
  <r>
    <x v="123"/>
  </r>
  <r>
    <x v="42"/>
  </r>
  <r>
    <x v="24"/>
  </r>
  <r>
    <x v="24"/>
  </r>
  <r>
    <x v="24"/>
  </r>
  <r>
    <x v="24"/>
  </r>
  <r>
    <x v="24"/>
  </r>
  <r>
    <x v="24"/>
  </r>
  <r>
    <x v="10"/>
  </r>
  <r>
    <x v="21"/>
  </r>
  <r>
    <x v="4"/>
  </r>
  <r>
    <x v="152"/>
  </r>
  <r>
    <x v="138"/>
  </r>
  <r>
    <x v="87"/>
  </r>
  <r>
    <x v="138"/>
  </r>
  <r>
    <x v="138"/>
  </r>
  <r>
    <x v="138"/>
  </r>
  <r>
    <x v="138"/>
  </r>
  <r>
    <x v="10"/>
  </r>
  <r>
    <x v="0"/>
  </r>
  <r>
    <x v="7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"/>
  </r>
  <r>
    <x v="10"/>
  </r>
  <r>
    <x v="125"/>
  </r>
  <r>
    <x v="2"/>
  </r>
  <r>
    <x v="10"/>
  </r>
  <r>
    <x v="10"/>
  </r>
  <r>
    <x v="10"/>
  </r>
  <r>
    <x v="12"/>
  </r>
  <r>
    <x v="21"/>
  </r>
  <r>
    <x v="10"/>
  </r>
  <r>
    <x v="10"/>
  </r>
  <r>
    <x v="63"/>
  </r>
  <r>
    <x v="41"/>
  </r>
  <r>
    <x v="12"/>
  </r>
  <r>
    <x v="274"/>
  </r>
  <r>
    <x v="0"/>
  </r>
  <r>
    <x v="12"/>
  </r>
  <r>
    <x v="274"/>
  </r>
  <r>
    <x v="76"/>
  </r>
  <r>
    <x v="76"/>
  </r>
  <r>
    <x v="17"/>
  </r>
  <r>
    <x v="16"/>
  </r>
  <r>
    <x v="123"/>
  </r>
  <r>
    <x v="154"/>
  </r>
  <r>
    <x v="113"/>
  </r>
  <r>
    <x v="48"/>
  </r>
  <r>
    <x v="0"/>
  </r>
  <r>
    <x v="0"/>
  </r>
  <r>
    <x v="4"/>
  </r>
  <r>
    <x v="4"/>
  </r>
  <r>
    <x v="4"/>
  </r>
  <r>
    <x v="4"/>
  </r>
  <r>
    <x v="4"/>
  </r>
  <r>
    <x v="4"/>
  </r>
  <r>
    <x v="4"/>
  </r>
  <r>
    <x v="42"/>
  </r>
  <r>
    <x v="42"/>
  </r>
  <r>
    <x v="12"/>
  </r>
  <r>
    <x v="16"/>
  </r>
  <r>
    <x v="30"/>
  </r>
  <r>
    <x v="0"/>
  </r>
  <r>
    <x v="81"/>
  </r>
  <r>
    <x v="4"/>
  </r>
  <r>
    <x v="21"/>
  </r>
  <r>
    <x v="0"/>
  </r>
  <r>
    <x v="4"/>
  </r>
  <r>
    <x v="4"/>
  </r>
  <r>
    <x v="175"/>
  </r>
  <r>
    <x v="46"/>
  </r>
  <r>
    <x v="46"/>
  </r>
  <r>
    <x v="175"/>
  </r>
  <r>
    <x v="10"/>
  </r>
  <r>
    <x v="175"/>
  </r>
  <r>
    <x v="175"/>
  </r>
  <r>
    <x v="10"/>
  </r>
  <r>
    <x v="4"/>
  </r>
  <r>
    <x v="42"/>
  </r>
  <r>
    <x v="30"/>
  </r>
  <r>
    <x v="30"/>
  </r>
  <r>
    <x v="14"/>
  </r>
  <r>
    <x v="78"/>
  </r>
  <r>
    <x v="4"/>
  </r>
  <r>
    <x v="4"/>
  </r>
  <r>
    <x v="12"/>
  </r>
  <r>
    <x v="78"/>
  </r>
  <r>
    <x v="78"/>
  </r>
  <r>
    <x v="78"/>
  </r>
  <r>
    <x v="78"/>
  </r>
  <r>
    <x v="12"/>
  </r>
  <r>
    <x v="78"/>
  </r>
  <r>
    <x v="7"/>
  </r>
  <r>
    <x v="4"/>
  </r>
  <r>
    <x v="4"/>
  </r>
  <r>
    <x v="0"/>
  </r>
  <r>
    <x v="0"/>
  </r>
  <r>
    <x v="10"/>
  </r>
  <r>
    <x v="10"/>
  </r>
  <r>
    <x v="10"/>
  </r>
  <r>
    <x v="10"/>
  </r>
  <r>
    <x v="10"/>
  </r>
  <r>
    <x v="10"/>
  </r>
  <r>
    <x v="10"/>
  </r>
  <r>
    <x v="53"/>
  </r>
  <r>
    <x v="53"/>
  </r>
  <r>
    <x v="53"/>
  </r>
  <r>
    <x v="53"/>
  </r>
  <r>
    <x v="53"/>
  </r>
  <r>
    <x v="7"/>
  </r>
  <r>
    <x v="7"/>
  </r>
  <r>
    <x v="7"/>
  </r>
  <r>
    <x v="7"/>
  </r>
  <r>
    <x v="7"/>
  </r>
  <r>
    <x v="152"/>
  </r>
  <r>
    <x v="152"/>
  </r>
  <r>
    <x v="152"/>
  </r>
  <r>
    <x v="28"/>
  </r>
  <r>
    <x v="28"/>
  </r>
  <r>
    <x v="10"/>
  </r>
  <r>
    <x v="10"/>
  </r>
  <r>
    <x v="10"/>
  </r>
  <r>
    <x v="10"/>
  </r>
  <r>
    <x v="10"/>
  </r>
  <r>
    <x v="123"/>
  </r>
  <r>
    <x v="2"/>
  </r>
  <r>
    <x v="2"/>
  </r>
  <r>
    <x v="2"/>
  </r>
  <r>
    <x v="233"/>
  </r>
  <r>
    <x v="53"/>
  </r>
  <r>
    <x v="53"/>
  </r>
  <r>
    <x v="53"/>
  </r>
  <r>
    <x v="53"/>
  </r>
  <r>
    <x v="53"/>
  </r>
  <r>
    <x v="12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60"/>
  </r>
  <r>
    <x v="60"/>
  </r>
  <r>
    <x v="60"/>
  </r>
  <r>
    <x v="60"/>
  </r>
  <r>
    <x v="60"/>
  </r>
  <r>
    <x v="60"/>
  </r>
  <r>
    <x v="60"/>
  </r>
  <r>
    <x v="60"/>
  </r>
  <r>
    <x v="10"/>
  </r>
  <r>
    <x v="16"/>
  </r>
  <r>
    <x v="19"/>
  </r>
  <r>
    <x v="10"/>
  </r>
  <r>
    <x v="10"/>
  </r>
  <r>
    <x v="0"/>
  </r>
  <r>
    <x v="0"/>
  </r>
  <r>
    <x v="2"/>
  </r>
  <r>
    <x v="2"/>
  </r>
  <r>
    <x v="2"/>
  </r>
  <r>
    <x v="2"/>
  </r>
  <r>
    <x v="4"/>
  </r>
  <r>
    <x v="131"/>
  </r>
  <r>
    <x v="131"/>
  </r>
  <r>
    <x v="131"/>
  </r>
  <r>
    <x v="131"/>
  </r>
  <r>
    <x v="12"/>
  </r>
  <r>
    <x v="12"/>
  </r>
  <r>
    <x v="10"/>
  </r>
  <r>
    <x v="10"/>
  </r>
  <r>
    <x v="4"/>
  </r>
  <r>
    <x v="10"/>
  </r>
  <r>
    <x v="10"/>
  </r>
  <r>
    <x v="7"/>
  </r>
  <r>
    <x v="7"/>
  </r>
  <r>
    <x v="138"/>
  </r>
  <r>
    <x v="7"/>
  </r>
  <r>
    <x v="7"/>
  </r>
  <r>
    <x v="7"/>
  </r>
  <r>
    <x v="12"/>
  </r>
  <r>
    <x v="0"/>
  </r>
  <r>
    <x v="0"/>
  </r>
  <r>
    <x v="0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7"/>
  </r>
  <r>
    <x v="141"/>
  </r>
  <r>
    <x v="28"/>
  </r>
  <r>
    <x v="28"/>
  </r>
  <r>
    <x v="19"/>
  </r>
  <r>
    <x v="19"/>
  </r>
  <r>
    <x v="24"/>
  </r>
  <r>
    <x v="77"/>
  </r>
  <r>
    <x v="77"/>
  </r>
  <r>
    <x v="93"/>
  </r>
  <r>
    <x v="31"/>
  </r>
  <r>
    <x v="7"/>
  </r>
  <r>
    <x v="7"/>
  </r>
  <r>
    <x v="7"/>
  </r>
  <r>
    <x v="7"/>
  </r>
  <r>
    <x v="7"/>
  </r>
  <r>
    <x v="7"/>
  </r>
  <r>
    <x v="7"/>
  </r>
  <r>
    <x v="4"/>
  </r>
  <r>
    <x v="4"/>
  </r>
  <r>
    <x v="4"/>
  </r>
  <r>
    <x v="123"/>
  </r>
  <r>
    <x v="0"/>
  </r>
  <r>
    <x v="10"/>
  </r>
  <r>
    <x v="10"/>
  </r>
  <r>
    <x v="10"/>
  </r>
  <r>
    <x v="4"/>
  </r>
  <r>
    <x v="4"/>
  </r>
  <r>
    <x v="4"/>
  </r>
  <r>
    <x v="123"/>
  </r>
  <r>
    <x v="123"/>
  </r>
  <r>
    <x v="10"/>
  </r>
  <r>
    <x v="175"/>
  </r>
  <r>
    <x v="175"/>
  </r>
  <r>
    <x v="10"/>
  </r>
  <r>
    <x v="154"/>
  </r>
  <r>
    <x v="2"/>
  </r>
  <r>
    <x v="10"/>
  </r>
  <r>
    <x v="10"/>
  </r>
  <r>
    <x v="10"/>
  </r>
  <r>
    <x v="4"/>
  </r>
  <r>
    <x v="123"/>
  </r>
  <r>
    <x v="123"/>
  </r>
  <r>
    <x v="123"/>
  </r>
  <r>
    <x v="123"/>
  </r>
  <r>
    <x v="53"/>
  </r>
  <r>
    <x v="53"/>
  </r>
  <r>
    <x v="53"/>
  </r>
  <r>
    <x v="53"/>
  </r>
  <r>
    <x v="7"/>
  </r>
  <r>
    <x v="4"/>
  </r>
  <r>
    <x v="4"/>
  </r>
  <r>
    <x v="4"/>
  </r>
  <r>
    <x v="4"/>
  </r>
  <r>
    <x v="10"/>
  </r>
  <r>
    <x v="0"/>
  </r>
  <r>
    <x v="0"/>
  </r>
  <r>
    <x v="123"/>
  </r>
  <r>
    <x v="123"/>
  </r>
  <r>
    <x v="123"/>
  </r>
  <r>
    <x v="123"/>
  </r>
  <r>
    <x v="14"/>
  </r>
  <r>
    <x v="16"/>
  </r>
  <r>
    <x v="16"/>
  </r>
  <r>
    <x v="144"/>
  </r>
  <r>
    <x v="144"/>
  </r>
  <r>
    <x v="144"/>
  </r>
  <r>
    <x v="22"/>
  </r>
  <r>
    <x v="63"/>
  </r>
  <r>
    <x v="11"/>
  </r>
  <r>
    <x v="16"/>
  </r>
  <r>
    <x v="16"/>
  </r>
  <r>
    <x v="11"/>
  </r>
  <r>
    <x v="14"/>
  </r>
  <r>
    <x v="14"/>
  </r>
  <r>
    <x v="0"/>
  </r>
  <r>
    <x v="57"/>
  </r>
  <r>
    <x v="12"/>
  </r>
  <r>
    <x v="51"/>
  </r>
  <r>
    <x v="51"/>
  </r>
  <r>
    <x v="0"/>
  </r>
  <r>
    <x v="0"/>
  </r>
  <r>
    <x v="48"/>
  </r>
  <r>
    <x v="4"/>
  </r>
  <r>
    <x v="4"/>
  </r>
  <r>
    <x v="4"/>
  </r>
  <r>
    <x v="42"/>
  </r>
  <r>
    <x v="12"/>
  </r>
  <r>
    <x v="12"/>
  </r>
  <r>
    <x v="12"/>
  </r>
  <r>
    <x v="12"/>
  </r>
  <r>
    <x v="12"/>
  </r>
  <r>
    <x v="14"/>
  </r>
  <r>
    <x v="51"/>
  </r>
  <r>
    <x v="51"/>
  </r>
  <r>
    <x v="51"/>
  </r>
  <r>
    <x v="51"/>
  </r>
  <r>
    <x v="51"/>
  </r>
  <r>
    <x v="51"/>
  </r>
  <r>
    <x v="51"/>
  </r>
  <r>
    <x v="22"/>
  </r>
  <r>
    <x v="51"/>
  </r>
  <r>
    <x v="4"/>
  </r>
  <r>
    <x v="108"/>
  </r>
  <r>
    <x v="42"/>
  </r>
  <r>
    <x v="9"/>
  </r>
  <r>
    <x v="56"/>
  </r>
  <r>
    <x v="12"/>
  </r>
  <r>
    <x v="28"/>
  </r>
  <r>
    <x v="56"/>
  </r>
  <r>
    <x v="10"/>
  </r>
  <r>
    <x v="48"/>
  </r>
  <r>
    <x v="1"/>
  </r>
  <r>
    <x v="1"/>
  </r>
  <r>
    <x v="57"/>
  </r>
  <r>
    <x v="1"/>
  </r>
  <r>
    <x v="1"/>
  </r>
  <r>
    <x v="1"/>
  </r>
  <r>
    <x v="4"/>
  </r>
  <r>
    <x v="12"/>
  </r>
  <r>
    <x v="12"/>
  </r>
  <r>
    <x v="12"/>
  </r>
  <r>
    <x v="12"/>
  </r>
  <r>
    <x v="12"/>
  </r>
  <r>
    <x v="12"/>
  </r>
  <r>
    <x v="4"/>
  </r>
  <r>
    <x v="1"/>
  </r>
  <r>
    <x v="1"/>
  </r>
  <r>
    <x v="12"/>
  </r>
  <r>
    <x v="12"/>
  </r>
  <r>
    <x v="12"/>
  </r>
  <r>
    <x v="12"/>
  </r>
  <r>
    <x v="1"/>
  </r>
  <r>
    <x v="1"/>
  </r>
  <r>
    <x v="4"/>
  </r>
  <r>
    <x v="4"/>
  </r>
  <r>
    <x v="144"/>
  </r>
  <r>
    <x v="144"/>
  </r>
  <r>
    <x v="144"/>
  </r>
  <r>
    <x v="144"/>
  </r>
  <r>
    <x v="57"/>
  </r>
  <r>
    <x v="63"/>
  </r>
  <r>
    <x v="63"/>
  </r>
  <r>
    <x v="63"/>
  </r>
  <r>
    <x v="170"/>
  </r>
  <r>
    <x v="170"/>
  </r>
  <r>
    <x v="170"/>
  </r>
  <r>
    <x v="170"/>
  </r>
  <r>
    <x v="1"/>
  </r>
  <r>
    <x v="1"/>
  </r>
  <r>
    <x v="1"/>
  </r>
  <r>
    <x v="1"/>
  </r>
  <r>
    <x v="1"/>
  </r>
  <r>
    <x v="63"/>
  </r>
  <r>
    <x v="63"/>
  </r>
  <r>
    <x v="63"/>
  </r>
  <r>
    <x v="63"/>
  </r>
  <r>
    <x v="63"/>
  </r>
  <r>
    <x v="1"/>
  </r>
  <r>
    <x v="12"/>
  </r>
  <r>
    <x v="12"/>
  </r>
  <r>
    <x v="12"/>
  </r>
  <r>
    <x v="12"/>
  </r>
  <r>
    <x v="2"/>
  </r>
  <r>
    <x v="2"/>
  </r>
  <r>
    <x v="2"/>
  </r>
  <r>
    <x v="2"/>
  </r>
  <r>
    <x v="28"/>
  </r>
  <r>
    <x v="51"/>
  </r>
  <r>
    <x v="51"/>
  </r>
  <r>
    <x v="51"/>
  </r>
  <r>
    <x v="16"/>
  </r>
  <r>
    <x v="144"/>
  </r>
  <r>
    <x v="144"/>
  </r>
  <r>
    <x v="16"/>
  </r>
  <r>
    <x v="7"/>
  </r>
  <r>
    <x v="28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1"/>
  </r>
  <r>
    <x v="51"/>
  </r>
  <r>
    <x v="51"/>
  </r>
  <r>
    <x v="0"/>
  </r>
  <r>
    <x v="16"/>
  </r>
  <r>
    <x v="80"/>
  </r>
  <r>
    <x v="1"/>
  </r>
  <r>
    <x v="12"/>
  </r>
  <r>
    <x v="79"/>
  </r>
  <r>
    <x v="57"/>
  </r>
  <r>
    <x v="57"/>
  </r>
  <r>
    <x v="57"/>
  </r>
  <r>
    <x v="57"/>
  </r>
  <r>
    <x v="79"/>
  </r>
  <r>
    <x v="1"/>
  </r>
  <r>
    <x v="1"/>
  </r>
  <r>
    <x v="1"/>
  </r>
  <r>
    <x v="1"/>
  </r>
  <r>
    <x v="1"/>
  </r>
  <r>
    <x v="12"/>
  </r>
  <r>
    <x v="12"/>
  </r>
  <r>
    <x v="51"/>
  </r>
  <r>
    <x v="48"/>
  </r>
  <r>
    <x v="48"/>
  </r>
  <r>
    <x v="25"/>
  </r>
  <r>
    <x v="25"/>
  </r>
  <r>
    <x v="12"/>
  </r>
  <r>
    <x v="42"/>
  </r>
  <r>
    <x v="42"/>
  </r>
  <r>
    <x v="138"/>
  </r>
  <r>
    <x v="138"/>
  </r>
  <r>
    <x v="138"/>
  </r>
  <r>
    <x v="138"/>
  </r>
  <r>
    <x v="138"/>
  </r>
  <r>
    <x v="138"/>
  </r>
  <r>
    <x v="1"/>
  </r>
  <r>
    <x v="4"/>
  </r>
  <r>
    <x v="57"/>
  </r>
  <r>
    <x v="57"/>
  </r>
  <r>
    <x v="138"/>
  </r>
  <r>
    <x v="3"/>
  </r>
  <r>
    <x v="1"/>
  </r>
  <r>
    <x v="10"/>
  </r>
  <r>
    <x v="10"/>
  </r>
  <r>
    <x v="10"/>
  </r>
  <r>
    <x v="10"/>
  </r>
  <r>
    <x v="10"/>
  </r>
  <r>
    <x v="0"/>
  </r>
  <r>
    <x v="4"/>
  </r>
  <r>
    <x v="24"/>
  </r>
  <r>
    <x v="81"/>
  </r>
  <r>
    <x v="53"/>
  </r>
  <r>
    <x v="53"/>
  </r>
  <r>
    <x v="81"/>
  </r>
  <r>
    <x v="10"/>
  </r>
  <r>
    <x v="10"/>
  </r>
  <r>
    <x v="28"/>
  </r>
  <r>
    <x v="12"/>
  </r>
  <r>
    <x v="16"/>
  </r>
  <r>
    <x v="102"/>
  </r>
  <r>
    <x v="76"/>
  </r>
  <r>
    <x v="4"/>
  </r>
  <r>
    <x v="93"/>
  </r>
  <r>
    <x v="4"/>
  </r>
  <r>
    <x v="0"/>
  </r>
  <r>
    <x v="0"/>
  </r>
  <r>
    <x v="59"/>
  </r>
  <r>
    <x v="112"/>
  </r>
  <r>
    <x v="51"/>
  </r>
  <r>
    <x v="51"/>
  </r>
  <r>
    <x v="52"/>
  </r>
  <r>
    <x v="4"/>
  </r>
  <r>
    <x v="10"/>
  </r>
  <r>
    <x v="42"/>
  </r>
  <r>
    <x v="42"/>
  </r>
  <r>
    <x v="42"/>
  </r>
  <r>
    <x v="10"/>
  </r>
  <r>
    <x v="28"/>
  </r>
  <r>
    <x v="93"/>
  </r>
  <r>
    <x v="93"/>
  </r>
  <r>
    <x v="93"/>
  </r>
  <r>
    <x v="3"/>
  </r>
  <r>
    <x v="3"/>
  </r>
  <r>
    <x v="56"/>
  </r>
  <r>
    <x v="86"/>
  </r>
  <r>
    <x v="103"/>
  </r>
  <r>
    <x v="10"/>
  </r>
  <r>
    <x v="16"/>
  </r>
  <r>
    <x v="0"/>
  </r>
  <r>
    <x v="0"/>
  </r>
  <r>
    <x v="47"/>
  </r>
  <r>
    <x v="28"/>
  </r>
  <r>
    <x v="56"/>
  </r>
  <r>
    <x v="4"/>
  </r>
  <r>
    <x v="10"/>
  </r>
  <r>
    <x v="24"/>
  </r>
  <r>
    <x v="19"/>
  </r>
  <r>
    <x v="123"/>
  </r>
  <r>
    <x v="123"/>
  </r>
  <r>
    <x v="10"/>
  </r>
  <r>
    <x v="14"/>
  </r>
  <r>
    <x v="0"/>
  </r>
  <r>
    <x v="0"/>
  </r>
  <r>
    <x v="0"/>
  </r>
  <r>
    <x v="42"/>
  </r>
  <r>
    <x v="42"/>
  </r>
  <r>
    <x v="42"/>
  </r>
  <r>
    <x v="0"/>
  </r>
  <r>
    <x v="37"/>
  </r>
  <r>
    <x v="42"/>
  </r>
  <r>
    <x v="115"/>
  </r>
  <r>
    <x v="0"/>
  </r>
  <r>
    <x v="21"/>
  </r>
  <r>
    <x v="86"/>
  </r>
  <r>
    <x v="9"/>
  </r>
  <r>
    <x v="32"/>
  </r>
  <r>
    <x v="10"/>
  </r>
  <r>
    <x v="4"/>
  </r>
  <r>
    <x v="0"/>
  </r>
  <r>
    <x v="19"/>
  </r>
  <r>
    <x v="9"/>
  </r>
  <r>
    <x v="37"/>
  </r>
  <r>
    <x v="115"/>
  </r>
  <r>
    <x v="28"/>
  </r>
  <r>
    <x v="28"/>
  </r>
  <r>
    <x v="28"/>
  </r>
  <r>
    <x v="28"/>
  </r>
  <r>
    <x v="7"/>
  </r>
  <r>
    <x v="7"/>
  </r>
  <r>
    <x v="78"/>
  </r>
  <r>
    <x v="10"/>
  </r>
  <r>
    <x v="59"/>
  </r>
  <r>
    <x v="12"/>
  </r>
  <r>
    <x v="19"/>
  </r>
  <r>
    <x v="71"/>
  </r>
  <r>
    <x v="71"/>
  </r>
  <r>
    <x v="71"/>
  </r>
  <r>
    <x v="71"/>
  </r>
  <r>
    <x v="8"/>
  </r>
  <r>
    <x v="0"/>
  </r>
  <r>
    <x v="7"/>
  </r>
  <r>
    <x v="123"/>
  </r>
  <r>
    <x v="115"/>
  </r>
  <r>
    <x v="42"/>
  </r>
  <r>
    <x v="142"/>
  </r>
  <r>
    <x v="57"/>
  </r>
  <r>
    <x v="48"/>
  </r>
  <r>
    <x v="4"/>
  </r>
  <r>
    <x v="12"/>
  </r>
  <r>
    <x v="53"/>
  </r>
  <r>
    <x v="78"/>
  </r>
  <r>
    <x v="0"/>
  </r>
  <r>
    <x v="19"/>
  </r>
  <r>
    <x v="6"/>
  </r>
  <r>
    <x v="12"/>
  </r>
  <r>
    <x v="10"/>
  </r>
  <r>
    <x v="138"/>
  </r>
  <r>
    <x v="71"/>
  </r>
  <r>
    <x v="102"/>
  </r>
  <r>
    <x v="102"/>
  </r>
  <r>
    <x v="12"/>
  </r>
  <r>
    <x v="12"/>
  </r>
  <r>
    <x v="71"/>
  </r>
  <r>
    <x v="53"/>
  </r>
  <r>
    <x v="21"/>
  </r>
  <r>
    <x v="14"/>
  </r>
  <r>
    <x v="29"/>
  </r>
  <r>
    <x v="1"/>
  </r>
  <r>
    <x v="8"/>
  </r>
  <r>
    <x v="6"/>
  </r>
  <r>
    <x v="51"/>
  </r>
  <r>
    <x v="144"/>
  </r>
  <r>
    <x v="4"/>
  </r>
  <r>
    <x v="25"/>
  </r>
  <r>
    <x v="7"/>
  </r>
  <r>
    <x v="12"/>
  </r>
  <r>
    <x v="28"/>
  </r>
  <r>
    <x v="39"/>
  </r>
  <r>
    <x v="12"/>
  </r>
  <r>
    <x v="2"/>
  </r>
  <r>
    <x v="2"/>
  </r>
  <r>
    <x v="131"/>
  </r>
  <r>
    <x v="131"/>
  </r>
  <r>
    <x v="163"/>
  </r>
  <r>
    <x v="52"/>
  </r>
  <r>
    <x v="8"/>
  </r>
  <r>
    <x v="59"/>
  </r>
  <r>
    <x v="11"/>
  </r>
  <r>
    <x v="16"/>
  </r>
  <r>
    <x v="12"/>
  </r>
  <r>
    <x v="12"/>
  </r>
  <r>
    <x v="45"/>
  </r>
  <r>
    <x v="28"/>
  </r>
  <r>
    <x v="12"/>
  </r>
  <r>
    <x v="56"/>
  </r>
  <r>
    <x v="56"/>
  </r>
  <r>
    <x v="4"/>
  </r>
  <r>
    <x v="16"/>
  </r>
  <r>
    <x v="4"/>
  </r>
  <r>
    <x v="4"/>
  </r>
  <r>
    <x v="0"/>
  </r>
  <r>
    <x v="135"/>
  </r>
  <r>
    <x v="9"/>
  </r>
  <r>
    <x v="52"/>
  </r>
  <r>
    <x v="7"/>
  </r>
  <r>
    <x v="71"/>
  </r>
  <r>
    <x v="10"/>
  </r>
  <r>
    <x v="4"/>
  </r>
  <r>
    <x v="51"/>
  </r>
  <r>
    <x v="37"/>
  </r>
  <r>
    <x v="53"/>
  </r>
  <r>
    <x v="45"/>
  </r>
  <r>
    <x v="71"/>
  </r>
  <r>
    <x v="71"/>
  </r>
  <r>
    <x v="71"/>
  </r>
  <r>
    <x v="71"/>
  </r>
  <r>
    <x v="12"/>
  </r>
  <r>
    <x v="12"/>
  </r>
  <r>
    <x v="12"/>
  </r>
  <r>
    <x v="10"/>
  </r>
  <r>
    <x v="10"/>
  </r>
  <r>
    <x v="12"/>
  </r>
  <r>
    <x v="12"/>
  </r>
  <r>
    <x v="4"/>
  </r>
  <r>
    <x v="10"/>
  </r>
  <r>
    <x v="22"/>
  </r>
  <r>
    <x v="24"/>
  </r>
  <r>
    <x v="9"/>
  </r>
  <r>
    <x v="16"/>
  </r>
  <r>
    <x v="12"/>
  </r>
  <r>
    <x v="2"/>
  </r>
  <r>
    <x v="0"/>
  </r>
  <r>
    <x v="64"/>
  </r>
  <r>
    <x v="152"/>
  </r>
  <r>
    <x v="42"/>
  </r>
  <r>
    <x v="37"/>
  </r>
  <r>
    <x v="0"/>
  </r>
  <r>
    <x v="11"/>
  </r>
  <r>
    <x v="131"/>
  </r>
  <r>
    <x v="0"/>
  </r>
  <r>
    <x v="19"/>
  </r>
  <r>
    <x v="9"/>
  </r>
  <r>
    <x v="4"/>
  </r>
  <r>
    <x v="123"/>
  </r>
  <r>
    <x v="10"/>
  </r>
  <r>
    <x v="2"/>
  </r>
  <r>
    <x v="22"/>
  </r>
  <r>
    <x v="28"/>
  </r>
  <r>
    <x v="11"/>
  </r>
  <r>
    <x v="71"/>
  </r>
  <r>
    <x v="9"/>
  </r>
  <r>
    <x v="0"/>
  </r>
  <r>
    <x v="11"/>
  </r>
  <r>
    <x v="34"/>
  </r>
  <r>
    <x v="7"/>
  </r>
  <r>
    <x v="31"/>
  </r>
  <r>
    <x v="48"/>
  </r>
  <r>
    <x v="4"/>
  </r>
  <r>
    <x v="24"/>
  </r>
  <r>
    <x v="42"/>
  </r>
  <r>
    <x v="12"/>
  </r>
  <r>
    <x v="4"/>
  </r>
  <r>
    <x v="10"/>
  </r>
  <r>
    <x v="19"/>
  </r>
  <r>
    <x v="253"/>
  </r>
  <r>
    <x v="37"/>
  </r>
  <r>
    <x v="12"/>
  </r>
  <r>
    <x v="76"/>
  </r>
  <r>
    <x v="25"/>
  </r>
  <r>
    <x v="25"/>
  </r>
  <r>
    <x v="9"/>
  </r>
  <r>
    <x v="9"/>
  </r>
  <r>
    <x v="9"/>
  </r>
  <r>
    <x v="0"/>
  </r>
  <r>
    <x v="152"/>
  </r>
  <r>
    <x v="115"/>
  </r>
  <r>
    <x v="4"/>
  </r>
  <r>
    <x v="78"/>
  </r>
  <r>
    <x v="78"/>
  </r>
  <r>
    <x v="2"/>
  </r>
  <r>
    <x v="37"/>
  </r>
  <r>
    <x v="19"/>
  </r>
  <r>
    <x v="45"/>
  </r>
  <r>
    <x v="76"/>
  </r>
  <r>
    <x v="175"/>
  </r>
  <r>
    <x v="59"/>
  </r>
  <r>
    <x v="59"/>
  </r>
  <r>
    <x v="128"/>
  </r>
  <r>
    <x v="91"/>
  </r>
  <r>
    <x v="15"/>
  </r>
  <r>
    <x v="14"/>
  </r>
  <r>
    <x v="4"/>
  </r>
  <r>
    <x v="19"/>
  </r>
  <r>
    <x v="19"/>
  </r>
  <r>
    <x v="3"/>
  </r>
  <r>
    <x v="22"/>
  </r>
  <r>
    <x v="19"/>
  </r>
  <r>
    <x v="199"/>
  </r>
  <r>
    <x v="91"/>
  </r>
  <r>
    <x v="48"/>
  </r>
  <r>
    <x v="20"/>
  </r>
  <r>
    <x v="10"/>
  </r>
  <r>
    <x v="131"/>
  </r>
  <r>
    <x v="48"/>
  </r>
  <r>
    <x v="57"/>
  </r>
  <r>
    <x v="152"/>
  </r>
  <r>
    <x v="9"/>
  </r>
  <r>
    <x v="9"/>
  </r>
  <r>
    <x v="9"/>
  </r>
  <r>
    <x v="28"/>
  </r>
  <r>
    <x v="57"/>
  </r>
  <r>
    <x v="90"/>
  </r>
  <r>
    <x v="4"/>
  </r>
  <r>
    <x v="9"/>
  </r>
  <r>
    <x v="9"/>
  </r>
  <r>
    <x v="152"/>
  </r>
  <r>
    <x v="123"/>
  </r>
  <r>
    <x v="123"/>
  </r>
  <r>
    <x v="4"/>
  </r>
  <r>
    <x v="4"/>
  </r>
  <r>
    <x v="71"/>
  </r>
  <r>
    <x v="162"/>
  </r>
  <r>
    <x v="0"/>
  </r>
  <r>
    <x v="56"/>
  </r>
  <r>
    <x v="56"/>
  </r>
  <r>
    <x v="10"/>
  </r>
  <r>
    <x v="10"/>
  </r>
  <r>
    <x v="11"/>
  </r>
  <r>
    <x v="24"/>
  </r>
  <r>
    <x v="0"/>
  </r>
  <r>
    <x v="57"/>
  </r>
  <r>
    <x v="57"/>
  </r>
  <r>
    <x v="11"/>
  </r>
  <r>
    <x v="16"/>
  </r>
  <r>
    <x v="56"/>
  </r>
  <r>
    <x v="42"/>
  </r>
  <r>
    <x v="4"/>
  </r>
  <r>
    <x v="138"/>
  </r>
  <r>
    <x v="22"/>
  </r>
  <r>
    <x v="28"/>
  </r>
  <r>
    <x v="51"/>
  </r>
  <r>
    <x v="2"/>
  </r>
  <r>
    <x v="10"/>
  </r>
  <r>
    <x v="57"/>
  </r>
  <r>
    <x v="42"/>
  </r>
  <r>
    <x v="42"/>
  </r>
  <r>
    <x v="14"/>
  </r>
  <r>
    <x v="4"/>
  </r>
  <r>
    <x v="0"/>
  </r>
  <r>
    <x v="84"/>
  </r>
  <r>
    <x v="9"/>
  </r>
  <r>
    <x v="130"/>
  </r>
  <r>
    <x v="2"/>
  </r>
  <r>
    <x v="6"/>
  </r>
  <r>
    <x v="3"/>
  </r>
  <r>
    <x v="9"/>
  </r>
  <r>
    <x v="4"/>
  </r>
  <r>
    <x v="4"/>
  </r>
  <r>
    <x v="10"/>
  </r>
  <r>
    <x v="48"/>
  </r>
  <r>
    <x v="12"/>
  </r>
  <r>
    <x v="86"/>
  </r>
  <r>
    <x v="4"/>
  </r>
  <r>
    <x v="53"/>
  </r>
  <r>
    <x v="14"/>
  </r>
  <r>
    <x v="16"/>
  </r>
  <r>
    <x v="51"/>
  </r>
  <r>
    <x v="12"/>
  </r>
  <r>
    <x v="54"/>
  </r>
  <r>
    <x v="42"/>
  </r>
  <r>
    <x v="16"/>
  </r>
  <r>
    <x v="4"/>
  </r>
  <r>
    <x v="4"/>
  </r>
  <r>
    <x v="10"/>
  </r>
  <r>
    <x v="4"/>
  </r>
  <r>
    <x v="45"/>
  </r>
  <r>
    <x v="31"/>
  </r>
  <r>
    <x v="42"/>
  </r>
  <r>
    <x v="24"/>
  </r>
  <r>
    <x v="57"/>
  </r>
  <r>
    <x v="45"/>
  </r>
  <r>
    <x v="45"/>
  </r>
  <r>
    <x v="56"/>
  </r>
  <r>
    <x v="42"/>
  </r>
  <r>
    <x v="37"/>
  </r>
  <r>
    <x v="9"/>
  </r>
  <r>
    <x v="115"/>
  </r>
  <r>
    <x v="3"/>
  </r>
  <r>
    <x v="72"/>
  </r>
  <r>
    <x v="10"/>
  </r>
  <r>
    <x v="123"/>
  </r>
  <r>
    <x v="129"/>
  </r>
  <r>
    <x v="4"/>
  </r>
  <r>
    <x v="12"/>
  </r>
  <r>
    <x v="29"/>
  </r>
  <r>
    <x v="21"/>
  </r>
  <r>
    <x v="28"/>
  </r>
  <r>
    <x v="0"/>
  </r>
  <r>
    <x v="0"/>
  </r>
  <r>
    <x v="163"/>
  </r>
  <r>
    <x v="12"/>
  </r>
  <r>
    <x v="182"/>
  </r>
  <r>
    <x v="14"/>
  </r>
  <r>
    <x v="115"/>
  </r>
  <r>
    <x v="131"/>
  </r>
  <r>
    <x v="16"/>
  </r>
  <r>
    <x v="115"/>
  </r>
  <r>
    <x v="131"/>
  </r>
  <r>
    <x v="28"/>
  </r>
  <r>
    <x v="71"/>
  </r>
  <r>
    <x v="130"/>
  </r>
  <r>
    <x v="16"/>
  </r>
  <r>
    <x v="16"/>
  </r>
  <r>
    <x v="42"/>
  </r>
  <r>
    <x v="57"/>
  </r>
  <r>
    <x v="4"/>
  </r>
  <r>
    <x v="7"/>
  </r>
  <r>
    <x v="1"/>
  </r>
  <r>
    <x v="1"/>
  </r>
  <r>
    <x v="72"/>
  </r>
  <r>
    <x v="0"/>
  </r>
  <r>
    <x v="48"/>
  </r>
  <r>
    <x v="48"/>
  </r>
  <r>
    <x v="63"/>
  </r>
  <r>
    <x v="63"/>
  </r>
  <r>
    <x v="21"/>
  </r>
  <r>
    <x v="24"/>
  </r>
  <r>
    <x v="24"/>
  </r>
  <r>
    <x v="11"/>
  </r>
  <r>
    <x v="8"/>
  </r>
  <r>
    <x v="12"/>
  </r>
  <r>
    <x v="16"/>
  </r>
  <r>
    <x v="2"/>
  </r>
  <r>
    <x v="2"/>
  </r>
  <r>
    <x v="9"/>
  </r>
  <r>
    <x v="51"/>
  </r>
  <r>
    <x v="18"/>
  </r>
  <r>
    <x v="4"/>
  </r>
  <r>
    <x v="28"/>
  </r>
  <r>
    <x v="42"/>
  </r>
  <r>
    <x v="42"/>
  </r>
  <r>
    <x v="12"/>
  </r>
  <r>
    <x v="42"/>
  </r>
  <r>
    <x v="28"/>
  </r>
  <r>
    <x v="71"/>
  </r>
  <r>
    <x v="0"/>
  </r>
  <r>
    <x v="0"/>
  </r>
  <r>
    <x v="22"/>
  </r>
  <r>
    <x v="144"/>
  </r>
  <r>
    <x v="24"/>
  </r>
  <r>
    <x v="9"/>
  </r>
  <r>
    <x v="4"/>
  </r>
  <r>
    <x v="14"/>
  </r>
  <r>
    <x v="184"/>
  </r>
  <r>
    <x v="42"/>
  </r>
  <r>
    <x v="4"/>
  </r>
  <r>
    <x v="42"/>
  </r>
  <r>
    <x v="12"/>
  </r>
  <r>
    <x v="7"/>
  </r>
  <r>
    <x v="7"/>
  </r>
  <r>
    <x v="57"/>
  </r>
  <r>
    <x v="0"/>
  </r>
  <r>
    <x v="7"/>
  </r>
  <r>
    <x v="42"/>
  </r>
  <r>
    <x v="53"/>
  </r>
  <r>
    <x v="7"/>
  </r>
  <r>
    <x v="4"/>
  </r>
  <r>
    <x v="12"/>
  </r>
  <r>
    <x v="2"/>
  </r>
  <r>
    <x v="22"/>
  </r>
  <r>
    <x v="12"/>
  </r>
  <r>
    <x v="6"/>
  </r>
  <r>
    <x v="12"/>
  </r>
  <r>
    <x v="12"/>
  </r>
  <r>
    <x v="45"/>
  </r>
  <r>
    <x v="9"/>
  </r>
  <r>
    <x v="19"/>
  </r>
  <r>
    <x v="4"/>
  </r>
  <r>
    <x v="249"/>
  </r>
  <r>
    <x v="0"/>
  </r>
  <r>
    <x v="0"/>
  </r>
  <r>
    <x v="123"/>
  </r>
  <r>
    <x v="0"/>
  </r>
  <r>
    <x v="10"/>
  </r>
  <r>
    <x v="0"/>
  </r>
  <r>
    <x v="36"/>
  </r>
  <r>
    <x v="71"/>
  </r>
  <r>
    <x v="141"/>
  </r>
  <r>
    <x v="48"/>
  </r>
  <r>
    <x v="37"/>
  </r>
  <r>
    <x v="37"/>
  </r>
  <r>
    <x v="25"/>
  </r>
  <r>
    <x v="25"/>
  </r>
  <r>
    <x v="25"/>
  </r>
  <r>
    <x v="25"/>
  </r>
  <r>
    <x v="25"/>
  </r>
  <r>
    <x v="25"/>
  </r>
  <r>
    <x v="0"/>
  </r>
  <r>
    <x v="0"/>
  </r>
  <r>
    <x v="14"/>
  </r>
  <r>
    <x v="45"/>
  </r>
  <r>
    <x v="2"/>
  </r>
  <r>
    <x v="2"/>
  </r>
  <r>
    <x v="124"/>
  </r>
  <r>
    <x v="12"/>
  </r>
  <r>
    <x v="12"/>
  </r>
  <r>
    <x v="52"/>
  </r>
  <r>
    <x v="56"/>
  </r>
  <r>
    <x v="1"/>
  </r>
  <r>
    <x v="37"/>
  </r>
  <r>
    <x v="86"/>
  </r>
  <r>
    <x v="53"/>
  </r>
  <r>
    <x v="57"/>
  </r>
  <r>
    <x v="57"/>
  </r>
  <r>
    <x v="29"/>
  </r>
  <r>
    <x v="14"/>
  </r>
  <r>
    <x v="122"/>
  </r>
  <r>
    <x v="31"/>
  </r>
  <r>
    <x v="165"/>
  </r>
  <r>
    <x v="21"/>
  </r>
  <r>
    <x v="131"/>
  </r>
  <r>
    <x v="53"/>
  </r>
  <r>
    <x v="8"/>
  </r>
  <r>
    <x v="12"/>
  </r>
  <r>
    <x v="63"/>
  </r>
  <r>
    <x v="0"/>
  </r>
  <r>
    <x v="55"/>
  </r>
  <r>
    <x v="62"/>
  </r>
  <r>
    <x v="9"/>
  </r>
  <r>
    <x v="76"/>
  </r>
  <r>
    <x v="42"/>
  </r>
  <r>
    <x v="48"/>
  </r>
  <r>
    <x v="42"/>
  </r>
  <r>
    <x v="14"/>
  </r>
  <r>
    <x v="28"/>
  </r>
  <r>
    <x v="1"/>
  </r>
  <r>
    <x v="142"/>
  </r>
  <r>
    <x v="57"/>
  </r>
  <r>
    <x v="4"/>
  </r>
  <r>
    <x v="4"/>
  </r>
  <r>
    <x v="115"/>
  </r>
  <r>
    <x v="115"/>
  </r>
  <r>
    <x v="115"/>
  </r>
  <r>
    <x v="57"/>
  </r>
  <r>
    <x v="142"/>
  </r>
  <r>
    <x v="64"/>
  </r>
  <r>
    <x v="1"/>
  </r>
  <r>
    <x v="57"/>
  </r>
  <r>
    <x v="28"/>
  </r>
  <r>
    <x v="0"/>
  </r>
  <r>
    <x v="87"/>
  </r>
  <r>
    <x v="56"/>
  </r>
  <r>
    <x v="28"/>
  </r>
  <r>
    <x v="28"/>
  </r>
  <r>
    <x v="28"/>
  </r>
  <r>
    <x v="25"/>
  </r>
  <r>
    <x v="53"/>
  </r>
  <r>
    <x v="12"/>
  </r>
  <r>
    <x v="12"/>
  </r>
  <r>
    <x v="53"/>
  </r>
  <r>
    <x v="53"/>
  </r>
  <r>
    <x v="2"/>
  </r>
  <r>
    <x v="12"/>
  </r>
  <r>
    <x v="9"/>
  </r>
  <r>
    <x v="48"/>
  </r>
  <r>
    <x v="4"/>
  </r>
  <r>
    <x v="76"/>
  </r>
  <r>
    <x v="48"/>
  </r>
  <r>
    <x v="48"/>
  </r>
  <r>
    <x v="48"/>
  </r>
  <r>
    <x v="45"/>
  </r>
  <r>
    <x v="96"/>
  </r>
  <r>
    <x v="12"/>
  </r>
  <r>
    <x v="45"/>
  </r>
  <r>
    <x v="7"/>
  </r>
  <r>
    <x v="19"/>
  </r>
  <r>
    <x v="52"/>
  </r>
  <r>
    <x v="9"/>
  </r>
  <r>
    <x v="12"/>
  </r>
  <r>
    <x v="12"/>
  </r>
  <r>
    <x v="22"/>
  </r>
  <r>
    <x v="141"/>
  </r>
  <r>
    <x v="14"/>
  </r>
  <r>
    <x v="24"/>
  </r>
  <r>
    <x v="2"/>
  </r>
  <r>
    <x v="8"/>
  </r>
  <r>
    <x v="1"/>
  </r>
  <r>
    <x v="16"/>
  </r>
  <r>
    <x v="53"/>
  </r>
  <r>
    <x v="17"/>
  </r>
  <r>
    <x v="1"/>
  </r>
  <r>
    <x v="1"/>
  </r>
  <r>
    <x v="1"/>
  </r>
  <r>
    <x v="64"/>
  </r>
  <r>
    <x v="9"/>
  </r>
  <r>
    <x v="9"/>
  </r>
  <r>
    <x v="53"/>
  </r>
  <r>
    <x v="53"/>
  </r>
  <r>
    <x v="19"/>
  </r>
  <r>
    <x v="25"/>
  </r>
  <r>
    <x v="25"/>
  </r>
  <r>
    <x v="21"/>
  </r>
  <r>
    <x v="9"/>
  </r>
  <r>
    <x v="131"/>
  </r>
  <r>
    <x v="45"/>
  </r>
  <r>
    <x v="53"/>
  </r>
  <r>
    <x v="12"/>
  </r>
  <r>
    <x v="12"/>
  </r>
  <r>
    <x v="16"/>
  </r>
  <r>
    <x v="7"/>
  </r>
  <r>
    <x v="7"/>
  </r>
  <r>
    <x v="7"/>
  </r>
  <r>
    <x v="126"/>
  </r>
  <r>
    <x v="154"/>
  </r>
  <r>
    <x v="154"/>
  </r>
  <r>
    <x v="71"/>
  </r>
  <r>
    <x v="71"/>
  </r>
  <r>
    <x v="45"/>
  </r>
  <r>
    <x v="154"/>
  </r>
  <r>
    <x v="12"/>
  </r>
  <r>
    <x v="4"/>
  </r>
  <r>
    <x v="14"/>
  </r>
  <r>
    <x v="14"/>
  </r>
  <r>
    <x v="14"/>
  </r>
  <r>
    <x v="28"/>
  </r>
  <r>
    <x v="28"/>
  </r>
  <r>
    <x v="28"/>
  </r>
  <r>
    <x v="28"/>
  </r>
  <r>
    <x v="22"/>
  </r>
  <r>
    <x v="22"/>
  </r>
  <r>
    <x v="22"/>
  </r>
  <r>
    <x v="22"/>
  </r>
  <r>
    <x v="2"/>
  </r>
  <r>
    <x v="42"/>
  </r>
  <r>
    <x v="4"/>
  </r>
  <r>
    <x v="4"/>
  </r>
  <r>
    <x v="81"/>
  </r>
  <r>
    <x v="4"/>
  </r>
  <r>
    <x v="71"/>
  </r>
  <r>
    <x v="53"/>
  </r>
  <r>
    <x v="45"/>
  </r>
  <r>
    <x v="12"/>
  </r>
  <r>
    <x v="4"/>
  </r>
  <r>
    <x v="9"/>
  </r>
  <r>
    <x v="135"/>
  </r>
  <r>
    <x v="9"/>
  </r>
  <r>
    <x v="0"/>
  </r>
  <r>
    <x v="9"/>
  </r>
  <r>
    <x v="169"/>
  </r>
  <r>
    <x v="1"/>
  </r>
  <r>
    <x v="42"/>
  </r>
  <r>
    <x v="48"/>
  </r>
  <r>
    <x v="53"/>
  </r>
  <r>
    <x v="53"/>
  </r>
  <r>
    <x v="53"/>
  </r>
  <r>
    <x v="53"/>
  </r>
  <r>
    <x v="53"/>
  </r>
  <r>
    <x v="53"/>
  </r>
  <r>
    <x v="53"/>
  </r>
  <r>
    <x v="7"/>
  </r>
  <r>
    <x v="7"/>
  </r>
  <r>
    <x v="8"/>
  </r>
  <r>
    <x v="9"/>
  </r>
  <r>
    <x v="0"/>
  </r>
  <r>
    <x v="22"/>
  </r>
  <r>
    <x v="9"/>
  </r>
  <r>
    <x v="0"/>
  </r>
  <r>
    <x v="28"/>
  </r>
  <r>
    <x v="28"/>
  </r>
  <r>
    <x v="0"/>
  </r>
  <r>
    <x v="45"/>
  </r>
  <r>
    <x v="42"/>
  </r>
  <r>
    <x v="0"/>
  </r>
  <r>
    <x v="10"/>
  </r>
  <r>
    <x v="2"/>
  </r>
  <r>
    <x v="2"/>
  </r>
  <r>
    <x v="24"/>
  </r>
  <r>
    <x v="0"/>
  </r>
  <r>
    <x v="2"/>
  </r>
  <r>
    <x v="2"/>
  </r>
  <r>
    <x v="12"/>
  </r>
  <r>
    <x v="7"/>
  </r>
  <r>
    <x v="7"/>
  </r>
  <r>
    <x v="16"/>
  </r>
  <r>
    <x v="11"/>
  </r>
  <r>
    <x v="16"/>
  </r>
  <r>
    <x v="11"/>
  </r>
  <r>
    <x v="4"/>
  </r>
  <r>
    <x v="10"/>
  </r>
  <r>
    <x v="8"/>
  </r>
  <r>
    <x v="8"/>
  </r>
  <r>
    <x v="17"/>
  </r>
  <r>
    <x v="8"/>
  </r>
  <r>
    <x v="8"/>
  </r>
  <r>
    <x v="42"/>
  </r>
  <r>
    <x v="17"/>
  </r>
  <r>
    <x v="42"/>
  </r>
  <r>
    <x v="21"/>
  </r>
  <r>
    <x v="12"/>
  </r>
  <r>
    <x v="14"/>
  </r>
  <r>
    <x v="4"/>
  </r>
  <r>
    <x v="8"/>
  </r>
  <r>
    <x v="8"/>
  </r>
  <r>
    <x v="7"/>
  </r>
  <r>
    <x v="42"/>
  </r>
  <r>
    <x v="4"/>
  </r>
  <r>
    <x v="17"/>
  </r>
  <r>
    <x v="10"/>
  </r>
  <r>
    <x v="0"/>
  </r>
  <r>
    <x v="10"/>
  </r>
  <r>
    <x v="45"/>
  </r>
  <r>
    <x v="0"/>
  </r>
  <r>
    <x v="24"/>
  </r>
  <r>
    <x v="19"/>
  </r>
  <r>
    <x v="3"/>
  </r>
  <r>
    <x v="14"/>
  </r>
  <r>
    <x v="4"/>
  </r>
  <r>
    <x v="48"/>
  </r>
  <r>
    <x v="7"/>
  </r>
  <r>
    <x v="11"/>
  </r>
  <r>
    <x v="7"/>
  </r>
  <r>
    <x v="0"/>
  </r>
  <r>
    <x v="42"/>
  </r>
  <r>
    <x v="6"/>
  </r>
  <r>
    <x v="4"/>
  </r>
  <r>
    <x v="11"/>
  </r>
  <r>
    <x v="14"/>
  </r>
  <r>
    <x v="33"/>
  </r>
  <r>
    <x v="39"/>
  </r>
  <r>
    <x v="12"/>
  </r>
  <r>
    <x v="11"/>
  </r>
  <r>
    <x v="16"/>
  </r>
  <r>
    <x v="11"/>
  </r>
  <r>
    <x v="11"/>
  </r>
  <r>
    <x v="53"/>
  </r>
  <r>
    <x v="34"/>
  </r>
  <r>
    <x v="10"/>
  </r>
  <r>
    <x v="34"/>
  </r>
  <r>
    <x v="21"/>
  </r>
  <r>
    <x v="34"/>
  </r>
  <r>
    <x v="45"/>
  </r>
  <r>
    <x v="10"/>
  </r>
  <r>
    <x v="14"/>
  </r>
  <r>
    <x v="17"/>
  </r>
  <r>
    <x v="8"/>
  </r>
  <r>
    <x v="8"/>
  </r>
  <r>
    <x v="8"/>
  </r>
  <r>
    <x v="8"/>
  </r>
  <r>
    <x v="8"/>
  </r>
  <r>
    <x v="8"/>
  </r>
  <r>
    <x v="211"/>
  </r>
  <r>
    <x v="211"/>
  </r>
  <r>
    <x v="0"/>
  </r>
  <r>
    <x v="12"/>
  </r>
  <r>
    <x v="14"/>
  </r>
  <r>
    <x v="3"/>
  </r>
  <r>
    <x v="17"/>
  </r>
  <r>
    <x v="22"/>
  </r>
  <r>
    <x v="17"/>
  </r>
  <r>
    <x v="15"/>
  </r>
  <r>
    <x v="15"/>
  </r>
  <r>
    <x v="15"/>
  </r>
  <r>
    <x v="0"/>
  </r>
  <r>
    <x v="16"/>
  </r>
  <r>
    <x v="4"/>
  </r>
  <r>
    <x v="14"/>
  </r>
  <r>
    <x v="14"/>
  </r>
  <r>
    <x v="14"/>
  </r>
  <r>
    <x v="14"/>
  </r>
  <r>
    <x v="52"/>
  </r>
  <r>
    <x v="0"/>
  </r>
  <r>
    <x v="0"/>
  </r>
  <r>
    <x v="171"/>
  </r>
  <r>
    <x v="15"/>
  </r>
  <r>
    <x v="12"/>
  </r>
  <r>
    <x v="28"/>
  </r>
  <r>
    <x v="21"/>
  </r>
  <r>
    <x v="21"/>
  </r>
  <r>
    <x v="21"/>
  </r>
  <r>
    <x v="4"/>
  </r>
  <r>
    <x v="4"/>
  </r>
  <r>
    <x v="4"/>
  </r>
  <r>
    <x v="4"/>
  </r>
  <r>
    <x v="14"/>
  </r>
  <r>
    <x v="130"/>
  </r>
  <r>
    <x v="14"/>
  </r>
  <r>
    <x v="7"/>
  </r>
  <r>
    <x v="28"/>
  </r>
  <r>
    <x v="7"/>
  </r>
  <r>
    <x v="10"/>
  </r>
  <r>
    <x v="17"/>
  </r>
  <r>
    <x v="10"/>
  </r>
  <r>
    <x v="7"/>
  </r>
  <r>
    <x v="14"/>
  </r>
  <r>
    <x v="10"/>
  </r>
  <r>
    <x v="4"/>
  </r>
  <r>
    <x v="16"/>
  </r>
  <r>
    <x v="22"/>
  </r>
  <r>
    <x v="14"/>
  </r>
  <r>
    <x v="14"/>
  </r>
  <r>
    <x v="45"/>
  </r>
  <r>
    <x v="0"/>
  </r>
  <r>
    <x v="14"/>
  </r>
  <r>
    <x v="14"/>
  </r>
  <r>
    <x v="34"/>
  </r>
  <r>
    <x v="28"/>
  </r>
  <r>
    <x v="7"/>
  </r>
  <r>
    <x v="4"/>
  </r>
  <r>
    <x v="22"/>
  </r>
  <r>
    <x v="10"/>
  </r>
  <r>
    <x v="14"/>
  </r>
  <r>
    <x v="14"/>
  </r>
  <r>
    <x v="14"/>
  </r>
  <r>
    <x v="0"/>
  </r>
  <r>
    <x v="0"/>
  </r>
  <r>
    <x v="14"/>
  </r>
  <r>
    <x v="31"/>
  </r>
  <r>
    <x v="28"/>
  </r>
  <r>
    <x v="7"/>
  </r>
  <r>
    <x v="7"/>
  </r>
  <r>
    <x v="12"/>
  </r>
  <r>
    <x v="10"/>
  </r>
  <r>
    <x v="4"/>
  </r>
  <r>
    <x v="4"/>
  </r>
  <r>
    <x v="10"/>
  </r>
  <r>
    <x v="4"/>
  </r>
  <r>
    <x v="4"/>
  </r>
  <r>
    <x v="4"/>
  </r>
  <r>
    <x v="4"/>
  </r>
  <r>
    <x v="16"/>
  </r>
  <r>
    <x v="16"/>
  </r>
  <r>
    <x v="14"/>
  </r>
  <r>
    <x v="14"/>
  </r>
  <r>
    <x v="14"/>
  </r>
  <r>
    <x v="14"/>
  </r>
  <r>
    <x v="48"/>
  </r>
  <r>
    <x v="22"/>
  </r>
  <r>
    <x v="22"/>
  </r>
  <r>
    <x v="22"/>
  </r>
  <r>
    <x v="22"/>
  </r>
  <r>
    <x v="17"/>
  </r>
  <r>
    <x v="17"/>
  </r>
  <r>
    <x v="16"/>
  </r>
  <r>
    <x v="45"/>
  </r>
  <r>
    <x v="16"/>
  </r>
  <r>
    <x v="48"/>
  </r>
  <r>
    <x v="48"/>
  </r>
  <r>
    <x v="48"/>
  </r>
  <r>
    <x v="48"/>
  </r>
  <r>
    <x v="22"/>
  </r>
  <r>
    <x v="22"/>
  </r>
  <r>
    <x v="16"/>
  </r>
  <r>
    <x v="10"/>
  </r>
  <r>
    <x v="4"/>
  </r>
  <r>
    <x v="4"/>
  </r>
  <r>
    <x v="4"/>
  </r>
  <r>
    <x v="4"/>
  </r>
  <r>
    <x v="4"/>
  </r>
  <r>
    <x v="4"/>
  </r>
  <r>
    <x v="4"/>
  </r>
  <r>
    <x v="7"/>
  </r>
  <r>
    <x v="7"/>
  </r>
  <r>
    <x v="48"/>
  </r>
  <r>
    <x v="10"/>
  </r>
  <r>
    <x v="7"/>
  </r>
  <r>
    <x v="14"/>
  </r>
  <r>
    <x v="24"/>
  </r>
  <r>
    <x v="24"/>
  </r>
  <r>
    <x v="0"/>
  </r>
  <r>
    <x v="15"/>
  </r>
  <r>
    <x v="0"/>
  </r>
  <r>
    <x v="0"/>
  </r>
  <r>
    <x v="48"/>
  </r>
  <r>
    <x v="24"/>
  </r>
  <r>
    <x v="34"/>
  </r>
  <r>
    <x v="9"/>
  </r>
  <r>
    <x v="31"/>
  </r>
  <r>
    <x v="4"/>
  </r>
  <r>
    <x v="0"/>
  </r>
  <r>
    <x v="0"/>
  </r>
  <r>
    <x v="0"/>
  </r>
  <r>
    <x v="17"/>
  </r>
  <r>
    <x v="33"/>
  </r>
  <r>
    <x v="19"/>
  </r>
  <r>
    <x v="48"/>
  </r>
  <r>
    <x v="24"/>
  </r>
  <r>
    <x v="22"/>
  </r>
  <r>
    <x v="4"/>
  </r>
  <r>
    <x v="2"/>
  </r>
  <r>
    <x v="10"/>
  </r>
  <r>
    <x v="0"/>
  </r>
  <r>
    <x v="0"/>
  </r>
  <r>
    <x v="14"/>
  </r>
  <r>
    <x v="14"/>
  </r>
  <r>
    <x v="4"/>
  </r>
  <r>
    <x v="6"/>
  </r>
  <r>
    <x v="16"/>
  </r>
  <r>
    <x v="17"/>
  </r>
  <r>
    <x v="9"/>
  </r>
  <r>
    <x v="11"/>
  </r>
  <r>
    <x v="31"/>
  </r>
  <r>
    <x v="37"/>
  </r>
  <r>
    <x v="10"/>
  </r>
  <r>
    <x v="45"/>
  </r>
  <r>
    <x v="45"/>
  </r>
  <r>
    <x v="0"/>
  </r>
  <r>
    <x v="11"/>
  </r>
  <r>
    <x v="11"/>
  </r>
  <r>
    <x v="224"/>
  </r>
  <r>
    <x v="37"/>
  </r>
  <r>
    <x v="2"/>
  </r>
  <r>
    <x v="7"/>
  </r>
  <r>
    <x v="6"/>
  </r>
  <r>
    <x v="4"/>
  </r>
  <r>
    <x v="8"/>
  </r>
  <r>
    <x v="12"/>
  </r>
  <r>
    <x v="9"/>
  </r>
  <r>
    <x v="25"/>
  </r>
  <r>
    <x v="30"/>
  </r>
  <r>
    <x v="33"/>
  </r>
  <r>
    <x v="21"/>
  </r>
  <r>
    <x v="21"/>
  </r>
  <r>
    <x v="26"/>
  </r>
  <r>
    <x v="21"/>
  </r>
  <r>
    <x v="21"/>
  </r>
  <r>
    <x v="21"/>
  </r>
  <r>
    <x v="24"/>
  </r>
  <r>
    <x v="14"/>
  </r>
  <r>
    <x v="22"/>
  </r>
  <r>
    <x v="21"/>
  </r>
  <r>
    <x v="22"/>
  </r>
  <r>
    <x v="33"/>
  </r>
  <r>
    <x v="4"/>
  </r>
  <r>
    <x v="12"/>
  </r>
  <r>
    <x v="12"/>
  </r>
  <r>
    <x v="28"/>
  </r>
  <r>
    <x v="28"/>
  </r>
  <r>
    <x v="12"/>
  </r>
  <r>
    <x v="0"/>
  </r>
  <r>
    <x v="14"/>
  </r>
  <r>
    <x v="14"/>
  </r>
  <r>
    <x v="14"/>
  </r>
  <r>
    <x v="14"/>
  </r>
  <r>
    <x v="14"/>
  </r>
  <r>
    <x v="14"/>
  </r>
  <r>
    <x v="11"/>
  </r>
  <r>
    <x v="11"/>
  </r>
  <r>
    <x v="11"/>
  </r>
  <r>
    <x v="11"/>
  </r>
  <r>
    <x v="11"/>
  </r>
  <r>
    <x v="42"/>
  </r>
  <r>
    <x v="14"/>
  </r>
  <r>
    <x v="45"/>
  </r>
  <r>
    <x v="8"/>
  </r>
  <r>
    <x v="9"/>
  </r>
  <r>
    <x v="28"/>
  </r>
  <r>
    <x v="14"/>
  </r>
  <r>
    <x v="0"/>
  </r>
  <r>
    <x v="16"/>
  </r>
  <r>
    <x v="28"/>
  </r>
  <r>
    <x v="0"/>
  </r>
  <r>
    <x v="33"/>
  </r>
  <r>
    <x v="0"/>
  </r>
  <r>
    <x v="42"/>
  </r>
  <r>
    <x v="17"/>
  </r>
  <r>
    <x v="14"/>
  </r>
  <r>
    <x v="10"/>
  </r>
  <r>
    <x v="12"/>
  </r>
  <r>
    <x v="4"/>
  </r>
  <r>
    <x v="10"/>
  </r>
  <r>
    <x v="10"/>
  </r>
  <r>
    <x v="16"/>
  </r>
  <r>
    <x v="70"/>
  </r>
  <r>
    <x v="16"/>
  </r>
  <r>
    <x v="16"/>
  </r>
  <r>
    <x v="14"/>
  </r>
  <r>
    <x v="32"/>
  </r>
  <r>
    <x v="70"/>
  </r>
  <r>
    <x v="11"/>
  </r>
  <r>
    <x v="14"/>
  </r>
  <r>
    <x v="4"/>
  </r>
  <r>
    <x v="37"/>
  </r>
  <r>
    <x v="48"/>
  </r>
  <r>
    <x v="28"/>
  </r>
  <r>
    <x v="0"/>
  </r>
  <r>
    <x v="68"/>
  </r>
  <r>
    <x v="0"/>
  </r>
  <r>
    <x v="28"/>
  </r>
  <r>
    <x v="7"/>
  </r>
  <r>
    <x v="7"/>
  </r>
  <r>
    <x v="7"/>
  </r>
  <r>
    <x v="4"/>
  </r>
  <r>
    <x v="0"/>
  </r>
  <r>
    <x v="28"/>
  </r>
  <r>
    <x v="4"/>
  </r>
  <r>
    <x v="42"/>
  </r>
  <r>
    <x v="78"/>
  </r>
  <r>
    <x v="0"/>
  </r>
  <r>
    <x v="0"/>
  </r>
  <r>
    <x v="0"/>
  </r>
  <r>
    <x v="48"/>
  </r>
  <r>
    <x v="10"/>
  </r>
  <r>
    <x v="10"/>
  </r>
  <r>
    <x v="48"/>
  </r>
  <r>
    <x v="28"/>
  </r>
  <r>
    <x v="68"/>
  </r>
  <r>
    <x v="14"/>
  </r>
  <r>
    <x v="4"/>
  </r>
  <r>
    <x v="42"/>
  </r>
  <r>
    <x v="9"/>
  </r>
  <r>
    <x v="17"/>
  </r>
  <r>
    <x v="24"/>
  </r>
  <r>
    <x v="243"/>
  </r>
  <r>
    <x v="37"/>
  </r>
  <r>
    <x v="8"/>
  </r>
  <r>
    <x v="27"/>
  </r>
  <r>
    <x v="32"/>
  </r>
  <r>
    <x v="9"/>
  </r>
  <r>
    <x v="21"/>
  </r>
  <r>
    <x v="12"/>
  </r>
  <r>
    <x v="12"/>
  </r>
  <r>
    <x v="10"/>
  </r>
  <r>
    <x v="17"/>
  </r>
  <r>
    <x v="11"/>
  </r>
  <r>
    <x v="10"/>
  </r>
  <r>
    <x v="4"/>
  </r>
  <r>
    <x v="21"/>
  </r>
  <r>
    <x v="10"/>
  </r>
  <r>
    <x v="2"/>
  </r>
  <r>
    <x v="33"/>
  </r>
  <r>
    <x v="33"/>
  </r>
  <r>
    <x v="64"/>
  </r>
  <r>
    <x v="17"/>
  </r>
  <r>
    <x v="0"/>
  </r>
  <r>
    <x v="11"/>
  </r>
  <r>
    <x v="11"/>
  </r>
  <r>
    <x v="10"/>
  </r>
  <r>
    <x v="0"/>
  </r>
  <r>
    <x v="22"/>
  </r>
  <r>
    <x v="0"/>
  </r>
  <r>
    <x v="11"/>
  </r>
  <r>
    <x v="25"/>
  </r>
  <r>
    <x v="6"/>
  </r>
  <r>
    <x v="4"/>
  </r>
  <r>
    <x v="4"/>
  </r>
  <r>
    <x v="10"/>
  </r>
  <r>
    <x v="21"/>
  </r>
  <r>
    <x v="4"/>
  </r>
  <r>
    <x v="10"/>
  </r>
  <r>
    <x v="10"/>
  </r>
  <r>
    <x v="42"/>
  </r>
  <r>
    <x v="4"/>
  </r>
  <r>
    <x v="42"/>
  </r>
  <r>
    <x v="42"/>
  </r>
  <r>
    <x v="28"/>
  </r>
  <r>
    <x v="10"/>
  </r>
  <r>
    <x v="39"/>
  </r>
  <r>
    <x v="10"/>
  </r>
  <r>
    <x v="10"/>
  </r>
  <r>
    <x v="4"/>
  </r>
  <r>
    <x v="14"/>
  </r>
  <r>
    <x v="24"/>
  </r>
  <r>
    <x v="31"/>
  </r>
  <r>
    <x v="24"/>
  </r>
  <r>
    <x v="24"/>
  </r>
  <r>
    <x v="24"/>
  </r>
  <r>
    <x v="4"/>
  </r>
  <r>
    <x v="6"/>
  </r>
  <r>
    <x v="4"/>
  </r>
  <r>
    <x v="0"/>
  </r>
  <r>
    <x v="7"/>
  </r>
  <r>
    <x v="11"/>
  </r>
  <r>
    <x v="91"/>
  </r>
  <r>
    <x v="7"/>
  </r>
  <r>
    <x v="48"/>
  </r>
  <r>
    <x v="0"/>
  </r>
  <r>
    <x v="24"/>
  </r>
  <r>
    <x v="115"/>
  </r>
  <r>
    <x v="123"/>
  </r>
  <r>
    <x v="10"/>
  </r>
  <r>
    <x v="4"/>
  </r>
  <r>
    <x v="239"/>
  </r>
  <r>
    <x v="53"/>
  </r>
  <r>
    <x v="0"/>
  </r>
  <r>
    <x v="23"/>
  </r>
  <r>
    <x v="17"/>
  </r>
  <r>
    <x v="15"/>
  </r>
  <r>
    <x v="11"/>
  </r>
  <r>
    <x v="9"/>
  </r>
  <r>
    <x v="4"/>
  </r>
  <r>
    <x v="55"/>
  </r>
  <r>
    <x v="10"/>
  </r>
  <r>
    <x v="17"/>
  </r>
  <r>
    <x v="4"/>
  </r>
  <r>
    <x v="6"/>
  </r>
  <r>
    <x v="9"/>
  </r>
  <r>
    <x v="33"/>
  </r>
  <r>
    <x v="7"/>
  </r>
  <r>
    <x v="0"/>
  </r>
  <r>
    <x v="42"/>
  </r>
  <r>
    <x v="11"/>
  </r>
  <r>
    <x v="9"/>
  </r>
  <r>
    <x v="0"/>
  </r>
  <r>
    <x v="0"/>
  </r>
  <r>
    <x v="53"/>
  </r>
  <r>
    <x v="10"/>
  </r>
  <r>
    <x v="42"/>
  </r>
  <r>
    <x v="24"/>
  </r>
  <r>
    <x v="4"/>
  </r>
  <r>
    <x v="15"/>
  </r>
  <r>
    <x v="10"/>
  </r>
  <r>
    <x v="8"/>
  </r>
  <r>
    <x v="11"/>
  </r>
  <r>
    <x v="28"/>
  </r>
  <r>
    <x v="0"/>
  </r>
  <r>
    <x v="4"/>
  </r>
  <r>
    <x v="4"/>
  </r>
  <r>
    <x v="32"/>
  </r>
  <r>
    <x v="42"/>
  </r>
  <r>
    <x v="239"/>
  </r>
  <r>
    <x v="24"/>
  </r>
  <r>
    <x v="31"/>
  </r>
  <r>
    <x v="31"/>
  </r>
  <r>
    <x v="12"/>
  </r>
  <r>
    <x v="37"/>
  </r>
  <r>
    <x v="4"/>
  </r>
  <r>
    <x v="12"/>
  </r>
  <r>
    <x v="42"/>
  </r>
  <r>
    <x v="53"/>
  </r>
  <r>
    <x v="2"/>
  </r>
  <r>
    <x v="0"/>
  </r>
  <r>
    <x v="0"/>
  </r>
  <r>
    <x v="12"/>
  </r>
  <r>
    <x v="9"/>
  </r>
  <r>
    <x v="108"/>
  </r>
  <r>
    <x v="48"/>
  </r>
  <r>
    <x v="28"/>
  </r>
  <r>
    <x v="12"/>
  </r>
  <r>
    <x v="4"/>
  </r>
  <r>
    <x v="7"/>
  </r>
  <r>
    <x v="12"/>
  </r>
  <r>
    <x v="11"/>
  </r>
  <r>
    <x v="17"/>
  </r>
  <r>
    <x v="17"/>
  </r>
  <r>
    <x v="0"/>
  </r>
  <r>
    <x v="12"/>
  </r>
  <r>
    <x v="19"/>
  </r>
  <r>
    <x v="107"/>
  </r>
  <r>
    <x v="285"/>
  </r>
  <r>
    <x v="9"/>
  </r>
  <r>
    <x v="19"/>
  </r>
  <r>
    <x v="37"/>
  </r>
  <r>
    <x v="10"/>
  </r>
  <r>
    <x v="0"/>
  </r>
  <r>
    <x v="10"/>
  </r>
  <r>
    <x v="53"/>
  </r>
  <r>
    <x v="28"/>
  </r>
  <r>
    <x v="4"/>
  </r>
  <r>
    <x v="49"/>
  </r>
  <r>
    <x v="32"/>
  </r>
  <r>
    <x v="9"/>
  </r>
  <r>
    <x v="10"/>
  </r>
  <r>
    <x v="14"/>
  </r>
  <r>
    <x v="74"/>
  </r>
  <r>
    <x v="74"/>
  </r>
  <r>
    <x v="8"/>
  </r>
  <r>
    <x v="8"/>
  </r>
  <r>
    <x v="12"/>
  </r>
  <r>
    <x v="8"/>
  </r>
  <r>
    <x v="12"/>
  </r>
  <r>
    <x v="12"/>
  </r>
  <r>
    <x v="12"/>
  </r>
  <r>
    <x v="12"/>
  </r>
  <r>
    <x v="12"/>
  </r>
  <r>
    <x v="14"/>
  </r>
  <r>
    <x v="12"/>
  </r>
  <r>
    <x v="130"/>
  </r>
  <r>
    <x v="130"/>
  </r>
  <r>
    <x v="37"/>
  </r>
  <r>
    <x v="17"/>
  </r>
  <r>
    <x v="17"/>
  </r>
  <r>
    <x v="12"/>
  </r>
  <r>
    <x v="33"/>
  </r>
  <r>
    <x v="33"/>
  </r>
  <r>
    <x v="14"/>
  </r>
  <r>
    <x v="16"/>
  </r>
  <r>
    <x v="7"/>
  </r>
  <r>
    <x v="14"/>
  </r>
  <r>
    <x v="37"/>
  </r>
  <r>
    <x v="37"/>
  </r>
  <r>
    <x v="11"/>
  </r>
  <r>
    <x v="7"/>
  </r>
  <r>
    <x v="28"/>
  </r>
  <r>
    <x v="12"/>
  </r>
  <r>
    <x v="7"/>
  </r>
  <r>
    <x v="12"/>
  </r>
  <r>
    <x v="12"/>
  </r>
  <r>
    <x v="8"/>
  </r>
  <r>
    <x v="8"/>
  </r>
  <r>
    <x v="0"/>
  </r>
  <r>
    <x v="0"/>
  </r>
  <r>
    <x v="74"/>
  </r>
  <r>
    <x v="12"/>
  </r>
  <r>
    <x v="12"/>
  </r>
  <r>
    <x v="12"/>
  </r>
  <r>
    <x v="37"/>
  </r>
  <r>
    <x v="14"/>
  </r>
  <r>
    <x v="17"/>
  </r>
  <r>
    <x v="52"/>
  </r>
  <r>
    <x v="21"/>
  </r>
  <r>
    <x v="21"/>
  </r>
  <r>
    <x v="24"/>
  </r>
  <r>
    <x v="21"/>
  </r>
  <r>
    <x v="21"/>
  </r>
  <r>
    <x v="21"/>
  </r>
  <r>
    <x v="4"/>
  </r>
  <r>
    <x v="41"/>
  </r>
  <r>
    <x v="17"/>
  </r>
  <r>
    <x v="0"/>
  </r>
  <r>
    <x v="28"/>
  </r>
  <r>
    <x v="0"/>
  </r>
  <r>
    <x v="0"/>
  </r>
  <r>
    <x v="0"/>
  </r>
  <r>
    <x v="28"/>
  </r>
  <r>
    <x v="9"/>
  </r>
  <r>
    <x v="28"/>
  </r>
  <r>
    <x v="28"/>
  </r>
  <r>
    <x v="55"/>
  </r>
  <r>
    <x v="24"/>
  </r>
  <r>
    <x v="17"/>
  </r>
  <r>
    <x v="59"/>
  </r>
  <r>
    <x v="16"/>
  </r>
  <r>
    <x v="10"/>
  </r>
  <r>
    <x v="25"/>
  </r>
  <r>
    <x v="0"/>
  </r>
  <r>
    <x v="0"/>
  </r>
  <r>
    <x v="22"/>
  </r>
  <r>
    <x v="22"/>
  </r>
  <r>
    <x v="24"/>
  </r>
  <r>
    <x v="130"/>
  </r>
  <r>
    <x v="0"/>
  </r>
  <r>
    <x v="0"/>
  </r>
  <r>
    <x v="16"/>
  </r>
  <r>
    <x v="72"/>
  </r>
  <r>
    <x v="16"/>
  </r>
  <r>
    <x v="16"/>
  </r>
  <r>
    <x v="16"/>
  </r>
  <r>
    <x v="224"/>
  </r>
  <r>
    <x v="14"/>
  </r>
  <r>
    <x v="21"/>
  </r>
  <r>
    <x v="28"/>
  </r>
  <r>
    <x v="0"/>
  </r>
  <r>
    <x v="42"/>
  </r>
  <r>
    <x v="119"/>
  </r>
  <r>
    <x v="45"/>
  </r>
  <r>
    <x v="130"/>
  </r>
  <r>
    <x v="56"/>
  </r>
  <r>
    <x v="17"/>
  </r>
  <r>
    <x v="33"/>
  </r>
  <r>
    <x v="45"/>
  </r>
  <r>
    <x v="28"/>
  </r>
  <r>
    <x v="8"/>
  </r>
  <r>
    <x v="14"/>
  </r>
  <r>
    <x v="0"/>
  </r>
  <r>
    <x v="58"/>
  </r>
  <r>
    <x v="17"/>
  </r>
  <r>
    <x v="21"/>
  </r>
  <r>
    <x v="21"/>
  </r>
  <r>
    <x v="8"/>
  </r>
  <r>
    <x v="8"/>
  </r>
  <r>
    <x v="55"/>
  </r>
  <r>
    <x v="55"/>
  </r>
  <r>
    <x v="64"/>
  </r>
  <r>
    <x v="64"/>
  </r>
  <r>
    <x v="12"/>
  </r>
  <r>
    <x v="12"/>
  </r>
  <r>
    <x v="49"/>
  </r>
  <r>
    <x v="49"/>
  </r>
  <r>
    <x v="49"/>
  </r>
  <r>
    <x v="31"/>
  </r>
  <r>
    <x v="21"/>
  </r>
  <r>
    <x v="21"/>
  </r>
  <r>
    <x v="21"/>
  </r>
  <r>
    <x v="53"/>
  </r>
  <r>
    <x v="21"/>
  </r>
  <r>
    <x v="21"/>
  </r>
  <r>
    <x v="12"/>
  </r>
  <r>
    <x v="15"/>
  </r>
  <r>
    <x v="15"/>
  </r>
  <r>
    <x v="12"/>
  </r>
  <r>
    <x v="130"/>
  </r>
  <r>
    <x v="37"/>
  </r>
  <r>
    <x v="28"/>
  </r>
  <r>
    <x v="224"/>
  </r>
  <r>
    <x v="224"/>
  </r>
  <r>
    <x v="0"/>
  </r>
  <r>
    <x v="14"/>
  </r>
  <r>
    <x v="77"/>
  </r>
  <r>
    <x v="78"/>
  </r>
  <r>
    <x v="16"/>
  </r>
  <r>
    <x v="12"/>
  </r>
  <r>
    <x v="7"/>
  </r>
  <r>
    <x v="10"/>
  </r>
  <r>
    <x v="21"/>
  </r>
  <r>
    <x v="12"/>
  </r>
  <r>
    <x v="34"/>
  </r>
  <r>
    <x v="17"/>
  </r>
  <r>
    <x v="6"/>
  </r>
  <r>
    <x v="2"/>
  </r>
  <r>
    <x v="9"/>
  </r>
  <r>
    <x v="130"/>
  </r>
  <r>
    <x v="37"/>
  </r>
  <r>
    <x v="8"/>
  </r>
  <r>
    <x v="6"/>
  </r>
  <r>
    <x v="57"/>
  </r>
  <r>
    <x v="11"/>
  </r>
  <r>
    <x v="8"/>
  </r>
  <r>
    <x v="0"/>
  </r>
  <r>
    <x v="9"/>
  </r>
  <r>
    <x v="15"/>
  </r>
  <r>
    <x v="28"/>
  </r>
  <r>
    <x v="32"/>
  </r>
  <r>
    <x v="4"/>
  </r>
  <r>
    <x v="28"/>
  </r>
  <r>
    <x v="39"/>
  </r>
  <r>
    <x v="9"/>
  </r>
  <r>
    <x v="0"/>
  </r>
  <r>
    <x v="12"/>
  </r>
  <r>
    <x v="9"/>
  </r>
  <r>
    <x v="0"/>
  </r>
  <r>
    <x v="28"/>
  </r>
  <r>
    <x v="28"/>
  </r>
  <r>
    <x v="17"/>
  </r>
  <r>
    <x v="4"/>
  </r>
  <r>
    <x v="11"/>
  </r>
  <r>
    <x v="4"/>
  </r>
  <r>
    <x v="11"/>
  </r>
  <r>
    <x v="4"/>
  </r>
  <r>
    <x v="4"/>
  </r>
  <r>
    <x v="4"/>
  </r>
  <r>
    <x v="10"/>
  </r>
  <r>
    <x v="12"/>
  </r>
  <r>
    <x v="28"/>
  </r>
  <r>
    <x v="4"/>
  </r>
  <r>
    <x v="0"/>
  </r>
  <r>
    <x v="10"/>
  </r>
  <r>
    <x v="10"/>
  </r>
  <r>
    <x v="12"/>
  </r>
  <r>
    <x v="34"/>
  </r>
  <r>
    <x v="4"/>
  </r>
  <r>
    <x v="12"/>
  </r>
  <r>
    <x v="31"/>
  </r>
  <r>
    <x v="48"/>
  </r>
  <r>
    <x v="12"/>
  </r>
  <r>
    <x v="6"/>
  </r>
  <r>
    <x v="12"/>
  </r>
  <r>
    <x v="28"/>
  </r>
  <r>
    <x v="43"/>
  </r>
  <r>
    <x v="46"/>
  </r>
  <r>
    <x v="8"/>
  </r>
  <r>
    <x v="42"/>
  </r>
  <r>
    <x v="225"/>
  </r>
  <r>
    <x v="4"/>
  </r>
  <r>
    <x v="11"/>
  </r>
  <r>
    <x v="10"/>
  </r>
  <r>
    <x v="12"/>
  </r>
  <r>
    <x v="15"/>
  </r>
  <r>
    <x v="4"/>
  </r>
  <r>
    <x v="17"/>
  </r>
  <r>
    <x v="12"/>
  </r>
  <r>
    <x v="28"/>
  </r>
  <r>
    <x v="14"/>
  </r>
  <r>
    <x v="12"/>
  </r>
  <r>
    <x v="70"/>
  </r>
  <r>
    <x v="12"/>
  </r>
  <r>
    <x v="0"/>
  </r>
  <r>
    <x v="42"/>
  </r>
  <r>
    <x v="2"/>
  </r>
  <r>
    <x v="2"/>
  </r>
  <r>
    <x v="16"/>
  </r>
  <r>
    <x v="10"/>
  </r>
  <r>
    <x v="0"/>
  </r>
  <r>
    <x v="4"/>
  </r>
  <r>
    <x v="9"/>
  </r>
  <r>
    <x v="16"/>
  </r>
  <r>
    <x v="4"/>
  </r>
  <r>
    <x v="1"/>
  </r>
  <r>
    <x v="0"/>
  </r>
  <r>
    <x v="0"/>
  </r>
  <r>
    <x v="37"/>
  </r>
  <r>
    <x v="14"/>
  </r>
  <r>
    <x v="28"/>
  </r>
  <r>
    <x v="0"/>
  </r>
  <r>
    <x v="8"/>
  </r>
  <r>
    <x v="33"/>
  </r>
  <r>
    <x v="19"/>
  </r>
  <r>
    <x v="42"/>
  </r>
  <r>
    <x v="33"/>
  </r>
  <r>
    <x v="42"/>
  </r>
  <r>
    <x v="4"/>
  </r>
  <r>
    <x v="4"/>
  </r>
  <r>
    <x v="4"/>
  </r>
  <r>
    <x v="37"/>
  </r>
  <r>
    <x v="45"/>
  </r>
  <r>
    <x v="0"/>
  </r>
  <r>
    <x v="31"/>
  </r>
  <r>
    <x v="31"/>
  </r>
  <r>
    <x v="53"/>
  </r>
  <r>
    <x v="163"/>
  </r>
  <r>
    <x v="31"/>
  </r>
  <r>
    <x v="31"/>
  </r>
  <r>
    <x v="31"/>
  </r>
  <r>
    <x v="8"/>
  </r>
  <r>
    <x v="130"/>
  </r>
  <r>
    <x v="45"/>
  </r>
  <r>
    <x v="11"/>
  </r>
  <r>
    <x v="48"/>
  </r>
  <r>
    <x v="28"/>
  </r>
  <r>
    <x v="42"/>
  </r>
  <r>
    <x v="0"/>
  </r>
  <r>
    <x v="14"/>
  </r>
  <r>
    <x v="53"/>
  </r>
  <r>
    <x v="0"/>
  </r>
  <r>
    <x v="17"/>
  </r>
  <r>
    <x v="4"/>
  </r>
  <r>
    <x v="21"/>
  </r>
  <r>
    <x v="17"/>
  </r>
  <r>
    <x v="17"/>
  </r>
  <r>
    <x v="44"/>
  </r>
  <r>
    <x v="17"/>
  </r>
  <r>
    <x v="17"/>
  </r>
  <r>
    <x v="4"/>
  </r>
  <r>
    <x v="17"/>
  </r>
  <r>
    <x v="4"/>
  </r>
  <r>
    <x v="37"/>
  </r>
  <r>
    <x v="48"/>
  </r>
  <r>
    <x v="12"/>
  </r>
  <r>
    <x v="2"/>
  </r>
  <r>
    <x v="12"/>
  </r>
  <r>
    <x v="0"/>
  </r>
  <r>
    <x v="1"/>
  </r>
  <r>
    <x v="39"/>
  </r>
  <r>
    <x v="70"/>
  </r>
  <r>
    <x v="16"/>
  </r>
  <r>
    <x v="14"/>
  </r>
  <r>
    <x v="10"/>
  </r>
  <r>
    <x v="4"/>
  </r>
  <r>
    <x v="22"/>
  </r>
  <r>
    <x v="0"/>
  </r>
  <r>
    <x v="21"/>
  </r>
  <r>
    <x v="12"/>
  </r>
  <r>
    <x v="8"/>
  </r>
  <r>
    <x v="8"/>
  </r>
  <r>
    <x v="8"/>
  </r>
  <r>
    <x v="39"/>
  </r>
  <r>
    <x v="39"/>
  </r>
  <r>
    <x v="39"/>
  </r>
  <r>
    <x v="64"/>
  </r>
  <r>
    <x v="16"/>
  </r>
  <r>
    <x v="16"/>
  </r>
  <r>
    <x v="11"/>
  </r>
  <r>
    <x v="16"/>
  </r>
  <r>
    <x v="14"/>
  </r>
  <r>
    <x v="29"/>
  </r>
  <r>
    <x v="9"/>
  </r>
  <r>
    <x v="11"/>
  </r>
  <r>
    <x v="16"/>
  </r>
  <r>
    <x v="6"/>
  </r>
  <r>
    <x v="16"/>
  </r>
  <r>
    <x v="16"/>
  </r>
  <r>
    <x v="16"/>
  </r>
  <r>
    <x v="16"/>
  </r>
  <r>
    <x v="28"/>
  </r>
  <r>
    <x v="28"/>
  </r>
  <r>
    <x v="16"/>
  </r>
  <r>
    <x v="8"/>
  </r>
  <r>
    <x v="115"/>
  </r>
  <r>
    <x v="11"/>
  </r>
  <r>
    <x v="115"/>
  </r>
  <r>
    <x v="16"/>
  </r>
  <r>
    <x v="29"/>
  </r>
  <r>
    <x v="11"/>
  </r>
  <r>
    <x v="0"/>
  </r>
  <r>
    <x v="0"/>
  </r>
  <r>
    <x v="11"/>
  </r>
  <r>
    <x v="11"/>
  </r>
  <r>
    <x v="11"/>
  </r>
  <r>
    <x v="11"/>
  </r>
  <r>
    <x v="4"/>
  </r>
  <r>
    <x v="4"/>
  </r>
  <r>
    <x v="11"/>
  </r>
  <r>
    <x v="12"/>
  </r>
  <r>
    <x v="12"/>
  </r>
  <r>
    <x v="11"/>
  </r>
  <r>
    <x v="11"/>
  </r>
  <r>
    <x v="16"/>
  </r>
  <r>
    <x v="16"/>
  </r>
  <r>
    <x v="12"/>
  </r>
  <r>
    <x v="18"/>
  </r>
  <r>
    <x v="12"/>
  </r>
  <r>
    <x v="28"/>
  </r>
  <r>
    <x v="1"/>
  </r>
  <r>
    <x v="10"/>
  </r>
  <r>
    <x v="16"/>
  </r>
  <r>
    <x v="39"/>
  </r>
  <r>
    <x v="4"/>
  </r>
  <r>
    <x v="14"/>
  </r>
  <r>
    <x v="8"/>
  </r>
  <r>
    <x v="91"/>
  </r>
  <r>
    <x v="6"/>
  </r>
  <r>
    <x v="48"/>
  </r>
  <r>
    <x v="11"/>
  </r>
  <r>
    <x v="11"/>
  </r>
  <r>
    <x v="11"/>
  </r>
  <r>
    <x v="11"/>
  </r>
  <r>
    <x v="11"/>
  </r>
  <r>
    <x v="48"/>
  </r>
  <r>
    <x v="11"/>
  </r>
  <r>
    <x v="11"/>
  </r>
  <r>
    <x v="11"/>
  </r>
  <r>
    <x v="11"/>
  </r>
  <r>
    <x v="11"/>
  </r>
  <r>
    <x v="48"/>
  </r>
  <r>
    <x v="24"/>
  </r>
  <r>
    <x v="10"/>
  </r>
  <r>
    <x v="28"/>
  </r>
  <r>
    <x v="162"/>
  </r>
  <r>
    <x v="70"/>
  </r>
  <r>
    <x v="53"/>
  </r>
  <r>
    <x v="10"/>
  </r>
  <r>
    <x v="11"/>
  </r>
  <r>
    <x v="14"/>
  </r>
  <r>
    <x v="40"/>
  </r>
  <r>
    <x v="48"/>
  </r>
  <r>
    <x v="40"/>
  </r>
  <r>
    <x v="6"/>
  </r>
  <r>
    <x v="12"/>
  </r>
  <r>
    <x v="25"/>
  </r>
  <r>
    <x v="0"/>
  </r>
  <r>
    <x v="0"/>
  </r>
  <r>
    <x v="0"/>
  </r>
  <r>
    <x v="0"/>
  </r>
  <r>
    <x v="42"/>
  </r>
  <r>
    <x v="111"/>
  </r>
  <r>
    <x v="8"/>
  </r>
  <r>
    <x v="7"/>
  </r>
  <r>
    <x v="152"/>
  </r>
  <r>
    <x v="152"/>
  </r>
  <r>
    <x v="21"/>
  </r>
  <r>
    <x v="9"/>
  </r>
  <r>
    <x v="14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11"/>
  </r>
  <r>
    <x v="8"/>
  </r>
  <r>
    <x v="12"/>
  </r>
  <r>
    <x v="14"/>
  </r>
  <r>
    <x v="14"/>
  </r>
  <r>
    <x v="0"/>
  </r>
  <r>
    <x v="0"/>
  </r>
  <r>
    <x v="9"/>
  </r>
  <r>
    <x v="14"/>
  </r>
  <r>
    <x v="7"/>
  </r>
  <r>
    <x v="7"/>
  </r>
  <r>
    <x v="12"/>
  </r>
  <r>
    <x v="16"/>
  </r>
  <r>
    <x v="19"/>
  </r>
  <r>
    <x v="8"/>
  </r>
  <r>
    <x v="16"/>
  </r>
  <r>
    <x v="10"/>
  </r>
  <r>
    <x v="4"/>
  </r>
  <r>
    <x v="4"/>
  </r>
  <r>
    <x v="4"/>
  </r>
  <r>
    <x v="0"/>
  </r>
  <r>
    <x v="0"/>
  </r>
  <r>
    <x v="11"/>
  </r>
  <r>
    <x v="16"/>
  </r>
  <r>
    <x v="7"/>
  </r>
  <r>
    <x v="12"/>
  </r>
  <r>
    <x v="39"/>
  </r>
  <r>
    <x v="53"/>
  </r>
  <r>
    <x v="53"/>
  </r>
  <r>
    <x v="39"/>
  </r>
  <r>
    <x v="39"/>
  </r>
  <r>
    <x v="39"/>
  </r>
  <r>
    <x v="12"/>
  </r>
  <r>
    <x v="12"/>
  </r>
  <r>
    <x v="12"/>
  </r>
  <r>
    <x v="12"/>
  </r>
  <r>
    <x v="0"/>
  </r>
  <r>
    <x v="0"/>
  </r>
  <r>
    <x v="14"/>
  </r>
  <r>
    <x v="0"/>
  </r>
  <r>
    <x v="12"/>
  </r>
  <r>
    <x v="39"/>
  </r>
  <r>
    <x v="115"/>
  </r>
  <r>
    <x v="115"/>
  </r>
  <r>
    <x v="16"/>
  </r>
  <r>
    <x v="28"/>
  </r>
  <r>
    <x v="10"/>
  </r>
  <r>
    <x v="37"/>
  </r>
  <r>
    <x v="28"/>
  </r>
  <r>
    <x v="11"/>
  </r>
  <r>
    <x v="66"/>
  </r>
  <r>
    <x v="0"/>
  </r>
  <r>
    <x v="76"/>
  </r>
  <r>
    <x v="18"/>
  </r>
  <r>
    <x v="17"/>
  </r>
  <r>
    <x v="37"/>
  </r>
  <r>
    <x v="0"/>
  </r>
  <r>
    <x v="53"/>
  </r>
  <r>
    <x v="12"/>
  </r>
  <r>
    <x v="12"/>
  </r>
  <r>
    <x v="12"/>
  </r>
  <r>
    <x v="12"/>
  </r>
  <r>
    <x v="12"/>
  </r>
  <r>
    <x v="0"/>
  </r>
  <r>
    <x v="14"/>
  </r>
  <r>
    <x v="14"/>
  </r>
  <r>
    <x v="162"/>
  </r>
  <r>
    <x v="9"/>
  </r>
  <r>
    <x v="9"/>
  </r>
  <r>
    <x v="10"/>
  </r>
  <r>
    <x v="24"/>
  </r>
  <r>
    <x v="22"/>
  </r>
  <r>
    <x v="21"/>
  </r>
  <r>
    <x v="16"/>
  </r>
  <r>
    <x v="4"/>
  </r>
  <r>
    <x v="12"/>
  </r>
  <r>
    <x v="16"/>
  </r>
  <r>
    <x v="42"/>
  </r>
  <r>
    <x v="42"/>
  </r>
  <r>
    <x v="12"/>
  </r>
  <r>
    <x v="12"/>
  </r>
  <r>
    <x v="4"/>
  </r>
  <r>
    <x v="4"/>
  </r>
  <r>
    <x v="39"/>
  </r>
  <r>
    <x v="4"/>
  </r>
  <r>
    <x v="45"/>
  </r>
  <r>
    <x v="225"/>
  </r>
  <r>
    <x v="57"/>
  </r>
  <r>
    <x v="28"/>
  </r>
  <r>
    <x v="28"/>
  </r>
  <r>
    <x v="28"/>
  </r>
  <r>
    <x v="16"/>
  </r>
  <r>
    <x v="16"/>
  </r>
  <r>
    <x v="0"/>
  </r>
  <r>
    <x v="16"/>
  </r>
  <r>
    <x v="16"/>
  </r>
  <r>
    <x v="16"/>
  </r>
  <r>
    <x v="21"/>
  </r>
  <r>
    <x v="63"/>
  </r>
  <r>
    <x v="63"/>
  </r>
  <r>
    <x v="123"/>
  </r>
  <r>
    <x v="39"/>
  </r>
  <r>
    <x v="22"/>
  </r>
  <r>
    <x v="22"/>
  </r>
  <r>
    <x v="22"/>
  </r>
  <r>
    <x v="4"/>
  </r>
  <r>
    <x v="39"/>
  </r>
  <r>
    <x v="176"/>
  </r>
  <r>
    <x v="115"/>
  </r>
  <r>
    <x v="131"/>
  </r>
  <r>
    <x v="12"/>
  </r>
  <r>
    <x v="4"/>
  </r>
  <r>
    <x v="115"/>
  </r>
  <r>
    <x v="12"/>
  </r>
  <r>
    <x v="12"/>
  </r>
  <r>
    <x v="57"/>
  </r>
  <r>
    <x v="39"/>
  </r>
  <r>
    <x v="39"/>
  </r>
  <r>
    <x v="24"/>
  </r>
  <r>
    <x v="39"/>
  </r>
  <r>
    <x v="39"/>
  </r>
  <r>
    <x v="39"/>
  </r>
  <r>
    <x v="39"/>
  </r>
  <r>
    <x v="48"/>
  </r>
  <r>
    <x v="115"/>
  </r>
  <r>
    <x v="36"/>
  </r>
  <r>
    <x v="39"/>
  </r>
  <r>
    <x v="12"/>
  </r>
  <r>
    <x v="12"/>
  </r>
  <r>
    <x v="71"/>
  </r>
  <r>
    <x v="136"/>
  </r>
  <r>
    <x v="24"/>
  </r>
  <r>
    <x v="24"/>
  </r>
  <r>
    <x v="54"/>
  </r>
  <r>
    <x v="54"/>
  </r>
  <r>
    <x v="54"/>
  </r>
  <r>
    <x v="0"/>
  </r>
  <r>
    <x v="14"/>
  </r>
  <r>
    <x v="14"/>
  </r>
  <r>
    <x v="14"/>
  </r>
  <r>
    <x v="14"/>
  </r>
  <r>
    <x v="14"/>
  </r>
  <r>
    <x v="14"/>
  </r>
  <r>
    <x v="14"/>
  </r>
  <r>
    <x v="4"/>
  </r>
  <r>
    <x v="115"/>
  </r>
  <r>
    <x v="11"/>
  </r>
  <r>
    <x v="14"/>
  </r>
  <r>
    <x v="12"/>
  </r>
  <r>
    <x v="14"/>
  </r>
  <r>
    <x v="14"/>
  </r>
  <r>
    <x v="14"/>
  </r>
  <r>
    <x v="39"/>
  </r>
  <r>
    <x v="39"/>
  </r>
  <r>
    <x v="14"/>
  </r>
  <r>
    <x v="14"/>
  </r>
  <r>
    <x v="14"/>
  </r>
  <r>
    <x v="14"/>
  </r>
  <r>
    <x v="20"/>
  </r>
  <r>
    <x v="20"/>
  </r>
  <r>
    <x v="28"/>
  </r>
  <r>
    <x v="76"/>
  </r>
  <r>
    <x v="11"/>
  </r>
  <r>
    <x v="11"/>
  </r>
  <r>
    <x v="11"/>
  </r>
  <r>
    <x v="14"/>
  </r>
  <r>
    <x v="11"/>
  </r>
  <r>
    <x v="11"/>
  </r>
  <r>
    <x v="6"/>
  </r>
  <r>
    <x v="11"/>
  </r>
  <r>
    <x v="11"/>
  </r>
  <r>
    <x v="108"/>
  </r>
  <r>
    <x v="12"/>
  </r>
  <r>
    <x v="71"/>
  </r>
  <r>
    <x v="71"/>
  </r>
  <r>
    <x v="91"/>
  </r>
  <r>
    <x v="91"/>
  </r>
  <r>
    <x v="14"/>
  </r>
  <r>
    <x v="48"/>
  </r>
  <r>
    <x v="14"/>
  </r>
  <r>
    <x v="14"/>
  </r>
  <r>
    <x v="14"/>
  </r>
  <r>
    <x v="9"/>
  </r>
  <r>
    <x v="53"/>
  </r>
  <r>
    <x v="53"/>
  </r>
  <r>
    <x v="53"/>
  </r>
  <r>
    <x v="10"/>
  </r>
  <r>
    <x v="10"/>
  </r>
  <r>
    <x v="28"/>
  </r>
  <r>
    <x v="16"/>
  </r>
  <r>
    <x v="53"/>
  </r>
  <r>
    <x v="27"/>
  </r>
  <r>
    <x v="32"/>
  </r>
  <r>
    <x v="269"/>
  </r>
  <r>
    <x v="12"/>
  </r>
  <r>
    <x v="12"/>
  </r>
  <r>
    <x v="115"/>
  </r>
  <r>
    <x v="53"/>
  </r>
  <r>
    <x v="14"/>
  </r>
  <r>
    <x v="21"/>
  </r>
  <r>
    <x v="64"/>
  </r>
  <r>
    <x v="64"/>
  </r>
  <r>
    <x v="123"/>
  </r>
  <r>
    <x v="123"/>
  </r>
  <r>
    <x v="123"/>
  </r>
  <r>
    <x v="123"/>
  </r>
  <r>
    <x v="123"/>
  </r>
  <r>
    <x v="123"/>
  </r>
  <r>
    <x v="0"/>
  </r>
  <r>
    <x v="8"/>
  </r>
  <r>
    <x v="14"/>
  </r>
  <r>
    <x v="12"/>
  </r>
  <r>
    <x v="12"/>
  </r>
  <r>
    <x v="45"/>
  </r>
  <r>
    <x v="12"/>
  </r>
  <r>
    <x v="12"/>
  </r>
  <r>
    <x v="1"/>
  </r>
  <r>
    <x v="0"/>
  </r>
  <r>
    <x v="45"/>
  </r>
  <r>
    <x v="179"/>
  </r>
  <r>
    <x v="55"/>
  </r>
  <r>
    <x v="2"/>
  </r>
  <r>
    <x v="42"/>
  </r>
  <r>
    <x v="55"/>
  </r>
  <r>
    <x v="8"/>
  </r>
  <r>
    <x v="57"/>
  </r>
  <r>
    <x v="37"/>
  </r>
  <r>
    <x v="42"/>
  </r>
  <r>
    <x v="45"/>
  </r>
  <r>
    <x v="86"/>
  </r>
  <r>
    <x v="86"/>
  </r>
  <r>
    <x v="154"/>
  </r>
  <r>
    <x v="28"/>
  </r>
  <r>
    <x v="42"/>
  </r>
  <r>
    <x v="52"/>
  </r>
  <r>
    <x v="4"/>
  </r>
  <r>
    <x v="16"/>
  </r>
  <r>
    <x v="34"/>
  </r>
  <r>
    <x v="34"/>
  </r>
  <r>
    <x v="88"/>
  </r>
  <r>
    <x v="57"/>
  </r>
  <r>
    <x v="9"/>
  </r>
  <r>
    <x v="12"/>
  </r>
  <r>
    <x v="17"/>
  </r>
  <r>
    <x v="45"/>
  </r>
  <r>
    <x v="12"/>
  </r>
  <r>
    <x v="12"/>
  </r>
  <r>
    <x v="31"/>
  </r>
  <r>
    <x v="37"/>
  </r>
  <r>
    <x v="12"/>
  </r>
  <r>
    <x v="57"/>
  </r>
  <r>
    <x v="173"/>
  </r>
  <r>
    <x v="12"/>
  </r>
  <r>
    <x v="111"/>
  </r>
  <r>
    <x v="0"/>
  </r>
  <r>
    <x v="4"/>
  </r>
  <r>
    <x v="28"/>
  </r>
  <r>
    <x v="28"/>
  </r>
  <r>
    <x v="48"/>
  </r>
  <r>
    <x v="273"/>
  </r>
  <r>
    <x v="76"/>
  </r>
  <r>
    <x v="115"/>
  </r>
  <r>
    <x v="115"/>
  </r>
  <r>
    <x v="70"/>
  </r>
  <r>
    <x v="2"/>
  </r>
  <r>
    <x v="45"/>
  </r>
  <r>
    <x v="15"/>
  </r>
  <r>
    <x v="138"/>
  </r>
  <r>
    <x v="52"/>
  </r>
  <r>
    <x v="52"/>
  </r>
  <r>
    <x v="12"/>
  </r>
  <r>
    <x v="115"/>
  </r>
  <r>
    <x v="14"/>
  </r>
  <r>
    <x v="411"/>
  </r>
  <r>
    <x v="115"/>
  </r>
  <r>
    <x v="37"/>
  </r>
  <r>
    <x v="53"/>
  </r>
  <r>
    <x v="2"/>
  </r>
  <r>
    <x v="0"/>
  </r>
  <r>
    <x v="21"/>
  </r>
  <r>
    <x v="12"/>
  </r>
  <r>
    <x v="31"/>
  </r>
  <r>
    <x v="14"/>
  </r>
  <r>
    <x v="1"/>
  </r>
  <r>
    <x v="21"/>
  </r>
  <r>
    <x v="8"/>
  </r>
  <r>
    <x v="42"/>
  </r>
  <r>
    <x v="12"/>
  </r>
  <r>
    <x v="2"/>
  </r>
  <r>
    <x v="25"/>
  </r>
  <r>
    <x v="25"/>
  </r>
  <r>
    <x v="25"/>
  </r>
  <r>
    <x v="25"/>
  </r>
  <r>
    <x v="25"/>
  </r>
  <r>
    <x v="14"/>
  </r>
  <r>
    <x v="71"/>
  </r>
  <r>
    <x v="6"/>
  </r>
  <r>
    <x v="112"/>
  </r>
  <r>
    <x v="76"/>
  </r>
  <r>
    <x v="10"/>
  </r>
  <r>
    <x v="9"/>
  </r>
  <r>
    <x v="141"/>
  </r>
  <r>
    <x v="141"/>
  </r>
  <r>
    <x v="141"/>
  </r>
  <r>
    <x v="142"/>
  </r>
  <r>
    <x v="14"/>
  </r>
  <r>
    <x v="12"/>
  </r>
  <r>
    <x v="4"/>
  </r>
  <r>
    <x v="48"/>
  </r>
  <r>
    <x v="123"/>
  </r>
  <r>
    <x v="1"/>
  </r>
  <r>
    <x v="1"/>
  </r>
  <r>
    <x v="45"/>
  </r>
  <r>
    <x v="21"/>
  </r>
  <r>
    <x v="14"/>
  </r>
  <r>
    <x v="4"/>
  </r>
  <r>
    <x v="31"/>
  </r>
  <r>
    <x v="11"/>
  </r>
  <r>
    <x v="11"/>
  </r>
  <r>
    <x v="12"/>
  </r>
  <r>
    <x v="11"/>
  </r>
  <r>
    <x v="11"/>
  </r>
  <r>
    <x v="12"/>
  </r>
  <r>
    <x v="11"/>
  </r>
  <r>
    <x v="249"/>
  </r>
  <r>
    <x v="249"/>
  </r>
  <r>
    <x v="249"/>
  </r>
  <r>
    <x v="249"/>
  </r>
  <r>
    <x v="249"/>
  </r>
  <r>
    <x v="249"/>
  </r>
  <r>
    <x v="141"/>
  </r>
  <r>
    <x v="141"/>
  </r>
  <r>
    <x v="141"/>
  </r>
  <r>
    <x v="141"/>
  </r>
  <r>
    <x v="249"/>
  </r>
  <r>
    <x v="249"/>
  </r>
  <r>
    <x v="249"/>
  </r>
  <r>
    <x v="249"/>
  </r>
  <r>
    <x v="249"/>
  </r>
  <r>
    <x v="249"/>
  </r>
  <r>
    <x v="12"/>
  </r>
  <r>
    <x v="14"/>
  </r>
  <r>
    <x v="16"/>
  </r>
  <r>
    <x v="137"/>
  </r>
  <r>
    <x v="115"/>
  </r>
  <r>
    <x v="115"/>
  </r>
  <r>
    <x v="4"/>
  </r>
  <r>
    <x v="42"/>
  </r>
  <r>
    <x v="42"/>
  </r>
  <r>
    <x v="84"/>
  </r>
  <r>
    <x v="14"/>
  </r>
  <r>
    <x v="12"/>
  </r>
  <r>
    <x v="1"/>
  </r>
  <r>
    <x v="12"/>
  </r>
  <r>
    <x v="12"/>
  </r>
  <r>
    <x v="0"/>
  </r>
  <r>
    <x v="25"/>
  </r>
  <r>
    <x v="29"/>
  </r>
  <r>
    <x v="57"/>
  </r>
  <r>
    <x v="115"/>
  </r>
  <r>
    <x v="22"/>
  </r>
  <r>
    <x v="77"/>
  </r>
  <r>
    <x v="12"/>
  </r>
  <r>
    <x v="12"/>
  </r>
  <r>
    <x v="1"/>
  </r>
  <r>
    <x v="28"/>
  </r>
  <r>
    <x v="9"/>
  </r>
  <r>
    <x v="115"/>
  </r>
  <r>
    <x v="4"/>
  </r>
  <r>
    <x v="12"/>
  </r>
  <r>
    <x v="12"/>
  </r>
  <r>
    <x v="12"/>
  </r>
  <r>
    <x v="12"/>
  </r>
  <r>
    <x v="42"/>
  </r>
  <r>
    <x v="4"/>
  </r>
  <r>
    <x v="8"/>
  </r>
  <r>
    <x v="45"/>
  </r>
  <r>
    <x v="7"/>
  </r>
  <r>
    <x v="76"/>
  </r>
  <r>
    <x v="155"/>
  </r>
  <r>
    <x v="42"/>
  </r>
  <r>
    <x v="78"/>
  </r>
  <r>
    <x v="42"/>
  </r>
  <r>
    <x v="12"/>
  </r>
  <r>
    <x v="0"/>
  </r>
  <r>
    <x v="57"/>
  </r>
  <r>
    <x v="57"/>
  </r>
  <r>
    <x v="37"/>
  </r>
  <r>
    <x v="130"/>
  </r>
  <r>
    <x v="42"/>
  </r>
  <r>
    <x v="42"/>
  </r>
  <r>
    <x v="0"/>
  </r>
  <r>
    <x v="0"/>
  </r>
  <r>
    <x v="57"/>
  </r>
  <r>
    <x v="21"/>
  </r>
  <r>
    <x v="4"/>
  </r>
  <r>
    <x v="115"/>
  </r>
  <r>
    <x v="115"/>
  </r>
  <r>
    <x v="138"/>
  </r>
  <r>
    <x v="135"/>
  </r>
  <r>
    <x v="46"/>
  </r>
  <r>
    <x v="57"/>
  </r>
  <r>
    <x v="57"/>
  </r>
  <r>
    <x v="141"/>
  </r>
  <r>
    <x v="12"/>
  </r>
  <r>
    <x v="39"/>
  </r>
  <r>
    <x v="9"/>
  </r>
  <r>
    <x v="141"/>
  </r>
  <r>
    <x v="115"/>
  </r>
  <r>
    <x v="9"/>
  </r>
  <r>
    <x v="9"/>
  </r>
  <r>
    <x v="9"/>
  </r>
  <r>
    <x v="9"/>
  </r>
  <r>
    <x v="10"/>
  </r>
  <r>
    <x v="9"/>
  </r>
  <r>
    <x v="76"/>
  </r>
  <r>
    <x v="25"/>
  </r>
  <r>
    <x v="21"/>
  </r>
  <r>
    <x v="4"/>
  </r>
  <r>
    <x v="143"/>
  </r>
  <r>
    <x v="87"/>
  </r>
  <r>
    <x v="42"/>
  </r>
  <r>
    <x v="42"/>
  </r>
  <r>
    <x v="4"/>
  </r>
  <r>
    <x v="64"/>
  </r>
  <r>
    <x v="12"/>
  </r>
  <r>
    <x v="21"/>
  </r>
  <r>
    <x v="42"/>
  </r>
  <r>
    <x v="7"/>
  </r>
  <r>
    <x v="10"/>
  </r>
  <r>
    <x v="16"/>
  </r>
  <r>
    <x v="9"/>
  </r>
  <r>
    <x v="31"/>
  </r>
  <r>
    <x v="87"/>
  </r>
  <r>
    <x v="0"/>
  </r>
  <r>
    <x v="36"/>
  </r>
  <r>
    <x v="0"/>
  </r>
  <r>
    <x v="115"/>
  </r>
  <r>
    <x v="9"/>
  </r>
  <r>
    <x v="9"/>
  </r>
  <r>
    <x v="9"/>
  </r>
  <r>
    <x v="0"/>
  </r>
  <r>
    <x v="14"/>
  </r>
  <r>
    <x v="39"/>
  </r>
  <r>
    <x v="56"/>
  </r>
  <r>
    <x v="0"/>
  </r>
  <r>
    <x v="11"/>
  </r>
  <r>
    <x v="163"/>
  </r>
  <r>
    <x v="24"/>
  </r>
  <r>
    <x v="16"/>
  </r>
  <r>
    <x v="16"/>
  </r>
  <r>
    <x v="4"/>
  </r>
  <r>
    <x v="33"/>
  </r>
  <r>
    <x v="4"/>
  </r>
  <r>
    <x v="64"/>
  </r>
  <r>
    <x v="130"/>
  </r>
  <r>
    <x v="76"/>
  </r>
  <r>
    <x v="16"/>
  </r>
  <r>
    <x v="4"/>
  </r>
  <r>
    <x v="10"/>
  </r>
  <r>
    <x v="9"/>
  </r>
  <r>
    <x v="115"/>
  </r>
  <r>
    <x v="21"/>
  </r>
  <r>
    <x v="115"/>
  </r>
  <r>
    <x v="88"/>
  </r>
  <r>
    <x v="12"/>
  </r>
  <r>
    <x v="9"/>
  </r>
  <r>
    <x v="10"/>
  </r>
  <r>
    <x v="12"/>
  </r>
  <r>
    <x v="22"/>
  </r>
  <r>
    <x v="17"/>
  </r>
  <r>
    <x v="12"/>
  </r>
  <r>
    <x v="12"/>
  </r>
  <r>
    <x v="9"/>
  </r>
  <r>
    <x v="9"/>
  </r>
  <r>
    <x v="4"/>
  </r>
  <r>
    <x v="4"/>
  </r>
  <r>
    <x v="45"/>
  </r>
  <r>
    <x v="10"/>
  </r>
  <r>
    <x v="4"/>
  </r>
  <r>
    <x v="11"/>
  </r>
  <r>
    <x v="17"/>
  </r>
  <r>
    <x v="9"/>
  </r>
  <r>
    <x v="9"/>
  </r>
  <r>
    <x v="17"/>
  </r>
  <r>
    <x v="17"/>
  </r>
  <r>
    <x v="9"/>
  </r>
  <r>
    <x v="9"/>
  </r>
  <r>
    <x v="12"/>
  </r>
  <r>
    <x v="2"/>
  </r>
  <r>
    <x v="11"/>
  </r>
  <r>
    <x v="2"/>
  </r>
  <r>
    <x v="45"/>
  </r>
  <r>
    <x v="45"/>
  </r>
  <r>
    <x v="11"/>
  </r>
  <r>
    <x v="12"/>
  </r>
  <r>
    <x v="163"/>
  </r>
  <r>
    <x v="16"/>
  </r>
  <r>
    <x v="12"/>
  </r>
  <r>
    <x v="10"/>
  </r>
  <r>
    <x v="16"/>
  </r>
  <r>
    <x v="39"/>
  </r>
  <r>
    <x v="17"/>
  </r>
  <r>
    <x v="16"/>
  </r>
  <r>
    <x v="4"/>
  </r>
  <r>
    <x v="4"/>
  </r>
  <r>
    <x v="4"/>
  </r>
  <r>
    <x v="1"/>
  </r>
  <r>
    <x v="4"/>
  </r>
  <r>
    <x v="4"/>
  </r>
  <r>
    <x v="4"/>
  </r>
  <r>
    <x v="4"/>
  </r>
  <r>
    <x v="11"/>
  </r>
  <r>
    <x v="14"/>
  </r>
  <r>
    <x v="4"/>
  </r>
  <r>
    <x v="144"/>
  </r>
  <r>
    <x v="4"/>
  </r>
  <r>
    <x v="7"/>
  </r>
  <r>
    <x v="9"/>
  </r>
  <r>
    <x v="14"/>
  </r>
  <r>
    <x v="19"/>
  </r>
  <r>
    <x v="14"/>
  </r>
  <r>
    <x v="24"/>
  </r>
  <r>
    <x v="115"/>
  </r>
  <r>
    <x v="115"/>
  </r>
  <r>
    <x v="11"/>
  </r>
  <r>
    <x v="52"/>
  </r>
  <r>
    <x v="14"/>
  </r>
  <r>
    <x v="6"/>
  </r>
  <r>
    <x v="114"/>
  </r>
  <r>
    <x v="16"/>
  </r>
  <r>
    <x v="28"/>
  </r>
  <r>
    <x v="70"/>
  </r>
  <r>
    <x v="15"/>
  </r>
  <r>
    <x v="7"/>
  </r>
  <r>
    <x v="12"/>
  </r>
  <r>
    <x v="4"/>
  </r>
  <r>
    <x v="9"/>
  </r>
  <r>
    <x v="23"/>
  </r>
  <r>
    <x v="115"/>
  </r>
  <r>
    <x v="115"/>
  </r>
  <r>
    <x v="4"/>
  </r>
  <r>
    <x v="4"/>
  </r>
  <r>
    <x v="9"/>
  </r>
  <r>
    <x v="21"/>
  </r>
  <r>
    <x v="14"/>
  </r>
  <r>
    <x v="4"/>
  </r>
  <r>
    <x v="4"/>
  </r>
  <r>
    <x v="10"/>
  </r>
  <r>
    <x v="9"/>
  </r>
  <r>
    <x v="8"/>
  </r>
  <r>
    <x v="0"/>
  </r>
  <r>
    <x v="27"/>
  </r>
  <r>
    <x v="12"/>
  </r>
  <r>
    <x v="4"/>
  </r>
  <r>
    <x v="11"/>
  </r>
  <r>
    <x v="21"/>
  </r>
  <r>
    <x v="7"/>
  </r>
  <r>
    <x v="14"/>
  </r>
  <r>
    <x v="0"/>
  </r>
  <r>
    <x v="2"/>
  </r>
  <r>
    <x v="39"/>
  </r>
  <r>
    <x v="10"/>
  </r>
  <r>
    <x v="0"/>
  </r>
  <r>
    <x v="69"/>
  </r>
  <r>
    <x v="4"/>
  </r>
  <r>
    <x v="4"/>
  </r>
  <r>
    <x v="10"/>
  </r>
  <r>
    <x v="14"/>
  </r>
  <r>
    <x v="12"/>
  </r>
  <r>
    <x v="4"/>
  </r>
  <r>
    <x v="4"/>
  </r>
  <r>
    <x v="4"/>
  </r>
  <r>
    <x v="14"/>
  </r>
  <r>
    <x v="0"/>
  </r>
  <r>
    <x v="42"/>
  </r>
  <r>
    <x v="8"/>
  </r>
  <r>
    <x v="8"/>
  </r>
  <r>
    <x v="163"/>
  </r>
  <r>
    <x v="4"/>
  </r>
  <r>
    <x v="12"/>
  </r>
  <r>
    <x v="11"/>
  </r>
  <r>
    <x v="0"/>
  </r>
  <r>
    <x v="12"/>
  </r>
  <r>
    <x v="4"/>
  </r>
  <r>
    <x v="12"/>
  </r>
  <r>
    <x v="45"/>
  </r>
  <r>
    <x v="28"/>
  </r>
  <r>
    <x v="28"/>
  </r>
  <r>
    <x v="10"/>
  </r>
  <r>
    <x v="12"/>
  </r>
  <r>
    <x v="9"/>
  </r>
  <r>
    <x v="263"/>
  </r>
  <r>
    <x v="24"/>
  </r>
  <r>
    <x v="0"/>
  </r>
  <r>
    <x v="12"/>
  </r>
  <r>
    <x v="12"/>
  </r>
  <r>
    <x v="22"/>
  </r>
  <r>
    <x v="22"/>
  </r>
  <r>
    <x v="4"/>
  </r>
  <r>
    <x v="11"/>
  </r>
  <r>
    <x v="24"/>
  </r>
  <r>
    <x v="22"/>
  </r>
  <r>
    <x v="0"/>
  </r>
  <r>
    <x v="10"/>
  </r>
  <r>
    <x v="10"/>
  </r>
  <r>
    <x v="10"/>
  </r>
  <r>
    <x v="0"/>
  </r>
  <r>
    <x v="39"/>
  </r>
  <r>
    <x v="4"/>
  </r>
  <r>
    <x v="24"/>
  </r>
  <r>
    <x v="0"/>
  </r>
  <r>
    <x v="4"/>
  </r>
  <r>
    <x v="10"/>
  </r>
  <r>
    <x v="24"/>
  </r>
  <r>
    <x v="6"/>
  </r>
  <r>
    <x v="9"/>
  </r>
  <r>
    <x v="10"/>
  </r>
  <r>
    <x v="24"/>
  </r>
  <r>
    <x v="12"/>
  </r>
  <r>
    <x v="55"/>
  </r>
  <r>
    <x v="24"/>
  </r>
  <r>
    <x v="86"/>
  </r>
  <r>
    <x v="10"/>
  </r>
  <r>
    <x v="12"/>
  </r>
  <r>
    <x v="11"/>
  </r>
  <r>
    <x v="11"/>
  </r>
  <r>
    <x v="11"/>
  </r>
  <r>
    <x v="11"/>
  </r>
  <r>
    <x v="12"/>
  </r>
  <r>
    <x v="12"/>
  </r>
  <r>
    <x v="12"/>
  </r>
  <r>
    <x v="12"/>
  </r>
  <r>
    <x v="10"/>
  </r>
  <r>
    <x v="0"/>
  </r>
  <r>
    <x v="4"/>
  </r>
  <r>
    <x v="42"/>
  </r>
  <r>
    <x v="0"/>
  </r>
  <r>
    <x v="22"/>
  </r>
  <r>
    <x v="22"/>
  </r>
  <r>
    <x v="51"/>
  </r>
  <r>
    <x v="130"/>
  </r>
  <r>
    <x v="22"/>
  </r>
  <r>
    <x v="22"/>
  </r>
  <r>
    <x v="4"/>
  </r>
  <r>
    <x v="22"/>
  </r>
  <r>
    <x v="12"/>
  </r>
  <r>
    <x v="22"/>
  </r>
  <r>
    <x v="22"/>
  </r>
  <r>
    <x v="2"/>
  </r>
  <r>
    <x v="55"/>
  </r>
  <r>
    <x v="23"/>
  </r>
  <r>
    <x v="59"/>
  </r>
  <r>
    <x v="10"/>
  </r>
  <r>
    <x v="33"/>
  </r>
  <r>
    <x v="33"/>
  </r>
  <r>
    <x v="14"/>
  </r>
  <r>
    <x v="20"/>
  </r>
  <r>
    <x v="9"/>
  </r>
  <r>
    <x v="12"/>
  </r>
  <r>
    <x v="4"/>
  </r>
  <r>
    <x v="34"/>
  </r>
  <r>
    <x v="28"/>
  </r>
  <r>
    <x v="28"/>
  </r>
  <r>
    <x v="12"/>
  </r>
  <r>
    <x v="10"/>
  </r>
  <r>
    <x v="4"/>
  </r>
  <r>
    <x v="0"/>
  </r>
  <r>
    <x v="4"/>
  </r>
  <r>
    <x v="4"/>
  </r>
  <r>
    <x v="4"/>
  </r>
  <r>
    <x v="4"/>
  </r>
  <r>
    <x v="12"/>
  </r>
  <r>
    <x v="4"/>
  </r>
  <r>
    <x v="28"/>
  </r>
  <r>
    <x v="14"/>
  </r>
  <r>
    <x v="24"/>
  </r>
  <r>
    <x v="24"/>
  </r>
  <r>
    <x v="0"/>
  </r>
  <r>
    <x v="4"/>
  </r>
  <r>
    <x v="4"/>
  </r>
  <r>
    <x v="1"/>
  </r>
  <r>
    <x v="8"/>
  </r>
  <r>
    <x v="28"/>
  </r>
  <r>
    <x v="123"/>
  </r>
  <r>
    <x v="4"/>
  </r>
  <r>
    <x v="12"/>
  </r>
  <r>
    <x v="12"/>
  </r>
  <r>
    <x v="21"/>
  </r>
  <r>
    <x v="4"/>
  </r>
  <r>
    <x v="4"/>
  </r>
  <r>
    <x v="14"/>
  </r>
  <r>
    <x v="4"/>
  </r>
  <r>
    <x v="14"/>
  </r>
  <r>
    <x v="12"/>
  </r>
  <r>
    <x v="12"/>
  </r>
  <r>
    <x v="12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83"/>
  </r>
  <r>
    <x v="83"/>
  </r>
  <r>
    <x v="14"/>
  </r>
  <r>
    <x v="33"/>
  </r>
  <r>
    <x v="33"/>
  </r>
  <r>
    <x v="0"/>
  </r>
  <r>
    <x v="0"/>
  </r>
  <r>
    <x v="0"/>
  </r>
  <r>
    <x v="0"/>
  </r>
  <r>
    <x v="37"/>
  </r>
  <r>
    <x v="37"/>
  </r>
  <r>
    <x v="40"/>
  </r>
  <r>
    <x v="12"/>
  </r>
  <r>
    <x v="12"/>
  </r>
  <r>
    <x v="37"/>
  </r>
  <r>
    <x v="26"/>
  </r>
  <r>
    <x v="59"/>
  </r>
  <r>
    <x v="10"/>
  </r>
  <r>
    <x v="14"/>
  </r>
  <r>
    <x v="2"/>
  </r>
  <r>
    <x v="26"/>
  </r>
  <r>
    <x v="40"/>
  </r>
  <r>
    <x v="45"/>
  </r>
  <r>
    <x v="10"/>
  </r>
  <r>
    <x v="26"/>
  </r>
  <r>
    <x v="2"/>
  </r>
  <r>
    <x v="30"/>
  </r>
  <r>
    <x v="26"/>
  </r>
  <r>
    <x v="115"/>
  </r>
  <r>
    <x v="10"/>
  </r>
  <r>
    <x v="14"/>
  </r>
  <r>
    <x v="14"/>
  </r>
  <r>
    <x v="4"/>
  </r>
  <r>
    <x v="17"/>
  </r>
  <r>
    <x v="37"/>
  </r>
  <r>
    <x v="21"/>
  </r>
  <r>
    <x v="21"/>
  </r>
  <r>
    <x v="26"/>
  </r>
  <r>
    <x v="0"/>
  </r>
  <r>
    <x v="0"/>
  </r>
  <r>
    <x v="0"/>
  </r>
  <r>
    <x v="0"/>
  </r>
  <r>
    <x v="0"/>
  </r>
  <r>
    <x v="28"/>
  </r>
  <r>
    <x v="0"/>
  </r>
  <r>
    <x v="10"/>
  </r>
  <r>
    <x v="14"/>
  </r>
  <r>
    <x v="6"/>
  </r>
  <r>
    <x v="25"/>
  </r>
  <r>
    <x v="119"/>
  </r>
  <r>
    <x v="2"/>
  </r>
  <r>
    <x v="0"/>
  </r>
  <r>
    <x v="14"/>
  </r>
  <r>
    <x v="7"/>
  </r>
  <r>
    <x v="22"/>
  </r>
  <r>
    <x v="31"/>
  </r>
  <r>
    <x v="37"/>
  </r>
  <r>
    <x v="6"/>
  </r>
  <r>
    <x v="40"/>
  </r>
  <r>
    <x v="14"/>
  </r>
  <r>
    <x v="12"/>
  </r>
  <r>
    <x v="10"/>
  </r>
  <r>
    <x v="19"/>
  </r>
  <r>
    <x v="48"/>
  </r>
  <r>
    <x v="48"/>
  </r>
  <r>
    <x v="7"/>
  </r>
  <r>
    <x v="4"/>
  </r>
  <r>
    <x v="28"/>
  </r>
  <r>
    <x v="37"/>
  </r>
  <r>
    <x v="11"/>
  </r>
  <r>
    <x v="16"/>
  </r>
  <r>
    <x v="10"/>
  </r>
  <r>
    <x v="0"/>
  </r>
  <r>
    <x v="10"/>
  </r>
  <r>
    <x v="14"/>
  </r>
  <r>
    <x v="11"/>
  </r>
  <r>
    <x v="55"/>
  </r>
  <r>
    <x v="53"/>
  </r>
  <r>
    <x v="11"/>
  </r>
  <r>
    <x v="32"/>
  </r>
  <r>
    <x v="2"/>
  </r>
  <r>
    <x v="24"/>
  </r>
  <r>
    <x v="14"/>
  </r>
  <r>
    <x v="19"/>
  </r>
  <r>
    <x v="115"/>
  </r>
  <r>
    <x v="48"/>
  </r>
  <r>
    <x v="2"/>
  </r>
  <r>
    <x v="48"/>
  </r>
  <r>
    <x v="10"/>
  </r>
  <r>
    <x v="28"/>
  </r>
  <r>
    <x v="12"/>
  </r>
  <r>
    <x v="4"/>
  </r>
  <r>
    <x v="4"/>
  </r>
  <r>
    <x v="16"/>
  </r>
  <r>
    <x v="16"/>
  </r>
  <r>
    <x v="14"/>
  </r>
  <r>
    <x v="16"/>
  </r>
  <r>
    <x v="17"/>
  </r>
  <r>
    <x v="17"/>
  </r>
  <r>
    <x v="17"/>
  </r>
  <r>
    <x v="87"/>
  </r>
  <r>
    <x v="48"/>
  </r>
  <r>
    <x v="42"/>
  </r>
  <r>
    <x v="47"/>
  </r>
  <r>
    <x v="14"/>
  </r>
  <r>
    <x v="55"/>
  </r>
  <r>
    <x v="1"/>
  </r>
  <r>
    <x v="42"/>
  </r>
  <r>
    <x v="14"/>
  </r>
  <r>
    <x v="12"/>
  </r>
  <r>
    <x v="49"/>
  </r>
  <r>
    <x v="47"/>
  </r>
  <r>
    <x v="47"/>
  </r>
  <r>
    <x v="7"/>
  </r>
  <r>
    <x v="47"/>
  </r>
  <r>
    <x v="62"/>
  </r>
  <r>
    <x v="28"/>
  </r>
  <r>
    <x v="14"/>
  </r>
  <r>
    <x v="7"/>
  </r>
  <r>
    <x v="42"/>
  </r>
  <r>
    <x v="40"/>
  </r>
  <r>
    <x v="45"/>
  </r>
  <r>
    <x v="14"/>
  </r>
  <r>
    <x v="14"/>
  </r>
  <r>
    <x v="40"/>
  </r>
  <r>
    <x v="9"/>
  </r>
  <r>
    <x v="42"/>
  </r>
  <r>
    <x v="28"/>
  </r>
  <r>
    <x v="14"/>
  </r>
  <r>
    <x v="12"/>
  </r>
  <r>
    <x v="21"/>
  </r>
  <r>
    <x v="0"/>
  </r>
  <r>
    <x v="17"/>
  </r>
  <r>
    <x v="14"/>
  </r>
  <r>
    <x v="28"/>
  </r>
  <r>
    <x v="131"/>
  </r>
  <r>
    <x v="22"/>
  </r>
  <r>
    <x v="131"/>
  </r>
  <r>
    <x v="131"/>
  </r>
  <r>
    <x v="102"/>
  </r>
  <r>
    <x v="0"/>
  </r>
  <r>
    <x v="31"/>
  </r>
  <r>
    <x v="10"/>
  </r>
  <r>
    <x v="14"/>
  </r>
  <r>
    <x v="14"/>
  </r>
  <r>
    <x v="115"/>
  </r>
  <r>
    <x v="6"/>
  </r>
  <r>
    <x v="0"/>
  </r>
  <r>
    <x v="8"/>
  </r>
  <r>
    <x v="14"/>
  </r>
  <r>
    <x v="128"/>
  </r>
  <r>
    <x v="174"/>
  </r>
  <r>
    <x v="0"/>
  </r>
  <r>
    <x v="26"/>
  </r>
  <r>
    <x v="26"/>
  </r>
  <r>
    <x v="17"/>
  </r>
  <r>
    <x v="17"/>
  </r>
  <r>
    <x v="4"/>
  </r>
  <r>
    <x v="4"/>
  </r>
  <r>
    <x v="1"/>
  </r>
  <r>
    <x v="1"/>
  </r>
  <r>
    <x v="4"/>
  </r>
  <r>
    <x v="14"/>
  </r>
  <r>
    <x v="21"/>
  </r>
  <r>
    <x v="119"/>
  </r>
  <r>
    <x v="11"/>
  </r>
  <r>
    <x v="12"/>
  </r>
  <r>
    <x v="0"/>
  </r>
  <r>
    <x v="48"/>
  </r>
  <r>
    <x v="6"/>
  </r>
  <r>
    <x v="6"/>
  </r>
  <r>
    <x v="0"/>
  </r>
  <r>
    <x v="11"/>
  </r>
  <r>
    <x v="11"/>
  </r>
  <r>
    <x v="45"/>
  </r>
  <r>
    <x v="9"/>
  </r>
  <r>
    <x v="22"/>
  </r>
  <r>
    <x v="42"/>
  </r>
  <r>
    <x v="0"/>
  </r>
  <r>
    <x v="43"/>
  </r>
  <r>
    <x v="43"/>
  </r>
  <r>
    <x v="4"/>
  </r>
  <r>
    <x v="10"/>
  </r>
  <r>
    <x v="177"/>
  </r>
  <r>
    <x v="130"/>
  </r>
  <r>
    <x v="37"/>
  </r>
  <r>
    <x v="19"/>
  </r>
  <r>
    <x v="45"/>
  </r>
  <r>
    <x v="7"/>
  </r>
  <r>
    <x v="2"/>
  </r>
  <r>
    <x v="48"/>
  </r>
  <r>
    <x v="10"/>
  </r>
  <r>
    <x v="10"/>
  </r>
  <r>
    <x v="10"/>
  </r>
  <r>
    <x v="10"/>
  </r>
  <r>
    <x v="43"/>
  </r>
  <r>
    <x v="28"/>
  </r>
  <r>
    <x v="28"/>
  </r>
  <r>
    <x v="17"/>
  </r>
  <r>
    <x v="10"/>
  </r>
  <r>
    <x v="48"/>
  </r>
  <r>
    <x v="37"/>
  </r>
  <r>
    <x v="55"/>
  </r>
  <r>
    <x v="45"/>
  </r>
  <r>
    <x v="42"/>
  </r>
  <r>
    <x v="68"/>
  </r>
  <r>
    <x v="8"/>
  </r>
  <r>
    <x v="7"/>
  </r>
  <r>
    <x v="9"/>
  </r>
  <r>
    <x v="8"/>
  </r>
  <r>
    <x v="10"/>
  </r>
  <r>
    <x v="43"/>
  </r>
  <r>
    <x v="17"/>
  </r>
  <r>
    <x v="28"/>
  </r>
  <r>
    <x v="37"/>
  </r>
  <r>
    <x v="37"/>
  </r>
  <r>
    <x v="37"/>
  </r>
  <r>
    <x v="119"/>
  </r>
  <r>
    <x v="10"/>
  </r>
  <r>
    <x v="4"/>
  </r>
  <r>
    <x v="19"/>
  </r>
  <r>
    <x v="17"/>
  </r>
  <r>
    <x v="16"/>
  </r>
  <r>
    <x v="201"/>
  </r>
  <r>
    <x v="9"/>
  </r>
  <r>
    <x v="28"/>
  </r>
  <r>
    <x v="14"/>
  </r>
  <r>
    <x v="14"/>
  </r>
  <r>
    <x v="45"/>
  </r>
  <r>
    <x v="12"/>
  </r>
  <r>
    <x v="10"/>
  </r>
  <r>
    <x v="10"/>
  </r>
  <r>
    <x v="87"/>
  </r>
  <r>
    <x v="55"/>
  </r>
  <r>
    <x v="27"/>
  </r>
  <r>
    <x v="22"/>
  </r>
  <r>
    <x v="21"/>
  </r>
  <r>
    <x v="11"/>
  </r>
  <r>
    <x v="40"/>
  </r>
  <r>
    <x v="14"/>
  </r>
  <r>
    <x v="87"/>
  </r>
  <r>
    <x v="6"/>
  </r>
  <r>
    <x v="87"/>
  </r>
  <r>
    <x v="2"/>
  </r>
  <r>
    <x v="72"/>
  </r>
  <r>
    <x v="39"/>
  </r>
  <r>
    <x v="55"/>
  </r>
  <r>
    <x v="17"/>
  </r>
  <r>
    <x v="17"/>
  </r>
  <r>
    <x v="115"/>
  </r>
  <r>
    <x v="115"/>
  </r>
  <r>
    <x v="24"/>
  </r>
  <r>
    <x v="14"/>
  </r>
  <r>
    <x v="15"/>
  </r>
  <r>
    <x v="11"/>
  </r>
  <r>
    <x v="14"/>
  </r>
  <r>
    <x v="87"/>
  </r>
  <r>
    <x v="4"/>
  </r>
  <r>
    <x v="4"/>
  </r>
  <r>
    <x v="55"/>
  </r>
  <r>
    <x v="115"/>
  </r>
  <r>
    <x v="115"/>
  </r>
  <r>
    <x v="4"/>
  </r>
  <r>
    <x v="115"/>
  </r>
  <r>
    <x v="28"/>
  </r>
  <r>
    <x v="17"/>
  </r>
  <r>
    <x v="10"/>
  </r>
  <r>
    <x v="50"/>
  </r>
  <r>
    <x v="14"/>
  </r>
  <r>
    <x v="21"/>
  </r>
  <r>
    <x v="28"/>
  </r>
  <r>
    <x v="7"/>
  </r>
  <r>
    <x v="174"/>
  </r>
  <r>
    <x v="224"/>
  </r>
  <r>
    <x v="12"/>
  </r>
  <r>
    <x v="4"/>
  </r>
  <r>
    <x v="10"/>
  </r>
  <r>
    <x v="4"/>
  </r>
  <r>
    <x v="4"/>
  </r>
  <r>
    <x v="2"/>
  </r>
  <r>
    <x v="24"/>
  </r>
  <r>
    <x v="48"/>
  </r>
  <r>
    <x v="24"/>
  </r>
  <r>
    <x v="12"/>
  </r>
  <r>
    <x v="12"/>
  </r>
  <r>
    <x v="4"/>
  </r>
  <r>
    <x v="11"/>
  </r>
  <r>
    <x v="28"/>
  </r>
  <r>
    <x v="7"/>
  </r>
  <r>
    <x v="9"/>
  </r>
  <r>
    <x v="16"/>
  </r>
  <r>
    <x v="55"/>
  </r>
  <r>
    <x v="0"/>
  </r>
  <r>
    <x v="31"/>
  </r>
  <r>
    <x v="11"/>
  </r>
  <r>
    <x v="4"/>
  </r>
  <r>
    <x v="126"/>
  </r>
  <r>
    <x v="7"/>
  </r>
  <r>
    <x v="7"/>
  </r>
  <r>
    <x v="7"/>
  </r>
  <r>
    <x v="0"/>
  </r>
  <r>
    <x v="28"/>
  </r>
  <r>
    <x v="21"/>
  </r>
  <r>
    <x v="48"/>
  </r>
  <r>
    <x v="48"/>
  </r>
  <r>
    <x v="48"/>
  </r>
  <r>
    <x v="24"/>
  </r>
  <r>
    <x v="48"/>
  </r>
  <r>
    <x v="0"/>
  </r>
  <r>
    <x v="14"/>
  </r>
  <r>
    <x v="115"/>
  </r>
  <r>
    <x v="7"/>
  </r>
  <r>
    <x v="0"/>
  </r>
  <r>
    <x v="115"/>
  </r>
  <r>
    <x v="115"/>
  </r>
  <r>
    <x v="0"/>
  </r>
  <r>
    <x v="14"/>
  </r>
  <r>
    <x v="0"/>
  </r>
  <r>
    <x v="2"/>
  </r>
  <r>
    <x v="0"/>
  </r>
  <r>
    <x v="17"/>
  </r>
  <r>
    <x v="14"/>
  </r>
  <r>
    <x v="14"/>
  </r>
  <r>
    <x v="0"/>
  </r>
  <r>
    <x v="24"/>
  </r>
  <r>
    <x v="1"/>
  </r>
  <r>
    <x v="1"/>
  </r>
  <r>
    <x v="11"/>
  </r>
  <r>
    <x v="9"/>
  </r>
  <r>
    <x v="0"/>
  </r>
  <r>
    <x v="17"/>
  </r>
  <r>
    <x v="44"/>
  </r>
  <r>
    <x v="48"/>
  </r>
  <r>
    <x v="26"/>
  </r>
  <r>
    <x v="0"/>
  </r>
  <r>
    <x v="0"/>
  </r>
  <r>
    <x v="115"/>
  </r>
  <r>
    <x v="10"/>
  </r>
  <r>
    <x v="47"/>
  </r>
  <r>
    <x v="14"/>
  </r>
  <r>
    <x v="17"/>
  </r>
  <r>
    <x v="30"/>
  </r>
  <r>
    <x v="217"/>
  </r>
  <r>
    <x v="2"/>
  </r>
  <r>
    <x v="21"/>
  </r>
  <r>
    <x v="0"/>
  </r>
  <r>
    <x v="55"/>
  </r>
  <r>
    <x v="55"/>
  </r>
  <r>
    <x v="55"/>
  </r>
  <r>
    <x v="0"/>
  </r>
  <r>
    <x v="7"/>
  </r>
  <r>
    <x v="17"/>
  </r>
  <r>
    <x v="28"/>
  </r>
  <r>
    <x v="24"/>
  </r>
  <r>
    <x v="40"/>
  </r>
  <r>
    <x v="17"/>
  </r>
  <r>
    <x v="17"/>
  </r>
  <r>
    <x v="14"/>
  </r>
  <r>
    <x v="40"/>
  </r>
  <r>
    <x v="40"/>
  </r>
  <r>
    <x v="17"/>
  </r>
  <r>
    <x v="17"/>
  </r>
  <r>
    <x v="17"/>
  </r>
  <r>
    <x v="17"/>
  </r>
  <r>
    <x v="17"/>
  </r>
  <r>
    <x v="54"/>
  </r>
  <r>
    <x v="54"/>
  </r>
  <r>
    <x v="79"/>
  </r>
  <r>
    <x v="79"/>
  </r>
  <r>
    <x v="8"/>
  </r>
  <r>
    <x v="0"/>
  </r>
  <r>
    <x v="0"/>
  </r>
  <r>
    <x v="14"/>
  </r>
  <r>
    <x v="87"/>
  </r>
  <r>
    <x v="24"/>
  </r>
  <r>
    <x v="42"/>
  </r>
  <r>
    <x v="24"/>
  </r>
  <r>
    <x v="0"/>
  </r>
  <r>
    <x v="28"/>
  </r>
  <r>
    <x v="28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4"/>
  </r>
  <r>
    <x v="14"/>
  </r>
  <r>
    <x v="52"/>
  </r>
  <r>
    <x v="64"/>
  </r>
  <r>
    <x v="12"/>
  </r>
  <r>
    <x v="14"/>
  </r>
  <r>
    <x v="85"/>
  </r>
  <r>
    <x v="71"/>
  </r>
  <r>
    <x v="64"/>
  </r>
  <r>
    <x v="64"/>
  </r>
  <r>
    <x v="16"/>
  </r>
  <r>
    <x v="16"/>
  </r>
  <r>
    <x v="16"/>
  </r>
  <r>
    <x v="22"/>
  </r>
  <r>
    <x v="53"/>
  </r>
  <r>
    <x v="22"/>
  </r>
  <r>
    <x v="22"/>
  </r>
  <r>
    <x v="22"/>
  </r>
  <r>
    <x v="22"/>
  </r>
  <r>
    <x v="22"/>
  </r>
  <r>
    <x v="14"/>
  </r>
  <r>
    <x v="10"/>
  </r>
  <r>
    <x v="40"/>
  </r>
  <r>
    <x v="33"/>
  </r>
  <r>
    <x v="48"/>
  </r>
  <r>
    <x v="64"/>
  </r>
  <r>
    <x v="7"/>
  </r>
  <r>
    <x v="14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142"/>
  </r>
  <r>
    <x v="22"/>
  </r>
  <r>
    <x v="22"/>
  </r>
  <r>
    <x v="142"/>
  </r>
  <r>
    <x v="98"/>
  </r>
  <r>
    <x v="77"/>
  </r>
  <r>
    <x v="77"/>
  </r>
  <r>
    <x v="10"/>
  </r>
  <r>
    <x v="10"/>
  </r>
  <r>
    <x v="6"/>
  </r>
  <r>
    <x v="14"/>
  </r>
  <r>
    <x v="49"/>
  </r>
  <r>
    <x v="0"/>
  </r>
  <r>
    <x v="12"/>
  </r>
  <r>
    <x v="12"/>
  </r>
  <r>
    <x v="12"/>
  </r>
  <r>
    <x v="12"/>
  </r>
  <r>
    <x v="56"/>
  </r>
  <r>
    <x v="56"/>
  </r>
  <r>
    <x v="56"/>
  </r>
  <r>
    <x v="17"/>
  </r>
  <r>
    <x v="22"/>
  </r>
  <r>
    <x v="14"/>
  </r>
  <r>
    <x v="61"/>
  </r>
  <r>
    <x v="22"/>
  </r>
  <r>
    <x v="14"/>
  </r>
  <r>
    <x v="0"/>
  </r>
  <r>
    <x v="0"/>
  </r>
  <r>
    <x v="0"/>
  </r>
  <r>
    <x v="0"/>
  </r>
  <r>
    <x v="0"/>
  </r>
  <r>
    <x v="48"/>
  </r>
  <r>
    <x v="3"/>
  </r>
  <r>
    <x v="112"/>
  </r>
  <r>
    <x v="78"/>
  </r>
  <r>
    <x v="10"/>
  </r>
  <r>
    <x v="12"/>
  </r>
  <r>
    <x v="12"/>
  </r>
  <r>
    <x v="31"/>
  </r>
  <r>
    <x v="12"/>
  </r>
  <r>
    <x v="2"/>
  </r>
  <r>
    <x v="2"/>
  </r>
  <r>
    <x v="98"/>
  </r>
  <r>
    <x v="75"/>
  </r>
  <r>
    <x v="62"/>
  </r>
  <r>
    <x v="81"/>
  </r>
  <r>
    <x v="98"/>
  </r>
  <r>
    <x v="12"/>
  </r>
  <r>
    <x v="12"/>
  </r>
  <r>
    <x v="75"/>
  </r>
  <r>
    <x v="113"/>
  </r>
  <r>
    <x v="81"/>
  </r>
  <r>
    <x v="81"/>
  </r>
  <r>
    <x v="81"/>
  </r>
  <r>
    <x v="81"/>
  </r>
  <r>
    <x v="31"/>
  </r>
  <r>
    <x v="81"/>
  </r>
  <r>
    <x v="28"/>
  </r>
  <r>
    <x v="28"/>
  </r>
  <r>
    <x v="12"/>
  </r>
  <r>
    <x v="12"/>
  </r>
  <r>
    <x v="12"/>
  </r>
  <r>
    <x v="12"/>
  </r>
  <r>
    <x v="12"/>
  </r>
  <r>
    <x v="25"/>
  </r>
  <r>
    <x v="20"/>
  </r>
  <r>
    <x v="3"/>
  </r>
  <r>
    <x v="0"/>
  </r>
  <r>
    <x v="23"/>
  </r>
  <r>
    <x v="79"/>
  </r>
  <r>
    <x v="59"/>
  </r>
  <r>
    <x v="48"/>
  </r>
  <r>
    <x v="48"/>
  </r>
  <r>
    <x v="75"/>
  </r>
  <r>
    <x v="22"/>
  </r>
  <r>
    <x v="31"/>
  </r>
  <r>
    <x v="112"/>
  </r>
  <r>
    <x v="3"/>
  </r>
  <r>
    <x v="22"/>
  </r>
  <r>
    <x v="22"/>
  </r>
  <r>
    <x v="52"/>
  </r>
  <r>
    <x v="22"/>
  </r>
  <r>
    <x v="22"/>
  </r>
  <r>
    <x v="24"/>
  </r>
  <r>
    <x v="24"/>
  </r>
  <r>
    <x v="44"/>
  </r>
  <r>
    <x v="28"/>
  </r>
  <r>
    <x v="31"/>
  </r>
  <r>
    <x v="12"/>
  </r>
  <r>
    <x v="112"/>
  </r>
  <r>
    <x v="251"/>
  </r>
  <r>
    <x v="251"/>
  </r>
  <r>
    <x v="27"/>
  </r>
  <r>
    <x v="34"/>
  </r>
  <r>
    <x v="55"/>
  </r>
  <r>
    <x v="2"/>
  </r>
  <r>
    <x v="204"/>
  </r>
  <r>
    <x v="14"/>
  </r>
  <r>
    <x v="17"/>
  </r>
  <r>
    <x v="46"/>
  </r>
  <r>
    <x v="208"/>
  </r>
  <r>
    <x v="37"/>
  </r>
  <r>
    <x v="192"/>
  </r>
  <r>
    <x v="25"/>
  </r>
  <r>
    <x v="152"/>
  </r>
  <r>
    <x v="29"/>
  </r>
  <r>
    <x v="25"/>
  </r>
  <r>
    <x v="25"/>
  </r>
  <r>
    <x v="25"/>
  </r>
  <r>
    <x v="7"/>
  </r>
  <r>
    <x v="71"/>
  </r>
  <r>
    <x v="4"/>
  </r>
  <r>
    <x v="42"/>
  </r>
  <r>
    <x v="57"/>
  </r>
  <r>
    <x v="14"/>
  </r>
  <r>
    <x v="12"/>
  </r>
  <r>
    <x v="171"/>
  </r>
  <r>
    <x v="27"/>
  </r>
  <r>
    <x v="0"/>
  </r>
  <r>
    <x v="17"/>
  </r>
  <r>
    <x v="17"/>
  </r>
  <r>
    <x v="171"/>
  </r>
  <r>
    <x v="14"/>
  </r>
  <r>
    <x v="43"/>
  </r>
  <r>
    <x v="43"/>
  </r>
  <r>
    <x v="138"/>
  </r>
  <r>
    <x v="6"/>
  </r>
  <r>
    <x v="0"/>
  </r>
  <r>
    <x v="0"/>
  </r>
  <r>
    <x v="17"/>
  </r>
  <r>
    <x v="14"/>
  </r>
  <r>
    <x v="22"/>
  </r>
  <r>
    <x v="22"/>
  </r>
  <r>
    <x v="48"/>
  </r>
  <r>
    <x v="6"/>
  </r>
  <r>
    <x v="17"/>
  </r>
  <r>
    <x v="14"/>
  </r>
  <r>
    <x v="48"/>
  </r>
  <r>
    <x v="57"/>
  </r>
  <r>
    <x v="25"/>
  </r>
  <r>
    <x v="53"/>
  </r>
  <r>
    <x v="53"/>
  </r>
  <r>
    <x v="78"/>
  </r>
  <r>
    <x v="71"/>
  </r>
  <r>
    <x v="71"/>
  </r>
  <r>
    <x v="2"/>
  </r>
  <r>
    <x v="17"/>
  </r>
  <r>
    <x v="14"/>
  </r>
  <r>
    <x v="115"/>
  </r>
  <r>
    <x v="49"/>
  </r>
  <r>
    <x v="49"/>
  </r>
  <r>
    <x v="10"/>
  </r>
  <r>
    <x v="53"/>
  </r>
  <r>
    <x v="14"/>
  </r>
  <r>
    <x v="12"/>
  </r>
  <r>
    <x v="12"/>
  </r>
  <r>
    <x v="76"/>
  </r>
  <r>
    <x v="100"/>
  </r>
  <r>
    <x v="46"/>
  </r>
  <r>
    <x v="43"/>
  </r>
  <r>
    <x v="10"/>
  </r>
  <r>
    <x v="48"/>
  </r>
  <r>
    <x v="42"/>
  </r>
  <r>
    <x v="42"/>
  </r>
  <r>
    <x v="14"/>
  </r>
  <r>
    <x v="158"/>
  </r>
  <r>
    <x v="42"/>
  </r>
  <r>
    <x v="0"/>
  </r>
  <r>
    <x v="100"/>
  </r>
  <r>
    <x v="254"/>
  </r>
  <r>
    <x v="3"/>
  </r>
  <r>
    <x v="10"/>
  </r>
  <r>
    <x v="10"/>
  </r>
  <r>
    <x v="10"/>
  </r>
  <r>
    <x v="10"/>
  </r>
  <r>
    <x v="99"/>
  </r>
  <r>
    <x v="48"/>
  </r>
  <r>
    <x v="10"/>
  </r>
  <r>
    <x v="0"/>
  </r>
  <r>
    <x v="71"/>
  </r>
  <r>
    <x v="71"/>
  </r>
  <r>
    <x v="25"/>
  </r>
  <r>
    <x v="71"/>
  </r>
  <r>
    <x v="64"/>
  </r>
  <r>
    <x v="0"/>
  </r>
  <r>
    <x v="205"/>
  </r>
  <r>
    <x v="46"/>
  </r>
  <r>
    <x v="14"/>
  </r>
  <r>
    <x v="10"/>
  </r>
  <r>
    <x v="0"/>
  </r>
  <r>
    <x v="10"/>
  </r>
  <r>
    <x v="10"/>
  </r>
  <r>
    <x v="10"/>
  </r>
  <r>
    <x v="10"/>
  </r>
  <r>
    <x v="10"/>
  </r>
  <r>
    <x v="71"/>
  </r>
  <r>
    <x v="56"/>
  </r>
  <r>
    <x v="56"/>
  </r>
  <r>
    <x v="26"/>
  </r>
  <r>
    <x v="56"/>
  </r>
  <r>
    <x v="29"/>
  </r>
  <r>
    <x v="72"/>
  </r>
  <r>
    <x v="25"/>
  </r>
  <r>
    <x v="25"/>
  </r>
  <r>
    <x v="25"/>
  </r>
  <r>
    <x v="72"/>
  </r>
  <r>
    <x v="25"/>
  </r>
  <r>
    <x v="25"/>
  </r>
  <r>
    <x v="108"/>
  </r>
  <r>
    <x v="143"/>
  </r>
  <r>
    <x v="48"/>
  </r>
  <r>
    <x v="25"/>
  </r>
  <r>
    <x v="72"/>
  </r>
  <r>
    <x v="25"/>
  </r>
  <r>
    <x v="25"/>
  </r>
  <r>
    <x v="25"/>
  </r>
  <r>
    <x v="25"/>
  </r>
  <r>
    <x v="174"/>
  </r>
  <r>
    <x v="25"/>
  </r>
  <r>
    <x v="31"/>
  </r>
  <r>
    <x v="154"/>
  </r>
  <r>
    <x v="31"/>
  </r>
  <r>
    <x v="48"/>
  </r>
  <r>
    <x v="78"/>
  </r>
  <r>
    <x v="6"/>
  </r>
  <r>
    <x v="253"/>
  </r>
  <r>
    <x v="78"/>
  </r>
  <r>
    <x v="253"/>
  </r>
  <r>
    <x v="25"/>
  </r>
  <r>
    <x v="25"/>
  </r>
  <r>
    <x v="81"/>
  </r>
  <r>
    <x v="48"/>
  </r>
  <r>
    <x v="25"/>
  </r>
  <r>
    <x v="25"/>
  </r>
  <r>
    <x v="81"/>
  </r>
  <r>
    <x v="266"/>
  </r>
  <r>
    <x v="108"/>
  </r>
  <r>
    <x v="48"/>
  </r>
  <r>
    <x v="4"/>
  </r>
  <r>
    <x v="48"/>
  </r>
  <r>
    <x v="37"/>
  </r>
  <r>
    <x v="25"/>
  </r>
  <r>
    <x v="14"/>
  </r>
  <r>
    <x v="42"/>
  </r>
  <r>
    <x v="25"/>
  </r>
  <r>
    <x v="100"/>
  </r>
  <r>
    <x v="14"/>
  </r>
  <r>
    <x v="171"/>
  </r>
  <r>
    <x v="56"/>
  </r>
  <r>
    <x v="42"/>
  </r>
  <r>
    <x v="10"/>
  </r>
  <r>
    <x v="14"/>
  </r>
  <r>
    <x v="48"/>
  </r>
  <r>
    <x v="387"/>
  </r>
  <r>
    <x v="48"/>
  </r>
  <r>
    <x v="3"/>
  </r>
  <r>
    <x v="22"/>
  </r>
  <r>
    <x v="27"/>
  </r>
  <r>
    <x v="48"/>
  </r>
  <r>
    <x v="100"/>
  </r>
  <r>
    <x v="27"/>
  </r>
  <r>
    <x v="198"/>
  </r>
  <r>
    <x v="17"/>
  </r>
  <r>
    <x v="25"/>
  </r>
  <r>
    <x v="59"/>
  </r>
  <r>
    <x v="42"/>
  </r>
  <r>
    <x v="71"/>
  </r>
  <r>
    <x v="34"/>
  </r>
  <r>
    <x v="14"/>
  </r>
  <r>
    <x v="116"/>
  </r>
  <r>
    <x v="116"/>
  </r>
  <r>
    <x v="0"/>
  </r>
  <r>
    <x v="6"/>
  </r>
  <r>
    <x v="42"/>
  </r>
  <r>
    <x v="0"/>
  </r>
  <r>
    <x v="100"/>
  </r>
  <r>
    <x v="14"/>
  </r>
  <r>
    <x v="12"/>
  </r>
  <r>
    <x v="181"/>
  </r>
  <r>
    <x v="0"/>
  </r>
  <r>
    <x v="0"/>
  </r>
  <r>
    <x v="78"/>
  </r>
  <r>
    <x v="152"/>
  </r>
  <r>
    <x v="78"/>
  </r>
  <r>
    <x v="40"/>
  </r>
  <r>
    <x v="31"/>
  </r>
  <r>
    <x v="155"/>
  </r>
  <r>
    <x v="0"/>
  </r>
  <r>
    <x v="0"/>
  </r>
  <r>
    <x v="0"/>
  </r>
  <r>
    <x v="0"/>
  </r>
  <r>
    <x v="0"/>
  </r>
  <r>
    <x v="43"/>
  </r>
  <r>
    <x v="60"/>
  </r>
  <r>
    <x v="55"/>
  </r>
  <r>
    <x v="55"/>
  </r>
  <r>
    <x v="21"/>
  </r>
  <r>
    <x v="21"/>
  </r>
  <r>
    <x v="55"/>
  </r>
  <r>
    <x v="0"/>
  </r>
  <r>
    <x v="0"/>
  </r>
  <r>
    <x v="0"/>
  </r>
  <r>
    <x v="0"/>
  </r>
  <r>
    <x v="51"/>
  </r>
  <r>
    <x v="28"/>
  </r>
  <r>
    <x v="28"/>
  </r>
  <r>
    <x v="92"/>
  </r>
  <r>
    <x v="45"/>
  </r>
  <r>
    <x v="80"/>
  </r>
  <r>
    <x v="17"/>
  </r>
  <r>
    <x v="9"/>
  </r>
  <r>
    <x v="86"/>
  </r>
  <r>
    <x v="86"/>
  </r>
  <r>
    <x v="17"/>
  </r>
  <r>
    <x v="143"/>
  </r>
  <r>
    <x v="14"/>
  </r>
  <r>
    <x v="2"/>
  </r>
  <r>
    <x v="63"/>
  </r>
  <r>
    <x v="17"/>
  </r>
  <r>
    <x v="22"/>
  </r>
  <r>
    <x v="31"/>
  </r>
  <r>
    <x v="102"/>
  </r>
  <r>
    <x v="45"/>
  </r>
  <r>
    <x v="78"/>
  </r>
  <r>
    <x v="22"/>
  </r>
  <r>
    <x v="31"/>
  </r>
  <r>
    <x v="80"/>
  </r>
  <r>
    <x v="155"/>
  </r>
  <r>
    <x v="0"/>
  </r>
  <r>
    <x v="0"/>
  </r>
  <r>
    <x v="0"/>
  </r>
  <r>
    <x v="0"/>
  </r>
  <r>
    <x v="115"/>
  </r>
  <r>
    <x v="0"/>
  </r>
  <r>
    <x v="22"/>
  </r>
  <r>
    <x v="23"/>
  </r>
  <r>
    <x v="0"/>
  </r>
  <r>
    <x v="0"/>
  </r>
  <r>
    <x v="14"/>
  </r>
  <r>
    <x v="21"/>
  </r>
  <r>
    <x v="49"/>
  </r>
  <r>
    <x v="21"/>
  </r>
  <r>
    <x v="49"/>
  </r>
  <r>
    <x v="28"/>
  </r>
  <r>
    <x v="28"/>
  </r>
  <r>
    <x v="28"/>
  </r>
  <r>
    <x v="28"/>
  </r>
  <r>
    <x v="28"/>
  </r>
  <r>
    <x v="28"/>
  </r>
  <r>
    <x v="3"/>
  </r>
  <r>
    <x v="48"/>
  </r>
  <r>
    <x v="42"/>
  </r>
  <r>
    <x v="35"/>
  </r>
  <r>
    <x v="42"/>
  </r>
  <r>
    <x v="6"/>
  </r>
  <r>
    <x v="26"/>
  </r>
  <r>
    <x v="31"/>
  </r>
  <r>
    <x v="6"/>
  </r>
  <r>
    <x v="0"/>
  </r>
  <r>
    <x v="90"/>
  </r>
  <r>
    <x v="48"/>
  </r>
  <r>
    <x v="114"/>
  </r>
  <r>
    <x v="56"/>
  </r>
  <r>
    <x v="152"/>
  </r>
  <r>
    <x v="10"/>
  </r>
  <r>
    <x v="9"/>
  </r>
  <r>
    <x v="40"/>
  </r>
  <r>
    <x v="40"/>
  </r>
  <r>
    <x v="9"/>
  </r>
  <r>
    <x v="40"/>
  </r>
  <r>
    <x v="40"/>
  </r>
  <r>
    <x v="79"/>
  </r>
  <r>
    <x v="79"/>
  </r>
  <r>
    <x v="113"/>
  </r>
  <r>
    <x v="79"/>
  </r>
  <r>
    <x v="0"/>
  </r>
  <r>
    <x v="72"/>
  </r>
  <r>
    <x v="12"/>
  </r>
  <r>
    <x v="81"/>
  </r>
  <r>
    <x v="0"/>
  </r>
  <r>
    <x v="21"/>
  </r>
  <r>
    <x v="16"/>
  </r>
  <r>
    <x v="34"/>
  </r>
  <r>
    <x v="37"/>
  </r>
  <r>
    <x v="37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84"/>
  </r>
  <r>
    <x v="6"/>
  </r>
  <r>
    <x v="45"/>
  </r>
  <r>
    <x v="64"/>
  </r>
  <r>
    <x v="0"/>
  </r>
  <r>
    <x v="71"/>
  </r>
  <r>
    <x v="42"/>
  </r>
  <r>
    <x v="45"/>
  </r>
  <r>
    <x v="48"/>
  </r>
  <r>
    <x v="59"/>
  </r>
  <r>
    <x v="48"/>
  </r>
  <r>
    <x v="71"/>
  </r>
  <r>
    <x v="6"/>
  </r>
  <r>
    <x v="81"/>
  </r>
  <r>
    <x v="81"/>
  </r>
  <r>
    <x v="81"/>
  </r>
  <r>
    <x v="81"/>
  </r>
  <r>
    <x v="35"/>
  </r>
  <r>
    <x v="25"/>
  </r>
  <r>
    <x v="70"/>
  </r>
  <r>
    <x v="55"/>
  </r>
  <r>
    <x v="115"/>
  </r>
  <r>
    <x v="115"/>
  </r>
  <r>
    <x v="45"/>
  </r>
  <r>
    <x v="12"/>
  </r>
  <r>
    <x v="14"/>
  </r>
  <r>
    <x v="91"/>
  </r>
  <r>
    <x v="25"/>
  </r>
  <r>
    <x v="35"/>
  </r>
  <r>
    <x v="77"/>
  </r>
  <r>
    <x v="25"/>
  </r>
  <r>
    <x v="77"/>
  </r>
  <r>
    <x v="91"/>
  </r>
  <r>
    <x v="53"/>
  </r>
  <r>
    <x v="81"/>
  </r>
  <r>
    <x v="0"/>
  </r>
  <r>
    <x v="111"/>
  </r>
  <r>
    <x v="35"/>
  </r>
  <r>
    <x v="42"/>
  </r>
  <r>
    <x v="0"/>
  </r>
  <r>
    <x v="22"/>
  </r>
  <r>
    <x v="0"/>
  </r>
  <r>
    <x v="22"/>
  </r>
  <r>
    <x v="30"/>
  </r>
  <r>
    <x v="3"/>
  </r>
  <r>
    <x v="25"/>
  </r>
  <r>
    <x v="229"/>
  </r>
  <r>
    <x v="78"/>
  </r>
  <r>
    <x v="79"/>
  </r>
  <r>
    <x v="63"/>
  </r>
  <r>
    <x v="63"/>
  </r>
  <r>
    <x v="6"/>
  </r>
  <r>
    <x v="77"/>
  </r>
  <r>
    <x v="77"/>
  </r>
  <r>
    <x v="57"/>
  </r>
  <r>
    <x v="72"/>
  </r>
  <r>
    <x v="42"/>
  </r>
  <r>
    <x v="48"/>
  </r>
  <r>
    <x v="48"/>
  </r>
  <r>
    <x v="25"/>
  </r>
  <r>
    <x v="102"/>
  </r>
  <r>
    <x v="4"/>
  </r>
  <r>
    <x v="4"/>
  </r>
  <r>
    <x v="3"/>
  </r>
  <r>
    <x v="12"/>
  </r>
  <r>
    <x v="45"/>
  </r>
  <r>
    <x v="3"/>
  </r>
  <r>
    <x v="12"/>
  </r>
  <r>
    <x v="3"/>
  </r>
  <r>
    <x v="165"/>
  </r>
  <r>
    <x v="25"/>
  </r>
  <r>
    <x v="25"/>
  </r>
  <r>
    <x v="48"/>
  </r>
  <r>
    <x v="116"/>
  </r>
  <r>
    <x v="31"/>
  </r>
  <r>
    <x v="3"/>
  </r>
  <r>
    <x v="25"/>
  </r>
  <r>
    <x v="9"/>
  </r>
  <r>
    <x v="12"/>
  </r>
  <r>
    <x v="9"/>
  </r>
  <r>
    <x v="3"/>
  </r>
  <r>
    <x v="25"/>
  </r>
  <r>
    <x v="29"/>
  </r>
  <r>
    <x v="29"/>
  </r>
  <r>
    <x v="25"/>
  </r>
  <r>
    <x v="25"/>
  </r>
  <r>
    <x v="116"/>
  </r>
  <r>
    <x v="14"/>
  </r>
  <r>
    <x v="100"/>
  </r>
  <r>
    <x v="14"/>
  </r>
  <r>
    <x v="14"/>
  </r>
  <r>
    <x v="14"/>
  </r>
  <r>
    <x v="14"/>
  </r>
  <r>
    <x v="37"/>
  </r>
  <r>
    <x v="31"/>
  </r>
  <r>
    <x v="48"/>
  </r>
  <r>
    <x v="42"/>
  </r>
  <r>
    <x v="12"/>
  </r>
  <r>
    <x v="25"/>
  </r>
  <r>
    <x v="78"/>
  </r>
  <r>
    <x v="126"/>
  </r>
  <r>
    <x v="14"/>
  </r>
  <r>
    <x v="40"/>
  </r>
  <r>
    <x v="48"/>
  </r>
  <r>
    <x v="48"/>
  </r>
  <r>
    <x v="48"/>
  </r>
  <r>
    <x v="48"/>
  </r>
  <r>
    <x v="25"/>
  </r>
  <r>
    <x v="14"/>
  </r>
  <r>
    <x v="152"/>
  </r>
  <r>
    <x v="152"/>
  </r>
  <r>
    <x v="9"/>
  </r>
  <r>
    <x v="25"/>
  </r>
  <r>
    <x v="25"/>
  </r>
  <r>
    <x v="25"/>
  </r>
  <r>
    <x v="42"/>
  </r>
  <r>
    <x v="93"/>
  </r>
  <r>
    <x v="42"/>
  </r>
  <r>
    <x v="42"/>
  </r>
  <r>
    <x v="42"/>
  </r>
  <r>
    <x v="42"/>
  </r>
  <r>
    <x v="234"/>
  </r>
  <r>
    <x v="190"/>
  </r>
  <r>
    <x v="59"/>
  </r>
  <r>
    <x v="42"/>
  </r>
  <r>
    <x v="42"/>
  </r>
  <r>
    <x v="42"/>
  </r>
  <r>
    <x v="37"/>
  </r>
  <r>
    <x v="48"/>
  </r>
  <r>
    <x v="113"/>
  </r>
  <r>
    <x v="227"/>
  </r>
  <r>
    <x v="6"/>
  </r>
  <r>
    <x v="48"/>
  </r>
  <r>
    <x v="25"/>
  </r>
  <r>
    <x v="52"/>
  </r>
  <r>
    <x v="52"/>
  </r>
  <r>
    <x v="52"/>
  </r>
  <r>
    <x v="52"/>
  </r>
  <r>
    <x v="31"/>
  </r>
  <r>
    <x v="31"/>
  </r>
  <r>
    <x v="177"/>
  </r>
  <r>
    <x v="48"/>
  </r>
  <r>
    <x v="31"/>
  </r>
  <r>
    <x v="31"/>
  </r>
  <r>
    <x v="81"/>
  </r>
  <r>
    <x v="81"/>
  </r>
  <r>
    <x v="28"/>
  </r>
  <r>
    <x v="112"/>
  </r>
  <r>
    <x v="28"/>
  </r>
  <r>
    <x v="28"/>
  </r>
  <r>
    <x v="3"/>
  </r>
  <r>
    <x v="28"/>
  </r>
  <r>
    <x v="10"/>
  </r>
  <r>
    <x v="17"/>
  </r>
  <r>
    <x v="12"/>
  </r>
  <r>
    <x v="270"/>
  </r>
  <r>
    <x v="30"/>
  </r>
  <r>
    <x v="16"/>
  </r>
  <r>
    <x v="16"/>
  </r>
  <r>
    <x v="16"/>
  </r>
  <r>
    <x v="35"/>
  </r>
  <r>
    <x v="112"/>
  </r>
  <r>
    <x v="81"/>
  </r>
  <r>
    <x v="55"/>
  </r>
  <r>
    <x v="35"/>
  </r>
  <r>
    <x v="28"/>
  </r>
  <r>
    <x v="53"/>
  </r>
  <r>
    <x v="12"/>
  </r>
  <r>
    <x v="30"/>
  </r>
  <r>
    <x v="30"/>
  </r>
  <r>
    <x v="32"/>
  </r>
  <r>
    <x v="42"/>
  </r>
  <r>
    <x v="27"/>
  </r>
  <r>
    <x v="182"/>
  </r>
  <r>
    <x v="11"/>
  </r>
  <r>
    <x v="50"/>
  </r>
  <r>
    <x v="3"/>
  </r>
  <r>
    <x v="182"/>
  </r>
  <r>
    <x v="11"/>
  </r>
  <r>
    <x v="41"/>
  </r>
  <r>
    <x v="61"/>
  </r>
  <r>
    <x v="10"/>
  </r>
  <r>
    <x v="10"/>
  </r>
  <r>
    <x v="37"/>
  </r>
  <r>
    <x v="16"/>
  </r>
  <r>
    <x v="190"/>
  </r>
  <r>
    <x v="182"/>
  </r>
  <r>
    <x v="17"/>
  </r>
  <r>
    <x v="2"/>
  </r>
  <r>
    <x v="190"/>
  </r>
  <r>
    <x v="190"/>
  </r>
  <r>
    <x v="29"/>
  </r>
  <r>
    <x v="331"/>
  </r>
  <r>
    <x v="100"/>
  </r>
  <r>
    <x v="9"/>
  </r>
  <r>
    <x v="331"/>
  </r>
  <r>
    <x v="48"/>
  </r>
  <r>
    <x v="60"/>
  </r>
  <r>
    <x v="152"/>
  </r>
  <r>
    <x v="190"/>
  </r>
  <r>
    <x v="190"/>
  </r>
  <r>
    <x v="152"/>
  </r>
  <r>
    <x v="64"/>
  </r>
  <r>
    <x v="87"/>
  </r>
  <r>
    <x v="190"/>
  </r>
  <r>
    <x v="42"/>
  </r>
  <r>
    <x v="42"/>
  </r>
  <r>
    <x v="42"/>
  </r>
  <r>
    <x v="76"/>
  </r>
  <r>
    <x v="6"/>
  </r>
  <r>
    <x v="17"/>
  </r>
  <r>
    <x v="14"/>
  </r>
  <r>
    <x v="102"/>
  </r>
  <r>
    <x v="14"/>
  </r>
  <r>
    <x v="14"/>
  </r>
  <r>
    <x v="14"/>
  </r>
  <r>
    <x v="14"/>
  </r>
  <r>
    <x v="16"/>
  </r>
  <r>
    <x v="154"/>
  </r>
  <r>
    <x v="154"/>
  </r>
  <r>
    <x v="42"/>
  </r>
  <r>
    <x v="42"/>
  </r>
  <r>
    <x v="78"/>
  </r>
  <r>
    <x v="182"/>
  </r>
  <r>
    <x v="78"/>
  </r>
  <r>
    <x v="78"/>
  </r>
  <r>
    <x v="9"/>
  </r>
  <r>
    <x v="9"/>
  </r>
  <r>
    <x v="10"/>
  </r>
  <r>
    <x v="10"/>
  </r>
  <r>
    <x v="10"/>
  </r>
  <r>
    <x v="48"/>
  </r>
  <r>
    <x v="100"/>
  </r>
  <r>
    <x v="42"/>
  </r>
  <r>
    <x v="32"/>
  </r>
  <r>
    <x v="48"/>
  </r>
  <r>
    <x v="42"/>
  </r>
  <r>
    <x v="48"/>
  </r>
  <r>
    <x v="87"/>
  </r>
  <r>
    <x v="48"/>
  </r>
  <r>
    <x v="48"/>
  </r>
  <r>
    <x v="52"/>
  </r>
  <r>
    <x v="14"/>
  </r>
  <r>
    <x v="42"/>
  </r>
  <r>
    <x v="48"/>
  </r>
  <r>
    <x v="36"/>
  </r>
  <r>
    <x v="36"/>
  </r>
  <r>
    <x v="42"/>
  </r>
  <r>
    <x v="36"/>
  </r>
  <r>
    <x v="157"/>
  </r>
  <r>
    <x v="216"/>
  </r>
  <r>
    <x v="0"/>
  </r>
  <r>
    <x v="25"/>
  </r>
  <r>
    <x v="36"/>
  </r>
  <r>
    <x v="100"/>
  </r>
  <r>
    <x v="154"/>
  </r>
  <r>
    <x v="14"/>
  </r>
  <r>
    <x v="254"/>
  </r>
  <r>
    <x v="25"/>
  </r>
  <r>
    <x v="80"/>
  </r>
  <r>
    <x v="3"/>
  </r>
  <r>
    <x v="3"/>
  </r>
  <r>
    <x v="3"/>
  </r>
  <r>
    <x v="3"/>
  </r>
  <r>
    <x v="3"/>
  </r>
  <r>
    <x v="29"/>
  </r>
  <r>
    <x v="29"/>
  </r>
  <r>
    <x v="3"/>
  </r>
  <r>
    <x v="3"/>
  </r>
  <r>
    <x v="6"/>
  </r>
  <r>
    <x v="253"/>
  </r>
  <r>
    <x v="12"/>
  </r>
  <r>
    <x v="216"/>
  </r>
  <r>
    <x v="216"/>
  </r>
  <r>
    <x v="3"/>
  </r>
  <r>
    <x v="99"/>
  </r>
  <r>
    <x v="177"/>
  </r>
  <r>
    <x v="17"/>
  </r>
  <r>
    <x v="48"/>
  </r>
  <r>
    <x v="55"/>
  </r>
  <r>
    <x v="193"/>
  </r>
  <r>
    <x v="12"/>
  </r>
  <r>
    <x v="145"/>
  </r>
  <r>
    <x v="10"/>
  </r>
  <r>
    <x v="10"/>
  </r>
  <r>
    <x v="154"/>
  </r>
  <r>
    <x v="154"/>
  </r>
  <r>
    <x v="48"/>
  </r>
  <r>
    <x v="56"/>
  </r>
  <r>
    <x v="25"/>
  </r>
  <r>
    <x v="25"/>
  </r>
  <r>
    <x v="25"/>
  </r>
  <r>
    <x v="25"/>
  </r>
  <r>
    <x v="42"/>
  </r>
  <r>
    <x v="25"/>
  </r>
  <r>
    <x v="25"/>
  </r>
  <r>
    <x v="3"/>
  </r>
  <r>
    <x v="25"/>
  </r>
  <r>
    <x v="25"/>
  </r>
  <r>
    <x v="29"/>
  </r>
  <r>
    <x v="48"/>
  </r>
  <r>
    <x v="118"/>
  </r>
  <r>
    <x v="118"/>
  </r>
  <r>
    <x v="15"/>
  </r>
  <r>
    <x v="37"/>
  </r>
  <r>
    <x v="76"/>
  </r>
  <r>
    <x v="0"/>
  </r>
  <r>
    <x v="4"/>
  </r>
  <r>
    <x v="276"/>
  </r>
  <r>
    <x v="48"/>
  </r>
  <r>
    <x v="36"/>
  </r>
  <r>
    <x v="22"/>
  </r>
  <r>
    <x v="25"/>
  </r>
  <r>
    <x v="10"/>
  </r>
  <r>
    <x v="10"/>
  </r>
  <r>
    <x v="76"/>
  </r>
  <r>
    <x v="7"/>
  </r>
  <r>
    <x v="48"/>
  </r>
  <r>
    <x v="79"/>
  </r>
  <r>
    <x v="79"/>
  </r>
  <r>
    <x v="122"/>
  </r>
  <r>
    <x v="165"/>
  </r>
  <r>
    <x v="7"/>
  </r>
  <r>
    <x v="14"/>
  </r>
  <r>
    <x v="12"/>
  </r>
  <r>
    <x v="14"/>
  </r>
  <r>
    <x v="48"/>
  </r>
  <r>
    <x v="190"/>
  </r>
  <r>
    <x v="48"/>
  </r>
  <r>
    <x v="34"/>
  </r>
  <r>
    <x v="2"/>
  </r>
  <r>
    <x v="48"/>
  </r>
  <r>
    <x v="227"/>
  </r>
  <r>
    <x v="59"/>
  </r>
  <r>
    <x v="10"/>
  </r>
  <r>
    <x v="28"/>
  </r>
  <r>
    <x v="48"/>
  </r>
  <r>
    <x v="48"/>
  </r>
  <r>
    <x v="108"/>
  </r>
  <r>
    <x v="0"/>
  </r>
  <r>
    <x v="79"/>
  </r>
  <r>
    <x v="71"/>
  </r>
  <r>
    <x v="100"/>
  </r>
  <r>
    <x v="48"/>
  </r>
  <r>
    <x v="28"/>
  </r>
  <r>
    <x v="0"/>
  </r>
  <r>
    <x v="199"/>
  </r>
  <r>
    <x v="21"/>
  </r>
  <r>
    <x v="0"/>
  </r>
  <r>
    <x v="14"/>
  </r>
  <r>
    <x v="14"/>
  </r>
  <r>
    <x v="14"/>
  </r>
  <r>
    <x v="42"/>
  </r>
  <r>
    <x v="44"/>
  </r>
  <r>
    <x v="0"/>
  </r>
  <r>
    <x v="23"/>
  </r>
  <r>
    <x v="23"/>
  </r>
  <r>
    <x v="42"/>
  </r>
  <r>
    <x v="12"/>
  </r>
  <r>
    <x v="42"/>
  </r>
  <r>
    <x v="28"/>
  </r>
  <r>
    <x v="12"/>
  </r>
  <r>
    <x v="37"/>
  </r>
  <r>
    <x v="87"/>
  </r>
  <r>
    <x v="61"/>
  </r>
  <r>
    <x v="14"/>
  </r>
  <r>
    <x v="28"/>
  </r>
  <r>
    <x v="28"/>
  </r>
  <r>
    <x v="7"/>
  </r>
  <r>
    <x v="15"/>
  </r>
  <r>
    <x v="48"/>
  </r>
  <r>
    <x v="25"/>
  </r>
  <r>
    <x v="12"/>
  </r>
  <r>
    <x v="0"/>
  </r>
  <r>
    <x v="85"/>
  </r>
  <r>
    <x v="14"/>
  </r>
  <r>
    <x v="14"/>
  </r>
  <r>
    <x v="14"/>
  </r>
  <r>
    <x v="28"/>
  </r>
  <r>
    <x v="28"/>
  </r>
  <r>
    <x v="64"/>
  </r>
  <r>
    <x v="41"/>
  </r>
  <r>
    <x v="0"/>
  </r>
  <r>
    <x v="6"/>
  </r>
  <r>
    <x v="14"/>
  </r>
  <r>
    <x v="72"/>
  </r>
  <r>
    <x v="88"/>
  </r>
  <r>
    <x v="107"/>
  </r>
  <r>
    <x v="48"/>
  </r>
  <r>
    <x v="25"/>
  </r>
  <r>
    <x v="9"/>
  </r>
  <r>
    <x v="23"/>
  </r>
  <r>
    <x v="0"/>
  </r>
  <r>
    <x v="8"/>
  </r>
  <r>
    <x v="86"/>
  </r>
  <r>
    <x v="86"/>
  </r>
  <r>
    <x v="86"/>
  </r>
  <r>
    <x v="10"/>
  </r>
  <r>
    <x v="2"/>
  </r>
  <r>
    <x v="2"/>
  </r>
  <r>
    <x v="2"/>
  </r>
  <r>
    <x v="2"/>
  </r>
  <r>
    <x v="2"/>
  </r>
  <r>
    <x v="55"/>
  </r>
  <r>
    <x v="32"/>
  </r>
  <r>
    <x v="32"/>
  </r>
  <r>
    <x v="46"/>
  </r>
  <r>
    <x v="37"/>
  </r>
  <r>
    <x v="34"/>
  </r>
  <r>
    <x v="28"/>
  </r>
  <r>
    <x v="28"/>
  </r>
  <r>
    <x v="78"/>
  </r>
  <r>
    <x v="78"/>
  </r>
  <r>
    <x v="78"/>
  </r>
  <r>
    <x v="78"/>
  </r>
  <r>
    <x v="78"/>
  </r>
  <r>
    <x v="78"/>
  </r>
  <r>
    <x v="78"/>
  </r>
  <r>
    <x v="81"/>
  </r>
  <r>
    <x v="81"/>
  </r>
  <r>
    <x v="0"/>
  </r>
  <r>
    <x v="0"/>
  </r>
  <r>
    <x v="120"/>
  </r>
  <r>
    <x v="2"/>
  </r>
  <r>
    <x v="81"/>
  </r>
  <r>
    <x v="81"/>
  </r>
  <r>
    <x v="14"/>
  </r>
  <r>
    <x v="14"/>
  </r>
  <r>
    <x v="14"/>
  </r>
  <r>
    <x v="81"/>
  </r>
  <r>
    <x v="81"/>
  </r>
  <r>
    <x v="81"/>
  </r>
  <r>
    <x v="81"/>
  </r>
  <r>
    <x v="91"/>
  </r>
  <r>
    <x v="45"/>
  </r>
  <r>
    <x v="242"/>
  </r>
  <r>
    <x v="49"/>
  </r>
  <r>
    <x v="48"/>
  </r>
  <r>
    <x v="22"/>
  </r>
  <r>
    <x v="152"/>
  </r>
  <r>
    <x v="22"/>
  </r>
  <r>
    <x v="22"/>
  </r>
  <r>
    <x v="21"/>
  </r>
  <r>
    <x v="22"/>
  </r>
  <r>
    <x v="14"/>
  </r>
  <r>
    <x v="143"/>
  </r>
  <r>
    <x v="14"/>
  </r>
  <r>
    <x v="14"/>
  </r>
  <r>
    <x v="14"/>
  </r>
  <r>
    <x v="0"/>
  </r>
  <r>
    <x v="42"/>
  </r>
  <r>
    <x v="242"/>
  </r>
  <r>
    <x v="22"/>
  </r>
  <r>
    <x v="242"/>
  </r>
  <r>
    <x v="21"/>
  </r>
  <r>
    <x v="22"/>
  </r>
  <r>
    <x v="22"/>
  </r>
  <r>
    <x v="48"/>
  </r>
  <r>
    <x v="48"/>
  </r>
  <r>
    <x v="48"/>
  </r>
  <r>
    <x v="48"/>
  </r>
  <r>
    <x v="25"/>
  </r>
  <r>
    <x v="10"/>
  </r>
  <r>
    <x v="42"/>
  </r>
  <r>
    <x v="0"/>
  </r>
  <r>
    <x v="0"/>
  </r>
  <r>
    <x v="48"/>
  </r>
  <r>
    <x v="48"/>
  </r>
  <r>
    <x v="28"/>
  </r>
  <r>
    <x v="14"/>
  </r>
  <r>
    <x v="12"/>
  </r>
  <r>
    <x v="48"/>
  </r>
  <r>
    <x v="143"/>
  </r>
  <r>
    <x v="79"/>
  </r>
  <r>
    <x v="6"/>
  </r>
  <r>
    <x v="10"/>
  </r>
  <r>
    <x v="45"/>
  </r>
  <r>
    <x v="22"/>
  </r>
  <r>
    <x v="14"/>
  </r>
  <r>
    <x v="91"/>
  </r>
  <r>
    <x v="91"/>
  </r>
  <r>
    <x v="45"/>
  </r>
  <r>
    <x v="22"/>
  </r>
  <r>
    <x v="9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2"/>
  </r>
  <r>
    <x v="48"/>
  </r>
  <r>
    <x v="25"/>
  </r>
  <r>
    <x v="25"/>
  </r>
  <r>
    <x v="2"/>
  </r>
  <r>
    <x v="2"/>
  </r>
  <r>
    <x v="2"/>
  </r>
  <r>
    <x v="2"/>
  </r>
  <r>
    <x v="2"/>
  </r>
  <r>
    <x v="0"/>
  </r>
  <r>
    <x v="0"/>
  </r>
  <r>
    <x v="0"/>
  </r>
  <r>
    <x v="0"/>
  </r>
  <r>
    <x v="91"/>
  </r>
  <r>
    <x v="0"/>
  </r>
  <r>
    <x v="0"/>
  </r>
  <r>
    <x v="0"/>
  </r>
  <r>
    <x v="91"/>
  </r>
  <r>
    <x v="91"/>
  </r>
  <r>
    <x v="14"/>
  </r>
  <r>
    <x v="14"/>
  </r>
  <r>
    <x v="111"/>
  </r>
  <r>
    <x v="59"/>
  </r>
  <r>
    <x v="11"/>
  </r>
  <r>
    <x v="31"/>
  </r>
  <r>
    <x v="31"/>
  </r>
  <r>
    <x v="14"/>
  </r>
  <r>
    <x v="11"/>
  </r>
  <r>
    <x v="91"/>
  </r>
  <r>
    <x v="31"/>
  </r>
  <r>
    <x v="48"/>
  </r>
  <r>
    <x v="253"/>
  </r>
  <r>
    <x v="31"/>
  </r>
  <r>
    <x v="31"/>
  </r>
  <r>
    <x v="31"/>
  </r>
  <r>
    <x v="112"/>
  </r>
  <r>
    <x v="31"/>
  </r>
  <r>
    <x v="111"/>
  </r>
  <r>
    <x v="111"/>
  </r>
  <r>
    <x v="77"/>
  </r>
  <r>
    <x v="100"/>
  </r>
  <r>
    <x v="93"/>
  </r>
  <r>
    <x v="42"/>
  </r>
  <r>
    <x v="48"/>
  </r>
  <r>
    <x v="2"/>
  </r>
  <r>
    <x v="2"/>
  </r>
  <r>
    <x v="0"/>
  </r>
  <r>
    <x v="48"/>
  </r>
  <r>
    <x v="93"/>
  </r>
  <r>
    <x v="2"/>
  </r>
  <r>
    <x v="100"/>
  </r>
  <r>
    <x v="93"/>
  </r>
  <r>
    <x v="93"/>
  </r>
  <r>
    <x v="28"/>
  </r>
  <r>
    <x v="28"/>
  </r>
  <r>
    <x v="28"/>
  </r>
  <r>
    <x v="28"/>
  </r>
  <r>
    <x v="0"/>
  </r>
  <r>
    <x v="48"/>
  </r>
  <r>
    <x v="86"/>
  </r>
  <r>
    <x v="14"/>
  </r>
  <r>
    <x v="42"/>
  </r>
  <r>
    <x v="42"/>
  </r>
  <r>
    <x v="0"/>
  </r>
  <r>
    <x v="0"/>
  </r>
  <r>
    <x v="42"/>
  </r>
  <r>
    <x v="0"/>
  </r>
  <r>
    <x v="12"/>
  </r>
  <r>
    <x v="14"/>
  </r>
  <r>
    <x v="75"/>
  </r>
  <r>
    <x v="12"/>
  </r>
  <r>
    <x v="12"/>
  </r>
  <r>
    <x v="174"/>
  </r>
  <r>
    <x v="130"/>
  </r>
  <r>
    <x v="130"/>
  </r>
  <r>
    <x v="48"/>
  </r>
  <r>
    <x v="48"/>
  </r>
  <r>
    <x v="17"/>
  </r>
  <r>
    <x v="165"/>
  </r>
  <r>
    <x v="111"/>
  </r>
  <r>
    <x v="3"/>
  </r>
  <r>
    <x v="3"/>
  </r>
  <r>
    <x v="2"/>
  </r>
  <r>
    <x v="48"/>
  </r>
  <r>
    <x v="111"/>
  </r>
  <r>
    <x v="3"/>
  </r>
  <r>
    <x v="3"/>
  </r>
  <r>
    <x v="3"/>
  </r>
  <r>
    <x v="10"/>
  </r>
  <r>
    <x v="10"/>
  </r>
  <r>
    <x v="3"/>
  </r>
  <r>
    <x v="3"/>
  </r>
  <r>
    <x v="10"/>
  </r>
  <r>
    <x v="99"/>
  </r>
  <r>
    <x v="0"/>
  </r>
  <r>
    <x v="46"/>
  </r>
  <r>
    <x v="0"/>
  </r>
  <r>
    <x v="7"/>
  </r>
  <r>
    <x v="7"/>
  </r>
  <r>
    <x v="7"/>
  </r>
  <r>
    <x v="0"/>
  </r>
  <r>
    <x v="0"/>
  </r>
  <r>
    <x v="2"/>
  </r>
  <r>
    <x v="48"/>
  </r>
  <r>
    <x v="49"/>
  </r>
  <r>
    <x v="79"/>
  </r>
  <r>
    <x v="37"/>
  </r>
  <r>
    <x v="17"/>
  </r>
  <r>
    <x v="7"/>
  </r>
  <r>
    <x v="56"/>
  </r>
  <r>
    <x v="56"/>
  </r>
  <r>
    <x v="80"/>
  </r>
  <r>
    <x v="115"/>
  </r>
  <r>
    <x v="24"/>
  </r>
  <r>
    <x v="141"/>
  </r>
  <r>
    <x v="12"/>
  </r>
  <r>
    <x v="31"/>
  </r>
  <r>
    <x v="12"/>
  </r>
  <r>
    <x v="71"/>
  </r>
  <r>
    <x v="48"/>
  </r>
  <r>
    <x v="48"/>
  </r>
  <r>
    <x v="55"/>
  </r>
  <r>
    <x v="31"/>
  </r>
  <r>
    <x v="55"/>
  </r>
  <r>
    <x v="12"/>
  </r>
  <r>
    <x v="48"/>
  </r>
  <r>
    <x v="64"/>
  </r>
  <r>
    <x v="108"/>
  </r>
  <r>
    <x v="46"/>
  </r>
  <r>
    <x v="63"/>
  </r>
  <r>
    <x v="31"/>
  </r>
  <r>
    <x v="3"/>
  </r>
  <r>
    <x v="3"/>
  </r>
  <r>
    <x v="4"/>
  </r>
  <r>
    <x v="12"/>
  </r>
  <r>
    <x v="79"/>
  </r>
  <r>
    <x v="23"/>
  </r>
  <r>
    <x v="23"/>
  </r>
  <r>
    <x v="23"/>
  </r>
  <r>
    <x v="41"/>
  </r>
  <r>
    <x v="229"/>
  </r>
  <r>
    <x v="16"/>
  </r>
  <r>
    <x v="27"/>
  </r>
  <r>
    <x v="27"/>
  </r>
  <r>
    <x v="45"/>
  </r>
  <r>
    <x v="15"/>
  </r>
  <r>
    <x v="46"/>
  </r>
  <r>
    <x v="115"/>
  </r>
  <r>
    <x v="14"/>
  </r>
  <r>
    <x v="14"/>
  </r>
  <r>
    <x v="2"/>
  </r>
  <r>
    <x v="152"/>
  </r>
  <r>
    <x v="80"/>
  </r>
  <r>
    <x v="56"/>
  </r>
  <r>
    <x v="48"/>
  </r>
  <r>
    <x v="48"/>
  </r>
  <r>
    <x v="152"/>
  </r>
  <r>
    <x v="52"/>
  </r>
  <r>
    <x v="4"/>
  </r>
  <r>
    <x v="21"/>
  </r>
  <r>
    <x v="21"/>
  </r>
  <r>
    <x v="21"/>
  </r>
  <r>
    <x v="17"/>
  </r>
  <r>
    <x v="14"/>
  </r>
  <r>
    <x v="14"/>
  </r>
  <r>
    <x v="45"/>
  </r>
  <r>
    <x v="17"/>
  </r>
  <r>
    <x v="17"/>
  </r>
  <r>
    <x v="17"/>
  </r>
  <r>
    <x v="17"/>
  </r>
  <r>
    <x v="17"/>
  </r>
  <r>
    <x v="37"/>
  </r>
  <r>
    <x v="14"/>
  </r>
  <r>
    <x v="48"/>
  </r>
  <r>
    <x v="11"/>
  </r>
  <r>
    <x v="14"/>
  </r>
  <r>
    <x v="11"/>
  </r>
  <r>
    <x v="0"/>
  </r>
  <r>
    <x v="0"/>
  </r>
  <r>
    <x v="21"/>
  </r>
  <r>
    <x v="17"/>
  </r>
  <r>
    <x v="176"/>
  </r>
  <r>
    <x v="12"/>
  </r>
  <r>
    <x v="76"/>
  </r>
  <r>
    <x v="76"/>
  </r>
  <r>
    <x v="10"/>
  </r>
  <r>
    <x v="10"/>
  </r>
  <r>
    <x v="26"/>
  </r>
  <r>
    <x v="71"/>
  </r>
  <r>
    <x v="37"/>
  </r>
  <r>
    <x v="9"/>
  </r>
  <r>
    <x v="21"/>
  </r>
  <r>
    <x v="14"/>
  </r>
  <r>
    <x v="62"/>
  </r>
  <r>
    <x v="9"/>
  </r>
  <r>
    <x v="4"/>
  </r>
  <r>
    <x v="17"/>
  </r>
  <r>
    <x v="10"/>
  </r>
  <r>
    <x v="14"/>
  </r>
  <r>
    <x v="9"/>
  </r>
  <r>
    <x v="10"/>
  </r>
  <r>
    <x v="71"/>
  </r>
  <r>
    <x v="71"/>
  </r>
  <r>
    <x v="34"/>
  </r>
  <r>
    <x v="171"/>
  </r>
  <r>
    <x v="25"/>
  </r>
  <r>
    <x v="17"/>
  </r>
  <r>
    <x v="0"/>
  </r>
  <r>
    <x v="0"/>
  </r>
  <r>
    <x v="0"/>
  </r>
  <r>
    <x v="17"/>
  </r>
  <r>
    <x v="17"/>
  </r>
  <r>
    <x v="37"/>
  </r>
  <r>
    <x v="28"/>
  </r>
  <r>
    <x v="14"/>
  </r>
  <r>
    <x v="4"/>
  </r>
  <r>
    <x v="9"/>
  </r>
  <r>
    <x v="0"/>
  </r>
  <r>
    <x v="4"/>
  </r>
  <r>
    <x v="48"/>
  </r>
  <r>
    <x v="48"/>
  </r>
  <r>
    <x v="22"/>
  </r>
  <r>
    <x v="9"/>
  </r>
  <r>
    <x v="0"/>
  </r>
  <r>
    <x v="14"/>
  </r>
  <r>
    <x v="102"/>
  </r>
  <r>
    <x v="10"/>
  </r>
  <r>
    <x v="48"/>
  </r>
  <r>
    <x v="48"/>
  </r>
  <r>
    <x v="0"/>
  </r>
  <r>
    <x v="25"/>
  </r>
  <r>
    <x v="9"/>
  </r>
  <r>
    <x v="22"/>
  </r>
  <r>
    <x v="42"/>
  </r>
  <r>
    <x v="45"/>
  </r>
  <r>
    <x v="16"/>
  </r>
  <r>
    <x v="4"/>
  </r>
  <r>
    <x v="53"/>
  </r>
  <r>
    <x v="21"/>
  </r>
  <r>
    <x v="28"/>
  </r>
  <r>
    <x v="17"/>
  </r>
  <r>
    <x v="17"/>
  </r>
  <r>
    <x v="17"/>
  </r>
  <r>
    <x v="51"/>
  </r>
  <r>
    <x v="51"/>
  </r>
  <r>
    <x v="17"/>
  </r>
  <r>
    <x v="14"/>
  </r>
  <r>
    <x v="8"/>
  </r>
  <r>
    <x v="174"/>
  </r>
  <r>
    <x v="28"/>
  </r>
  <r>
    <x v="76"/>
  </r>
  <r>
    <x v="76"/>
  </r>
  <r>
    <x v="76"/>
  </r>
  <r>
    <x v="34"/>
  </r>
  <r>
    <x v="34"/>
  </r>
  <r>
    <x v="34"/>
  </r>
  <r>
    <x v="152"/>
  </r>
  <r>
    <x v="102"/>
  </r>
  <r>
    <x v="12"/>
  </r>
  <r>
    <x v="12"/>
  </r>
  <r>
    <x v="31"/>
  </r>
  <r>
    <x v="152"/>
  </r>
  <r>
    <x v="152"/>
  </r>
  <r>
    <x v="63"/>
  </r>
  <r>
    <x v="25"/>
  </r>
  <r>
    <x v="40"/>
  </r>
  <r>
    <x v="37"/>
  </r>
  <r>
    <x v="37"/>
  </r>
  <r>
    <x v="48"/>
  </r>
  <r>
    <x v="14"/>
  </r>
  <r>
    <x v="0"/>
  </r>
  <r>
    <x v="123"/>
  </r>
  <r>
    <x v="123"/>
  </r>
  <r>
    <x v="123"/>
  </r>
  <r>
    <x v="9"/>
  </r>
  <r>
    <x v="0"/>
  </r>
  <r>
    <x v="48"/>
  </r>
  <r>
    <x v="56"/>
  </r>
  <r>
    <x v="34"/>
  </r>
  <r>
    <x v="56"/>
  </r>
  <r>
    <x v="56"/>
  </r>
  <r>
    <x v="56"/>
  </r>
  <r>
    <x v="56"/>
  </r>
  <r>
    <x v="56"/>
  </r>
  <r>
    <x v="56"/>
  </r>
  <r>
    <x v="56"/>
  </r>
  <r>
    <x v="56"/>
  </r>
  <r>
    <x v="17"/>
  </r>
  <r>
    <x v="0"/>
  </r>
  <r>
    <x v="45"/>
  </r>
  <r>
    <x v="17"/>
  </r>
  <r>
    <x v="17"/>
  </r>
  <r>
    <x v="17"/>
  </r>
  <r>
    <x v="8"/>
  </r>
  <r>
    <x v="17"/>
  </r>
  <r>
    <x v="131"/>
  </r>
  <r>
    <x v="61"/>
  </r>
  <r>
    <x v="37"/>
  </r>
  <r>
    <x v="14"/>
  </r>
  <r>
    <x v="52"/>
  </r>
  <r>
    <x v="48"/>
  </r>
  <r>
    <x v="10"/>
  </r>
  <r>
    <x v="56"/>
  </r>
  <r>
    <x v="56"/>
  </r>
  <r>
    <x v="56"/>
  </r>
  <r>
    <x v="56"/>
  </r>
  <r>
    <x v="72"/>
  </r>
  <r>
    <x v="72"/>
  </r>
  <r>
    <x v="136"/>
  </r>
  <r>
    <x v="91"/>
  </r>
  <r>
    <x v="152"/>
  </r>
  <r>
    <x v="152"/>
  </r>
  <r>
    <x v="55"/>
  </r>
  <r>
    <x v="53"/>
  </r>
  <r>
    <x v="55"/>
  </r>
  <r>
    <x v="62"/>
  </r>
  <r>
    <x v="11"/>
  </r>
  <r>
    <x v="11"/>
  </r>
  <r>
    <x v="61"/>
  </r>
  <r>
    <x v="61"/>
  </r>
  <r>
    <x v="14"/>
  </r>
  <r>
    <x v="14"/>
  </r>
  <r>
    <x v="56"/>
  </r>
  <r>
    <x v="14"/>
  </r>
  <r>
    <x v="22"/>
  </r>
  <r>
    <x v="48"/>
  </r>
  <r>
    <x v="29"/>
  </r>
  <r>
    <x v="29"/>
  </r>
  <r>
    <x v="48"/>
  </r>
  <r>
    <x v="10"/>
  </r>
  <r>
    <x v="28"/>
  </r>
  <r>
    <x v="48"/>
  </r>
  <r>
    <x v="0"/>
  </r>
  <r>
    <x v="48"/>
  </r>
  <r>
    <x v="48"/>
  </r>
  <r>
    <x v="48"/>
  </r>
  <r>
    <x v="14"/>
  </r>
  <r>
    <x v="26"/>
  </r>
  <r>
    <x v="77"/>
  </r>
  <r>
    <x v="14"/>
  </r>
  <r>
    <x v="4"/>
  </r>
  <r>
    <x v="48"/>
  </r>
  <r>
    <x v="48"/>
  </r>
  <r>
    <x v="2"/>
  </r>
  <r>
    <x v="29"/>
  </r>
  <r>
    <x v="36"/>
  </r>
  <r>
    <x v="25"/>
  </r>
  <r>
    <x v="36"/>
  </r>
  <r>
    <x v="3"/>
  </r>
  <r>
    <x v="28"/>
  </r>
  <r>
    <x v="28"/>
  </r>
  <r>
    <x v="24"/>
  </r>
  <r>
    <x v="25"/>
  </r>
  <r>
    <x v="28"/>
  </r>
  <r>
    <x v="0"/>
  </r>
  <r>
    <x v="0"/>
  </r>
  <r>
    <x v="49"/>
  </r>
  <r>
    <x v="2"/>
  </r>
  <r>
    <x v="48"/>
  </r>
  <r>
    <x v="34"/>
  </r>
  <r>
    <x v="48"/>
  </r>
  <r>
    <x v="12"/>
  </r>
  <r>
    <x v="12"/>
  </r>
  <r>
    <x v="62"/>
  </r>
  <r>
    <x v="48"/>
  </r>
  <r>
    <x v="0"/>
  </r>
  <r>
    <x v="0"/>
  </r>
  <r>
    <x v="48"/>
  </r>
  <r>
    <x v="24"/>
  </r>
  <r>
    <x v="24"/>
  </r>
  <r>
    <x v="93"/>
  </r>
  <r>
    <x v="14"/>
  </r>
  <r>
    <x v="115"/>
  </r>
  <r>
    <x v="14"/>
  </r>
  <r>
    <x v="10"/>
  </r>
  <r>
    <x v="10"/>
  </r>
  <r>
    <x v="62"/>
  </r>
  <r>
    <x v="62"/>
  </r>
  <r>
    <x v="12"/>
  </r>
  <r>
    <x v="12"/>
  </r>
  <r>
    <x v="12"/>
  </r>
  <r>
    <x v="12"/>
  </r>
  <r>
    <x v="28"/>
  </r>
  <r>
    <x v="10"/>
  </r>
  <r>
    <x v="9"/>
  </r>
  <r>
    <x v="21"/>
  </r>
  <r>
    <x v="14"/>
  </r>
  <r>
    <x v="31"/>
  </r>
  <r>
    <x v="57"/>
  </r>
  <r>
    <x v="9"/>
  </r>
  <r>
    <x v="16"/>
  </r>
  <r>
    <x v="14"/>
  </r>
  <r>
    <x v="14"/>
  </r>
  <r>
    <x v="0"/>
  </r>
  <r>
    <x v="0"/>
  </r>
  <r>
    <x v="0"/>
  </r>
  <r>
    <x v="0"/>
  </r>
  <r>
    <x v="10"/>
  </r>
  <r>
    <x v="10"/>
  </r>
  <r>
    <x v="0"/>
  </r>
  <r>
    <x v="14"/>
  </r>
  <r>
    <x v="14"/>
  </r>
  <r>
    <x v="24"/>
  </r>
  <r>
    <x v="24"/>
  </r>
  <r>
    <x v="14"/>
  </r>
  <r>
    <x v="14"/>
  </r>
  <r>
    <x v="16"/>
  </r>
  <r>
    <x v="16"/>
  </r>
  <r>
    <x v="28"/>
  </r>
  <r>
    <x v="123"/>
  </r>
  <r>
    <x v="17"/>
  </r>
  <r>
    <x v="130"/>
  </r>
  <r>
    <x v="130"/>
  </r>
  <r>
    <x v="55"/>
  </r>
  <r>
    <x v="6"/>
  </r>
  <r>
    <x v="34"/>
  </r>
  <r>
    <x v="48"/>
  </r>
  <r>
    <x v="0"/>
  </r>
  <r>
    <x v="0"/>
  </r>
  <r>
    <x v="24"/>
  </r>
  <r>
    <x v="130"/>
  </r>
  <r>
    <x v="130"/>
  </r>
  <r>
    <x v="45"/>
  </r>
  <r>
    <x v="45"/>
  </r>
  <r>
    <x v="0"/>
  </r>
  <r>
    <x v="0"/>
  </r>
  <r>
    <x v="10"/>
  </r>
  <r>
    <x v="10"/>
  </r>
  <r>
    <x v="53"/>
  </r>
  <r>
    <x v="21"/>
  </r>
  <r>
    <x v="2"/>
  </r>
  <r>
    <x v="2"/>
  </r>
  <r>
    <x v="10"/>
  </r>
  <r>
    <x v="14"/>
  </r>
  <r>
    <x v="14"/>
  </r>
  <r>
    <x v="14"/>
  </r>
  <r>
    <x v="4"/>
  </r>
  <r>
    <x v="17"/>
  </r>
  <r>
    <x v="45"/>
  </r>
  <r>
    <x v="0"/>
  </r>
  <r>
    <x v="34"/>
  </r>
  <r>
    <x v="60"/>
  </r>
  <r>
    <x v="0"/>
  </r>
  <r>
    <x v="0"/>
  </r>
  <r>
    <x v="0"/>
  </r>
  <r>
    <x v="0"/>
  </r>
  <r>
    <x v="21"/>
  </r>
  <r>
    <x v="46"/>
  </r>
  <r>
    <x v="46"/>
  </r>
  <r>
    <x v="46"/>
  </r>
  <r>
    <x v="28"/>
  </r>
  <r>
    <x v="0"/>
  </r>
  <r>
    <x v="0"/>
  </r>
  <r>
    <x v="14"/>
  </r>
  <r>
    <x v="14"/>
  </r>
  <r>
    <x v="14"/>
  </r>
  <r>
    <x v="17"/>
  </r>
  <r>
    <x v="16"/>
  </r>
  <r>
    <x v="16"/>
  </r>
  <r>
    <x v="17"/>
  </r>
  <r>
    <x v="14"/>
  </r>
  <r>
    <x v="14"/>
  </r>
  <r>
    <x v="14"/>
  </r>
  <r>
    <x v="64"/>
  </r>
  <r>
    <x v="14"/>
  </r>
  <r>
    <x v="28"/>
  </r>
  <r>
    <x v="15"/>
  </r>
  <r>
    <x v="2"/>
  </r>
  <r>
    <x v="102"/>
  </r>
  <r>
    <x v="12"/>
  </r>
  <r>
    <x v="34"/>
  </r>
  <r>
    <x v="0"/>
  </r>
  <r>
    <x v="17"/>
  </r>
  <r>
    <x v="64"/>
  </r>
  <r>
    <x v="48"/>
  </r>
  <r>
    <x v="64"/>
  </r>
  <r>
    <x v="44"/>
  </r>
  <r>
    <x v="17"/>
  </r>
  <r>
    <x v="24"/>
  </r>
  <r>
    <x v="24"/>
  </r>
  <r>
    <x v="12"/>
  </r>
  <r>
    <x v="37"/>
  </r>
  <r>
    <x v="11"/>
  </r>
  <r>
    <x v="24"/>
  </r>
  <r>
    <x v="84"/>
  </r>
  <r>
    <x v="30"/>
  </r>
  <r>
    <x v="0"/>
  </r>
  <r>
    <x v="2"/>
  </r>
  <r>
    <x v="10"/>
  </r>
  <r>
    <x v="17"/>
  </r>
  <r>
    <x v="17"/>
  </r>
  <r>
    <x v="17"/>
  </r>
  <r>
    <x v="28"/>
  </r>
  <r>
    <x v="16"/>
  </r>
  <r>
    <x v="0"/>
  </r>
  <r>
    <x v="14"/>
  </r>
  <r>
    <x v="14"/>
  </r>
  <r>
    <x v="14"/>
  </r>
  <r>
    <x v="131"/>
  </r>
  <r>
    <x v="131"/>
  </r>
  <r>
    <x v="141"/>
  </r>
  <r>
    <x v="141"/>
  </r>
  <r>
    <x v="12"/>
  </r>
  <r>
    <x v="12"/>
  </r>
  <r>
    <x v="14"/>
  </r>
  <r>
    <x v="62"/>
  </r>
  <r>
    <x v="171"/>
  </r>
  <r>
    <x v="131"/>
  </r>
  <r>
    <x v="131"/>
  </r>
  <r>
    <x v="171"/>
  </r>
  <r>
    <x v="62"/>
  </r>
  <r>
    <x v="62"/>
  </r>
  <r>
    <x v="62"/>
  </r>
  <r>
    <x v="14"/>
  </r>
  <r>
    <x v="39"/>
  </r>
  <r>
    <x v="22"/>
  </r>
  <r>
    <x v="22"/>
  </r>
  <r>
    <x v="12"/>
  </r>
  <r>
    <x v="16"/>
  </r>
  <r>
    <x v="0"/>
  </r>
  <r>
    <x v="17"/>
  </r>
  <r>
    <x v="17"/>
  </r>
  <r>
    <x v="0"/>
  </r>
  <r>
    <x v="17"/>
  </r>
  <r>
    <x v="10"/>
  </r>
  <r>
    <x v="0"/>
  </r>
  <r>
    <x v="0"/>
  </r>
  <r>
    <x v="14"/>
  </r>
  <r>
    <x v="28"/>
  </r>
  <r>
    <x v="28"/>
  </r>
  <r>
    <x v="0"/>
  </r>
  <r>
    <x v="17"/>
  </r>
  <r>
    <x v="21"/>
  </r>
  <r>
    <x v="0"/>
  </r>
  <r>
    <x v="14"/>
  </r>
  <r>
    <x v="0"/>
  </r>
  <r>
    <x v="14"/>
  </r>
  <r>
    <x v="14"/>
  </r>
  <r>
    <x v="14"/>
  </r>
  <r>
    <x v="14"/>
  </r>
  <r>
    <x v="17"/>
  </r>
  <r>
    <x v="10"/>
  </r>
  <r>
    <x v="14"/>
  </r>
  <r>
    <x v="0"/>
  </r>
  <r>
    <x v="141"/>
  </r>
  <r>
    <x v="22"/>
  </r>
  <r>
    <x v="62"/>
  </r>
  <r>
    <x v="11"/>
  </r>
  <r>
    <x v="62"/>
  </r>
  <r>
    <x v="62"/>
  </r>
  <r>
    <x v="10"/>
  </r>
  <r>
    <x v="12"/>
  </r>
  <r>
    <x v="63"/>
  </r>
  <r>
    <x v="9"/>
  </r>
  <r>
    <x v="62"/>
  </r>
  <r>
    <x v="10"/>
  </r>
  <r>
    <x v="10"/>
  </r>
  <r>
    <x v="0"/>
  </r>
  <r>
    <x v="28"/>
  </r>
  <r>
    <x v="28"/>
  </r>
  <r>
    <x v="12"/>
  </r>
  <r>
    <x v="62"/>
  </r>
  <r>
    <x v="7"/>
  </r>
  <r>
    <x v="17"/>
  </r>
  <r>
    <x v="17"/>
  </r>
  <r>
    <x v="62"/>
  </r>
  <r>
    <x v="45"/>
  </r>
  <r>
    <x v="9"/>
  </r>
  <r>
    <x v="9"/>
  </r>
  <r>
    <x v="14"/>
  </r>
  <r>
    <x v="17"/>
  </r>
  <r>
    <x v="62"/>
  </r>
  <r>
    <x v="62"/>
  </r>
  <r>
    <x v="9"/>
  </r>
  <r>
    <x v="10"/>
  </r>
  <r>
    <x v="10"/>
  </r>
  <r>
    <x v="171"/>
  </r>
  <r>
    <x v="0"/>
  </r>
  <r>
    <x v="14"/>
  </r>
  <r>
    <x v="10"/>
  </r>
  <r>
    <x v="14"/>
  </r>
  <r>
    <x v="131"/>
  </r>
  <r>
    <x v="31"/>
  </r>
  <r>
    <x v="17"/>
  </r>
  <r>
    <x v="22"/>
  </r>
  <r>
    <x v="48"/>
  </r>
  <r>
    <x v="48"/>
  </r>
  <r>
    <x v="62"/>
  </r>
  <r>
    <x v="33"/>
  </r>
  <r>
    <x v="224"/>
  </r>
  <r>
    <x v="16"/>
  </r>
  <r>
    <x v="14"/>
  </r>
  <r>
    <x v="33"/>
  </r>
  <r>
    <x v="53"/>
  </r>
  <r>
    <x v="48"/>
  </r>
  <r>
    <x v="56"/>
  </r>
  <r>
    <x v="37"/>
  </r>
  <r>
    <x v="16"/>
  </r>
  <r>
    <x v="10"/>
  </r>
  <r>
    <x v="10"/>
  </r>
  <r>
    <x v="10"/>
  </r>
  <r>
    <x v="14"/>
  </r>
  <r>
    <x v="14"/>
  </r>
  <r>
    <x v="14"/>
  </r>
  <r>
    <x v="16"/>
  </r>
  <r>
    <x v="10"/>
  </r>
  <r>
    <x v="62"/>
  </r>
  <r>
    <x v="62"/>
  </r>
  <r>
    <x v="62"/>
  </r>
  <r>
    <x v="55"/>
  </r>
  <r>
    <x v="9"/>
  </r>
  <r>
    <x v="10"/>
  </r>
  <r>
    <x v="45"/>
  </r>
  <r>
    <x v="45"/>
  </r>
  <r>
    <x v="28"/>
  </r>
  <r>
    <x v="14"/>
  </r>
  <r>
    <x v="0"/>
  </r>
  <r>
    <x v="45"/>
  </r>
  <r>
    <x v="17"/>
  </r>
  <r>
    <x v="12"/>
  </r>
  <r>
    <x v="28"/>
  </r>
  <r>
    <x v="45"/>
  </r>
  <r>
    <x v="131"/>
  </r>
  <r>
    <x v="12"/>
  </r>
  <r>
    <x v="11"/>
  </r>
  <r>
    <x v="11"/>
  </r>
  <r>
    <x v="12"/>
  </r>
  <r>
    <x v="10"/>
  </r>
  <r>
    <x v="28"/>
  </r>
  <r>
    <x v="10"/>
  </r>
  <r>
    <x v="10"/>
  </r>
  <r>
    <x v="10"/>
  </r>
  <r>
    <x v="59"/>
  </r>
  <r>
    <x v="14"/>
  </r>
  <r>
    <x v="14"/>
  </r>
  <r>
    <x v="12"/>
  </r>
  <r>
    <x v="11"/>
  </r>
  <r>
    <x v="48"/>
  </r>
  <r>
    <x v="187"/>
  </r>
  <r>
    <x v="0"/>
  </r>
  <r>
    <x v="40"/>
  </r>
  <r>
    <x v="37"/>
  </r>
  <r>
    <x v="28"/>
  </r>
  <r>
    <x v="130"/>
  </r>
  <r>
    <x v="10"/>
  </r>
  <r>
    <x v="10"/>
  </r>
  <r>
    <x v="11"/>
  </r>
  <r>
    <x v="28"/>
  </r>
  <r>
    <x v="37"/>
  </r>
  <r>
    <x v="31"/>
  </r>
  <r>
    <x v="31"/>
  </r>
  <r>
    <x v="31"/>
  </r>
  <r>
    <x v="51"/>
  </r>
  <r>
    <x v="21"/>
  </r>
  <r>
    <x v="14"/>
  </r>
  <r>
    <x v="12"/>
  </r>
  <r>
    <x v="14"/>
  </r>
  <r>
    <x v="0"/>
  </r>
  <r>
    <x v="14"/>
  </r>
  <r>
    <x v="46"/>
  </r>
  <r>
    <x v="46"/>
  </r>
  <r>
    <x v="61"/>
  </r>
  <r>
    <x v="138"/>
  </r>
  <r>
    <x v="25"/>
  </r>
  <r>
    <x v="22"/>
  </r>
  <r>
    <x v="22"/>
  </r>
  <r>
    <x v="22"/>
  </r>
  <r>
    <x v="0"/>
  </r>
  <r>
    <x v="24"/>
  </r>
  <r>
    <x v="24"/>
  </r>
  <r>
    <x v="12"/>
  </r>
  <r>
    <x v="78"/>
  </r>
  <r>
    <x v="78"/>
  </r>
  <r>
    <x v="78"/>
  </r>
  <r>
    <x v="78"/>
  </r>
  <r>
    <x v="12"/>
  </r>
  <r>
    <x v="17"/>
  </r>
  <r>
    <x v="21"/>
  </r>
  <r>
    <x v="30"/>
  </r>
  <r>
    <x v="31"/>
  </r>
  <r>
    <x v="48"/>
  </r>
  <r>
    <x v="187"/>
  </r>
  <r>
    <x v="17"/>
  </r>
  <r>
    <x v="21"/>
  </r>
  <r>
    <x v="12"/>
  </r>
  <r>
    <x v="224"/>
  </r>
  <r>
    <x v="14"/>
  </r>
  <r>
    <x v="14"/>
  </r>
  <r>
    <x v="22"/>
  </r>
  <r>
    <x v="45"/>
  </r>
  <r>
    <x v="12"/>
  </r>
  <r>
    <x v="17"/>
  </r>
  <r>
    <x v="17"/>
  </r>
  <r>
    <x v="10"/>
  </r>
  <r>
    <x v="45"/>
  </r>
  <r>
    <x v="2"/>
  </r>
  <r>
    <x v="52"/>
  </r>
  <r>
    <x v="52"/>
  </r>
  <r>
    <x v="17"/>
  </r>
  <r>
    <x v="17"/>
  </r>
  <r>
    <x v="17"/>
  </r>
  <r>
    <x v="16"/>
  </r>
  <r>
    <x v="31"/>
  </r>
  <r>
    <x v="16"/>
  </r>
  <r>
    <x v="0"/>
  </r>
  <r>
    <x v="42"/>
  </r>
  <r>
    <x v="48"/>
  </r>
  <r>
    <x v="48"/>
  </r>
  <r>
    <x v="48"/>
  </r>
  <r>
    <x v="24"/>
  </r>
  <r>
    <x v="39"/>
  </r>
  <r>
    <x v="24"/>
  </r>
  <r>
    <x v="34"/>
  </r>
  <r>
    <x v="34"/>
  </r>
  <r>
    <x v="7"/>
  </r>
  <r>
    <x v="7"/>
  </r>
  <r>
    <x v="28"/>
  </r>
  <r>
    <x v="24"/>
  </r>
  <r>
    <x v="34"/>
  </r>
  <r>
    <x v="14"/>
  </r>
  <r>
    <x v="48"/>
  </r>
  <r>
    <x v="9"/>
  </r>
  <r>
    <x v="28"/>
  </r>
  <r>
    <x v="2"/>
  </r>
  <r>
    <x v="2"/>
  </r>
  <r>
    <x v="271"/>
  </r>
  <r>
    <x v="59"/>
  </r>
  <r>
    <x v="0"/>
  </r>
  <r>
    <x v="10"/>
  </r>
  <r>
    <x v="51"/>
  </r>
  <r>
    <x v="14"/>
  </r>
  <r>
    <x v="0"/>
  </r>
  <r>
    <x v="0"/>
  </r>
  <r>
    <x v="118"/>
  </r>
  <r>
    <x v="48"/>
  </r>
  <r>
    <x v="48"/>
  </r>
  <r>
    <x v="17"/>
  </r>
  <r>
    <x v="24"/>
  </r>
  <r>
    <x v="10"/>
  </r>
  <r>
    <x v="0"/>
  </r>
  <r>
    <x v="0"/>
  </r>
  <r>
    <x v="53"/>
  </r>
  <r>
    <x v="30"/>
  </r>
  <r>
    <x v="30"/>
  </r>
  <r>
    <x v="30"/>
  </r>
  <r>
    <x v="14"/>
  </r>
  <r>
    <x v="14"/>
  </r>
  <r>
    <x v="16"/>
  </r>
  <r>
    <x v="64"/>
  </r>
  <r>
    <x v="25"/>
  </r>
  <r>
    <x v="122"/>
  </r>
  <r>
    <x v="102"/>
  </r>
  <r>
    <x v="12"/>
  </r>
  <r>
    <x v="12"/>
  </r>
  <r>
    <x v="25"/>
  </r>
  <r>
    <x v="25"/>
  </r>
  <r>
    <x v="25"/>
  </r>
  <r>
    <x v="45"/>
  </r>
  <r>
    <x v="0"/>
  </r>
  <r>
    <x v="10"/>
  </r>
  <r>
    <x v="10"/>
  </r>
  <r>
    <x v="102"/>
  </r>
  <r>
    <x v="0"/>
  </r>
  <r>
    <x v="17"/>
  </r>
  <r>
    <x v="14"/>
  </r>
  <r>
    <x v="14"/>
  </r>
  <r>
    <x v="14"/>
  </r>
  <r>
    <x v="12"/>
  </r>
  <r>
    <x v="29"/>
  </r>
  <r>
    <x v="21"/>
  </r>
  <r>
    <x v="6"/>
  </r>
  <r>
    <x v="2"/>
  </r>
  <r>
    <x v="2"/>
  </r>
  <r>
    <x v="6"/>
  </r>
  <r>
    <x v="6"/>
  </r>
  <r>
    <x v="6"/>
  </r>
  <r>
    <x v="131"/>
  </r>
  <r>
    <x v="14"/>
  </r>
  <r>
    <x v="72"/>
  </r>
  <r>
    <x v="35"/>
  </r>
  <r>
    <x v="4"/>
  </r>
  <r>
    <x v="4"/>
  </r>
  <r>
    <x v="14"/>
  </r>
  <r>
    <x v="14"/>
  </r>
  <r>
    <x v="14"/>
  </r>
  <r>
    <x v="12"/>
  </r>
  <r>
    <x v="14"/>
  </r>
  <r>
    <x v="14"/>
  </r>
  <r>
    <x v="17"/>
  </r>
  <r>
    <x v="17"/>
  </r>
  <r>
    <x v="17"/>
  </r>
  <r>
    <x v="0"/>
  </r>
  <r>
    <x v="14"/>
  </r>
  <r>
    <x v="45"/>
  </r>
  <r>
    <x v="28"/>
  </r>
  <r>
    <x v="34"/>
  </r>
  <r>
    <x v="48"/>
  </r>
  <r>
    <x v="20"/>
  </r>
  <r>
    <x v="53"/>
  </r>
  <r>
    <x v="25"/>
  </r>
  <r>
    <x v="19"/>
  </r>
  <r>
    <x v="48"/>
  </r>
  <r>
    <x v="130"/>
  </r>
  <r>
    <x v="17"/>
  </r>
  <r>
    <x v="81"/>
  </r>
  <r>
    <x v="154"/>
  </r>
  <r>
    <x v="111"/>
  </r>
  <r>
    <x v="48"/>
  </r>
  <r>
    <x v="10"/>
  </r>
  <r>
    <x v="10"/>
  </r>
  <r>
    <x v="14"/>
  </r>
  <r>
    <x v="14"/>
  </r>
  <r>
    <x v="29"/>
  </r>
  <r>
    <x v="45"/>
  </r>
  <r>
    <x v="14"/>
  </r>
  <r>
    <x v="16"/>
  </r>
  <r>
    <x v="16"/>
  </r>
  <r>
    <x v="42"/>
  </r>
  <r>
    <x v="0"/>
  </r>
  <r>
    <x v="41"/>
  </r>
  <r>
    <x v="249"/>
  </r>
  <r>
    <x v="10"/>
  </r>
  <r>
    <x v="48"/>
  </r>
  <r>
    <x v="41"/>
  </r>
  <r>
    <x v="48"/>
  </r>
  <r>
    <x v="62"/>
  </r>
  <r>
    <x v="10"/>
  </r>
  <r>
    <x v="11"/>
  </r>
  <r>
    <x v="14"/>
  </r>
  <r>
    <x v="14"/>
  </r>
  <r>
    <x v="10"/>
  </r>
  <r>
    <x v="0"/>
  </r>
  <r>
    <x v="21"/>
  </r>
  <r>
    <x v="14"/>
  </r>
  <r>
    <x v="14"/>
  </r>
  <r>
    <x v="10"/>
  </r>
  <r>
    <x v="60"/>
  </r>
  <r>
    <x v="166"/>
  </r>
  <r>
    <x v="28"/>
  </r>
  <r>
    <x v="24"/>
  </r>
  <r>
    <x v="24"/>
  </r>
  <r>
    <x v="28"/>
  </r>
  <r>
    <x v="52"/>
  </r>
  <r>
    <x v="48"/>
  </r>
  <r>
    <x v="48"/>
  </r>
  <r>
    <x v="48"/>
  </r>
  <r>
    <x v="132"/>
  </r>
  <r>
    <x v="48"/>
  </r>
  <r>
    <x v="28"/>
  </r>
  <r>
    <x v="4"/>
  </r>
  <r>
    <x v="171"/>
  </r>
  <r>
    <x v="171"/>
  </r>
  <r>
    <x v="171"/>
  </r>
  <r>
    <x v="171"/>
  </r>
  <r>
    <x v="16"/>
  </r>
  <r>
    <x v="46"/>
  </r>
  <r>
    <x v="130"/>
  </r>
  <r>
    <x v="130"/>
  </r>
  <r>
    <x v="2"/>
  </r>
  <r>
    <x v="130"/>
  </r>
  <r>
    <x v="2"/>
  </r>
  <r>
    <x v="48"/>
  </r>
  <r>
    <x v="48"/>
  </r>
  <r>
    <x v="2"/>
  </r>
  <r>
    <x v="12"/>
  </r>
  <r>
    <x v="64"/>
  </r>
  <r>
    <x v="17"/>
  </r>
  <r>
    <x v="14"/>
  </r>
  <r>
    <x v="46"/>
  </r>
  <r>
    <x v="64"/>
  </r>
  <r>
    <x v="41"/>
  </r>
  <r>
    <x v="17"/>
  </r>
  <r>
    <x v="130"/>
  </r>
  <r>
    <x v="12"/>
  </r>
  <r>
    <x v="11"/>
  </r>
  <r>
    <x v="24"/>
  </r>
  <r>
    <x v="16"/>
  </r>
  <r>
    <x v="48"/>
  </r>
  <r>
    <x v="16"/>
  </r>
  <r>
    <x v="45"/>
  </r>
  <r>
    <x v="11"/>
  </r>
  <r>
    <x v="16"/>
  </r>
  <r>
    <x v="17"/>
  </r>
  <r>
    <x v="74"/>
  </r>
  <r>
    <x v="21"/>
  </r>
  <r>
    <x v="21"/>
  </r>
  <r>
    <x v="8"/>
  </r>
  <r>
    <x v="8"/>
  </r>
  <r>
    <x v="8"/>
  </r>
  <r>
    <x v="21"/>
  </r>
  <r>
    <x v="14"/>
  </r>
  <r>
    <x v="74"/>
  </r>
  <r>
    <x v="7"/>
  </r>
  <r>
    <x v="14"/>
  </r>
  <r>
    <x v="42"/>
  </r>
  <r>
    <x v="48"/>
  </r>
  <r>
    <x v="7"/>
  </r>
  <r>
    <x v="113"/>
  </r>
  <r>
    <x v="113"/>
  </r>
  <r>
    <x v="114"/>
  </r>
  <r>
    <x v="31"/>
  </r>
  <r>
    <x v="34"/>
  </r>
  <r>
    <x v="49"/>
  </r>
  <r>
    <x v="49"/>
  </r>
  <r>
    <x v="49"/>
  </r>
  <r>
    <x v="40"/>
  </r>
  <r>
    <x v="88"/>
  </r>
  <r>
    <x v="118"/>
  </r>
  <r>
    <x v="3"/>
  </r>
  <r>
    <x v="3"/>
  </r>
  <r>
    <x v="3"/>
  </r>
  <r>
    <x v="14"/>
  </r>
  <r>
    <x v="14"/>
  </r>
  <r>
    <x v="14"/>
  </r>
  <r>
    <x v="14"/>
  </r>
  <r>
    <x v="115"/>
  </r>
  <r>
    <x v="71"/>
  </r>
  <r>
    <x v="45"/>
  </r>
  <r>
    <x v="45"/>
  </r>
  <r>
    <x v="44"/>
  </r>
  <r>
    <x v="17"/>
  </r>
  <r>
    <x v="17"/>
  </r>
  <r>
    <x v="111"/>
  </r>
  <r>
    <x v="81"/>
  </r>
  <r>
    <x v="81"/>
  </r>
  <r>
    <x v="112"/>
  </r>
  <r>
    <x v="112"/>
  </r>
  <r>
    <x v="48"/>
  </r>
  <r>
    <x v="48"/>
  </r>
  <r>
    <x v="48"/>
  </r>
  <r>
    <x v="33"/>
  </r>
  <r>
    <x v="48"/>
  </r>
  <r>
    <x v="48"/>
  </r>
  <r>
    <x v="82"/>
  </r>
  <r>
    <x v="25"/>
  </r>
  <r>
    <x v="25"/>
  </r>
  <r>
    <x v="25"/>
  </r>
  <r>
    <x v="25"/>
  </r>
  <r>
    <x v="25"/>
  </r>
  <r>
    <x v="25"/>
  </r>
  <r>
    <x v="14"/>
  </r>
  <r>
    <x v="14"/>
  </r>
  <r>
    <x v="14"/>
  </r>
  <r>
    <x v="28"/>
  </r>
  <r>
    <x v="46"/>
  </r>
  <r>
    <x v="14"/>
  </r>
  <r>
    <x v="45"/>
  </r>
  <r>
    <x v="45"/>
  </r>
  <r>
    <x v="131"/>
  </r>
  <r>
    <x v="48"/>
  </r>
  <r>
    <x v="9"/>
  </r>
  <r>
    <x v="48"/>
  </r>
  <r>
    <x v="48"/>
  </r>
  <r>
    <x v="33"/>
  </r>
  <r>
    <x v="48"/>
  </r>
  <r>
    <x v="48"/>
  </r>
  <r>
    <x v="14"/>
  </r>
  <r>
    <x v="130"/>
  </r>
  <r>
    <x v="34"/>
  </r>
  <r>
    <x v="11"/>
  </r>
  <r>
    <x v="22"/>
  </r>
  <r>
    <x v="22"/>
  </r>
  <r>
    <x v="14"/>
  </r>
  <r>
    <x v="28"/>
  </r>
  <r>
    <x v="16"/>
  </r>
  <r>
    <x v="14"/>
  </r>
  <r>
    <x v="166"/>
  </r>
  <r>
    <x v="0"/>
  </r>
  <r>
    <x v="130"/>
  </r>
  <r>
    <x v="61"/>
  </r>
  <r>
    <x v="45"/>
  </r>
  <r>
    <x v="41"/>
  </r>
  <r>
    <x v="45"/>
  </r>
  <r>
    <x v="28"/>
  </r>
  <r>
    <x v="28"/>
  </r>
  <r>
    <x v="16"/>
  </r>
  <r>
    <x v="28"/>
  </r>
  <r>
    <x v="14"/>
  </r>
  <r>
    <x v="14"/>
  </r>
  <r>
    <x v="14"/>
  </r>
  <r>
    <x v="22"/>
  </r>
  <r>
    <x v="22"/>
  </r>
  <r>
    <x v="14"/>
  </r>
  <r>
    <x v="45"/>
  </r>
  <r>
    <x v="61"/>
  </r>
  <r>
    <x v="130"/>
  </r>
  <r>
    <x v="17"/>
  </r>
  <r>
    <x v="79"/>
  </r>
  <r>
    <x v="79"/>
  </r>
  <r>
    <x v="79"/>
  </r>
  <r>
    <x v="48"/>
  </r>
  <r>
    <x v="171"/>
  </r>
  <r>
    <x v="48"/>
  </r>
  <r>
    <x v="16"/>
  </r>
  <r>
    <x v="77"/>
  </r>
  <r>
    <x v="7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48"/>
  </r>
  <r>
    <x v="2"/>
  </r>
  <r>
    <x v="2"/>
  </r>
  <r>
    <x v="16"/>
  </r>
  <r>
    <x v="24"/>
  </r>
  <r>
    <x v="23"/>
  </r>
  <r>
    <x v="64"/>
  </r>
  <r>
    <x v="62"/>
  </r>
  <r>
    <x v="130"/>
  </r>
  <r>
    <x v="41"/>
  </r>
  <r>
    <x v="0"/>
  </r>
  <r>
    <x v="14"/>
  </r>
  <r>
    <x v="14"/>
  </r>
  <r>
    <x v="16"/>
  </r>
  <r>
    <x v="10"/>
  </r>
  <r>
    <x v="14"/>
  </r>
  <r>
    <x v="28"/>
  </r>
  <r>
    <x v="14"/>
  </r>
  <r>
    <x v="14"/>
  </r>
  <r>
    <x v="14"/>
  </r>
  <r>
    <x v="14"/>
  </r>
  <r>
    <x v="14"/>
  </r>
  <r>
    <x v="14"/>
  </r>
  <r>
    <x v="14"/>
  </r>
  <r>
    <x v="14"/>
  </r>
  <r>
    <x v="41"/>
  </r>
  <r>
    <x v="41"/>
  </r>
  <r>
    <x v="130"/>
  </r>
  <r>
    <x v="46"/>
  </r>
  <r>
    <x v="22"/>
  </r>
  <r>
    <x v="55"/>
  </r>
  <r>
    <x v="64"/>
  </r>
  <r>
    <x v="31"/>
  </r>
  <r>
    <x v="30"/>
  </r>
  <r>
    <x v="17"/>
  </r>
  <r>
    <x v="17"/>
  </r>
  <r>
    <x v="16"/>
  </r>
  <r>
    <x v="14"/>
  </r>
  <r>
    <x v="224"/>
  </r>
  <r>
    <x v="14"/>
  </r>
  <r>
    <x v="14"/>
  </r>
  <r>
    <x v="37"/>
  </r>
  <r>
    <x v="2"/>
  </r>
  <r>
    <x v="2"/>
  </r>
  <r>
    <x v="62"/>
  </r>
  <r>
    <x v="16"/>
  </r>
  <r>
    <x v="16"/>
  </r>
  <r>
    <x v="78"/>
  </r>
  <r>
    <x v="14"/>
  </r>
  <r>
    <x v="43"/>
  </r>
  <r>
    <x v="37"/>
  </r>
  <r>
    <x v="0"/>
  </r>
  <r>
    <x v="0"/>
  </r>
  <r>
    <x v="0"/>
  </r>
  <r>
    <x v="48"/>
  </r>
  <r>
    <x v="10"/>
  </r>
  <r>
    <x v="14"/>
  </r>
  <r>
    <x v="62"/>
  </r>
  <r>
    <x v="62"/>
  </r>
  <r>
    <x v="24"/>
  </r>
  <r>
    <x v="64"/>
  </r>
  <r>
    <x v="16"/>
  </r>
  <r>
    <x v="57"/>
  </r>
  <r>
    <x v="30"/>
  </r>
  <r>
    <x v="37"/>
  </r>
  <r>
    <x v="64"/>
  </r>
  <r>
    <x v="14"/>
  </r>
  <r>
    <x v="48"/>
  </r>
  <r>
    <x v="22"/>
  </r>
  <r>
    <x v="129"/>
  </r>
  <r>
    <x v="46"/>
  </r>
  <r>
    <x v="46"/>
  </r>
  <r>
    <x v="33"/>
  </r>
  <r>
    <x v="33"/>
  </r>
  <r>
    <x v="33"/>
  </r>
  <r>
    <x v="166"/>
  </r>
  <r>
    <x v="12"/>
  </r>
  <r>
    <x v="14"/>
  </r>
  <r>
    <x v="14"/>
  </r>
  <r>
    <x v="0"/>
  </r>
  <r>
    <x v="0"/>
  </r>
  <r>
    <x v="0"/>
  </r>
  <r>
    <x v="0"/>
  </r>
  <r>
    <x v="0"/>
  </r>
  <r>
    <x v="14"/>
  </r>
  <r>
    <x v="14"/>
  </r>
  <r>
    <x v="130"/>
  </r>
  <r>
    <x v="16"/>
  </r>
  <r>
    <x v="17"/>
  </r>
  <r>
    <x v="48"/>
  </r>
  <r>
    <x v="48"/>
  </r>
  <r>
    <x v="48"/>
  </r>
  <r>
    <x v="48"/>
  </r>
  <r>
    <x v="17"/>
  </r>
  <r>
    <x v="34"/>
  </r>
  <r>
    <x v="14"/>
  </r>
  <r>
    <x v="16"/>
  </r>
  <r>
    <x v="16"/>
  </r>
  <r>
    <x v="166"/>
  </r>
  <r>
    <x v="14"/>
  </r>
  <r>
    <x v="78"/>
  </r>
  <r>
    <x v="28"/>
  </r>
  <r>
    <x v="28"/>
  </r>
  <r>
    <x v="11"/>
  </r>
  <r>
    <x v="0"/>
  </r>
  <r>
    <x v="0"/>
  </r>
  <r>
    <x v="16"/>
  </r>
  <r>
    <x v="16"/>
  </r>
  <r>
    <x v="16"/>
  </r>
  <r>
    <x v="12"/>
  </r>
  <r>
    <x v="12"/>
  </r>
  <r>
    <x v="61"/>
  </r>
  <r>
    <x v="61"/>
  </r>
  <r>
    <x v="16"/>
  </r>
  <r>
    <x v="55"/>
  </r>
  <r>
    <x v="131"/>
  </r>
  <r>
    <x v="131"/>
  </r>
  <r>
    <x v="131"/>
  </r>
  <r>
    <x v="125"/>
  </r>
  <r>
    <x v="17"/>
  </r>
  <r>
    <x v="17"/>
  </r>
  <r>
    <x v="46"/>
  </r>
  <r>
    <x v="46"/>
  </r>
  <r>
    <x v="64"/>
  </r>
  <r>
    <x v="0"/>
  </r>
  <r>
    <x v="14"/>
  </r>
  <r>
    <x v="10"/>
  </r>
  <r>
    <x v="10"/>
  </r>
  <r>
    <x v="24"/>
  </r>
  <r>
    <x v="14"/>
  </r>
  <r>
    <x v="10"/>
  </r>
  <r>
    <x v="14"/>
  </r>
  <r>
    <x v="12"/>
  </r>
  <r>
    <x v="48"/>
  </r>
  <r>
    <x v="4"/>
  </r>
  <r>
    <x v="4"/>
  </r>
  <r>
    <x v="83"/>
  </r>
  <r>
    <x v="83"/>
  </r>
  <r>
    <x v="10"/>
  </r>
  <r>
    <x v="64"/>
  </r>
  <r>
    <x v="57"/>
  </r>
  <r>
    <x v="57"/>
  </r>
  <r>
    <x v="22"/>
  </r>
  <r>
    <x v="51"/>
  </r>
  <r>
    <x v="57"/>
  </r>
  <r>
    <x v="0"/>
  </r>
  <r>
    <x v="0"/>
  </r>
  <r>
    <x v="28"/>
  </r>
  <r>
    <x v="7"/>
  </r>
  <r>
    <x v="7"/>
  </r>
  <r>
    <x v="7"/>
  </r>
  <r>
    <x v="17"/>
  </r>
  <r>
    <x v="14"/>
  </r>
  <r>
    <x v="17"/>
  </r>
  <r>
    <x v="17"/>
  </r>
  <r>
    <x v="17"/>
  </r>
  <r>
    <x v="17"/>
  </r>
  <r>
    <x v="14"/>
  </r>
  <r>
    <x v="37"/>
  </r>
  <r>
    <x v="16"/>
  </r>
  <r>
    <x v="28"/>
  </r>
  <r>
    <x v="14"/>
  </r>
  <r>
    <x v="0"/>
  </r>
  <r>
    <x v="0"/>
  </r>
  <r>
    <x v="28"/>
  </r>
  <r>
    <x v="57"/>
  </r>
  <r>
    <x v="78"/>
  </r>
  <r>
    <x v="78"/>
  </r>
  <r>
    <x v="22"/>
  </r>
  <r>
    <x v="17"/>
  </r>
  <r>
    <x v="17"/>
  </r>
  <r>
    <x v="17"/>
  </r>
  <r>
    <x v="12"/>
  </r>
  <r>
    <x v="12"/>
  </r>
  <r>
    <x v="12"/>
  </r>
  <r>
    <x v="12"/>
  </r>
  <r>
    <x v="12"/>
  </r>
  <r>
    <x v="14"/>
  </r>
  <r>
    <x v="14"/>
  </r>
  <r>
    <x v="48"/>
  </r>
  <r>
    <x v="48"/>
  </r>
  <r>
    <x v="48"/>
  </r>
  <r>
    <x v="12"/>
  </r>
  <r>
    <x v="0"/>
  </r>
  <r>
    <x v="17"/>
  </r>
  <r>
    <x v="14"/>
  </r>
  <r>
    <x v="14"/>
  </r>
  <r>
    <x v="10"/>
  </r>
  <r>
    <x v="42"/>
  </r>
  <r>
    <x v="11"/>
  </r>
  <r>
    <x v="28"/>
  </r>
  <r>
    <x v="177"/>
  </r>
  <r>
    <x v="347"/>
  </r>
  <r>
    <x v="81"/>
  </r>
  <r>
    <x v="174"/>
  </r>
  <r>
    <x v="112"/>
  </r>
  <r>
    <x v="112"/>
  </r>
  <r>
    <x v="25"/>
  </r>
  <r>
    <x v="25"/>
  </r>
  <r>
    <x v="125"/>
  </r>
  <r>
    <x v="88"/>
  </r>
  <r>
    <x v="81"/>
  </r>
  <r>
    <x v="81"/>
  </r>
  <r>
    <x v="81"/>
  </r>
  <r>
    <x v="78"/>
  </r>
  <r>
    <x v="157"/>
  </r>
  <r>
    <x v="113"/>
  </r>
  <r>
    <x v="125"/>
  </r>
  <r>
    <x v="63"/>
  </r>
  <r>
    <x v="12"/>
  </r>
  <r>
    <x v="76"/>
  </r>
  <r>
    <x v="113"/>
  </r>
  <r>
    <x v="36"/>
  </r>
  <r>
    <x v="42"/>
  </r>
  <r>
    <x v="10"/>
  </r>
  <r>
    <x v="198"/>
  </r>
  <r>
    <x v="368"/>
  </r>
  <r>
    <x v="25"/>
  </r>
  <r>
    <x v="86"/>
  </r>
  <r>
    <x v="6"/>
  </r>
  <r>
    <x v="25"/>
  </r>
  <r>
    <x v="25"/>
  </r>
  <r>
    <x v="105"/>
  </r>
  <r>
    <x v="113"/>
  </r>
  <r>
    <x v="76"/>
  </r>
  <r>
    <x v="76"/>
  </r>
  <r>
    <x v="76"/>
  </r>
  <r>
    <x v="79"/>
  </r>
  <r>
    <x v="12"/>
  </r>
  <r>
    <x v="113"/>
  </r>
  <r>
    <x v="93"/>
  </r>
  <r>
    <x v="6"/>
  </r>
  <r>
    <x v="216"/>
  </r>
  <r>
    <x v="216"/>
  </r>
  <r>
    <x v="21"/>
  </r>
  <r>
    <x v="113"/>
  </r>
  <r>
    <x v="199"/>
  </r>
  <r>
    <x v="76"/>
  </r>
  <r>
    <x v="76"/>
  </r>
  <r>
    <x v="21"/>
  </r>
  <r>
    <x v="93"/>
  </r>
  <r>
    <x v="138"/>
  </r>
  <r>
    <x v="81"/>
  </r>
  <r>
    <x v="203"/>
  </r>
  <r>
    <x v="203"/>
  </r>
  <r>
    <x v="203"/>
  </r>
  <r>
    <x v="203"/>
  </r>
  <r>
    <x v="203"/>
  </r>
  <r>
    <x v="203"/>
  </r>
  <r>
    <x v="203"/>
  </r>
  <r>
    <x v="203"/>
  </r>
  <r>
    <x v="203"/>
  </r>
  <r>
    <x v="76"/>
  </r>
  <r>
    <x v="76"/>
  </r>
  <r>
    <x v="91"/>
  </r>
  <r>
    <x v="81"/>
  </r>
  <r>
    <x v="112"/>
  </r>
  <r>
    <x v="57"/>
  </r>
  <r>
    <x v="21"/>
  </r>
  <r>
    <x v="68"/>
  </r>
  <r>
    <x v="76"/>
  </r>
  <r>
    <x v="25"/>
  </r>
  <r>
    <x v="68"/>
  </r>
  <r>
    <x v="25"/>
  </r>
  <r>
    <x v="112"/>
  </r>
  <r>
    <x v="25"/>
  </r>
  <r>
    <x v="10"/>
  </r>
  <r>
    <x v="25"/>
  </r>
  <r>
    <x v="76"/>
  </r>
  <r>
    <x v="30"/>
  </r>
  <r>
    <x v="30"/>
  </r>
  <r>
    <x v="14"/>
  </r>
  <r>
    <x v="82"/>
  </r>
  <r>
    <x v="113"/>
  </r>
  <r>
    <x v="76"/>
  </r>
  <r>
    <x v="76"/>
  </r>
  <r>
    <x v="76"/>
  </r>
  <r>
    <x v="76"/>
  </r>
  <r>
    <x v="76"/>
  </r>
  <r>
    <x v="83"/>
  </r>
  <r>
    <x v="78"/>
  </r>
  <r>
    <x v="494"/>
  </r>
  <r>
    <x v="129"/>
  </r>
  <r>
    <x v="86"/>
  </r>
  <r>
    <x v="129"/>
  </r>
  <r>
    <x v="129"/>
  </r>
  <r>
    <x v="0"/>
  </r>
  <r>
    <x v="136"/>
  </r>
  <r>
    <x v="0"/>
  </r>
  <r>
    <x v="27"/>
  </r>
  <r>
    <x v="30"/>
  </r>
  <r>
    <x v="27"/>
  </r>
  <r>
    <x v="93"/>
  </r>
  <r>
    <x v="27"/>
  </r>
  <r>
    <x v="93"/>
  </r>
  <r>
    <x v="31"/>
  </r>
  <r>
    <x v="31"/>
  </r>
  <r>
    <x v="25"/>
  </r>
  <r>
    <x v="30"/>
  </r>
  <r>
    <x v="30"/>
  </r>
  <r>
    <x v="408"/>
  </r>
  <r>
    <x v="41"/>
  </r>
  <r>
    <x v="76"/>
  </r>
  <r>
    <x v="113"/>
  </r>
  <r>
    <x v="113"/>
  </r>
  <r>
    <x v="63"/>
  </r>
  <r>
    <x v="76"/>
  </r>
  <r>
    <x v="199"/>
  </r>
  <r>
    <x v="9"/>
  </r>
  <r>
    <x v="87"/>
  </r>
  <r>
    <x v="192"/>
  </r>
  <r>
    <x v="9"/>
  </r>
  <r>
    <x v="199"/>
  </r>
  <r>
    <x v="76"/>
  </r>
  <r>
    <x v="76"/>
  </r>
  <r>
    <x v="76"/>
  </r>
  <r>
    <x v="76"/>
  </r>
  <r>
    <x v="113"/>
  </r>
  <r>
    <x v="25"/>
  </r>
  <r>
    <x v="76"/>
  </r>
  <r>
    <x v="199"/>
  </r>
  <r>
    <x v="76"/>
  </r>
  <r>
    <x v="82"/>
  </r>
  <r>
    <x v="110"/>
  </r>
  <r>
    <x v="118"/>
  </r>
  <r>
    <x v="118"/>
  </r>
  <r>
    <x v="118"/>
  </r>
  <r>
    <x v="36"/>
  </r>
  <r>
    <x v="36"/>
  </r>
  <r>
    <x v="112"/>
  </r>
  <r>
    <x v="7"/>
  </r>
  <r>
    <x v="198"/>
  </r>
  <r>
    <x v="22"/>
  </r>
  <r>
    <x v="14"/>
  </r>
  <r>
    <x v="115"/>
  </r>
  <r>
    <x v="14"/>
  </r>
  <r>
    <x v="115"/>
  </r>
  <r>
    <x v="76"/>
  </r>
  <r>
    <x v="25"/>
  </r>
  <r>
    <x v="76"/>
  </r>
  <r>
    <x v="105"/>
  </r>
  <r>
    <x v="113"/>
  </r>
  <r>
    <x v="108"/>
  </r>
  <r>
    <x v="72"/>
  </r>
  <r>
    <x v="22"/>
  </r>
  <r>
    <x v="29"/>
  </r>
  <r>
    <x v="47"/>
  </r>
  <r>
    <x v="25"/>
  </r>
  <r>
    <x v="210"/>
  </r>
  <r>
    <x v="59"/>
  </r>
  <r>
    <x v="10"/>
  </r>
  <r>
    <x v="29"/>
  </r>
  <r>
    <x v="90"/>
  </r>
  <r>
    <x v="90"/>
  </r>
  <r>
    <x v="90"/>
  </r>
  <r>
    <x v="15"/>
  </r>
  <r>
    <x v="63"/>
  </r>
  <r>
    <x v="392"/>
  </r>
  <r>
    <x v="82"/>
  </r>
  <r>
    <x v="81"/>
  </r>
  <r>
    <x v="15"/>
  </r>
  <r>
    <x v="15"/>
  </r>
  <r>
    <x v="21"/>
  </r>
  <r>
    <x v="21"/>
  </r>
  <r>
    <x v="111"/>
  </r>
  <r>
    <x v="91"/>
  </r>
  <r>
    <x v="23"/>
  </r>
  <r>
    <x v="76"/>
  </r>
  <r>
    <x v="3"/>
  </r>
  <r>
    <x v="51"/>
  </r>
  <r>
    <x v="29"/>
  </r>
  <r>
    <x v="29"/>
  </r>
  <r>
    <x v="68"/>
  </r>
  <r>
    <x v="68"/>
  </r>
  <r>
    <x v="10"/>
  </r>
  <r>
    <x v="83"/>
  </r>
  <r>
    <x v="52"/>
  </r>
  <r>
    <x v="86"/>
  </r>
  <r>
    <x v="25"/>
  </r>
  <r>
    <x v="25"/>
  </r>
  <r>
    <x v="76"/>
  </r>
  <r>
    <x v="108"/>
  </r>
  <r>
    <x v="76"/>
  </r>
  <r>
    <x v="7"/>
  </r>
  <r>
    <x v="86"/>
  </r>
  <r>
    <x v="7"/>
  </r>
  <r>
    <x v="138"/>
  </r>
  <r>
    <x v="25"/>
  </r>
  <r>
    <x v="25"/>
  </r>
  <r>
    <x v="27"/>
  </r>
  <r>
    <x v="76"/>
  </r>
  <r>
    <x v="76"/>
  </r>
  <r>
    <x v="76"/>
  </r>
  <r>
    <x v="25"/>
  </r>
  <r>
    <x v="3"/>
  </r>
  <r>
    <x v="78"/>
  </r>
  <r>
    <x v="86"/>
  </r>
  <r>
    <x v="25"/>
  </r>
  <r>
    <x v="25"/>
  </r>
  <r>
    <x v="63"/>
  </r>
  <r>
    <x v="25"/>
  </r>
  <r>
    <x v="88"/>
  </r>
  <r>
    <x v="88"/>
  </r>
  <r>
    <x v="7"/>
  </r>
  <r>
    <x v="25"/>
  </r>
  <r>
    <x v="144"/>
  </r>
  <r>
    <x v="25"/>
  </r>
  <r>
    <x v="25"/>
  </r>
  <r>
    <x v="76"/>
  </r>
  <r>
    <x v="76"/>
  </r>
  <r>
    <x v="25"/>
  </r>
  <r>
    <x v="25"/>
  </r>
  <r>
    <x v="25"/>
  </r>
  <r>
    <x v="25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45"/>
  </r>
  <r>
    <x v="45"/>
  </r>
  <r>
    <x v="298"/>
  </r>
  <r>
    <x v="31"/>
  </r>
  <r>
    <x v="25"/>
  </r>
  <r>
    <x v="76"/>
  </r>
  <r>
    <x v="9"/>
  </r>
  <r>
    <x v="9"/>
  </r>
  <r>
    <x v="9"/>
  </r>
  <r>
    <x v="9"/>
  </r>
  <r>
    <x v="10"/>
  </r>
  <r>
    <x v="29"/>
  </r>
  <r>
    <x v="10"/>
  </r>
  <r>
    <x v="91"/>
  </r>
  <r>
    <x v="91"/>
  </r>
  <r>
    <x v="10"/>
  </r>
  <r>
    <x v="257"/>
  </r>
  <r>
    <x v="31"/>
  </r>
  <r>
    <x v="31"/>
  </r>
  <r>
    <x v="31"/>
  </r>
  <r>
    <x v="14"/>
  </r>
  <r>
    <x v="138"/>
  </r>
  <r>
    <x v="138"/>
  </r>
  <r>
    <x v="59"/>
  </r>
  <r>
    <x v="59"/>
  </r>
  <r>
    <x v="59"/>
  </r>
  <r>
    <x v="56"/>
  </r>
  <r>
    <x v="59"/>
  </r>
  <r>
    <x v="14"/>
  </r>
  <r>
    <x v="31"/>
  </r>
  <r>
    <x v="198"/>
  </r>
  <r>
    <x v="83"/>
  </r>
  <r>
    <x v="83"/>
  </r>
  <r>
    <x v="83"/>
  </r>
  <r>
    <x v="55"/>
  </r>
  <r>
    <x v="6"/>
  </r>
  <r>
    <x v="21"/>
  </r>
  <r>
    <x v="81"/>
  </r>
  <r>
    <x v="16"/>
  </r>
  <r>
    <x v="81"/>
  </r>
  <r>
    <x v="78"/>
  </r>
  <r>
    <x v="10"/>
  </r>
  <r>
    <x v="23"/>
  </r>
  <r>
    <x v="380"/>
  </r>
  <r>
    <x v="53"/>
  </r>
  <r>
    <x v="59"/>
  </r>
  <r>
    <x v="59"/>
  </r>
  <r>
    <x v="122"/>
  </r>
  <r>
    <x v="122"/>
  </r>
  <r>
    <x v="14"/>
  </r>
  <r>
    <x v="14"/>
  </r>
  <r>
    <x v="34"/>
  </r>
  <r>
    <x v="79"/>
  </r>
  <r>
    <x v="14"/>
  </r>
  <r>
    <x v="63"/>
  </r>
  <r>
    <x v="28"/>
  </r>
  <r>
    <x v="81"/>
  </r>
  <r>
    <x v="81"/>
  </r>
  <r>
    <x v="81"/>
  </r>
  <r>
    <x v="81"/>
  </r>
  <r>
    <x v="81"/>
  </r>
  <r>
    <x v="48"/>
  </r>
  <r>
    <x v="14"/>
  </r>
  <r>
    <x v="80"/>
  </r>
  <r>
    <x v="45"/>
  </r>
  <r>
    <x v="45"/>
  </r>
  <r>
    <x v="374"/>
  </r>
  <r>
    <x v="277"/>
  </r>
  <r>
    <x v="192"/>
  </r>
  <r>
    <x v="192"/>
  </r>
  <r>
    <x v="192"/>
  </r>
  <r>
    <x v="14"/>
  </r>
  <r>
    <x v="14"/>
  </r>
  <r>
    <x v="76"/>
  </r>
  <r>
    <x v="86"/>
  </r>
  <r>
    <x v="83"/>
  </r>
  <r>
    <x v="83"/>
  </r>
  <r>
    <x v="12"/>
  </r>
  <r>
    <x v="83"/>
  </r>
  <r>
    <x v="3"/>
  </r>
  <r>
    <x v="14"/>
  </r>
  <r>
    <x v="14"/>
  </r>
  <r>
    <x v="10"/>
  </r>
  <r>
    <x v="10"/>
  </r>
  <r>
    <x v="46"/>
  </r>
  <r>
    <x v="46"/>
  </r>
  <r>
    <x v="46"/>
  </r>
  <r>
    <x v="12"/>
  </r>
  <r>
    <x v="25"/>
  </r>
  <r>
    <x v="10"/>
  </r>
  <r>
    <x v="105"/>
  </r>
  <r>
    <x v="221"/>
  </r>
  <r>
    <x v="161"/>
  </r>
  <r>
    <x v="23"/>
  </r>
  <r>
    <x v="56"/>
  </r>
  <r>
    <x v="48"/>
  </r>
  <r>
    <x v="15"/>
  </r>
  <r>
    <x v="15"/>
  </r>
  <r>
    <x v="30"/>
  </r>
  <r>
    <x v="116"/>
  </r>
  <r>
    <x v="15"/>
  </r>
  <r>
    <x v="15"/>
  </r>
  <r>
    <x v="15"/>
  </r>
  <r>
    <x v="198"/>
  </r>
  <r>
    <x v="204"/>
  </r>
  <r>
    <x v="277"/>
  </r>
  <r>
    <x v="29"/>
  </r>
  <r>
    <x v="23"/>
  </r>
  <r>
    <x v="23"/>
  </r>
  <r>
    <x v="90"/>
  </r>
  <r>
    <x v="29"/>
  </r>
  <r>
    <x v="3"/>
  </r>
  <r>
    <x v="30"/>
  </r>
  <r>
    <x v="24"/>
  </r>
  <r>
    <x v="14"/>
  </r>
  <r>
    <x v="93"/>
  </r>
  <r>
    <x v="76"/>
  </r>
  <r>
    <x v="76"/>
  </r>
  <r>
    <x v="25"/>
  </r>
  <r>
    <x v="76"/>
  </r>
  <r>
    <x v="93"/>
  </r>
  <r>
    <x v="93"/>
  </r>
  <r>
    <x v="86"/>
  </r>
  <r>
    <x v="121"/>
  </r>
  <r>
    <x v="13"/>
  </r>
  <r>
    <x v="91"/>
  </r>
  <r>
    <x v="91"/>
  </r>
  <r>
    <x v="13"/>
  </r>
  <r>
    <x v="122"/>
  </r>
  <r>
    <x v="13"/>
  </r>
  <r>
    <x v="12"/>
  </r>
  <r>
    <x v="359"/>
  </r>
  <r>
    <x v="383"/>
  </r>
  <r>
    <x v="48"/>
  </r>
  <r>
    <x v="288"/>
  </r>
  <r>
    <x v="102"/>
  </r>
  <r>
    <x v="25"/>
  </r>
  <r>
    <x v="108"/>
  </r>
  <r>
    <x v="48"/>
  </r>
  <r>
    <x v="87"/>
  </r>
  <r>
    <x v="24"/>
  </r>
  <r>
    <x v="136"/>
  </r>
  <r>
    <x v="495"/>
  </r>
  <r>
    <x v="113"/>
  </r>
  <r>
    <x v="48"/>
  </r>
  <r>
    <x v="122"/>
  </r>
  <r>
    <x v="24"/>
  </r>
  <r>
    <x v="25"/>
  </r>
  <r>
    <x v="25"/>
  </r>
  <r>
    <x v="25"/>
  </r>
  <r>
    <x v="25"/>
  </r>
  <r>
    <x v="43"/>
  </r>
  <r>
    <x v="43"/>
  </r>
  <r>
    <x v="78"/>
  </r>
  <r>
    <x v="199"/>
  </r>
  <r>
    <x v="10"/>
  </r>
  <r>
    <x v="10"/>
  </r>
  <r>
    <x v="29"/>
  </r>
  <r>
    <x v="29"/>
  </r>
  <r>
    <x v="227"/>
  </r>
  <r>
    <x v="102"/>
  </r>
  <r>
    <x v="138"/>
  </r>
  <r>
    <x v="138"/>
  </r>
  <r>
    <x v="93"/>
  </r>
  <r>
    <x v="93"/>
  </r>
  <r>
    <x v="93"/>
  </r>
  <r>
    <x v="82"/>
  </r>
  <r>
    <x v="183"/>
  </r>
  <r>
    <x v="100"/>
  </r>
  <r>
    <x v="10"/>
  </r>
  <r>
    <x v="10"/>
  </r>
  <r>
    <x v="100"/>
  </r>
  <r>
    <x v="24"/>
  </r>
  <r>
    <x v="112"/>
  </r>
  <r>
    <x v="112"/>
  </r>
  <r>
    <x v="14"/>
  </r>
  <r>
    <x v="31"/>
  </r>
  <r>
    <x v="31"/>
  </r>
  <r>
    <x v="24"/>
  </r>
  <r>
    <x v="24"/>
  </r>
  <r>
    <x v="21"/>
  </r>
  <r>
    <x v="138"/>
  </r>
  <r>
    <x v="81"/>
  </r>
  <r>
    <x v="76"/>
  </r>
  <r>
    <x v="63"/>
  </r>
  <r>
    <x v="63"/>
  </r>
  <r>
    <x v="14"/>
  </r>
  <r>
    <x v="46"/>
  </r>
  <r>
    <x v="9"/>
  </r>
  <r>
    <x v="63"/>
  </r>
  <r>
    <x v="42"/>
  </r>
  <r>
    <x v="76"/>
  </r>
  <r>
    <x v="87"/>
  </r>
  <r>
    <x v="63"/>
  </r>
  <r>
    <x v="181"/>
  </r>
  <r>
    <x v="283"/>
  </r>
  <r>
    <x v="181"/>
  </r>
  <r>
    <x v="138"/>
  </r>
  <r>
    <x v="25"/>
  </r>
  <r>
    <x v="6"/>
  </r>
  <r>
    <x v="31"/>
  </r>
  <r>
    <x v="24"/>
  </r>
  <r>
    <x v="31"/>
  </r>
  <r>
    <x v="83"/>
  </r>
  <r>
    <x v="31"/>
  </r>
  <r>
    <x v="119"/>
  </r>
  <r>
    <x v="108"/>
  </r>
  <r>
    <x v="31"/>
  </r>
  <r>
    <x v="393"/>
  </r>
  <r>
    <x v="108"/>
  </r>
  <r>
    <x v="108"/>
  </r>
  <r>
    <x v="31"/>
  </r>
  <r>
    <x v="30"/>
  </r>
  <r>
    <x v="24"/>
  </r>
  <r>
    <x v="24"/>
  </r>
  <r>
    <x v="14"/>
  </r>
  <r>
    <x v="24"/>
  </r>
  <r>
    <x v="36"/>
  </r>
  <r>
    <x v="14"/>
  </r>
  <r>
    <x v="21"/>
  </r>
  <r>
    <x v="31"/>
  </r>
  <r>
    <x v="31"/>
  </r>
  <r>
    <x v="112"/>
  </r>
  <r>
    <x v="24"/>
  </r>
  <r>
    <x v="81"/>
  </r>
  <r>
    <x v="81"/>
  </r>
  <r>
    <x v="81"/>
  </r>
  <r>
    <x v="81"/>
  </r>
  <r>
    <x v="81"/>
  </r>
  <r>
    <x v="81"/>
  </r>
  <r>
    <x v="25"/>
  </r>
  <r>
    <x v="31"/>
  </r>
  <r>
    <x v="81"/>
  </r>
  <r>
    <x v="31"/>
  </r>
  <r>
    <x v="67"/>
  </r>
  <r>
    <x v="67"/>
  </r>
  <r>
    <x v="67"/>
  </r>
  <r>
    <x v="154"/>
  </r>
  <r>
    <x v="44"/>
  </r>
  <r>
    <x v="31"/>
  </r>
  <r>
    <x v="31"/>
  </r>
  <r>
    <x v="31"/>
  </r>
  <r>
    <x v="113"/>
  </r>
  <r>
    <x v="86"/>
  </r>
  <r>
    <x v="86"/>
  </r>
  <r>
    <x v="29"/>
  </r>
  <r>
    <x v="108"/>
  </r>
  <r>
    <x v="396"/>
  </r>
  <r>
    <x v="25"/>
  </r>
  <r>
    <x v="25"/>
  </r>
  <r>
    <x v="143"/>
  </r>
  <r>
    <x v="4"/>
  </r>
  <r>
    <x v="4"/>
  </r>
  <r>
    <x v="108"/>
  </r>
  <r>
    <x v="108"/>
  </r>
  <r>
    <x v="97"/>
  </r>
  <r>
    <x v="72"/>
  </r>
  <r>
    <x v="97"/>
  </r>
  <r>
    <x v="113"/>
  </r>
  <r>
    <x v="113"/>
  </r>
  <r>
    <x v="113"/>
  </r>
  <r>
    <x v="48"/>
  </r>
  <r>
    <x v="31"/>
  </r>
  <r>
    <x v="108"/>
  </r>
  <r>
    <x v="154"/>
  </r>
  <r>
    <x v="21"/>
  </r>
  <r>
    <x v="230"/>
  </r>
  <r>
    <x v="113"/>
  </r>
  <r>
    <x v="31"/>
  </r>
  <r>
    <x v="113"/>
  </r>
  <r>
    <x v="3"/>
  </r>
  <r>
    <x v="113"/>
  </r>
  <r>
    <x v="26"/>
  </r>
  <r>
    <x v="26"/>
  </r>
  <r>
    <x v="113"/>
  </r>
  <r>
    <x v="113"/>
  </r>
  <r>
    <x v="27"/>
  </r>
  <r>
    <x v="30"/>
  </r>
  <r>
    <x v="31"/>
  </r>
  <r>
    <x v="164"/>
  </r>
  <r>
    <x v="77"/>
  </r>
  <r>
    <x v="93"/>
  </r>
  <r>
    <x v="93"/>
  </r>
  <r>
    <x v="84"/>
  </r>
  <r>
    <x v="349"/>
  </r>
  <r>
    <x v="28"/>
  </r>
  <r>
    <x v="21"/>
  </r>
  <r>
    <x v="121"/>
  </r>
  <r>
    <x v="12"/>
  </r>
  <r>
    <x v="157"/>
  </r>
  <r>
    <x v="181"/>
  </r>
  <r>
    <x v="181"/>
  </r>
  <r>
    <x v="181"/>
  </r>
  <r>
    <x v="108"/>
  </r>
  <r>
    <x v="108"/>
  </r>
  <r>
    <x v="52"/>
  </r>
  <r>
    <x v="113"/>
  </r>
  <r>
    <x v="76"/>
  </r>
  <r>
    <x v="108"/>
  </r>
  <r>
    <x v="108"/>
  </r>
  <r>
    <x v="25"/>
  </r>
  <r>
    <x v="181"/>
  </r>
  <r>
    <x v="136"/>
  </r>
  <r>
    <x v="290"/>
  </r>
  <r>
    <x v="36"/>
  </r>
  <r>
    <x v="230"/>
  </r>
  <r>
    <x v="136"/>
  </r>
  <r>
    <x v="227"/>
  </r>
  <r>
    <x v="113"/>
  </r>
  <r>
    <x v="93"/>
  </r>
  <r>
    <x v="48"/>
  </r>
  <r>
    <x v="93"/>
  </r>
  <r>
    <x v="48"/>
  </r>
  <r>
    <x v="390"/>
  </r>
  <r>
    <x v="86"/>
  </r>
  <r>
    <x v="280"/>
  </r>
  <r>
    <x v="48"/>
  </r>
  <r>
    <x v="31"/>
  </r>
  <r>
    <x v="31"/>
  </r>
  <r>
    <x v="32"/>
  </r>
  <r>
    <x v="31"/>
  </r>
  <r>
    <x v="398"/>
  </r>
  <r>
    <x v="113"/>
  </r>
  <r>
    <x v="113"/>
  </r>
  <r>
    <x v="113"/>
  </r>
  <r>
    <x v="113"/>
  </r>
  <r>
    <x v="10"/>
  </r>
  <r>
    <x v="290"/>
  </r>
  <r>
    <x v="319"/>
  </r>
  <r>
    <x v="63"/>
  </r>
  <r>
    <x v="119"/>
  </r>
  <r>
    <x v="113"/>
  </r>
  <r>
    <x v="124"/>
  </r>
  <r>
    <x v="15"/>
  </r>
  <r>
    <x v="156"/>
  </r>
  <r>
    <x v="113"/>
  </r>
  <r>
    <x v="12"/>
  </r>
  <r>
    <x v="113"/>
  </r>
  <r>
    <x v="15"/>
  </r>
  <r>
    <x v="14"/>
  </r>
  <r>
    <x v="116"/>
  </r>
  <r>
    <x v="111"/>
  </r>
  <r>
    <x v="155"/>
  </r>
  <r>
    <x v="31"/>
  </r>
  <r>
    <x v="83"/>
  </r>
  <r>
    <x v="281"/>
  </r>
  <r>
    <x v="398"/>
  </r>
  <r>
    <x v="234"/>
  </r>
  <r>
    <x v="138"/>
  </r>
  <r>
    <x v="281"/>
  </r>
  <r>
    <x v="70"/>
  </r>
  <r>
    <x v="100"/>
  </r>
  <r>
    <x v="398"/>
  </r>
  <r>
    <x v="98"/>
  </r>
  <r>
    <x v="31"/>
  </r>
  <r>
    <x v="31"/>
  </r>
  <r>
    <x v="213"/>
  </r>
  <r>
    <x v="406"/>
  </r>
  <r>
    <x v="31"/>
  </r>
  <r>
    <x v="121"/>
  </r>
  <r>
    <x v="496"/>
  </r>
  <r>
    <x v="121"/>
  </r>
  <r>
    <x v="216"/>
  </r>
  <r>
    <x v="288"/>
  </r>
  <r>
    <x v="93"/>
  </r>
  <r>
    <x v="4"/>
  </r>
  <r>
    <x v="93"/>
  </r>
  <r>
    <x v="280"/>
  </r>
  <r>
    <x v="280"/>
  </r>
  <r>
    <x v="280"/>
  </r>
  <r>
    <x v="398"/>
  </r>
  <r>
    <x v="173"/>
  </r>
  <r>
    <x v="187"/>
  </r>
  <r>
    <x v="154"/>
  </r>
  <r>
    <x v="154"/>
  </r>
  <r>
    <x v="121"/>
  </r>
  <r>
    <x v="76"/>
  </r>
  <r>
    <x v="383"/>
  </r>
  <r>
    <x v="113"/>
  </r>
  <r>
    <x v="228"/>
  </r>
  <r>
    <x v="392"/>
  </r>
  <r>
    <x v="31"/>
  </r>
  <r>
    <x v="24"/>
  </r>
  <r>
    <x v="24"/>
  </r>
  <r>
    <x v="25"/>
  </r>
  <r>
    <x v="25"/>
  </r>
  <r>
    <x v="108"/>
  </r>
  <r>
    <x v="25"/>
  </r>
  <r>
    <x v="70"/>
  </r>
  <r>
    <x v="83"/>
  </r>
  <r>
    <x v="31"/>
  </r>
  <r>
    <x v="31"/>
  </r>
  <r>
    <x v="445"/>
  </r>
  <r>
    <x v="230"/>
  </r>
  <r>
    <x v="230"/>
  </r>
  <r>
    <x v="16"/>
  </r>
  <r>
    <x v="405"/>
  </r>
  <r>
    <x v="88"/>
  </r>
  <r>
    <x v="122"/>
  </r>
  <r>
    <x v="21"/>
  </r>
  <r>
    <x v="25"/>
  </r>
  <r>
    <x v="48"/>
  </r>
  <r>
    <x v="113"/>
  </r>
  <r>
    <x v="31"/>
  </r>
  <r>
    <x v="86"/>
  </r>
  <r>
    <x v="407"/>
  </r>
  <r>
    <x v="407"/>
  </r>
  <r>
    <x v="138"/>
  </r>
  <r>
    <x v="96"/>
  </r>
  <r>
    <x v="15"/>
  </r>
  <r>
    <x v="213"/>
  </r>
  <r>
    <x v="213"/>
  </r>
  <r>
    <x v="230"/>
  </r>
  <r>
    <x v="70"/>
  </r>
  <r>
    <x v="230"/>
  </r>
  <r>
    <x v="398"/>
  </r>
  <r>
    <x v="407"/>
  </r>
  <r>
    <x v="93"/>
  </r>
  <r>
    <x v="63"/>
  </r>
  <r>
    <x v="113"/>
  </r>
  <r>
    <x v="113"/>
  </r>
  <r>
    <x v="256"/>
  </r>
  <r>
    <x v="44"/>
  </r>
  <r>
    <x v="397"/>
  </r>
  <r>
    <x v="86"/>
  </r>
  <r>
    <x v="20"/>
  </r>
  <r>
    <x v="158"/>
  </r>
  <r>
    <x v="76"/>
  </r>
  <r>
    <x v="105"/>
  </r>
  <r>
    <x v="25"/>
  </r>
  <r>
    <x v="78"/>
  </r>
  <r>
    <x v="25"/>
  </r>
  <r>
    <x v="78"/>
  </r>
  <r>
    <x v="25"/>
  </r>
  <r>
    <x v="93"/>
  </r>
  <r>
    <x v="93"/>
  </r>
  <r>
    <x v="25"/>
  </r>
  <r>
    <x v="25"/>
  </r>
  <r>
    <x v="25"/>
  </r>
  <r>
    <x v="25"/>
  </r>
  <r>
    <x v="25"/>
  </r>
  <r>
    <x v="25"/>
  </r>
  <r>
    <x v="25"/>
  </r>
  <r>
    <x v="25"/>
  </r>
  <r>
    <x v="23"/>
  </r>
  <r>
    <x v="25"/>
  </r>
  <r>
    <x v="78"/>
  </r>
  <r>
    <x v="75"/>
  </r>
  <r>
    <x v="76"/>
  </r>
  <r>
    <x v="105"/>
  </r>
  <r>
    <x v="105"/>
  </r>
  <r>
    <x v="105"/>
  </r>
  <r>
    <x v="76"/>
  </r>
  <r>
    <x v="105"/>
  </r>
  <r>
    <x v="105"/>
  </r>
  <r>
    <x v="177"/>
  </r>
  <r>
    <x v="105"/>
  </r>
  <r>
    <x v="76"/>
  </r>
  <r>
    <x v="25"/>
  </r>
  <r>
    <x v="76"/>
  </r>
  <r>
    <x v="113"/>
  </r>
  <r>
    <x v="105"/>
  </r>
  <r>
    <x v="25"/>
  </r>
  <r>
    <x v="25"/>
  </r>
  <r>
    <x v="25"/>
  </r>
  <r>
    <x v="113"/>
  </r>
  <r>
    <x v="48"/>
  </r>
  <r>
    <x v="21"/>
  </r>
  <r>
    <x v="105"/>
  </r>
  <r>
    <x v="76"/>
  </r>
  <r>
    <x v="105"/>
  </r>
  <r>
    <x v="105"/>
  </r>
  <r>
    <x v="199"/>
  </r>
  <r>
    <x v="113"/>
  </r>
  <r>
    <x v="113"/>
  </r>
  <r>
    <x v="48"/>
  </r>
  <r>
    <x v="25"/>
  </r>
  <r>
    <x v="113"/>
  </r>
  <r>
    <x v="25"/>
  </r>
  <r>
    <x v="25"/>
  </r>
  <r>
    <x v="100"/>
  </r>
  <r>
    <x v="76"/>
  </r>
  <r>
    <x v="25"/>
  </r>
  <r>
    <x v="78"/>
  </r>
  <r>
    <x v="25"/>
  </r>
  <r>
    <x v="48"/>
  </r>
  <r>
    <x v="23"/>
  </r>
  <r>
    <x v="76"/>
  </r>
  <r>
    <x v="76"/>
  </r>
  <r>
    <x v="105"/>
  </r>
  <r>
    <x v="76"/>
  </r>
  <r>
    <x v="76"/>
  </r>
  <r>
    <x v="76"/>
  </r>
  <r>
    <x v="199"/>
  </r>
  <r>
    <x v="76"/>
  </r>
  <r>
    <x v="76"/>
  </r>
  <r>
    <x v="199"/>
  </r>
  <r>
    <x v="76"/>
  </r>
  <r>
    <x v="76"/>
  </r>
  <r>
    <x v="23"/>
  </r>
  <r>
    <x v="23"/>
  </r>
  <r>
    <x v="25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3"/>
  </r>
  <r>
    <x v="25"/>
  </r>
  <r>
    <x v="25"/>
  </r>
  <r>
    <x v="25"/>
  </r>
  <r>
    <x v="23"/>
  </r>
  <r>
    <x v="25"/>
  </r>
  <r>
    <x v="25"/>
  </r>
  <r>
    <x v="81"/>
  </r>
  <r>
    <x v="25"/>
  </r>
  <r>
    <x v="25"/>
  </r>
  <r>
    <x v="25"/>
  </r>
  <r>
    <x v="25"/>
  </r>
  <r>
    <x v="25"/>
  </r>
  <r>
    <x v="100"/>
  </r>
  <r>
    <x v="199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90"/>
  </r>
  <r>
    <x v="25"/>
  </r>
  <r>
    <x v="25"/>
  </r>
  <r>
    <x v="76"/>
  </r>
  <r>
    <x v="25"/>
  </r>
  <r>
    <x v="25"/>
  </r>
  <r>
    <x v="25"/>
  </r>
  <r>
    <x v="76"/>
  </r>
  <r>
    <x v="25"/>
  </r>
  <r>
    <x v="76"/>
  </r>
  <r>
    <x v="25"/>
  </r>
  <r>
    <x v="78"/>
  </r>
  <r>
    <x v="25"/>
  </r>
  <r>
    <x v="76"/>
  </r>
  <r>
    <x v="76"/>
  </r>
  <r>
    <x v="76"/>
  </r>
  <r>
    <x v="76"/>
  </r>
  <r>
    <x v="105"/>
  </r>
  <r>
    <x v="105"/>
  </r>
  <r>
    <x v="25"/>
  </r>
  <r>
    <x v="105"/>
  </r>
  <r>
    <x v="85"/>
  </r>
  <r>
    <x v="25"/>
  </r>
  <r>
    <x v="105"/>
  </r>
  <r>
    <x v="93"/>
  </r>
  <r>
    <x v="78"/>
  </r>
  <r>
    <x v="25"/>
  </r>
  <r>
    <x v="23"/>
  </r>
  <r>
    <x v="23"/>
  </r>
  <r>
    <x v="57"/>
  </r>
  <r>
    <x v="25"/>
  </r>
  <r>
    <x v="23"/>
  </r>
  <r>
    <x v="91"/>
  </r>
  <r>
    <x v="25"/>
  </r>
  <r>
    <x v="76"/>
  </r>
  <r>
    <x v="76"/>
  </r>
  <r>
    <x v="199"/>
  </r>
  <r>
    <x v="76"/>
  </r>
  <r>
    <x v="76"/>
  </r>
  <r>
    <x v="199"/>
  </r>
  <r>
    <x v="76"/>
  </r>
  <r>
    <x v="72"/>
  </r>
  <r>
    <x v="76"/>
  </r>
  <r>
    <x v="96"/>
  </r>
  <r>
    <x v="199"/>
  </r>
  <r>
    <x v="199"/>
  </r>
  <r>
    <x v="199"/>
  </r>
  <r>
    <x v="76"/>
  </r>
  <r>
    <x v="25"/>
  </r>
  <r>
    <x v="199"/>
  </r>
  <r>
    <x v="82"/>
  </r>
  <r>
    <x v="82"/>
  </r>
  <r>
    <x v="25"/>
  </r>
  <r>
    <x v="76"/>
  </r>
  <r>
    <x v="63"/>
  </r>
  <r>
    <x v="75"/>
  </r>
  <r>
    <x v="25"/>
  </r>
  <r>
    <x v="76"/>
  </r>
  <r>
    <x v="93"/>
  </r>
  <r>
    <x v="133"/>
  </r>
  <r>
    <x v="76"/>
  </r>
  <r>
    <x v="76"/>
  </r>
  <r>
    <x v="133"/>
  </r>
  <r>
    <x v="23"/>
  </r>
  <r>
    <x v="25"/>
  </r>
  <r>
    <x v="25"/>
  </r>
  <r>
    <x v="6"/>
  </r>
  <r>
    <x v="25"/>
  </r>
  <r>
    <x v="25"/>
  </r>
  <r>
    <x v="25"/>
  </r>
  <r>
    <x v="25"/>
  </r>
  <r>
    <x v="25"/>
  </r>
  <r>
    <x v="78"/>
  </r>
  <r>
    <x v="78"/>
  </r>
  <r>
    <x v="25"/>
  </r>
  <r>
    <x v="25"/>
  </r>
  <r>
    <x v="82"/>
  </r>
  <r>
    <x v="12"/>
  </r>
  <r>
    <x v="25"/>
  </r>
  <r>
    <x v="25"/>
  </r>
  <r>
    <x v="105"/>
  </r>
  <r>
    <x v="25"/>
  </r>
  <r>
    <x v="76"/>
  </r>
  <r>
    <x v="25"/>
  </r>
  <r>
    <x v="25"/>
  </r>
  <r>
    <x v="25"/>
  </r>
  <r>
    <x v="76"/>
  </r>
  <r>
    <x v="76"/>
  </r>
  <r>
    <x v="25"/>
  </r>
  <r>
    <x v="76"/>
  </r>
  <r>
    <x v="76"/>
  </r>
  <r>
    <x v="25"/>
  </r>
  <r>
    <x v="76"/>
  </r>
  <r>
    <x v="76"/>
  </r>
  <r>
    <x v="76"/>
  </r>
  <r>
    <x v="76"/>
  </r>
  <r>
    <x v="76"/>
  </r>
  <r>
    <x v="102"/>
  </r>
  <r>
    <x v="480"/>
  </r>
  <r>
    <x v="96"/>
  </r>
  <r>
    <x v="25"/>
  </r>
  <r>
    <x v="78"/>
  </r>
  <r>
    <x v="14"/>
  </r>
  <r>
    <x v="78"/>
  </r>
  <r>
    <x v="78"/>
  </r>
  <r>
    <x v="22"/>
  </r>
  <r>
    <x v="25"/>
  </r>
  <r>
    <x v="42"/>
  </r>
  <r>
    <x v="42"/>
  </r>
  <r>
    <x v="42"/>
  </r>
  <r>
    <x v="42"/>
  </r>
  <r>
    <x v="42"/>
  </r>
  <r>
    <x v="42"/>
  </r>
  <r>
    <x v="25"/>
  </r>
  <r>
    <x v="72"/>
  </r>
  <r>
    <x v="76"/>
  </r>
  <r>
    <x v="71"/>
  </r>
  <r>
    <x v="72"/>
  </r>
  <r>
    <x v="76"/>
  </r>
  <r>
    <x v="76"/>
  </r>
  <r>
    <x v="76"/>
  </r>
  <r>
    <x v="22"/>
  </r>
  <r>
    <x v="14"/>
  </r>
  <r>
    <x v="22"/>
  </r>
  <r>
    <x v="10"/>
  </r>
  <r>
    <x v="25"/>
  </r>
  <r>
    <x v="76"/>
  </r>
  <r>
    <x v="59"/>
  </r>
  <r>
    <x v="59"/>
  </r>
  <r>
    <x v="76"/>
  </r>
  <r>
    <x v="25"/>
  </r>
  <r>
    <x v="23"/>
  </r>
  <r>
    <x v="20"/>
  </r>
  <r>
    <x v="20"/>
  </r>
  <r>
    <x v="76"/>
  </r>
  <r>
    <x v="76"/>
  </r>
  <r>
    <x v="76"/>
  </r>
  <r>
    <x v="76"/>
  </r>
  <r>
    <x v="25"/>
  </r>
  <r>
    <x v="25"/>
  </r>
  <r>
    <x v="25"/>
  </r>
  <r>
    <x v="25"/>
  </r>
  <r>
    <x v="23"/>
  </r>
  <r>
    <x v="23"/>
  </r>
  <r>
    <x v="23"/>
  </r>
  <r>
    <x v="23"/>
  </r>
  <r>
    <x v="23"/>
  </r>
  <r>
    <x v="177"/>
  </r>
  <r>
    <x v="25"/>
  </r>
  <r>
    <x v="25"/>
  </r>
  <r>
    <x v="25"/>
  </r>
  <r>
    <x v="25"/>
  </r>
  <r>
    <x v="93"/>
  </r>
  <r>
    <x v="82"/>
  </r>
  <r>
    <x v="152"/>
  </r>
  <r>
    <x v="88"/>
  </r>
  <r>
    <x v="88"/>
  </r>
  <r>
    <x v="88"/>
  </r>
  <r>
    <x v="82"/>
  </r>
  <r>
    <x v="82"/>
  </r>
  <r>
    <x v="79"/>
  </r>
  <r>
    <x v="59"/>
  </r>
  <r>
    <x v="25"/>
  </r>
  <r>
    <x v="25"/>
  </r>
  <r>
    <x v="25"/>
  </r>
  <r>
    <x v="25"/>
  </r>
  <r>
    <x v="25"/>
  </r>
  <r>
    <x v="93"/>
  </r>
  <r>
    <x v="93"/>
  </r>
  <r>
    <x v="93"/>
  </r>
  <r>
    <x v="93"/>
  </r>
  <r>
    <x v="12"/>
  </r>
  <r>
    <x v="42"/>
  </r>
  <r>
    <x v="12"/>
  </r>
  <r>
    <x v="12"/>
  </r>
  <r>
    <x v="12"/>
  </r>
  <r>
    <x v="82"/>
  </r>
  <r>
    <x v="10"/>
  </r>
  <r>
    <x v="25"/>
  </r>
  <r>
    <x v="12"/>
  </r>
  <r>
    <x v="154"/>
  </r>
  <r>
    <x v="57"/>
  </r>
  <r>
    <x v="48"/>
  </r>
  <r>
    <x v="48"/>
  </r>
  <r>
    <x v="12"/>
  </r>
  <r>
    <x v="12"/>
  </r>
  <r>
    <x v="76"/>
  </r>
  <r>
    <x v="25"/>
  </r>
  <r>
    <x v="25"/>
  </r>
  <r>
    <x v="23"/>
  </r>
  <r>
    <x v="25"/>
  </r>
  <r>
    <x v="105"/>
  </r>
  <r>
    <x v="132"/>
  </r>
  <r>
    <x v="42"/>
  </r>
  <r>
    <x v="42"/>
  </r>
  <r>
    <x v="42"/>
  </r>
  <r>
    <x v="42"/>
  </r>
  <r>
    <x v="42"/>
  </r>
  <r>
    <x v="76"/>
  </r>
  <r>
    <x v="76"/>
  </r>
  <r>
    <x v="72"/>
  </r>
  <r>
    <x v="78"/>
  </r>
  <r>
    <x v="25"/>
  </r>
  <r>
    <x v="25"/>
  </r>
  <r>
    <x v="25"/>
  </r>
  <r>
    <x v="25"/>
  </r>
  <r>
    <x v="25"/>
  </r>
  <r>
    <x v="25"/>
  </r>
  <r>
    <x v="25"/>
  </r>
  <r>
    <x v="76"/>
  </r>
  <r>
    <x v="76"/>
  </r>
  <r>
    <x v="23"/>
  </r>
  <r>
    <x v="23"/>
  </r>
  <r>
    <x v="42"/>
  </r>
  <r>
    <x v="42"/>
  </r>
  <r>
    <x v="76"/>
  </r>
  <r>
    <x v="76"/>
  </r>
  <r>
    <x v="25"/>
  </r>
  <r>
    <x v="76"/>
  </r>
  <r>
    <x v="76"/>
  </r>
  <r>
    <x v="25"/>
  </r>
  <r>
    <x v="93"/>
  </r>
  <r>
    <x v="93"/>
  </r>
  <r>
    <x v="25"/>
  </r>
  <r>
    <x v="25"/>
  </r>
  <r>
    <x v="31"/>
  </r>
  <r>
    <x v="25"/>
  </r>
  <r>
    <x v="330"/>
  </r>
  <r>
    <x v="50"/>
  </r>
  <r>
    <x v="50"/>
  </r>
  <r>
    <x v="76"/>
  </r>
  <r>
    <x v="76"/>
  </r>
  <r>
    <x v="42"/>
  </r>
  <r>
    <x v="75"/>
  </r>
  <r>
    <x v="75"/>
  </r>
  <r>
    <x v="75"/>
  </r>
  <r>
    <x v="75"/>
  </r>
  <r>
    <x v="25"/>
  </r>
  <r>
    <x v="75"/>
  </r>
  <r>
    <x v="75"/>
  </r>
  <r>
    <x v="75"/>
  </r>
  <r>
    <x v="75"/>
  </r>
  <r>
    <x v="75"/>
  </r>
  <r>
    <x v="25"/>
  </r>
  <r>
    <x v="12"/>
  </r>
  <r>
    <x v="75"/>
  </r>
  <r>
    <x v="12"/>
  </r>
  <r>
    <x v="75"/>
  </r>
  <r>
    <x v="75"/>
  </r>
  <r>
    <x v="25"/>
  </r>
  <r>
    <x v="75"/>
  </r>
  <r>
    <x v="82"/>
  </r>
  <r>
    <x v="25"/>
  </r>
  <r>
    <x v="12"/>
  </r>
  <r>
    <x v="25"/>
  </r>
  <r>
    <x v="75"/>
  </r>
  <r>
    <x v="25"/>
  </r>
  <r>
    <x v="25"/>
  </r>
  <r>
    <x v="12"/>
  </r>
  <r>
    <x v="78"/>
  </r>
  <r>
    <x v="48"/>
  </r>
  <r>
    <x v="25"/>
  </r>
  <r>
    <x v="25"/>
  </r>
  <r>
    <x v="75"/>
  </r>
  <r>
    <x v="25"/>
  </r>
  <r>
    <x v="25"/>
  </r>
  <r>
    <x v="25"/>
  </r>
  <r>
    <x v="92"/>
  </r>
  <r>
    <x v="42"/>
  </r>
  <r>
    <x v="42"/>
  </r>
  <r>
    <x v="105"/>
  </r>
  <r>
    <x v="14"/>
  </r>
  <r>
    <x v="14"/>
  </r>
  <r>
    <x v="76"/>
  </r>
  <r>
    <x v="75"/>
  </r>
  <r>
    <x v="75"/>
  </r>
  <r>
    <x v="75"/>
  </r>
  <r>
    <x v="75"/>
  </r>
  <r>
    <x v="82"/>
  </r>
  <r>
    <x v="108"/>
  </r>
  <r>
    <x v="92"/>
  </r>
  <r>
    <x v="92"/>
  </r>
  <r>
    <x v="76"/>
  </r>
  <r>
    <x v="25"/>
  </r>
  <r>
    <x v="25"/>
  </r>
  <r>
    <x v="25"/>
  </r>
  <r>
    <x v="76"/>
  </r>
  <r>
    <x v="25"/>
  </r>
  <r>
    <x v="93"/>
  </r>
  <r>
    <x v="25"/>
  </r>
  <r>
    <x v="76"/>
  </r>
  <r>
    <x v="75"/>
  </r>
  <r>
    <x v="25"/>
  </r>
  <r>
    <x v="25"/>
  </r>
  <r>
    <x v="21"/>
  </r>
  <r>
    <x v="25"/>
  </r>
  <r>
    <x v="82"/>
  </r>
  <r>
    <x v="75"/>
  </r>
  <r>
    <x v="81"/>
  </r>
  <r>
    <x v="93"/>
  </r>
  <r>
    <x v="25"/>
  </r>
  <r>
    <x v="25"/>
  </r>
  <r>
    <x v="76"/>
  </r>
  <r>
    <x v="48"/>
  </r>
  <r>
    <x v="25"/>
  </r>
  <r>
    <x v="25"/>
  </r>
  <r>
    <x v="25"/>
  </r>
  <r>
    <x v="25"/>
  </r>
  <r>
    <x v="25"/>
  </r>
  <r>
    <x v="48"/>
  </r>
  <r>
    <x v="48"/>
  </r>
  <r>
    <x v="48"/>
  </r>
  <r>
    <x v="25"/>
  </r>
  <r>
    <x v="48"/>
  </r>
  <r>
    <x v="48"/>
  </r>
  <r>
    <x v="48"/>
  </r>
  <r>
    <x v="48"/>
  </r>
  <r>
    <x v="48"/>
  </r>
  <r>
    <x v="48"/>
  </r>
  <r>
    <x v="48"/>
  </r>
  <r>
    <x v="48"/>
  </r>
  <r>
    <x v="93"/>
  </r>
  <r>
    <x v="48"/>
  </r>
  <r>
    <x v="25"/>
  </r>
  <r>
    <x v="25"/>
  </r>
  <r>
    <x v="25"/>
  </r>
  <r>
    <x v="25"/>
  </r>
  <r>
    <x v="25"/>
  </r>
  <r>
    <x v="25"/>
  </r>
  <r>
    <x v="25"/>
  </r>
  <r>
    <x v="25"/>
  </r>
  <r>
    <x v="30"/>
  </r>
  <r>
    <x v="30"/>
  </r>
  <r>
    <x v="30"/>
  </r>
  <r>
    <x v="93"/>
  </r>
  <r>
    <x v="93"/>
  </r>
  <r>
    <x v="48"/>
  </r>
  <r>
    <x v="48"/>
  </r>
  <r>
    <x v="48"/>
  </r>
  <r>
    <x v="48"/>
  </r>
  <r>
    <x v="48"/>
  </r>
  <r>
    <x v="48"/>
  </r>
  <r>
    <x v="82"/>
  </r>
  <r>
    <x v="30"/>
  </r>
  <r>
    <x v="78"/>
  </r>
  <r>
    <x v="48"/>
  </r>
  <r>
    <x v="0"/>
  </r>
  <r>
    <x v="12"/>
  </r>
  <r>
    <x v="35"/>
  </r>
  <r>
    <x v="35"/>
  </r>
  <r>
    <x v="35"/>
  </r>
  <r>
    <x v="35"/>
  </r>
  <r>
    <x v="28"/>
  </r>
  <r>
    <x v="59"/>
  </r>
  <r>
    <x v="25"/>
  </r>
  <r>
    <x v="44"/>
  </r>
  <r>
    <x v="17"/>
  </r>
  <r>
    <x v="52"/>
  </r>
  <r>
    <x v="35"/>
  </r>
  <r>
    <x v="44"/>
  </r>
  <r>
    <x v="52"/>
  </r>
  <r>
    <x v="56"/>
  </r>
  <r>
    <x v="56"/>
  </r>
  <r>
    <x v="56"/>
  </r>
  <r>
    <x v="56"/>
  </r>
  <r>
    <x v="56"/>
  </r>
  <r>
    <x v="80"/>
  </r>
  <r>
    <x v="130"/>
  </r>
  <r>
    <x v="130"/>
  </r>
  <r>
    <x v="130"/>
  </r>
  <r>
    <x v="25"/>
  </r>
  <r>
    <x v="25"/>
  </r>
  <r>
    <x v="48"/>
  </r>
  <r>
    <x v="37"/>
  </r>
  <r>
    <x v="48"/>
  </r>
  <r>
    <x v="48"/>
  </r>
  <r>
    <x v="115"/>
  </r>
  <r>
    <x v="48"/>
  </r>
  <r>
    <x v="6"/>
  </r>
  <r>
    <x v="4"/>
  </r>
  <r>
    <x v="71"/>
  </r>
  <r>
    <x v="48"/>
  </r>
  <r>
    <x v="48"/>
  </r>
  <r>
    <x v="26"/>
  </r>
  <r>
    <x v="25"/>
  </r>
  <r>
    <x v="83"/>
  </r>
  <r>
    <x v="25"/>
  </r>
  <r>
    <x v="96"/>
  </r>
  <r>
    <x v="72"/>
  </r>
  <r>
    <x v="48"/>
  </r>
  <r>
    <x v="31"/>
  </r>
  <r>
    <x v="31"/>
  </r>
  <r>
    <x v="48"/>
  </r>
  <r>
    <x v="204"/>
  </r>
  <r>
    <x v="31"/>
  </r>
  <r>
    <x v="31"/>
  </r>
  <r>
    <x v="154"/>
  </r>
  <r>
    <x v="10"/>
  </r>
  <r>
    <x v="10"/>
  </r>
  <r>
    <x v="4"/>
  </r>
  <r>
    <x v="59"/>
  </r>
  <r>
    <x v="14"/>
  </r>
  <r>
    <x v="31"/>
  </r>
  <r>
    <x v="48"/>
  </r>
  <r>
    <x v="48"/>
  </r>
  <r>
    <x v="48"/>
  </r>
  <r>
    <x v="87"/>
  </r>
  <r>
    <x v="100"/>
  </r>
  <r>
    <x v="83"/>
  </r>
  <r>
    <x v="83"/>
  </r>
  <r>
    <x v="48"/>
  </r>
  <r>
    <x v="14"/>
  </r>
  <r>
    <x v="48"/>
  </r>
  <r>
    <x v="77"/>
  </r>
  <r>
    <x v="77"/>
  </r>
  <r>
    <x v="77"/>
  </r>
  <r>
    <x v="10"/>
  </r>
  <r>
    <x v="34"/>
  </r>
  <r>
    <x v="10"/>
  </r>
  <r>
    <x v="34"/>
  </r>
  <r>
    <x v="34"/>
  </r>
  <r>
    <x v="45"/>
  </r>
  <r>
    <x v="10"/>
  </r>
  <r>
    <x v="81"/>
  </r>
  <r>
    <x v="156"/>
  </r>
  <r>
    <x v="6"/>
  </r>
  <r>
    <x v="48"/>
  </r>
  <r>
    <x v="48"/>
  </r>
  <r>
    <x v="183"/>
  </r>
  <r>
    <x v="77"/>
  </r>
  <r>
    <x v="56"/>
  </r>
  <r>
    <x v="79"/>
  </r>
  <r>
    <x v="48"/>
  </r>
  <r>
    <x v="31"/>
  </r>
  <r>
    <x v="82"/>
  </r>
  <r>
    <x v="10"/>
  </r>
  <r>
    <x v="25"/>
  </r>
  <r>
    <x v="29"/>
  </r>
  <r>
    <x v="29"/>
  </r>
  <r>
    <x v="56"/>
  </r>
  <r>
    <x v="56"/>
  </r>
  <r>
    <x v="83"/>
  </r>
  <r>
    <x v="45"/>
  </r>
  <r>
    <x v="112"/>
  </r>
  <r>
    <x v="211"/>
  </r>
  <r>
    <x v="29"/>
  </r>
  <r>
    <x v="29"/>
  </r>
  <r>
    <x v="29"/>
  </r>
  <r>
    <x v="99"/>
  </r>
  <r>
    <x v="219"/>
  </r>
  <r>
    <x v="42"/>
  </r>
  <r>
    <x v="42"/>
  </r>
  <r>
    <x v="117"/>
  </r>
  <r>
    <x v="72"/>
  </r>
  <r>
    <x v="78"/>
  </r>
  <r>
    <x v="94"/>
  </r>
  <r>
    <x v="36"/>
  </r>
  <r>
    <x v="219"/>
  </r>
  <r>
    <x v="72"/>
  </r>
  <r>
    <x v="72"/>
  </r>
  <r>
    <x v="72"/>
  </r>
  <r>
    <x v="72"/>
  </r>
  <r>
    <x v="72"/>
  </r>
  <r>
    <x v="86"/>
  </r>
  <r>
    <x v="72"/>
  </r>
  <r>
    <x v="72"/>
  </r>
  <r>
    <x v="72"/>
  </r>
  <r>
    <x v="72"/>
  </r>
  <r>
    <x v="86"/>
  </r>
  <r>
    <x v="72"/>
  </r>
  <r>
    <x v="48"/>
  </r>
  <r>
    <x v="42"/>
  </r>
  <r>
    <x v="56"/>
  </r>
  <r>
    <x v="72"/>
  </r>
  <r>
    <x v="72"/>
  </r>
  <r>
    <x v="72"/>
  </r>
  <r>
    <x v="108"/>
  </r>
  <r>
    <x v="48"/>
  </r>
  <r>
    <x v="72"/>
  </r>
  <r>
    <x v="72"/>
  </r>
  <r>
    <x v="72"/>
  </r>
  <r>
    <x v="42"/>
  </r>
  <r>
    <x v="12"/>
  </r>
  <r>
    <x v="42"/>
  </r>
  <r>
    <x v="72"/>
  </r>
  <r>
    <x v="72"/>
  </r>
  <r>
    <x v="72"/>
  </r>
  <r>
    <x v="72"/>
  </r>
  <r>
    <x v="82"/>
  </r>
  <r>
    <x v="219"/>
  </r>
  <r>
    <x v="219"/>
  </r>
  <r>
    <x v="48"/>
  </r>
  <r>
    <x v="136"/>
  </r>
  <r>
    <x v="136"/>
  </r>
  <r>
    <x v="87"/>
  </r>
  <r>
    <x v="87"/>
  </r>
  <r>
    <x v="57"/>
  </r>
  <r>
    <x v="42"/>
  </r>
  <r>
    <x v="42"/>
  </r>
  <r>
    <x v="42"/>
  </r>
  <r>
    <x v="48"/>
  </r>
  <r>
    <x v="100"/>
  </r>
  <r>
    <x v="48"/>
  </r>
  <r>
    <x v="42"/>
  </r>
  <r>
    <x v="100"/>
  </r>
  <r>
    <x v="3"/>
  </r>
  <r>
    <x v="155"/>
  </r>
  <r>
    <x v="87"/>
  </r>
  <r>
    <x v="87"/>
  </r>
  <r>
    <x v="14"/>
  </r>
  <r>
    <x v="87"/>
  </r>
  <r>
    <x v="14"/>
  </r>
  <r>
    <x v="78"/>
  </r>
  <r>
    <x v="31"/>
  </r>
  <r>
    <x v="48"/>
  </r>
  <r>
    <x v="10"/>
  </r>
  <r>
    <x v="31"/>
  </r>
  <r>
    <x v="204"/>
  </r>
  <r>
    <x v="108"/>
  </r>
  <r>
    <x v="99"/>
  </r>
  <r>
    <x v="57"/>
  </r>
  <r>
    <x v="57"/>
  </r>
  <r>
    <x v="57"/>
  </r>
  <r>
    <x v="57"/>
  </r>
  <r>
    <x v="95"/>
  </r>
  <r>
    <x v="95"/>
  </r>
  <r>
    <x v="95"/>
  </r>
  <r>
    <x v="95"/>
  </r>
  <r>
    <x v="45"/>
  </r>
  <r>
    <x v="131"/>
  </r>
  <r>
    <x v="131"/>
  </r>
  <r>
    <x v="57"/>
  </r>
  <r>
    <x v="82"/>
  </r>
  <r>
    <x v="42"/>
  </r>
  <r>
    <x v="42"/>
  </r>
  <r>
    <x v="81"/>
  </r>
  <r>
    <x v="76"/>
  </r>
  <r>
    <x v="76"/>
  </r>
  <r>
    <x v="42"/>
  </r>
  <r>
    <x v="42"/>
  </r>
  <r>
    <x v="42"/>
  </r>
  <r>
    <x v="76"/>
  </r>
  <r>
    <x v="20"/>
  </r>
  <r>
    <x v="22"/>
  </r>
  <r>
    <x v="22"/>
  </r>
  <r>
    <x v="78"/>
  </r>
  <r>
    <x v="22"/>
  </r>
  <r>
    <x v="22"/>
  </r>
  <r>
    <x v="57"/>
  </r>
  <r>
    <x v="57"/>
  </r>
  <r>
    <x v="57"/>
  </r>
  <r>
    <x v="57"/>
  </r>
  <r>
    <x v="57"/>
  </r>
  <r>
    <x v="57"/>
  </r>
  <r>
    <x v="2"/>
  </r>
  <r>
    <x v="45"/>
  </r>
  <r>
    <x v="57"/>
  </r>
  <r>
    <x v="57"/>
  </r>
  <r>
    <x v="57"/>
  </r>
  <r>
    <x v="75"/>
  </r>
  <r>
    <x v="42"/>
  </r>
  <r>
    <x v="42"/>
  </r>
  <r>
    <x v="42"/>
  </r>
  <r>
    <x v="42"/>
  </r>
  <r>
    <x v="62"/>
  </r>
  <r>
    <x v="57"/>
  </r>
  <r>
    <x v="57"/>
  </r>
  <r>
    <x v="57"/>
  </r>
  <r>
    <x v="57"/>
  </r>
  <r>
    <x v="78"/>
  </r>
  <r>
    <x v="78"/>
  </r>
  <r>
    <x v="22"/>
  </r>
  <r>
    <x v="78"/>
  </r>
  <r>
    <x v="78"/>
  </r>
  <r>
    <x v="57"/>
  </r>
  <r>
    <x v="57"/>
  </r>
  <r>
    <x v="57"/>
  </r>
  <r>
    <x v="57"/>
  </r>
  <r>
    <x v="57"/>
  </r>
  <r>
    <x v="57"/>
  </r>
  <r>
    <x v="76"/>
  </r>
  <r>
    <x v="42"/>
  </r>
  <r>
    <x v="6"/>
  </r>
  <r>
    <x v="22"/>
  </r>
  <r>
    <x v="22"/>
  </r>
  <r>
    <x v="22"/>
  </r>
  <r>
    <x v="76"/>
  </r>
  <r>
    <x v="22"/>
  </r>
  <r>
    <x v="22"/>
  </r>
  <r>
    <x v="76"/>
  </r>
  <r>
    <x v="42"/>
  </r>
  <r>
    <x v="30"/>
  </r>
  <r>
    <x v="82"/>
  </r>
  <r>
    <x v="82"/>
  </r>
  <r>
    <x v="82"/>
  </r>
  <r>
    <x v="82"/>
  </r>
  <r>
    <x v="82"/>
  </r>
  <r>
    <x v="82"/>
  </r>
  <r>
    <x v="27"/>
  </r>
  <r>
    <x v="208"/>
  </r>
  <r>
    <x v="208"/>
  </r>
  <r>
    <x v="10"/>
  </r>
  <r>
    <x v="10"/>
  </r>
  <r>
    <x v="82"/>
  </r>
  <r>
    <x v="31"/>
  </r>
  <r>
    <x v="76"/>
  </r>
  <r>
    <x v="31"/>
  </r>
  <r>
    <x v="25"/>
  </r>
  <r>
    <x v="78"/>
  </r>
  <r>
    <x v="48"/>
  </r>
  <r>
    <x v="75"/>
  </r>
  <r>
    <x v="48"/>
  </r>
  <r>
    <x v="72"/>
  </r>
  <r>
    <x v="86"/>
  </r>
  <r>
    <x v="83"/>
  </r>
  <r>
    <x v="83"/>
  </r>
  <r>
    <x v="108"/>
  </r>
  <r>
    <x v="31"/>
  </r>
  <r>
    <x v="31"/>
  </r>
  <r>
    <x v="31"/>
  </r>
  <r>
    <x v="31"/>
  </r>
  <r>
    <x v="82"/>
  </r>
  <r>
    <x v="56"/>
  </r>
  <r>
    <x v="25"/>
  </r>
  <r>
    <x v="25"/>
  </r>
  <r>
    <x v="59"/>
  </r>
  <r>
    <x v="59"/>
  </r>
  <r>
    <x v="75"/>
  </r>
  <r>
    <x v="75"/>
  </r>
  <r>
    <x v="75"/>
  </r>
  <r>
    <x v="75"/>
  </r>
  <r>
    <x v="22"/>
  </r>
  <r>
    <x v="22"/>
  </r>
  <r>
    <x v="22"/>
  </r>
  <r>
    <x v="22"/>
  </r>
  <r>
    <x v="81"/>
  </r>
  <r>
    <x v="31"/>
  </r>
  <r>
    <x v="127"/>
  </r>
  <r>
    <x v="112"/>
  </r>
  <r>
    <x v="31"/>
  </r>
  <r>
    <x v="31"/>
  </r>
  <r>
    <x v="112"/>
  </r>
  <r>
    <x v="2"/>
  </r>
  <r>
    <x v="112"/>
  </r>
  <r>
    <x v="112"/>
  </r>
  <r>
    <x v="112"/>
  </r>
  <r>
    <x v="14"/>
  </r>
  <r>
    <x v="112"/>
  </r>
  <r>
    <x v="112"/>
  </r>
  <r>
    <x v="112"/>
  </r>
  <r>
    <x v="14"/>
  </r>
  <r>
    <x v="112"/>
  </r>
  <r>
    <x v="112"/>
  </r>
  <r>
    <x v="81"/>
  </r>
  <r>
    <x v="48"/>
  </r>
  <r>
    <x v="48"/>
  </r>
  <r>
    <x v="52"/>
  </r>
  <r>
    <x v="112"/>
  </r>
  <r>
    <x v="112"/>
  </r>
  <r>
    <x v="112"/>
  </r>
  <r>
    <x v="86"/>
  </r>
  <r>
    <x v="81"/>
  </r>
  <r>
    <x v="86"/>
  </r>
  <r>
    <x v="93"/>
  </r>
  <r>
    <x v="112"/>
  </r>
  <r>
    <x v="112"/>
  </r>
  <r>
    <x v="56"/>
  </r>
  <r>
    <x v="78"/>
  </r>
  <r>
    <x v="86"/>
  </r>
  <r>
    <x v="48"/>
  </r>
  <r>
    <x v="72"/>
  </r>
  <r>
    <x v="71"/>
  </r>
  <r>
    <x v="48"/>
  </r>
  <r>
    <x v="78"/>
  </r>
  <r>
    <x v="82"/>
  </r>
  <r>
    <x v="82"/>
  </r>
  <r>
    <x v="42"/>
  </r>
  <r>
    <x v="82"/>
  </r>
  <r>
    <x v="82"/>
  </r>
  <r>
    <x v="82"/>
  </r>
  <r>
    <x v="82"/>
  </r>
  <r>
    <x v="82"/>
  </r>
  <r>
    <x v="82"/>
  </r>
  <r>
    <x v="82"/>
  </r>
  <r>
    <x v="75"/>
  </r>
  <r>
    <x v="75"/>
  </r>
  <r>
    <x v="75"/>
  </r>
  <r>
    <x v="75"/>
  </r>
  <r>
    <x v="75"/>
  </r>
  <r>
    <x v="78"/>
  </r>
  <r>
    <x v="78"/>
  </r>
  <r>
    <x v="77"/>
  </r>
  <r>
    <x v="0"/>
  </r>
  <r>
    <x v="0"/>
  </r>
  <r>
    <x v="82"/>
  </r>
  <r>
    <x v="82"/>
  </r>
  <r>
    <x v="42"/>
  </r>
  <r>
    <x v="75"/>
  </r>
  <r>
    <x v="75"/>
  </r>
  <r>
    <x v="25"/>
  </r>
  <r>
    <x v="25"/>
  </r>
  <r>
    <x v="4"/>
  </r>
  <r>
    <x v="22"/>
  </r>
  <r>
    <x v="22"/>
  </r>
  <r>
    <x v="78"/>
  </r>
  <r>
    <x v="212"/>
  </r>
  <r>
    <x v="212"/>
  </r>
  <r>
    <x v="112"/>
  </r>
  <r>
    <x v="112"/>
  </r>
  <r>
    <x v="77"/>
  </r>
  <r>
    <x v="80"/>
  </r>
  <r>
    <x v="154"/>
  </r>
  <r>
    <x v="31"/>
  </r>
  <r>
    <x v="1"/>
  </r>
  <r>
    <x v="14"/>
  </r>
  <r>
    <x v="81"/>
  </r>
  <r>
    <x v="131"/>
  </r>
  <r>
    <x v="14"/>
  </r>
  <r>
    <x v="14"/>
  </r>
  <r>
    <x v="14"/>
  </r>
  <r>
    <x v="31"/>
  </r>
  <r>
    <x v="31"/>
  </r>
  <r>
    <x v="154"/>
  </r>
  <r>
    <x v="81"/>
  </r>
  <r>
    <x v="81"/>
  </r>
  <r>
    <x v="81"/>
  </r>
  <r>
    <x v="108"/>
  </r>
  <r>
    <x v="78"/>
  </r>
  <r>
    <x v="78"/>
  </r>
  <r>
    <x v="57"/>
  </r>
  <r>
    <x v="57"/>
  </r>
  <r>
    <x v="48"/>
  </r>
  <r>
    <x v="36"/>
  </r>
  <r>
    <x v="77"/>
  </r>
  <r>
    <x v="81"/>
  </r>
  <r>
    <x v="87"/>
  </r>
  <r>
    <x v="72"/>
  </r>
  <r>
    <x v="31"/>
  </r>
  <r>
    <x v="77"/>
  </r>
  <r>
    <x v="46"/>
  </r>
  <r>
    <x v="36"/>
  </r>
  <r>
    <x v="113"/>
  </r>
  <r>
    <x v="81"/>
  </r>
  <r>
    <x v="81"/>
  </r>
  <r>
    <x v="173"/>
  </r>
  <r>
    <x v="31"/>
  </r>
  <r>
    <x v="77"/>
  </r>
  <r>
    <x v="10"/>
  </r>
  <r>
    <x v="10"/>
  </r>
  <r>
    <x v="25"/>
  </r>
  <r>
    <x v="21"/>
  </r>
  <r>
    <x v="10"/>
  </r>
  <r>
    <x v="24"/>
  </r>
  <r>
    <x v="36"/>
  </r>
  <r>
    <x v="36"/>
  </r>
  <r>
    <x v="10"/>
  </r>
  <r>
    <x v="10"/>
  </r>
  <r>
    <x v="10"/>
  </r>
  <r>
    <x v="30"/>
  </r>
  <r>
    <x v="10"/>
  </r>
  <r>
    <x v="112"/>
  </r>
  <r>
    <x v="72"/>
  </r>
  <r>
    <x v="14"/>
  </r>
  <r>
    <x v="14"/>
  </r>
  <r>
    <x v="57"/>
  </r>
  <r>
    <x v="57"/>
  </r>
  <r>
    <x v="14"/>
  </r>
  <r>
    <x v="14"/>
  </r>
  <r>
    <x v="35"/>
  </r>
  <r>
    <x v="35"/>
  </r>
  <r>
    <x v="112"/>
  </r>
  <r>
    <x v="35"/>
  </r>
  <r>
    <x v="35"/>
  </r>
  <r>
    <x v="35"/>
  </r>
  <r>
    <x v="93"/>
  </r>
  <r>
    <x v="45"/>
  </r>
  <r>
    <x v="81"/>
  </r>
  <r>
    <x v="81"/>
  </r>
  <r>
    <x v="45"/>
  </r>
  <r>
    <x v="82"/>
  </r>
  <r>
    <x v="93"/>
  </r>
  <r>
    <x v="93"/>
  </r>
  <r>
    <x v="103"/>
  </r>
  <r>
    <x v="99"/>
  </r>
  <r>
    <x v="82"/>
  </r>
  <r>
    <x v="82"/>
  </r>
  <r>
    <x v="82"/>
  </r>
  <r>
    <x v="99"/>
  </r>
  <r>
    <x v="82"/>
  </r>
  <r>
    <x v="103"/>
  </r>
  <r>
    <x v="112"/>
  </r>
  <r>
    <x v="48"/>
  </r>
  <r>
    <x v="36"/>
  </r>
  <r>
    <x v="121"/>
  </r>
  <r>
    <x v="72"/>
  </r>
  <r>
    <x v="82"/>
  </r>
  <r>
    <x v="93"/>
  </r>
  <r>
    <x v="183"/>
  </r>
  <r>
    <x v="72"/>
  </r>
  <r>
    <x v="72"/>
  </r>
  <r>
    <x v="72"/>
  </r>
  <r>
    <x v="72"/>
  </r>
  <r>
    <x v="94"/>
  </r>
  <r>
    <x v="23"/>
  </r>
  <r>
    <x v="112"/>
  </r>
  <r>
    <x v="112"/>
  </r>
  <r>
    <x v="208"/>
  </r>
  <r>
    <x v="208"/>
  </r>
  <r>
    <x v="93"/>
  </r>
  <r>
    <x v="128"/>
  </r>
  <r>
    <x v="80"/>
  </r>
  <r>
    <x v="251"/>
  </r>
  <r>
    <x v="70"/>
  </r>
  <r>
    <x v="187"/>
  </r>
  <r>
    <x v="76"/>
  </r>
  <r>
    <x v="76"/>
  </r>
  <r>
    <x v="28"/>
  </r>
  <r>
    <x v="63"/>
  </r>
  <r>
    <x v="63"/>
  </r>
  <r>
    <x v="118"/>
  </r>
  <r>
    <x v="63"/>
  </r>
  <r>
    <x v="63"/>
  </r>
  <r>
    <x v="76"/>
  </r>
  <r>
    <x v="56"/>
  </r>
  <r>
    <x v="76"/>
  </r>
  <r>
    <x v="76"/>
  </r>
  <r>
    <x v="76"/>
  </r>
  <r>
    <x v="76"/>
  </r>
  <r>
    <x v="76"/>
  </r>
  <r>
    <x v="76"/>
  </r>
  <r>
    <x v="0"/>
  </r>
  <r>
    <x v="13"/>
  </r>
  <r>
    <x v="48"/>
  </r>
  <r>
    <x v="10"/>
  </r>
  <r>
    <x v="56"/>
  </r>
  <r>
    <x v="13"/>
  </r>
  <r>
    <x v="42"/>
  </r>
  <r>
    <x v="56"/>
  </r>
  <r>
    <x v="25"/>
  </r>
  <r>
    <x v="76"/>
  </r>
  <r>
    <x v="56"/>
  </r>
  <r>
    <x v="76"/>
  </r>
  <r>
    <x v="76"/>
  </r>
  <r>
    <x v="48"/>
  </r>
  <r>
    <x v="100"/>
  </r>
  <r>
    <x v="9"/>
  </r>
  <r>
    <x v="104"/>
  </r>
  <r>
    <x v="100"/>
  </r>
  <r>
    <x v="78"/>
  </r>
  <r>
    <x v="83"/>
  </r>
  <r>
    <x v="83"/>
  </r>
  <r>
    <x v="0"/>
  </r>
  <r>
    <x v="17"/>
  </r>
  <r>
    <x v="25"/>
  </r>
  <r>
    <x v="117"/>
  </r>
  <r>
    <x v="55"/>
  </r>
  <r>
    <x v="36"/>
  </r>
  <r>
    <x v="100"/>
  </r>
  <r>
    <x v="100"/>
  </r>
  <r>
    <x v="122"/>
  </r>
  <r>
    <x v="111"/>
  </r>
  <r>
    <x v="2"/>
  </r>
  <r>
    <x v="4"/>
  </r>
  <r>
    <x v="23"/>
  </r>
  <r>
    <x v="25"/>
  </r>
  <r>
    <x v="4"/>
  </r>
  <r>
    <x v="91"/>
  </r>
  <r>
    <x v="28"/>
  </r>
  <r>
    <x v="12"/>
  </r>
  <r>
    <x v="28"/>
  </r>
  <r>
    <x v="28"/>
  </r>
  <r>
    <x v="28"/>
  </r>
  <r>
    <x v="28"/>
  </r>
  <r>
    <x v="28"/>
  </r>
  <r>
    <x v="29"/>
  </r>
  <r>
    <x v="29"/>
  </r>
  <r>
    <x v="48"/>
  </r>
  <r>
    <x v="48"/>
  </r>
  <r>
    <x v="48"/>
  </r>
  <r>
    <x v="48"/>
  </r>
  <r>
    <x v="7"/>
  </r>
  <r>
    <x v="42"/>
  </r>
  <r>
    <x v="79"/>
  </r>
  <r>
    <x v="25"/>
  </r>
  <r>
    <x v="42"/>
  </r>
  <r>
    <x v="7"/>
  </r>
  <r>
    <x v="42"/>
  </r>
  <r>
    <x v="12"/>
  </r>
  <r>
    <x v="78"/>
  </r>
  <r>
    <x v="78"/>
  </r>
  <r>
    <x v="78"/>
  </r>
  <r>
    <x v="14"/>
  </r>
  <r>
    <x v="78"/>
  </r>
  <r>
    <x v="78"/>
  </r>
  <r>
    <x v="63"/>
  </r>
  <r>
    <x v="28"/>
  </r>
  <r>
    <x v="28"/>
  </r>
  <r>
    <x v="28"/>
  </r>
  <r>
    <x v="28"/>
  </r>
  <r>
    <x v="28"/>
  </r>
  <r>
    <x v="86"/>
  </r>
  <r>
    <x v="86"/>
  </r>
  <r>
    <x v="79"/>
  </r>
  <r>
    <x v="48"/>
  </r>
  <r>
    <x v="56"/>
  </r>
  <r>
    <x v="117"/>
  </r>
  <r>
    <x v="92"/>
  </r>
  <r>
    <x v="93"/>
  </r>
  <r>
    <x v="93"/>
  </r>
  <r>
    <x v="71"/>
  </r>
  <r>
    <x v="71"/>
  </r>
  <r>
    <x v="71"/>
  </r>
  <r>
    <x v="7"/>
  </r>
  <r>
    <x v="7"/>
  </r>
  <r>
    <x v="2"/>
  </r>
  <r>
    <x v="4"/>
  </r>
  <r>
    <x v="196"/>
  </r>
  <r>
    <x v="7"/>
  </r>
  <r>
    <x v="71"/>
  </r>
  <r>
    <x v="25"/>
  </r>
  <r>
    <x v="196"/>
  </r>
  <r>
    <x v="64"/>
  </r>
  <r>
    <x v="2"/>
  </r>
  <r>
    <x v="64"/>
  </r>
  <r>
    <x v="2"/>
  </r>
  <r>
    <x v="196"/>
  </r>
  <r>
    <x v="71"/>
  </r>
  <r>
    <x v="71"/>
  </r>
  <r>
    <x v="71"/>
  </r>
  <r>
    <x v="71"/>
  </r>
  <r>
    <x v="0"/>
  </r>
  <r>
    <x v="37"/>
  </r>
  <r>
    <x v="141"/>
  </r>
  <r>
    <x v="4"/>
  </r>
  <r>
    <x v="108"/>
  </r>
  <r>
    <x v="9"/>
  </r>
  <r>
    <x v="123"/>
  </r>
  <r>
    <x v="123"/>
  </r>
  <r>
    <x v="123"/>
  </r>
  <r>
    <x v="123"/>
  </r>
  <r>
    <x v="123"/>
  </r>
  <r>
    <x v="123"/>
  </r>
  <r>
    <x v="123"/>
  </r>
  <r>
    <x v="123"/>
  </r>
  <r>
    <x v="81"/>
  </r>
  <r>
    <x v="81"/>
  </r>
  <r>
    <x v="81"/>
  </r>
  <r>
    <x v="81"/>
  </r>
  <r>
    <x v="81"/>
  </r>
  <r>
    <x v="331"/>
  </r>
  <r>
    <x v="134"/>
  </r>
  <r>
    <x v="134"/>
  </r>
  <r>
    <x v="134"/>
  </r>
  <r>
    <x v="134"/>
  </r>
  <r>
    <x v="134"/>
  </r>
  <r>
    <x v="134"/>
  </r>
  <r>
    <x v="78"/>
  </r>
  <r>
    <x v="12"/>
  </r>
  <r>
    <x v="0"/>
  </r>
  <r>
    <x v="78"/>
  </r>
  <r>
    <x v="0"/>
  </r>
  <r>
    <x v="48"/>
  </r>
  <r>
    <x v="114"/>
  </r>
  <r>
    <x v="7"/>
  </r>
  <r>
    <x v="7"/>
  </r>
  <r>
    <x v="44"/>
  </r>
  <r>
    <x v="0"/>
  </r>
  <r>
    <x v="93"/>
  </r>
  <r>
    <x v="25"/>
  </r>
  <r>
    <x v="25"/>
  </r>
  <r>
    <x v="25"/>
  </r>
  <r>
    <x v="492"/>
  </r>
  <r>
    <x v="0"/>
  </r>
  <r>
    <x v="0"/>
  </r>
  <r>
    <x v="3"/>
  </r>
  <r>
    <x v="87"/>
  </r>
  <r>
    <x v="0"/>
  </r>
  <r>
    <x v="129"/>
  </r>
  <r>
    <x v="123"/>
  </r>
  <r>
    <x v="132"/>
  </r>
  <r>
    <x v="164"/>
  </r>
  <r>
    <x v="31"/>
  </r>
  <r>
    <x v="37"/>
  </r>
  <r>
    <x v="12"/>
  </r>
  <r>
    <x v="3"/>
  </r>
  <r>
    <x v="3"/>
  </r>
  <r>
    <x v="93"/>
  </r>
  <r>
    <x v="3"/>
  </r>
  <r>
    <x v="25"/>
  </r>
  <r>
    <x v="25"/>
  </r>
  <r>
    <x v="10"/>
  </r>
  <r>
    <x v="121"/>
  </r>
  <r>
    <x v="17"/>
  </r>
  <r>
    <x v="112"/>
  </r>
  <r>
    <x v="28"/>
  </r>
  <r>
    <x v="45"/>
  </r>
  <r>
    <x v="2"/>
  </r>
  <r>
    <x v="132"/>
  </r>
  <r>
    <x v="80"/>
  </r>
  <r>
    <x v="112"/>
  </r>
  <r>
    <x v="112"/>
  </r>
  <r>
    <x v="112"/>
  </r>
  <r>
    <x v="122"/>
  </r>
  <r>
    <x v="112"/>
  </r>
  <r>
    <x v="24"/>
  </r>
  <r>
    <x v="78"/>
  </r>
  <r>
    <x v="31"/>
  </r>
  <r>
    <x v="83"/>
  </r>
  <r>
    <x v="83"/>
  </r>
  <r>
    <x v="83"/>
  </r>
  <r>
    <x v="83"/>
  </r>
  <r>
    <x v="83"/>
  </r>
  <r>
    <x v="83"/>
  </r>
  <r>
    <x v="83"/>
  </r>
  <r>
    <x v="83"/>
  </r>
  <r>
    <x v="83"/>
  </r>
  <r>
    <x v="78"/>
  </r>
  <r>
    <x v="52"/>
  </r>
  <r>
    <x v="99"/>
  </r>
  <r>
    <x v="59"/>
  </r>
  <r>
    <x v="93"/>
  </r>
  <r>
    <x v="78"/>
  </r>
  <r>
    <x v="93"/>
  </r>
  <r>
    <x v="78"/>
  </r>
  <r>
    <x v="78"/>
  </r>
  <r>
    <x v="56"/>
  </r>
  <r>
    <x v="2"/>
  </r>
  <r>
    <x v="0"/>
  </r>
  <r>
    <x v="0"/>
  </r>
  <r>
    <x v="75"/>
  </r>
  <r>
    <x v="75"/>
  </r>
  <r>
    <x v="75"/>
  </r>
  <r>
    <x v="10"/>
  </r>
  <r>
    <x v="0"/>
  </r>
  <r>
    <x v="2"/>
  </r>
  <r>
    <x v="10"/>
  </r>
  <r>
    <x v="10"/>
  </r>
  <r>
    <x v="10"/>
  </r>
  <r>
    <x v="75"/>
  </r>
  <r>
    <x v="76"/>
  </r>
  <r>
    <x v="76"/>
  </r>
  <r>
    <x v="76"/>
  </r>
  <r>
    <x v="76"/>
  </r>
  <r>
    <x v="76"/>
  </r>
  <r>
    <x v="76"/>
  </r>
  <r>
    <x v="83"/>
  </r>
  <r>
    <x v="83"/>
  </r>
  <r>
    <x v="83"/>
  </r>
  <r>
    <x v="82"/>
  </r>
  <r>
    <x v="50"/>
  </r>
  <r>
    <x v="121"/>
  </r>
  <r>
    <x v="28"/>
  </r>
  <r>
    <x v="28"/>
  </r>
  <r>
    <x v="10"/>
  </r>
  <r>
    <x v="50"/>
  </r>
  <r>
    <x v="90"/>
  </r>
  <r>
    <x v="4"/>
  </r>
  <r>
    <x v="93"/>
  </r>
  <r>
    <x v="14"/>
  </r>
  <r>
    <x v="0"/>
  </r>
  <r>
    <x v="0"/>
  </r>
  <r>
    <x v="71"/>
  </r>
  <r>
    <x v="76"/>
  </r>
  <r>
    <x v="76"/>
  </r>
  <r>
    <x v="48"/>
  </r>
  <r>
    <x v="76"/>
  </r>
  <r>
    <x v="2"/>
  </r>
  <r>
    <x v="2"/>
  </r>
  <r>
    <x v="2"/>
  </r>
  <r>
    <x v="78"/>
  </r>
  <r>
    <x v="2"/>
  </r>
  <r>
    <x v="2"/>
  </r>
  <r>
    <x v="2"/>
  </r>
  <r>
    <x v="2"/>
  </r>
  <r>
    <x v="2"/>
  </r>
  <r>
    <x v="2"/>
  </r>
  <r>
    <x v="0"/>
  </r>
  <r>
    <x v="72"/>
  </r>
  <r>
    <x v="75"/>
  </r>
  <r>
    <x v="12"/>
  </r>
  <r>
    <x v="12"/>
  </r>
  <r>
    <x v="12"/>
  </r>
  <r>
    <x v="12"/>
  </r>
  <r>
    <x v="12"/>
  </r>
  <r>
    <x v="12"/>
  </r>
  <r>
    <x v="115"/>
  </r>
  <r>
    <x v="12"/>
  </r>
  <r>
    <x v="114"/>
  </r>
  <r>
    <x v="115"/>
  </r>
  <r>
    <x v="114"/>
  </r>
  <r>
    <x v="45"/>
  </r>
  <r>
    <x v="45"/>
  </r>
  <r>
    <x v="2"/>
  </r>
  <r>
    <x v="2"/>
  </r>
  <r>
    <x v="2"/>
  </r>
  <r>
    <x v="10"/>
  </r>
  <r>
    <x v="10"/>
  </r>
  <r>
    <x v="108"/>
  </r>
  <r>
    <x v="108"/>
  </r>
  <r>
    <x v="0"/>
  </r>
  <r>
    <x v="25"/>
  </r>
  <r>
    <x v="25"/>
  </r>
  <r>
    <x v="48"/>
  </r>
  <r>
    <x v="48"/>
  </r>
  <r>
    <x v="48"/>
  </r>
  <r>
    <x v="48"/>
  </r>
  <r>
    <x v="48"/>
  </r>
  <r>
    <x v="0"/>
  </r>
  <r>
    <x v="2"/>
  </r>
  <r>
    <x v="0"/>
  </r>
  <r>
    <x v="0"/>
  </r>
  <r>
    <x v="48"/>
  </r>
  <r>
    <x v="91"/>
  </r>
  <r>
    <x v="25"/>
  </r>
  <r>
    <x v="72"/>
  </r>
  <r>
    <x v="72"/>
  </r>
  <r>
    <x v="72"/>
  </r>
  <r>
    <x v="72"/>
  </r>
  <r>
    <x v="76"/>
  </r>
  <r>
    <x v="76"/>
  </r>
  <r>
    <x v="76"/>
  </r>
  <r>
    <x v="25"/>
  </r>
  <r>
    <x v="76"/>
  </r>
  <r>
    <x v="76"/>
  </r>
  <r>
    <x v="82"/>
  </r>
  <r>
    <x v="76"/>
  </r>
  <r>
    <x v="12"/>
  </r>
  <r>
    <x v="48"/>
  </r>
  <r>
    <x v="48"/>
  </r>
  <r>
    <x v="76"/>
  </r>
  <r>
    <x v="48"/>
  </r>
  <r>
    <x v="76"/>
  </r>
  <r>
    <x v="76"/>
  </r>
  <r>
    <x v="76"/>
  </r>
  <r>
    <x v="76"/>
  </r>
  <r>
    <x v="0"/>
  </r>
  <r>
    <x v="76"/>
  </r>
  <r>
    <x v="76"/>
  </r>
  <r>
    <x v="76"/>
  </r>
  <r>
    <x v="76"/>
  </r>
  <r>
    <x v="76"/>
  </r>
  <r>
    <x v="76"/>
  </r>
  <r>
    <x v="82"/>
  </r>
  <r>
    <x v="76"/>
  </r>
  <r>
    <x v="76"/>
  </r>
  <r>
    <x v="75"/>
  </r>
  <r>
    <x v="76"/>
  </r>
  <r>
    <x v="76"/>
  </r>
  <r>
    <x v="75"/>
  </r>
  <r>
    <x v="76"/>
  </r>
  <r>
    <x v="76"/>
  </r>
  <r>
    <x v="76"/>
  </r>
  <r>
    <x v="76"/>
  </r>
  <r>
    <x v="78"/>
  </r>
  <r>
    <x v="76"/>
  </r>
  <r>
    <x v="76"/>
  </r>
  <r>
    <x v="76"/>
  </r>
  <r>
    <x v="76"/>
  </r>
  <r>
    <x v="76"/>
  </r>
  <r>
    <x v="76"/>
  </r>
  <r>
    <x v="0"/>
  </r>
  <r>
    <x v="76"/>
  </r>
  <r>
    <x v="76"/>
  </r>
  <r>
    <x v="63"/>
  </r>
  <r>
    <x v="75"/>
  </r>
  <r>
    <x v="75"/>
  </r>
  <r>
    <x v="75"/>
  </r>
  <r>
    <x v="76"/>
  </r>
  <r>
    <x v="75"/>
  </r>
  <r>
    <x v="75"/>
  </r>
  <r>
    <x v="76"/>
  </r>
  <r>
    <x v="76"/>
  </r>
  <r>
    <x v="75"/>
  </r>
  <r>
    <x v="75"/>
  </r>
  <r>
    <x v="76"/>
  </r>
  <r>
    <x v="10"/>
  </r>
  <r>
    <x v="78"/>
  </r>
  <r>
    <x v="10"/>
  </r>
  <r>
    <x v="78"/>
  </r>
  <r>
    <x v="78"/>
  </r>
  <r>
    <x v="78"/>
  </r>
  <r>
    <x v="25"/>
  </r>
  <r>
    <x v="87"/>
  </r>
  <r>
    <x v="10"/>
  </r>
  <r>
    <x v="76"/>
  </r>
  <r>
    <x v="75"/>
  </r>
  <r>
    <x v="76"/>
  </r>
  <r>
    <x v="76"/>
  </r>
  <r>
    <x v="76"/>
  </r>
  <r>
    <x v="76"/>
  </r>
  <r>
    <x v="76"/>
  </r>
  <r>
    <x v="75"/>
  </r>
  <r>
    <x v="75"/>
  </r>
  <r>
    <x v="112"/>
  </r>
  <r>
    <x v="7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48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25"/>
  </r>
  <r>
    <x v="25"/>
  </r>
  <r>
    <x v="3"/>
  </r>
  <r>
    <x v="97"/>
  </r>
  <r>
    <x v="3"/>
  </r>
  <r>
    <x v="3"/>
  </r>
  <r>
    <x v="0"/>
  </r>
  <r>
    <x v="143"/>
  </r>
  <r>
    <x v="78"/>
  </r>
  <r>
    <x v="78"/>
  </r>
  <r>
    <x v="76"/>
  </r>
  <r>
    <x v="76"/>
  </r>
  <r>
    <x v="105"/>
  </r>
  <r>
    <x v="25"/>
  </r>
  <r>
    <x v="25"/>
  </r>
  <r>
    <x v="102"/>
  </r>
  <r>
    <x v="25"/>
  </r>
  <r>
    <x v="25"/>
  </r>
  <r>
    <x v="102"/>
  </r>
  <r>
    <x v="76"/>
  </r>
  <r>
    <x v="76"/>
  </r>
  <r>
    <x v="25"/>
  </r>
  <r>
    <x v="4"/>
  </r>
  <r>
    <x v="4"/>
  </r>
  <r>
    <x v="81"/>
  </r>
  <r>
    <x v="4"/>
  </r>
  <r>
    <x v="4"/>
  </r>
  <r>
    <x v="4"/>
  </r>
  <r>
    <x v="4"/>
  </r>
  <r>
    <x v="4"/>
  </r>
  <r>
    <x v="4"/>
  </r>
  <r>
    <x v="4"/>
  </r>
  <r>
    <x v="91"/>
  </r>
  <r>
    <x v="25"/>
  </r>
  <r>
    <x v="227"/>
  </r>
  <r>
    <x v="87"/>
  </r>
  <r>
    <x v="76"/>
  </r>
  <r>
    <x v="76"/>
  </r>
  <r>
    <x v="76"/>
  </r>
  <r>
    <x v="108"/>
  </r>
  <r>
    <x v="108"/>
  </r>
  <r>
    <x v="108"/>
  </r>
  <r>
    <x v="36"/>
  </r>
  <r>
    <x v="87"/>
  </r>
  <r>
    <x v="87"/>
  </r>
  <r>
    <x v="34"/>
  </r>
  <r>
    <x v="14"/>
  </r>
  <r>
    <x v="34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96"/>
  </r>
  <r>
    <x v="25"/>
  </r>
  <r>
    <x v="72"/>
  </r>
  <r>
    <x v="93"/>
  </r>
  <r>
    <x v="93"/>
  </r>
  <r>
    <x v="93"/>
  </r>
  <r>
    <x v="93"/>
  </r>
  <r>
    <x v="93"/>
  </r>
  <r>
    <x v="93"/>
  </r>
  <r>
    <x v="25"/>
  </r>
  <r>
    <x v="76"/>
  </r>
  <r>
    <x v="76"/>
  </r>
  <r>
    <x v="76"/>
  </r>
  <r>
    <x v="76"/>
  </r>
  <r>
    <x v="72"/>
  </r>
  <r>
    <x v="72"/>
  </r>
  <r>
    <x v="104"/>
  </r>
  <r>
    <x v="45"/>
  </r>
  <r>
    <x v="56"/>
  </r>
  <r>
    <x v="56"/>
  </r>
  <r>
    <x v="56"/>
  </r>
  <r>
    <x v="0"/>
  </r>
  <r>
    <x v="194"/>
  </r>
  <r>
    <x v="12"/>
  </r>
  <r>
    <x v="59"/>
  </r>
  <r>
    <x v="76"/>
  </r>
  <r>
    <x v="105"/>
  </r>
  <r>
    <x v="56"/>
  </r>
  <r>
    <x v="81"/>
  </r>
  <r>
    <x v="81"/>
  </r>
  <r>
    <x v="99"/>
  </r>
  <r>
    <x v="48"/>
  </r>
  <r>
    <x v="99"/>
  </r>
  <r>
    <x v="99"/>
  </r>
  <r>
    <x v="48"/>
  </r>
  <r>
    <x v="48"/>
  </r>
  <r>
    <x v="103"/>
  </r>
  <r>
    <x v="99"/>
  </r>
  <r>
    <x v="48"/>
  </r>
  <r>
    <x v="79"/>
  </r>
  <r>
    <x v="78"/>
  </r>
  <r>
    <x v="201"/>
  </r>
  <r>
    <x v="25"/>
  </r>
  <r>
    <x v="25"/>
  </r>
  <r>
    <x v="25"/>
  </r>
  <r>
    <x v="76"/>
  </r>
  <r>
    <x v="48"/>
  </r>
  <r>
    <x v="76"/>
  </r>
  <r>
    <x v="76"/>
  </r>
  <r>
    <x v="76"/>
  </r>
  <r>
    <x v="76"/>
  </r>
  <r>
    <x v="57"/>
  </r>
  <r>
    <x v="0"/>
  </r>
  <r>
    <x v="0"/>
  </r>
  <r>
    <x v="28"/>
  </r>
  <r>
    <x v="184"/>
  </r>
  <r>
    <x v="184"/>
  </r>
  <r>
    <x v="48"/>
  </r>
  <r>
    <x v="24"/>
  </r>
  <r>
    <x v="48"/>
  </r>
  <r>
    <x v="0"/>
  </r>
  <r>
    <x v="25"/>
  </r>
  <r>
    <x v="25"/>
  </r>
  <r>
    <x v="25"/>
  </r>
  <r>
    <x v="48"/>
  </r>
  <r>
    <x v="48"/>
  </r>
  <r>
    <x v="78"/>
  </r>
  <r>
    <x v="48"/>
  </r>
  <r>
    <x v="48"/>
  </r>
  <r>
    <x v="78"/>
  </r>
  <r>
    <x v="15"/>
  </r>
  <r>
    <x v="0"/>
  </r>
  <r>
    <x v="17"/>
  </r>
  <r>
    <x v="78"/>
  </r>
  <r>
    <x v="497"/>
  </r>
  <r>
    <x v="1"/>
  </r>
  <r>
    <x v="48"/>
  </r>
  <r>
    <x v="34"/>
  </r>
  <r>
    <x v="78"/>
  </r>
  <r>
    <x v="78"/>
  </r>
  <r>
    <x v="82"/>
  </r>
  <r>
    <x v="10"/>
  </r>
  <r>
    <x v="10"/>
  </r>
  <r>
    <x v="37"/>
  </r>
  <r>
    <x v="98"/>
  </r>
  <r>
    <x v="82"/>
  </r>
  <r>
    <x v="216"/>
  </r>
  <r>
    <x v="154"/>
  </r>
  <r>
    <x v="10"/>
  </r>
  <r>
    <x v="29"/>
  </r>
  <r>
    <x v="29"/>
  </r>
  <r>
    <x v="93"/>
  </r>
  <r>
    <x v="0"/>
  </r>
  <r>
    <x v="48"/>
  </r>
  <r>
    <x v="25"/>
  </r>
  <r>
    <x v="113"/>
  </r>
  <r>
    <x v="113"/>
  </r>
  <r>
    <x v="79"/>
  </r>
  <r>
    <x v="103"/>
  </r>
  <r>
    <x v="2"/>
  </r>
  <r>
    <x v="2"/>
  </r>
  <r>
    <x v="25"/>
  </r>
  <r>
    <x v="93"/>
  </r>
  <r>
    <x v="171"/>
  </r>
  <r>
    <x v="30"/>
  </r>
  <r>
    <x v="93"/>
  </r>
  <r>
    <x v="93"/>
  </r>
  <r>
    <x v="25"/>
  </r>
  <r>
    <x v="25"/>
  </r>
  <r>
    <x v="25"/>
  </r>
  <r>
    <x v="93"/>
  </r>
  <r>
    <x v="87"/>
  </r>
  <r>
    <x v="0"/>
  </r>
  <r>
    <x v="52"/>
  </r>
  <r>
    <x v="25"/>
  </r>
  <r>
    <x v="0"/>
  </r>
  <r>
    <x v="25"/>
  </r>
  <r>
    <x v="25"/>
  </r>
  <r>
    <x v="25"/>
  </r>
  <r>
    <x v="25"/>
  </r>
  <r>
    <x v="25"/>
  </r>
  <r>
    <x v="25"/>
  </r>
  <r>
    <x v="25"/>
  </r>
  <r>
    <x v="102"/>
  </r>
  <r>
    <x v="25"/>
  </r>
  <r>
    <x v="25"/>
  </r>
  <r>
    <x v="25"/>
  </r>
  <r>
    <x v="25"/>
  </r>
  <r>
    <x v="25"/>
  </r>
  <r>
    <x v="93"/>
  </r>
  <r>
    <x v="25"/>
  </r>
  <r>
    <x v="0"/>
  </r>
  <r>
    <x v="56"/>
  </r>
  <r>
    <x v="25"/>
  </r>
  <r>
    <x v="25"/>
  </r>
  <r>
    <x v="25"/>
  </r>
  <r>
    <x v="25"/>
  </r>
  <r>
    <x v="123"/>
  </r>
  <r>
    <x v="79"/>
  </r>
  <r>
    <x v="78"/>
  </r>
  <r>
    <x v="78"/>
  </r>
  <r>
    <x v="78"/>
  </r>
  <r>
    <x v="93"/>
  </r>
  <r>
    <x v="93"/>
  </r>
  <r>
    <x v="93"/>
  </r>
  <r>
    <x v="93"/>
  </r>
  <r>
    <x v="48"/>
  </r>
  <r>
    <x v="113"/>
  </r>
  <r>
    <x v="57"/>
  </r>
  <r>
    <x v="113"/>
  </r>
  <r>
    <x v="48"/>
  </r>
  <r>
    <x v="25"/>
  </r>
  <r>
    <x v="102"/>
  </r>
  <r>
    <x v="25"/>
  </r>
  <r>
    <x v="113"/>
  </r>
  <r>
    <x v="25"/>
  </r>
  <r>
    <x v="25"/>
  </r>
  <r>
    <x v="25"/>
  </r>
  <r>
    <x v="25"/>
  </r>
  <r>
    <x v="2"/>
  </r>
  <r>
    <x v="56"/>
  </r>
  <r>
    <x v="56"/>
  </r>
  <r>
    <x v="56"/>
  </r>
  <r>
    <x v="25"/>
  </r>
  <r>
    <x v="72"/>
  </r>
  <r>
    <x v="25"/>
  </r>
  <r>
    <x v="79"/>
  </r>
  <r>
    <x v="0"/>
  </r>
  <r>
    <x v="124"/>
  </r>
  <r>
    <x v="124"/>
  </r>
  <r>
    <x v="78"/>
  </r>
  <r>
    <x v="78"/>
  </r>
  <r>
    <x v="10"/>
  </r>
  <r>
    <x v="10"/>
  </r>
  <r>
    <x v="72"/>
  </r>
  <r>
    <x v="0"/>
  </r>
  <r>
    <x v="72"/>
  </r>
  <r>
    <x v="72"/>
  </r>
  <r>
    <x v="0"/>
  </r>
  <r>
    <x v="0"/>
  </r>
  <r>
    <x v="0"/>
  </r>
  <r>
    <x v="0"/>
  </r>
  <r>
    <x v="50"/>
  </r>
  <r>
    <x v="25"/>
  </r>
  <r>
    <x v="0"/>
  </r>
  <r>
    <x v="78"/>
  </r>
  <r>
    <x v="78"/>
  </r>
  <r>
    <x v="78"/>
  </r>
  <r>
    <x v="14"/>
  </r>
  <r>
    <x v="0"/>
  </r>
  <r>
    <x v="78"/>
  </r>
  <r>
    <x v="78"/>
  </r>
  <r>
    <x v="78"/>
  </r>
  <r>
    <x v="0"/>
  </r>
  <r>
    <x v="99"/>
  </r>
  <r>
    <x v="0"/>
  </r>
  <r>
    <x v="52"/>
  </r>
  <r>
    <x v="91"/>
  </r>
  <r>
    <x v="93"/>
  </r>
  <r>
    <x v="93"/>
  </r>
  <r>
    <x v="93"/>
  </r>
  <r>
    <x v="93"/>
  </r>
  <r>
    <x v="203"/>
  </r>
  <r>
    <x v="76"/>
  </r>
  <r>
    <x v="76"/>
  </r>
  <r>
    <x v="76"/>
  </r>
  <r>
    <x v="2"/>
  </r>
  <r>
    <x v="2"/>
  </r>
  <r>
    <x v="78"/>
  </r>
  <r>
    <x v="78"/>
  </r>
  <r>
    <x v="217"/>
  </r>
  <r>
    <x v="0"/>
  </r>
  <r>
    <x v="45"/>
  </r>
  <r>
    <x v="157"/>
  </r>
  <r>
    <x v="0"/>
  </r>
  <r>
    <x v="34"/>
  </r>
  <r>
    <x v="157"/>
  </r>
  <r>
    <x v="10"/>
  </r>
  <r>
    <x v="10"/>
  </r>
  <r>
    <x v="10"/>
  </r>
  <r>
    <x v="10"/>
  </r>
  <r>
    <x v="10"/>
  </r>
  <r>
    <x v="10"/>
  </r>
  <r>
    <x v="10"/>
  </r>
  <r>
    <x v="10"/>
  </r>
  <r>
    <x v="204"/>
  </r>
  <r>
    <x v="99"/>
  </r>
  <r>
    <x v="99"/>
  </r>
  <r>
    <x v="77"/>
  </r>
  <r>
    <x v="2"/>
  </r>
  <r>
    <x v="182"/>
  </r>
  <r>
    <x v="12"/>
  </r>
  <r>
    <x v="78"/>
  </r>
  <r>
    <x v="78"/>
  </r>
  <r>
    <x v="78"/>
  </r>
  <r>
    <x v="12"/>
  </r>
  <r>
    <x v="42"/>
  </r>
  <r>
    <x v="78"/>
  </r>
  <r>
    <x v="89"/>
  </r>
  <r>
    <x v="42"/>
  </r>
  <r>
    <x v="12"/>
  </r>
  <r>
    <x v="42"/>
  </r>
  <r>
    <x v="68"/>
  </r>
  <r>
    <x v="205"/>
  </r>
  <r>
    <x v="151"/>
  </r>
  <r>
    <x v="115"/>
  </r>
  <r>
    <x v="122"/>
  </r>
  <r>
    <x v="44"/>
  </r>
  <r>
    <x v="52"/>
  </r>
  <r>
    <x v="45"/>
  </r>
  <r>
    <x v="82"/>
  </r>
  <r>
    <x v="23"/>
  </r>
  <r>
    <x v="55"/>
  </r>
  <r>
    <x v="134"/>
  </r>
  <r>
    <x v="151"/>
  </r>
  <r>
    <x v="205"/>
  </r>
  <r>
    <x v="154"/>
  </r>
  <r>
    <x v="182"/>
  </r>
  <r>
    <x v="14"/>
  </r>
  <r>
    <x v="24"/>
  </r>
  <r>
    <x v="78"/>
  </r>
  <r>
    <x v="127"/>
  </r>
  <r>
    <x v="31"/>
  </r>
  <r>
    <x v="37"/>
  </r>
  <r>
    <x v="37"/>
  </r>
  <r>
    <x v="56"/>
  </r>
  <r>
    <x v="6"/>
  </r>
  <r>
    <x v="81"/>
  </r>
  <r>
    <x v="81"/>
  </r>
  <r>
    <x v="57"/>
  </r>
  <r>
    <x v="24"/>
  </r>
  <r>
    <x v="31"/>
  </r>
  <r>
    <x v="10"/>
  </r>
  <r>
    <x v="4"/>
  </r>
  <r>
    <x v="4"/>
  </r>
  <r>
    <x v="22"/>
  </r>
  <r>
    <x v="59"/>
  </r>
  <r>
    <x v="59"/>
  </r>
  <r>
    <x v="59"/>
  </r>
  <r>
    <x v="14"/>
  </r>
  <r>
    <x v="112"/>
  </r>
  <r>
    <x v="112"/>
  </r>
  <r>
    <x v="78"/>
  </r>
  <r>
    <x v="82"/>
  </r>
  <r>
    <x v="10"/>
  </r>
  <r>
    <x v="6"/>
  </r>
  <r>
    <x v="6"/>
  </r>
  <r>
    <x v="6"/>
  </r>
  <r>
    <x v="31"/>
  </r>
  <r>
    <x v="14"/>
  </r>
  <r>
    <x v="12"/>
  </r>
  <r>
    <x v="81"/>
  </r>
  <r>
    <x v="82"/>
  </r>
  <r>
    <x v="48"/>
  </r>
  <r>
    <x v="31"/>
  </r>
  <r>
    <x v="28"/>
  </r>
  <r>
    <x v="28"/>
  </r>
  <r>
    <x v="208"/>
  </r>
  <r>
    <x v="28"/>
  </r>
  <r>
    <x v="208"/>
  </r>
  <r>
    <x v="208"/>
  </r>
  <r>
    <x v="46"/>
  </r>
  <r>
    <x v="208"/>
  </r>
  <r>
    <x v="208"/>
  </r>
  <r>
    <x v="75"/>
  </r>
  <r>
    <x v="208"/>
  </r>
  <r>
    <x v="209"/>
  </r>
  <r>
    <x v="45"/>
  </r>
  <r>
    <x v="112"/>
  </r>
  <r>
    <x v="112"/>
  </r>
  <r>
    <x v="32"/>
  </r>
  <r>
    <x v="208"/>
  </r>
  <r>
    <x v="208"/>
  </r>
  <r>
    <x v="81"/>
  </r>
  <r>
    <x v="81"/>
  </r>
  <r>
    <x v="81"/>
  </r>
  <r>
    <x v="14"/>
  </r>
  <r>
    <x v="81"/>
  </r>
  <r>
    <x v="208"/>
  </r>
  <r>
    <x v="208"/>
  </r>
  <r>
    <x v="208"/>
  </r>
  <r>
    <x v="36"/>
  </r>
  <r>
    <x v="36"/>
  </r>
  <r>
    <x v="36"/>
  </r>
  <r>
    <x v="36"/>
  </r>
  <r>
    <x v="36"/>
  </r>
  <r>
    <x v="36"/>
  </r>
  <r>
    <x v="210"/>
  </r>
  <r>
    <x v="36"/>
  </r>
  <r>
    <x v="36"/>
  </r>
  <r>
    <x v="36"/>
  </r>
  <r>
    <x v="36"/>
  </r>
  <r>
    <x v="36"/>
  </r>
  <r>
    <x v="10"/>
  </r>
  <r>
    <x v="23"/>
  </r>
  <r>
    <x v="81"/>
  </r>
  <r>
    <x v="81"/>
  </r>
  <r>
    <x v="10"/>
  </r>
  <r>
    <x v="10"/>
  </r>
  <r>
    <x v="78"/>
  </r>
  <r>
    <x v="81"/>
  </r>
  <r>
    <x v="3"/>
  </r>
  <r>
    <x v="72"/>
  </r>
  <r>
    <x v="72"/>
  </r>
  <r>
    <x v="77"/>
  </r>
  <r>
    <x v="10"/>
  </r>
  <r>
    <x v="208"/>
  </r>
  <r>
    <x v="208"/>
  </r>
  <r>
    <x v="208"/>
  </r>
  <r>
    <x v="208"/>
  </r>
  <r>
    <x v="208"/>
  </r>
  <r>
    <x v="208"/>
  </r>
  <r>
    <x v="10"/>
  </r>
  <r>
    <x v="12"/>
  </r>
  <r>
    <x v="12"/>
  </r>
  <r>
    <x v="208"/>
  </r>
  <r>
    <x v="208"/>
  </r>
  <r>
    <x v="208"/>
  </r>
  <r>
    <x v="208"/>
  </r>
  <r>
    <x v="208"/>
  </r>
  <r>
    <x v="208"/>
  </r>
  <r>
    <x v="77"/>
  </r>
  <r>
    <x v="77"/>
  </r>
  <r>
    <x v="208"/>
  </r>
  <r>
    <x v="77"/>
  </r>
  <r>
    <x v="12"/>
  </r>
  <r>
    <x v="12"/>
  </r>
  <r>
    <x v="17"/>
  </r>
  <r>
    <x v="28"/>
  </r>
  <r>
    <x v="45"/>
  </r>
  <r>
    <x v="45"/>
  </r>
  <r>
    <x v="45"/>
  </r>
  <r>
    <x v="45"/>
  </r>
  <r>
    <x v="208"/>
  </r>
  <r>
    <x v="208"/>
  </r>
  <r>
    <x v="208"/>
  </r>
  <r>
    <x v="208"/>
  </r>
  <r>
    <x v="208"/>
  </r>
  <r>
    <x v="208"/>
  </r>
  <r>
    <x v="45"/>
  </r>
  <r>
    <x v="70"/>
  </r>
  <r>
    <x v="4"/>
  </r>
  <r>
    <x v="10"/>
  </r>
  <r>
    <x v="50"/>
  </r>
  <r>
    <x v="10"/>
  </r>
  <r>
    <x v="122"/>
  </r>
  <r>
    <x v="76"/>
  </r>
  <r>
    <x v="173"/>
  </r>
  <r>
    <x v="93"/>
  </r>
  <r>
    <x v="25"/>
  </r>
  <r>
    <x v="91"/>
  </r>
  <r>
    <x v="200"/>
  </r>
  <r>
    <x v="112"/>
  </r>
  <r>
    <x v="36"/>
  </r>
  <r>
    <x v="25"/>
  </r>
  <r>
    <x v="21"/>
  </r>
  <r>
    <x v="29"/>
  </r>
  <r>
    <x v="29"/>
  </r>
  <r>
    <x v="4"/>
  </r>
  <r>
    <x v="31"/>
  </r>
  <r>
    <x v="31"/>
  </r>
  <r>
    <x v="154"/>
  </r>
  <r>
    <x v="109"/>
  </r>
  <r>
    <x v="109"/>
  </r>
  <r>
    <x v="109"/>
  </r>
  <r>
    <x v="0"/>
  </r>
  <r>
    <x v="0"/>
  </r>
  <r>
    <x v="0"/>
  </r>
  <r>
    <x v="76"/>
  </r>
  <r>
    <x v="76"/>
  </r>
  <r>
    <x v="10"/>
  </r>
  <r>
    <x v="10"/>
  </r>
  <r>
    <x v="10"/>
  </r>
  <r>
    <x v="10"/>
  </r>
  <r>
    <x v="10"/>
  </r>
  <r>
    <x v="48"/>
  </r>
  <r>
    <x v="48"/>
  </r>
  <r>
    <x v="31"/>
  </r>
  <r>
    <x v="133"/>
  </r>
  <r>
    <x v="48"/>
  </r>
  <r>
    <x v="109"/>
  </r>
  <r>
    <x v="37"/>
  </r>
  <r>
    <x v="10"/>
  </r>
  <r>
    <x v="77"/>
  </r>
  <r>
    <x v="48"/>
  </r>
  <r>
    <x v="37"/>
  </r>
  <r>
    <x v="31"/>
  </r>
  <r>
    <x v="2"/>
  </r>
  <r>
    <x v="21"/>
  </r>
  <r>
    <x v="1"/>
  </r>
  <r>
    <x v="36"/>
  </r>
  <r>
    <x v="57"/>
  </r>
  <r>
    <x v="212"/>
  </r>
  <r>
    <x v="21"/>
  </r>
  <r>
    <x v="21"/>
  </r>
  <r>
    <x v="98"/>
  </r>
  <r>
    <x v="208"/>
  </r>
  <r>
    <x v="31"/>
  </r>
  <r>
    <x v="321"/>
  </r>
  <r>
    <x v="31"/>
  </r>
  <r>
    <x v="24"/>
  </r>
  <r>
    <x v="10"/>
  </r>
  <r>
    <x v="31"/>
  </r>
  <r>
    <x v="31"/>
  </r>
  <r>
    <x v="25"/>
  </r>
  <r>
    <x v="37"/>
  </r>
  <r>
    <x v="37"/>
  </r>
  <r>
    <x v="81"/>
  </r>
  <r>
    <x v="24"/>
  </r>
  <r>
    <x v="81"/>
  </r>
  <r>
    <x v="81"/>
  </r>
  <r>
    <x v="24"/>
  </r>
  <r>
    <x v="24"/>
  </r>
  <r>
    <x v="81"/>
  </r>
  <r>
    <x v="81"/>
  </r>
  <r>
    <x v="2"/>
  </r>
  <r>
    <x v="2"/>
  </r>
  <r>
    <x v="24"/>
  </r>
  <r>
    <x v="30"/>
  </r>
  <r>
    <x v="30"/>
  </r>
  <r>
    <x v="109"/>
  </r>
  <r>
    <x v="6"/>
  </r>
  <r>
    <x v="10"/>
  </r>
  <r>
    <x v="154"/>
  </r>
  <r>
    <x v="1"/>
  </r>
  <r>
    <x v="59"/>
  </r>
  <r>
    <x v="44"/>
  </r>
  <r>
    <x v="36"/>
  </r>
  <r>
    <x v="14"/>
  </r>
  <r>
    <x v="31"/>
  </r>
  <r>
    <x v="182"/>
  </r>
  <r>
    <x v="31"/>
  </r>
  <r>
    <x v="117"/>
  </r>
  <r>
    <x v="79"/>
  </r>
  <r>
    <x v="31"/>
  </r>
  <r>
    <x v="81"/>
  </r>
  <r>
    <x v="36"/>
  </r>
  <r>
    <x v="75"/>
  </r>
  <r>
    <x v="200"/>
  </r>
  <r>
    <x v="30"/>
  </r>
  <r>
    <x v="30"/>
  </r>
  <r>
    <x v="82"/>
  </r>
  <r>
    <x v="68"/>
  </r>
  <r>
    <x v="12"/>
  </r>
  <r>
    <x v="72"/>
  </r>
  <r>
    <x v="48"/>
  </r>
  <r>
    <x v="25"/>
  </r>
  <r>
    <x v="100"/>
  </r>
  <r>
    <x v="394"/>
  </r>
  <r>
    <x v="25"/>
  </r>
  <r>
    <x v="48"/>
  </r>
  <r>
    <x v="21"/>
  </r>
  <r>
    <x v="87"/>
  </r>
  <r>
    <x v="87"/>
  </r>
  <r>
    <x v="20"/>
  </r>
  <r>
    <x v="25"/>
  </r>
  <r>
    <x v="20"/>
  </r>
  <r>
    <x v="93"/>
  </r>
  <r>
    <x v="93"/>
  </r>
  <r>
    <x v="93"/>
  </r>
  <r>
    <x v="93"/>
  </r>
  <r>
    <x v="87"/>
  </r>
  <r>
    <x v="93"/>
  </r>
  <r>
    <x v="93"/>
  </r>
  <r>
    <x v="29"/>
  </r>
  <r>
    <x v="36"/>
  </r>
  <r>
    <x v="93"/>
  </r>
  <r>
    <x v="93"/>
  </r>
  <r>
    <x v="149"/>
  </r>
  <r>
    <x v="30"/>
  </r>
  <r>
    <x v="72"/>
  </r>
  <r>
    <x v="72"/>
  </r>
  <r>
    <x v="25"/>
  </r>
  <r>
    <x v="25"/>
  </r>
  <r>
    <x v="25"/>
  </r>
  <r>
    <x v="48"/>
  </r>
  <r>
    <x v="3"/>
  </r>
  <r>
    <x v="331"/>
  </r>
  <r>
    <x v="97"/>
  </r>
  <r>
    <x v="97"/>
  </r>
  <r>
    <x v="25"/>
  </r>
  <r>
    <x v="157"/>
  </r>
  <r>
    <x v="6"/>
  </r>
  <r>
    <x v="87"/>
  </r>
  <r>
    <x v="278"/>
  </r>
  <r>
    <x v="30"/>
  </r>
  <r>
    <x v="30"/>
  </r>
  <r>
    <x v="30"/>
  </r>
  <r>
    <x v="30"/>
  </r>
  <r>
    <x v="30"/>
  </r>
  <r>
    <x v="4"/>
  </r>
  <r>
    <x v="6"/>
  </r>
  <r>
    <x v="149"/>
  </r>
  <r>
    <x v="278"/>
  </r>
  <r>
    <x v="198"/>
  </r>
  <r>
    <x v="93"/>
  </r>
  <r>
    <x v="87"/>
  </r>
  <r>
    <x v="87"/>
  </r>
  <r>
    <x v="94"/>
  </r>
  <r>
    <x v="72"/>
  </r>
  <r>
    <x v="72"/>
  </r>
  <r>
    <x v="76"/>
  </r>
  <r>
    <x v="76"/>
  </r>
  <r>
    <x v="105"/>
  </r>
  <r>
    <x v="28"/>
  </r>
  <r>
    <x v="76"/>
  </r>
  <r>
    <x v="149"/>
  </r>
  <r>
    <x v="149"/>
  </r>
  <r>
    <x v="94"/>
  </r>
  <r>
    <x v="149"/>
  </r>
  <r>
    <x v="87"/>
  </r>
  <r>
    <x v="12"/>
  </r>
  <r>
    <x v="87"/>
  </r>
  <r>
    <x v="85"/>
  </r>
  <r>
    <x v="72"/>
  </r>
  <r>
    <x v="149"/>
  </r>
  <r>
    <x v="76"/>
  </r>
  <r>
    <x v="76"/>
  </r>
  <r>
    <x v="76"/>
  </r>
  <r>
    <x v="76"/>
  </r>
  <r>
    <x v="25"/>
  </r>
  <r>
    <x v="76"/>
  </r>
  <r>
    <x v="76"/>
  </r>
  <r>
    <x v="215"/>
  </r>
  <r>
    <x v="45"/>
  </r>
  <r>
    <x v="21"/>
  </r>
  <r>
    <x v="87"/>
  </r>
  <r>
    <x v="20"/>
  </r>
  <r>
    <x v="20"/>
  </r>
  <r>
    <x v="78"/>
  </r>
  <r>
    <x v="78"/>
  </r>
  <r>
    <x v="55"/>
  </r>
  <r>
    <x v="78"/>
  </r>
  <r>
    <x v="78"/>
  </r>
  <r>
    <x v="78"/>
  </r>
  <r>
    <x v="25"/>
  </r>
  <r>
    <x v="25"/>
  </r>
  <r>
    <x v="25"/>
  </r>
  <r>
    <x v="25"/>
  </r>
  <r>
    <x v="25"/>
  </r>
  <r>
    <x v="25"/>
  </r>
  <r>
    <x v="149"/>
  </r>
  <r>
    <x v="25"/>
  </r>
  <r>
    <x v="72"/>
  </r>
  <r>
    <x v="25"/>
  </r>
  <r>
    <x v="82"/>
  </r>
  <r>
    <x v="85"/>
  </r>
  <r>
    <x v="76"/>
  </r>
  <r>
    <x v="76"/>
  </r>
  <r>
    <x v="93"/>
  </r>
  <r>
    <x v="12"/>
  </r>
  <r>
    <x v="200"/>
  </r>
  <r>
    <x v="200"/>
  </r>
  <r>
    <x v="200"/>
  </r>
  <r>
    <x v="200"/>
  </r>
  <r>
    <x v="200"/>
  </r>
  <r>
    <x v="81"/>
  </r>
  <r>
    <x v="10"/>
  </r>
  <r>
    <x v="10"/>
  </r>
  <r>
    <x v="230"/>
  </r>
  <r>
    <x v="25"/>
  </r>
  <r>
    <x v="25"/>
  </r>
  <r>
    <x v="93"/>
  </r>
  <r>
    <x v="183"/>
  </r>
  <r>
    <x v="183"/>
  </r>
  <r>
    <x v="76"/>
  </r>
  <r>
    <x v="183"/>
  </r>
  <r>
    <x v="21"/>
  </r>
  <r>
    <x v="183"/>
  </r>
  <r>
    <x v="183"/>
  </r>
  <r>
    <x v="183"/>
  </r>
  <r>
    <x v="76"/>
  </r>
  <r>
    <x v="99"/>
  </r>
  <r>
    <x v="77"/>
  </r>
  <r>
    <x v="93"/>
  </r>
  <r>
    <x v="93"/>
  </r>
  <r>
    <x v="93"/>
  </r>
  <r>
    <x v="93"/>
  </r>
  <r>
    <x v="82"/>
  </r>
  <r>
    <x v="93"/>
  </r>
  <r>
    <x v="93"/>
  </r>
  <r>
    <x v="93"/>
  </r>
  <r>
    <x v="93"/>
  </r>
  <r>
    <x v="93"/>
  </r>
  <r>
    <x v="93"/>
  </r>
  <r>
    <x v="96"/>
  </r>
  <r>
    <x v="12"/>
  </r>
  <r>
    <x v="36"/>
  </r>
  <r>
    <x v="48"/>
  </r>
  <r>
    <x v="48"/>
  </r>
  <r>
    <x v="86"/>
  </r>
  <r>
    <x v="9"/>
  </r>
  <r>
    <x v="99"/>
  </r>
  <r>
    <x v="36"/>
  </r>
  <r>
    <x v="36"/>
  </r>
  <r>
    <x v="82"/>
  </r>
  <r>
    <x v="45"/>
  </r>
  <r>
    <x v="192"/>
  </r>
  <r>
    <x v="112"/>
  </r>
  <r>
    <x v="31"/>
  </r>
  <r>
    <x v="81"/>
  </r>
  <r>
    <x v="81"/>
  </r>
  <r>
    <x v="12"/>
  </r>
  <r>
    <x v="93"/>
  </r>
  <r>
    <x v="117"/>
  </r>
  <r>
    <x v="93"/>
  </r>
  <r>
    <x v="93"/>
  </r>
  <r>
    <x v="93"/>
  </r>
  <r>
    <x v="93"/>
  </r>
  <r>
    <x v="93"/>
  </r>
  <r>
    <x v="0"/>
  </r>
  <r>
    <x v="0"/>
  </r>
  <r>
    <x v="0"/>
  </r>
  <r>
    <x v="56"/>
  </r>
  <r>
    <x v="56"/>
  </r>
  <r>
    <x v="36"/>
  </r>
  <r>
    <x v="2"/>
  </r>
  <r>
    <x v="0"/>
  </r>
  <r>
    <x v="20"/>
  </r>
  <r>
    <x v="111"/>
  </r>
  <r>
    <x v="111"/>
  </r>
  <r>
    <x v="10"/>
  </r>
  <r>
    <x v="115"/>
  </r>
  <r>
    <x v="10"/>
  </r>
  <r>
    <x v="25"/>
  </r>
  <r>
    <x v="25"/>
  </r>
  <r>
    <x v="25"/>
  </r>
  <r>
    <x v="25"/>
  </r>
  <r>
    <x v="93"/>
  </r>
  <r>
    <x v="93"/>
  </r>
  <r>
    <x v="87"/>
  </r>
  <r>
    <x v="93"/>
  </r>
  <r>
    <x v="93"/>
  </r>
  <r>
    <x v="12"/>
  </r>
  <r>
    <x v="29"/>
  </r>
  <r>
    <x v="29"/>
  </r>
  <r>
    <x v="29"/>
  </r>
  <r>
    <x v="29"/>
  </r>
  <r>
    <x v="93"/>
  </r>
  <r>
    <x v="48"/>
  </r>
  <r>
    <x v="112"/>
  </r>
  <r>
    <x v="99"/>
  </r>
  <r>
    <x v="99"/>
  </r>
  <r>
    <x v="49"/>
  </r>
  <r>
    <x v="45"/>
  </r>
  <r>
    <x v="49"/>
  </r>
  <r>
    <x v="48"/>
  </r>
  <r>
    <x v="71"/>
  </r>
  <r>
    <x v="72"/>
  </r>
  <r>
    <x v="78"/>
  </r>
  <r>
    <x v="82"/>
  </r>
  <r>
    <x v="78"/>
  </r>
  <r>
    <x v="93"/>
  </r>
  <r>
    <x v="78"/>
  </r>
  <r>
    <x v="82"/>
  </r>
  <r>
    <x v="82"/>
  </r>
  <r>
    <x v="82"/>
  </r>
  <r>
    <x v="93"/>
  </r>
  <r>
    <x v="87"/>
  </r>
  <r>
    <x v="82"/>
  </r>
  <r>
    <x v="77"/>
  </r>
  <r>
    <x v="93"/>
  </r>
  <r>
    <x v="93"/>
  </r>
  <r>
    <x v="93"/>
  </r>
  <r>
    <x v="93"/>
  </r>
  <r>
    <x v="30"/>
  </r>
  <r>
    <x v="99"/>
  </r>
  <r>
    <x v="8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25"/>
  </r>
  <r>
    <x v="25"/>
  </r>
  <r>
    <x v="25"/>
  </r>
  <r>
    <x v="82"/>
  </r>
  <r>
    <x v="25"/>
  </r>
  <r>
    <x v="48"/>
  </r>
  <r>
    <x v="36"/>
  </r>
  <r>
    <x v="36"/>
  </r>
  <r>
    <x v="36"/>
  </r>
  <r>
    <x v="83"/>
  </r>
  <r>
    <x v="83"/>
  </r>
  <r>
    <x v="1"/>
  </r>
  <r>
    <x v="0"/>
  </r>
  <r>
    <x v="87"/>
  </r>
  <r>
    <x v="216"/>
  </r>
  <r>
    <x v="83"/>
  </r>
  <r>
    <x v="83"/>
  </r>
  <r>
    <x v="31"/>
  </r>
  <r>
    <x v="31"/>
  </r>
  <r>
    <x v="76"/>
  </r>
  <r>
    <x v="198"/>
  </r>
  <r>
    <x v="25"/>
  </r>
  <r>
    <x v="48"/>
  </r>
  <r>
    <x v="113"/>
  </r>
  <r>
    <x v="108"/>
  </r>
  <r>
    <x v="25"/>
  </r>
  <r>
    <x v="25"/>
  </r>
  <r>
    <x v="25"/>
  </r>
  <r>
    <x v="25"/>
  </r>
  <r>
    <x v="25"/>
  </r>
  <r>
    <x v="85"/>
  </r>
  <r>
    <x v="25"/>
  </r>
  <r>
    <x v="25"/>
  </r>
  <r>
    <x v="113"/>
  </r>
  <r>
    <x v="121"/>
  </r>
  <r>
    <x v="25"/>
  </r>
  <r>
    <x v="213"/>
  </r>
  <r>
    <x v="82"/>
  </r>
  <r>
    <x v="100"/>
  </r>
  <r>
    <x v="113"/>
  </r>
  <r>
    <x v="113"/>
  </r>
  <r>
    <x v="83"/>
  </r>
  <r>
    <x v="83"/>
  </r>
  <r>
    <x v="30"/>
  </r>
  <r>
    <x v="30"/>
  </r>
  <r>
    <x v="30"/>
  </r>
  <r>
    <x v="30"/>
  </r>
  <r>
    <x v="30"/>
  </r>
  <r>
    <x v="83"/>
  </r>
  <r>
    <x v="83"/>
  </r>
  <r>
    <x v="83"/>
  </r>
  <r>
    <x v="83"/>
  </r>
  <r>
    <x v="133"/>
  </r>
  <r>
    <x v="119"/>
  </r>
  <r>
    <x v="109"/>
  </r>
  <r>
    <x v="109"/>
  </r>
  <r>
    <x v="109"/>
  </r>
  <r>
    <x v="109"/>
  </r>
  <r>
    <x v="10"/>
  </r>
  <r>
    <x v="10"/>
  </r>
  <r>
    <x v="157"/>
  </r>
  <r>
    <x v="72"/>
  </r>
  <r>
    <x v="21"/>
  </r>
  <r>
    <x v="126"/>
  </r>
  <r>
    <x v="126"/>
  </r>
  <r>
    <x v="484"/>
  </r>
  <r>
    <x v="78"/>
  </r>
  <r>
    <x v="25"/>
  </r>
  <r>
    <x v="126"/>
  </r>
  <r>
    <x v="21"/>
  </r>
  <r>
    <x v="96"/>
  </r>
  <r>
    <x v="78"/>
  </r>
  <r>
    <x v="78"/>
  </r>
  <r>
    <x v="78"/>
  </r>
  <r>
    <x v="173"/>
  </r>
  <r>
    <x v="296"/>
  </r>
  <r>
    <x v="82"/>
  </r>
  <r>
    <x v="75"/>
  </r>
  <r>
    <x v="24"/>
  </r>
  <r>
    <x v="46"/>
  </r>
  <r>
    <x v="99"/>
  </r>
  <r>
    <x v="24"/>
  </r>
  <r>
    <x v="93"/>
  </r>
  <r>
    <x v="93"/>
  </r>
  <r>
    <x v="45"/>
  </r>
  <r>
    <x v="45"/>
  </r>
  <r>
    <x v="25"/>
  </r>
  <r>
    <x v="10"/>
  </r>
  <r>
    <x v="10"/>
  </r>
  <r>
    <x v="25"/>
  </r>
  <r>
    <x v="45"/>
  </r>
  <r>
    <x v="3"/>
  </r>
  <r>
    <x v="25"/>
  </r>
  <r>
    <x v="59"/>
  </r>
  <r>
    <x v="155"/>
  </r>
  <r>
    <x v="183"/>
  </r>
  <r>
    <x v="124"/>
  </r>
  <r>
    <x v="52"/>
  </r>
  <r>
    <x v="109"/>
  </r>
  <r>
    <x v="25"/>
  </r>
  <r>
    <x v="81"/>
  </r>
  <r>
    <x v="81"/>
  </r>
  <r>
    <x v="117"/>
  </r>
  <r>
    <x v="204"/>
  </r>
  <r>
    <x v="10"/>
  </r>
  <r>
    <x v="102"/>
  </r>
  <r>
    <x v="55"/>
  </r>
  <r>
    <x v="25"/>
  </r>
  <r>
    <x v="181"/>
  </r>
  <r>
    <x v="78"/>
  </r>
  <r>
    <x v="78"/>
  </r>
  <r>
    <x v="78"/>
  </r>
  <r>
    <x v="78"/>
  </r>
  <r>
    <x v="77"/>
  </r>
  <r>
    <x v="56"/>
  </r>
  <r>
    <x v="56"/>
  </r>
  <r>
    <x v="56"/>
  </r>
  <r>
    <x v="56"/>
  </r>
  <r>
    <x v="56"/>
  </r>
  <r>
    <x v="56"/>
  </r>
  <r>
    <x v="24"/>
  </r>
  <r>
    <x v="56"/>
  </r>
  <r>
    <x v="56"/>
  </r>
  <r>
    <x v="56"/>
  </r>
  <r>
    <x v="50"/>
  </r>
  <r>
    <x v="93"/>
  </r>
  <r>
    <x v="45"/>
  </r>
  <r>
    <x v="45"/>
  </r>
  <r>
    <x v="45"/>
  </r>
  <r>
    <x v="23"/>
  </r>
  <r>
    <x v="31"/>
  </r>
  <r>
    <x v="31"/>
  </r>
  <r>
    <x v="10"/>
  </r>
  <r>
    <x v="10"/>
  </r>
  <r>
    <x v="10"/>
  </r>
  <r>
    <x v="10"/>
  </r>
  <r>
    <x v="10"/>
  </r>
  <r>
    <x v="24"/>
  </r>
  <r>
    <x v="99"/>
  </r>
  <r>
    <x v="79"/>
  </r>
  <r>
    <x v="99"/>
  </r>
  <r>
    <x v="48"/>
  </r>
  <r>
    <x v="45"/>
  </r>
  <r>
    <x v="6"/>
  </r>
  <r>
    <x v="25"/>
  </r>
  <r>
    <x v="0"/>
  </r>
  <r>
    <x v="0"/>
  </r>
  <r>
    <x v="14"/>
  </r>
  <r>
    <x v="14"/>
  </r>
  <r>
    <x v="78"/>
  </r>
  <r>
    <x v="48"/>
  </r>
  <r>
    <x v="176"/>
  </r>
  <r>
    <x v="6"/>
  </r>
  <r>
    <x v="6"/>
  </r>
  <r>
    <x v="45"/>
  </r>
  <r>
    <x v="45"/>
  </r>
  <r>
    <x v="45"/>
  </r>
  <r>
    <x v="45"/>
  </r>
  <r>
    <x v="45"/>
  </r>
  <r>
    <x v="219"/>
  </r>
  <r>
    <x v="42"/>
  </r>
  <r>
    <x v="35"/>
  </r>
  <r>
    <x v="22"/>
  </r>
  <r>
    <x v="31"/>
  </r>
  <r>
    <x v="78"/>
  </r>
  <r>
    <x v="110"/>
  </r>
  <r>
    <x v="48"/>
  </r>
  <r>
    <x v="20"/>
  </r>
  <r>
    <x v="20"/>
  </r>
  <r>
    <x v="79"/>
  </r>
  <r>
    <x v="2"/>
  </r>
  <r>
    <x v="79"/>
  </r>
  <r>
    <x v="79"/>
  </r>
  <r>
    <x v="34"/>
  </r>
  <r>
    <x v="0"/>
  </r>
  <r>
    <x v="229"/>
  </r>
  <r>
    <x v="229"/>
  </r>
  <r>
    <x v="21"/>
  </r>
  <r>
    <x v="91"/>
  </r>
  <r>
    <x v="81"/>
  </r>
  <r>
    <x v="81"/>
  </r>
  <r>
    <x v="81"/>
  </r>
  <r>
    <x v="117"/>
  </r>
  <r>
    <x v="14"/>
  </r>
  <r>
    <x v="213"/>
  </r>
  <r>
    <x v="12"/>
  </r>
  <r>
    <x v="128"/>
  </r>
  <r>
    <x v="25"/>
  </r>
  <r>
    <x v="25"/>
  </r>
  <r>
    <x v="25"/>
  </r>
  <r>
    <x v="30"/>
  </r>
  <r>
    <x v="117"/>
  </r>
  <r>
    <x v="128"/>
  </r>
  <r>
    <x v="42"/>
  </r>
  <r>
    <x v="42"/>
  </r>
  <r>
    <x v="97"/>
  </r>
  <r>
    <x v="15"/>
  </r>
  <r>
    <x v="88"/>
  </r>
  <r>
    <x v="31"/>
  </r>
  <r>
    <x v="85"/>
  </r>
  <r>
    <x v="25"/>
  </r>
  <r>
    <x v="111"/>
  </r>
  <r>
    <x v="111"/>
  </r>
  <r>
    <x v="23"/>
  </r>
  <r>
    <x v="155"/>
  </r>
  <r>
    <x v="31"/>
  </r>
  <r>
    <x v="82"/>
  </r>
  <r>
    <x v="83"/>
  </r>
  <r>
    <x v="83"/>
  </r>
  <r>
    <x v="155"/>
  </r>
  <r>
    <x v="24"/>
  </r>
  <r>
    <x v="187"/>
  </r>
  <r>
    <x v="25"/>
  </r>
  <r>
    <x v="72"/>
  </r>
  <r>
    <x v="126"/>
  </r>
  <r>
    <x v="128"/>
  </r>
  <r>
    <x v="87"/>
  </r>
  <r>
    <x v="72"/>
  </r>
  <r>
    <x v="72"/>
  </r>
  <r>
    <x v="62"/>
  </r>
  <r>
    <x v="315"/>
  </r>
  <r>
    <x v="72"/>
  </r>
  <r>
    <x v="45"/>
  </r>
  <r>
    <x v="14"/>
  </r>
  <r>
    <x v="119"/>
  </r>
  <r>
    <x v="25"/>
  </r>
  <r>
    <x v="83"/>
  </r>
  <r>
    <x v="83"/>
  </r>
  <r>
    <x v="31"/>
  </r>
  <r>
    <x v="82"/>
  </r>
  <r>
    <x v="25"/>
  </r>
  <r>
    <x v="25"/>
  </r>
  <r>
    <x v="52"/>
  </r>
  <r>
    <x v="105"/>
  </r>
  <r>
    <x v="82"/>
  </r>
  <r>
    <x v="114"/>
  </r>
  <r>
    <x v="36"/>
  </r>
  <r>
    <x v="31"/>
  </r>
  <r>
    <x v="82"/>
  </r>
  <r>
    <x v="23"/>
  </r>
  <r>
    <x v="108"/>
  </r>
  <r>
    <x v="76"/>
  </r>
  <r>
    <x v="221"/>
  </r>
  <r>
    <x v="102"/>
  </r>
  <r>
    <x v="102"/>
  </r>
  <r>
    <x v="23"/>
  </r>
  <r>
    <x v="59"/>
  </r>
  <r>
    <x v="85"/>
  </r>
  <r>
    <x v="12"/>
  </r>
  <r>
    <x v="25"/>
  </r>
  <r>
    <x v="25"/>
  </r>
  <r>
    <x v="25"/>
  </r>
  <r>
    <x v="82"/>
  </r>
  <r>
    <x v="48"/>
  </r>
  <r>
    <x v="102"/>
  </r>
  <r>
    <x v="154"/>
  </r>
  <r>
    <x v="82"/>
  </r>
  <r>
    <x v="86"/>
  </r>
  <r>
    <x v="86"/>
  </r>
  <r>
    <x v="118"/>
  </r>
  <r>
    <x v="59"/>
  </r>
  <r>
    <x v="76"/>
  </r>
  <r>
    <x v="82"/>
  </r>
  <r>
    <x v="82"/>
  </r>
  <r>
    <x v="31"/>
  </r>
  <r>
    <x v="216"/>
  </r>
  <r>
    <x v="76"/>
  </r>
  <r>
    <x v="23"/>
  </r>
  <r>
    <x v="14"/>
  </r>
  <r>
    <x v="25"/>
  </r>
  <r>
    <x v="36"/>
  </r>
  <r>
    <x v="83"/>
  </r>
  <r>
    <x v="102"/>
  </r>
  <r>
    <x v="82"/>
  </r>
  <r>
    <x v="25"/>
  </r>
  <r>
    <x v="216"/>
  </r>
  <r>
    <x v="82"/>
  </r>
  <r>
    <x v="25"/>
  </r>
  <r>
    <x v="10"/>
  </r>
  <r>
    <x v="113"/>
  </r>
  <r>
    <x v="10"/>
  </r>
  <r>
    <x v="72"/>
  </r>
  <r>
    <x v="123"/>
  </r>
  <r>
    <x v="123"/>
  </r>
  <r>
    <x v="12"/>
  </r>
  <r>
    <x v="82"/>
  </r>
  <r>
    <x v="87"/>
  </r>
  <r>
    <x v="25"/>
  </r>
  <r>
    <x v="221"/>
  </r>
  <r>
    <x v="102"/>
  </r>
  <r>
    <x v="87"/>
  </r>
  <r>
    <x v="83"/>
  </r>
  <r>
    <x v="154"/>
  </r>
  <r>
    <x v="87"/>
  </r>
  <r>
    <x v="87"/>
  </r>
  <r>
    <x v="87"/>
  </r>
  <r>
    <x v="128"/>
  </r>
  <r>
    <x v="145"/>
  </r>
  <r>
    <x v="36"/>
  </r>
  <r>
    <x v="55"/>
  </r>
  <r>
    <x v="113"/>
  </r>
  <r>
    <x v="82"/>
  </r>
  <r>
    <x v="82"/>
  </r>
  <r>
    <x v="72"/>
  </r>
  <r>
    <x v="72"/>
  </r>
  <r>
    <x v="113"/>
  </r>
  <r>
    <x v="113"/>
  </r>
  <r>
    <x v="113"/>
  </r>
  <r>
    <x v="113"/>
  </r>
  <r>
    <x v="28"/>
  </r>
  <r>
    <x v="28"/>
  </r>
  <r>
    <x v="25"/>
  </r>
  <r>
    <x v="52"/>
  </r>
  <r>
    <x v="26"/>
  </r>
  <r>
    <x v="26"/>
  </r>
  <r>
    <x v="88"/>
  </r>
  <r>
    <x v="64"/>
  </r>
  <r>
    <x v="64"/>
  </r>
  <r>
    <x v="64"/>
  </r>
  <r>
    <x v="10"/>
  </r>
  <r>
    <x v="166"/>
  </r>
  <r>
    <x v="130"/>
  </r>
  <r>
    <x v="130"/>
  </r>
  <r>
    <x v="14"/>
  </r>
  <r>
    <x v="9"/>
  </r>
  <r>
    <x v="78"/>
  </r>
  <r>
    <x v="78"/>
  </r>
  <r>
    <x v="16"/>
  </r>
  <r>
    <x v="30"/>
  </r>
  <r>
    <x v="0"/>
  </r>
  <r>
    <x v="0"/>
  </r>
  <r>
    <x v="78"/>
  </r>
  <r>
    <x v="64"/>
  </r>
  <r>
    <x v="14"/>
  </r>
  <r>
    <x v="14"/>
  </r>
  <r>
    <x v="14"/>
  </r>
  <r>
    <x v="41"/>
  </r>
  <r>
    <x v="22"/>
  </r>
  <r>
    <x v="131"/>
  </r>
  <r>
    <x v="46"/>
  </r>
  <r>
    <x v="0"/>
  </r>
  <r>
    <x v="0"/>
  </r>
  <r>
    <x v="14"/>
  </r>
  <r>
    <x v="14"/>
  </r>
  <r>
    <x v="14"/>
  </r>
  <r>
    <x v="29"/>
  </r>
  <r>
    <x v="29"/>
  </r>
  <r>
    <x v="17"/>
  </r>
  <r>
    <x v="14"/>
  </r>
  <r>
    <x v="14"/>
  </r>
  <r>
    <x v="78"/>
  </r>
  <r>
    <x v="78"/>
  </r>
  <r>
    <x v="78"/>
  </r>
  <r>
    <x v="78"/>
  </r>
  <r>
    <x v="78"/>
  </r>
  <r>
    <x v="14"/>
  </r>
  <r>
    <x v="30"/>
  </r>
  <r>
    <x v="14"/>
  </r>
  <r>
    <x v="40"/>
  </r>
  <r>
    <x v="46"/>
  </r>
  <r>
    <x v="56"/>
  </r>
  <r>
    <x v="28"/>
  </r>
  <r>
    <x v="16"/>
  </r>
  <r>
    <x v="14"/>
  </r>
  <r>
    <x v="14"/>
  </r>
  <r>
    <x v="64"/>
  </r>
  <r>
    <x v="64"/>
  </r>
  <r>
    <x v="28"/>
  </r>
  <r>
    <x v="16"/>
  </r>
  <r>
    <x v="14"/>
  </r>
  <r>
    <x v="14"/>
  </r>
  <r>
    <x v="14"/>
  </r>
  <r>
    <x v="59"/>
  </r>
  <r>
    <x v="16"/>
  </r>
  <r>
    <x v="16"/>
  </r>
  <r>
    <x v="14"/>
  </r>
  <r>
    <x v="14"/>
  </r>
  <r>
    <x v="130"/>
  </r>
  <r>
    <x v="28"/>
  </r>
  <r>
    <x v="14"/>
  </r>
  <r>
    <x v="24"/>
  </r>
  <r>
    <x v="21"/>
  </r>
  <r>
    <x v="21"/>
  </r>
  <r>
    <x v="31"/>
  </r>
  <r>
    <x v="0"/>
  </r>
  <r>
    <x v="62"/>
  </r>
  <r>
    <x v="62"/>
  </r>
  <r>
    <x v="0"/>
  </r>
  <r>
    <x v="28"/>
  </r>
  <r>
    <x v="28"/>
  </r>
  <r>
    <x v="14"/>
  </r>
  <r>
    <x v="14"/>
  </r>
  <r>
    <x v="14"/>
  </r>
  <r>
    <x v="22"/>
  </r>
  <r>
    <x v="22"/>
  </r>
  <r>
    <x v="130"/>
  </r>
  <r>
    <x v="130"/>
  </r>
  <r>
    <x v="1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42"/>
  </r>
  <r>
    <x v="64"/>
  </r>
  <r>
    <x v="44"/>
  </r>
  <r>
    <x v="115"/>
  </r>
  <r>
    <x v="115"/>
  </r>
  <r>
    <x v="115"/>
  </r>
  <r>
    <x v="115"/>
  </r>
  <r>
    <x v="115"/>
  </r>
  <r>
    <x v="42"/>
  </r>
  <r>
    <x v="28"/>
  </r>
  <r>
    <x v="78"/>
  </r>
  <r>
    <x v="28"/>
  </r>
  <r>
    <x v="41"/>
  </r>
  <r>
    <x v="14"/>
  </r>
  <r>
    <x v="21"/>
  </r>
  <r>
    <x v="17"/>
  </r>
  <r>
    <x v="12"/>
  </r>
  <r>
    <x v="25"/>
  </r>
  <r>
    <x v="498"/>
  </r>
  <r>
    <x v="134"/>
  </r>
  <r>
    <x v="158"/>
  </r>
  <r>
    <x v="78"/>
  </r>
  <r>
    <x v="130"/>
  </r>
  <r>
    <x v="216"/>
  </r>
  <r>
    <x v="63"/>
  </r>
  <r>
    <x v="83"/>
  </r>
  <r>
    <x v="63"/>
  </r>
  <r>
    <x v="27"/>
  </r>
  <r>
    <x v="91"/>
  </r>
  <r>
    <x v="91"/>
  </r>
  <r>
    <x v="68"/>
  </r>
  <r>
    <x v="76"/>
  </r>
  <r>
    <x v="76"/>
  </r>
  <r>
    <x v="110"/>
  </r>
  <r>
    <x v="164"/>
  </r>
  <r>
    <x v="25"/>
  </r>
  <r>
    <x v="25"/>
  </r>
  <r>
    <x v="76"/>
  </r>
  <r>
    <x v="76"/>
  </r>
  <r>
    <x v="138"/>
  </r>
  <r>
    <x v="138"/>
  </r>
  <r>
    <x v="82"/>
  </r>
  <r>
    <x v="126"/>
  </r>
  <r>
    <x v="23"/>
  </r>
  <r>
    <x v="23"/>
  </r>
  <r>
    <x v="10"/>
  </r>
  <r>
    <x v="10"/>
  </r>
  <r>
    <x v="48"/>
  </r>
  <r>
    <x v="23"/>
  </r>
  <r>
    <x v="8"/>
  </r>
  <r>
    <x v="113"/>
  </r>
  <r>
    <x v="8"/>
  </r>
  <r>
    <x v="9"/>
  </r>
  <r>
    <x v="9"/>
  </r>
  <r>
    <x v="9"/>
  </r>
  <r>
    <x v="9"/>
  </r>
  <r>
    <x v="9"/>
  </r>
  <r>
    <x v="499"/>
  </r>
  <r>
    <x v="23"/>
  </r>
  <r>
    <x v="31"/>
  </r>
  <r>
    <x v="31"/>
  </r>
  <r>
    <x v="129"/>
  </r>
  <r>
    <x v="29"/>
  </r>
  <r>
    <x v="20"/>
  </r>
  <r>
    <x v="498"/>
  </r>
  <r>
    <x v="44"/>
  </r>
  <r>
    <x v="75"/>
  </r>
  <r>
    <x v="82"/>
  </r>
  <r>
    <x v="10"/>
  </r>
  <r>
    <x v="2"/>
  </r>
  <r>
    <x v="100"/>
  </r>
  <r>
    <x v="95"/>
  </r>
  <r>
    <x v="9"/>
  </r>
  <r>
    <x v="152"/>
  </r>
  <r>
    <x v="53"/>
  </r>
  <r>
    <x v="82"/>
  </r>
  <r>
    <x v="32"/>
  </r>
  <r>
    <x v="9"/>
  </r>
  <r>
    <x v="64"/>
  </r>
  <r>
    <x v="64"/>
  </r>
  <r>
    <x v="64"/>
  </r>
  <r>
    <x v="64"/>
  </r>
  <r>
    <x v="64"/>
  </r>
  <r>
    <x v="9"/>
  </r>
  <r>
    <x v="64"/>
  </r>
  <r>
    <x v="64"/>
  </r>
  <r>
    <x v="64"/>
  </r>
  <r>
    <x v="64"/>
  </r>
  <r>
    <x v="64"/>
  </r>
  <r>
    <x v="64"/>
  </r>
  <r>
    <x v="9"/>
  </r>
  <r>
    <x v="48"/>
  </r>
  <r>
    <x v="52"/>
  </r>
  <r>
    <x v="113"/>
  </r>
  <r>
    <x v="336"/>
  </r>
  <r>
    <x v="113"/>
  </r>
  <r>
    <x v="113"/>
  </r>
  <r>
    <x v="31"/>
  </r>
  <r>
    <x v="48"/>
  </r>
  <r>
    <x v="53"/>
  </r>
  <r>
    <x v="36"/>
  </r>
  <r>
    <x v="91"/>
  </r>
  <r>
    <x v="63"/>
  </r>
  <r>
    <x v="423"/>
  </r>
  <r>
    <x v="392"/>
  </r>
  <r>
    <x v="27"/>
  </r>
  <r>
    <x v="112"/>
  </r>
  <r>
    <x v="155"/>
  </r>
  <r>
    <x v="392"/>
  </r>
  <r>
    <x v="392"/>
  </r>
  <r>
    <x v="31"/>
  </r>
  <r>
    <x v="67"/>
  </r>
  <r>
    <x v="34"/>
  </r>
  <r>
    <x v="31"/>
  </r>
  <r>
    <x v="15"/>
  </r>
  <r>
    <x v="42"/>
  </r>
  <r>
    <x v="94"/>
  </r>
  <r>
    <x v="78"/>
  </r>
  <r>
    <x v="500"/>
  </r>
  <r>
    <x v="71"/>
  </r>
  <r>
    <x v="36"/>
  </r>
  <r>
    <x v="143"/>
  </r>
  <r>
    <x v="133"/>
  </r>
  <r>
    <x v="31"/>
  </r>
  <r>
    <x v="31"/>
  </r>
  <r>
    <x v="31"/>
  </r>
  <r>
    <x v="46"/>
  </r>
  <r>
    <x v="31"/>
  </r>
  <r>
    <x v="75"/>
  </r>
  <r>
    <x v="31"/>
  </r>
  <r>
    <x v="3"/>
  </r>
  <r>
    <x v="355"/>
  </r>
  <r>
    <x v="2"/>
  </r>
  <r>
    <x v="133"/>
  </r>
  <r>
    <x v="86"/>
  </r>
  <r>
    <x v="86"/>
  </r>
  <r>
    <x v="86"/>
  </r>
  <r>
    <x v="201"/>
  </r>
  <r>
    <x v="25"/>
  </r>
  <r>
    <x v="20"/>
  </r>
  <r>
    <x v="31"/>
  </r>
  <r>
    <x v="25"/>
  </r>
  <r>
    <x v="31"/>
  </r>
  <r>
    <x v="31"/>
  </r>
  <r>
    <x v="70"/>
  </r>
  <r>
    <x v="63"/>
  </r>
  <r>
    <x v="14"/>
  </r>
  <r>
    <x v="127"/>
  </r>
  <r>
    <x v="25"/>
  </r>
  <r>
    <x v="25"/>
  </r>
  <r>
    <x v="103"/>
  </r>
  <r>
    <x v="174"/>
  </r>
  <r>
    <x v="25"/>
  </r>
  <r>
    <x v="113"/>
  </r>
  <r>
    <x v="25"/>
  </r>
  <r>
    <x v="24"/>
  </r>
  <r>
    <x v="31"/>
  </r>
  <r>
    <x v="46"/>
  </r>
  <r>
    <x v="113"/>
  </r>
  <r>
    <x v="46"/>
  </r>
  <r>
    <x v="144"/>
  </r>
  <r>
    <x v="14"/>
  </r>
  <r>
    <x v="27"/>
  </r>
  <r>
    <x v="28"/>
  </r>
  <r>
    <x v="28"/>
  </r>
  <r>
    <x v="113"/>
  </r>
  <r>
    <x v="361"/>
  </r>
  <r>
    <x v="110"/>
  </r>
  <r>
    <x v="28"/>
  </r>
  <r>
    <x v="81"/>
  </r>
  <r>
    <x v="3"/>
  </r>
  <r>
    <x v="110"/>
  </r>
  <r>
    <x v="13"/>
  </r>
  <r>
    <x v="10"/>
  </r>
  <r>
    <x v="10"/>
  </r>
  <r>
    <x v="10"/>
  </r>
  <r>
    <x v="113"/>
  </r>
  <r>
    <x v="3"/>
  </r>
  <r>
    <x v="3"/>
  </r>
  <r>
    <x v="3"/>
  </r>
  <r>
    <x v="56"/>
  </r>
  <r>
    <x v="56"/>
  </r>
  <r>
    <x v="30"/>
  </r>
  <r>
    <x v="30"/>
  </r>
  <r>
    <x v="14"/>
  </r>
  <r>
    <x v="155"/>
  </r>
  <r>
    <x v="227"/>
  </r>
  <r>
    <x v="25"/>
  </r>
  <r>
    <x v="79"/>
  </r>
  <r>
    <x v="136"/>
  </r>
  <r>
    <x v="25"/>
  </r>
  <r>
    <x v="102"/>
  </r>
  <r>
    <x v="25"/>
  </r>
  <r>
    <x v="76"/>
  </r>
  <r>
    <x v="25"/>
  </r>
  <r>
    <x v="25"/>
  </r>
  <r>
    <x v="25"/>
  </r>
  <r>
    <x v="25"/>
  </r>
  <r>
    <x v="76"/>
  </r>
  <r>
    <x v="76"/>
  </r>
  <r>
    <x v="25"/>
  </r>
  <r>
    <x v="280"/>
  </r>
  <r>
    <x v="102"/>
  </r>
  <r>
    <x v="81"/>
  </r>
  <r>
    <x v="25"/>
  </r>
  <r>
    <x v="25"/>
  </r>
  <r>
    <x v="16"/>
  </r>
  <r>
    <x v="87"/>
  </r>
  <r>
    <x v="329"/>
  </r>
  <r>
    <x v="63"/>
  </r>
  <r>
    <x v="24"/>
  </r>
  <r>
    <x v="10"/>
  </r>
  <r>
    <x v="501"/>
  </r>
  <r>
    <x v="340"/>
  </r>
  <r>
    <x v="10"/>
  </r>
  <r>
    <x v="122"/>
  </r>
  <r>
    <x v="25"/>
  </r>
  <r>
    <x v="25"/>
  </r>
  <r>
    <x v="25"/>
  </r>
  <r>
    <x v="25"/>
  </r>
  <r>
    <x v="25"/>
  </r>
  <r>
    <x v="29"/>
  </r>
  <r>
    <x v="14"/>
  </r>
  <r>
    <x v="25"/>
  </r>
  <r>
    <x v="82"/>
  </r>
  <r>
    <x v="136"/>
  </r>
  <r>
    <x v="108"/>
  </r>
  <r>
    <x v="93"/>
  </r>
  <r>
    <x v="93"/>
  </r>
  <r>
    <x v="93"/>
  </r>
  <r>
    <x v="102"/>
  </r>
  <r>
    <x v="25"/>
  </r>
  <r>
    <x v="26"/>
  </r>
  <r>
    <x v="76"/>
  </r>
  <r>
    <x v="10"/>
  </r>
  <r>
    <x v="10"/>
  </r>
  <r>
    <x v="100"/>
  </r>
  <r>
    <x v="100"/>
  </r>
  <r>
    <x v="10"/>
  </r>
  <r>
    <x v="24"/>
  </r>
  <r>
    <x v="24"/>
  </r>
  <r>
    <x v="0"/>
  </r>
  <r>
    <x v="83"/>
  </r>
  <r>
    <x v="25"/>
  </r>
  <r>
    <x v="45"/>
  </r>
  <r>
    <x v="55"/>
  </r>
  <r>
    <x v="4"/>
  </r>
  <r>
    <x v="4"/>
  </r>
  <r>
    <x v="78"/>
  </r>
  <r>
    <x v="48"/>
  </r>
  <r>
    <x v="78"/>
  </r>
  <r>
    <x v="130"/>
  </r>
  <r>
    <x v="130"/>
  </r>
  <r>
    <x v="55"/>
  </r>
  <r>
    <x v="0"/>
  </r>
  <r>
    <x v="0"/>
  </r>
  <r>
    <x v="17"/>
  </r>
  <r>
    <x v="0"/>
  </r>
  <r>
    <x v="78"/>
  </r>
  <r>
    <x v="93"/>
  </r>
  <r>
    <x v="9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93"/>
  </r>
  <r>
    <x v="25"/>
  </r>
  <r>
    <x v="25"/>
  </r>
  <r>
    <x v="93"/>
  </r>
  <r>
    <x v="93"/>
  </r>
  <r>
    <x v="142"/>
  </r>
  <r>
    <x v="87"/>
  </r>
  <r>
    <x v="81"/>
  </r>
  <r>
    <x v="25"/>
  </r>
  <r>
    <x v="82"/>
  </r>
  <r>
    <x v="82"/>
  </r>
  <r>
    <x v="94"/>
  </r>
  <r>
    <x v="75"/>
  </r>
  <r>
    <x v="75"/>
  </r>
  <r>
    <x v="82"/>
  </r>
  <r>
    <x v="75"/>
  </r>
  <r>
    <x v="81"/>
  </r>
  <r>
    <x v="25"/>
  </r>
  <r>
    <x v="75"/>
  </r>
  <r>
    <x v="25"/>
  </r>
  <r>
    <x v="25"/>
  </r>
  <r>
    <x v="25"/>
  </r>
  <r>
    <x v="25"/>
  </r>
  <r>
    <x v="25"/>
  </r>
  <r>
    <x v="93"/>
  </r>
  <r>
    <x v="93"/>
  </r>
  <r>
    <x v="93"/>
  </r>
  <r>
    <x v="93"/>
  </r>
  <r>
    <x v="25"/>
  </r>
  <r>
    <x v="93"/>
  </r>
  <r>
    <x v="25"/>
  </r>
  <r>
    <x v="25"/>
  </r>
  <r>
    <x v="93"/>
  </r>
  <r>
    <x v="87"/>
  </r>
  <r>
    <x v="93"/>
  </r>
  <r>
    <x v="93"/>
  </r>
  <r>
    <x v="93"/>
  </r>
  <r>
    <x v="93"/>
  </r>
  <r>
    <x v="25"/>
  </r>
  <r>
    <x v="87"/>
  </r>
  <r>
    <x v="25"/>
  </r>
  <r>
    <x v="87"/>
  </r>
  <r>
    <x v="25"/>
  </r>
  <r>
    <x v="25"/>
  </r>
  <r>
    <x v="25"/>
  </r>
  <r>
    <x v="87"/>
  </r>
  <r>
    <x v="87"/>
  </r>
  <r>
    <x v="93"/>
  </r>
  <r>
    <x v="93"/>
  </r>
  <r>
    <x v="25"/>
  </r>
  <r>
    <x v="87"/>
  </r>
  <r>
    <x v="35"/>
  </r>
  <r>
    <x v="25"/>
  </r>
  <r>
    <x v="25"/>
  </r>
  <r>
    <x v="21"/>
  </r>
  <r>
    <x v="242"/>
  </r>
  <r>
    <x v="3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87"/>
  </r>
  <r>
    <x v="75"/>
  </r>
  <r>
    <x v="75"/>
  </r>
  <r>
    <x v="21"/>
  </r>
  <r>
    <x v="82"/>
  </r>
  <r>
    <x v="76"/>
  </r>
  <r>
    <x v="25"/>
  </r>
  <r>
    <x v="25"/>
  </r>
  <r>
    <x v="25"/>
  </r>
  <r>
    <x v="25"/>
  </r>
  <r>
    <x v="25"/>
  </r>
  <r>
    <x v="93"/>
  </r>
  <r>
    <x v="27"/>
  </r>
  <r>
    <x v="25"/>
  </r>
  <r>
    <x v="25"/>
  </r>
  <r>
    <x v="113"/>
  </r>
  <r>
    <x v="25"/>
  </r>
  <r>
    <x v="25"/>
  </r>
  <r>
    <x v="25"/>
  </r>
  <r>
    <x v="25"/>
  </r>
  <r>
    <x v="25"/>
  </r>
  <r>
    <x v="25"/>
  </r>
  <r>
    <x v="113"/>
  </r>
  <r>
    <x v="76"/>
  </r>
  <r>
    <x v="25"/>
  </r>
  <r>
    <x v="48"/>
  </r>
  <r>
    <x v="25"/>
  </r>
  <r>
    <x v="25"/>
  </r>
  <r>
    <x v="25"/>
  </r>
  <r>
    <x v="77"/>
  </r>
  <r>
    <x v="78"/>
  </r>
  <r>
    <x v="78"/>
  </r>
  <r>
    <x v="105"/>
  </r>
  <r>
    <x v="105"/>
  </r>
  <r>
    <x v="78"/>
  </r>
  <r>
    <x v="48"/>
  </r>
  <r>
    <x v="76"/>
  </r>
  <r>
    <x v="105"/>
  </r>
  <r>
    <x v="48"/>
  </r>
  <r>
    <x v="105"/>
  </r>
  <r>
    <x v="105"/>
  </r>
  <r>
    <x v="48"/>
  </r>
  <r>
    <x v="78"/>
  </r>
  <r>
    <x v="76"/>
  </r>
  <r>
    <x v="242"/>
  </r>
  <r>
    <x v="25"/>
  </r>
  <r>
    <x v="125"/>
  </r>
  <r>
    <x v="75"/>
  </r>
  <r>
    <x v="25"/>
  </r>
  <r>
    <x v="25"/>
  </r>
  <r>
    <x v="242"/>
  </r>
  <r>
    <x v="25"/>
  </r>
  <r>
    <x v="23"/>
  </r>
  <r>
    <x v="9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48"/>
  </r>
  <r>
    <x v="35"/>
  </r>
  <r>
    <x v="25"/>
  </r>
  <r>
    <x v="25"/>
  </r>
  <r>
    <x v="82"/>
  </r>
  <r>
    <x v="25"/>
  </r>
  <r>
    <x v="25"/>
  </r>
  <r>
    <x v="25"/>
  </r>
  <r>
    <x v="25"/>
  </r>
  <r>
    <x v="75"/>
  </r>
  <r>
    <x v="75"/>
  </r>
  <r>
    <x v="25"/>
  </r>
  <r>
    <x v="25"/>
  </r>
  <r>
    <x v="25"/>
  </r>
  <r>
    <x v="93"/>
  </r>
  <r>
    <x v="82"/>
  </r>
  <r>
    <x v="25"/>
  </r>
  <r>
    <x v="82"/>
  </r>
  <r>
    <x v="82"/>
  </r>
  <r>
    <x v="120"/>
  </r>
  <r>
    <x v="25"/>
  </r>
  <r>
    <x v="75"/>
  </r>
  <r>
    <x v="199"/>
  </r>
  <r>
    <x v="59"/>
  </r>
  <r>
    <x v="72"/>
  </r>
  <r>
    <x v="75"/>
  </r>
  <r>
    <x v="199"/>
  </r>
  <r>
    <x v="105"/>
  </r>
  <r>
    <x v="105"/>
  </r>
  <r>
    <x v="78"/>
  </r>
  <r>
    <x v="309"/>
  </r>
  <r>
    <x v="180"/>
  </r>
  <r>
    <x v="126"/>
  </r>
  <r>
    <x v="199"/>
  </r>
  <r>
    <x v="126"/>
  </r>
  <r>
    <x v="126"/>
  </r>
  <r>
    <x v="76"/>
  </r>
  <r>
    <x v="76"/>
  </r>
  <r>
    <x v="75"/>
  </r>
  <r>
    <x v="76"/>
  </r>
  <r>
    <x v="76"/>
  </r>
  <r>
    <x v="75"/>
  </r>
  <r>
    <x v="168"/>
  </r>
  <r>
    <x v="76"/>
  </r>
  <r>
    <x v="93"/>
  </r>
  <r>
    <x v="76"/>
  </r>
  <r>
    <x v="72"/>
  </r>
  <r>
    <x v="76"/>
  </r>
  <r>
    <x v="12"/>
  </r>
  <r>
    <x v="93"/>
  </r>
  <r>
    <x v="72"/>
  </r>
  <r>
    <x v="78"/>
  </r>
  <r>
    <x v="26"/>
  </r>
  <r>
    <x v="12"/>
  </r>
  <r>
    <x v="12"/>
  </r>
  <r>
    <x v="7"/>
  </r>
  <r>
    <x v="7"/>
  </r>
  <r>
    <x v="96"/>
  </r>
  <r>
    <x v="2"/>
  </r>
  <r>
    <x v="79"/>
  </r>
  <r>
    <x v="79"/>
  </r>
  <r>
    <x v="79"/>
  </r>
  <r>
    <x v="3"/>
  </r>
  <r>
    <x v="12"/>
  </r>
  <r>
    <x v="87"/>
  </r>
  <r>
    <x v="48"/>
  </r>
  <r>
    <x v="37"/>
  </r>
  <r>
    <x v="48"/>
  </r>
  <r>
    <x v="26"/>
  </r>
  <r>
    <x v="481"/>
  </r>
  <r>
    <x v="481"/>
  </r>
  <r>
    <x v="481"/>
  </r>
  <r>
    <x v="12"/>
  </r>
  <r>
    <x v="72"/>
  </r>
  <r>
    <x v="12"/>
  </r>
  <r>
    <x v="72"/>
  </r>
  <r>
    <x v="21"/>
  </r>
  <r>
    <x v="56"/>
  </r>
  <r>
    <x v="106"/>
  </r>
  <r>
    <x v="3"/>
  </r>
  <r>
    <x v="59"/>
  </r>
  <r>
    <x v="59"/>
  </r>
  <r>
    <x v="71"/>
  </r>
  <r>
    <x v="71"/>
  </r>
  <r>
    <x v="26"/>
  </r>
  <r>
    <x v="8"/>
  </r>
  <r>
    <x v="25"/>
  </r>
  <r>
    <x v="8"/>
  </r>
  <r>
    <x v="71"/>
  </r>
  <r>
    <x v="0"/>
  </r>
  <r>
    <x v="0"/>
  </r>
  <r>
    <x v="80"/>
  </r>
  <r>
    <x v="53"/>
  </r>
  <r>
    <x v="53"/>
  </r>
  <r>
    <x v="14"/>
  </r>
  <r>
    <x v="53"/>
  </r>
  <r>
    <x v="53"/>
  </r>
  <r>
    <x v="48"/>
  </r>
  <r>
    <x v="48"/>
  </r>
  <r>
    <x v="48"/>
  </r>
  <r>
    <x v="48"/>
  </r>
  <r>
    <x v="48"/>
  </r>
  <r>
    <x v="22"/>
  </r>
  <r>
    <x v="2"/>
  </r>
  <r>
    <x v="25"/>
  </r>
  <r>
    <x v="157"/>
  </r>
  <r>
    <x v="157"/>
  </r>
  <r>
    <x v="4"/>
  </r>
  <r>
    <x v="106"/>
  </r>
  <r>
    <x v="1"/>
  </r>
  <r>
    <x v="0"/>
  </r>
  <r>
    <x v="82"/>
  </r>
  <r>
    <x v="113"/>
  </r>
  <r>
    <x v="23"/>
  </r>
  <r>
    <x v="23"/>
  </r>
  <r>
    <x v="23"/>
  </r>
  <r>
    <x v="23"/>
  </r>
  <r>
    <x v="48"/>
  </r>
  <r>
    <x v="111"/>
  </r>
  <r>
    <x v="72"/>
  </r>
  <r>
    <x v="87"/>
  </r>
  <r>
    <x v="72"/>
  </r>
  <r>
    <x v="87"/>
  </r>
  <r>
    <x v="97"/>
  </r>
  <r>
    <x v="72"/>
  </r>
  <r>
    <x v="96"/>
  </r>
  <r>
    <x v="111"/>
  </r>
  <r>
    <x v="96"/>
  </r>
  <r>
    <x v="111"/>
  </r>
  <r>
    <x v="81"/>
  </r>
  <r>
    <x v="30"/>
  </r>
  <r>
    <x v="30"/>
  </r>
  <r>
    <x v="30"/>
  </r>
  <r>
    <x v="30"/>
  </r>
  <r>
    <x v="57"/>
  </r>
  <r>
    <x v="82"/>
  </r>
  <r>
    <x v="82"/>
  </r>
  <r>
    <x v="82"/>
  </r>
  <r>
    <x v="82"/>
  </r>
  <r>
    <x v="48"/>
  </r>
  <r>
    <x v="113"/>
  </r>
  <r>
    <x v="113"/>
  </r>
  <r>
    <x v="108"/>
  </r>
  <r>
    <x v="113"/>
  </r>
  <r>
    <x v="76"/>
  </r>
  <r>
    <x v="109"/>
  </r>
  <r>
    <x v="48"/>
  </r>
  <r>
    <x v="87"/>
  </r>
  <r>
    <x v="0"/>
  </r>
  <r>
    <x v="87"/>
  </r>
  <r>
    <x v="87"/>
  </r>
  <r>
    <x v="48"/>
  </r>
  <r>
    <x v="97"/>
  </r>
  <r>
    <x v="28"/>
  </r>
  <r>
    <x v="71"/>
  </r>
  <r>
    <x v="78"/>
  </r>
  <r>
    <x v="2"/>
  </r>
  <r>
    <x v="79"/>
  </r>
  <r>
    <x v="0"/>
  </r>
  <r>
    <x v="22"/>
  </r>
  <r>
    <x v="0"/>
  </r>
  <r>
    <x v="79"/>
  </r>
  <r>
    <x v="23"/>
  </r>
  <r>
    <x v="23"/>
  </r>
  <r>
    <x v="23"/>
  </r>
  <r>
    <x v="23"/>
  </r>
  <r>
    <x v="79"/>
  </r>
  <r>
    <x v="79"/>
  </r>
  <r>
    <x v="154"/>
  </r>
  <r>
    <x v="71"/>
  </r>
  <r>
    <x v="71"/>
  </r>
  <r>
    <x v="31"/>
  </r>
  <r>
    <x v="48"/>
  </r>
  <r>
    <x v="52"/>
  </r>
  <r>
    <x v="34"/>
  </r>
  <r>
    <x v="117"/>
  </r>
  <r>
    <x v="20"/>
  </r>
  <r>
    <x v="14"/>
  </r>
  <r>
    <x v="48"/>
  </r>
  <r>
    <x v="25"/>
  </r>
  <r>
    <x v="25"/>
  </r>
  <r>
    <x v="56"/>
  </r>
  <r>
    <x v="56"/>
  </r>
  <r>
    <x v="25"/>
  </r>
  <r>
    <x v="25"/>
  </r>
  <r>
    <x v="25"/>
  </r>
  <r>
    <x v="72"/>
  </r>
  <r>
    <x v="93"/>
  </r>
  <r>
    <x v="72"/>
  </r>
  <r>
    <x v="72"/>
  </r>
  <r>
    <x v="72"/>
  </r>
  <r>
    <x v="25"/>
  </r>
  <r>
    <x v="25"/>
  </r>
  <r>
    <x v="72"/>
  </r>
  <r>
    <x v="72"/>
  </r>
  <r>
    <x v="72"/>
  </r>
  <r>
    <x v="72"/>
  </r>
  <r>
    <x v="72"/>
  </r>
  <r>
    <x v="25"/>
  </r>
  <r>
    <x v="72"/>
  </r>
  <r>
    <x v="72"/>
  </r>
  <r>
    <x v="72"/>
  </r>
  <r>
    <x v="29"/>
  </r>
  <r>
    <x v="4"/>
  </r>
  <r>
    <x v="48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25"/>
  </r>
  <r>
    <x v="76"/>
  </r>
  <r>
    <x v="76"/>
  </r>
  <r>
    <x v="76"/>
  </r>
  <r>
    <x v="76"/>
  </r>
  <r>
    <x v="76"/>
  </r>
  <r>
    <x v="76"/>
  </r>
  <r>
    <x v="25"/>
  </r>
  <r>
    <x v="76"/>
  </r>
  <r>
    <x v="76"/>
  </r>
  <r>
    <x v="25"/>
  </r>
  <r>
    <x v="25"/>
  </r>
  <r>
    <x v="76"/>
  </r>
  <r>
    <x v="25"/>
  </r>
  <r>
    <x v="25"/>
  </r>
  <r>
    <x v="72"/>
  </r>
  <r>
    <x v="14"/>
  </r>
  <r>
    <x v="238"/>
  </r>
  <r>
    <x v="238"/>
  </r>
  <r>
    <x v="10"/>
  </r>
  <r>
    <x v="10"/>
  </r>
  <r>
    <x v="354"/>
  </r>
  <r>
    <x v="76"/>
  </r>
  <r>
    <x v="31"/>
  </r>
  <r>
    <x v="1"/>
  </r>
  <r>
    <x v="1"/>
  </r>
  <r>
    <x v="2"/>
  </r>
  <r>
    <x v="2"/>
  </r>
  <r>
    <x v="2"/>
  </r>
  <r>
    <x v="10"/>
  </r>
  <r>
    <x v="238"/>
  </r>
  <r>
    <x v="238"/>
  </r>
  <r>
    <x v="236"/>
  </r>
  <r>
    <x v="72"/>
  </r>
  <r>
    <x v="8"/>
  </r>
  <r>
    <x v="72"/>
  </r>
  <r>
    <x v="92"/>
  </r>
  <r>
    <x v="90"/>
  </r>
  <r>
    <x v="10"/>
  </r>
  <r>
    <x v="17"/>
  </r>
  <r>
    <x v="17"/>
  </r>
  <r>
    <x v="17"/>
  </r>
  <r>
    <x v="108"/>
  </r>
  <r>
    <x v="108"/>
  </r>
  <r>
    <x v="10"/>
  </r>
  <r>
    <x v="10"/>
  </r>
  <r>
    <x v="72"/>
  </r>
  <r>
    <x v="72"/>
  </r>
  <r>
    <x v="92"/>
  </r>
  <r>
    <x v="242"/>
  </r>
  <r>
    <x v="242"/>
  </r>
  <r>
    <x v="0"/>
  </r>
  <r>
    <x v="87"/>
  </r>
  <r>
    <x v="27"/>
  </r>
  <r>
    <x v="93"/>
  </r>
  <r>
    <x v="93"/>
  </r>
  <r>
    <x v="93"/>
  </r>
  <r>
    <x v="12"/>
  </r>
  <r>
    <x v="12"/>
  </r>
  <r>
    <x v="91"/>
  </r>
  <r>
    <x v="12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9"/>
  </r>
  <r>
    <x v="25"/>
  </r>
  <r>
    <x v="76"/>
  </r>
  <r>
    <x v="76"/>
  </r>
  <r>
    <x v="10"/>
  </r>
  <r>
    <x v="10"/>
  </r>
  <r>
    <x v="10"/>
  </r>
  <r>
    <x v="27"/>
  </r>
  <r>
    <x v="25"/>
  </r>
  <r>
    <x v="25"/>
  </r>
  <r>
    <x v="25"/>
  </r>
  <r>
    <x v="25"/>
  </r>
  <r>
    <x v="25"/>
  </r>
  <r>
    <x v="82"/>
  </r>
  <r>
    <x v="48"/>
  </r>
  <r>
    <x v="48"/>
  </r>
  <r>
    <x v="25"/>
  </r>
  <r>
    <x v="25"/>
  </r>
  <r>
    <x v="48"/>
  </r>
  <r>
    <x v="48"/>
  </r>
  <r>
    <x v="25"/>
  </r>
  <r>
    <x v="76"/>
  </r>
  <r>
    <x v="48"/>
  </r>
  <r>
    <x v="48"/>
  </r>
  <r>
    <x v="48"/>
  </r>
  <r>
    <x v="48"/>
  </r>
  <r>
    <x v="48"/>
  </r>
  <r>
    <x v="48"/>
  </r>
  <r>
    <x v="42"/>
  </r>
  <r>
    <x v="29"/>
  </r>
  <r>
    <x v="29"/>
  </r>
  <r>
    <x v="29"/>
  </r>
  <r>
    <x v="14"/>
  </r>
  <r>
    <x v="14"/>
  </r>
  <r>
    <x v="72"/>
  </r>
  <r>
    <x v="29"/>
  </r>
  <r>
    <x v="29"/>
  </r>
  <r>
    <x v="29"/>
  </r>
  <r>
    <x v="72"/>
  </r>
  <r>
    <x v="94"/>
  </r>
  <r>
    <x v="94"/>
  </r>
  <r>
    <x v="72"/>
  </r>
  <r>
    <x v="72"/>
  </r>
  <r>
    <x v="72"/>
  </r>
  <r>
    <x v="72"/>
  </r>
  <r>
    <x v="36"/>
  </r>
  <r>
    <x v="72"/>
  </r>
  <r>
    <x v="72"/>
  </r>
  <r>
    <x v="72"/>
  </r>
  <r>
    <x v="72"/>
  </r>
  <r>
    <x v="71"/>
  </r>
  <r>
    <x v="0"/>
  </r>
  <r>
    <x v="62"/>
  </r>
  <r>
    <x v="62"/>
  </r>
  <r>
    <x v="62"/>
  </r>
  <r>
    <x v="62"/>
  </r>
  <r>
    <x v="17"/>
  </r>
  <r>
    <x v="37"/>
  </r>
  <r>
    <x v="12"/>
  </r>
  <r>
    <x v="46"/>
  </r>
  <r>
    <x v="46"/>
  </r>
  <r>
    <x v="46"/>
  </r>
  <r>
    <x v="156"/>
  </r>
  <r>
    <x v="130"/>
  </r>
  <r>
    <x v="156"/>
  </r>
  <r>
    <x v="0"/>
  </r>
  <r>
    <x v="9"/>
  </r>
  <r>
    <x v="32"/>
  </r>
  <r>
    <x v="45"/>
  </r>
  <r>
    <x v="12"/>
  </r>
  <r>
    <x v="105"/>
  </r>
  <r>
    <x v="24"/>
  </r>
  <r>
    <x v="46"/>
  </r>
  <r>
    <x v="3"/>
  </r>
  <r>
    <x v="119"/>
  </r>
  <r>
    <x v="198"/>
  </r>
  <r>
    <x v="9"/>
  </r>
  <r>
    <x v="55"/>
  </r>
  <r>
    <x v="55"/>
  </r>
  <r>
    <x v="23"/>
  </r>
  <r>
    <x v="25"/>
  </r>
  <r>
    <x v="25"/>
  </r>
  <r>
    <x v="122"/>
  </r>
  <r>
    <x v="180"/>
  </r>
  <r>
    <x v="93"/>
  </r>
  <r>
    <x v="25"/>
  </r>
  <r>
    <x v="25"/>
  </r>
  <r>
    <x v="25"/>
  </r>
  <r>
    <x v="25"/>
  </r>
  <r>
    <x v="25"/>
  </r>
  <r>
    <x v="199"/>
  </r>
  <r>
    <x v="199"/>
  </r>
  <r>
    <x v="82"/>
  </r>
  <r>
    <x v="48"/>
  </r>
  <r>
    <x v="78"/>
  </r>
  <r>
    <x v="78"/>
  </r>
  <r>
    <x v="78"/>
  </r>
  <r>
    <x v="78"/>
  </r>
  <r>
    <x v="59"/>
  </r>
  <r>
    <x v="12"/>
  </r>
  <r>
    <x v="42"/>
  </r>
  <r>
    <x v="42"/>
  </r>
  <r>
    <x v="48"/>
  </r>
  <r>
    <x v="14"/>
  </r>
  <r>
    <x v="63"/>
  </r>
  <r>
    <x v="63"/>
  </r>
  <r>
    <x v="63"/>
  </r>
  <r>
    <x v="22"/>
  </r>
  <r>
    <x v="89"/>
  </r>
  <r>
    <x v="89"/>
  </r>
  <r>
    <x v="22"/>
  </r>
  <r>
    <x v="89"/>
  </r>
  <r>
    <x v="81"/>
  </r>
  <r>
    <x v="81"/>
  </r>
  <r>
    <x v="22"/>
  </r>
  <r>
    <x v="22"/>
  </r>
  <r>
    <x v="14"/>
  </r>
  <r>
    <x v="23"/>
  </r>
  <r>
    <x v="10"/>
  </r>
  <r>
    <x v="23"/>
  </r>
  <r>
    <x v="42"/>
  </r>
  <r>
    <x v="122"/>
  </r>
  <r>
    <x v="12"/>
  </r>
  <r>
    <x v="63"/>
  </r>
  <r>
    <x v="63"/>
  </r>
  <r>
    <x v="63"/>
  </r>
  <r>
    <x v="63"/>
  </r>
  <r>
    <x v="63"/>
  </r>
  <r>
    <x v="8"/>
  </r>
  <r>
    <x v="8"/>
  </r>
  <r>
    <x v="8"/>
  </r>
  <r>
    <x v="91"/>
  </r>
  <r>
    <x v="48"/>
  </r>
  <r>
    <x v="87"/>
  </r>
  <r>
    <x v="188"/>
  </r>
  <r>
    <x v="99"/>
  </r>
  <r>
    <x v="217"/>
  </r>
  <r>
    <x v="12"/>
  </r>
  <r>
    <x v="48"/>
  </r>
  <r>
    <x v="50"/>
  </r>
  <r>
    <x v="48"/>
  </r>
  <r>
    <x v="217"/>
  </r>
  <r>
    <x v="93"/>
  </r>
  <r>
    <x v="12"/>
  </r>
  <r>
    <x v="12"/>
  </r>
  <r>
    <x v="12"/>
  </r>
  <r>
    <x v="12"/>
  </r>
  <r>
    <x v="77"/>
  </r>
  <r>
    <x v="37"/>
  </r>
  <r>
    <x v="77"/>
  </r>
  <r>
    <x v="210"/>
  </r>
  <r>
    <x v="55"/>
  </r>
  <r>
    <x v="0"/>
  </r>
  <r>
    <x v="91"/>
  </r>
  <r>
    <x v="30"/>
  </r>
  <r>
    <x v="198"/>
  </r>
  <r>
    <x v="14"/>
  </r>
  <r>
    <x v="29"/>
  </r>
  <r>
    <x v="94"/>
  </r>
  <r>
    <x v="3"/>
  </r>
  <r>
    <x v="48"/>
  </r>
  <r>
    <x v="104"/>
  </r>
  <r>
    <x v="104"/>
  </r>
  <r>
    <x v="103"/>
  </r>
  <r>
    <x v="82"/>
  </r>
  <r>
    <x v="121"/>
  </r>
  <r>
    <x v="12"/>
  </r>
  <r>
    <x v="31"/>
  </r>
  <r>
    <x v="31"/>
  </r>
  <r>
    <x v="31"/>
  </r>
  <r>
    <x v="31"/>
  </r>
  <r>
    <x v="31"/>
  </r>
  <r>
    <x v="31"/>
  </r>
  <r>
    <x v="31"/>
  </r>
  <r>
    <x v="122"/>
  </r>
  <r>
    <x v="121"/>
  </r>
  <r>
    <x v="121"/>
  </r>
  <r>
    <x v="48"/>
  </r>
  <r>
    <x v="48"/>
  </r>
  <r>
    <x v="90"/>
  </r>
  <r>
    <x v="90"/>
  </r>
  <r>
    <x v="90"/>
  </r>
  <r>
    <x v="3"/>
  </r>
  <r>
    <x v="82"/>
  </r>
  <r>
    <x v="82"/>
  </r>
  <r>
    <x v="83"/>
  </r>
  <r>
    <x v="55"/>
  </r>
  <r>
    <x v="14"/>
  </r>
  <r>
    <x v="14"/>
  </r>
  <r>
    <x v="188"/>
  </r>
  <r>
    <x v="273"/>
  </r>
  <r>
    <x v="273"/>
  </r>
  <r>
    <x v="83"/>
  </r>
  <r>
    <x v="188"/>
  </r>
  <r>
    <x v="25"/>
  </r>
  <r>
    <x v="117"/>
  </r>
  <r>
    <x v="2"/>
  </r>
  <r>
    <x v="42"/>
  </r>
  <r>
    <x v="25"/>
  </r>
  <r>
    <x v="48"/>
  </r>
  <r>
    <x v="10"/>
  </r>
  <r>
    <x v="3"/>
  </r>
  <r>
    <x v="87"/>
  </r>
  <r>
    <x v="83"/>
  </r>
  <r>
    <x v="83"/>
  </r>
  <r>
    <x v="83"/>
  </r>
  <r>
    <x v="25"/>
  </r>
  <r>
    <x v="14"/>
  </r>
  <r>
    <x v="25"/>
  </r>
  <r>
    <x v="122"/>
  </r>
  <r>
    <x v="122"/>
  </r>
  <r>
    <x v="122"/>
  </r>
  <r>
    <x v="99"/>
  </r>
  <r>
    <x v="99"/>
  </r>
  <r>
    <x v="76"/>
  </r>
  <r>
    <x v="91"/>
  </r>
  <r>
    <x v="23"/>
  </r>
  <r>
    <x v="23"/>
  </r>
  <r>
    <x v="23"/>
  </r>
  <r>
    <x v="12"/>
  </r>
  <r>
    <x v="12"/>
  </r>
  <r>
    <x v="12"/>
  </r>
  <r>
    <x v="12"/>
  </r>
  <r>
    <x v="7"/>
  </r>
  <r>
    <x v="56"/>
  </r>
  <r>
    <x v="23"/>
  </r>
  <r>
    <x v="53"/>
  </r>
  <r>
    <x v="76"/>
  </r>
  <r>
    <x v="23"/>
  </r>
  <r>
    <x v="4"/>
  </r>
  <r>
    <x v="28"/>
  </r>
  <r>
    <x v="28"/>
  </r>
  <r>
    <x v="1"/>
  </r>
  <r>
    <x v="23"/>
  </r>
  <r>
    <x v="25"/>
  </r>
  <r>
    <x v="110"/>
  </r>
  <r>
    <x v="25"/>
  </r>
  <r>
    <x v="23"/>
  </r>
  <r>
    <x v="115"/>
  </r>
  <r>
    <x v="28"/>
  </r>
  <r>
    <x v="25"/>
  </r>
  <r>
    <x v="23"/>
  </r>
  <r>
    <x v="23"/>
  </r>
  <r>
    <x v="23"/>
  </r>
  <r>
    <x v="25"/>
  </r>
  <r>
    <x v="25"/>
  </r>
  <r>
    <x v="25"/>
  </r>
  <r>
    <x v="23"/>
  </r>
  <r>
    <x v="23"/>
  </r>
  <r>
    <x v="23"/>
  </r>
  <r>
    <x v="23"/>
  </r>
  <r>
    <x v="23"/>
  </r>
  <r>
    <x v="1"/>
  </r>
  <r>
    <x v="23"/>
  </r>
  <r>
    <x v="23"/>
  </r>
  <r>
    <x v="23"/>
  </r>
  <r>
    <x v="23"/>
  </r>
  <r>
    <x v="23"/>
  </r>
  <r>
    <x v="23"/>
  </r>
  <r>
    <x v="23"/>
  </r>
  <r>
    <x v="12"/>
  </r>
  <r>
    <x v="12"/>
  </r>
  <r>
    <x v="25"/>
  </r>
  <r>
    <x v="23"/>
  </r>
  <r>
    <x v="12"/>
  </r>
  <r>
    <x v="12"/>
  </r>
  <r>
    <x v="25"/>
  </r>
  <r>
    <x v="4"/>
  </r>
  <r>
    <x v="25"/>
  </r>
  <r>
    <x v="25"/>
  </r>
  <r>
    <x v="23"/>
  </r>
  <r>
    <x v="4"/>
  </r>
  <r>
    <x v="4"/>
  </r>
  <r>
    <x v="23"/>
  </r>
  <r>
    <x v="23"/>
  </r>
  <r>
    <x v="23"/>
  </r>
  <r>
    <x v="23"/>
  </r>
  <r>
    <x v="25"/>
  </r>
  <r>
    <x v="126"/>
  </r>
  <r>
    <x v="126"/>
  </r>
  <r>
    <x v="112"/>
  </r>
  <r>
    <x v="277"/>
  </r>
  <r>
    <x v="28"/>
  </r>
  <r>
    <x v="24"/>
  </r>
  <r>
    <x v="24"/>
  </r>
  <r>
    <x v="22"/>
  </r>
  <r>
    <x v="0"/>
  </r>
  <r>
    <x v="277"/>
  </r>
  <r>
    <x v="277"/>
  </r>
  <r>
    <x v="25"/>
  </r>
  <r>
    <x v="25"/>
  </r>
  <r>
    <x v="57"/>
  </r>
  <r>
    <x v="28"/>
  </r>
  <r>
    <x v="28"/>
  </r>
  <r>
    <x v="99"/>
  </r>
  <r>
    <x v="28"/>
  </r>
  <r>
    <x v="28"/>
  </r>
  <r>
    <x v="28"/>
  </r>
  <r>
    <x v="28"/>
  </r>
  <r>
    <x v="12"/>
  </r>
  <r>
    <x v="71"/>
  </r>
  <r>
    <x v="12"/>
  </r>
  <r>
    <x v="12"/>
  </r>
  <r>
    <x v="23"/>
  </r>
  <r>
    <x v="25"/>
  </r>
  <r>
    <x v="25"/>
  </r>
  <r>
    <x v="25"/>
  </r>
  <r>
    <x v="25"/>
  </r>
  <r>
    <x v="23"/>
  </r>
  <r>
    <x v="99"/>
  </r>
  <r>
    <x v="12"/>
  </r>
  <r>
    <x v="12"/>
  </r>
  <r>
    <x v="23"/>
  </r>
  <r>
    <x v="14"/>
  </r>
  <r>
    <x v="12"/>
  </r>
  <r>
    <x v="12"/>
  </r>
  <r>
    <x v="12"/>
  </r>
  <r>
    <x v="4"/>
  </r>
  <r>
    <x v="25"/>
  </r>
  <r>
    <x v="25"/>
  </r>
  <r>
    <x v="91"/>
  </r>
  <r>
    <x v="91"/>
  </r>
  <r>
    <x v="91"/>
  </r>
  <r>
    <x v="91"/>
  </r>
  <r>
    <x v="25"/>
  </r>
  <r>
    <x v="25"/>
  </r>
  <r>
    <x v="10"/>
  </r>
  <r>
    <x v="12"/>
  </r>
  <r>
    <x v="12"/>
  </r>
  <r>
    <x v="12"/>
  </r>
  <r>
    <x v="23"/>
  </r>
  <r>
    <x v="23"/>
  </r>
  <r>
    <x v="25"/>
  </r>
  <r>
    <x v="93"/>
  </r>
  <r>
    <x v="93"/>
  </r>
  <r>
    <x v="152"/>
  </r>
  <r>
    <x v="93"/>
  </r>
  <r>
    <x v="14"/>
  </r>
  <r>
    <x v="152"/>
  </r>
  <r>
    <x v="14"/>
  </r>
  <r>
    <x v="23"/>
  </r>
  <r>
    <x v="55"/>
  </r>
  <r>
    <x v="55"/>
  </r>
  <r>
    <x v="76"/>
  </r>
  <r>
    <x v="76"/>
  </r>
  <r>
    <x v="76"/>
  </r>
  <r>
    <x v="76"/>
  </r>
  <r>
    <x v="76"/>
  </r>
  <r>
    <x v="76"/>
  </r>
  <r>
    <x v="105"/>
  </r>
  <r>
    <x v="76"/>
  </r>
  <r>
    <x v="102"/>
  </r>
  <r>
    <x v="76"/>
  </r>
  <r>
    <x v="76"/>
  </r>
  <r>
    <x v="76"/>
  </r>
  <r>
    <x v="76"/>
  </r>
  <r>
    <x v="76"/>
  </r>
  <r>
    <x v="23"/>
  </r>
  <r>
    <x v="25"/>
  </r>
  <r>
    <x v="23"/>
  </r>
  <r>
    <x v="23"/>
  </r>
  <r>
    <x v="23"/>
  </r>
  <r>
    <x v="23"/>
  </r>
  <r>
    <x v="23"/>
  </r>
  <r>
    <x v="23"/>
  </r>
  <r>
    <x v="25"/>
  </r>
  <r>
    <x v="25"/>
  </r>
  <r>
    <x v="23"/>
  </r>
  <r>
    <x v="14"/>
  </r>
  <r>
    <x v="23"/>
  </r>
  <r>
    <x v="14"/>
  </r>
  <r>
    <x v="23"/>
  </r>
  <r>
    <x v="42"/>
  </r>
  <r>
    <x v="63"/>
  </r>
  <r>
    <x v="81"/>
  </r>
  <r>
    <x v="25"/>
  </r>
  <r>
    <x v="63"/>
  </r>
  <r>
    <x v="23"/>
  </r>
  <r>
    <x v="126"/>
  </r>
  <r>
    <x v="0"/>
  </r>
  <r>
    <x v="25"/>
  </r>
  <r>
    <x v="42"/>
  </r>
  <r>
    <x v="42"/>
  </r>
  <r>
    <x v="28"/>
  </r>
  <r>
    <x v="23"/>
  </r>
  <r>
    <x v="84"/>
  </r>
  <r>
    <x v="84"/>
  </r>
  <r>
    <x v="31"/>
  </r>
  <r>
    <x v="56"/>
  </r>
  <r>
    <x v="91"/>
  </r>
  <r>
    <x v="91"/>
  </r>
  <r>
    <x v="55"/>
  </r>
  <r>
    <x v="91"/>
  </r>
  <r>
    <x v="91"/>
  </r>
  <r>
    <x v="91"/>
  </r>
  <r>
    <x v="31"/>
  </r>
  <r>
    <x v="31"/>
  </r>
  <r>
    <x v="45"/>
  </r>
  <r>
    <x v="122"/>
  </r>
  <r>
    <x v="23"/>
  </r>
  <r>
    <x v="76"/>
  </r>
  <r>
    <x v="199"/>
  </r>
  <r>
    <x v="76"/>
  </r>
  <r>
    <x v="12"/>
  </r>
  <r>
    <x v="57"/>
  </r>
  <r>
    <x v="23"/>
  </r>
  <r>
    <x v="57"/>
  </r>
  <r>
    <x v="25"/>
  </r>
  <r>
    <x v="25"/>
  </r>
  <r>
    <x v="25"/>
  </r>
  <r>
    <x v="12"/>
  </r>
  <r>
    <x v="81"/>
  </r>
  <r>
    <x v="25"/>
  </r>
  <r>
    <x v="25"/>
  </r>
  <r>
    <x v="12"/>
  </r>
  <r>
    <x v="44"/>
  </r>
  <r>
    <x v="44"/>
  </r>
  <r>
    <x v="6"/>
  </r>
  <r>
    <x v="91"/>
  </r>
  <r>
    <x v="126"/>
  </r>
  <r>
    <x v="42"/>
  </r>
  <r>
    <x v="25"/>
  </r>
  <r>
    <x v="12"/>
  </r>
  <r>
    <x v="25"/>
  </r>
  <r>
    <x v="42"/>
  </r>
  <r>
    <x v="23"/>
  </r>
  <r>
    <x v="29"/>
  </r>
  <r>
    <x v="29"/>
  </r>
  <r>
    <x v="23"/>
  </r>
  <r>
    <x v="23"/>
  </r>
  <r>
    <x v="0"/>
  </r>
  <r>
    <x v="25"/>
  </r>
  <r>
    <x v="132"/>
  </r>
  <r>
    <x v="132"/>
  </r>
  <r>
    <x v="6"/>
  </r>
  <r>
    <x v="29"/>
  </r>
  <r>
    <x v="29"/>
  </r>
  <r>
    <x v="42"/>
  </r>
  <r>
    <x v="23"/>
  </r>
  <r>
    <x v="23"/>
  </r>
  <r>
    <x v="23"/>
  </r>
  <r>
    <x v="12"/>
  </r>
  <r>
    <x v="93"/>
  </r>
  <r>
    <x v="25"/>
  </r>
  <r>
    <x v="25"/>
  </r>
  <r>
    <x v="25"/>
  </r>
  <r>
    <x v="105"/>
  </r>
  <r>
    <x v="25"/>
  </r>
  <r>
    <x v="25"/>
  </r>
  <r>
    <x v="25"/>
  </r>
  <r>
    <x v="25"/>
  </r>
  <r>
    <x v="21"/>
  </r>
  <r>
    <x v="99"/>
  </r>
  <r>
    <x v="23"/>
  </r>
  <r>
    <x v="12"/>
  </r>
  <r>
    <x v="81"/>
  </r>
  <r>
    <x v="75"/>
  </r>
  <r>
    <x v="75"/>
  </r>
  <r>
    <x v="75"/>
  </r>
  <r>
    <x v="25"/>
  </r>
  <r>
    <x v="25"/>
  </r>
  <r>
    <x v="76"/>
  </r>
  <r>
    <x v="76"/>
  </r>
  <r>
    <x v="23"/>
  </r>
  <r>
    <x v="126"/>
  </r>
  <r>
    <x v="25"/>
  </r>
  <r>
    <x v="76"/>
  </r>
  <r>
    <x v="126"/>
  </r>
  <r>
    <x v="25"/>
  </r>
  <r>
    <x v="25"/>
  </r>
  <r>
    <x v="25"/>
  </r>
  <r>
    <x v="25"/>
  </r>
  <r>
    <x v="25"/>
  </r>
  <r>
    <x v="25"/>
  </r>
  <r>
    <x v="48"/>
  </r>
  <r>
    <x v="25"/>
  </r>
  <r>
    <x v="25"/>
  </r>
  <r>
    <x v="23"/>
  </r>
  <r>
    <x v="42"/>
  </r>
  <r>
    <x v="42"/>
  </r>
  <r>
    <x v="42"/>
  </r>
  <r>
    <x v="81"/>
  </r>
  <r>
    <x v="25"/>
  </r>
  <r>
    <x v="42"/>
  </r>
  <r>
    <x v="81"/>
  </r>
  <r>
    <x v="42"/>
  </r>
  <r>
    <x v="42"/>
  </r>
  <r>
    <x v="25"/>
  </r>
  <r>
    <x v="91"/>
  </r>
  <r>
    <x v="85"/>
  </r>
  <r>
    <x v="44"/>
  </r>
  <r>
    <x v="25"/>
  </r>
  <r>
    <x v="112"/>
  </r>
  <r>
    <x v="25"/>
  </r>
  <r>
    <x v="23"/>
  </r>
  <r>
    <x v="23"/>
  </r>
  <r>
    <x v="25"/>
  </r>
  <r>
    <x v="29"/>
  </r>
  <r>
    <x v="132"/>
  </r>
  <r>
    <x v="132"/>
  </r>
  <r>
    <x v="23"/>
  </r>
  <r>
    <x v="42"/>
  </r>
  <r>
    <x v="93"/>
  </r>
  <r>
    <x v="23"/>
  </r>
  <r>
    <x v="23"/>
  </r>
  <r>
    <x v="28"/>
  </r>
  <r>
    <x v="82"/>
  </r>
  <r>
    <x v="28"/>
  </r>
  <r>
    <x v="28"/>
  </r>
  <r>
    <x v="23"/>
  </r>
  <r>
    <x v="23"/>
  </r>
  <r>
    <x v="25"/>
  </r>
  <r>
    <x v="25"/>
  </r>
  <r>
    <x v="25"/>
  </r>
  <r>
    <x v="25"/>
  </r>
  <r>
    <x v="25"/>
  </r>
  <r>
    <x v="25"/>
  </r>
  <r>
    <x v="23"/>
  </r>
  <r>
    <x v="25"/>
  </r>
  <r>
    <x v="4"/>
  </r>
  <r>
    <x v="23"/>
  </r>
  <r>
    <x v="56"/>
  </r>
  <r>
    <x v="56"/>
  </r>
  <r>
    <x v="81"/>
  </r>
  <r>
    <x v="105"/>
  </r>
  <r>
    <x v="12"/>
  </r>
  <r>
    <x v="25"/>
  </r>
  <r>
    <x v="7"/>
  </r>
  <r>
    <x v="4"/>
  </r>
  <r>
    <x v="28"/>
  </r>
  <r>
    <x v="12"/>
  </r>
  <r>
    <x v="112"/>
  </r>
  <r>
    <x v="105"/>
  </r>
  <r>
    <x v="81"/>
  </r>
  <r>
    <x v="28"/>
  </r>
  <r>
    <x v="25"/>
  </r>
  <r>
    <x v="25"/>
  </r>
  <r>
    <x v="23"/>
  </r>
  <r>
    <x v="23"/>
  </r>
  <r>
    <x v="28"/>
  </r>
  <r>
    <x v="14"/>
  </r>
  <r>
    <x v="31"/>
  </r>
  <r>
    <x v="31"/>
  </r>
  <r>
    <x v="31"/>
  </r>
  <r>
    <x v="25"/>
  </r>
  <r>
    <x v="6"/>
  </r>
  <r>
    <x v="77"/>
  </r>
  <r>
    <x v="77"/>
  </r>
  <r>
    <x v="6"/>
  </r>
  <r>
    <x v="25"/>
  </r>
  <r>
    <x v="77"/>
  </r>
  <r>
    <x v="96"/>
  </r>
  <r>
    <x v="6"/>
  </r>
  <r>
    <x v="152"/>
  </r>
  <r>
    <x v="82"/>
  </r>
  <r>
    <x v="77"/>
  </r>
  <r>
    <x v="82"/>
  </r>
  <r>
    <x v="82"/>
  </r>
  <r>
    <x v="82"/>
  </r>
  <r>
    <x v="82"/>
  </r>
  <r>
    <x v="20"/>
  </r>
  <r>
    <x v="20"/>
  </r>
  <r>
    <x v="20"/>
  </r>
  <r>
    <x v="20"/>
  </r>
  <r>
    <x v="25"/>
  </r>
  <r>
    <x v="25"/>
  </r>
  <r>
    <x v="25"/>
  </r>
  <r>
    <x v="25"/>
  </r>
  <r>
    <x v="25"/>
  </r>
  <r>
    <x v="25"/>
  </r>
  <r>
    <x v="25"/>
  </r>
  <r>
    <x v="6"/>
  </r>
  <r>
    <x v="6"/>
  </r>
  <r>
    <x v="20"/>
  </r>
  <r>
    <x v="20"/>
  </r>
  <r>
    <x v="25"/>
  </r>
  <r>
    <x v="28"/>
  </r>
  <r>
    <x v="28"/>
  </r>
  <r>
    <x v="22"/>
  </r>
  <r>
    <x v="14"/>
  </r>
  <r>
    <x v="12"/>
  </r>
  <r>
    <x v="23"/>
  </r>
  <r>
    <x v="4"/>
  </r>
  <r>
    <x v="12"/>
  </r>
  <r>
    <x v="12"/>
  </r>
  <r>
    <x v="4"/>
  </r>
  <r>
    <x v="4"/>
  </r>
  <r>
    <x v="4"/>
  </r>
  <r>
    <x v="99"/>
  </r>
  <r>
    <x v="77"/>
  </r>
  <r>
    <x v="23"/>
  </r>
  <r>
    <x v="23"/>
  </r>
  <r>
    <x v="93"/>
  </r>
  <r>
    <x v="42"/>
  </r>
  <r>
    <x v="93"/>
  </r>
  <r>
    <x v="102"/>
  </r>
  <r>
    <x v="78"/>
  </r>
  <r>
    <x v="78"/>
  </r>
  <r>
    <x v="102"/>
  </r>
  <r>
    <x v="78"/>
  </r>
  <r>
    <x v="78"/>
  </r>
  <r>
    <x v="78"/>
  </r>
  <r>
    <x v="78"/>
  </r>
  <r>
    <x v="102"/>
  </r>
  <r>
    <x v="72"/>
  </r>
  <r>
    <x v="81"/>
  </r>
  <r>
    <x v="102"/>
  </r>
  <r>
    <x v="81"/>
  </r>
  <r>
    <x v="81"/>
  </r>
  <r>
    <x v="81"/>
  </r>
  <r>
    <x v="126"/>
  </r>
  <r>
    <x v="25"/>
  </r>
  <r>
    <x v="25"/>
  </r>
  <r>
    <x v="12"/>
  </r>
  <r>
    <x v="25"/>
  </r>
  <r>
    <x v="25"/>
  </r>
  <r>
    <x v="25"/>
  </r>
  <r>
    <x v="25"/>
  </r>
  <r>
    <x v="25"/>
  </r>
  <r>
    <x v="25"/>
  </r>
  <r>
    <x v="78"/>
  </r>
  <r>
    <x v="78"/>
  </r>
  <r>
    <x v="25"/>
  </r>
  <r>
    <x v="23"/>
  </r>
  <r>
    <x v="14"/>
  </r>
  <r>
    <x v="110"/>
  </r>
  <r>
    <x v="81"/>
  </r>
  <r>
    <x v="14"/>
  </r>
  <r>
    <x v="25"/>
  </r>
  <r>
    <x v="14"/>
  </r>
  <r>
    <x v="25"/>
  </r>
  <r>
    <x v="25"/>
  </r>
  <r>
    <x v="25"/>
  </r>
  <r>
    <x v="112"/>
  </r>
  <r>
    <x v="112"/>
  </r>
  <r>
    <x v="82"/>
  </r>
  <r>
    <x v="94"/>
  </r>
  <r>
    <x v="82"/>
  </r>
  <r>
    <x v="25"/>
  </r>
  <r>
    <x v="112"/>
  </r>
  <r>
    <x v="82"/>
  </r>
  <r>
    <x v="94"/>
  </r>
  <r>
    <x v="94"/>
  </r>
  <r>
    <x v="25"/>
  </r>
  <r>
    <x v="25"/>
  </r>
  <r>
    <x v="25"/>
  </r>
  <r>
    <x v="25"/>
  </r>
  <r>
    <x v="25"/>
  </r>
  <r>
    <x v="25"/>
  </r>
  <r>
    <x v="23"/>
  </r>
  <r>
    <x v="23"/>
  </r>
  <r>
    <x v="23"/>
  </r>
  <r>
    <x v="23"/>
  </r>
  <r>
    <x v="23"/>
  </r>
  <r>
    <x v="112"/>
  </r>
  <r>
    <x v="112"/>
  </r>
  <r>
    <x v="94"/>
  </r>
  <r>
    <x v="23"/>
  </r>
  <r>
    <x v="21"/>
  </r>
  <r>
    <x v="23"/>
  </r>
  <r>
    <x v="23"/>
  </r>
  <r>
    <x v="21"/>
  </r>
  <r>
    <x v="23"/>
  </r>
  <r>
    <x v="23"/>
  </r>
  <r>
    <x v="23"/>
  </r>
  <r>
    <x v="52"/>
  </r>
  <r>
    <x v="105"/>
  </r>
  <r>
    <x v="105"/>
  </r>
  <r>
    <x v="105"/>
  </r>
  <r>
    <x v="12"/>
  </r>
  <r>
    <x v="12"/>
  </r>
  <r>
    <x v="105"/>
  </r>
  <r>
    <x v="105"/>
  </r>
  <r>
    <x v="105"/>
  </r>
  <r>
    <x v="37"/>
  </r>
  <r>
    <x v="14"/>
  </r>
  <r>
    <x v="31"/>
  </r>
  <r>
    <x v="17"/>
  </r>
  <r>
    <x v="0"/>
  </r>
  <r>
    <x v="28"/>
  </r>
  <r>
    <x v="0"/>
  </r>
  <r>
    <x v="17"/>
  </r>
  <r>
    <x v="4"/>
  </r>
  <r>
    <x v="4"/>
  </r>
  <r>
    <x v="48"/>
  </r>
  <r>
    <x v="10"/>
  </r>
  <r>
    <x v="9"/>
  </r>
  <r>
    <x v="28"/>
  </r>
  <r>
    <x v="0"/>
  </r>
  <r>
    <x v="9"/>
  </r>
  <r>
    <x v="11"/>
  </r>
  <r>
    <x v="12"/>
  </r>
  <r>
    <x v="1"/>
  </r>
  <r>
    <x v="1"/>
  </r>
  <r>
    <x v="4"/>
  </r>
  <r>
    <x v="9"/>
  </r>
  <r>
    <x v="43"/>
  </r>
  <r>
    <x v="4"/>
  </r>
  <r>
    <x v="24"/>
  </r>
  <r>
    <x v="4"/>
  </r>
  <r>
    <x v="53"/>
  </r>
  <r>
    <x v="4"/>
  </r>
  <r>
    <x v="45"/>
  </r>
  <r>
    <x v="4"/>
  </r>
  <r>
    <x v="15"/>
  </r>
  <r>
    <x v="10"/>
  </r>
  <r>
    <x v="1"/>
  </r>
  <r>
    <x v="19"/>
  </r>
  <r>
    <x v="4"/>
  </r>
  <r>
    <x v="4"/>
  </r>
  <r>
    <x v="0"/>
  </r>
  <r>
    <x v="0"/>
  </r>
  <r>
    <x v="11"/>
  </r>
  <r>
    <x v="4"/>
  </r>
  <r>
    <x v="17"/>
  </r>
  <r>
    <x v="16"/>
  </r>
  <r>
    <x v="16"/>
  </r>
  <r>
    <x v="87"/>
  </r>
  <r>
    <x v="4"/>
  </r>
  <r>
    <x v="10"/>
  </r>
  <r>
    <x v="18"/>
  </r>
  <r>
    <x v="1"/>
  </r>
  <r>
    <x v="42"/>
  </r>
  <r>
    <x v="42"/>
  </r>
  <r>
    <x v="14"/>
  </r>
  <r>
    <x v="14"/>
  </r>
  <r>
    <x v="14"/>
  </r>
  <r>
    <x v="28"/>
  </r>
  <r>
    <x v="7"/>
  </r>
  <r>
    <x v="7"/>
  </r>
  <r>
    <x v="12"/>
  </r>
  <r>
    <x v="0"/>
  </r>
  <r>
    <x v="0"/>
  </r>
  <r>
    <x v="0"/>
  </r>
  <r>
    <x v="2"/>
  </r>
  <r>
    <x v="10"/>
  </r>
  <r>
    <x v="4"/>
  </r>
  <r>
    <x v="108"/>
  </r>
  <r>
    <x v="126"/>
  </r>
  <r>
    <x v="9"/>
  </r>
  <r>
    <x v="1"/>
  </r>
  <r>
    <x v="14"/>
  </r>
  <r>
    <x v="6"/>
  </r>
  <r>
    <x v="27"/>
  </r>
  <r>
    <x v="14"/>
  </r>
  <r>
    <x v="14"/>
  </r>
  <r>
    <x v="1"/>
  </r>
  <r>
    <x v="15"/>
  </r>
  <r>
    <x v="4"/>
  </r>
  <r>
    <x v="1"/>
  </r>
  <r>
    <x v="0"/>
  </r>
  <r>
    <x v="2"/>
  </r>
  <r>
    <x v="4"/>
  </r>
  <r>
    <x v="12"/>
  </r>
  <r>
    <x v="14"/>
  </r>
  <r>
    <x v="12"/>
  </r>
  <r>
    <x v="42"/>
  </r>
  <r>
    <x v="33"/>
  </r>
  <r>
    <x v="7"/>
  </r>
  <r>
    <x v="8"/>
  </r>
  <r>
    <x v="55"/>
  </r>
  <r>
    <x v="0"/>
  </r>
  <r>
    <x v="4"/>
  </r>
  <r>
    <x v="53"/>
  </r>
  <r>
    <x v="9"/>
  </r>
  <r>
    <x v="0"/>
  </r>
  <r>
    <x v="0"/>
  </r>
  <r>
    <x v="10"/>
  </r>
  <r>
    <x v="15"/>
  </r>
  <r>
    <x v="43"/>
  </r>
  <r>
    <x v="35"/>
  </r>
  <r>
    <x v="0"/>
  </r>
  <r>
    <x v="12"/>
  </r>
  <r>
    <x v="12"/>
  </r>
  <r>
    <x v="12"/>
  </r>
  <r>
    <x v="26"/>
  </r>
  <r>
    <x v="26"/>
  </r>
  <r>
    <x v="26"/>
  </r>
  <r>
    <x v="26"/>
  </r>
  <r>
    <x v="26"/>
  </r>
  <r>
    <x v="4"/>
  </r>
  <r>
    <x v="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2"/>
  </r>
  <r>
    <x v="2"/>
  </r>
  <r>
    <x v="2"/>
  </r>
  <r>
    <x v="2"/>
  </r>
  <r>
    <x v="2"/>
  </r>
  <r>
    <x v="2"/>
  </r>
  <r>
    <x v="42"/>
  </r>
  <r>
    <x v="0"/>
  </r>
  <r>
    <x v="4"/>
  </r>
  <r>
    <x v="8"/>
  </r>
  <r>
    <x v="10"/>
  </r>
  <r>
    <x v="0"/>
  </r>
  <r>
    <x v="9"/>
  </r>
  <r>
    <x v="9"/>
  </r>
  <r>
    <x v="19"/>
  </r>
  <r>
    <x v="19"/>
  </r>
  <r>
    <x v="14"/>
  </r>
  <r>
    <x v="39"/>
  </r>
  <r>
    <x v="39"/>
  </r>
  <r>
    <x v="39"/>
  </r>
  <r>
    <x v="39"/>
  </r>
  <r>
    <x v="39"/>
  </r>
  <r>
    <x v="0"/>
  </r>
  <r>
    <x v="6"/>
  </r>
  <r>
    <x v="14"/>
  </r>
  <r>
    <x v="22"/>
  </r>
  <r>
    <x v="22"/>
  </r>
  <r>
    <x v="22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46"/>
  </r>
  <r>
    <x v="55"/>
  </r>
  <r>
    <x v="25"/>
  </r>
  <r>
    <x v="164"/>
  </r>
  <r>
    <x v="0"/>
  </r>
  <r>
    <x v="14"/>
  </r>
  <r>
    <x v="4"/>
  </r>
  <r>
    <x v="8"/>
  </r>
  <r>
    <x v="28"/>
  </r>
  <r>
    <x v="39"/>
  </r>
  <r>
    <x v="39"/>
  </r>
  <r>
    <x v="39"/>
  </r>
  <r>
    <x v="39"/>
  </r>
  <r>
    <x v="39"/>
  </r>
  <r>
    <x v="12"/>
  </r>
  <r>
    <x v="4"/>
  </r>
  <r>
    <x v="31"/>
  </r>
  <r>
    <x v="9"/>
  </r>
  <r>
    <x v="24"/>
  </r>
  <r>
    <x v="9"/>
  </r>
  <r>
    <x v="35"/>
  </r>
  <r>
    <x v="9"/>
  </r>
  <r>
    <x v="30"/>
  </r>
  <r>
    <x v="30"/>
  </r>
  <r>
    <x v="30"/>
  </r>
  <r>
    <x v="30"/>
  </r>
  <r>
    <x v="14"/>
  </r>
  <r>
    <x v="28"/>
  </r>
  <r>
    <x v="6"/>
  </r>
  <r>
    <x v="40"/>
  </r>
  <r>
    <x v="17"/>
  </r>
  <r>
    <x v="0"/>
  </r>
  <r>
    <x v="4"/>
  </r>
  <r>
    <x v="0"/>
  </r>
  <r>
    <x v="0"/>
  </r>
  <r>
    <x v="0"/>
  </r>
  <r>
    <x v="0"/>
  </r>
  <r>
    <x v="56"/>
  </r>
  <r>
    <x v="17"/>
  </r>
  <r>
    <x v="33"/>
  </r>
  <r>
    <x v="14"/>
  </r>
  <r>
    <x v="1"/>
  </r>
  <r>
    <x v="0"/>
  </r>
  <r>
    <x v="10"/>
  </r>
  <r>
    <x v="4"/>
  </r>
  <r>
    <x v="55"/>
  </r>
  <r>
    <x v="10"/>
  </r>
  <r>
    <x v="22"/>
  </r>
  <r>
    <x v="22"/>
  </r>
  <r>
    <x v="4"/>
  </r>
  <r>
    <x v="2"/>
  </r>
  <r>
    <x v="16"/>
  </r>
  <r>
    <x v="15"/>
  </r>
  <r>
    <x v="16"/>
  </r>
  <r>
    <x v="7"/>
  </r>
  <r>
    <x v="9"/>
  </r>
  <r>
    <x v="4"/>
  </r>
  <r>
    <x v="4"/>
  </r>
  <r>
    <x v="9"/>
  </r>
  <r>
    <x v="2"/>
  </r>
  <r>
    <x v="2"/>
  </r>
  <r>
    <x v="48"/>
  </r>
  <r>
    <x v="2"/>
  </r>
  <r>
    <x v="0"/>
  </r>
  <r>
    <x v="2"/>
  </r>
  <r>
    <x v="4"/>
  </r>
  <r>
    <x v="46"/>
  </r>
  <r>
    <x v="4"/>
  </r>
  <r>
    <x v="2"/>
  </r>
  <r>
    <x v="4"/>
  </r>
  <r>
    <x v="42"/>
  </r>
  <r>
    <x v="0"/>
  </r>
  <r>
    <x v="4"/>
  </r>
  <r>
    <x v="43"/>
  </r>
  <r>
    <x v="2"/>
  </r>
  <r>
    <x v="6"/>
  </r>
  <r>
    <x v="2"/>
  </r>
  <r>
    <x v="2"/>
  </r>
  <r>
    <x v="2"/>
  </r>
  <r>
    <x v="22"/>
  </r>
  <r>
    <x v="14"/>
  </r>
  <r>
    <x v="14"/>
  </r>
  <r>
    <x v="16"/>
  </r>
  <r>
    <x v="4"/>
  </r>
  <r>
    <x v="10"/>
  </r>
  <r>
    <x v="9"/>
  </r>
  <r>
    <x v="30"/>
  </r>
  <r>
    <x v="15"/>
  </r>
  <r>
    <x v="12"/>
  </r>
  <r>
    <x v="16"/>
  </r>
  <r>
    <x v="7"/>
  </r>
  <r>
    <x v="33"/>
  </r>
  <r>
    <x v="33"/>
  </r>
  <r>
    <x v="24"/>
  </r>
  <r>
    <x v="12"/>
  </r>
  <r>
    <x v="21"/>
  </r>
  <r>
    <x v="12"/>
  </r>
  <r>
    <x v="16"/>
  </r>
  <r>
    <x v="16"/>
  </r>
  <r>
    <x v="12"/>
  </r>
  <r>
    <x v="42"/>
  </r>
  <r>
    <x v="12"/>
  </r>
  <r>
    <x v="28"/>
  </r>
  <r>
    <x v="12"/>
  </r>
  <r>
    <x v="49"/>
  </r>
  <r>
    <x v="16"/>
  </r>
  <r>
    <x v="50"/>
  </r>
  <r>
    <x v="9"/>
  </r>
  <r>
    <x v="50"/>
  </r>
  <r>
    <x v="12"/>
  </r>
  <r>
    <x v="12"/>
  </r>
  <r>
    <x v="12"/>
  </r>
  <r>
    <x v="14"/>
  </r>
  <r>
    <x v="8"/>
  </r>
  <r>
    <x v="2"/>
  </r>
  <r>
    <x v="12"/>
  </r>
  <r>
    <x v="12"/>
  </r>
  <r>
    <x v="42"/>
  </r>
  <r>
    <x v="9"/>
  </r>
  <r>
    <x v="0"/>
  </r>
  <r>
    <x v="4"/>
  </r>
  <r>
    <x v="16"/>
  </r>
  <r>
    <x v="42"/>
  </r>
  <r>
    <x v="1"/>
  </r>
  <r>
    <x v="10"/>
  </r>
  <r>
    <x v="9"/>
  </r>
  <r>
    <x v="12"/>
  </r>
  <r>
    <x v="6"/>
  </r>
  <r>
    <x v="14"/>
  </r>
  <r>
    <x v="14"/>
  </r>
  <r>
    <x v="39"/>
  </r>
  <r>
    <x v="39"/>
  </r>
  <r>
    <x v="39"/>
  </r>
  <r>
    <x v="12"/>
  </r>
  <r>
    <x v="22"/>
  </r>
  <r>
    <x v="10"/>
  </r>
  <r>
    <x v="12"/>
  </r>
  <r>
    <x v="12"/>
  </r>
  <r>
    <x v="4"/>
  </r>
  <r>
    <x v="4"/>
  </r>
  <r>
    <x v="42"/>
  </r>
  <r>
    <x v="10"/>
  </r>
  <r>
    <x v="12"/>
  </r>
  <r>
    <x v="150"/>
  </r>
  <r>
    <x v="14"/>
  </r>
  <r>
    <x v="12"/>
  </r>
  <r>
    <x v="12"/>
  </r>
  <r>
    <x v="28"/>
  </r>
  <r>
    <x v="37"/>
  </r>
  <r>
    <x v="12"/>
  </r>
  <r>
    <x v="4"/>
  </r>
  <r>
    <x v="37"/>
  </r>
  <r>
    <x v="21"/>
  </r>
  <r>
    <x v="12"/>
  </r>
  <r>
    <x v="0"/>
  </r>
  <r>
    <x v="2"/>
  </r>
  <r>
    <x v="37"/>
  </r>
  <r>
    <x v="12"/>
  </r>
  <r>
    <x v="0"/>
  </r>
  <r>
    <x v="48"/>
  </r>
  <r>
    <x v="16"/>
  </r>
  <r>
    <x v="39"/>
  </r>
  <r>
    <x v="14"/>
  </r>
  <r>
    <x v="14"/>
  </r>
  <r>
    <x v="0"/>
  </r>
  <r>
    <x v="39"/>
  </r>
  <r>
    <x v="14"/>
  </r>
  <r>
    <x v="60"/>
  </r>
  <r>
    <x v="12"/>
  </r>
  <r>
    <x v="2"/>
  </r>
  <r>
    <x v="0"/>
  </r>
  <r>
    <x v="4"/>
  </r>
  <r>
    <x v="47"/>
  </r>
  <r>
    <x v="14"/>
  </r>
  <r>
    <x v="14"/>
  </r>
  <r>
    <x v="14"/>
  </r>
  <r>
    <x v="14"/>
  </r>
  <r>
    <x v="14"/>
  </r>
  <r>
    <x v="2"/>
  </r>
  <r>
    <x v="2"/>
  </r>
  <r>
    <x v="8"/>
  </r>
  <r>
    <x v="4"/>
  </r>
  <r>
    <x v="11"/>
  </r>
  <r>
    <x v="12"/>
  </r>
  <r>
    <x v="14"/>
  </r>
  <r>
    <x v="12"/>
  </r>
  <r>
    <x v="2"/>
  </r>
  <r>
    <x v="2"/>
  </r>
  <r>
    <x v="34"/>
  </r>
  <r>
    <x v="4"/>
  </r>
  <r>
    <x v="2"/>
  </r>
  <r>
    <x v="2"/>
  </r>
  <r>
    <x v="14"/>
  </r>
  <r>
    <x v="37"/>
  </r>
  <r>
    <x v="16"/>
  </r>
  <r>
    <x v="16"/>
  </r>
  <r>
    <x v="16"/>
  </r>
  <r>
    <x v="16"/>
  </r>
  <r>
    <x v="9"/>
  </r>
  <r>
    <x v="4"/>
  </r>
  <r>
    <x v="14"/>
  </r>
  <r>
    <x v="8"/>
  </r>
  <r>
    <x v="0"/>
  </r>
  <r>
    <x v="0"/>
  </r>
  <r>
    <x v="8"/>
  </r>
  <r>
    <x v="8"/>
  </r>
  <r>
    <x v="9"/>
  </r>
  <r>
    <x v="4"/>
  </r>
  <r>
    <x v="0"/>
  </r>
  <r>
    <x v="9"/>
  </r>
  <r>
    <x v="2"/>
  </r>
  <r>
    <x v="9"/>
  </r>
  <r>
    <x v="26"/>
  </r>
  <r>
    <x v="45"/>
  </r>
  <r>
    <x v="0"/>
  </r>
  <r>
    <x v="0"/>
  </r>
  <r>
    <x v="55"/>
  </r>
  <r>
    <x v="9"/>
  </r>
  <r>
    <x v="10"/>
  </r>
  <r>
    <x v="0"/>
  </r>
  <r>
    <x v="0"/>
  </r>
  <r>
    <x v="8"/>
  </r>
  <r>
    <x v="4"/>
  </r>
  <r>
    <x v="4"/>
  </r>
  <r>
    <x v="7"/>
  </r>
  <r>
    <x v="10"/>
  </r>
  <r>
    <x v="4"/>
  </r>
  <r>
    <x v="2"/>
  </r>
  <r>
    <x v="2"/>
  </r>
  <r>
    <x v="7"/>
  </r>
  <r>
    <x v="0"/>
  </r>
  <r>
    <x v="0"/>
  </r>
  <r>
    <x v="14"/>
  </r>
  <r>
    <x v="9"/>
  </r>
  <r>
    <x v="42"/>
  </r>
  <r>
    <x v="0"/>
  </r>
  <r>
    <x v="14"/>
  </r>
  <r>
    <x v="12"/>
  </r>
  <r>
    <x v="22"/>
  </r>
  <r>
    <x v="4"/>
  </r>
  <r>
    <x v="33"/>
  </r>
  <r>
    <x v="40"/>
  </r>
  <r>
    <x v="12"/>
  </r>
  <r>
    <x v="12"/>
  </r>
  <r>
    <x v="22"/>
  </r>
  <r>
    <x v="12"/>
  </r>
  <r>
    <x v="26"/>
  </r>
  <r>
    <x v="26"/>
  </r>
  <r>
    <x v="14"/>
  </r>
  <r>
    <x v="12"/>
  </r>
  <r>
    <x v="12"/>
  </r>
  <r>
    <x v="22"/>
  </r>
  <r>
    <x v="4"/>
  </r>
  <r>
    <x v="12"/>
  </r>
  <r>
    <x v="22"/>
  </r>
  <r>
    <x v="6"/>
  </r>
  <r>
    <x v="14"/>
  </r>
  <r>
    <x v="2"/>
  </r>
  <r>
    <x v="42"/>
  </r>
  <r>
    <x v="42"/>
  </r>
  <r>
    <x v="14"/>
  </r>
  <r>
    <x v="0"/>
  </r>
  <r>
    <x v="33"/>
  </r>
  <r>
    <x v="115"/>
  </r>
  <r>
    <x v="42"/>
  </r>
  <r>
    <x v="7"/>
  </r>
  <r>
    <x v="4"/>
  </r>
  <r>
    <x v="2"/>
  </r>
  <r>
    <x v="0"/>
  </r>
  <r>
    <x v="12"/>
  </r>
  <r>
    <x v="14"/>
  </r>
  <r>
    <x v="10"/>
  </r>
  <r>
    <x v="0"/>
  </r>
  <r>
    <x v="15"/>
  </r>
  <r>
    <x v="21"/>
  </r>
  <r>
    <x v="14"/>
  </r>
  <r>
    <x v="0"/>
  </r>
  <r>
    <x v="22"/>
  </r>
  <r>
    <x v="55"/>
  </r>
  <r>
    <x v="0"/>
  </r>
  <r>
    <x v="22"/>
  </r>
  <r>
    <x v="12"/>
  </r>
  <r>
    <x v="26"/>
  </r>
  <r>
    <x v="14"/>
  </r>
  <r>
    <x v="12"/>
  </r>
  <r>
    <x v="12"/>
  </r>
  <r>
    <x v="12"/>
  </r>
  <r>
    <x v="12"/>
  </r>
  <r>
    <x v="0"/>
  </r>
  <r>
    <x v="12"/>
  </r>
  <r>
    <x v="14"/>
  </r>
  <r>
    <x v="14"/>
  </r>
  <r>
    <x v="14"/>
  </r>
  <r>
    <x v="16"/>
  </r>
  <r>
    <x v="16"/>
  </r>
  <r>
    <x v="2"/>
  </r>
  <r>
    <x v="26"/>
  </r>
  <r>
    <x v="68"/>
  </r>
  <r>
    <x v="16"/>
  </r>
  <r>
    <x v="0"/>
  </r>
  <r>
    <x v="42"/>
  </r>
  <r>
    <x v="7"/>
  </r>
  <r>
    <x v="7"/>
  </r>
  <r>
    <x v="14"/>
  </r>
  <r>
    <x v="33"/>
  </r>
  <r>
    <x v="0"/>
  </r>
  <r>
    <x v="22"/>
  </r>
  <r>
    <x v="52"/>
  </r>
  <r>
    <x v="17"/>
  </r>
  <r>
    <x v="4"/>
  </r>
  <r>
    <x v="1"/>
  </r>
  <r>
    <x v="14"/>
  </r>
  <r>
    <x v="0"/>
  </r>
  <r>
    <x v="0"/>
  </r>
  <r>
    <x v="0"/>
  </r>
  <r>
    <x v="26"/>
  </r>
  <r>
    <x v="28"/>
  </r>
  <r>
    <x v="28"/>
  </r>
  <r>
    <x v="16"/>
  </r>
  <r>
    <x v="16"/>
  </r>
  <r>
    <x v="16"/>
  </r>
  <r>
    <x v="16"/>
  </r>
  <r>
    <x v="16"/>
  </r>
  <r>
    <x v="16"/>
  </r>
  <r>
    <x v="16"/>
  </r>
  <r>
    <x v="16"/>
  </r>
  <r>
    <x v="9"/>
  </r>
  <r>
    <x v="16"/>
  </r>
  <r>
    <x v="12"/>
  </r>
  <r>
    <x v="0"/>
  </r>
  <r>
    <x v="14"/>
  </r>
  <r>
    <x v="30"/>
  </r>
  <r>
    <x v="9"/>
  </r>
  <r>
    <x v="4"/>
  </r>
  <r>
    <x v="21"/>
  </r>
  <r>
    <x v="28"/>
  </r>
  <r>
    <x v="28"/>
  </r>
  <r>
    <x v="4"/>
  </r>
  <r>
    <x v="28"/>
  </r>
  <r>
    <x v="4"/>
  </r>
  <r>
    <x v="4"/>
  </r>
  <r>
    <x v="10"/>
  </r>
  <r>
    <x v="12"/>
  </r>
  <r>
    <x v="12"/>
  </r>
  <r>
    <x v="0"/>
  </r>
  <r>
    <x v="37"/>
  </r>
  <r>
    <x v="37"/>
  </r>
  <r>
    <x v="14"/>
  </r>
  <r>
    <x v="64"/>
  </r>
  <r>
    <x v="15"/>
  </r>
  <r>
    <x v="16"/>
  </r>
  <r>
    <x v="48"/>
  </r>
  <r>
    <x v="9"/>
  </r>
  <r>
    <x v="0"/>
  </r>
  <r>
    <x v="6"/>
  </r>
  <r>
    <x v="4"/>
  </r>
  <r>
    <x v="4"/>
  </r>
  <r>
    <x v="10"/>
  </r>
  <r>
    <x v="55"/>
  </r>
  <r>
    <x v="14"/>
  </r>
  <r>
    <x v="10"/>
  </r>
  <r>
    <x v="4"/>
  </r>
  <r>
    <x v="30"/>
  </r>
  <r>
    <x v="4"/>
  </r>
  <r>
    <x v="68"/>
  </r>
  <r>
    <x v="4"/>
  </r>
  <r>
    <x v="4"/>
  </r>
  <r>
    <x v="14"/>
  </r>
  <r>
    <x v="12"/>
  </r>
  <r>
    <x v="10"/>
  </r>
  <r>
    <x v="17"/>
  </r>
  <r>
    <x v="17"/>
  </r>
  <r>
    <x v="0"/>
  </r>
  <r>
    <x v="12"/>
  </r>
  <r>
    <x v="14"/>
  </r>
  <r>
    <x v="14"/>
  </r>
  <r>
    <x v="34"/>
  </r>
  <r>
    <x v="12"/>
  </r>
  <r>
    <x v="130"/>
  </r>
  <r>
    <x v="56"/>
  </r>
  <r>
    <x v="0"/>
  </r>
  <r>
    <x v="2"/>
  </r>
  <r>
    <x v="2"/>
  </r>
  <r>
    <x v="0"/>
  </r>
  <r>
    <x v="10"/>
  </r>
  <r>
    <x v="22"/>
  </r>
  <r>
    <x v="0"/>
  </r>
  <r>
    <x v="10"/>
  </r>
  <r>
    <x v="19"/>
  </r>
  <r>
    <x v="0"/>
  </r>
  <r>
    <x v="0"/>
  </r>
  <r>
    <x v="21"/>
  </r>
  <r>
    <x v="19"/>
  </r>
  <r>
    <x v="4"/>
  </r>
  <r>
    <x v="4"/>
  </r>
  <r>
    <x v="9"/>
  </r>
  <r>
    <x v="4"/>
  </r>
  <r>
    <x v="10"/>
  </r>
  <r>
    <x v="37"/>
  </r>
  <r>
    <x v="37"/>
  </r>
  <r>
    <x v="9"/>
  </r>
  <r>
    <x v="16"/>
  </r>
  <r>
    <x v="1"/>
  </r>
  <r>
    <x v="28"/>
  </r>
  <r>
    <x v="30"/>
  </r>
  <r>
    <x v="53"/>
  </r>
  <r>
    <x v="1"/>
  </r>
  <r>
    <x v="0"/>
  </r>
  <r>
    <x v="31"/>
  </r>
  <r>
    <x v="21"/>
  </r>
  <r>
    <x v="14"/>
  </r>
  <r>
    <x v="4"/>
  </r>
  <r>
    <x v="31"/>
  </r>
  <r>
    <x v="39"/>
  </r>
  <r>
    <x v="9"/>
  </r>
  <r>
    <x v="28"/>
  </r>
  <r>
    <x v="4"/>
  </r>
  <r>
    <x v="1"/>
  </r>
  <r>
    <x v="4"/>
  </r>
  <r>
    <x v="0"/>
  </r>
  <r>
    <x v="4"/>
  </r>
  <r>
    <x v="16"/>
  </r>
  <r>
    <x v="4"/>
  </r>
  <r>
    <x v="14"/>
  </r>
  <r>
    <x v="24"/>
  </r>
  <r>
    <x v="24"/>
  </r>
  <r>
    <x v="10"/>
  </r>
  <r>
    <x v="26"/>
  </r>
  <r>
    <x v="26"/>
  </r>
  <r>
    <x v="28"/>
  </r>
  <r>
    <x v="14"/>
  </r>
  <r>
    <x v="31"/>
  </r>
  <r>
    <x v="14"/>
  </r>
  <r>
    <x v="7"/>
  </r>
  <r>
    <x v="4"/>
  </r>
  <r>
    <x v="12"/>
  </r>
  <r>
    <x v="4"/>
  </r>
  <r>
    <x v="16"/>
  </r>
  <r>
    <x v="4"/>
  </r>
  <r>
    <x v="4"/>
  </r>
  <r>
    <x v="4"/>
  </r>
  <r>
    <x v="4"/>
  </r>
  <r>
    <x v="4"/>
  </r>
  <r>
    <x v="8"/>
  </r>
  <r>
    <x v="2"/>
  </r>
  <r>
    <x v="10"/>
  </r>
  <r>
    <x v="0"/>
  </r>
  <r>
    <x v="0"/>
  </r>
  <r>
    <x v="12"/>
  </r>
  <r>
    <x v="14"/>
  </r>
  <r>
    <x v="0"/>
  </r>
  <r>
    <x v="0"/>
  </r>
  <r>
    <x v="0"/>
  </r>
  <r>
    <x v="0"/>
  </r>
  <r>
    <x v="0"/>
  </r>
  <r>
    <x v="79"/>
  </r>
  <r>
    <x v="0"/>
  </r>
  <r>
    <x v="0"/>
  </r>
  <r>
    <x v="0"/>
  </r>
  <r>
    <x v="4"/>
  </r>
  <r>
    <x v="34"/>
  </r>
  <r>
    <x v="87"/>
  </r>
  <r>
    <x v="34"/>
  </r>
  <r>
    <x v="8"/>
  </r>
  <r>
    <x v="87"/>
  </r>
  <r>
    <x v="108"/>
  </r>
  <r>
    <x v="28"/>
  </r>
  <r>
    <x v="55"/>
  </r>
  <r>
    <x v="10"/>
  </r>
  <r>
    <x v="6"/>
  </r>
  <r>
    <x v="24"/>
  </r>
  <r>
    <x v="30"/>
  </r>
  <r>
    <x v="4"/>
  </r>
  <r>
    <x v="4"/>
  </r>
  <r>
    <x v="4"/>
  </r>
  <r>
    <x v="0"/>
  </r>
  <r>
    <x v="0"/>
  </r>
  <r>
    <x v="7"/>
  </r>
  <r>
    <x v="10"/>
  </r>
  <r>
    <x v="4"/>
  </r>
  <r>
    <x v="10"/>
  </r>
  <r>
    <x v="50"/>
  </r>
  <r>
    <x v="4"/>
  </r>
  <r>
    <x v="14"/>
  </r>
  <r>
    <x v="55"/>
  </r>
  <r>
    <x v="4"/>
  </r>
  <r>
    <x v="12"/>
  </r>
  <r>
    <x v="0"/>
  </r>
  <r>
    <x v="9"/>
  </r>
  <r>
    <x v="4"/>
  </r>
  <r>
    <x v="2"/>
  </r>
  <r>
    <x v="11"/>
  </r>
  <r>
    <x v="72"/>
  </r>
  <r>
    <x v="9"/>
  </r>
  <r>
    <x v="4"/>
  </r>
  <r>
    <x v="4"/>
  </r>
  <r>
    <x v="2"/>
  </r>
  <r>
    <x v="4"/>
  </r>
  <r>
    <x v="4"/>
  </r>
  <r>
    <x v="1"/>
  </r>
  <r>
    <x v="60"/>
  </r>
  <r>
    <x v="17"/>
  </r>
  <r>
    <x v="60"/>
  </r>
  <r>
    <x v="78"/>
  </r>
  <r>
    <x v="60"/>
  </r>
  <r>
    <x v="34"/>
  </r>
  <r>
    <x v="34"/>
  </r>
  <r>
    <x v="21"/>
  </r>
  <r>
    <x v="21"/>
  </r>
  <r>
    <x v="21"/>
  </r>
  <r>
    <x v="16"/>
  </r>
  <r>
    <x v="1"/>
  </r>
  <r>
    <x v="21"/>
  </r>
  <r>
    <x v="6"/>
  </r>
  <r>
    <x v="19"/>
  </r>
  <r>
    <x v="21"/>
  </r>
  <r>
    <x v="4"/>
  </r>
  <r>
    <x v="28"/>
  </r>
  <r>
    <x v="4"/>
  </r>
  <r>
    <x v="2"/>
  </r>
  <r>
    <x v="24"/>
  </r>
  <r>
    <x v="57"/>
  </r>
  <r>
    <x v="0"/>
  </r>
  <r>
    <x v="10"/>
  </r>
  <r>
    <x v="14"/>
  </r>
  <r>
    <x v="10"/>
  </r>
  <r>
    <x v="0"/>
  </r>
  <r>
    <x v="10"/>
  </r>
  <r>
    <x v="2"/>
  </r>
  <r>
    <x v="2"/>
  </r>
  <r>
    <x v="2"/>
  </r>
  <r>
    <x v="4"/>
  </r>
  <r>
    <x v="21"/>
  </r>
  <r>
    <x v="19"/>
  </r>
  <r>
    <x v="19"/>
  </r>
  <r>
    <x v="0"/>
  </r>
  <r>
    <x v="15"/>
  </r>
  <r>
    <x v="21"/>
  </r>
  <r>
    <x v="17"/>
  </r>
  <r>
    <x v="33"/>
  </r>
  <r>
    <x v="0"/>
  </r>
  <r>
    <x v="33"/>
  </r>
  <r>
    <x v="21"/>
  </r>
  <r>
    <x v="53"/>
  </r>
  <r>
    <x v="14"/>
  </r>
  <r>
    <x v="6"/>
  </r>
  <r>
    <x v="10"/>
  </r>
  <r>
    <x v="12"/>
  </r>
  <r>
    <x v="8"/>
  </r>
  <r>
    <x v="22"/>
  </r>
  <r>
    <x v="42"/>
  </r>
  <r>
    <x v="0"/>
  </r>
  <r>
    <x v="14"/>
  </r>
  <r>
    <x v="7"/>
  </r>
  <r>
    <x v="10"/>
  </r>
  <r>
    <x v="17"/>
  </r>
  <r>
    <x v="4"/>
  </r>
  <r>
    <x v="0"/>
  </r>
  <r>
    <x v="14"/>
  </r>
  <r>
    <x v="14"/>
  </r>
  <r>
    <x v="4"/>
  </r>
  <r>
    <x v="9"/>
  </r>
  <r>
    <x v="29"/>
  </r>
  <r>
    <x v="4"/>
  </r>
  <r>
    <x v="10"/>
  </r>
  <r>
    <x v="21"/>
  </r>
  <r>
    <x v="21"/>
  </r>
  <r>
    <x v="21"/>
  </r>
  <r>
    <x v="17"/>
  </r>
  <r>
    <x v="4"/>
  </r>
  <r>
    <x v="3"/>
  </r>
  <r>
    <x v="61"/>
  </r>
  <r>
    <x v="0"/>
  </r>
  <r>
    <x v="4"/>
  </r>
  <r>
    <x v="17"/>
  </r>
  <r>
    <x v="10"/>
  </r>
  <r>
    <x v="73"/>
  </r>
  <r>
    <x v="17"/>
  </r>
  <r>
    <x v="0"/>
  </r>
  <r>
    <x v="0"/>
  </r>
  <r>
    <x v="4"/>
  </r>
  <r>
    <x v="26"/>
  </r>
  <r>
    <x v="34"/>
  </r>
  <r>
    <x v="14"/>
  </r>
  <r>
    <x v="17"/>
  </r>
  <r>
    <x v="10"/>
  </r>
  <r>
    <x v="17"/>
  </r>
  <r>
    <x v="10"/>
  </r>
  <r>
    <x v="10"/>
  </r>
  <r>
    <x v="48"/>
  </r>
  <r>
    <x v="21"/>
  </r>
  <r>
    <x v="40"/>
  </r>
  <r>
    <x v="4"/>
  </r>
  <r>
    <x v="4"/>
  </r>
  <r>
    <x v="4"/>
  </r>
  <r>
    <x v="0"/>
  </r>
  <r>
    <x v="4"/>
  </r>
  <r>
    <x v="19"/>
  </r>
  <r>
    <x v="53"/>
  </r>
  <r>
    <x v="14"/>
  </r>
  <r>
    <x v="10"/>
  </r>
  <r>
    <x v="10"/>
  </r>
  <r>
    <x v="4"/>
  </r>
  <r>
    <x v="4"/>
  </r>
  <r>
    <x v="14"/>
  </r>
  <r>
    <x v="9"/>
  </r>
  <r>
    <x v="0"/>
  </r>
  <r>
    <x v="4"/>
  </r>
  <r>
    <x v="0"/>
  </r>
  <r>
    <x v="21"/>
  </r>
  <r>
    <x v="21"/>
  </r>
  <r>
    <x v="39"/>
  </r>
  <r>
    <x v="8"/>
  </r>
  <r>
    <x v="24"/>
  </r>
  <r>
    <x v="6"/>
  </r>
  <r>
    <x v="0"/>
  </r>
  <r>
    <x v="9"/>
  </r>
  <r>
    <x v="53"/>
  </r>
  <r>
    <x v="4"/>
  </r>
  <r>
    <x v="14"/>
  </r>
  <r>
    <x v="7"/>
  </r>
  <r>
    <x v="4"/>
  </r>
  <r>
    <x v="17"/>
  </r>
  <r>
    <x v="33"/>
  </r>
  <r>
    <x v="19"/>
  </r>
  <r>
    <x v="4"/>
  </r>
  <r>
    <x v="14"/>
  </r>
  <r>
    <x v="4"/>
  </r>
  <r>
    <x v="42"/>
  </r>
  <r>
    <x v="4"/>
  </r>
  <r>
    <x v="4"/>
  </r>
  <r>
    <x v="10"/>
  </r>
  <r>
    <x v="4"/>
  </r>
  <r>
    <x v="4"/>
  </r>
  <r>
    <x v="1"/>
  </r>
  <r>
    <x v="7"/>
  </r>
  <r>
    <x v="7"/>
  </r>
  <r>
    <x v="6"/>
  </r>
  <r>
    <x v="14"/>
  </r>
  <r>
    <x v="4"/>
  </r>
  <r>
    <x v="24"/>
  </r>
  <r>
    <x v="4"/>
  </r>
  <r>
    <x v="10"/>
  </r>
  <r>
    <x v="99"/>
  </r>
  <r>
    <x v="28"/>
  </r>
  <r>
    <x v="33"/>
  </r>
  <r>
    <x v="16"/>
  </r>
  <r>
    <x v="1"/>
  </r>
  <r>
    <x v="16"/>
  </r>
  <r>
    <x v="0"/>
  </r>
  <r>
    <x v="0"/>
  </r>
  <r>
    <x v="28"/>
  </r>
  <r>
    <x v="0"/>
  </r>
  <r>
    <x v="0"/>
  </r>
  <r>
    <x v="0"/>
  </r>
  <r>
    <x v="12"/>
  </r>
  <r>
    <x v="16"/>
  </r>
  <r>
    <x v="6"/>
  </r>
  <r>
    <x v="28"/>
  </r>
  <r>
    <x v="17"/>
  </r>
  <r>
    <x v="10"/>
  </r>
  <r>
    <x v="14"/>
  </r>
  <r>
    <x v="11"/>
  </r>
  <r>
    <x v="28"/>
  </r>
  <r>
    <x v="28"/>
  </r>
  <r>
    <x v="9"/>
  </r>
  <r>
    <x v="4"/>
  </r>
  <r>
    <x v="10"/>
  </r>
  <r>
    <x v="10"/>
  </r>
  <r>
    <x v="7"/>
  </r>
  <r>
    <x v="7"/>
  </r>
  <r>
    <x v="0"/>
  </r>
  <r>
    <x v="0"/>
  </r>
  <r>
    <x v="4"/>
  </r>
  <r>
    <x v="14"/>
  </r>
  <r>
    <x v="31"/>
  </r>
  <r>
    <x v="21"/>
  </r>
  <r>
    <x v="21"/>
  </r>
  <r>
    <x v="9"/>
  </r>
  <r>
    <x v="4"/>
  </r>
  <r>
    <x v="12"/>
  </r>
  <r>
    <x v="14"/>
  </r>
  <r>
    <x v="12"/>
  </r>
  <r>
    <x v="14"/>
  </r>
  <r>
    <x v="0"/>
  </r>
  <r>
    <x v="37"/>
  </r>
  <r>
    <x v="0"/>
  </r>
  <r>
    <x v="7"/>
  </r>
  <r>
    <x v="11"/>
  </r>
  <r>
    <x v="11"/>
  </r>
  <r>
    <x v="37"/>
  </r>
  <r>
    <x v="12"/>
  </r>
  <r>
    <x v="21"/>
  </r>
  <r>
    <x v="15"/>
  </r>
  <r>
    <x v="15"/>
  </r>
  <r>
    <x v="55"/>
  </r>
  <r>
    <x v="53"/>
  </r>
  <r>
    <x v="23"/>
  </r>
  <r>
    <x v="9"/>
  </r>
  <r>
    <x v="2"/>
  </r>
  <r>
    <x v="0"/>
  </r>
  <r>
    <x v="0"/>
  </r>
  <r>
    <x v="6"/>
  </r>
  <r>
    <x v="0"/>
  </r>
  <r>
    <x v="19"/>
  </r>
  <r>
    <x v="9"/>
  </r>
  <r>
    <x v="14"/>
  </r>
  <r>
    <x v="4"/>
  </r>
  <r>
    <x v="12"/>
  </r>
  <r>
    <x v="4"/>
  </r>
  <r>
    <x v="4"/>
  </r>
  <r>
    <x v="17"/>
  </r>
  <r>
    <x v="0"/>
  </r>
  <r>
    <x v="14"/>
  </r>
  <r>
    <x v="14"/>
  </r>
  <r>
    <x v="0"/>
  </r>
  <r>
    <x v="48"/>
  </r>
  <r>
    <x v="45"/>
  </r>
  <r>
    <x v="45"/>
  </r>
  <r>
    <x v="10"/>
  </r>
  <r>
    <x v="1"/>
  </r>
  <r>
    <x v="14"/>
  </r>
  <r>
    <x v="77"/>
  </r>
  <r>
    <x v="28"/>
  </r>
  <r>
    <x v="4"/>
  </r>
  <r>
    <x v="2"/>
  </r>
  <r>
    <x v="10"/>
  </r>
  <r>
    <x v="10"/>
  </r>
  <r>
    <x v="9"/>
  </r>
  <r>
    <x v="9"/>
  </r>
  <r>
    <x v="115"/>
  </r>
  <r>
    <x v="28"/>
  </r>
  <r>
    <x v="4"/>
  </r>
  <r>
    <x v="0"/>
  </r>
  <r>
    <x v="14"/>
  </r>
  <r>
    <x v="8"/>
  </r>
  <r>
    <x v="17"/>
  </r>
  <r>
    <x v="24"/>
  </r>
  <r>
    <x v="28"/>
  </r>
  <r>
    <x v="28"/>
  </r>
  <r>
    <x v="28"/>
  </r>
  <r>
    <x v="49"/>
  </r>
  <r>
    <x v="0"/>
  </r>
  <r>
    <x v="4"/>
  </r>
  <r>
    <x v="14"/>
  </r>
  <r>
    <x v="34"/>
  </r>
  <r>
    <x v="39"/>
  </r>
  <r>
    <x v="0"/>
  </r>
  <r>
    <x v="24"/>
  </r>
  <r>
    <x v="11"/>
  </r>
  <r>
    <x v="1"/>
  </r>
  <r>
    <x v="0"/>
  </r>
  <r>
    <x v="1"/>
  </r>
  <r>
    <x v="12"/>
  </r>
  <r>
    <x v="12"/>
  </r>
  <r>
    <x v="21"/>
  </r>
  <r>
    <x v="21"/>
  </r>
  <r>
    <x v="4"/>
  </r>
  <r>
    <x v="0"/>
  </r>
  <r>
    <x v="45"/>
  </r>
  <r>
    <x v="0"/>
  </r>
  <r>
    <x v="23"/>
  </r>
  <r>
    <x v="23"/>
  </r>
  <r>
    <x v="14"/>
  </r>
  <r>
    <x v="4"/>
  </r>
  <r>
    <x v="11"/>
  </r>
  <r>
    <x v="4"/>
  </r>
  <r>
    <x v="12"/>
  </r>
  <r>
    <x v="17"/>
  </r>
  <r>
    <x v="11"/>
  </r>
  <r>
    <x v="17"/>
  </r>
  <r>
    <x v="17"/>
  </r>
  <r>
    <x v="34"/>
  </r>
  <r>
    <x v="34"/>
  </r>
  <r>
    <x v="45"/>
  </r>
  <r>
    <x v="0"/>
  </r>
  <r>
    <x v="0"/>
  </r>
  <r>
    <x v="0"/>
  </r>
  <r>
    <x v="0"/>
  </r>
  <r>
    <x v="0"/>
  </r>
  <r>
    <x v="45"/>
  </r>
  <r>
    <x v="45"/>
  </r>
  <r>
    <x v="21"/>
  </r>
  <r>
    <x v="16"/>
  </r>
  <r>
    <x v="39"/>
  </r>
  <r>
    <x v="0"/>
  </r>
  <r>
    <x v="6"/>
  </r>
  <r>
    <x v="6"/>
  </r>
  <r>
    <x v="6"/>
  </r>
  <r>
    <x v="17"/>
  </r>
  <r>
    <x v="4"/>
  </r>
  <r>
    <x v="19"/>
  </r>
  <r>
    <x v="4"/>
  </r>
  <r>
    <x v="71"/>
  </r>
  <r>
    <x v="14"/>
  </r>
  <r>
    <x v="17"/>
  </r>
  <r>
    <x v="17"/>
  </r>
  <r>
    <x v="26"/>
  </r>
  <r>
    <x v="14"/>
  </r>
  <r>
    <x v="14"/>
  </r>
  <r>
    <x v="17"/>
  </r>
  <r>
    <x v="14"/>
  </r>
  <r>
    <x v="14"/>
  </r>
  <r>
    <x v="17"/>
  </r>
  <r>
    <x v="14"/>
  </r>
  <r>
    <x v="17"/>
  </r>
  <r>
    <x v="49"/>
  </r>
  <r>
    <x v="55"/>
  </r>
  <r>
    <x v="55"/>
  </r>
  <r>
    <x v="55"/>
  </r>
  <r>
    <x v="0"/>
  </r>
  <r>
    <x v="17"/>
  </r>
  <r>
    <x v="8"/>
  </r>
  <r>
    <x v="21"/>
  </r>
  <r>
    <x v="21"/>
  </r>
  <r>
    <x v="17"/>
  </r>
  <r>
    <x v="17"/>
  </r>
  <r>
    <x v="17"/>
  </r>
  <r>
    <x v="8"/>
  </r>
  <r>
    <x v="34"/>
  </r>
  <r>
    <x v="34"/>
  </r>
  <r>
    <x v="78"/>
  </r>
  <r>
    <x v="17"/>
  </r>
  <r>
    <x v="17"/>
  </r>
  <r>
    <x v="17"/>
  </r>
  <r>
    <x v="34"/>
  </r>
  <r>
    <x v="16"/>
  </r>
  <r>
    <x v="34"/>
  </r>
  <r>
    <x v="17"/>
  </r>
  <r>
    <x v="17"/>
  </r>
  <r>
    <x v="10"/>
  </r>
  <r>
    <x v="17"/>
  </r>
  <r>
    <x v="17"/>
  </r>
  <r>
    <x v="17"/>
  </r>
  <r>
    <x v="17"/>
  </r>
  <r>
    <x v="8"/>
  </r>
  <r>
    <x v="8"/>
  </r>
  <r>
    <x v="55"/>
  </r>
  <r>
    <x v="31"/>
  </r>
  <r>
    <x v="31"/>
  </r>
  <r>
    <x v="31"/>
  </r>
  <r>
    <x v="31"/>
  </r>
  <r>
    <x v="22"/>
  </r>
  <r>
    <x v="130"/>
  </r>
  <r>
    <x v="12"/>
  </r>
  <r>
    <x v="31"/>
  </r>
  <r>
    <x v="31"/>
  </r>
  <r>
    <x v="31"/>
  </r>
  <r>
    <x v="31"/>
  </r>
  <r>
    <x v="31"/>
  </r>
  <r>
    <x v="55"/>
  </r>
  <r>
    <x v="31"/>
  </r>
  <r>
    <x v="55"/>
  </r>
  <r>
    <x v="39"/>
  </r>
  <r>
    <x v="53"/>
  </r>
  <r>
    <x v="39"/>
  </r>
  <r>
    <x v="39"/>
  </r>
  <r>
    <x v="39"/>
  </r>
  <r>
    <x v="55"/>
  </r>
  <r>
    <x v="55"/>
  </r>
  <r>
    <x v="55"/>
  </r>
  <r>
    <x v="21"/>
  </r>
  <r>
    <x v="14"/>
  </r>
  <r>
    <x v="28"/>
  </r>
  <r>
    <x v="8"/>
  </r>
  <r>
    <x v="8"/>
  </r>
  <r>
    <x v="16"/>
  </r>
  <r>
    <x v="22"/>
  </r>
  <r>
    <x v="28"/>
  </r>
  <r>
    <x v="28"/>
  </r>
  <r>
    <x v="14"/>
  </r>
  <r>
    <x v="28"/>
  </r>
  <r>
    <x v="28"/>
  </r>
  <r>
    <x v="28"/>
  </r>
  <r>
    <x v="28"/>
  </r>
  <r>
    <x v="0"/>
  </r>
  <r>
    <x v="0"/>
  </r>
  <r>
    <x v="37"/>
  </r>
  <r>
    <x v="9"/>
  </r>
  <r>
    <x v="9"/>
  </r>
  <r>
    <x v="0"/>
  </r>
  <r>
    <x v="0"/>
  </r>
  <r>
    <x v="0"/>
  </r>
  <r>
    <x v="0"/>
  </r>
  <r>
    <x v="55"/>
  </r>
  <r>
    <x v="11"/>
  </r>
  <r>
    <x v="12"/>
  </r>
  <r>
    <x v="6"/>
  </r>
  <r>
    <x v="12"/>
  </r>
  <r>
    <x v="12"/>
  </r>
  <r>
    <x v="12"/>
  </r>
  <r>
    <x v="49"/>
  </r>
  <r>
    <x v="6"/>
  </r>
  <r>
    <x v="49"/>
  </r>
  <r>
    <x v="6"/>
  </r>
  <r>
    <x v="6"/>
  </r>
  <r>
    <x v="6"/>
  </r>
  <r>
    <x v="49"/>
  </r>
  <r>
    <x v="6"/>
  </r>
  <r>
    <x v="16"/>
  </r>
  <r>
    <x v="26"/>
  </r>
  <r>
    <x v="14"/>
  </r>
  <r>
    <x v="17"/>
  </r>
  <r>
    <x v="17"/>
  </r>
  <r>
    <x v="17"/>
  </r>
  <r>
    <x v="17"/>
  </r>
  <r>
    <x v="22"/>
  </r>
  <r>
    <x v="17"/>
  </r>
  <r>
    <x v="17"/>
  </r>
  <r>
    <x v="17"/>
  </r>
  <r>
    <x v="17"/>
  </r>
  <r>
    <x v="21"/>
  </r>
  <r>
    <x v="16"/>
  </r>
  <r>
    <x v="46"/>
  </r>
  <r>
    <x v="46"/>
  </r>
  <r>
    <x v="46"/>
  </r>
  <r>
    <x v="46"/>
  </r>
  <r>
    <x v="46"/>
  </r>
  <r>
    <x v="22"/>
  </r>
  <r>
    <x v="14"/>
  </r>
  <r>
    <x v="46"/>
  </r>
  <r>
    <x v="46"/>
  </r>
  <r>
    <x v="16"/>
  </r>
  <r>
    <x v="8"/>
  </r>
  <r>
    <x v="8"/>
  </r>
  <r>
    <x v="48"/>
  </r>
  <r>
    <x v="48"/>
  </r>
  <r>
    <x v="9"/>
  </r>
  <r>
    <x v="17"/>
  </r>
  <r>
    <x v="21"/>
  </r>
  <r>
    <x v="8"/>
  </r>
  <r>
    <x v="8"/>
  </r>
  <r>
    <x v="49"/>
  </r>
  <r>
    <x v="49"/>
  </r>
  <r>
    <x v="9"/>
  </r>
  <r>
    <x v="49"/>
  </r>
  <r>
    <x v="28"/>
  </r>
  <r>
    <x v="49"/>
  </r>
  <r>
    <x v="49"/>
  </r>
  <r>
    <x v="10"/>
  </r>
  <r>
    <x v="10"/>
  </r>
  <r>
    <x v="10"/>
  </r>
  <r>
    <x v="9"/>
  </r>
  <r>
    <x v="9"/>
  </r>
  <r>
    <x v="48"/>
  </r>
  <r>
    <x v="8"/>
  </r>
  <r>
    <x v="10"/>
  </r>
  <r>
    <x v="8"/>
  </r>
  <r>
    <x v="8"/>
  </r>
  <r>
    <x v="8"/>
  </r>
  <r>
    <x v="8"/>
  </r>
  <r>
    <x v="8"/>
  </r>
  <r>
    <x v="22"/>
  </r>
  <r>
    <x v="8"/>
  </r>
  <r>
    <x v="8"/>
  </r>
  <r>
    <x v="49"/>
  </r>
  <r>
    <x v="39"/>
  </r>
  <r>
    <x v="14"/>
  </r>
  <r>
    <x v="14"/>
  </r>
  <r>
    <x v="12"/>
  </r>
  <r>
    <x v="12"/>
  </r>
  <r>
    <x v="14"/>
  </r>
  <r>
    <x v="12"/>
  </r>
  <r>
    <x v="12"/>
  </r>
  <r>
    <x v="12"/>
  </r>
  <r>
    <x v="12"/>
  </r>
  <r>
    <x v="2"/>
  </r>
  <r>
    <x v="2"/>
  </r>
  <r>
    <x v="2"/>
  </r>
  <r>
    <x v="2"/>
  </r>
  <r>
    <x v="21"/>
  </r>
  <r>
    <x v="21"/>
  </r>
  <r>
    <x v="21"/>
  </r>
  <r>
    <x v="0"/>
  </r>
  <r>
    <x v="28"/>
  </r>
  <r>
    <x v="10"/>
  </r>
  <r>
    <x v="10"/>
  </r>
  <r>
    <x v="10"/>
  </r>
  <r>
    <x v="10"/>
  </r>
  <r>
    <x v="10"/>
  </r>
  <r>
    <x v="8"/>
  </r>
  <r>
    <x v="21"/>
  </r>
  <r>
    <x v="4"/>
  </r>
  <r>
    <x v="92"/>
  </r>
  <r>
    <x v="34"/>
  </r>
  <r>
    <x v="34"/>
  </r>
  <r>
    <x v="17"/>
  </r>
  <r>
    <x v="10"/>
  </r>
  <r>
    <x v="10"/>
  </r>
  <r>
    <x v="31"/>
  </r>
  <r>
    <x v="60"/>
  </r>
  <r>
    <x v="0"/>
  </r>
  <r>
    <x v="21"/>
  </r>
  <r>
    <x v="21"/>
  </r>
  <r>
    <x v="32"/>
  </r>
  <r>
    <x v="17"/>
  </r>
  <r>
    <x v="17"/>
  </r>
  <r>
    <x v="17"/>
  </r>
  <r>
    <x v="17"/>
  </r>
  <r>
    <x v="17"/>
  </r>
  <r>
    <x v="32"/>
  </r>
  <r>
    <x v="32"/>
  </r>
  <r>
    <x v="14"/>
  </r>
  <r>
    <x v="55"/>
  </r>
  <r>
    <x v="55"/>
  </r>
  <r>
    <x v="4"/>
  </r>
  <r>
    <x v="55"/>
  </r>
  <r>
    <x v="55"/>
  </r>
  <r>
    <x v="55"/>
  </r>
  <r>
    <x v="55"/>
  </r>
  <r>
    <x v="55"/>
  </r>
  <r>
    <x v="9"/>
  </r>
  <r>
    <x v="17"/>
  </r>
  <r>
    <x v="8"/>
  </r>
  <r>
    <x v="14"/>
  </r>
  <r>
    <x v="49"/>
  </r>
  <r>
    <x v="8"/>
  </r>
  <r>
    <x v="9"/>
  </r>
  <r>
    <x v="14"/>
  </r>
  <r>
    <x v="14"/>
  </r>
  <r>
    <x v="14"/>
  </r>
  <r>
    <x v="21"/>
  </r>
  <r>
    <x v="21"/>
  </r>
  <r>
    <x v="30"/>
  </r>
  <r>
    <x v="32"/>
  </r>
  <r>
    <x v="17"/>
  </r>
  <r>
    <x v="33"/>
  </r>
  <r>
    <x v="33"/>
  </r>
  <r>
    <x v="28"/>
  </r>
  <r>
    <x v="28"/>
  </r>
  <r>
    <x v="28"/>
  </r>
  <r>
    <x v="28"/>
  </r>
  <r>
    <x v="67"/>
  </r>
  <r>
    <x v="67"/>
  </r>
  <r>
    <x v="67"/>
  </r>
  <r>
    <x v="67"/>
  </r>
  <r>
    <x v="14"/>
  </r>
  <r>
    <x v="14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5"/>
  </r>
  <r>
    <x v="55"/>
  </r>
  <r>
    <x v="55"/>
  </r>
  <r>
    <x v="22"/>
  </r>
  <r>
    <x v="55"/>
  </r>
  <r>
    <x v="55"/>
  </r>
  <r>
    <x v="10"/>
  </r>
  <r>
    <x v="68"/>
  </r>
  <r>
    <x v="68"/>
  </r>
  <r>
    <x v="68"/>
  </r>
  <r>
    <x v="68"/>
  </r>
  <r>
    <x v="68"/>
  </r>
  <r>
    <x v="11"/>
  </r>
  <r>
    <x v="11"/>
  </r>
  <r>
    <x v="4"/>
  </r>
  <r>
    <x v="22"/>
  </r>
  <r>
    <x v="55"/>
  </r>
  <r>
    <x v="55"/>
  </r>
  <r>
    <x v="24"/>
  </r>
  <r>
    <x v="24"/>
  </r>
  <r>
    <x v="14"/>
  </r>
  <r>
    <x v="14"/>
  </r>
  <r>
    <x v="12"/>
  </r>
  <r>
    <x v="37"/>
  </r>
  <r>
    <x v="9"/>
  </r>
  <r>
    <x v="22"/>
  </r>
  <r>
    <x v="21"/>
  </r>
  <r>
    <x v="17"/>
  </r>
  <r>
    <x v="49"/>
  </r>
  <r>
    <x v="49"/>
  </r>
  <r>
    <x v="49"/>
  </r>
  <r>
    <x v="49"/>
  </r>
  <r>
    <x v="17"/>
  </r>
  <r>
    <x v="17"/>
  </r>
  <r>
    <x v="17"/>
  </r>
  <r>
    <x v="17"/>
  </r>
  <r>
    <x v="14"/>
  </r>
  <r>
    <x v="14"/>
  </r>
  <r>
    <x v="10"/>
  </r>
  <r>
    <x v="10"/>
  </r>
  <r>
    <x v="14"/>
  </r>
  <r>
    <x v="24"/>
  </r>
  <r>
    <x v="55"/>
  </r>
  <r>
    <x v="8"/>
  </r>
  <r>
    <x v="9"/>
  </r>
  <r>
    <x v="9"/>
  </r>
  <r>
    <x v="11"/>
  </r>
  <r>
    <x v="14"/>
  </r>
  <r>
    <x v="9"/>
  </r>
  <r>
    <x v="7"/>
  </r>
  <r>
    <x v="7"/>
  </r>
  <r>
    <x v="4"/>
  </r>
  <r>
    <x v="4"/>
  </r>
  <r>
    <x v="4"/>
  </r>
  <r>
    <x v="4"/>
  </r>
  <r>
    <x v="4"/>
  </r>
  <r>
    <x v="4"/>
  </r>
  <r>
    <x v="12"/>
  </r>
  <r>
    <x v="12"/>
  </r>
  <r>
    <x v="10"/>
  </r>
  <r>
    <x v="7"/>
  </r>
  <r>
    <x v="31"/>
  </r>
  <r>
    <x v="31"/>
  </r>
  <r>
    <x v="10"/>
  </r>
  <r>
    <x v="0"/>
  </r>
  <r>
    <x v="22"/>
  </r>
  <r>
    <x v="19"/>
  </r>
  <r>
    <x v="34"/>
  </r>
  <r>
    <x v="0"/>
  </r>
  <r>
    <x v="11"/>
  </r>
  <r>
    <x v="31"/>
  </r>
  <r>
    <x v="37"/>
  </r>
  <r>
    <x v="10"/>
  </r>
  <r>
    <x v="39"/>
  </r>
  <r>
    <x v="12"/>
  </r>
  <r>
    <x v="39"/>
  </r>
  <r>
    <x v="4"/>
  </r>
  <r>
    <x v="4"/>
  </r>
  <r>
    <x v="4"/>
  </r>
  <r>
    <x v="0"/>
  </r>
  <r>
    <x v="6"/>
  </r>
  <r>
    <x v="9"/>
  </r>
  <r>
    <x v="17"/>
  </r>
  <r>
    <x v="0"/>
  </r>
  <r>
    <x v="2"/>
  </r>
  <r>
    <x v="12"/>
  </r>
  <r>
    <x v="10"/>
  </r>
  <r>
    <x v="10"/>
  </r>
  <r>
    <x v="4"/>
  </r>
  <r>
    <x v="4"/>
  </r>
  <r>
    <x v="9"/>
  </r>
  <r>
    <x v="0"/>
  </r>
  <r>
    <x v="0"/>
  </r>
  <r>
    <x v="21"/>
  </r>
  <r>
    <x v="14"/>
  </r>
  <r>
    <x v="48"/>
  </r>
  <r>
    <x v="28"/>
  </r>
  <r>
    <x v="28"/>
  </r>
  <r>
    <x v="33"/>
  </r>
  <r>
    <x v="33"/>
  </r>
  <r>
    <x v="4"/>
  </r>
  <r>
    <x v="4"/>
  </r>
  <r>
    <x v="4"/>
  </r>
  <r>
    <x v="4"/>
  </r>
  <r>
    <x v="57"/>
  </r>
  <r>
    <x v="34"/>
  </r>
  <r>
    <x v="17"/>
  </r>
  <r>
    <x v="12"/>
  </r>
  <r>
    <x v="4"/>
  </r>
  <r>
    <x v="4"/>
  </r>
  <r>
    <x v="10"/>
  </r>
  <r>
    <x v="10"/>
  </r>
  <r>
    <x v="4"/>
  </r>
  <r>
    <x v="4"/>
  </r>
  <r>
    <x v="4"/>
  </r>
  <r>
    <x v="49"/>
  </r>
  <r>
    <x v="14"/>
  </r>
  <r>
    <x v="48"/>
  </r>
  <r>
    <x v="10"/>
  </r>
  <r>
    <x v="12"/>
  </r>
  <r>
    <x v="16"/>
  </r>
  <r>
    <x v="16"/>
  </r>
  <r>
    <x v="16"/>
  </r>
  <r>
    <x v="16"/>
  </r>
  <r>
    <x v="49"/>
  </r>
  <r>
    <x v="53"/>
  </r>
  <r>
    <x v="17"/>
  </r>
  <r>
    <x v="17"/>
  </r>
  <r>
    <x v="10"/>
  </r>
  <r>
    <x v="0"/>
  </r>
  <r>
    <x v="10"/>
  </r>
  <r>
    <x v="10"/>
  </r>
  <r>
    <x v="17"/>
  </r>
  <r>
    <x v="46"/>
  </r>
  <r>
    <x v="14"/>
  </r>
  <r>
    <x v="49"/>
  </r>
  <r>
    <x v="37"/>
  </r>
  <r>
    <x v="4"/>
  </r>
  <r>
    <x v="10"/>
  </r>
  <r>
    <x v="11"/>
  </r>
  <r>
    <x v="17"/>
  </r>
  <r>
    <x v="2"/>
  </r>
  <r>
    <x v="16"/>
  </r>
  <r>
    <x v="12"/>
  </r>
  <r>
    <x v="10"/>
  </r>
  <r>
    <x v="78"/>
  </r>
  <r>
    <x v="37"/>
  </r>
  <r>
    <x v="11"/>
  </r>
  <r>
    <x v="4"/>
  </r>
  <r>
    <x v="10"/>
  </r>
  <r>
    <x v="31"/>
  </r>
  <r>
    <x v="28"/>
  </r>
  <r>
    <x v="17"/>
  </r>
  <r>
    <x v="4"/>
  </r>
  <r>
    <x v="31"/>
  </r>
  <r>
    <x v="17"/>
  </r>
  <r>
    <x v="4"/>
  </r>
  <r>
    <x v="10"/>
  </r>
  <r>
    <x v="17"/>
  </r>
  <r>
    <x v="68"/>
  </r>
  <r>
    <x v="10"/>
  </r>
  <r>
    <x v="0"/>
  </r>
  <r>
    <x v="0"/>
  </r>
  <r>
    <x v="17"/>
  </r>
  <r>
    <x v="63"/>
  </r>
  <r>
    <x v="2"/>
  </r>
  <r>
    <x v="9"/>
  </r>
  <r>
    <x v="4"/>
  </r>
  <r>
    <x v="21"/>
  </r>
  <r>
    <x v="2"/>
  </r>
  <r>
    <x v="22"/>
  </r>
  <r>
    <x v="0"/>
  </r>
  <r>
    <x v="31"/>
  </r>
  <r>
    <x v="2"/>
  </r>
  <r>
    <x v="0"/>
  </r>
  <r>
    <x v="21"/>
  </r>
  <r>
    <x v="53"/>
  </r>
  <r>
    <x v="37"/>
  </r>
  <r>
    <x v="2"/>
  </r>
  <r>
    <x v="21"/>
  </r>
  <r>
    <x v="49"/>
  </r>
  <r>
    <x v="4"/>
  </r>
  <r>
    <x v="4"/>
  </r>
  <r>
    <x v="10"/>
  </r>
  <r>
    <x v="4"/>
  </r>
  <r>
    <x v="4"/>
  </r>
  <r>
    <x v="0"/>
  </r>
  <r>
    <x v="21"/>
  </r>
  <r>
    <x v="0"/>
  </r>
  <r>
    <x v="0"/>
  </r>
  <r>
    <x v="16"/>
  </r>
  <r>
    <x v="12"/>
  </r>
  <r>
    <x v="0"/>
  </r>
  <r>
    <x v="17"/>
  </r>
  <r>
    <x v="12"/>
  </r>
  <r>
    <x v="30"/>
  </r>
  <r>
    <x v="33"/>
  </r>
  <r>
    <x v="17"/>
  </r>
  <r>
    <x v="2"/>
  </r>
  <r>
    <x v="24"/>
  </r>
  <r>
    <x v="12"/>
  </r>
  <r>
    <x v="24"/>
  </r>
  <r>
    <x v="12"/>
  </r>
  <r>
    <x v="42"/>
  </r>
  <r>
    <x v="45"/>
  </r>
  <r>
    <x v="4"/>
  </r>
  <r>
    <x v="9"/>
  </r>
  <r>
    <x v="10"/>
  </r>
  <r>
    <x v="55"/>
  </r>
  <r>
    <x v="12"/>
  </r>
  <r>
    <x v="12"/>
  </r>
  <r>
    <x v="37"/>
  </r>
  <r>
    <x v="37"/>
  </r>
  <r>
    <x v="42"/>
  </r>
  <r>
    <x v="37"/>
  </r>
  <r>
    <x v="42"/>
  </r>
  <r>
    <x v="10"/>
  </r>
  <r>
    <x v="16"/>
  </r>
  <r>
    <x v="43"/>
  </r>
  <r>
    <x v="16"/>
  </r>
  <r>
    <x v="10"/>
  </r>
  <r>
    <x v="0"/>
  </r>
  <r>
    <x v="28"/>
  </r>
  <r>
    <x v="14"/>
  </r>
  <r>
    <x v="9"/>
  </r>
  <r>
    <x v="8"/>
  </r>
  <r>
    <x v="0"/>
  </r>
  <r>
    <x v="10"/>
  </r>
  <r>
    <x v="0"/>
  </r>
  <r>
    <x v="17"/>
  </r>
  <r>
    <x v="7"/>
  </r>
  <r>
    <x v="12"/>
  </r>
  <r>
    <x v="14"/>
  </r>
  <r>
    <x v="4"/>
  </r>
  <r>
    <x v="4"/>
  </r>
  <r>
    <x v="1"/>
  </r>
  <r>
    <x v="14"/>
  </r>
  <r>
    <x v="14"/>
  </r>
  <r>
    <x v="14"/>
  </r>
  <r>
    <x v="0"/>
  </r>
  <r>
    <x v="10"/>
  </r>
  <r>
    <x v="33"/>
  </r>
  <r>
    <x v="9"/>
  </r>
  <r>
    <x v="1"/>
  </r>
  <r>
    <x v="16"/>
  </r>
  <r>
    <x v="152"/>
  </r>
  <r>
    <x v="71"/>
  </r>
  <r>
    <x v="72"/>
  </r>
  <r>
    <x v="72"/>
  </r>
  <r>
    <x v="9"/>
  </r>
  <r>
    <x v="39"/>
  </r>
  <r>
    <x v="10"/>
  </r>
  <r>
    <x v="10"/>
  </r>
  <r>
    <x v="22"/>
  </r>
  <r>
    <x v="11"/>
  </r>
  <r>
    <x v="2"/>
  </r>
  <r>
    <x v="12"/>
  </r>
  <r>
    <x v="14"/>
  </r>
  <r>
    <x v="14"/>
  </r>
  <r>
    <x v="17"/>
  </r>
  <r>
    <x v="28"/>
  </r>
  <r>
    <x v="4"/>
  </r>
  <r>
    <x v="6"/>
  </r>
  <r>
    <x v="6"/>
  </r>
  <r>
    <x v="11"/>
  </r>
  <r>
    <x v="12"/>
  </r>
  <r>
    <x v="4"/>
  </r>
  <r>
    <x v="4"/>
  </r>
  <r>
    <x v="11"/>
  </r>
  <r>
    <x v="12"/>
  </r>
  <r>
    <x v="39"/>
  </r>
  <r>
    <x v="39"/>
  </r>
  <r>
    <x v="12"/>
  </r>
  <r>
    <x v="11"/>
  </r>
  <r>
    <x v="273"/>
  </r>
  <r>
    <x v="9"/>
  </r>
  <r>
    <x v="28"/>
  </r>
  <r>
    <x v="52"/>
  </r>
  <r>
    <x v="16"/>
  </r>
  <r>
    <x v="68"/>
  </r>
  <r>
    <x v="11"/>
  </r>
  <r>
    <x v="16"/>
  </r>
  <r>
    <x v="9"/>
  </r>
  <r>
    <x v="19"/>
  </r>
  <r>
    <x v="7"/>
  </r>
  <r>
    <x v="285"/>
  </r>
  <r>
    <x v="7"/>
  </r>
  <r>
    <x v="0"/>
  </r>
  <r>
    <x v="15"/>
  </r>
  <r>
    <x v="7"/>
  </r>
  <r>
    <x v="14"/>
  </r>
  <r>
    <x v="70"/>
  </r>
  <r>
    <x v="10"/>
  </r>
  <r>
    <x v="53"/>
  </r>
  <r>
    <x v="39"/>
  </r>
  <r>
    <x v="0"/>
  </r>
  <r>
    <x v="17"/>
  </r>
  <r>
    <x v="33"/>
  </r>
  <r>
    <x v="39"/>
  </r>
  <r>
    <x v="0"/>
  </r>
  <r>
    <x v="16"/>
  </r>
  <r>
    <x v="17"/>
  </r>
  <r>
    <x v="2"/>
  </r>
  <r>
    <x v="12"/>
  </r>
  <r>
    <x v="16"/>
  </r>
  <r>
    <x v="4"/>
  </r>
  <r>
    <x v="42"/>
  </r>
  <r>
    <x v="11"/>
  </r>
  <r>
    <x v="0"/>
  </r>
  <r>
    <x v="0"/>
  </r>
  <r>
    <x v="11"/>
  </r>
  <r>
    <x v="37"/>
  </r>
  <r>
    <x v="10"/>
  </r>
  <r>
    <x v="39"/>
  </r>
  <r>
    <x v="4"/>
  </r>
  <r>
    <x v="40"/>
  </r>
  <r>
    <x v="4"/>
  </r>
  <r>
    <x v="24"/>
  </r>
  <r>
    <x v="2"/>
  </r>
  <r>
    <x v="30"/>
  </r>
  <r>
    <x v="6"/>
  </r>
  <r>
    <x v="15"/>
  </r>
  <r>
    <x v="10"/>
  </r>
  <r>
    <x v="16"/>
  </r>
  <r>
    <x v="58"/>
  </r>
  <r>
    <x v="74"/>
  </r>
  <r>
    <x v="58"/>
  </r>
  <r>
    <x v="58"/>
  </r>
  <r>
    <x v="74"/>
  </r>
  <r>
    <x v="46"/>
  </r>
  <r>
    <x v="8"/>
  </r>
  <r>
    <x v="12"/>
  </r>
  <r>
    <x v="12"/>
  </r>
  <r>
    <x v="1"/>
  </r>
  <r>
    <x v="14"/>
  </r>
  <r>
    <x v="14"/>
  </r>
  <r>
    <x v="14"/>
  </r>
  <r>
    <x v="17"/>
  </r>
  <r>
    <x v="7"/>
  </r>
  <r>
    <x v="7"/>
  </r>
  <r>
    <x v="12"/>
  </r>
  <r>
    <x v="16"/>
  </r>
  <r>
    <x v="16"/>
  </r>
  <r>
    <x v="16"/>
  </r>
  <r>
    <x v="7"/>
  </r>
  <r>
    <x v="7"/>
  </r>
  <r>
    <x v="1"/>
  </r>
  <r>
    <x v="1"/>
  </r>
  <r>
    <x v="16"/>
  </r>
  <r>
    <x v="28"/>
  </r>
  <r>
    <x v="28"/>
  </r>
  <r>
    <x v="16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42"/>
  </r>
  <r>
    <x v="42"/>
  </r>
  <r>
    <x v="28"/>
  </r>
  <r>
    <x v="11"/>
  </r>
  <r>
    <x v="68"/>
  </r>
  <r>
    <x v="4"/>
  </r>
  <r>
    <x v="0"/>
  </r>
  <r>
    <x v="57"/>
  </r>
  <r>
    <x v="4"/>
  </r>
  <r>
    <x v="34"/>
  </r>
  <r>
    <x v="69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15"/>
  </r>
  <r>
    <x v="115"/>
  </r>
  <r>
    <x v="115"/>
  </r>
  <r>
    <x v="16"/>
  </r>
  <r>
    <x v="115"/>
  </r>
  <r>
    <x v="115"/>
  </r>
  <r>
    <x v="115"/>
  </r>
  <r>
    <x v="16"/>
  </r>
  <r>
    <x v="16"/>
  </r>
  <r>
    <x v="16"/>
  </r>
  <r>
    <x v="28"/>
  </r>
  <r>
    <x v="37"/>
  </r>
  <r>
    <x v="57"/>
  </r>
  <r>
    <x v="42"/>
  </r>
  <r>
    <x v="16"/>
  </r>
  <r>
    <x v="0"/>
  </r>
  <r>
    <x v="37"/>
  </r>
  <r>
    <x v="21"/>
  </r>
  <r>
    <x v="57"/>
  </r>
  <r>
    <x v="1"/>
  </r>
  <r>
    <x v="11"/>
  </r>
  <r>
    <x v="28"/>
  </r>
  <r>
    <x v="16"/>
  </r>
  <r>
    <x v="115"/>
  </r>
  <r>
    <x v="7"/>
  </r>
  <r>
    <x v="14"/>
  </r>
  <r>
    <x v="0"/>
  </r>
  <r>
    <x v="0"/>
  </r>
  <r>
    <x v="12"/>
  </r>
  <r>
    <x v="163"/>
  </r>
  <r>
    <x v="163"/>
  </r>
  <r>
    <x v="163"/>
  </r>
  <r>
    <x v="21"/>
  </r>
  <r>
    <x v="64"/>
  </r>
  <r>
    <x v="64"/>
  </r>
  <r>
    <x v="12"/>
  </r>
  <r>
    <x v="9"/>
  </r>
  <r>
    <x v="1"/>
  </r>
  <r>
    <x v="14"/>
  </r>
  <r>
    <x v="14"/>
  </r>
  <r>
    <x v="0"/>
  </r>
  <r>
    <x v="0"/>
  </r>
  <r>
    <x v="28"/>
  </r>
  <r>
    <x v="28"/>
  </r>
  <r>
    <x v="10"/>
  </r>
  <r>
    <x v="42"/>
  </r>
  <r>
    <x v="64"/>
  </r>
  <r>
    <x v="16"/>
  </r>
  <r>
    <x v="42"/>
  </r>
  <r>
    <x v="62"/>
  </r>
  <r>
    <x v="0"/>
  </r>
  <r>
    <x v="0"/>
  </r>
  <r>
    <x v="42"/>
  </r>
  <r>
    <x v="42"/>
  </r>
  <r>
    <x v="42"/>
  </r>
  <r>
    <x v="16"/>
  </r>
  <r>
    <x v="16"/>
  </r>
  <r>
    <x v="21"/>
  </r>
  <r>
    <x v="12"/>
  </r>
  <r>
    <x v="9"/>
  </r>
  <r>
    <x v="12"/>
  </r>
  <r>
    <x v="16"/>
  </r>
  <r>
    <x v="16"/>
  </r>
  <r>
    <x v="16"/>
  </r>
  <r>
    <x v="57"/>
  </r>
  <r>
    <x v="16"/>
  </r>
  <r>
    <x v="14"/>
  </r>
  <r>
    <x v="10"/>
  </r>
  <r>
    <x v="16"/>
  </r>
  <r>
    <x v="34"/>
  </r>
  <r>
    <x v="34"/>
  </r>
  <r>
    <x v="9"/>
  </r>
  <r>
    <x v="12"/>
  </r>
  <r>
    <x v="1"/>
  </r>
  <r>
    <x v="28"/>
  </r>
  <r>
    <x v="28"/>
  </r>
  <r>
    <x v="14"/>
  </r>
  <r>
    <x v="24"/>
  </r>
  <r>
    <x v="9"/>
  </r>
  <r>
    <x v="42"/>
  </r>
  <r>
    <x v="16"/>
  </r>
  <r>
    <x v="9"/>
  </r>
  <r>
    <x v="143"/>
  </r>
  <r>
    <x v="39"/>
  </r>
  <r>
    <x v="39"/>
  </r>
  <r>
    <x v="39"/>
  </r>
  <r>
    <x v="39"/>
  </r>
  <r>
    <x v="39"/>
  </r>
  <r>
    <x v="16"/>
  </r>
  <r>
    <x v="42"/>
  </r>
  <r>
    <x v="34"/>
  </r>
  <r>
    <x v="34"/>
  </r>
  <r>
    <x v="34"/>
  </r>
  <r>
    <x v="1"/>
  </r>
  <r>
    <x v="42"/>
  </r>
  <r>
    <x v="16"/>
  </r>
  <r>
    <x v="19"/>
  </r>
  <r>
    <x v="0"/>
  </r>
  <r>
    <x v="8"/>
  </r>
  <r>
    <x v="28"/>
  </r>
  <r>
    <x v="53"/>
  </r>
  <r>
    <x v="115"/>
  </r>
  <r>
    <x v="4"/>
  </r>
  <r>
    <x v="4"/>
  </r>
  <r>
    <x v="0"/>
  </r>
  <r>
    <x v="21"/>
  </r>
  <r>
    <x v="12"/>
  </r>
  <r>
    <x v="57"/>
  </r>
  <r>
    <x v="57"/>
  </r>
  <r>
    <x v="57"/>
  </r>
  <r>
    <x v="57"/>
  </r>
  <r>
    <x v="57"/>
  </r>
  <r>
    <x v="115"/>
  </r>
  <r>
    <x v="16"/>
  </r>
  <r>
    <x v="21"/>
  </r>
  <r>
    <x v="64"/>
  </r>
  <r>
    <x v="64"/>
  </r>
  <r>
    <x v="2"/>
  </r>
  <r>
    <x v="42"/>
  </r>
  <r>
    <x v="131"/>
  </r>
  <r>
    <x v="1"/>
  </r>
  <r>
    <x v="1"/>
  </r>
  <r>
    <x v="16"/>
  </r>
  <r>
    <x v="16"/>
  </r>
  <r>
    <x v="16"/>
  </r>
  <r>
    <x v="1"/>
  </r>
  <r>
    <x v="1"/>
  </r>
  <r>
    <x v="16"/>
  </r>
  <r>
    <x v="57"/>
  </r>
  <r>
    <x v="184"/>
  </r>
  <r>
    <x v="14"/>
  </r>
  <r>
    <x v="14"/>
  </r>
  <r>
    <x v="28"/>
  </r>
  <r>
    <x v="28"/>
  </r>
  <r>
    <x v="9"/>
  </r>
  <r>
    <x v="12"/>
  </r>
  <r>
    <x v="28"/>
  </r>
  <r>
    <x v="33"/>
  </r>
  <r>
    <x v="12"/>
  </r>
  <r>
    <x v="68"/>
  </r>
  <r>
    <x v="114"/>
  </r>
  <r>
    <x v="10"/>
  </r>
  <r>
    <x v="42"/>
  </r>
  <r>
    <x v="68"/>
  </r>
  <r>
    <x v="57"/>
  </r>
  <r>
    <x v="8"/>
  </r>
  <r>
    <x v="8"/>
  </r>
  <r>
    <x v="42"/>
  </r>
  <r>
    <x v="183"/>
  </r>
  <r>
    <x v="76"/>
  </r>
  <r>
    <x v="16"/>
  </r>
  <r>
    <x v="57"/>
  </r>
  <r>
    <x v="16"/>
  </r>
  <r>
    <x v="16"/>
  </r>
  <r>
    <x v="8"/>
  </r>
  <r>
    <x v="12"/>
  </r>
  <r>
    <x v="15"/>
  </r>
  <r>
    <x v="12"/>
  </r>
  <r>
    <x v="46"/>
  </r>
  <r>
    <x v="46"/>
  </r>
  <r>
    <x v="21"/>
  </r>
  <r>
    <x v="8"/>
  </r>
  <r>
    <x v="8"/>
  </r>
  <r>
    <x v="53"/>
  </r>
  <r>
    <x v="12"/>
  </r>
  <r>
    <x v="0"/>
  </r>
  <r>
    <x v="68"/>
  </r>
  <r>
    <x v="42"/>
  </r>
  <r>
    <x v="16"/>
  </r>
  <r>
    <x v="12"/>
  </r>
  <r>
    <x v="14"/>
  </r>
  <r>
    <x v="14"/>
  </r>
  <r>
    <x v="11"/>
  </r>
  <r>
    <x v="11"/>
  </r>
  <r>
    <x v="12"/>
  </r>
  <r>
    <x v="42"/>
  </r>
  <r>
    <x v="1"/>
  </r>
  <r>
    <x v="78"/>
  </r>
  <r>
    <x v="78"/>
  </r>
  <r>
    <x v="78"/>
  </r>
  <r>
    <x v="28"/>
  </r>
  <r>
    <x v="28"/>
  </r>
  <r>
    <x v="28"/>
  </r>
  <r>
    <x v="4"/>
  </r>
  <r>
    <x v="4"/>
  </r>
  <r>
    <x v="31"/>
  </r>
  <r>
    <x v="16"/>
  </r>
  <r>
    <x v="7"/>
  </r>
  <r>
    <x v="16"/>
  </r>
  <r>
    <x v="28"/>
  </r>
  <r>
    <x v="28"/>
  </r>
  <r>
    <x v="16"/>
  </r>
  <r>
    <x v="27"/>
  </r>
  <r>
    <x v="52"/>
  </r>
  <r>
    <x v="52"/>
  </r>
  <r>
    <x v="52"/>
  </r>
  <r>
    <x v="52"/>
  </r>
  <r>
    <x v="16"/>
  </r>
  <r>
    <x v="45"/>
  </r>
  <r>
    <x v="12"/>
  </r>
  <r>
    <x v="12"/>
  </r>
  <r>
    <x v="143"/>
  </r>
  <r>
    <x v="42"/>
  </r>
  <r>
    <x v="42"/>
  </r>
  <r>
    <x v="42"/>
  </r>
  <r>
    <x v="39"/>
  </r>
  <r>
    <x v="39"/>
  </r>
  <r>
    <x v="39"/>
  </r>
  <r>
    <x v="21"/>
  </r>
  <r>
    <x v="21"/>
  </r>
  <r>
    <x v="12"/>
  </r>
  <r>
    <x v="37"/>
  </r>
  <r>
    <x v="21"/>
  </r>
  <r>
    <x v="12"/>
  </r>
  <r>
    <x v="131"/>
  </r>
  <r>
    <x v="52"/>
  </r>
  <r>
    <x v="1"/>
  </r>
  <r>
    <x v="45"/>
  </r>
  <r>
    <x v="16"/>
  </r>
  <r>
    <x v="42"/>
  </r>
  <r>
    <x v="42"/>
  </r>
  <r>
    <x v="16"/>
  </r>
  <r>
    <x v="2"/>
  </r>
  <r>
    <x v="31"/>
  </r>
  <r>
    <x v="165"/>
  </r>
  <r>
    <x v="15"/>
  </r>
  <r>
    <x v="10"/>
  </r>
  <r>
    <x v="10"/>
  </r>
  <r>
    <x v="10"/>
  </r>
  <r>
    <x v="10"/>
  </r>
  <r>
    <x v="11"/>
  </r>
  <r>
    <x v="64"/>
  </r>
  <r>
    <x v="64"/>
  </r>
  <r>
    <x v="64"/>
  </r>
  <r>
    <x v="64"/>
  </r>
  <r>
    <x v="42"/>
  </r>
  <r>
    <x v="86"/>
  </r>
  <r>
    <x v="1"/>
  </r>
  <r>
    <x v="69"/>
  </r>
  <r>
    <x v="16"/>
  </r>
  <r>
    <x v="2"/>
  </r>
  <r>
    <x v="8"/>
  </r>
  <r>
    <x v="8"/>
  </r>
  <r>
    <x v="16"/>
  </r>
  <r>
    <x v="8"/>
  </r>
  <r>
    <x v="8"/>
  </r>
  <r>
    <x v="8"/>
  </r>
  <r>
    <x v="8"/>
  </r>
  <r>
    <x v="8"/>
  </r>
  <r>
    <x v="42"/>
  </r>
  <r>
    <x v="42"/>
  </r>
  <r>
    <x v="16"/>
  </r>
  <r>
    <x v="16"/>
  </r>
  <r>
    <x v="16"/>
  </r>
  <r>
    <x v="1"/>
  </r>
  <r>
    <x v="14"/>
  </r>
  <r>
    <x v="4"/>
  </r>
  <r>
    <x v="42"/>
  </r>
  <r>
    <x v="42"/>
  </r>
  <r>
    <x v="45"/>
  </r>
  <r>
    <x v="45"/>
  </r>
  <r>
    <x v="4"/>
  </r>
  <r>
    <x v="16"/>
  </r>
  <r>
    <x v="16"/>
  </r>
  <r>
    <x v="2"/>
  </r>
  <r>
    <x v="15"/>
  </r>
  <r>
    <x v="1"/>
  </r>
  <r>
    <x v="42"/>
  </r>
  <r>
    <x v="16"/>
  </r>
  <r>
    <x v="16"/>
  </r>
  <r>
    <x v="39"/>
  </r>
  <r>
    <x v="52"/>
  </r>
  <r>
    <x v="52"/>
  </r>
  <r>
    <x v="52"/>
  </r>
  <r>
    <x v="16"/>
  </r>
  <r>
    <x v="16"/>
  </r>
  <r>
    <x v="16"/>
  </r>
  <r>
    <x v="16"/>
  </r>
  <r>
    <x v="16"/>
  </r>
  <r>
    <x v="16"/>
  </r>
  <r>
    <x v="4"/>
  </r>
  <r>
    <x v="42"/>
  </r>
  <r>
    <x v="42"/>
  </r>
  <r>
    <x v="53"/>
  </r>
  <r>
    <x v="53"/>
  </r>
  <r>
    <x v="53"/>
  </r>
  <r>
    <x v="14"/>
  </r>
  <r>
    <x v="45"/>
  </r>
  <r>
    <x v="57"/>
  </r>
  <r>
    <x v="39"/>
  </r>
  <r>
    <x v="16"/>
  </r>
  <r>
    <x v="17"/>
  </r>
  <r>
    <x v="4"/>
  </r>
  <r>
    <x v="64"/>
  </r>
  <r>
    <x v="64"/>
  </r>
  <r>
    <x v="64"/>
  </r>
  <r>
    <x v="57"/>
  </r>
  <r>
    <x v="57"/>
  </r>
  <r>
    <x v="57"/>
  </r>
  <r>
    <x v="12"/>
  </r>
  <r>
    <x v="46"/>
  </r>
  <r>
    <x v="47"/>
  </r>
  <r>
    <x v="47"/>
  </r>
  <r>
    <x v="47"/>
  </r>
  <r>
    <x v="11"/>
  </r>
  <r>
    <x v="8"/>
  </r>
  <r>
    <x v="8"/>
  </r>
  <r>
    <x v="8"/>
  </r>
  <r>
    <x v="8"/>
  </r>
  <r>
    <x v="52"/>
  </r>
  <r>
    <x v="52"/>
  </r>
  <r>
    <x v="21"/>
  </r>
  <r>
    <x v="21"/>
  </r>
  <r>
    <x v="42"/>
  </r>
  <r>
    <x v="52"/>
  </r>
  <r>
    <x v="155"/>
  </r>
  <r>
    <x v="155"/>
  </r>
  <r>
    <x v="155"/>
  </r>
  <r>
    <x v="0"/>
  </r>
  <r>
    <x v="0"/>
  </r>
  <r>
    <x v="1"/>
  </r>
  <r>
    <x v="12"/>
  </r>
  <r>
    <x v="8"/>
  </r>
  <r>
    <x v="8"/>
  </r>
  <r>
    <x v="8"/>
  </r>
  <r>
    <x v="8"/>
  </r>
  <r>
    <x v="8"/>
  </r>
  <r>
    <x v="0"/>
  </r>
  <r>
    <x v="8"/>
  </r>
  <r>
    <x v="8"/>
  </r>
  <r>
    <x v="14"/>
  </r>
  <r>
    <x v="12"/>
  </r>
  <r>
    <x v="21"/>
  </r>
  <r>
    <x v="8"/>
  </r>
  <r>
    <x v="8"/>
  </r>
  <r>
    <x v="8"/>
  </r>
  <r>
    <x v="0"/>
  </r>
  <r>
    <x v="0"/>
  </r>
  <r>
    <x v="115"/>
  </r>
  <r>
    <x v="9"/>
  </r>
  <r>
    <x v="42"/>
  </r>
  <r>
    <x v="12"/>
  </r>
  <r>
    <x v="52"/>
  </r>
  <r>
    <x v="21"/>
  </r>
  <r>
    <x v="130"/>
  </r>
  <r>
    <x v="16"/>
  </r>
  <r>
    <x v="8"/>
  </r>
  <r>
    <x v="8"/>
  </r>
  <r>
    <x v="8"/>
  </r>
  <r>
    <x v="8"/>
  </r>
  <r>
    <x v="8"/>
  </r>
  <r>
    <x v="21"/>
  </r>
  <r>
    <x v="9"/>
  </r>
  <r>
    <x v="1"/>
  </r>
  <r>
    <x v="45"/>
  </r>
  <r>
    <x v="1"/>
  </r>
  <r>
    <x v="42"/>
  </r>
  <r>
    <x v="42"/>
  </r>
  <r>
    <x v="42"/>
  </r>
  <r>
    <x v="115"/>
  </r>
  <r>
    <x v="1"/>
  </r>
  <r>
    <x v="1"/>
  </r>
  <r>
    <x v="1"/>
  </r>
  <r>
    <x v="14"/>
  </r>
  <r>
    <x v="42"/>
  </r>
  <r>
    <x v="52"/>
  </r>
  <r>
    <x v="4"/>
  </r>
  <r>
    <x v="8"/>
  </r>
  <r>
    <x v="14"/>
  </r>
  <r>
    <x v="16"/>
  </r>
  <r>
    <x v="42"/>
  </r>
  <r>
    <x v="52"/>
  </r>
  <r>
    <x v="52"/>
  </r>
  <r>
    <x v="115"/>
  </r>
  <r>
    <x v="16"/>
  </r>
  <r>
    <x v="16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1"/>
  </r>
  <r>
    <x v="16"/>
  </r>
  <r>
    <x v="28"/>
  </r>
  <r>
    <x v="0"/>
  </r>
  <r>
    <x v="0"/>
  </r>
  <r>
    <x v="37"/>
  </r>
  <r>
    <x v="115"/>
  </r>
  <r>
    <x v="1"/>
  </r>
  <r>
    <x v="115"/>
  </r>
  <r>
    <x v="1"/>
  </r>
  <r>
    <x v="17"/>
  </r>
  <r>
    <x v="1"/>
  </r>
  <r>
    <x v="17"/>
  </r>
  <r>
    <x v="1"/>
  </r>
  <r>
    <x v="17"/>
  </r>
  <r>
    <x v="1"/>
  </r>
  <r>
    <x v="45"/>
  </r>
  <r>
    <x v="57"/>
  </r>
  <r>
    <x v="57"/>
  </r>
  <r>
    <x v="57"/>
  </r>
  <r>
    <x v="57"/>
  </r>
  <r>
    <x v="12"/>
  </r>
  <r>
    <x v="12"/>
  </r>
  <r>
    <x v="52"/>
  </r>
  <r>
    <x v="52"/>
  </r>
  <r>
    <x v="52"/>
  </r>
  <r>
    <x v="52"/>
  </r>
  <r>
    <x v="25"/>
  </r>
  <r>
    <x v="12"/>
  </r>
  <r>
    <x v="12"/>
  </r>
  <r>
    <x v="175"/>
  </r>
  <r>
    <x v="57"/>
  </r>
  <r>
    <x v="39"/>
  </r>
  <r>
    <x v="19"/>
  </r>
  <r>
    <x v="207"/>
  </r>
  <r>
    <x v="163"/>
  </r>
  <r>
    <x v="19"/>
  </r>
  <r>
    <x v="163"/>
  </r>
  <r>
    <x v="19"/>
  </r>
  <r>
    <x v="90"/>
  </r>
  <r>
    <x v="80"/>
  </r>
  <r>
    <x v="80"/>
  </r>
  <r>
    <x v="19"/>
  </r>
  <r>
    <x v="19"/>
  </r>
  <r>
    <x v="11"/>
  </r>
  <r>
    <x v="11"/>
  </r>
  <r>
    <x v="11"/>
  </r>
  <r>
    <x v="48"/>
  </r>
  <r>
    <x v="15"/>
  </r>
  <r>
    <x v="52"/>
  </r>
  <r>
    <x v="52"/>
  </r>
  <r>
    <x v="52"/>
  </r>
  <r>
    <x v="52"/>
  </r>
  <r>
    <x v="52"/>
  </r>
  <r>
    <x v="52"/>
  </r>
  <r>
    <x v="0"/>
  </r>
  <r>
    <x v="0"/>
  </r>
  <r>
    <x v="10"/>
  </r>
  <r>
    <x v="28"/>
  </r>
  <r>
    <x v="28"/>
  </r>
  <r>
    <x v="28"/>
  </r>
  <r>
    <x v="28"/>
  </r>
  <r>
    <x v="15"/>
  </r>
  <r>
    <x v="16"/>
  </r>
  <r>
    <x v="16"/>
  </r>
  <r>
    <x v="42"/>
  </r>
  <r>
    <x v="77"/>
  </r>
  <r>
    <x v="115"/>
  </r>
  <r>
    <x v="9"/>
  </r>
  <r>
    <x v="12"/>
  </r>
  <r>
    <x v="9"/>
  </r>
  <r>
    <x v="69"/>
  </r>
  <r>
    <x v="8"/>
  </r>
  <r>
    <x v="12"/>
  </r>
  <r>
    <x v="12"/>
  </r>
  <r>
    <x v="12"/>
  </r>
  <r>
    <x v="12"/>
  </r>
  <r>
    <x v="115"/>
  </r>
  <r>
    <x v="115"/>
  </r>
  <r>
    <x v="115"/>
  </r>
  <r>
    <x v="115"/>
  </r>
  <r>
    <x v="115"/>
  </r>
  <r>
    <x v="21"/>
  </r>
  <r>
    <x v="52"/>
  </r>
  <r>
    <x v="64"/>
  </r>
  <r>
    <x v="64"/>
  </r>
  <r>
    <x v="57"/>
  </r>
  <r>
    <x v="115"/>
  </r>
  <r>
    <x v="0"/>
  </r>
  <r>
    <x v="4"/>
  </r>
  <r>
    <x v="55"/>
  </r>
  <r>
    <x v="163"/>
  </r>
  <r>
    <x v="163"/>
  </r>
  <r>
    <x v="0"/>
  </r>
  <r>
    <x v="16"/>
  </r>
  <r>
    <x v="11"/>
  </r>
  <r>
    <x v="10"/>
  </r>
  <r>
    <x v="163"/>
  </r>
  <r>
    <x v="163"/>
  </r>
  <r>
    <x v="163"/>
  </r>
  <r>
    <x v="163"/>
  </r>
  <r>
    <x v="163"/>
  </r>
  <r>
    <x v="6"/>
  </r>
  <r>
    <x v="115"/>
  </r>
  <r>
    <x v="115"/>
  </r>
  <r>
    <x v="4"/>
  </r>
  <r>
    <x v="22"/>
  </r>
  <r>
    <x v="30"/>
  </r>
  <r>
    <x v="57"/>
  </r>
  <r>
    <x v="57"/>
  </r>
  <r>
    <x v="1"/>
  </r>
  <r>
    <x v="48"/>
  </r>
  <r>
    <x v="48"/>
  </r>
  <r>
    <x v="10"/>
  </r>
  <r>
    <x v="10"/>
  </r>
  <r>
    <x v="163"/>
  </r>
  <r>
    <x v="42"/>
  </r>
  <r>
    <x v="21"/>
  </r>
  <r>
    <x v="42"/>
  </r>
  <r>
    <x v="42"/>
  </r>
  <r>
    <x v="12"/>
  </r>
  <r>
    <x v="12"/>
  </r>
  <r>
    <x v="77"/>
  </r>
  <r>
    <x v="0"/>
  </r>
  <r>
    <x v="0"/>
  </r>
  <r>
    <x v="0"/>
  </r>
  <r>
    <x v="0"/>
  </r>
  <r>
    <x v="163"/>
  </r>
  <r>
    <x v="155"/>
  </r>
  <r>
    <x v="155"/>
  </r>
  <r>
    <x v="163"/>
  </r>
  <r>
    <x v="163"/>
  </r>
  <r>
    <x v="163"/>
  </r>
  <r>
    <x v="16"/>
  </r>
  <r>
    <x v="16"/>
  </r>
  <r>
    <x v="16"/>
  </r>
  <r>
    <x v="4"/>
  </r>
  <r>
    <x v="7"/>
  </r>
  <r>
    <x v="7"/>
  </r>
  <r>
    <x v="163"/>
  </r>
  <r>
    <x v="42"/>
  </r>
  <r>
    <x v="16"/>
  </r>
  <r>
    <x v="16"/>
  </r>
  <r>
    <x v="163"/>
  </r>
  <r>
    <x v="163"/>
  </r>
  <r>
    <x v="16"/>
  </r>
  <r>
    <x v="78"/>
  </r>
  <r>
    <x v="37"/>
  </r>
  <r>
    <x v="37"/>
  </r>
  <r>
    <x v="12"/>
  </r>
  <r>
    <x v="57"/>
  </r>
  <r>
    <x v="57"/>
  </r>
  <r>
    <x v="163"/>
  </r>
  <r>
    <x v="163"/>
  </r>
  <r>
    <x v="21"/>
  </r>
  <r>
    <x v="143"/>
  </r>
  <r>
    <x v="21"/>
  </r>
  <r>
    <x v="155"/>
  </r>
  <r>
    <x v="0"/>
  </r>
  <r>
    <x v="45"/>
  </r>
  <r>
    <x v="0"/>
  </r>
  <r>
    <x v="14"/>
  </r>
  <r>
    <x v="0"/>
  </r>
  <r>
    <x v="163"/>
  </r>
  <r>
    <x v="19"/>
  </r>
  <r>
    <x v="9"/>
  </r>
  <r>
    <x v="68"/>
  </r>
  <r>
    <x v="24"/>
  </r>
  <r>
    <x v="43"/>
  </r>
  <r>
    <x v="4"/>
  </r>
  <r>
    <x v="42"/>
  </r>
  <r>
    <x v="42"/>
  </r>
  <r>
    <x v="14"/>
  </r>
  <r>
    <x v="14"/>
  </r>
  <r>
    <x v="14"/>
  </r>
  <r>
    <x v="9"/>
  </r>
  <r>
    <x v="8"/>
  </r>
  <r>
    <x v="19"/>
  </r>
  <r>
    <x v="19"/>
  </r>
  <r>
    <x v="42"/>
  </r>
  <r>
    <x v="42"/>
  </r>
  <r>
    <x v="21"/>
  </r>
  <r>
    <x v="0"/>
  </r>
  <r>
    <x v="14"/>
  </r>
  <r>
    <x v="19"/>
  </r>
  <r>
    <x v="19"/>
  </r>
  <r>
    <x v="19"/>
  </r>
  <r>
    <x v="163"/>
  </r>
  <r>
    <x v="163"/>
  </r>
  <r>
    <x v="163"/>
  </r>
  <r>
    <x v="12"/>
  </r>
  <r>
    <x v="143"/>
  </r>
  <r>
    <x v="143"/>
  </r>
  <r>
    <x v="12"/>
  </r>
  <r>
    <x v="12"/>
  </r>
  <r>
    <x v="11"/>
  </r>
  <r>
    <x v="68"/>
  </r>
  <r>
    <x v="52"/>
  </r>
  <r>
    <x v="0"/>
  </r>
  <r>
    <x v="163"/>
  </r>
  <r>
    <x v="4"/>
  </r>
  <r>
    <x v="19"/>
  </r>
  <r>
    <x v="73"/>
  </r>
  <r>
    <x v="19"/>
  </r>
  <r>
    <x v="19"/>
  </r>
  <r>
    <x v="69"/>
  </r>
  <r>
    <x v="84"/>
  </r>
  <r>
    <x v="19"/>
  </r>
  <r>
    <x v="19"/>
  </r>
  <r>
    <x v="12"/>
  </r>
  <r>
    <x v="73"/>
  </r>
  <r>
    <x v="115"/>
  </r>
  <r>
    <x v="115"/>
  </r>
  <r>
    <x v="16"/>
  </r>
  <r>
    <x v="16"/>
  </r>
  <r>
    <x v="16"/>
  </r>
  <r>
    <x v="16"/>
  </r>
  <r>
    <x v="0"/>
  </r>
  <r>
    <x v="0"/>
  </r>
  <r>
    <x v="0"/>
  </r>
  <r>
    <x v="0"/>
  </r>
  <r>
    <x v="0"/>
  </r>
  <r>
    <x v="115"/>
  </r>
  <r>
    <x v="53"/>
  </r>
  <r>
    <x v="0"/>
  </r>
  <r>
    <x v="64"/>
  </r>
  <r>
    <x v="11"/>
  </r>
  <r>
    <x v="64"/>
  </r>
  <r>
    <x v="64"/>
  </r>
  <r>
    <x v="64"/>
  </r>
  <r>
    <x v="64"/>
  </r>
  <r>
    <x v="64"/>
  </r>
  <r>
    <x v="4"/>
  </r>
  <r>
    <x v="18"/>
  </r>
  <r>
    <x v="15"/>
  </r>
  <r>
    <x v="42"/>
  </r>
  <r>
    <x v="45"/>
  </r>
  <r>
    <x v="87"/>
  </r>
  <r>
    <x v="186"/>
  </r>
  <r>
    <x v="87"/>
  </r>
  <r>
    <x v="12"/>
  </r>
  <r>
    <x v="4"/>
  </r>
  <r>
    <x v="115"/>
  </r>
  <r>
    <x v="37"/>
  </r>
  <r>
    <x v="22"/>
  </r>
  <r>
    <x v="14"/>
  </r>
  <r>
    <x v="14"/>
  </r>
  <r>
    <x v="14"/>
  </r>
  <r>
    <x v="10"/>
  </r>
  <r>
    <x v="15"/>
  </r>
  <r>
    <x v="15"/>
  </r>
  <r>
    <x v="0"/>
  </r>
  <r>
    <x v="123"/>
  </r>
  <r>
    <x v="123"/>
  </r>
  <r>
    <x v="123"/>
  </r>
  <r>
    <x v="64"/>
  </r>
  <r>
    <x v="45"/>
  </r>
  <r>
    <x v="45"/>
  </r>
  <r>
    <x v="57"/>
  </r>
  <r>
    <x v="16"/>
  </r>
  <r>
    <x v="16"/>
  </r>
  <r>
    <x v="16"/>
  </r>
  <r>
    <x v="16"/>
  </r>
  <r>
    <x v="16"/>
  </r>
  <r>
    <x v="16"/>
  </r>
  <r>
    <x v="16"/>
  </r>
  <r>
    <x v="57"/>
  </r>
  <r>
    <x v="161"/>
  </r>
  <r>
    <x v="57"/>
  </r>
  <r>
    <x v="16"/>
  </r>
  <r>
    <x v="16"/>
  </r>
  <r>
    <x v="72"/>
  </r>
  <r>
    <x v="72"/>
  </r>
  <r>
    <x v="21"/>
  </r>
  <r>
    <x v="72"/>
  </r>
  <r>
    <x v="21"/>
  </r>
  <r>
    <x v="25"/>
  </r>
  <r>
    <x v="139"/>
  </r>
  <r>
    <x v="21"/>
  </r>
  <r>
    <x v="124"/>
  </r>
  <r>
    <x v="124"/>
  </r>
  <r>
    <x v="124"/>
  </r>
  <r>
    <x v="25"/>
  </r>
  <r>
    <x v="21"/>
  </r>
  <r>
    <x v="12"/>
  </r>
  <r>
    <x v="152"/>
  </r>
  <r>
    <x v="152"/>
  </r>
  <r>
    <x v="152"/>
  </r>
  <r>
    <x v="152"/>
  </r>
  <r>
    <x v="152"/>
  </r>
  <r>
    <x v="8"/>
  </r>
  <r>
    <x v="57"/>
  </r>
  <r>
    <x v="91"/>
  </r>
  <r>
    <x v="21"/>
  </r>
  <r>
    <x v="25"/>
  </r>
  <r>
    <x v="25"/>
  </r>
  <r>
    <x v="76"/>
  </r>
  <r>
    <x v="9"/>
  </r>
  <r>
    <x v="11"/>
  </r>
  <r>
    <x v="11"/>
  </r>
  <r>
    <x v="68"/>
  </r>
  <r>
    <x v="45"/>
  </r>
  <r>
    <x v="57"/>
  </r>
  <r>
    <x v="57"/>
  </r>
  <r>
    <x v="57"/>
  </r>
  <r>
    <x v="112"/>
  </r>
  <r>
    <x v="6"/>
  </r>
  <r>
    <x v="6"/>
  </r>
  <r>
    <x v="12"/>
  </r>
  <r>
    <x v="14"/>
  </r>
  <r>
    <x v="39"/>
  </r>
  <r>
    <x v="12"/>
  </r>
  <r>
    <x v="11"/>
  </r>
  <r>
    <x v="11"/>
  </r>
  <r>
    <x v="11"/>
  </r>
  <r>
    <x v="11"/>
  </r>
  <r>
    <x v="12"/>
  </r>
  <r>
    <x v="11"/>
  </r>
  <r>
    <x v="0"/>
  </r>
  <r>
    <x v="39"/>
  </r>
  <r>
    <x v="76"/>
  </r>
  <r>
    <x v="10"/>
  </r>
  <r>
    <x v="46"/>
  </r>
  <r>
    <x v="115"/>
  </r>
  <r>
    <x v="115"/>
  </r>
  <r>
    <x v="4"/>
  </r>
  <r>
    <x v="68"/>
  </r>
  <r>
    <x v="130"/>
  </r>
  <r>
    <x v="12"/>
  </r>
  <r>
    <x v="63"/>
  </r>
  <r>
    <x v="63"/>
  </r>
  <r>
    <x v="63"/>
  </r>
  <r>
    <x v="77"/>
  </r>
  <r>
    <x v="78"/>
  </r>
  <r>
    <x v="78"/>
  </r>
  <r>
    <x v="78"/>
  </r>
  <r>
    <x v="78"/>
  </r>
  <r>
    <x v="48"/>
  </r>
  <r>
    <x v="48"/>
  </r>
  <r>
    <x v="48"/>
  </r>
  <r>
    <x v="141"/>
  </r>
  <r>
    <x v="141"/>
  </r>
  <r>
    <x v="141"/>
  </r>
  <r>
    <x v="141"/>
  </r>
  <r>
    <x v="48"/>
  </r>
  <r>
    <x v="48"/>
  </r>
  <r>
    <x v="48"/>
  </r>
  <r>
    <x v="48"/>
  </r>
  <r>
    <x v="48"/>
  </r>
  <r>
    <x v="14"/>
  </r>
  <r>
    <x v="45"/>
  </r>
  <r>
    <x v="12"/>
  </r>
  <r>
    <x v="123"/>
  </r>
  <r>
    <x v="123"/>
  </r>
  <r>
    <x v="1"/>
  </r>
  <r>
    <x v="1"/>
  </r>
  <r>
    <x v="1"/>
  </r>
  <r>
    <x v="1"/>
  </r>
  <r>
    <x v="53"/>
  </r>
  <r>
    <x v="12"/>
  </r>
  <r>
    <x v="0"/>
  </r>
  <r>
    <x v="37"/>
  </r>
  <r>
    <x v="2"/>
  </r>
  <r>
    <x v="16"/>
  </r>
  <r>
    <x v="9"/>
  </r>
  <r>
    <x v="111"/>
  </r>
  <r>
    <x v="126"/>
  </r>
  <r>
    <x v="24"/>
  </r>
  <r>
    <x v="29"/>
  </r>
  <r>
    <x v="21"/>
  </r>
  <r>
    <x v="10"/>
  </r>
  <r>
    <x v="12"/>
  </r>
  <r>
    <x v="324"/>
  </r>
  <r>
    <x v="16"/>
  </r>
  <r>
    <x v="16"/>
  </r>
  <r>
    <x v="10"/>
  </r>
  <r>
    <x v="16"/>
  </r>
  <r>
    <x v="28"/>
  </r>
  <r>
    <x v="155"/>
  </r>
  <r>
    <x v="19"/>
  </r>
  <r>
    <x v="30"/>
  </r>
  <r>
    <x v="3"/>
  </r>
  <r>
    <x v="12"/>
  </r>
  <r>
    <x v="11"/>
  </r>
  <r>
    <x v="19"/>
  </r>
  <r>
    <x v="51"/>
  </r>
  <r>
    <x v="28"/>
  </r>
  <r>
    <x v="10"/>
  </r>
  <r>
    <x v="39"/>
  </r>
  <r>
    <x v="0"/>
  </r>
  <r>
    <x v="0"/>
  </r>
  <r>
    <x v="0"/>
  </r>
  <r>
    <x v="11"/>
  </r>
  <r>
    <x v="0"/>
  </r>
  <r>
    <x v="12"/>
  </r>
  <r>
    <x v="12"/>
  </r>
  <r>
    <x v="12"/>
  </r>
  <r>
    <x v="10"/>
  </r>
  <r>
    <x v="18"/>
  </r>
  <r>
    <x v="2"/>
  </r>
  <r>
    <x v="4"/>
  </r>
  <r>
    <x v="10"/>
  </r>
  <r>
    <x v="53"/>
  </r>
  <r>
    <x v="12"/>
  </r>
  <r>
    <x v="14"/>
  </r>
  <r>
    <x v="78"/>
  </r>
  <r>
    <x v="78"/>
  </r>
  <r>
    <x v="51"/>
  </r>
  <r>
    <x v="0"/>
  </r>
  <r>
    <x v="16"/>
  </r>
  <r>
    <x v="0"/>
  </r>
  <r>
    <x v="4"/>
  </r>
  <r>
    <x v="9"/>
  </r>
  <r>
    <x v="130"/>
  </r>
  <r>
    <x v="16"/>
  </r>
  <r>
    <x v="115"/>
  </r>
  <r>
    <x v="28"/>
  </r>
  <r>
    <x v="28"/>
  </r>
  <r>
    <x v="12"/>
  </r>
  <r>
    <x v="12"/>
  </r>
  <r>
    <x v="14"/>
  </r>
  <r>
    <x v="7"/>
  </r>
  <r>
    <x v="22"/>
  </r>
  <r>
    <x v="10"/>
  </r>
  <r>
    <x v="10"/>
  </r>
  <r>
    <x v="130"/>
  </r>
  <r>
    <x v="2"/>
  </r>
  <r>
    <x v="4"/>
  </r>
  <r>
    <x v="2"/>
  </r>
  <r>
    <x v="2"/>
  </r>
  <r>
    <x v="2"/>
  </r>
  <r>
    <x v="2"/>
  </r>
  <r>
    <x v="25"/>
  </r>
  <r>
    <x v="136"/>
  </r>
  <r>
    <x v="11"/>
  </r>
  <r>
    <x v="53"/>
  </r>
  <r>
    <x v="1"/>
  </r>
  <r>
    <x v="11"/>
  </r>
  <r>
    <x v="0"/>
  </r>
  <r>
    <x v="16"/>
  </r>
  <r>
    <x v="37"/>
  </r>
  <r>
    <x v="28"/>
  </r>
  <r>
    <x v="28"/>
  </r>
  <r>
    <x v="12"/>
  </r>
  <r>
    <x v="12"/>
  </r>
  <r>
    <x v="12"/>
  </r>
  <r>
    <x v="19"/>
  </r>
  <r>
    <x v="28"/>
  </r>
  <r>
    <x v="45"/>
  </r>
  <r>
    <x v="150"/>
  </r>
  <r>
    <x v="12"/>
  </r>
  <r>
    <x v="11"/>
  </r>
  <r>
    <x v="1"/>
  </r>
  <r>
    <x v="12"/>
  </r>
  <r>
    <x v="63"/>
  </r>
  <r>
    <x v="39"/>
  </r>
  <r>
    <x v="39"/>
  </r>
  <r>
    <x v="9"/>
  </r>
  <r>
    <x v="16"/>
  </r>
  <r>
    <x v="14"/>
  </r>
  <r>
    <x v="33"/>
  </r>
  <r>
    <x v="45"/>
  </r>
  <r>
    <x v="184"/>
  </r>
  <r>
    <x v="48"/>
  </r>
  <r>
    <x v="63"/>
  </r>
  <r>
    <x v="12"/>
  </r>
  <r>
    <x v="4"/>
  </r>
  <r>
    <x v="0"/>
  </r>
  <r>
    <x v="64"/>
  </r>
  <r>
    <x v="11"/>
  </r>
  <r>
    <x v="11"/>
  </r>
  <r>
    <x v="48"/>
  </r>
  <r>
    <x v="4"/>
  </r>
  <r>
    <x v="28"/>
  </r>
  <r>
    <x v="12"/>
  </r>
  <r>
    <x v="0"/>
  </r>
  <r>
    <x v="48"/>
  </r>
  <r>
    <x v="39"/>
  </r>
  <r>
    <x v="207"/>
  </r>
  <r>
    <x v="14"/>
  </r>
  <r>
    <x v="68"/>
  </r>
  <r>
    <x v="68"/>
  </r>
  <r>
    <x v="16"/>
  </r>
  <r>
    <x v="16"/>
  </r>
  <r>
    <x v="16"/>
  </r>
  <r>
    <x v="11"/>
  </r>
  <r>
    <x v="16"/>
  </r>
  <r>
    <x v="16"/>
  </r>
  <r>
    <x v="17"/>
  </r>
  <r>
    <x v="17"/>
  </r>
  <r>
    <x v="16"/>
  </r>
  <r>
    <x v="45"/>
  </r>
  <r>
    <x v="45"/>
  </r>
  <r>
    <x v="16"/>
  </r>
  <r>
    <x v="16"/>
  </r>
  <r>
    <x v="16"/>
  </r>
  <r>
    <x v="4"/>
  </r>
  <r>
    <x v="68"/>
  </r>
  <r>
    <x v="16"/>
  </r>
  <r>
    <x v="16"/>
  </r>
  <r>
    <x v="16"/>
  </r>
  <r>
    <x v="14"/>
  </r>
  <r>
    <x v="19"/>
  </r>
  <r>
    <x v="12"/>
  </r>
  <r>
    <x v="16"/>
  </r>
  <r>
    <x v="16"/>
  </r>
  <r>
    <x v="16"/>
  </r>
  <r>
    <x v="16"/>
  </r>
  <r>
    <x v="16"/>
  </r>
  <r>
    <x v="1"/>
  </r>
  <r>
    <x v="68"/>
  </r>
  <r>
    <x v="53"/>
  </r>
  <r>
    <x v="53"/>
  </r>
  <r>
    <x v="9"/>
  </r>
  <r>
    <x v="12"/>
  </r>
  <r>
    <x v="12"/>
  </r>
  <r>
    <x v="12"/>
  </r>
  <r>
    <x v="12"/>
  </r>
  <r>
    <x v="12"/>
  </r>
  <r>
    <x v="12"/>
  </r>
  <r>
    <x v="12"/>
  </r>
  <r>
    <x v="10"/>
  </r>
  <r>
    <x v="4"/>
  </r>
  <r>
    <x v="14"/>
  </r>
  <r>
    <x v="14"/>
  </r>
  <r>
    <x v="0"/>
  </r>
  <r>
    <x v="0"/>
  </r>
  <r>
    <x v="0"/>
  </r>
  <r>
    <x v="8"/>
  </r>
  <r>
    <x v="8"/>
  </r>
  <r>
    <x v="8"/>
  </r>
  <r>
    <x v="8"/>
  </r>
  <r>
    <x v="8"/>
  </r>
  <r>
    <x v="0"/>
  </r>
  <r>
    <x v="115"/>
  </r>
  <r>
    <x v="9"/>
  </r>
  <r>
    <x v="3"/>
  </r>
  <r>
    <x v="2"/>
  </r>
  <r>
    <x v="16"/>
  </r>
  <r>
    <x v="4"/>
  </r>
  <r>
    <x v="53"/>
  </r>
  <r>
    <x v="4"/>
  </r>
  <r>
    <x v="25"/>
  </r>
  <r>
    <x v="25"/>
  </r>
  <r>
    <x v="138"/>
  </r>
  <r>
    <x v="152"/>
  </r>
  <r>
    <x v="108"/>
  </r>
  <r>
    <x v="12"/>
  </r>
  <r>
    <x v="64"/>
  </r>
  <r>
    <x v="9"/>
  </r>
  <r>
    <x v="17"/>
  </r>
  <r>
    <x v="17"/>
  </r>
  <r>
    <x v="17"/>
  </r>
  <r>
    <x v="16"/>
  </r>
  <r>
    <x v="16"/>
  </r>
  <r>
    <x v="1"/>
  </r>
  <r>
    <x v="1"/>
  </r>
  <r>
    <x v="1"/>
  </r>
  <r>
    <x v="12"/>
  </r>
  <r>
    <x v="9"/>
  </r>
  <r>
    <x v="9"/>
  </r>
  <r>
    <x v="1"/>
  </r>
  <r>
    <x v="16"/>
  </r>
  <r>
    <x v="11"/>
  </r>
  <r>
    <x v="11"/>
  </r>
  <r>
    <x v="11"/>
  </r>
  <r>
    <x v="11"/>
  </r>
  <r>
    <x v="16"/>
  </r>
  <r>
    <x v="4"/>
  </r>
  <r>
    <x v="21"/>
  </r>
  <r>
    <x v="25"/>
  </r>
  <r>
    <x v="11"/>
  </r>
  <r>
    <x v="8"/>
  </r>
  <r>
    <x v="28"/>
  </r>
  <r>
    <x v="68"/>
  </r>
  <r>
    <x v="12"/>
  </r>
  <r>
    <x v="37"/>
  </r>
  <r>
    <x v="16"/>
  </r>
  <r>
    <x v="9"/>
  </r>
  <r>
    <x v="51"/>
  </r>
  <r>
    <x v="45"/>
  </r>
  <r>
    <x v="24"/>
  </r>
  <r>
    <x v="7"/>
  </r>
  <r>
    <x v="19"/>
  </r>
  <r>
    <x v="12"/>
  </r>
  <r>
    <x v="12"/>
  </r>
  <r>
    <x v="53"/>
  </r>
  <r>
    <x v="4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6"/>
  </r>
  <r>
    <x v="12"/>
  </r>
  <r>
    <x v="6"/>
  </r>
  <r>
    <x v="68"/>
  </r>
  <r>
    <x v="11"/>
  </r>
  <r>
    <x v="9"/>
  </r>
  <r>
    <x v="10"/>
  </r>
  <r>
    <x v="1"/>
  </r>
  <r>
    <x v="1"/>
  </r>
  <r>
    <x v="11"/>
  </r>
  <r>
    <x v="115"/>
  </r>
  <r>
    <x v="14"/>
  </r>
  <r>
    <x v="14"/>
  </r>
  <r>
    <x v="11"/>
  </r>
  <r>
    <x v="12"/>
  </r>
  <r>
    <x v="14"/>
  </r>
  <r>
    <x v="28"/>
  </r>
  <r>
    <x v="68"/>
  </r>
  <r>
    <x v="150"/>
  </r>
  <r>
    <x v="1"/>
  </r>
  <r>
    <x v="1"/>
  </r>
  <r>
    <x v="1"/>
  </r>
  <r>
    <x v="34"/>
  </r>
  <r>
    <x v="34"/>
  </r>
  <r>
    <x v="150"/>
  </r>
  <r>
    <x v="150"/>
  </r>
  <r>
    <x v="150"/>
  </r>
  <r>
    <x v="150"/>
  </r>
  <r>
    <x v="4"/>
  </r>
  <r>
    <x v="4"/>
  </r>
  <r>
    <x v="4"/>
  </r>
  <r>
    <x v="4"/>
  </r>
  <r>
    <x v="24"/>
  </r>
  <r>
    <x v="16"/>
  </r>
  <r>
    <x v="47"/>
  </r>
  <r>
    <x v="0"/>
  </r>
  <r>
    <x v="37"/>
  </r>
  <r>
    <x v="12"/>
  </r>
  <r>
    <x v="9"/>
  </r>
  <r>
    <x v="17"/>
  </r>
  <r>
    <x v="17"/>
  </r>
  <r>
    <x v="1"/>
  </r>
  <r>
    <x v="1"/>
  </r>
  <r>
    <x v="1"/>
  </r>
  <r>
    <x v="12"/>
  </r>
  <r>
    <x v="17"/>
  </r>
  <r>
    <x v="28"/>
  </r>
  <r>
    <x v="1"/>
  </r>
  <r>
    <x v="17"/>
  </r>
  <r>
    <x v="11"/>
  </r>
  <r>
    <x v="68"/>
  </r>
  <r>
    <x v="1"/>
  </r>
  <r>
    <x v="1"/>
  </r>
  <r>
    <x v="1"/>
  </r>
  <r>
    <x v="1"/>
  </r>
  <r>
    <x v="4"/>
  </r>
  <r>
    <x v="21"/>
  </r>
  <r>
    <x v="84"/>
  </r>
  <r>
    <x v="68"/>
  </r>
  <r>
    <x v="68"/>
  </r>
  <r>
    <x v="108"/>
  </r>
  <r>
    <x v="0"/>
  </r>
  <r>
    <x v="21"/>
  </r>
  <r>
    <x v="11"/>
  </r>
  <r>
    <x v="11"/>
  </r>
  <r>
    <x v="11"/>
  </r>
  <r>
    <x v="19"/>
  </r>
  <r>
    <x v="1"/>
  </r>
  <r>
    <x v="12"/>
  </r>
  <r>
    <x v="4"/>
  </r>
  <r>
    <x v="4"/>
  </r>
  <r>
    <x v="2"/>
  </r>
  <r>
    <x v="42"/>
  </r>
  <r>
    <x v="12"/>
  </r>
  <r>
    <x v="10"/>
  </r>
  <r>
    <x v="1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31"/>
  </r>
  <r>
    <x v="4"/>
  </r>
  <r>
    <x v="12"/>
  </r>
  <r>
    <x v="12"/>
  </r>
  <r>
    <x v="12"/>
  </r>
  <r>
    <x v="12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9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8"/>
  </r>
  <r>
    <x v="12"/>
  </r>
  <r>
    <x v="53"/>
  </r>
  <r>
    <x v="9"/>
  </r>
  <r>
    <x v="39"/>
  </r>
  <r>
    <x v="0"/>
  </r>
  <r>
    <x v="150"/>
  </r>
  <r>
    <x v="150"/>
  </r>
  <r>
    <x v="45"/>
  </r>
  <r>
    <x v="12"/>
  </r>
  <r>
    <x v="12"/>
  </r>
  <r>
    <x v="28"/>
  </r>
  <r>
    <x v="19"/>
  </r>
  <r>
    <x v="111"/>
  </r>
  <r>
    <x v="111"/>
  </r>
  <r>
    <x v="21"/>
  </r>
  <r>
    <x v="48"/>
  </r>
  <r>
    <x v="4"/>
  </r>
  <r>
    <x v="1"/>
  </r>
  <r>
    <x v="1"/>
  </r>
  <r>
    <x v="12"/>
  </r>
  <r>
    <x v="48"/>
  </r>
  <r>
    <x v="29"/>
  </r>
  <r>
    <x v="4"/>
  </r>
  <r>
    <x v="4"/>
  </r>
  <r>
    <x v="16"/>
  </r>
  <r>
    <x v="16"/>
  </r>
  <r>
    <x v="45"/>
  </r>
  <r>
    <x v="22"/>
  </r>
  <r>
    <x v="42"/>
  </r>
  <r>
    <x v="10"/>
  </r>
  <r>
    <x v="10"/>
  </r>
  <r>
    <x v="10"/>
  </r>
  <r>
    <x v="2"/>
  </r>
  <r>
    <x v="2"/>
  </r>
  <r>
    <x v="2"/>
  </r>
  <r>
    <x v="17"/>
  </r>
  <r>
    <x v="15"/>
  </r>
  <r>
    <x v="15"/>
  </r>
  <r>
    <x v="2"/>
  </r>
  <r>
    <x v="39"/>
  </r>
  <r>
    <x v="4"/>
  </r>
  <r>
    <x v="1"/>
  </r>
  <r>
    <x v="63"/>
  </r>
  <r>
    <x v="63"/>
  </r>
  <r>
    <x v="63"/>
  </r>
  <r>
    <x v="63"/>
  </r>
  <r>
    <x v="63"/>
  </r>
  <r>
    <x v="63"/>
  </r>
  <r>
    <x v="1"/>
  </r>
  <r>
    <x v="45"/>
  </r>
  <r>
    <x v="45"/>
  </r>
  <r>
    <x v="17"/>
  </r>
  <r>
    <x v="17"/>
  </r>
  <r>
    <x v="1"/>
  </r>
  <r>
    <x v="45"/>
  </r>
  <r>
    <x v="17"/>
  </r>
  <r>
    <x v="11"/>
  </r>
  <r>
    <x v="11"/>
  </r>
  <r>
    <x v="0"/>
  </r>
  <r>
    <x v="28"/>
  </r>
  <r>
    <x v="150"/>
  </r>
  <r>
    <x v="43"/>
  </r>
  <r>
    <x v="10"/>
  </r>
  <r>
    <x v="16"/>
  </r>
  <r>
    <x v="48"/>
  </r>
  <r>
    <x v="48"/>
  </r>
  <r>
    <x v="48"/>
  </r>
  <r>
    <x v="16"/>
  </r>
  <r>
    <x v="84"/>
  </r>
  <r>
    <x v="19"/>
  </r>
  <r>
    <x v="19"/>
  </r>
  <r>
    <x v="19"/>
  </r>
  <r>
    <x v="19"/>
  </r>
  <r>
    <x v="19"/>
  </r>
  <r>
    <x v="19"/>
  </r>
  <r>
    <x v="37"/>
  </r>
  <r>
    <x v="84"/>
  </r>
  <r>
    <x v="84"/>
  </r>
  <r>
    <x v="84"/>
  </r>
  <r>
    <x v="12"/>
  </r>
  <r>
    <x v="43"/>
  </r>
  <r>
    <x v="9"/>
  </r>
  <r>
    <x v="21"/>
  </r>
  <r>
    <x v="16"/>
  </r>
  <r>
    <x v="68"/>
  </r>
  <r>
    <x v="12"/>
  </r>
  <r>
    <x v="16"/>
  </r>
  <r>
    <x v="10"/>
  </r>
  <r>
    <x v="21"/>
  </r>
  <r>
    <x v="21"/>
  </r>
  <r>
    <x v="21"/>
  </r>
  <r>
    <x v="17"/>
  </r>
  <r>
    <x v="17"/>
  </r>
  <r>
    <x v="17"/>
  </r>
  <r>
    <x v="17"/>
  </r>
  <r>
    <x v="37"/>
  </r>
  <r>
    <x v="4"/>
  </r>
  <r>
    <x v="4"/>
  </r>
  <r>
    <x v="39"/>
  </r>
  <r>
    <x v="39"/>
  </r>
  <r>
    <x v="39"/>
  </r>
  <r>
    <x v="39"/>
  </r>
  <r>
    <x v="39"/>
  </r>
  <r>
    <x v="17"/>
  </r>
  <r>
    <x v="16"/>
  </r>
  <r>
    <x v="2"/>
  </r>
  <r>
    <x v="57"/>
  </r>
  <r>
    <x v="184"/>
  </r>
  <r>
    <x v="184"/>
  </r>
  <r>
    <x v="184"/>
  </r>
  <r>
    <x v="184"/>
  </r>
  <r>
    <x v="57"/>
  </r>
  <r>
    <x v="45"/>
  </r>
  <r>
    <x v="4"/>
  </r>
  <r>
    <x v="57"/>
  </r>
  <r>
    <x v="57"/>
  </r>
  <r>
    <x v="68"/>
  </r>
  <r>
    <x v="14"/>
  </r>
  <r>
    <x v="0"/>
  </r>
  <r>
    <x v="4"/>
  </r>
  <r>
    <x v="4"/>
  </r>
  <r>
    <x v="44"/>
  </r>
  <r>
    <x v="150"/>
  </r>
  <r>
    <x v="1"/>
  </r>
  <r>
    <x v="14"/>
  </r>
  <r>
    <x v="150"/>
  </r>
  <r>
    <x v="22"/>
  </r>
  <r>
    <x v="6"/>
  </r>
  <r>
    <x v="0"/>
  </r>
  <r>
    <x v="4"/>
  </r>
  <r>
    <x v="78"/>
  </r>
  <r>
    <x v="12"/>
  </r>
  <r>
    <x v="4"/>
  </r>
  <r>
    <x v="4"/>
  </r>
  <r>
    <x v="143"/>
  </r>
  <r>
    <x v="16"/>
  </r>
  <r>
    <x v="16"/>
  </r>
  <r>
    <x v="4"/>
  </r>
  <r>
    <x v="4"/>
  </r>
  <r>
    <x v="21"/>
  </r>
  <r>
    <x v="12"/>
  </r>
  <r>
    <x v="4"/>
  </r>
  <r>
    <x v="14"/>
  </r>
  <r>
    <x v="4"/>
  </r>
  <r>
    <x v="16"/>
  </r>
  <r>
    <x v="11"/>
  </r>
  <r>
    <x v="24"/>
  </r>
  <r>
    <x v="3"/>
  </r>
  <r>
    <x v="48"/>
  </r>
  <r>
    <x v="9"/>
  </r>
  <r>
    <x v="17"/>
  </r>
  <r>
    <x v="17"/>
  </r>
  <r>
    <x v="17"/>
  </r>
  <r>
    <x v="17"/>
  </r>
  <r>
    <x v="19"/>
  </r>
  <r>
    <x v="2"/>
  </r>
  <r>
    <x v="12"/>
  </r>
  <r>
    <x v="14"/>
  </r>
  <r>
    <x v="14"/>
  </r>
  <r>
    <x v="24"/>
  </r>
  <r>
    <x v="17"/>
  </r>
  <r>
    <x v="17"/>
  </r>
  <r>
    <x v="52"/>
  </r>
  <r>
    <x v="52"/>
  </r>
  <r>
    <x v="68"/>
  </r>
  <r>
    <x v="9"/>
  </r>
  <r>
    <x v="14"/>
  </r>
  <r>
    <x v="28"/>
  </r>
  <r>
    <x v="53"/>
  </r>
  <r>
    <x v="53"/>
  </r>
  <r>
    <x v="16"/>
  </r>
  <r>
    <x v="16"/>
  </r>
  <r>
    <x v="12"/>
  </r>
  <r>
    <x v="22"/>
  </r>
  <r>
    <x v="14"/>
  </r>
  <r>
    <x v="12"/>
  </r>
  <r>
    <x v="2"/>
  </r>
  <r>
    <x v="28"/>
  </r>
  <r>
    <x v="10"/>
  </r>
  <r>
    <x v="16"/>
  </r>
  <r>
    <x v="45"/>
  </r>
  <r>
    <x v="45"/>
  </r>
  <r>
    <x v="12"/>
  </r>
  <r>
    <x v="37"/>
  </r>
  <r>
    <x v="11"/>
  </r>
  <r>
    <x v="16"/>
  </r>
  <r>
    <x v="12"/>
  </r>
  <r>
    <x v="63"/>
  </r>
  <r>
    <x v="19"/>
  </r>
  <r>
    <x v="23"/>
  </r>
  <r>
    <x v="17"/>
  </r>
  <r>
    <x v="2"/>
  </r>
  <r>
    <x v="4"/>
  </r>
  <r>
    <x v="12"/>
  </r>
  <r>
    <x v="0"/>
  </r>
  <r>
    <x v="28"/>
  </r>
  <r>
    <x v="28"/>
  </r>
  <r>
    <x v="28"/>
  </r>
  <r>
    <x v="28"/>
  </r>
  <r>
    <x v="33"/>
  </r>
  <r>
    <x v="7"/>
  </r>
  <r>
    <x v="11"/>
  </r>
  <r>
    <x v="12"/>
  </r>
  <r>
    <x v="163"/>
  </r>
  <r>
    <x v="163"/>
  </r>
  <r>
    <x v="0"/>
  </r>
  <r>
    <x v="81"/>
  </r>
  <r>
    <x v="68"/>
  </r>
  <r>
    <x v="2"/>
  </r>
  <r>
    <x v="150"/>
  </r>
  <r>
    <x v="150"/>
  </r>
  <r>
    <x v="163"/>
  </r>
  <r>
    <x v="28"/>
  </r>
  <r>
    <x v="6"/>
  </r>
  <r>
    <x v="51"/>
  </r>
  <r>
    <x v="6"/>
  </r>
  <r>
    <x v="6"/>
  </r>
  <r>
    <x v="16"/>
  </r>
  <r>
    <x v="12"/>
  </r>
  <r>
    <x v="12"/>
  </r>
  <r>
    <x v="4"/>
  </r>
  <r>
    <x v="4"/>
  </r>
  <r>
    <x v="16"/>
  </r>
  <r>
    <x v="16"/>
  </r>
  <r>
    <x v="33"/>
  </r>
  <r>
    <x v="14"/>
  </r>
  <r>
    <x v="19"/>
  </r>
  <r>
    <x v="53"/>
  </r>
  <r>
    <x v="53"/>
  </r>
  <r>
    <x v="115"/>
  </r>
  <r>
    <x v="12"/>
  </r>
  <r>
    <x v="4"/>
  </r>
  <r>
    <x v="4"/>
  </r>
  <r>
    <x v="45"/>
  </r>
  <r>
    <x v="9"/>
  </r>
  <r>
    <x v="4"/>
  </r>
  <r>
    <x v="11"/>
  </r>
  <r>
    <x v="150"/>
  </r>
  <r>
    <x v="4"/>
  </r>
  <r>
    <x v="4"/>
  </r>
  <r>
    <x v="14"/>
  </r>
  <r>
    <x v="6"/>
  </r>
  <r>
    <x v="16"/>
  </r>
  <r>
    <x v="9"/>
  </r>
  <r>
    <x v="7"/>
  </r>
  <r>
    <x v="14"/>
  </r>
  <r>
    <x v="16"/>
  </r>
  <r>
    <x v="16"/>
  </r>
  <r>
    <x v="16"/>
  </r>
  <r>
    <x v="4"/>
  </r>
  <r>
    <x v="19"/>
  </r>
  <r>
    <x v="53"/>
  </r>
  <r>
    <x v="163"/>
  </r>
  <r>
    <x v="45"/>
  </r>
  <r>
    <x v="4"/>
  </r>
  <r>
    <x v="37"/>
  </r>
  <r>
    <x v="17"/>
  </r>
  <r>
    <x v="1"/>
  </r>
  <r>
    <x v="29"/>
  </r>
  <r>
    <x v="64"/>
  </r>
  <r>
    <x v="19"/>
  </r>
  <r>
    <x v="12"/>
  </r>
  <r>
    <x v="14"/>
  </r>
  <r>
    <x v="84"/>
  </r>
  <r>
    <x v="16"/>
  </r>
  <r>
    <x v="16"/>
  </r>
  <r>
    <x v="16"/>
  </r>
  <r>
    <x v="16"/>
  </r>
  <r>
    <x v="14"/>
  </r>
  <r>
    <x v="45"/>
  </r>
  <r>
    <x v="12"/>
  </r>
  <r>
    <x v="68"/>
  </r>
  <r>
    <x v="12"/>
  </r>
  <r>
    <x v="12"/>
  </r>
  <r>
    <x v="14"/>
  </r>
  <r>
    <x v="14"/>
  </r>
  <r>
    <x v="1"/>
  </r>
  <r>
    <x v="4"/>
  </r>
  <r>
    <x v="115"/>
  </r>
  <r>
    <x v="4"/>
  </r>
  <r>
    <x v="152"/>
  </r>
  <r>
    <x v="12"/>
  </r>
  <r>
    <x v="128"/>
  </r>
  <r>
    <x v="4"/>
  </r>
  <r>
    <x v="11"/>
  </r>
  <r>
    <x v="4"/>
  </r>
  <r>
    <x v="34"/>
  </r>
  <r>
    <x v="10"/>
  </r>
  <r>
    <x v="17"/>
  </r>
  <r>
    <x v="0"/>
  </r>
  <r>
    <x v="2"/>
  </r>
  <r>
    <x v="7"/>
  </r>
  <r>
    <x v="12"/>
  </r>
  <r>
    <x v="51"/>
  </r>
  <r>
    <x v="51"/>
  </r>
  <r>
    <x v="53"/>
  </r>
  <r>
    <x v="4"/>
  </r>
  <r>
    <x v="4"/>
  </r>
  <r>
    <x v="9"/>
  </r>
  <r>
    <x v="11"/>
  </r>
  <r>
    <x v="14"/>
  </r>
  <r>
    <x v="4"/>
  </r>
  <r>
    <x v="4"/>
  </r>
  <r>
    <x v="28"/>
  </r>
  <r>
    <x v="45"/>
  </r>
  <r>
    <x v="4"/>
  </r>
  <r>
    <x v="14"/>
  </r>
  <r>
    <x v="17"/>
  </r>
  <r>
    <x v="40"/>
  </r>
  <r>
    <x v="14"/>
  </r>
  <r>
    <x v="16"/>
  </r>
  <r>
    <x v="40"/>
  </r>
  <r>
    <x v="19"/>
  </r>
  <r>
    <x v="14"/>
  </r>
  <r>
    <x v="28"/>
  </r>
  <r>
    <x v="184"/>
  </r>
  <r>
    <x v="18"/>
  </r>
  <r>
    <x v="6"/>
  </r>
  <r>
    <x v="7"/>
  </r>
  <r>
    <x v="31"/>
  </r>
  <r>
    <x v="45"/>
  </r>
  <r>
    <x v="12"/>
  </r>
  <r>
    <x v="10"/>
  </r>
  <r>
    <x v="9"/>
  </r>
  <r>
    <x v="42"/>
  </r>
  <r>
    <x v="45"/>
  </r>
  <r>
    <x v="4"/>
  </r>
  <r>
    <x v="4"/>
  </r>
  <r>
    <x v="11"/>
  </r>
  <r>
    <x v="45"/>
  </r>
  <r>
    <x v="0"/>
  </r>
  <r>
    <x v="39"/>
  </r>
  <r>
    <x v="45"/>
  </r>
  <r>
    <x v="12"/>
  </r>
  <r>
    <x v="12"/>
  </r>
  <r>
    <x v="48"/>
  </r>
  <r>
    <x v="48"/>
  </r>
  <r>
    <x v="155"/>
  </r>
  <r>
    <x v="11"/>
  </r>
  <r>
    <x v="11"/>
  </r>
  <r>
    <x v="11"/>
  </r>
  <r>
    <x v="16"/>
  </r>
  <r>
    <x v="28"/>
  </r>
  <r>
    <x v="28"/>
  </r>
  <r>
    <x v="4"/>
  </r>
  <r>
    <x v="4"/>
  </r>
  <r>
    <x v="9"/>
  </r>
  <r>
    <x v="9"/>
  </r>
  <r>
    <x v="14"/>
  </r>
  <r>
    <x v="16"/>
  </r>
  <r>
    <x v="16"/>
  </r>
  <r>
    <x v="4"/>
  </r>
  <r>
    <x v="0"/>
  </r>
  <r>
    <x v="4"/>
  </r>
  <r>
    <x v="10"/>
  </r>
  <r>
    <x v="9"/>
  </r>
  <r>
    <x v="0"/>
  </r>
  <r>
    <x v="0"/>
  </r>
  <r>
    <x v="17"/>
  </r>
  <r>
    <x v="17"/>
  </r>
  <r>
    <x v="11"/>
  </r>
  <r>
    <x v="17"/>
  </r>
  <r>
    <x v="12"/>
  </r>
  <r>
    <x v="12"/>
  </r>
  <r>
    <x v="14"/>
  </r>
  <r>
    <x v="2"/>
  </r>
  <r>
    <x v="12"/>
  </r>
  <r>
    <x v="68"/>
  </r>
  <r>
    <x v="17"/>
  </r>
  <r>
    <x v="17"/>
  </r>
  <r>
    <x v="17"/>
  </r>
  <r>
    <x v="17"/>
  </r>
  <r>
    <x v="4"/>
  </r>
  <r>
    <x v="17"/>
  </r>
  <r>
    <x v="17"/>
  </r>
  <r>
    <x v="17"/>
  </r>
  <r>
    <x v="17"/>
  </r>
  <r>
    <x v="115"/>
  </r>
  <r>
    <x v="12"/>
  </r>
  <r>
    <x v="16"/>
  </r>
  <r>
    <x v="4"/>
  </r>
  <r>
    <x v="7"/>
  </r>
  <r>
    <x v="14"/>
  </r>
  <r>
    <x v="17"/>
  </r>
  <r>
    <x v="16"/>
  </r>
  <r>
    <x v="16"/>
  </r>
  <r>
    <x v="0"/>
  </r>
  <r>
    <x v="4"/>
  </r>
  <r>
    <x v="12"/>
  </r>
  <r>
    <x v="12"/>
  </r>
  <r>
    <x v="16"/>
  </r>
  <r>
    <x v="11"/>
  </r>
  <r>
    <x v="0"/>
  </r>
  <r>
    <x v="14"/>
  </r>
  <r>
    <x v="14"/>
  </r>
  <r>
    <x v="14"/>
  </r>
  <r>
    <x v="14"/>
  </r>
  <r>
    <x v="14"/>
  </r>
  <r>
    <x v="24"/>
  </r>
  <r>
    <x v="22"/>
  </r>
  <r>
    <x v="9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14"/>
  </r>
  <r>
    <x v="17"/>
  </r>
  <r>
    <x v="14"/>
  </r>
  <r>
    <x v="14"/>
  </r>
  <r>
    <x v="17"/>
  </r>
  <r>
    <x v="17"/>
  </r>
  <r>
    <x v="17"/>
  </r>
  <r>
    <x v="17"/>
  </r>
  <r>
    <x v="12"/>
  </r>
  <r>
    <x v="12"/>
  </r>
  <r>
    <x v="12"/>
  </r>
  <r>
    <x v="17"/>
  </r>
  <r>
    <x v="12"/>
  </r>
  <r>
    <x v="4"/>
  </r>
  <r>
    <x v="4"/>
  </r>
  <r>
    <x v="4"/>
  </r>
  <r>
    <x v="2"/>
  </r>
  <r>
    <x v="4"/>
  </r>
  <r>
    <x v="24"/>
  </r>
  <r>
    <x v="11"/>
  </r>
  <r>
    <x v="22"/>
  </r>
  <r>
    <x v="0"/>
  </r>
  <r>
    <x v="0"/>
  </r>
  <r>
    <x v="14"/>
  </r>
  <r>
    <x v="0"/>
  </r>
  <r>
    <x v="0"/>
  </r>
  <r>
    <x v="16"/>
  </r>
  <r>
    <x v="17"/>
  </r>
  <r>
    <x v="17"/>
  </r>
  <r>
    <x v="17"/>
  </r>
  <r>
    <x v="10"/>
  </r>
  <r>
    <x v="14"/>
  </r>
  <r>
    <x v="4"/>
  </r>
  <r>
    <x v="4"/>
  </r>
  <r>
    <x v="9"/>
  </r>
  <r>
    <x v="4"/>
  </r>
  <r>
    <x v="48"/>
  </r>
  <r>
    <x v="25"/>
  </r>
  <r>
    <x v="25"/>
  </r>
  <r>
    <x v="31"/>
  </r>
  <r>
    <x v="31"/>
  </r>
  <r>
    <x v="0"/>
  </r>
  <r>
    <x v="0"/>
  </r>
  <r>
    <x v="16"/>
  </r>
  <r>
    <x v="70"/>
  </r>
  <r>
    <x v="70"/>
  </r>
  <r>
    <x v="28"/>
  </r>
  <r>
    <x v="28"/>
  </r>
  <r>
    <x v="10"/>
  </r>
  <r>
    <x v="10"/>
  </r>
  <r>
    <x v="1"/>
  </r>
  <r>
    <x v="1"/>
  </r>
  <r>
    <x v="16"/>
  </r>
  <r>
    <x v="39"/>
  </r>
  <r>
    <x v="39"/>
  </r>
  <r>
    <x v="39"/>
  </r>
  <r>
    <x v="17"/>
  </r>
  <r>
    <x v="17"/>
  </r>
  <r>
    <x v="4"/>
  </r>
  <r>
    <x v="4"/>
  </r>
  <r>
    <x v="4"/>
  </r>
  <r>
    <x v="21"/>
  </r>
  <r>
    <x v="21"/>
  </r>
  <r>
    <x v="21"/>
  </r>
  <r>
    <x v="21"/>
  </r>
  <r>
    <x v="21"/>
  </r>
  <r>
    <x v="21"/>
  </r>
  <r>
    <x v="21"/>
  </r>
  <r>
    <x v="6"/>
  </r>
  <r>
    <x v="1"/>
  </r>
  <r>
    <x v="14"/>
  </r>
  <r>
    <x v="53"/>
  </r>
  <r>
    <x v="21"/>
  </r>
  <r>
    <x v="19"/>
  </r>
  <r>
    <x v="55"/>
  </r>
  <r>
    <x v="82"/>
  </r>
  <r>
    <x v="143"/>
  </r>
  <r>
    <x v="137"/>
  </r>
  <r>
    <x v="265"/>
  </r>
  <r>
    <x v="208"/>
  </r>
  <r>
    <x v="18"/>
  </r>
  <r>
    <x v="502"/>
  </r>
  <r>
    <x v="76"/>
  </r>
  <r>
    <x v="70"/>
  </r>
  <r>
    <x v="76"/>
  </r>
  <r>
    <x v="76"/>
  </r>
  <r>
    <x v="76"/>
  </r>
  <r>
    <x v="76"/>
  </r>
  <r>
    <x v="320"/>
  </r>
  <r>
    <x v="189"/>
  </r>
  <r>
    <x v="76"/>
  </r>
  <r>
    <x v="440"/>
  </r>
  <r>
    <x v="503"/>
  </r>
  <r>
    <x v="504"/>
  </r>
  <r>
    <x v="25"/>
  </r>
  <r>
    <x v="21"/>
  </r>
  <r>
    <x v="25"/>
  </r>
  <r>
    <x v="25"/>
  </r>
  <r>
    <x v="25"/>
  </r>
  <r>
    <x v="25"/>
  </r>
  <r>
    <x v="75"/>
  </r>
  <r>
    <x v="76"/>
  </r>
  <r>
    <x v="49"/>
  </r>
  <r>
    <x v="129"/>
  </r>
  <r>
    <x v="30"/>
  </r>
  <r>
    <x v="113"/>
  </r>
  <r>
    <x v="133"/>
  </r>
  <r>
    <x v="113"/>
  </r>
  <r>
    <x v="25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13"/>
  </r>
  <r>
    <x v="167"/>
  </r>
  <r>
    <x v="34"/>
  </r>
  <r>
    <x v="79"/>
  </r>
  <r>
    <x v="129"/>
  </r>
  <r>
    <x v="112"/>
  </r>
  <r>
    <x v="95"/>
  </r>
  <r>
    <x v="204"/>
  </r>
  <r>
    <x v="505"/>
  </r>
  <r>
    <x v="14"/>
  </r>
  <r>
    <x v="167"/>
  </r>
  <r>
    <x v="155"/>
  </r>
  <r>
    <x v="167"/>
  </r>
  <r>
    <x v="167"/>
  </r>
  <r>
    <x v="364"/>
  </r>
  <r>
    <x v="86"/>
  </r>
  <r>
    <x v="21"/>
  </r>
  <r>
    <x v="21"/>
  </r>
  <r>
    <x v="7"/>
  </r>
  <r>
    <x v="106"/>
  </r>
  <r>
    <x v="21"/>
  </r>
  <r>
    <x v="7"/>
  </r>
  <r>
    <x v="7"/>
  </r>
  <r>
    <x v="68"/>
  </r>
  <r>
    <x v="76"/>
  </r>
  <r>
    <x v="102"/>
  </r>
  <r>
    <x v="76"/>
  </r>
  <r>
    <x v="102"/>
  </r>
  <r>
    <x v="102"/>
  </r>
  <r>
    <x v="102"/>
  </r>
  <r>
    <x v="24"/>
  </r>
  <r>
    <x v="100"/>
  </r>
  <r>
    <x v="167"/>
  </r>
  <r>
    <x v="100"/>
  </r>
  <r>
    <x v="125"/>
  </r>
  <r>
    <x v="100"/>
  </r>
  <r>
    <x v="300"/>
  </r>
  <r>
    <x v="125"/>
  </r>
  <r>
    <x v="125"/>
  </r>
  <r>
    <x v="300"/>
  </r>
  <r>
    <x v="167"/>
  </r>
  <r>
    <x v="167"/>
  </r>
  <r>
    <x v="167"/>
  </r>
  <r>
    <x v="167"/>
  </r>
  <r>
    <x v="111"/>
  </r>
  <r>
    <x v="112"/>
  </r>
  <r>
    <x v="116"/>
  </r>
  <r>
    <x v="56"/>
  </r>
  <r>
    <x v="102"/>
  </r>
  <r>
    <x v="52"/>
  </r>
  <r>
    <x v="25"/>
  </r>
  <r>
    <x v="82"/>
  </r>
  <r>
    <x v="72"/>
  </r>
  <r>
    <x v="72"/>
  </r>
  <r>
    <x v="2"/>
  </r>
  <r>
    <x v="31"/>
  </r>
  <r>
    <x v="31"/>
  </r>
  <r>
    <x v="25"/>
  </r>
  <r>
    <x v="25"/>
  </r>
  <r>
    <x v="25"/>
  </r>
  <r>
    <x v="102"/>
  </r>
  <r>
    <x v="81"/>
  </r>
  <r>
    <x v="25"/>
  </r>
  <r>
    <x v="0"/>
  </r>
  <r>
    <x v="113"/>
  </r>
  <r>
    <x v="31"/>
  </r>
  <r>
    <x v="76"/>
  </r>
  <r>
    <x v="102"/>
  </r>
  <r>
    <x v="102"/>
  </r>
  <r>
    <x v="76"/>
  </r>
  <r>
    <x v="63"/>
  </r>
  <r>
    <x v="108"/>
  </r>
  <r>
    <x v="3"/>
  </r>
  <r>
    <x v="2"/>
  </r>
  <r>
    <x v="25"/>
  </r>
  <r>
    <x v="76"/>
  </r>
  <r>
    <x v="30"/>
  </r>
  <r>
    <x v="113"/>
  </r>
  <r>
    <x v="30"/>
  </r>
  <r>
    <x v="25"/>
  </r>
  <r>
    <x v="25"/>
  </r>
  <r>
    <x v="23"/>
  </r>
  <r>
    <x v="102"/>
  </r>
  <r>
    <x v="25"/>
  </r>
  <r>
    <x v="25"/>
  </r>
  <r>
    <x v="25"/>
  </r>
  <r>
    <x v="25"/>
  </r>
  <r>
    <x v="76"/>
  </r>
  <r>
    <x v="180"/>
  </r>
  <r>
    <x v="25"/>
  </r>
  <r>
    <x v="180"/>
  </r>
  <r>
    <x v="76"/>
  </r>
  <r>
    <x v="76"/>
  </r>
  <r>
    <x v="82"/>
  </r>
  <r>
    <x v="59"/>
  </r>
  <r>
    <x v="59"/>
  </r>
  <r>
    <x v="111"/>
  </r>
  <r>
    <x v="25"/>
  </r>
  <r>
    <x v="111"/>
  </r>
  <r>
    <x v="110"/>
  </r>
  <r>
    <x v="82"/>
  </r>
  <r>
    <x v="81"/>
  </r>
  <r>
    <x v="127"/>
  </r>
  <r>
    <x v="63"/>
  </r>
  <r>
    <x v="63"/>
  </r>
  <r>
    <x v="79"/>
  </r>
  <r>
    <x v="25"/>
  </r>
  <r>
    <x v="24"/>
  </r>
  <r>
    <x v="22"/>
  </r>
  <r>
    <x v="22"/>
  </r>
  <r>
    <x v="22"/>
  </r>
  <r>
    <x v="22"/>
  </r>
  <r>
    <x v="87"/>
  </r>
  <r>
    <x v="84"/>
  </r>
  <r>
    <x v="52"/>
  </r>
  <r>
    <x v="48"/>
  </r>
  <r>
    <x v="204"/>
  </r>
  <r>
    <x v="222"/>
  </r>
  <r>
    <x v="121"/>
  </r>
  <r>
    <x v="93"/>
  </r>
  <r>
    <x v="93"/>
  </r>
  <r>
    <x v="113"/>
  </r>
  <r>
    <x v="10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13"/>
  </r>
  <r>
    <x v="94"/>
  </r>
  <r>
    <x v="94"/>
  </r>
  <r>
    <x v="40"/>
  </r>
  <r>
    <x v="40"/>
  </r>
  <r>
    <x v="17"/>
  </r>
  <r>
    <x v="40"/>
  </r>
  <r>
    <x v="17"/>
  </r>
  <r>
    <x v="14"/>
  </r>
  <r>
    <x v="171"/>
  </r>
  <r>
    <x v="43"/>
  </r>
  <r>
    <x v="9"/>
  </r>
  <r>
    <x v="14"/>
  </r>
  <r>
    <x v="10"/>
  </r>
  <r>
    <x v="28"/>
  </r>
  <r>
    <x v="14"/>
  </r>
  <r>
    <x v="10"/>
  </r>
  <r>
    <x v="17"/>
  </r>
  <r>
    <x v="16"/>
  </r>
  <r>
    <x v="16"/>
  </r>
  <r>
    <x v="16"/>
  </r>
  <r>
    <x v="187"/>
  </r>
  <r>
    <x v="78"/>
  </r>
  <r>
    <x v="33"/>
  </r>
  <r>
    <x v="46"/>
  </r>
  <r>
    <x v="60"/>
  </r>
  <r>
    <x v="10"/>
  </r>
  <r>
    <x v="0"/>
  </r>
  <r>
    <x v="64"/>
  </r>
  <r>
    <x v="9"/>
  </r>
  <r>
    <x v="33"/>
  </r>
  <r>
    <x v="33"/>
  </r>
  <r>
    <x v="14"/>
  </r>
  <r>
    <x v="48"/>
  </r>
  <r>
    <x v="48"/>
  </r>
  <r>
    <x v="15"/>
  </r>
  <r>
    <x v="10"/>
  </r>
  <r>
    <x v="46"/>
  </r>
  <r>
    <x v="63"/>
  </r>
  <r>
    <x v="87"/>
  </r>
  <r>
    <x v="123"/>
  </r>
  <r>
    <x v="14"/>
  </r>
  <r>
    <x v="14"/>
  </r>
  <r>
    <x v="14"/>
  </r>
  <r>
    <x v="14"/>
  </r>
  <r>
    <x v="12"/>
  </r>
  <r>
    <x v="52"/>
  </r>
  <r>
    <x v="46"/>
  </r>
  <r>
    <x v="17"/>
  </r>
  <r>
    <x v="28"/>
  </r>
  <r>
    <x v="10"/>
  </r>
  <r>
    <x v="10"/>
  </r>
  <r>
    <x v="28"/>
  </r>
  <r>
    <x v="10"/>
  </r>
  <r>
    <x v="14"/>
  </r>
  <r>
    <x v="16"/>
  </r>
  <r>
    <x v="0"/>
  </r>
  <r>
    <x v="0"/>
  </r>
  <r>
    <x v="14"/>
  </r>
  <r>
    <x v="14"/>
  </r>
  <r>
    <x v="14"/>
  </r>
  <r>
    <x v="28"/>
  </r>
  <r>
    <x v="30"/>
  </r>
  <r>
    <x v="14"/>
  </r>
  <r>
    <x v="171"/>
  </r>
  <r>
    <x v="17"/>
  </r>
  <r>
    <x v="17"/>
  </r>
  <r>
    <x v="16"/>
  </r>
  <r>
    <x v="16"/>
  </r>
  <r>
    <x v="12"/>
  </r>
  <r>
    <x v="16"/>
  </r>
  <r>
    <x v="62"/>
  </r>
  <r>
    <x v="14"/>
  </r>
  <r>
    <x v="14"/>
  </r>
  <r>
    <x v="14"/>
  </r>
  <r>
    <x v="62"/>
  </r>
  <r>
    <x v="28"/>
  </r>
  <r>
    <x v="48"/>
  </r>
  <r>
    <x v="14"/>
  </r>
  <r>
    <x v="171"/>
  </r>
  <r>
    <x v="16"/>
  </r>
  <r>
    <x v="34"/>
  </r>
  <r>
    <x v="46"/>
  </r>
  <r>
    <x v="76"/>
  </r>
  <r>
    <x v="171"/>
  </r>
  <r>
    <x v="14"/>
  </r>
  <r>
    <x v="56"/>
  </r>
  <r>
    <x v="56"/>
  </r>
  <r>
    <x v="56"/>
  </r>
  <r>
    <x v="57"/>
  </r>
  <r>
    <x v="57"/>
  </r>
  <r>
    <x v="57"/>
  </r>
  <r>
    <x v="57"/>
  </r>
  <r>
    <x v="57"/>
  </r>
  <r>
    <x v="62"/>
  </r>
  <r>
    <x v="14"/>
  </r>
  <r>
    <x v="74"/>
  </r>
  <r>
    <x v="0"/>
  </r>
  <r>
    <x v="74"/>
  </r>
  <r>
    <x v="174"/>
  </r>
  <r>
    <x v="48"/>
  </r>
  <r>
    <x v="131"/>
  </r>
  <r>
    <x v="131"/>
  </r>
  <r>
    <x v="40"/>
  </r>
  <r>
    <x v="40"/>
  </r>
  <r>
    <x v="46"/>
  </r>
  <r>
    <x v="48"/>
  </r>
  <r>
    <x v="133"/>
  </r>
  <r>
    <x v="22"/>
  </r>
  <r>
    <x v="0"/>
  </r>
  <r>
    <x v="60"/>
  </r>
  <r>
    <x v="60"/>
  </r>
  <r>
    <x v="48"/>
  </r>
  <r>
    <x v="141"/>
  </r>
  <r>
    <x v="0"/>
  </r>
  <r>
    <x v="0"/>
  </r>
  <r>
    <x v="0"/>
  </r>
  <r>
    <x v="0"/>
  </r>
  <r>
    <x v="30"/>
  </r>
  <r>
    <x v="4"/>
  </r>
  <r>
    <x v="22"/>
  </r>
  <r>
    <x v="48"/>
  </r>
  <r>
    <x v="48"/>
  </r>
  <r>
    <x v="48"/>
  </r>
  <r>
    <x v="48"/>
  </r>
  <r>
    <x v="23"/>
  </r>
  <r>
    <x v="23"/>
  </r>
  <r>
    <x v="48"/>
  </r>
  <r>
    <x v="12"/>
  </r>
  <r>
    <x v="29"/>
  </r>
  <r>
    <x v="29"/>
  </r>
  <r>
    <x v="2"/>
  </r>
  <r>
    <x v="2"/>
  </r>
  <r>
    <x v="4"/>
  </r>
  <r>
    <x v="2"/>
  </r>
  <r>
    <x v="12"/>
  </r>
  <r>
    <x v="6"/>
  </r>
  <r>
    <x v="6"/>
  </r>
  <r>
    <x v="6"/>
  </r>
  <r>
    <x v="6"/>
  </r>
  <r>
    <x v="77"/>
  </r>
  <r>
    <x v="77"/>
  </r>
  <r>
    <x v="77"/>
  </r>
  <r>
    <x v="28"/>
  </r>
  <r>
    <x v="14"/>
  </r>
  <r>
    <x v="14"/>
  </r>
  <r>
    <x v="14"/>
  </r>
  <r>
    <x v="12"/>
  </r>
  <r>
    <x v="14"/>
  </r>
  <r>
    <x v="12"/>
  </r>
  <r>
    <x v="12"/>
  </r>
  <r>
    <x v="48"/>
  </r>
  <r>
    <x v="108"/>
  </r>
  <r>
    <x v="42"/>
  </r>
  <r>
    <x v="48"/>
  </r>
  <r>
    <x v="48"/>
  </r>
  <r>
    <x v="48"/>
  </r>
  <r>
    <x v="48"/>
  </r>
  <r>
    <x v="41"/>
  </r>
  <r>
    <x v="9"/>
  </r>
  <r>
    <x v="48"/>
  </r>
  <r>
    <x v="48"/>
  </r>
  <r>
    <x v="17"/>
  </r>
  <r>
    <x v="30"/>
  </r>
  <r>
    <x v="30"/>
  </r>
  <r>
    <x v="30"/>
  </r>
  <r>
    <x v="48"/>
  </r>
  <r>
    <x v="12"/>
  </r>
  <r>
    <x v="12"/>
  </r>
  <r>
    <x v="48"/>
  </r>
  <r>
    <x v="48"/>
  </r>
  <r>
    <x v="29"/>
  </r>
  <r>
    <x v="130"/>
  </r>
  <r>
    <x v="48"/>
  </r>
  <r>
    <x v="3"/>
  </r>
  <r>
    <x v="61"/>
  </r>
  <r>
    <x v="48"/>
  </r>
  <r>
    <x v="48"/>
  </r>
  <r>
    <x v="14"/>
  </r>
  <r>
    <x v="14"/>
  </r>
  <r>
    <x v="14"/>
  </r>
  <r>
    <x v="48"/>
  </r>
  <r>
    <x v="1"/>
  </r>
  <r>
    <x v="14"/>
  </r>
  <r>
    <x v="1"/>
  </r>
  <r>
    <x v="14"/>
  </r>
  <r>
    <x v="14"/>
  </r>
  <r>
    <x v="249"/>
  </r>
  <r>
    <x v="46"/>
  </r>
  <r>
    <x v="14"/>
  </r>
  <r>
    <x v="10"/>
  </r>
  <r>
    <x v="10"/>
  </r>
  <r>
    <x v="10"/>
  </r>
  <r>
    <x v="16"/>
  </r>
  <r>
    <x v="64"/>
  </r>
  <r>
    <x v="132"/>
  </r>
  <r>
    <x v="132"/>
  </r>
  <r>
    <x v="132"/>
  </r>
  <r>
    <x v="48"/>
  </r>
  <r>
    <x v="46"/>
  </r>
  <r>
    <x v="46"/>
  </r>
  <r>
    <x v="48"/>
  </r>
  <r>
    <x v="7"/>
  </r>
  <r>
    <x v="8"/>
  </r>
  <r>
    <x v="48"/>
  </r>
  <r>
    <x v="33"/>
  </r>
  <r>
    <x v="48"/>
  </r>
  <r>
    <x v="48"/>
  </r>
  <r>
    <x v="4"/>
  </r>
  <r>
    <x v="48"/>
  </r>
  <r>
    <x v="48"/>
  </r>
  <r>
    <x v="286"/>
  </r>
  <r>
    <x v="82"/>
  </r>
  <r>
    <x v="48"/>
  </r>
  <r>
    <x v="48"/>
  </r>
  <r>
    <x v="48"/>
  </r>
  <r>
    <x v="131"/>
  </r>
  <r>
    <x v="41"/>
  </r>
  <r>
    <x v="72"/>
  </r>
  <r>
    <x v="79"/>
  </r>
  <r>
    <x v="79"/>
  </r>
  <r>
    <x v="8"/>
  </r>
  <r>
    <x v="14"/>
  </r>
  <r>
    <x v="63"/>
  </r>
  <r>
    <x v="48"/>
  </r>
  <r>
    <x v="48"/>
  </r>
  <r>
    <x v="48"/>
  </r>
  <r>
    <x v="48"/>
  </r>
  <r>
    <x v="3"/>
  </r>
  <r>
    <x v="3"/>
  </r>
  <r>
    <x v="48"/>
  </r>
  <r>
    <x v="48"/>
  </r>
  <r>
    <x v="48"/>
  </r>
  <r>
    <x v="21"/>
  </r>
  <r>
    <x v="21"/>
  </r>
  <r>
    <x v="76"/>
  </r>
  <r>
    <x v="113"/>
  </r>
  <r>
    <x v="76"/>
  </r>
  <r>
    <x v="113"/>
  </r>
  <r>
    <x v="76"/>
  </r>
  <r>
    <x v="12"/>
  </r>
  <r>
    <x v="76"/>
  </r>
  <r>
    <x v="76"/>
  </r>
  <r>
    <x v="113"/>
  </r>
  <r>
    <x v="20"/>
  </r>
  <r>
    <x v="101"/>
  </r>
  <r>
    <x v="210"/>
  </r>
  <r>
    <x v="113"/>
  </r>
  <r>
    <x v="113"/>
  </r>
  <r>
    <x v="113"/>
  </r>
  <r>
    <x v="113"/>
  </r>
  <r>
    <x v="113"/>
  </r>
  <r>
    <x v="113"/>
  </r>
  <r>
    <x v="113"/>
  </r>
  <r>
    <x v="113"/>
  </r>
  <r>
    <x v="20"/>
  </r>
  <r>
    <x v="104"/>
  </r>
  <r>
    <x v="190"/>
  </r>
  <r>
    <x v="133"/>
  </r>
  <r>
    <x v="133"/>
  </r>
  <r>
    <x v="76"/>
  </r>
  <r>
    <x v="108"/>
  </r>
  <r>
    <x v="24"/>
  </r>
  <r>
    <x v="296"/>
  </r>
  <r>
    <x v="265"/>
  </r>
  <r>
    <x v="265"/>
  </r>
  <r>
    <x v="76"/>
  </r>
  <r>
    <x v="76"/>
  </r>
  <r>
    <x v="76"/>
  </r>
  <r>
    <x v="76"/>
  </r>
  <r>
    <x v="31"/>
  </r>
  <r>
    <x v="380"/>
  </r>
  <r>
    <x v="144"/>
  </r>
  <r>
    <x v="204"/>
  </r>
  <r>
    <x v="356"/>
  </r>
  <r>
    <x v="376"/>
  </r>
  <r>
    <x v="296"/>
  </r>
  <r>
    <x v="366"/>
  </r>
  <r>
    <x v="32"/>
  </r>
  <r>
    <x v="506"/>
  </r>
  <r>
    <x v="179"/>
  </r>
  <r>
    <x v="294"/>
  </r>
  <r>
    <x v="434"/>
  </r>
  <r>
    <x v="434"/>
  </r>
  <r>
    <x v="205"/>
  </r>
  <r>
    <x v="418"/>
  </r>
  <r>
    <x v="507"/>
  </r>
  <r>
    <x v="441"/>
  </r>
  <r>
    <x v="466"/>
  </r>
  <r>
    <x v="112"/>
  </r>
  <r>
    <x v="155"/>
  </r>
  <r>
    <x v="111"/>
  </r>
  <r>
    <x v="155"/>
  </r>
  <r>
    <x v="198"/>
  </r>
  <r>
    <x v="198"/>
  </r>
  <r>
    <x v="111"/>
  </r>
  <r>
    <x v="111"/>
  </r>
  <r>
    <x v="111"/>
  </r>
  <r>
    <x v="20"/>
  </r>
  <r>
    <x v="112"/>
  </r>
  <r>
    <x v="21"/>
  </r>
  <r>
    <x v="81"/>
  </r>
  <r>
    <x v="81"/>
  </r>
  <r>
    <x v="79"/>
  </r>
  <r>
    <x v="26"/>
  </r>
  <r>
    <x v="508"/>
  </r>
  <r>
    <x v="71"/>
  </r>
  <r>
    <x v="100"/>
  </r>
  <r>
    <x v="100"/>
  </r>
  <r>
    <x v="424"/>
  </r>
  <r>
    <x v="106"/>
  </r>
  <r>
    <x v="509"/>
  </r>
  <r>
    <x v="370"/>
  </r>
  <r>
    <x v="510"/>
  </r>
  <r>
    <x v="370"/>
  </r>
  <r>
    <x v="374"/>
  </r>
  <r>
    <x v="100"/>
  </r>
  <r>
    <x v="100"/>
  </r>
  <r>
    <x v="25"/>
  </r>
  <r>
    <x v="48"/>
  </r>
  <r>
    <x v="52"/>
  </r>
  <r>
    <x v="265"/>
  </r>
  <r>
    <x v="506"/>
  </r>
  <r>
    <x v="511"/>
  </r>
  <r>
    <x v="266"/>
  </r>
  <r>
    <x v="59"/>
  </r>
  <r>
    <x v="386"/>
  </r>
  <r>
    <x v="93"/>
  </r>
  <r>
    <x v="93"/>
  </r>
  <r>
    <x v="93"/>
  </r>
  <r>
    <x v="25"/>
  </r>
  <r>
    <x v="122"/>
  </r>
  <r>
    <x v="93"/>
  </r>
  <r>
    <x v="29"/>
  </r>
  <r>
    <x v="29"/>
  </r>
  <r>
    <x v="93"/>
  </r>
  <r>
    <x v="93"/>
  </r>
  <r>
    <x v="93"/>
  </r>
  <r>
    <x v="93"/>
  </r>
  <r>
    <x v="93"/>
  </r>
  <r>
    <x v="93"/>
  </r>
  <r>
    <x v="117"/>
  </r>
  <r>
    <x v="10"/>
  </r>
  <r>
    <x v="512"/>
  </r>
  <r>
    <x v="112"/>
  </r>
  <r>
    <x v="12"/>
  </r>
  <r>
    <x v="77"/>
  </r>
  <r>
    <x v="77"/>
  </r>
  <r>
    <x v="12"/>
  </r>
  <r>
    <x v="25"/>
  </r>
  <r>
    <x v="93"/>
  </r>
  <r>
    <x v="93"/>
  </r>
  <r>
    <x v="63"/>
  </r>
  <r>
    <x v="29"/>
  </r>
  <r>
    <x v="93"/>
  </r>
  <r>
    <x v="85"/>
  </r>
  <r>
    <x v="177"/>
  </r>
  <r>
    <x v="81"/>
  </r>
  <r>
    <x v="48"/>
  </r>
  <r>
    <x v="331"/>
  </r>
  <r>
    <x v="52"/>
  </r>
  <r>
    <x v="29"/>
  </r>
  <r>
    <x v="82"/>
  </r>
  <r>
    <x v="29"/>
  </r>
  <r>
    <x v="91"/>
  </r>
  <r>
    <x v="85"/>
  </r>
  <r>
    <x v="25"/>
  </r>
  <r>
    <x v="25"/>
  </r>
  <r>
    <x v="25"/>
  </r>
  <r>
    <x v="25"/>
  </r>
  <r>
    <x v="25"/>
  </r>
  <r>
    <x v="94"/>
  </r>
  <r>
    <x v="28"/>
  </r>
  <r>
    <x v="25"/>
  </r>
  <r>
    <x v="25"/>
  </r>
  <r>
    <x v="82"/>
  </r>
  <r>
    <x v="82"/>
  </r>
  <r>
    <x v="82"/>
  </r>
  <r>
    <x v="25"/>
  </r>
  <r>
    <x v="25"/>
  </r>
  <r>
    <x v="28"/>
  </r>
  <r>
    <x v="28"/>
  </r>
  <r>
    <x v="28"/>
  </r>
  <r>
    <x v="12"/>
  </r>
  <r>
    <x v="12"/>
  </r>
  <r>
    <x v="75"/>
  </r>
  <r>
    <x v="77"/>
  </r>
  <r>
    <x v="82"/>
  </r>
  <r>
    <x v="12"/>
  </r>
  <r>
    <x v="12"/>
  </r>
  <r>
    <x v="105"/>
  </r>
  <r>
    <x v="25"/>
  </r>
  <r>
    <x v="25"/>
  </r>
  <r>
    <x v="25"/>
  </r>
  <r>
    <x v="25"/>
  </r>
  <r>
    <x v="75"/>
  </r>
  <r>
    <x v="24"/>
  </r>
  <r>
    <x v="75"/>
  </r>
  <r>
    <x v="82"/>
  </r>
  <r>
    <x v="133"/>
  </r>
  <r>
    <x v="133"/>
  </r>
  <r>
    <x v="133"/>
  </r>
  <r>
    <x v="133"/>
  </r>
  <r>
    <x v="133"/>
  </r>
  <r>
    <x v="112"/>
  </r>
  <r>
    <x v="25"/>
  </r>
  <r>
    <x v="28"/>
  </r>
  <r>
    <x v="28"/>
  </r>
  <r>
    <x v="28"/>
  </r>
  <r>
    <x v="28"/>
  </r>
  <r>
    <x v="28"/>
  </r>
  <r>
    <x v="81"/>
  </r>
  <r>
    <x v="81"/>
  </r>
  <r>
    <x v="81"/>
  </r>
  <r>
    <x v="81"/>
  </r>
  <r>
    <x v="81"/>
  </r>
  <r>
    <x v="219"/>
  </r>
  <r>
    <x v="81"/>
  </r>
  <r>
    <x v="81"/>
  </r>
  <r>
    <x v="81"/>
  </r>
  <r>
    <x v="81"/>
  </r>
  <r>
    <x v="81"/>
  </r>
  <r>
    <x v="93"/>
  </r>
  <r>
    <x v="25"/>
  </r>
  <r>
    <x v="76"/>
  </r>
  <r>
    <x v="76"/>
  </r>
  <r>
    <x v="25"/>
  </r>
  <r>
    <x v="25"/>
  </r>
  <r>
    <x v="25"/>
  </r>
  <r>
    <x v="25"/>
  </r>
  <r>
    <x v="25"/>
  </r>
  <r>
    <x v="48"/>
  </r>
  <r>
    <x v="0"/>
  </r>
  <r>
    <x v="76"/>
  </r>
  <r>
    <x v="76"/>
  </r>
  <r>
    <x v="76"/>
  </r>
  <r>
    <x v="76"/>
  </r>
  <r>
    <x v="82"/>
  </r>
  <r>
    <x v="78"/>
  </r>
  <r>
    <x v="76"/>
  </r>
  <r>
    <x v="25"/>
  </r>
  <r>
    <x v="25"/>
  </r>
  <r>
    <x v="25"/>
  </r>
  <r>
    <x v="25"/>
  </r>
  <r>
    <x v="10"/>
  </r>
  <r>
    <x v="93"/>
  </r>
  <r>
    <x v="76"/>
  </r>
  <r>
    <x v="76"/>
  </r>
  <r>
    <x v="29"/>
  </r>
  <r>
    <x v="12"/>
  </r>
  <r>
    <x v="31"/>
  </r>
  <r>
    <x v="76"/>
  </r>
  <r>
    <x v="25"/>
  </r>
  <r>
    <x v="152"/>
  </r>
  <r>
    <x v="14"/>
  </r>
  <r>
    <x v="76"/>
  </r>
  <r>
    <x v="102"/>
  </r>
  <r>
    <x v="24"/>
  </r>
  <r>
    <x v="155"/>
  </r>
  <r>
    <x v="155"/>
  </r>
  <r>
    <x v="155"/>
  </r>
  <r>
    <x v="8"/>
  </r>
  <r>
    <x v="155"/>
  </r>
  <r>
    <x v="167"/>
  </r>
  <r>
    <x v="167"/>
  </r>
  <r>
    <x v="83"/>
  </r>
  <r>
    <x v="83"/>
  </r>
  <r>
    <x v="106"/>
  </r>
  <r>
    <x v="106"/>
  </r>
  <r>
    <x v="25"/>
  </r>
  <r>
    <x v="374"/>
  </r>
  <r>
    <x v="25"/>
  </r>
  <r>
    <x v="25"/>
  </r>
  <r>
    <x v="29"/>
  </r>
  <r>
    <x v="100"/>
  </r>
  <r>
    <x v="129"/>
  </r>
  <r>
    <x v="29"/>
  </r>
  <r>
    <x v="29"/>
  </r>
  <r>
    <x v="29"/>
  </r>
  <r>
    <x v="25"/>
  </r>
  <r>
    <x v="108"/>
  </r>
  <r>
    <x v="76"/>
  </r>
  <r>
    <x v="513"/>
  </r>
  <r>
    <x v="27"/>
  </r>
  <r>
    <x v="27"/>
  </r>
  <r>
    <x v="78"/>
  </r>
  <r>
    <x v="78"/>
  </r>
  <r>
    <x v="27"/>
  </r>
  <r>
    <x v="27"/>
  </r>
  <r>
    <x v="27"/>
  </r>
  <r>
    <x v="27"/>
  </r>
  <r>
    <x v="27"/>
  </r>
  <r>
    <x v="440"/>
  </r>
  <r>
    <x v="373"/>
  </r>
  <r>
    <x v="76"/>
  </r>
  <r>
    <x v="67"/>
  </r>
  <r>
    <x v="70"/>
  </r>
  <r>
    <x v="242"/>
  </r>
  <r>
    <x v="386"/>
  </r>
  <r>
    <x v="514"/>
  </r>
  <r>
    <x v="59"/>
  </r>
  <r>
    <x v="70"/>
  </r>
  <r>
    <x v="46"/>
  </r>
  <r>
    <x v="201"/>
  </r>
  <r>
    <x v="440"/>
  </r>
  <r>
    <x v="76"/>
  </r>
  <r>
    <x v="76"/>
  </r>
  <r>
    <x v="90"/>
  </r>
  <r>
    <x v="29"/>
  </r>
  <r>
    <x v="6"/>
  </r>
  <r>
    <x v="46"/>
  </r>
  <r>
    <x v="6"/>
  </r>
  <r>
    <x v="59"/>
  </r>
  <r>
    <x v="2"/>
  </r>
  <r>
    <x v="29"/>
  </r>
  <r>
    <x v="380"/>
  </r>
  <r>
    <x v="46"/>
  </r>
  <r>
    <x v="265"/>
  </r>
  <r>
    <x v="76"/>
  </r>
  <r>
    <x v="294"/>
  </r>
  <r>
    <x v="428"/>
  </r>
  <r>
    <x v="45"/>
  </r>
  <r>
    <x v="380"/>
  </r>
  <r>
    <x v="450"/>
  </r>
  <r>
    <x v="37"/>
  </r>
  <r>
    <x v="45"/>
  </r>
  <r>
    <x v="384"/>
  </r>
  <r>
    <x v="380"/>
  </r>
  <r>
    <x v="364"/>
  </r>
  <r>
    <x v="6"/>
  </r>
  <r>
    <x v="296"/>
  </r>
  <r>
    <x v="515"/>
  </r>
  <r>
    <x v="132"/>
  </r>
  <r>
    <x v="516"/>
  </r>
  <r>
    <x v="368"/>
  </r>
  <r>
    <x v="29"/>
  </r>
  <r>
    <x v="253"/>
  </r>
  <r>
    <x v="93"/>
  </r>
  <r>
    <x v="2"/>
  </r>
  <r>
    <x v="2"/>
  </r>
  <r>
    <x v="76"/>
  </r>
  <r>
    <x v="294"/>
  </r>
  <r>
    <x v="2"/>
  </r>
  <r>
    <x v="91"/>
  </r>
  <r>
    <x v="91"/>
  </r>
  <r>
    <x v="13"/>
  </r>
  <r>
    <x v="122"/>
  </r>
  <r>
    <x v="82"/>
  </r>
  <r>
    <x v="314"/>
  </r>
  <r>
    <x v="314"/>
  </r>
  <r>
    <x v="314"/>
  </r>
  <r>
    <x v="14"/>
  </r>
  <r>
    <x v="14"/>
  </r>
  <r>
    <x v="14"/>
  </r>
  <r>
    <x v="14"/>
  </r>
  <r>
    <x v="116"/>
  </r>
  <r>
    <x v="14"/>
  </r>
  <r>
    <x v="14"/>
  </r>
  <r>
    <x v="14"/>
  </r>
  <r>
    <x v="203"/>
  </r>
  <r>
    <x v="14"/>
  </r>
  <r>
    <x v="14"/>
  </r>
  <r>
    <x v="14"/>
  </r>
  <r>
    <x v="14"/>
  </r>
  <r>
    <x v="354"/>
  </r>
  <r>
    <x v="354"/>
  </r>
  <r>
    <x v="78"/>
  </r>
  <r>
    <x v="334"/>
  </r>
  <r>
    <x v="460"/>
  </r>
  <r>
    <x v="460"/>
  </r>
  <r>
    <x v="82"/>
  </r>
  <r>
    <x v="97"/>
  </r>
  <r>
    <x v="78"/>
  </r>
  <r>
    <x v="86"/>
  </r>
  <r>
    <x v="76"/>
  </r>
  <r>
    <x v="76"/>
  </r>
  <r>
    <x v="190"/>
  </r>
  <r>
    <x v="487"/>
  </r>
  <r>
    <x v="115"/>
  </r>
  <r>
    <x v="71"/>
  </r>
  <r>
    <x v="115"/>
  </r>
  <r>
    <x v="71"/>
  </r>
  <r>
    <x v="86"/>
  </r>
  <r>
    <x v="21"/>
  </r>
  <r>
    <x v="76"/>
  </r>
  <r>
    <x v="391"/>
  </r>
  <r>
    <x v="517"/>
  </r>
  <r>
    <x v="294"/>
  </r>
  <r>
    <x v="289"/>
  </r>
  <r>
    <x v="175"/>
  </r>
  <r>
    <x v="175"/>
  </r>
  <r>
    <x v="221"/>
  </r>
  <r>
    <x v="221"/>
  </r>
  <r>
    <x v="288"/>
  </r>
  <r>
    <x v="133"/>
  </r>
  <r>
    <x v="518"/>
  </r>
  <r>
    <x v="25"/>
  </r>
  <r>
    <x v="25"/>
  </r>
  <r>
    <x v="25"/>
  </r>
  <r>
    <x v="96"/>
  </r>
  <r>
    <x v="108"/>
  </r>
  <r>
    <x v="108"/>
  </r>
  <r>
    <x v="17"/>
  </r>
  <r>
    <x v="78"/>
  </r>
  <r>
    <x v="78"/>
  </r>
  <r>
    <x v="78"/>
  </r>
  <r>
    <x v="78"/>
  </r>
  <r>
    <x v="17"/>
  </r>
  <r>
    <x v="17"/>
  </r>
  <r>
    <x v="17"/>
  </r>
  <r>
    <x v="29"/>
  </r>
  <r>
    <x v="29"/>
  </r>
  <r>
    <x v="78"/>
  </r>
  <r>
    <x v="78"/>
  </r>
  <r>
    <x v="519"/>
  </r>
  <r>
    <x v="76"/>
  </r>
  <r>
    <x v="76"/>
  </r>
  <r>
    <x v="520"/>
  </r>
  <r>
    <x v="6"/>
  </r>
  <r>
    <x v="108"/>
  </r>
  <r>
    <x v="108"/>
  </r>
  <r>
    <x v="108"/>
  </r>
  <r>
    <x v="55"/>
  </r>
  <r>
    <x v="106"/>
  </r>
  <r>
    <x v="55"/>
  </r>
  <r>
    <x v="32"/>
  </r>
  <r>
    <x v="394"/>
  </r>
  <r>
    <x v="21"/>
  </r>
  <r>
    <x v="306"/>
  </r>
  <r>
    <x v="60"/>
  </r>
  <r>
    <x v="60"/>
  </r>
  <r>
    <x v="261"/>
  </r>
  <r>
    <x v="136"/>
  </r>
  <r>
    <x v="14"/>
  </r>
  <r>
    <x v="521"/>
  </r>
  <r>
    <x v="245"/>
  </r>
  <r>
    <x v="118"/>
  </r>
  <r>
    <x v="118"/>
  </r>
  <r>
    <x v="109"/>
  </r>
  <r>
    <x v="118"/>
  </r>
  <r>
    <x v="128"/>
  </r>
  <r>
    <x v="109"/>
  </r>
  <r>
    <x v="109"/>
  </r>
  <r>
    <x v="198"/>
  </r>
  <r>
    <x v="27"/>
  </r>
  <r>
    <x v="27"/>
  </r>
  <r>
    <x v="103"/>
  </r>
  <r>
    <x v="103"/>
  </r>
  <r>
    <x v="103"/>
  </r>
  <r>
    <x v="103"/>
  </r>
  <r>
    <x v="103"/>
  </r>
  <r>
    <x v="103"/>
  </r>
  <r>
    <x v="103"/>
  </r>
  <r>
    <x v="103"/>
  </r>
  <r>
    <x v="82"/>
  </r>
  <r>
    <x v="57"/>
  </r>
  <r>
    <x v="158"/>
  </r>
  <r>
    <x v="103"/>
  </r>
  <r>
    <x v="14"/>
  </r>
  <r>
    <x v="103"/>
  </r>
  <r>
    <x v="143"/>
  </r>
  <r>
    <x v="3"/>
  </r>
  <r>
    <x v="83"/>
  </r>
  <r>
    <x v="78"/>
  </r>
  <r>
    <x v="63"/>
  </r>
  <r>
    <x v="78"/>
  </r>
  <r>
    <x v="63"/>
  </r>
  <r>
    <x v="82"/>
  </r>
  <r>
    <x v="78"/>
  </r>
  <r>
    <x v="127"/>
  </r>
  <r>
    <x v="3"/>
  </r>
  <r>
    <x v="127"/>
  </r>
  <r>
    <x v="321"/>
  </r>
  <r>
    <x v="33"/>
  </r>
  <r>
    <x v="108"/>
  </r>
  <r>
    <x v="3"/>
  </r>
  <r>
    <x v="306"/>
  </r>
  <r>
    <x v="106"/>
  </r>
  <r>
    <x v="179"/>
  </r>
  <r>
    <x v="306"/>
  </r>
  <r>
    <x v="522"/>
  </r>
  <r>
    <x v="29"/>
  </r>
  <r>
    <x v="89"/>
  </r>
  <r>
    <x v="76"/>
  </r>
  <r>
    <x v="10"/>
  </r>
  <r>
    <x v="25"/>
  </r>
  <r>
    <x v="10"/>
  </r>
  <r>
    <x v="10"/>
  </r>
  <r>
    <x v="10"/>
  </r>
  <r>
    <x v="245"/>
  </r>
  <r>
    <x v="9"/>
  </r>
  <r>
    <x v="428"/>
  </r>
  <r>
    <x v="31"/>
  </r>
  <r>
    <x v="208"/>
  </r>
  <r>
    <x v="428"/>
  </r>
  <r>
    <x v="31"/>
  </r>
  <r>
    <x v="76"/>
  </r>
  <r>
    <x v="76"/>
  </r>
  <r>
    <x v="108"/>
  </r>
  <r>
    <x v="76"/>
  </r>
  <r>
    <x v="298"/>
  </r>
  <r>
    <x v="82"/>
  </r>
  <r>
    <x v="31"/>
  </r>
  <r>
    <x v="39"/>
  </r>
  <r>
    <x v="81"/>
  </r>
  <r>
    <x v="0"/>
  </r>
  <r>
    <x v="124"/>
  </r>
  <r>
    <x v="523"/>
  </r>
  <r>
    <x v="124"/>
  </r>
  <r>
    <x v="124"/>
  </r>
  <r>
    <x v="124"/>
  </r>
  <r>
    <x v="124"/>
  </r>
  <r>
    <x v="124"/>
  </r>
  <r>
    <x v="124"/>
  </r>
  <r>
    <x v="124"/>
  </r>
  <r>
    <x v="311"/>
  </r>
  <r>
    <x v="348"/>
  </r>
  <r>
    <x v="31"/>
  </r>
  <r>
    <x v="21"/>
  </r>
  <r>
    <x v="25"/>
  </r>
  <r>
    <x v="451"/>
  </r>
  <r>
    <x v="524"/>
  </r>
  <r>
    <x v="70"/>
  </r>
  <r>
    <x v="212"/>
  </r>
  <r>
    <x v="167"/>
  </r>
  <r>
    <x v="27"/>
  </r>
  <r>
    <x v="103"/>
  </r>
  <r>
    <x v="103"/>
  </r>
  <r>
    <x v="137"/>
  </r>
  <r>
    <x v="205"/>
  </r>
  <r>
    <x v="10"/>
  </r>
  <r>
    <x v="82"/>
  </r>
  <r>
    <x v="253"/>
  </r>
  <r>
    <x v="88"/>
  </r>
  <r>
    <x v="328"/>
  </r>
  <r>
    <x v="59"/>
  </r>
  <r>
    <x v="525"/>
  </r>
  <r>
    <x v="59"/>
  </r>
  <r>
    <x v="242"/>
  </r>
  <r>
    <x v="137"/>
  </r>
  <r>
    <x v="426"/>
  </r>
  <r>
    <x v="208"/>
  </r>
  <r>
    <x v="76"/>
  </r>
  <r>
    <x v="76"/>
  </r>
  <r>
    <x v="29"/>
  </r>
  <r>
    <x v="152"/>
  </r>
  <r>
    <x v="25"/>
  </r>
  <r>
    <x v="129"/>
  </r>
  <r>
    <x v="108"/>
  </r>
  <r>
    <x v="76"/>
  </r>
  <r>
    <x v="25"/>
  </r>
  <r>
    <x v="25"/>
  </r>
  <r>
    <x v="25"/>
  </r>
  <r>
    <x v="25"/>
  </r>
  <r>
    <x v="25"/>
  </r>
  <r>
    <x v="134"/>
  </r>
  <r>
    <x v="108"/>
  </r>
  <r>
    <x v="76"/>
  </r>
  <r>
    <x v="155"/>
  </r>
  <r>
    <x v="155"/>
  </r>
  <r>
    <x v="24"/>
  </r>
  <r>
    <x v="155"/>
  </r>
  <r>
    <x v="76"/>
  </r>
  <r>
    <x v="155"/>
  </r>
  <r>
    <x v="155"/>
  </r>
  <r>
    <x v="14"/>
  </r>
  <r>
    <x v="14"/>
  </r>
  <r>
    <x v="72"/>
  </r>
  <r>
    <x v="72"/>
  </r>
  <r>
    <x v="25"/>
  </r>
  <r>
    <x v="25"/>
  </r>
  <r>
    <x v="14"/>
  </r>
  <r>
    <x v="25"/>
  </r>
  <r>
    <x v="72"/>
  </r>
  <r>
    <x v="20"/>
  </r>
  <r>
    <x v="86"/>
  </r>
  <r>
    <x v="76"/>
  </r>
  <r>
    <x v="81"/>
  </r>
  <r>
    <x v="128"/>
  </r>
  <r>
    <x v="128"/>
  </r>
  <r>
    <x v="117"/>
  </r>
  <r>
    <x v="30"/>
  </r>
  <r>
    <x v="117"/>
  </r>
  <r>
    <x v="330"/>
  </r>
  <r>
    <x v="0"/>
  </r>
  <r>
    <x v="0"/>
  </r>
  <r>
    <x v="306"/>
  </r>
  <r>
    <x v="21"/>
  </r>
  <r>
    <x v="82"/>
  </r>
  <r>
    <x v="89"/>
  </r>
  <r>
    <x v="526"/>
  </r>
  <r>
    <x v="103"/>
  </r>
  <r>
    <x v="2"/>
  </r>
  <r>
    <x v="527"/>
  </r>
  <r>
    <x v="101"/>
  </r>
  <r>
    <x v="41"/>
  </r>
  <r>
    <x v="101"/>
  </r>
  <r>
    <x v="249"/>
  </r>
  <r>
    <x v="307"/>
  </r>
  <r>
    <x v="300"/>
  </r>
  <r>
    <x v="528"/>
  </r>
  <r>
    <x v="76"/>
  </r>
  <r>
    <x v="381"/>
  </r>
  <r>
    <x v="103"/>
  </r>
  <r>
    <x v="177"/>
  </r>
  <r>
    <x v="177"/>
  </r>
  <r>
    <x v="103"/>
  </r>
  <r>
    <x v="177"/>
  </r>
  <r>
    <x v="177"/>
  </r>
  <r>
    <x v="177"/>
  </r>
  <r>
    <x v="177"/>
  </r>
  <r>
    <x v="177"/>
  </r>
  <r>
    <x v="177"/>
  </r>
  <r>
    <x v="44"/>
  </r>
  <r>
    <x v="106"/>
  </r>
  <r>
    <x v="364"/>
  </r>
  <r>
    <x v="103"/>
  </r>
  <r>
    <x v="311"/>
  </r>
  <r>
    <x v="128"/>
  </r>
  <r>
    <x v="25"/>
  </r>
  <r>
    <x v="157"/>
  </r>
  <r>
    <x v="75"/>
  </r>
  <r>
    <x v="290"/>
  </r>
  <r>
    <x v="75"/>
  </r>
  <r>
    <x v="288"/>
  </r>
  <r>
    <x v="157"/>
  </r>
  <r>
    <x v="76"/>
  </r>
  <r>
    <x v="157"/>
  </r>
  <r>
    <x v="133"/>
  </r>
  <r>
    <x v="104"/>
  </r>
  <r>
    <x v="85"/>
  </r>
  <r>
    <x v="85"/>
  </r>
  <r>
    <x v="304"/>
  </r>
  <r>
    <x v="35"/>
  </r>
  <r>
    <x v="48"/>
  </r>
  <r>
    <x v="29"/>
  </r>
  <r>
    <x v="29"/>
  </r>
  <r>
    <x v="104"/>
  </r>
  <r>
    <x v="104"/>
  </r>
  <r>
    <x v="104"/>
  </r>
  <r>
    <x v="306"/>
  </r>
  <r>
    <x v="75"/>
  </r>
  <r>
    <x v="6"/>
  </r>
  <r>
    <x v="6"/>
  </r>
  <r>
    <x v="311"/>
  </r>
  <r>
    <x v="78"/>
  </r>
  <r>
    <x v="118"/>
  </r>
  <r>
    <x v="198"/>
  </r>
  <r>
    <x v="25"/>
  </r>
  <r>
    <x v="529"/>
  </r>
  <r>
    <x v="96"/>
  </r>
  <r>
    <x v="81"/>
  </r>
  <r>
    <x v="391"/>
  </r>
  <r>
    <x v="39"/>
  </r>
  <r>
    <x v="85"/>
  </r>
  <r>
    <x v="133"/>
  </r>
  <r>
    <x v="81"/>
  </r>
  <r>
    <x v="12"/>
  </r>
  <r>
    <x v="31"/>
  </r>
  <r>
    <x v="157"/>
  </r>
  <r>
    <x v="157"/>
  </r>
  <r>
    <x v="112"/>
  </r>
  <r>
    <x v="157"/>
  </r>
  <r>
    <x v="157"/>
  </r>
  <r>
    <x v="157"/>
  </r>
  <r>
    <x v="157"/>
  </r>
  <r>
    <x v="157"/>
  </r>
  <r>
    <x v="157"/>
  </r>
  <r>
    <x v="133"/>
  </r>
  <r>
    <x v="25"/>
  </r>
  <r>
    <x v="314"/>
  </r>
  <r>
    <x v="281"/>
  </r>
  <r>
    <x v="314"/>
  </r>
  <r>
    <x v="314"/>
  </r>
  <r>
    <x v="314"/>
  </r>
  <r>
    <x v="35"/>
  </r>
  <r>
    <x v="176"/>
  </r>
  <r>
    <x v="355"/>
  </r>
  <r>
    <x v="314"/>
  </r>
  <r>
    <x v="78"/>
  </r>
  <r>
    <x v="78"/>
  </r>
  <r>
    <x v="63"/>
  </r>
  <r>
    <x v="209"/>
  </r>
  <r>
    <x v="78"/>
  </r>
  <r>
    <x v="75"/>
  </r>
  <r>
    <x v="70"/>
  </r>
  <r>
    <x v="31"/>
  </r>
  <r>
    <x v="118"/>
  </r>
  <r>
    <x v="31"/>
  </r>
  <r>
    <x v="31"/>
  </r>
  <r>
    <x v="31"/>
  </r>
  <r>
    <x v="31"/>
  </r>
  <r>
    <x v="31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91"/>
  </r>
  <r>
    <x v="116"/>
  </r>
  <r>
    <x v="127"/>
  </r>
  <r>
    <x v="91"/>
  </r>
  <r>
    <x v="174"/>
  </r>
  <r>
    <x v="131"/>
  </r>
  <r>
    <x v="314"/>
  </r>
  <r>
    <x v="314"/>
  </r>
  <r>
    <x v="9"/>
  </r>
  <r>
    <x v="175"/>
  </r>
  <r>
    <x v="76"/>
  </r>
  <r>
    <x v="25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102"/>
  </r>
  <r>
    <x v="76"/>
  </r>
  <r>
    <x v="302"/>
  </r>
  <r>
    <x v="57"/>
  </r>
  <r>
    <x v="247"/>
  </r>
  <r>
    <x v="129"/>
  </r>
  <r>
    <x v="71"/>
  </r>
  <r>
    <x v="71"/>
  </r>
  <r>
    <x v="14"/>
  </r>
  <r>
    <x v="42"/>
  </r>
  <r>
    <x v="184"/>
  </r>
  <r>
    <x v="53"/>
  </r>
  <r>
    <x v="42"/>
  </r>
  <r>
    <x v="530"/>
  </r>
  <r>
    <x v="240"/>
  </r>
  <r>
    <x v="175"/>
  </r>
  <r>
    <x v="175"/>
  </r>
  <r>
    <x v="44"/>
  </r>
  <r>
    <x v="50"/>
  </r>
  <r>
    <x v="531"/>
  </r>
  <r>
    <x v="22"/>
  </r>
  <r>
    <x v="0"/>
  </r>
  <r>
    <x v="14"/>
  </r>
  <r>
    <x v="16"/>
  </r>
  <r>
    <x v="14"/>
  </r>
  <r>
    <x v="14"/>
  </r>
  <r>
    <x v="198"/>
  </r>
  <r>
    <x v="532"/>
  </r>
  <r>
    <x v="23"/>
  </r>
  <r>
    <x v="23"/>
  </r>
  <r>
    <x v="23"/>
  </r>
  <r>
    <x v="23"/>
  </r>
  <r>
    <x v="109"/>
  </r>
  <r>
    <x v="109"/>
  </r>
  <r>
    <x v="104"/>
  </r>
  <r>
    <x v="533"/>
  </r>
  <r>
    <x v="340"/>
  </r>
  <r>
    <x v="340"/>
  </r>
  <r>
    <x v="31"/>
  </r>
  <r>
    <x v="10"/>
  </r>
  <r>
    <x v="10"/>
  </r>
  <r>
    <x v="21"/>
  </r>
  <r>
    <x v="21"/>
  </r>
  <r>
    <x v="21"/>
  </r>
  <r>
    <x v="341"/>
  </r>
  <r>
    <x v="36"/>
  </r>
  <r>
    <x v="88"/>
  </r>
  <r>
    <x v="88"/>
  </r>
  <r>
    <x v="88"/>
  </r>
  <r>
    <x v="88"/>
  </r>
  <r>
    <x v="88"/>
  </r>
  <r>
    <x v="88"/>
  </r>
  <r>
    <x v="88"/>
  </r>
  <r>
    <x v="428"/>
  </r>
  <r>
    <x v="364"/>
  </r>
  <r>
    <x v="31"/>
  </r>
  <r>
    <x v="364"/>
  </r>
  <r>
    <x v="204"/>
  </r>
  <r>
    <x v="95"/>
  </r>
  <r>
    <x v="36"/>
  </r>
  <r>
    <x v="12"/>
  </r>
  <r>
    <x v="465"/>
  </r>
  <r>
    <x v="12"/>
  </r>
  <r>
    <x v="31"/>
  </r>
  <r>
    <x v="31"/>
  </r>
  <r>
    <x v="31"/>
  </r>
  <r>
    <x v="87"/>
  </r>
  <r>
    <x v="42"/>
  </r>
  <r>
    <x v="320"/>
  </r>
  <r>
    <x v="158"/>
  </r>
  <r>
    <x v="314"/>
  </r>
  <r>
    <x v="380"/>
  </r>
  <r>
    <x v="127"/>
  </r>
  <r>
    <x v="238"/>
  </r>
  <r>
    <x v="238"/>
  </r>
  <r>
    <x v="13"/>
  </r>
  <r>
    <x v="507"/>
  </r>
  <r>
    <x v="111"/>
  </r>
  <r>
    <x v="507"/>
  </r>
  <r>
    <x v="155"/>
  </r>
  <r>
    <x v="83"/>
  </r>
  <r>
    <x v="119"/>
  </r>
  <r>
    <x v="175"/>
  </r>
  <r>
    <x v="344"/>
  </r>
  <r>
    <x v="344"/>
  </r>
  <r>
    <x v="343"/>
  </r>
  <r>
    <x v="173"/>
  </r>
  <r>
    <x v="111"/>
  </r>
  <r>
    <x v="112"/>
  </r>
  <r>
    <x v="127"/>
  </r>
  <r>
    <x v="70"/>
  </r>
  <r>
    <x v="127"/>
  </r>
  <r>
    <x v="281"/>
  </r>
  <r>
    <x v="467"/>
  </r>
  <r>
    <x v="25"/>
  </r>
  <r>
    <x v="534"/>
  </r>
  <r>
    <x v="534"/>
  </r>
  <r>
    <x v="534"/>
  </r>
  <r>
    <x v="535"/>
  </r>
  <r>
    <x v="192"/>
  </r>
  <r>
    <x v="192"/>
  </r>
  <r>
    <x v="536"/>
  </r>
  <r>
    <x v="458"/>
  </r>
  <r>
    <x v="82"/>
  </r>
  <r>
    <x v="60"/>
  </r>
  <r>
    <x v="205"/>
  </r>
  <r>
    <x v="205"/>
  </r>
  <r>
    <x v="63"/>
  </r>
  <r>
    <x v="347"/>
  </r>
  <r>
    <x v="537"/>
  </r>
  <r>
    <x v="347"/>
  </r>
  <r>
    <x v="49"/>
  </r>
  <r>
    <x v="205"/>
  </r>
  <r>
    <x v="205"/>
  </r>
  <r>
    <x v="25"/>
  </r>
  <r>
    <x v="133"/>
  </r>
  <r>
    <x v="76"/>
  </r>
  <r>
    <x v="25"/>
  </r>
  <r>
    <x v="76"/>
  </r>
  <r>
    <x v="76"/>
  </r>
  <r>
    <x v="75"/>
  </r>
  <r>
    <x v="472"/>
  </r>
  <r>
    <x v="75"/>
  </r>
  <r>
    <x v="29"/>
  </r>
  <r>
    <x v="5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</r>
  <r>
    <x v="1"/>
  </r>
  <r>
    <x v="1"/>
  </r>
  <r>
    <x v="2"/>
  </r>
  <r>
    <x v="3"/>
  </r>
  <r>
    <x v="4"/>
  </r>
  <r>
    <x v="5"/>
  </r>
  <r>
    <x v="0"/>
  </r>
  <r>
    <x v="0"/>
  </r>
  <r>
    <x v="6"/>
  </r>
  <r>
    <x v="7"/>
  </r>
  <r>
    <x v="7"/>
  </r>
  <r>
    <x v="7"/>
  </r>
  <r>
    <x v="7"/>
  </r>
  <r>
    <x v="7"/>
  </r>
  <r>
    <x v="7"/>
  </r>
  <r>
    <x v="7"/>
  </r>
  <r>
    <x v="7"/>
  </r>
  <r>
    <x v="1"/>
  </r>
  <r>
    <x v="8"/>
  </r>
  <r>
    <x v="9"/>
  </r>
  <r>
    <x v="10"/>
  </r>
  <r>
    <x v="11"/>
  </r>
  <r>
    <x v="12"/>
  </r>
  <r>
    <x v="13"/>
  </r>
  <r>
    <x v="14"/>
  </r>
  <r>
    <x v="14"/>
  </r>
  <r>
    <x v="8"/>
  </r>
  <r>
    <x v="15"/>
  </r>
  <r>
    <x v="16"/>
  </r>
  <r>
    <x v="7"/>
  </r>
  <r>
    <x v="17"/>
  </r>
  <r>
    <x v="1"/>
  </r>
  <r>
    <x v="18"/>
  </r>
  <r>
    <x v="19"/>
  </r>
  <r>
    <x v="20"/>
  </r>
  <r>
    <x v="21"/>
  </r>
  <r>
    <x v="21"/>
  </r>
  <r>
    <x v="0"/>
  </r>
  <r>
    <x v="5"/>
  </r>
  <r>
    <x v="0"/>
  </r>
  <r>
    <x v="22"/>
  </r>
  <r>
    <x v="23"/>
  </r>
  <r>
    <x v="24"/>
  </r>
  <r>
    <x v="18"/>
  </r>
  <r>
    <x v="5"/>
  </r>
  <r>
    <x v="8"/>
  </r>
  <r>
    <x v="25"/>
  </r>
  <r>
    <x v="26"/>
  </r>
  <r>
    <x v="7"/>
  </r>
  <r>
    <x v="7"/>
  </r>
  <r>
    <x v="18"/>
  </r>
  <r>
    <x v="7"/>
  </r>
  <r>
    <x v="7"/>
  </r>
  <r>
    <x v="27"/>
  </r>
  <r>
    <x v="14"/>
  </r>
  <r>
    <x v="25"/>
  </r>
  <r>
    <x v="28"/>
  </r>
  <r>
    <x v="28"/>
  </r>
  <r>
    <x v="29"/>
  </r>
  <r>
    <x v="30"/>
  </r>
  <r>
    <x v="19"/>
  </r>
  <r>
    <x v="29"/>
  </r>
  <r>
    <x v="29"/>
  </r>
  <r>
    <x v="1"/>
  </r>
  <r>
    <x v="25"/>
  </r>
  <r>
    <x v="31"/>
  </r>
  <r>
    <x v="22"/>
  </r>
  <r>
    <x v="16"/>
  </r>
  <r>
    <x v="8"/>
  </r>
  <r>
    <x v="32"/>
  </r>
  <r>
    <x v="33"/>
  </r>
  <r>
    <x v="34"/>
  </r>
  <r>
    <x v="18"/>
  </r>
  <r>
    <x v="18"/>
  </r>
  <r>
    <x v="35"/>
  </r>
  <r>
    <x v="35"/>
  </r>
  <r>
    <x v="15"/>
  </r>
  <r>
    <x v="36"/>
  </r>
  <r>
    <x v="36"/>
  </r>
  <r>
    <x v="37"/>
  </r>
  <r>
    <x v="38"/>
  </r>
  <r>
    <x v="39"/>
  </r>
  <r>
    <x v="39"/>
  </r>
  <r>
    <x v="1"/>
  </r>
  <r>
    <x v="27"/>
  </r>
  <r>
    <x v="27"/>
  </r>
  <r>
    <x v="27"/>
  </r>
  <r>
    <x v="27"/>
  </r>
  <r>
    <x v="27"/>
  </r>
  <r>
    <x v="15"/>
  </r>
  <r>
    <x v="15"/>
  </r>
  <r>
    <x v="12"/>
  </r>
  <r>
    <x v="12"/>
  </r>
  <r>
    <x v="12"/>
  </r>
  <r>
    <x v="12"/>
  </r>
  <r>
    <x v="27"/>
  </r>
  <r>
    <x v="0"/>
  </r>
  <r>
    <x v="8"/>
  </r>
  <r>
    <x v="27"/>
  </r>
  <r>
    <x v="27"/>
  </r>
  <r>
    <x v="40"/>
  </r>
  <r>
    <x v="27"/>
  </r>
  <r>
    <x v="1"/>
  </r>
  <r>
    <x v="35"/>
  </r>
  <r>
    <x v="27"/>
  </r>
  <r>
    <x v="41"/>
  </r>
  <r>
    <x v="42"/>
  </r>
  <r>
    <x v="27"/>
  </r>
  <r>
    <x v="19"/>
  </r>
  <r>
    <x v="43"/>
  </r>
  <r>
    <x v="8"/>
  </r>
  <r>
    <x v="44"/>
  </r>
  <r>
    <x v="45"/>
  </r>
  <r>
    <x v="1"/>
  </r>
  <r>
    <x v="7"/>
  </r>
  <r>
    <x v="46"/>
  </r>
  <r>
    <x v="8"/>
  </r>
  <r>
    <x v="4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">
  <r>
    <x v="0"/>
  </r>
  <r>
    <x v="1"/>
  </r>
  <r>
    <x v="2"/>
  </r>
  <r>
    <x v="3"/>
  </r>
  <r>
    <x v="4"/>
  </r>
  <r>
    <x v="5"/>
  </r>
  <r>
    <x v="6"/>
  </r>
  <r>
    <x v="6"/>
  </r>
  <r>
    <x v="7"/>
  </r>
  <r>
    <x v="8"/>
  </r>
  <r>
    <x v="9"/>
  </r>
  <r>
    <x v="10"/>
  </r>
  <r>
    <x v="11"/>
  </r>
  <r>
    <x v="12"/>
  </r>
  <r>
    <x v="13"/>
  </r>
  <r>
    <x v="13"/>
  </r>
  <r>
    <x v="14"/>
  </r>
  <r>
    <x v="15"/>
  </r>
  <r>
    <x v="15"/>
  </r>
  <r>
    <x v="15"/>
  </r>
  <r>
    <x v="16"/>
  </r>
  <r>
    <x v="17"/>
  </r>
  <r>
    <x v="18"/>
  </r>
  <r>
    <x v="18"/>
  </r>
  <r>
    <x v="19"/>
  </r>
  <r>
    <x v="20"/>
  </r>
  <r>
    <x v="21"/>
  </r>
  <r>
    <x v="22"/>
  </r>
  <r>
    <x v="23"/>
  </r>
  <r>
    <x v="24"/>
  </r>
  <r>
    <x v="25"/>
  </r>
  <r>
    <x v="25"/>
  </r>
  <r>
    <x v="25"/>
  </r>
  <r>
    <x v="25"/>
  </r>
  <r>
    <x v="25"/>
  </r>
  <r>
    <x v="25"/>
  </r>
  <r>
    <x v="25"/>
  </r>
  <r>
    <x v="26"/>
  </r>
  <r>
    <x v="27"/>
  </r>
  <r>
    <x v="28"/>
  </r>
  <r>
    <x v="29"/>
  </r>
  <r>
    <x v="30"/>
  </r>
  <r>
    <x v="29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7"/>
  </r>
  <r>
    <x v="48"/>
  </r>
  <r>
    <x v="48"/>
  </r>
  <r>
    <x v="49"/>
  </r>
  <r>
    <x v="50"/>
  </r>
  <r>
    <x v="51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3"/>
  </r>
  <r>
    <x v="54"/>
  </r>
  <r>
    <x v="55"/>
  </r>
  <r>
    <x v="56"/>
  </r>
  <r>
    <x v="57"/>
  </r>
  <r>
    <x v="58"/>
  </r>
  <r>
    <x v="58"/>
  </r>
  <r>
    <x v="58"/>
  </r>
  <r>
    <x v="58"/>
  </r>
  <r>
    <x v="58"/>
  </r>
  <r>
    <x v="59"/>
  </r>
  <r>
    <x v="59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1"/>
  </r>
  <r>
    <x v="62"/>
  </r>
  <r>
    <x v="63"/>
  </r>
  <r>
    <x v="64"/>
  </r>
  <r>
    <x v="65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7"/>
  </r>
  <r>
    <x v="67"/>
  </r>
  <r>
    <x v="68"/>
  </r>
  <r>
    <x v="69"/>
  </r>
  <r>
    <x v="69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7"/>
  </r>
  <r>
    <x v="78"/>
  </r>
  <r>
    <x v="78"/>
  </r>
  <r>
    <x v="78"/>
  </r>
  <r>
    <x v="78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2"/>
  </r>
  <r>
    <x v="92"/>
  </r>
  <r>
    <x v="93"/>
  </r>
  <r>
    <x v="94"/>
  </r>
  <r>
    <x v="95"/>
  </r>
  <r>
    <x v="95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7"/>
  </r>
  <r>
    <x v="97"/>
  </r>
  <r>
    <x v="97"/>
  </r>
  <r>
    <x v="97"/>
  </r>
  <r>
    <x v="98"/>
  </r>
  <r>
    <x v="98"/>
  </r>
  <r>
    <x v="98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8"/>
  </r>
  <r>
    <x v="109"/>
  </r>
  <r>
    <x v="110"/>
  </r>
  <r>
    <x v="111"/>
  </r>
  <r>
    <x v="111"/>
  </r>
  <r>
    <x v="111"/>
  </r>
  <r>
    <x v="111"/>
  </r>
  <r>
    <x v="111"/>
  </r>
  <r>
    <x v="111"/>
  </r>
  <r>
    <x v="111"/>
  </r>
  <r>
    <x v="111"/>
  </r>
  <r>
    <x v="112"/>
  </r>
  <r>
    <x v="113"/>
  </r>
  <r>
    <x v="113"/>
  </r>
  <r>
    <x v="114"/>
  </r>
  <r>
    <x v="115"/>
  </r>
  <r>
    <x v="116"/>
  </r>
  <r>
    <x v="116"/>
  </r>
  <r>
    <x v="116"/>
  </r>
  <r>
    <x v="116"/>
  </r>
  <r>
    <x v="117"/>
  </r>
  <r>
    <x v="117"/>
  </r>
  <r>
    <x v="117"/>
  </r>
  <r>
    <x v="117"/>
  </r>
  <r>
    <x v="117"/>
  </r>
  <r>
    <x v="117"/>
  </r>
  <r>
    <x v="117"/>
  </r>
  <r>
    <x v="118"/>
  </r>
  <r>
    <x v="118"/>
  </r>
  <r>
    <x v="118"/>
  </r>
  <r>
    <x v="118"/>
  </r>
  <r>
    <x v="119"/>
  </r>
  <r>
    <x v="120"/>
  </r>
  <r>
    <x v="120"/>
  </r>
  <r>
    <x v="120"/>
  </r>
  <r>
    <x v="121"/>
  </r>
  <r>
    <x v="121"/>
  </r>
  <r>
    <x v="121"/>
  </r>
  <r>
    <x v="122"/>
  </r>
  <r>
    <x v="123"/>
  </r>
  <r>
    <x v="124"/>
  </r>
  <r>
    <x v="124"/>
  </r>
  <r>
    <x v="125"/>
  </r>
  <r>
    <x v="126"/>
  </r>
  <r>
    <x v="127"/>
  </r>
  <r>
    <x v="128"/>
  </r>
  <r>
    <x v="129"/>
  </r>
  <r>
    <x v="130"/>
  </r>
  <r>
    <x v="130"/>
  </r>
  <r>
    <x v="130"/>
  </r>
  <r>
    <x v="131"/>
  </r>
  <r>
    <x v="132"/>
  </r>
  <r>
    <x v="132"/>
  </r>
  <r>
    <x v="133"/>
  </r>
  <r>
    <x v="134"/>
  </r>
  <r>
    <x v="135"/>
  </r>
  <r>
    <x v="135"/>
  </r>
  <r>
    <x v="136"/>
  </r>
  <r>
    <x v="137"/>
  </r>
  <r>
    <x v="138"/>
  </r>
  <r>
    <x v="138"/>
  </r>
  <r>
    <x v="139"/>
  </r>
  <r>
    <x v="139"/>
  </r>
  <r>
    <x v="140"/>
  </r>
  <r>
    <x v="140"/>
  </r>
  <r>
    <x v="141"/>
  </r>
  <r>
    <x v="142"/>
  </r>
  <r>
    <x v="143"/>
  </r>
  <r>
    <x v="143"/>
  </r>
  <r>
    <x v="143"/>
  </r>
  <r>
    <x v="144"/>
  </r>
  <r>
    <x v="145"/>
  </r>
  <r>
    <x v="145"/>
  </r>
  <r>
    <x v="145"/>
  </r>
  <r>
    <x v="145"/>
  </r>
  <r>
    <x v="146"/>
  </r>
  <r>
    <x v="146"/>
  </r>
  <r>
    <x v="146"/>
  </r>
  <r>
    <x v="146"/>
  </r>
  <r>
    <x v="147"/>
  </r>
  <r>
    <x v="147"/>
  </r>
  <r>
    <x v="148"/>
  </r>
  <r>
    <x v="148"/>
  </r>
  <r>
    <x v="148"/>
  </r>
  <r>
    <x v="149"/>
  </r>
  <r>
    <x v="149"/>
  </r>
  <r>
    <x v="150"/>
  </r>
  <r>
    <x v="151"/>
  </r>
  <r>
    <x v="152"/>
  </r>
  <r>
    <x v="153"/>
  </r>
  <r>
    <x v="154"/>
  </r>
  <r>
    <x v="154"/>
  </r>
  <r>
    <x v="155"/>
  </r>
  <r>
    <x v="155"/>
  </r>
  <r>
    <x v="155"/>
  </r>
  <r>
    <x v="155"/>
  </r>
  <r>
    <x v="156"/>
  </r>
  <r>
    <x v="157"/>
  </r>
  <r>
    <x v="157"/>
  </r>
  <r>
    <x v="158"/>
  </r>
  <r>
    <x v="158"/>
  </r>
  <r>
    <x v="158"/>
  </r>
  <r>
    <x v="158"/>
  </r>
  <r>
    <x v="159"/>
  </r>
  <r>
    <x v="160"/>
  </r>
  <r>
    <x v="160"/>
  </r>
  <r>
    <x v="160"/>
  </r>
  <r>
    <x v="160"/>
  </r>
  <r>
    <x v="160"/>
  </r>
  <r>
    <x v="161"/>
  </r>
  <r>
    <x v="161"/>
  </r>
  <r>
    <x v="162"/>
  </r>
  <r>
    <x v="162"/>
  </r>
  <r>
    <x v="162"/>
  </r>
  <r>
    <x v="163"/>
  </r>
  <r>
    <x v="163"/>
  </r>
  <r>
    <x v="164"/>
  </r>
  <r>
    <x v="164"/>
  </r>
  <r>
    <x v="164"/>
  </r>
  <r>
    <x v="164"/>
  </r>
  <r>
    <x v="165"/>
  </r>
  <r>
    <x v="164"/>
  </r>
  <r>
    <x v="166"/>
  </r>
  <r>
    <x v="167"/>
  </r>
  <r>
    <x v="168"/>
  </r>
  <r>
    <x v="169"/>
  </r>
  <r>
    <x v="168"/>
  </r>
  <r>
    <x v="170"/>
  </r>
  <r>
    <x v="170"/>
  </r>
  <r>
    <x v="170"/>
  </r>
  <r>
    <x v="170"/>
  </r>
  <r>
    <x v="170"/>
  </r>
  <r>
    <x v="170"/>
  </r>
  <r>
    <x v="171"/>
  </r>
  <r>
    <x v="172"/>
  </r>
  <r>
    <x v="173"/>
  </r>
  <r>
    <x v="174"/>
  </r>
  <r>
    <x v="175"/>
  </r>
  <r>
    <x v="175"/>
  </r>
  <r>
    <x v="176"/>
  </r>
  <r>
    <x v="176"/>
  </r>
  <r>
    <x v="176"/>
  </r>
  <r>
    <x v="177"/>
  </r>
  <r>
    <x v="178"/>
  </r>
  <r>
    <x v="179"/>
  </r>
  <r>
    <x v="180"/>
  </r>
  <r>
    <x v="180"/>
  </r>
  <r>
    <x v="181"/>
  </r>
  <r>
    <x v="182"/>
  </r>
  <r>
    <x v="182"/>
  </r>
  <r>
    <x v="182"/>
  </r>
  <r>
    <x v="182"/>
  </r>
  <r>
    <x v="182"/>
  </r>
  <r>
    <x v="182"/>
  </r>
  <r>
    <x v="182"/>
  </r>
  <r>
    <x v="183"/>
  </r>
  <r>
    <x v="183"/>
  </r>
  <r>
    <x v="184"/>
  </r>
  <r>
    <x v="184"/>
  </r>
  <r>
    <x v="184"/>
  </r>
  <r>
    <x v="184"/>
  </r>
  <r>
    <x v="184"/>
  </r>
  <r>
    <x v="185"/>
  </r>
  <r>
    <x v="185"/>
  </r>
  <r>
    <x v="185"/>
  </r>
  <r>
    <x v="185"/>
  </r>
  <r>
    <x v="185"/>
  </r>
  <r>
    <x v="185"/>
  </r>
  <r>
    <x v="186"/>
  </r>
  <r>
    <x v="186"/>
  </r>
  <r>
    <x v="187"/>
  </r>
  <r>
    <x v="187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5"/>
  </r>
  <r>
    <x v="195"/>
  </r>
  <r>
    <x v="195"/>
  </r>
  <r>
    <x v="195"/>
  </r>
  <r>
    <x v="195"/>
  </r>
  <r>
    <x v="195"/>
  </r>
  <r>
    <x v="196"/>
  </r>
  <r>
    <x v="196"/>
  </r>
  <r>
    <x v="197"/>
  </r>
  <r>
    <x v="198"/>
  </r>
  <r>
    <x v="199"/>
  </r>
  <r>
    <x v="199"/>
  </r>
  <r>
    <x v="199"/>
  </r>
  <r>
    <x v="199"/>
  </r>
  <r>
    <x v="200"/>
  </r>
  <r>
    <x v="201"/>
  </r>
  <r>
    <x v="202"/>
  </r>
  <r>
    <x v="203"/>
  </r>
  <r>
    <x v="204"/>
  </r>
  <r>
    <x v="205"/>
  </r>
  <r>
    <x v="205"/>
  </r>
  <r>
    <x v="206"/>
  </r>
  <r>
    <x v="207"/>
  </r>
  <r>
    <x v="208"/>
  </r>
  <r>
    <x v="208"/>
  </r>
  <r>
    <x v="208"/>
  </r>
  <r>
    <x v="208"/>
  </r>
  <r>
    <x v="208"/>
  </r>
  <r>
    <x v="209"/>
  </r>
  <r>
    <x v="210"/>
  </r>
  <r>
    <x v="210"/>
  </r>
  <r>
    <x v="211"/>
  </r>
  <r>
    <x v="211"/>
  </r>
  <r>
    <x v="212"/>
  </r>
  <r>
    <x v="213"/>
  </r>
  <r>
    <x v="214"/>
  </r>
  <r>
    <x v="215"/>
  </r>
  <r>
    <x v="216"/>
  </r>
  <r>
    <x v="217"/>
  </r>
  <r>
    <x v="217"/>
  </r>
  <r>
    <x v="217"/>
  </r>
  <r>
    <x v="218"/>
  </r>
  <r>
    <x v="219"/>
  </r>
  <r>
    <x v="220"/>
  </r>
  <r>
    <x v="221"/>
  </r>
  <r>
    <x v="80"/>
  </r>
  <r>
    <x v="222"/>
  </r>
  <r>
    <x v="222"/>
  </r>
  <r>
    <x v="222"/>
  </r>
  <r>
    <x v="222"/>
  </r>
  <r>
    <x v="222"/>
  </r>
  <r>
    <x v="223"/>
  </r>
  <r>
    <x v="224"/>
  </r>
  <r>
    <x v="225"/>
  </r>
  <r>
    <x v="226"/>
  </r>
  <r>
    <x v="227"/>
  </r>
  <r>
    <x v="228"/>
  </r>
  <r>
    <x v="228"/>
  </r>
  <r>
    <x v="229"/>
  </r>
  <r>
    <x v="230"/>
  </r>
  <r>
    <x v="231"/>
  </r>
  <r>
    <x v="231"/>
  </r>
  <r>
    <x v="231"/>
  </r>
  <r>
    <x v="232"/>
  </r>
  <r>
    <x v="232"/>
  </r>
  <r>
    <x v="233"/>
  </r>
  <r>
    <x v="233"/>
  </r>
  <r>
    <x v="234"/>
  </r>
  <r>
    <x v="234"/>
  </r>
  <r>
    <x v="234"/>
  </r>
  <r>
    <x v="11"/>
  </r>
  <r>
    <x v="235"/>
  </r>
  <r>
    <x v="236"/>
  </r>
  <r>
    <x v="237"/>
  </r>
  <r>
    <x v="237"/>
  </r>
  <r>
    <x v="238"/>
  </r>
  <r>
    <x v="239"/>
  </r>
  <r>
    <x v="239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1"/>
  </r>
  <r>
    <x v="242"/>
  </r>
  <r>
    <x v="243"/>
  </r>
  <r>
    <x v="243"/>
  </r>
  <r>
    <x v="243"/>
  </r>
  <r>
    <x v="243"/>
  </r>
  <r>
    <x v="244"/>
  </r>
  <r>
    <x v="245"/>
  </r>
  <r>
    <x v="245"/>
  </r>
  <r>
    <x v="246"/>
  </r>
  <r>
    <x v="247"/>
  </r>
  <r>
    <x v="247"/>
  </r>
  <r>
    <x v="247"/>
  </r>
  <r>
    <x v="247"/>
  </r>
  <r>
    <x v="247"/>
  </r>
  <r>
    <x v="247"/>
  </r>
  <r>
    <x v="247"/>
  </r>
  <r>
    <x v="247"/>
  </r>
  <r>
    <x v="247"/>
  </r>
  <r>
    <x v="247"/>
  </r>
  <r>
    <x v="248"/>
  </r>
  <r>
    <x v="249"/>
  </r>
  <r>
    <x v="250"/>
  </r>
  <r>
    <x v="251"/>
  </r>
  <r>
    <x v="251"/>
  </r>
  <r>
    <x v="251"/>
  </r>
  <r>
    <x v="251"/>
  </r>
  <r>
    <x v="251"/>
  </r>
  <r>
    <x v="251"/>
  </r>
  <r>
    <x v="251"/>
  </r>
  <r>
    <x v="251"/>
  </r>
  <r>
    <x v="251"/>
  </r>
  <r>
    <x v="251"/>
  </r>
  <r>
    <x v="252"/>
  </r>
  <r>
    <x v="253"/>
  </r>
  <r>
    <x v="254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2"/>
  </r>
  <r>
    <x v="263"/>
  </r>
  <r>
    <x v="264"/>
  </r>
  <r>
    <x v="265"/>
  </r>
  <r>
    <x v="266"/>
  </r>
  <r>
    <x v="267"/>
  </r>
  <r>
    <x v="268"/>
  </r>
  <r>
    <x v="264"/>
  </r>
  <r>
    <x v="264"/>
  </r>
  <r>
    <x v="264"/>
  </r>
  <r>
    <x v="269"/>
  </r>
  <r>
    <x v="270"/>
  </r>
  <r>
    <x v="271"/>
  </r>
  <r>
    <x v="271"/>
  </r>
  <r>
    <x v="271"/>
  </r>
  <r>
    <x v="271"/>
  </r>
  <r>
    <x v="271"/>
  </r>
  <r>
    <x v="271"/>
  </r>
  <r>
    <x v="272"/>
  </r>
  <r>
    <x v="272"/>
  </r>
  <r>
    <x v="273"/>
  </r>
  <r>
    <x v="274"/>
  </r>
  <r>
    <x v="275"/>
  </r>
  <r>
    <x v="275"/>
  </r>
  <r>
    <x v="276"/>
  </r>
  <r>
    <x v="276"/>
  </r>
  <r>
    <x v="276"/>
  </r>
  <r>
    <x v="277"/>
  </r>
  <r>
    <x v="278"/>
  </r>
  <r>
    <x v="279"/>
  </r>
  <r>
    <x v="280"/>
  </r>
  <r>
    <x v="280"/>
  </r>
  <r>
    <x v="281"/>
  </r>
  <r>
    <x v="87"/>
  </r>
  <r>
    <x v="282"/>
  </r>
  <r>
    <x v="282"/>
  </r>
  <r>
    <x v="283"/>
  </r>
  <r>
    <x v="284"/>
  </r>
  <r>
    <x v="285"/>
  </r>
  <r>
    <x v="285"/>
  </r>
  <r>
    <x v="286"/>
  </r>
  <r>
    <x v="287"/>
  </r>
  <r>
    <x v="287"/>
  </r>
  <r>
    <x v="288"/>
  </r>
  <r>
    <x v="288"/>
  </r>
  <r>
    <x v="289"/>
  </r>
  <r>
    <x v="289"/>
  </r>
  <r>
    <x v="290"/>
  </r>
  <r>
    <x v="290"/>
  </r>
  <r>
    <x v="290"/>
  </r>
  <r>
    <x v="291"/>
  </r>
  <r>
    <x v="291"/>
  </r>
  <r>
    <x v="292"/>
  </r>
  <r>
    <x v="293"/>
  </r>
  <r>
    <x v="293"/>
  </r>
  <r>
    <x v="293"/>
  </r>
  <r>
    <x v="294"/>
  </r>
  <r>
    <x v="294"/>
  </r>
  <r>
    <x v="294"/>
  </r>
  <r>
    <x v="294"/>
  </r>
  <r>
    <x v="295"/>
  </r>
  <r>
    <x v="296"/>
  </r>
  <r>
    <x v="296"/>
  </r>
  <r>
    <x v="296"/>
  </r>
  <r>
    <x v="296"/>
  </r>
  <r>
    <x v="296"/>
  </r>
  <r>
    <x v="296"/>
  </r>
  <r>
    <x v="296"/>
  </r>
  <r>
    <x v="296"/>
  </r>
  <r>
    <x v="296"/>
  </r>
  <r>
    <x v="296"/>
  </r>
  <r>
    <x v="296"/>
  </r>
  <r>
    <x v="296"/>
  </r>
  <r>
    <x v="296"/>
  </r>
  <r>
    <x v="297"/>
  </r>
  <r>
    <x v="297"/>
  </r>
  <r>
    <x v="298"/>
  </r>
  <r>
    <x v="299"/>
  </r>
  <r>
    <x v="300"/>
  </r>
  <r>
    <x v="301"/>
  </r>
  <r>
    <x v="301"/>
  </r>
  <r>
    <x v="301"/>
  </r>
  <r>
    <x v="301"/>
  </r>
  <r>
    <x v="302"/>
  </r>
  <r>
    <x v="303"/>
  </r>
  <r>
    <x v="304"/>
  </r>
  <r>
    <x v="305"/>
  </r>
  <r>
    <x v="305"/>
  </r>
  <r>
    <x v="305"/>
  </r>
  <r>
    <x v="305"/>
  </r>
  <r>
    <x v="305"/>
  </r>
  <r>
    <x v="305"/>
  </r>
  <r>
    <x v="305"/>
  </r>
  <r>
    <x v="306"/>
  </r>
  <r>
    <x v="307"/>
  </r>
  <r>
    <x v="307"/>
  </r>
  <r>
    <x v="307"/>
  </r>
  <r>
    <x v="307"/>
  </r>
  <r>
    <x v="308"/>
  </r>
  <r>
    <x v="308"/>
  </r>
  <r>
    <x v="309"/>
  </r>
  <r>
    <x v="309"/>
  </r>
  <r>
    <x v="309"/>
  </r>
  <r>
    <x v="309"/>
  </r>
  <r>
    <x v="309"/>
  </r>
  <r>
    <x v="309"/>
  </r>
  <r>
    <x v="310"/>
  </r>
  <r>
    <x v="311"/>
  </r>
  <r>
    <x v="312"/>
  </r>
  <r>
    <x v="313"/>
  </r>
  <r>
    <x v="313"/>
  </r>
  <r>
    <x v="314"/>
  </r>
  <r>
    <x v="315"/>
  </r>
  <r>
    <x v="315"/>
  </r>
  <r>
    <x v="316"/>
  </r>
  <r>
    <x v="317"/>
  </r>
  <r>
    <x v="317"/>
  </r>
  <r>
    <x v="318"/>
  </r>
  <r>
    <x v="319"/>
  </r>
  <r>
    <x v="320"/>
  </r>
  <r>
    <x v="320"/>
  </r>
  <r>
    <x v="11"/>
  </r>
  <r>
    <x v="11"/>
  </r>
  <r>
    <x v="11"/>
  </r>
  <r>
    <x v="321"/>
  </r>
  <r>
    <x v="322"/>
  </r>
  <r>
    <x v="322"/>
  </r>
  <r>
    <x v="322"/>
  </r>
  <r>
    <x v="322"/>
  </r>
  <r>
    <x v="323"/>
  </r>
  <r>
    <x v="323"/>
  </r>
  <r>
    <x v="323"/>
  </r>
  <r>
    <x v="323"/>
  </r>
  <r>
    <x v="324"/>
  </r>
  <r>
    <x v="324"/>
  </r>
  <r>
    <x v="324"/>
  </r>
  <r>
    <x v="324"/>
  </r>
  <r>
    <x v="325"/>
  </r>
  <r>
    <x v="325"/>
  </r>
  <r>
    <x v="326"/>
  </r>
  <r>
    <x v="327"/>
  </r>
  <r>
    <x v="328"/>
  </r>
  <r>
    <x v="328"/>
  </r>
  <r>
    <x v="329"/>
  </r>
  <r>
    <x v="1"/>
  </r>
  <r>
    <x v="330"/>
  </r>
  <r>
    <x v="331"/>
  </r>
  <r>
    <x v="332"/>
  </r>
  <r>
    <x v="333"/>
  </r>
  <r>
    <x v="334"/>
  </r>
  <r>
    <x v="335"/>
  </r>
  <r>
    <x v="335"/>
  </r>
  <r>
    <x v="335"/>
  </r>
  <r>
    <x v="335"/>
  </r>
  <r>
    <x v="335"/>
  </r>
  <r>
    <x v="335"/>
  </r>
  <r>
    <x v="336"/>
  </r>
  <r>
    <x v="336"/>
  </r>
  <r>
    <x v="337"/>
  </r>
  <r>
    <x v="338"/>
  </r>
  <r>
    <x v="339"/>
  </r>
  <r>
    <x v="340"/>
  </r>
  <r>
    <x v="341"/>
  </r>
  <r>
    <x v="341"/>
  </r>
  <r>
    <x v="341"/>
  </r>
  <r>
    <x v="341"/>
  </r>
  <r>
    <x v="341"/>
  </r>
  <r>
    <x v="341"/>
  </r>
  <r>
    <x v="342"/>
  </r>
  <r>
    <x v="342"/>
  </r>
  <r>
    <x v="343"/>
  </r>
  <r>
    <x v="344"/>
  </r>
  <r>
    <x v="345"/>
  </r>
  <r>
    <x v="346"/>
  </r>
  <r>
    <x v="347"/>
  </r>
  <r>
    <x v="348"/>
  </r>
  <r>
    <x v="348"/>
  </r>
  <r>
    <x v="349"/>
  </r>
  <r>
    <x v="350"/>
  </r>
  <r>
    <x v="350"/>
  </r>
  <r>
    <x v="350"/>
  </r>
  <r>
    <x v="350"/>
  </r>
  <r>
    <x v="351"/>
  </r>
  <r>
    <x v="352"/>
  </r>
  <r>
    <x v="353"/>
  </r>
  <r>
    <x v="354"/>
  </r>
  <r>
    <x v="354"/>
  </r>
  <r>
    <x v="354"/>
  </r>
  <r>
    <x v="355"/>
  </r>
  <r>
    <x v="355"/>
  </r>
  <r>
    <x v="356"/>
  </r>
  <r>
    <x v="357"/>
  </r>
  <r>
    <x v="358"/>
  </r>
  <r>
    <x v="358"/>
  </r>
  <r>
    <x v="359"/>
  </r>
  <r>
    <x v="360"/>
  </r>
  <r>
    <x v="360"/>
  </r>
  <r>
    <x v="360"/>
  </r>
  <r>
    <x v="360"/>
  </r>
  <r>
    <x v="360"/>
  </r>
  <r>
    <x v="360"/>
  </r>
  <r>
    <x v="3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B2E23-4779-48BB-95BF-0CDAEA85167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43" firstHeaderRow="1" firstDataRow="1" firstDataCol="1"/>
  <pivotFields count="1">
    <pivotField axis="axisRow" dataField="1" showAll="0" sortType="descending">
      <items count="540">
        <item x="111"/>
        <item x="56"/>
        <item x="212"/>
        <item x="506"/>
        <item x="141"/>
        <item x="529"/>
        <item x="262"/>
        <item x="463"/>
        <item x="402"/>
        <item x="90"/>
        <item x="312"/>
        <item x="337"/>
        <item x="441"/>
        <item x="298"/>
        <item x="527"/>
        <item x="144"/>
        <item x="473"/>
        <item x="370"/>
        <item x="321"/>
        <item x="205"/>
        <item x="328"/>
        <item x="42"/>
        <item x="277"/>
        <item x="224"/>
        <item x="244"/>
        <item x="202"/>
        <item x="229"/>
        <item x="148"/>
        <item x="100"/>
        <item x="319"/>
        <item x="192"/>
        <item x="528"/>
        <item x="401"/>
        <item x="288"/>
        <item x="375"/>
        <item x="468"/>
        <item x="414"/>
        <item x="15"/>
        <item x="458"/>
        <item x="393"/>
        <item x="493"/>
        <item x="159"/>
        <item x="270"/>
        <item x="453"/>
        <item x="118"/>
        <item x="480"/>
        <item x="52"/>
        <item x="456"/>
        <item x="497"/>
        <item x="516"/>
        <item x="119"/>
        <item x="126"/>
        <item x="214"/>
        <item x="482"/>
        <item x="99"/>
        <item x="155"/>
        <item x="351"/>
        <item x="248"/>
        <item x="271"/>
        <item x="412"/>
        <item x="443"/>
        <item x="28"/>
        <item x="207"/>
        <item x="89"/>
        <item x="46"/>
        <item x="378"/>
        <item x="240"/>
        <item x="534"/>
        <item x="403"/>
        <item x="368"/>
        <item x="104"/>
        <item x="304"/>
        <item x="410"/>
        <item x="517"/>
        <item x="526"/>
        <item x="364"/>
        <item x="406"/>
        <item x="358"/>
        <item x="147"/>
        <item x="508"/>
        <item x="310"/>
        <item x="1"/>
        <item x="452"/>
        <item x="353"/>
        <item x="295"/>
        <item x="455"/>
        <item x="7"/>
        <item x="34"/>
        <item x="395"/>
        <item x="283"/>
        <item x="501"/>
        <item x="211"/>
        <item x="415"/>
        <item x="68"/>
        <item x="309"/>
        <item x="193"/>
        <item x="43"/>
        <item x="40"/>
        <item x="203"/>
        <item x="322"/>
        <item x="513"/>
        <item x="425"/>
        <item x="350"/>
        <item x="4"/>
        <item x="416"/>
        <item x="200"/>
        <item x="191"/>
        <item x="446"/>
        <item x="209"/>
        <item x="344"/>
        <item x="535"/>
        <item x="54"/>
        <item x="67"/>
        <item x="460"/>
        <item x="181"/>
        <item x="113"/>
        <item x="287"/>
        <item x="130"/>
        <item x="284"/>
        <item x="398"/>
        <item x="411"/>
        <item x="161"/>
        <item x="107"/>
        <item x="269"/>
        <item x="232"/>
        <item x="75"/>
        <item x="18"/>
        <item x="152"/>
        <item x="172"/>
        <item x="356"/>
        <item x="121"/>
        <item x="256"/>
        <item x="400"/>
        <item x="426"/>
        <item x="160"/>
        <item x="47"/>
        <item x="372"/>
        <item x="327"/>
        <item x="523"/>
        <item x="478"/>
        <item x="171"/>
        <item x="164"/>
        <item x="265"/>
        <item x="110"/>
        <item x="97"/>
        <item x="336"/>
        <item x="397"/>
        <item x="88"/>
        <item x="390"/>
        <item x="507"/>
        <item x="334"/>
        <item x="233"/>
        <item x="135"/>
        <item x="59"/>
        <item x="41"/>
        <item x="489"/>
        <item x="103"/>
        <item x="360"/>
        <item x="374"/>
        <item x="469"/>
        <item x="177"/>
        <item x="142"/>
        <item x="290"/>
        <item x="247"/>
        <item x="94"/>
        <item x="308"/>
        <item x="241"/>
        <item x="511"/>
        <item x="525"/>
        <item x="65"/>
        <item x="346"/>
        <item x="123"/>
        <item x="168"/>
        <item x="263"/>
        <item x="86"/>
        <item x="419"/>
        <item x="445"/>
        <item x="186"/>
        <item x="429"/>
        <item x="13"/>
        <item x="138"/>
        <item x="154"/>
        <item x="417"/>
        <item x="450"/>
        <item x="208"/>
        <item x="62"/>
        <item x="423"/>
        <item x="254"/>
        <item x="16"/>
        <item x="217"/>
        <item x="157"/>
        <item x="176"/>
        <item x="23"/>
        <item x="69"/>
        <item x="128"/>
        <item x="343"/>
        <item x="180"/>
        <item x="201"/>
        <item x="195"/>
        <item x="237"/>
        <item x="27"/>
        <item x="518"/>
        <item x="44"/>
        <item x="49"/>
        <item x="184"/>
        <item x="199"/>
        <item x="531"/>
        <item x="259"/>
        <item x="55"/>
        <item x="261"/>
        <item x="386"/>
        <item x="102"/>
        <item x="87"/>
        <item x="311"/>
        <item x="317"/>
        <item x="293"/>
        <item x="220"/>
        <item x="210"/>
        <item x="466"/>
        <item x="279"/>
        <item x="484"/>
        <item x="391"/>
        <item x="196"/>
        <item x="315"/>
        <item x="492"/>
        <item x="369"/>
        <item x="286"/>
        <item x="137"/>
        <item x="396"/>
        <item x="349"/>
        <item x="143"/>
        <item x="257"/>
        <item x="418"/>
        <item x="427"/>
        <item x="70"/>
        <item x="2"/>
        <item x="37"/>
        <item x="221"/>
        <item x="494"/>
        <item x="331"/>
        <item x="354"/>
        <item x="504"/>
        <item x="166"/>
        <item x="459"/>
        <item x="150"/>
        <item x="24"/>
        <item x="448"/>
        <item x="132"/>
        <item x="6"/>
        <item x="451"/>
        <item x="405"/>
        <item x="409"/>
        <item x="424"/>
        <item x="408"/>
        <item x="236"/>
        <item x="296"/>
        <item x="515"/>
        <item x="101"/>
        <item x="280"/>
        <item x="326"/>
        <item x="289"/>
        <item x="213"/>
        <item x="53"/>
        <item x="3"/>
        <item x="316"/>
        <item x="479"/>
        <item x="307"/>
        <item x="282"/>
        <item x="167"/>
        <item x="245"/>
        <item x="387"/>
        <item x="182"/>
        <item x="306"/>
        <item x="477"/>
        <item x="373"/>
        <item x="421"/>
        <item x="219"/>
        <item x="216"/>
        <item x="225"/>
        <item x="498"/>
        <item x="174"/>
        <item x="302"/>
        <item x="72"/>
        <item x="422"/>
        <item x="362"/>
        <item x="385"/>
        <item x="357"/>
        <item x="140"/>
        <item x="125"/>
        <item x="187"/>
        <item x="264"/>
        <item x="435"/>
        <item x="434"/>
        <item x="376"/>
        <item x="392"/>
        <item x="76"/>
        <item x="133"/>
        <item x="66"/>
        <item x="474"/>
        <item x="345"/>
        <item x="483"/>
        <item x="61"/>
        <item x="273"/>
        <item x="366"/>
        <item x="222"/>
        <item x="96"/>
        <item x="342"/>
        <item x="341"/>
        <item x="134"/>
        <item x="39"/>
        <item x="447"/>
        <item x="440"/>
        <item x="491"/>
        <item x="173"/>
        <item x="348"/>
        <item x="467"/>
        <item x="301"/>
        <item x="189"/>
        <item x="114"/>
        <item x="258"/>
        <item x="81"/>
        <item x="169"/>
        <item x="522"/>
        <item x="388"/>
        <item x="20"/>
        <item x="292"/>
        <item x="108"/>
        <item x="520"/>
        <item x="84"/>
        <item x="470"/>
        <item x="313"/>
        <item x="394"/>
        <item x="127"/>
        <item x="30"/>
        <item x="179"/>
        <item x="333"/>
        <item x="438"/>
        <item x="91"/>
        <item x="300"/>
        <item x="464"/>
        <item x="116"/>
        <item x="115"/>
        <item x="361"/>
        <item x="165"/>
        <item x="51"/>
        <item x="227"/>
        <item x="31"/>
        <item x="22"/>
        <item x="60"/>
        <item x="85"/>
        <item x="490"/>
        <item x="238"/>
        <item x="389"/>
        <item x="471"/>
        <item x="278"/>
        <item x="367"/>
        <item x="77"/>
        <item x="71"/>
        <item x="444"/>
        <item x="170"/>
        <item x="510"/>
        <item x="496"/>
        <item x="17"/>
        <item x="499"/>
        <item x="486"/>
        <item x="162"/>
        <item x="131"/>
        <item x="305"/>
        <item x="521"/>
        <item x="325"/>
        <item x="457"/>
        <item x="487"/>
        <item x="83"/>
        <item x="12"/>
        <item x="255"/>
        <item x="476"/>
        <item x="95"/>
        <item x="25"/>
        <item x="399"/>
        <item x="377"/>
        <item x="323"/>
        <item x="35"/>
        <item x="276"/>
        <item x="449"/>
        <item x="250"/>
        <item x="190"/>
        <item x="431"/>
        <item x="268"/>
        <item x="404"/>
        <item x="29"/>
        <item x="32"/>
        <item x="36"/>
        <item x="5"/>
        <item x="382"/>
        <item x="215"/>
        <item x="50"/>
        <item x="122"/>
        <item x="384"/>
        <item x="120"/>
        <item x="519"/>
        <item x="481"/>
        <item x="330"/>
        <item x="252"/>
        <item x="185"/>
        <item x="503"/>
        <item x="188"/>
        <item x="8"/>
        <item x="274"/>
        <item x="407"/>
        <item x="495"/>
        <item x="63"/>
        <item x="74"/>
        <item x="530"/>
        <item x="432"/>
        <item x="297"/>
        <item x="78"/>
        <item x="0"/>
        <item x="139"/>
        <item x="461"/>
        <item x="472"/>
        <item x="338"/>
        <item x="80"/>
        <item x="129"/>
        <item x="355"/>
        <item x="230"/>
        <item x="206"/>
        <item x="294"/>
        <item x="33"/>
        <item x="136"/>
        <item x="536"/>
        <item x="532"/>
        <item x="462"/>
        <item x="524"/>
        <item x="235"/>
        <item x="198"/>
        <item x="38"/>
        <item x="340"/>
        <item x="149"/>
        <item x="64"/>
        <item x="194"/>
        <item x="242"/>
        <item x="10"/>
        <item x="428"/>
        <item x="249"/>
        <item x="433"/>
        <item x="436"/>
        <item x="73"/>
        <item x="533"/>
        <item x="267"/>
        <item x="437"/>
        <item x="223"/>
        <item x="420"/>
        <item x="105"/>
        <item x="359"/>
        <item x="500"/>
        <item x="106"/>
        <item x="48"/>
        <item x="251"/>
        <item x="291"/>
        <item x="153"/>
        <item x="339"/>
        <item x="381"/>
        <item x="329"/>
        <item x="363"/>
        <item x="98"/>
        <item x="151"/>
        <item x="158"/>
        <item x="82"/>
        <item x="57"/>
        <item x="175"/>
        <item x="285"/>
        <item x="14"/>
        <item x="112"/>
        <item x="163"/>
        <item x="488"/>
        <item x="505"/>
        <item x="347"/>
        <item x="92"/>
        <item x="266"/>
        <item x="197"/>
        <item x="281"/>
        <item x="243"/>
        <item x="228"/>
        <item x="413"/>
        <item x="204"/>
        <item x="430"/>
        <item x="335"/>
        <item x="239"/>
        <item x="246"/>
        <item x="124"/>
        <item x="45"/>
        <item x="318"/>
        <item x="93"/>
        <item x="324"/>
        <item x="442"/>
        <item x="260"/>
        <item x="454"/>
        <item x="320"/>
        <item x="11"/>
        <item x="485"/>
        <item x="379"/>
        <item x="79"/>
        <item x="234"/>
        <item x="502"/>
        <item x="145"/>
        <item x="439"/>
        <item x="109"/>
        <item x="117"/>
        <item x="253"/>
        <item x="383"/>
        <item x="352"/>
        <item x="146"/>
        <item x="465"/>
        <item x="299"/>
        <item x="218"/>
        <item x="371"/>
        <item x="178"/>
        <item x="512"/>
        <item x="26"/>
        <item x="332"/>
        <item x="156"/>
        <item x="380"/>
        <item x="183"/>
        <item x="314"/>
        <item x="365"/>
        <item x="537"/>
        <item x="231"/>
        <item x="303"/>
        <item x="275"/>
        <item x="226"/>
        <item x="58"/>
        <item x="9"/>
        <item x="21"/>
        <item x="514"/>
        <item x="272"/>
        <item x="475"/>
        <item x="509"/>
        <item x="19"/>
        <item x="5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540">
    <i>
      <x v="441"/>
    </i>
    <i>
      <x v="373"/>
    </i>
    <i>
      <x v="103"/>
    </i>
    <i>
      <x v="416"/>
    </i>
    <i>
      <x v="471"/>
    </i>
    <i>
      <x v="21"/>
    </i>
    <i>
      <x v="61"/>
    </i>
    <i>
      <x v="377"/>
    </i>
    <i>
      <x v="188"/>
    </i>
    <i>
      <x v="171"/>
    </i>
    <i>
      <x v="86"/>
    </i>
    <i>
      <x v="456"/>
    </i>
    <i>
      <x v="362"/>
    </i>
    <i>
      <x v="245"/>
    </i>
    <i>
      <x v="235"/>
    </i>
    <i>
      <x v="531"/>
    </i>
    <i>
      <x v="295"/>
    </i>
    <i>
      <x v="212"/>
    </i>
    <i>
      <x v="415"/>
    </i>
    <i>
      <x v="347"/>
    </i>
    <i>
      <x v="1"/>
    </i>
    <i>
      <x v="391"/>
    </i>
    <i>
      <x v="490"/>
    </i>
    <i>
      <x v="498"/>
    </i>
    <i>
      <x v="81"/>
    </i>
    <i>
      <x v="532"/>
    </i>
    <i>
      <x v="357"/>
    </i>
    <i>
      <x v="346"/>
    </i>
    <i>
      <x v="468"/>
    </i>
    <i>
      <x v="410"/>
    </i>
    <i>
      <x v="236"/>
    </i>
    <i>
      <x v="180"/>
    </i>
    <i>
      <x v="537"/>
    </i>
    <i>
      <x v="341"/>
    </i>
    <i>
      <x v="174"/>
    </i>
    <i>
      <x v="262"/>
    </i>
    <i>
      <x v="406"/>
    </i>
    <i>
      <x v="356"/>
    </i>
    <i>
      <x v="248"/>
    </i>
    <i>
      <x v="492"/>
    </i>
    <i>
      <x v="282"/>
    </i>
    <i>
      <x v="320"/>
    </i>
    <i>
      <x v="127"/>
    </i>
    <i>
      <x v="501"/>
    </i>
    <i>
      <x v="389"/>
    </i>
    <i>
      <x v="344"/>
    </i>
    <i>
      <x v="192"/>
    </i>
    <i>
      <x v="208"/>
    </i>
    <i>
      <x v="46"/>
    </i>
    <i>
      <x v="467"/>
    </i>
    <i>
      <x v="333"/>
    </i>
    <i>
      <x v="438"/>
    </i>
    <i>
      <x v="87"/>
    </i>
    <i>
      <x v="343"/>
    </i>
    <i>
      <x v="51"/>
    </i>
    <i>
      <x v="309"/>
    </i>
    <i>
      <x v="37"/>
    </i>
    <i>
      <x v="263"/>
    </i>
    <i>
      <x v="427"/>
    </i>
    <i>
      <x v="97"/>
    </i>
    <i>
      <x v="326"/>
    </i>
    <i>
      <x v="518"/>
    </i>
    <i>
      <x v="64"/>
    </i>
    <i>
      <x v="117"/>
    </i>
    <i>
      <x v="200"/>
    </i>
    <i>
      <x v="4"/>
    </i>
    <i>
      <x v="395"/>
    </i>
    <i>
      <x v="125"/>
    </i>
    <i>
      <x v="472"/>
    </i>
    <i>
      <x v="153"/>
    </i>
    <i>
      <x v="421"/>
    </i>
    <i>
      <x v="115"/>
    </i>
    <i>
      <x v="366"/>
    </i>
    <i>
      <x v="93"/>
    </i>
    <i>
      <x v="63"/>
    </i>
    <i>
      <x v="365"/>
    </i>
    <i>
      <x v="372"/>
    </i>
    <i>
      <x v="211"/>
    </i>
    <i>
      <x v="390"/>
    </i>
    <i>
      <x/>
    </i>
    <i>
      <x v="194"/>
    </i>
    <i>
      <x v="135"/>
    </i>
    <i>
      <x v="28"/>
    </i>
    <i>
      <x v="203"/>
    </i>
    <i>
      <x v="185"/>
    </i>
    <i>
      <x v="349"/>
    </i>
    <i>
      <x v="193"/>
    </i>
    <i>
      <x v="324"/>
    </i>
    <i>
      <x v="161"/>
    </i>
    <i>
      <x v="15"/>
    </i>
    <i>
      <x v="54"/>
    </i>
    <i>
      <x v="181"/>
    </i>
    <i>
      <x v="96"/>
    </i>
    <i>
      <x v="469"/>
    </i>
    <i>
      <x v="337"/>
    </i>
    <i>
      <x v="154"/>
    </i>
    <i>
      <x v="234"/>
    </i>
    <i>
      <x v="230"/>
    </i>
    <i>
      <x v="452"/>
    </i>
    <i>
      <x v="422"/>
    </i>
    <i>
      <x v="396"/>
    </i>
    <i>
      <x v="318"/>
    </i>
    <i>
      <x v="55"/>
    </i>
    <i>
      <x v="348"/>
    </i>
    <i>
      <x v="473"/>
    </i>
    <i>
      <x v="156"/>
    </i>
    <i>
      <x v="205"/>
    </i>
    <i>
      <x v="202"/>
    </i>
    <i>
      <x v="111"/>
    </i>
    <i>
      <x v="511"/>
    </i>
    <i>
      <x v="184"/>
    </i>
    <i>
      <x v="305"/>
    </i>
    <i>
      <x v="381"/>
    </i>
    <i>
      <x v="140"/>
    </i>
    <i>
      <x v="328"/>
    </i>
    <i>
      <x v="301"/>
    </i>
    <i>
      <x v="164"/>
    </i>
    <i>
      <x v="172"/>
    </i>
    <i>
      <x v="189"/>
    </i>
    <i>
      <x v="385"/>
    </i>
    <i>
      <x v="280"/>
    </i>
    <i>
      <x v="484"/>
    </i>
    <i>
      <x v="522"/>
    </i>
    <i>
      <x v="152"/>
    </i>
    <i>
      <x v="457"/>
    </i>
    <i>
      <x v="507"/>
    </i>
    <i>
      <x v="244"/>
    </i>
    <i>
      <x v="411"/>
    </i>
    <i>
      <x v="147"/>
    </i>
    <i>
      <x v="443"/>
    </i>
    <i>
      <x v="489"/>
    </i>
    <i>
      <x v="44"/>
    </i>
    <i>
      <x v="190"/>
    </i>
    <i>
      <x v="455"/>
    </i>
    <i>
      <x v="9"/>
    </i>
    <i>
      <x v="345"/>
    </i>
    <i>
      <x v="277"/>
    </i>
    <i>
      <x v="242"/>
    </i>
    <i>
      <x v="296"/>
    </i>
    <i>
      <x v="70"/>
    </i>
    <i>
      <x v="134"/>
    </i>
    <i>
      <x v="126"/>
    </i>
    <i>
      <x v="405"/>
    </i>
    <i>
      <x v="428"/>
    </i>
    <i>
      <x v="477"/>
    </i>
    <i>
      <x v="308"/>
    </i>
    <i>
      <x v="321"/>
    </i>
    <i>
      <x v="50"/>
    </i>
    <i>
      <x v="160"/>
    </i>
    <i>
      <x v="247"/>
    </i>
    <i>
      <x v="437"/>
    </i>
    <i>
      <x v="271"/>
    </i>
    <i>
      <x v="332"/>
    </i>
    <i>
      <x v="130"/>
    </i>
    <i>
      <x v="23"/>
    </i>
    <i>
      <x v="143"/>
    </i>
    <i>
      <x v="141"/>
    </i>
    <i>
      <x v="121"/>
    </i>
    <i>
      <x v="530"/>
    </i>
    <i>
      <x v="204"/>
    </i>
    <i>
      <x v="340"/>
    </i>
    <i>
      <x v="417"/>
    </i>
    <i>
      <x v="288"/>
    </i>
    <i>
      <x v="112"/>
    </i>
    <i>
      <x v="66"/>
    </i>
    <i>
      <x v="376"/>
    </i>
    <i>
      <x v="434"/>
    </i>
    <i>
      <x v="62"/>
    </i>
    <i>
      <x v="114"/>
    </i>
    <i>
      <x v="382"/>
    </i>
    <i>
      <x v="506"/>
    </i>
    <i>
      <x v="359"/>
    </i>
    <i>
      <x v="197"/>
    </i>
    <i>
      <x v="26"/>
    </i>
    <i>
      <x v="144"/>
    </i>
    <i>
      <x v="508"/>
    </i>
    <i>
      <x v="523"/>
    </i>
    <i>
      <x v="268"/>
    </i>
    <i>
      <x v="464"/>
    </i>
    <i>
      <x v="528"/>
    </i>
    <i>
      <x v="465"/>
    </i>
    <i>
      <x v="30"/>
    </i>
    <i>
      <x v="304"/>
    </i>
    <i>
      <x v="258"/>
    </i>
    <i>
      <x v="334"/>
    </i>
    <i>
      <x v="466"/>
    </i>
    <i>
      <x v="440"/>
    </i>
    <i>
      <x v="78"/>
    </i>
    <i>
      <x v="179"/>
    </i>
    <i>
      <x v="276"/>
    </i>
    <i>
      <x v="122"/>
    </i>
    <i>
      <x v="217"/>
    </i>
    <i>
      <x v="105"/>
    </i>
    <i>
      <x v="19"/>
    </i>
    <i>
      <x v="289"/>
    </i>
    <i>
      <x v="313"/>
    </i>
    <i>
      <x v="351"/>
    </i>
    <i>
      <x v="446"/>
    </i>
    <i>
      <x v="98"/>
    </i>
    <i>
      <x v="502"/>
    </i>
    <i>
      <x v="2"/>
    </i>
    <i>
      <x v="272"/>
    </i>
    <i>
      <x v="424"/>
    </i>
    <i>
      <x v="91"/>
    </i>
    <i>
      <x v="196"/>
    </i>
    <i>
      <x v="297"/>
    </i>
    <i>
      <x v="95"/>
    </i>
    <i>
      <x v="191"/>
    </i>
    <i>
      <x v="450"/>
    </i>
    <i>
      <x v="142"/>
    </i>
    <i>
      <x v="163"/>
    </i>
    <i>
      <x v="222"/>
    </i>
    <i>
      <x v="521"/>
    </i>
    <i>
      <x v="219"/>
    </i>
    <i>
      <x v="448"/>
    </i>
    <i>
      <x v="239"/>
    </i>
    <i>
      <x v="255"/>
    </i>
    <i>
      <x v="24"/>
    </i>
    <i>
      <x v="504"/>
    </i>
    <i>
      <x v="398"/>
    </i>
    <i>
      <x v="514"/>
    </i>
    <i>
      <x v="302"/>
    </i>
    <i>
      <x v="520"/>
    </i>
    <i>
      <x v="116"/>
    </i>
    <i>
      <x v="41"/>
    </i>
    <i>
      <x v="294"/>
    </i>
    <i>
      <x v="227"/>
    </i>
    <i>
      <x v="124"/>
    </i>
    <i>
      <x v="261"/>
    </i>
    <i>
      <x v="354"/>
    </i>
    <i>
      <x v="480"/>
    </i>
    <i>
      <x v="534"/>
    </i>
    <i>
      <x v="526"/>
    </i>
    <i>
      <x v="478"/>
    </i>
    <i>
      <x v="177"/>
    </i>
    <i>
      <x v="27"/>
    </i>
    <i>
      <x v="17"/>
    </i>
    <i>
      <x v="58"/>
    </i>
    <i>
      <x v="33"/>
    </i>
    <i>
      <x v="269"/>
    </i>
    <i>
      <x v="162"/>
    </i>
    <i>
      <x v="290"/>
    </i>
    <i>
      <x v="151"/>
    </i>
    <i>
      <x v="237"/>
    </i>
    <i>
      <x v="22"/>
    </i>
    <i>
      <x v="529"/>
    </i>
    <i>
      <x v="287"/>
    </i>
    <i>
      <x v="323"/>
    </i>
    <i>
      <x v="488"/>
    </i>
    <i>
      <x v="173"/>
    </i>
    <i>
      <x v="260"/>
    </i>
    <i>
      <x v="487"/>
    </i>
    <i>
      <x v="476"/>
    </i>
    <i>
      <x v="516"/>
    </i>
    <i>
      <x v="426"/>
    </i>
    <i>
      <x v="481"/>
    </i>
    <i>
      <x v="270"/>
    </i>
    <i>
      <x v="254"/>
    </i>
    <i>
      <x v="436"/>
    </i>
    <i>
      <x v="497"/>
    </i>
    <i>
      <x v="392"/>
    </i>
    <i>
      <x v="57"/>
    </i>
    <i>
      <x v="20"/>
    </i>
    <i>
      <x v="169"/>
    </i>
    <i>
      <x v="433"/>
    </i>
    <i>
      <x v="278"/>
    </i>
    <i>
      <x v="384"/>
    </i>
    <i>
      <x v="493"/>
    </i>
    <i>
      <x v="439"/>
    </i>
    <i>
      <x v="187"/>
    </i>
    <i>
      <x v="226"/>
    </i>
    <i>
      <x v="123"/>
    </i>
    <i>
      <x v="75"/>
    </i>
    <i>
      <x v="119"/>
    </i>
    <i>
      <x v="148"/>
    </i>
    <i>
      <x v="213"/>
    </i>
    <i>
      <x v="331"/>
    </i>
    <i>
      <x v="317"/>
    </i>
    <i>
      <x v="461"/>
    </i>
    <i>
      <x v="338"/>
    </i>
    <i>
      <x v="252"/>
    </i>
    <i>
      <x v="18"/>
    </i>
    <i>
      <x v="253"/>
    </i>
    <i>
      <x v="240"/>
    </i>
    <i>
      <x v="36"/>
    </i>
    <i>
      <x v="257"/>
    </i>
    <i>
      <x v="394"/>
    </i>
    <i>
      <x v="402"/>
    </i>
    <i>
      <x v="25"/>
    </i>
    <i>
      <x v="42"/>
    </i>
    <i>
      <x v="120"/>
    </i>
    <i>
      <x v="13"/>
    </i>
    <i>
      <x v="76"/>
    </i>
    <i>
      <x v="195"/>
    </i>
    <i>
      <x v="228"/>
    </i>
    <i>
      <x v="69"/>
    </i>
    <i>
      <x v="71"/>
    </i>
    <i>
      <x v="210"/>
    </i>
    <i>
      <x v="462"/>
    </i>
    <i>
      <x v="298"/>
    </i>
    <i>
      <x v="442"/>
    </i>
    <i>
      <x v="453"/>
    </i>
    <i>
      <x v="397"/>
    </i>
    <i>
      <x v="470"/>
    </i>
    <i>
      <x v="299"/>
    </i>
    <i>
      <x v="325"/>
    </i>
    <i>
      <x v="510"/>
    </i>
    <i>
      <x v="403"/>
    </i>
    <i>
      <x v="137"/>
    </i>
    <i>
      <x v="158"/>
    </i>
    <i>
      <x v="84"/>
    </i>
    <i>
      <x v="221"/>
    </i>
    <i>
      <x v="6"/>
    </i>
    <i>
      <x v="59"/>
    </i>
    <i>
      <x v="89"/>
    </i>
    <i>
      <x v="231"/>
    </i>
    <i>
      <x v="267"/>
    </i>
    <i>
      <x v="342"/>
    </i>
    <i>
      <x v="314"/>
    </i>
    <i>
      <x v="400"/>
    </i>
    <i>
      <x v="330"/>
    </i>
    <i>
      <x v="311"/>
    </i>
    <i>
      <x v="460"/>
    </i>
    <i>
      <x v="491"/>
    </i>
    <i>
      <x v="378"/>
    </i>
    <i>
      <x v="401"/>
    </i>
    <i>
      <x v="281"/>
    </i>
    <i>
      <x v="408"/>
    </i>
    <i>
      <x v="387"/>
    </i>
    <i>
      <x v="292"/>
    </i>
    <i>
      <x v="145"/>
    </i>
    <i>
      <x v="209"/>
    </i>
    <i>
      <x v="39"/>
    </i>
    <i>
      <x v="131"/>
    </i>
    <i>
      <x v="170"/>
    </i>
    <i>
      <x v="29"/>
    </i>
    <i>
      <x v="259"/>
    </i>
    <i>
      <x v="109"/>
    </i>
    <i>
      <x v="266"/>
    </i>
    <i>
      <x v="207"/>
    </i>
    <i>
      <x v="186"/>
    </i>
    <i>
      <x v="132"/>
    </i>
    <i>
      <x v="199"/>
    </i>
    <i>
      <x v="307"/>
    </i>
    <i>
      <x v="407"/>
    </i>
    <i>
      <x v="524"/>
    </i>
    <i>
      <x v="458"/>
    </i>
    <i>
      <x v="371"/>
    </i>
    <i>
      <x v="509"/>
    </i>
    <i>
      <x v="284"/>
    </i>
    <i>
      <x v="352"/>
    </i>
    <i>
      <x v="482"/>
    </i>
    <i>
      <x v="423"/>
    </i>
    <i>
      <x v="483"/>
    </i>
    <i>
      <x v="214"/>
    </i>
    <i>
      <x v="224"/>
    </i>
    <i>
      <x v="113"/>
    </i>
    <i>
      <x v="176"/>
    </i>
    <i>
      <x v="118"/>
    </i>
    <i>
      <x v="94"/>
    </i>
    <i>
      <x v="67"/>
    </i>
    <i>
      <x v="108"/>
    </i>
    <i>
      <x v="223"/>
    </i>
    <i>
      <x v="129"/>
    </i>
    <i>
      <x v="229"/>
    </i>
    <i>
      <x v="149"/>
    </i>
    <i>
      <x v="72"/>
    </i>
    <i>
      <x v="150"/>
    </i>
    <i>
      <x v="68"/>
    </i>
    <i>
      <x v="379"/>
    </i>
    <i>
      <x v="375"/>
    </i>
    <i>
      <x v="420"/>
    </i>
    <i>
      <x v="279"/>
    </i>
    <i>
      <x v="513"/>
    </i>
    <i>
      <x v="300"/>
    </i>
    <i>
      <x v="419"/>
    </i>
    <i>
      <x v="459"/>
    </i>
    <i>
      <x v="380"/>
    </i>
    <i>
      <x v="495"/>
    </i>
    <i>
      <x v="512"/>
    </i>
    <i>
      <x v="274"/>
    </i>
    <i>
      <x v="515"/>
    </i>
    <i>
      <x v="335"/>
    </i>
    <i>
      <x v="463"/>
    </i>
    <i>
      <x v="315"/>
    </i>
    <i>
      <x v="527"/>
    </i>
    <i>
      <x v="303"/>
    </i>
    <i>
      <x v="285"/>
    </i>
    <i>
      <x v="293"/>
    </i>
    <i>
      <x v="535"/>
    </i>
    <i>
      <x v="425"/>
    </i>
    <i>
      <x v="250"/>
    </i>
    <i>
      <x v="45"/>
    </i>
    <i>
      <x v="88"/>
    </i>
    <i>
      <x v="216"/>
    </i>
    <i>
      <x v="99"/>
    </i>
    <i>
      <x v="104"/>
    </i>
    <i>
      <x v="166"/>
    </i>
    <i>
      <x v="264"/>
    </i>
    <i>
      <x v="83"/>
    </i>
    <i>
      <x v="183"/>
    </i>
    <i>
      <x v="7"/>
    </i>
    <i>
      <x v="52"/>
    </i>
    <i>
      <x v="249"/>
    </i>
    <i>
      <x v="12"/>
    </i>
    <i>
      <x v="38"/>
    </i>
    <i>
      <x v="155"/>
    </i>
    <i>
      <x v="3"/>
    </i>
    <i>
      <x v="136"/>
    </i>
    <i>
      <x v="146"/>
    </i>
    <i>
      <x v="232"/>
    </i>
    <i>
      <x v="133"/>
    </i>
    <i>
      <x v="218"/>
    </i>
    <i>
      <x v="220"/>
    </i>
    <i>
      <x v="503"/>
    </i>
    <i>
      <x v="519"/>
    </i>
    <i>
      <x v="350"/>
    </i>
    <i>
      <x v="369"/>
    </i>
    <i>
      <x v="306"/>
    </i>
    <i>
      <x v="474"/>
    </i>
    <i>
      <x v="361"/>
    </i>
    <i>
      <x v="475"/>
    </i>
    <i>
      <x v="275"/>
    </i>
    <i>
      <x v="336"/>
    </i>
    <i>
      <x v="418"/>
    </i>
    <i>
      <x v="444"/>
    </i>
    <i>
      <x v="368"/>
    </i>
    <i>
      <x v="445"/>
    </i>
    <i>
      <x v="505"/>
    </i>
    <i>
      <x v="533"/>
    </i>
    <i>
      <x v="435"/>
    </i>
    <i>
      <x v="370"/>
    </i>
    <i>
      <x v="364"/>
    </i>
    <i>
      <x v="322"/>
    </i>
    <i>
      <x v="517"/>
    </i>
    <i>
      <x v="447"/>
    </i>
    <i>
      <x v="273"/>
    </i>
    <i>
      <x v="429"/>
    </i>
    <i>
      <x v="525"/>
    </i>
    <i>
      <x v="310"/>
    </i>
    <i>
      <x v="386"/>
    </i>
    <i>
      <x v="485"/>
    </i>
    <i>
      <x v="388"/>
    </i>
    <i>
      <x v="486"/>
    </i>
    <i>
      <x v="283"/>
    </i>
    <i>
      <x v="449"/>
    </i>
    <i>
      <x v="360"/>
    </i>
    <i>
      <x v="327"/>
    </i>
    <i>
      <x v="409"/>
    </i>
    <i>
      <x v="312"/>
    </i>
    <i>
      <x v="358"/>
    </i>
    <i>
      <x v="399"/>
    </i>
    <i>
      <x v="363"/>
    </i>
    <i>
      <x v="451"/>
    </i>
    <i>
      <x v="412"/>
    </i>
    <i>
      <x v="430"/>
    </i>
    <i>
      <x v="413"/>
    </i>
    <i>
      <x v="374"/>
    </i>
    <i>
      <x v="414"/>
    </i>
    <i>
      <x v="494"/>
    </i>
    <i>
      <x v="319"/>
    </i>
    <i>
      <x v="454"/>
    </i>
    <i>
      <x v="353"/>
    </i>
    <i>
      <x v="496"/>
    </i>
    <i>
      <x v="291"/>
    </i>
    <i>
      <x v="431"/>
    </i>
    <i>
      <x v="383"/>
    </i>
    <i>
      <x v="329"/>
    </i>
    <i>
      <x v="367"/>
    </i>
    <i>
      <x v="499"/>
    </i>
    <i>
      <x v="355"/>
    </i>
    <i>
      <x v="500"/>
    </i>
    <i>
      <x v="286"/>
    </i>
    <i>
      <x v="432"/>
    </i>
    <i>
      <x v="316"/>
    </i>
    <i>
      <x v="479"/>
    </i>
    <i>
      <x v="536"/>
    </i>
    <i>
      <x v="393"/>
    </i>
    <i>
      <x v="339"/>
    </i>
    <i>
      <x v="404"/>
    </i>
    <i>
      <x v="243"/>
    </i>
    <i>
      <x v="31"/>
    </i>
    <i>
      <x v="251"/>
    </i>
    <i>
      <x v="5"/>
    </i>
    <i>
      <x v="40"/>
    </i>
    <i>
      <x v="47"/>
    </i>
    <i>
      <x v="100"/>
    </i>
    <i>
      <x v="215"/>
    </i>
    <i>
      <x v="167"/>
    </i>
    <i>
      <x v="48"/>
    </i>
    <i>
      <x v="16"/>
    </i>
    <i>
      <x v="79"/>
    </i>
    <i>
      <x v="241"/>
    </i>
    <i>
      <x v="49"/>
    </i>
    <i>
      <x v="65"/>
    </i>
    <i>
      <x v="106"/>
    </i>
    <i>
      <x v="11"/>
    </i>
    <i>
      <x v="101"/>
    </i>
    <i>
      <x v="165"/>
    </i>
    <i>
      <x v="128"/>
    </i>
    <i>
      <x v="168"/>
    </i>
    <i>
      <x v="82"/>
    </i>
    <i>
      <x v="92"/>
    </i>
    <i>
      <x v="10"/>
    </i>
    <i>
      <x v="265"/>
    </i>
    <i>
      <x v="43"/>
    </i>
    <i>
      <x v="201"/>
    </i>
    <i>
      <x v="225"/>
    </i>
    <i>
      <x v="14"/>
    </i>
    <i>
      <x v="35"/>
    </i>
    <i>
      <x v="53"/>
    </i>
    <i>
      <x v="107"/>
    </i>
    <i>
      <x v="246"/>
    </i>
    <i>
      <x v="138"/>
    </i>
    <i>
      <x v="85"/>
    </i>
    <i>
      <x v="182"/>
    </i>
    <i>
      <x v="32"/>
    </i>
    <i>
      <x v="157"/>
    </i>
    <i>
      <x v="175"/>
    </i>
    <i>
      <x v="139"/>
    </i>
    <i>
      <x v="206"/>
    </i>
    <i>
      <x v="198"/>
    </i>
    <i>
      <x v="256"/>
    </i>
    <i>
      <x v="233"/>
    </i>
    <i>
      <x v="90"/>
    </i>
    <i>
      <x v="60"/>
    </i>
    <i>
      <x v="56"/>
    </i>
    <i>
      <x v="159"/>
    </i>
    <i>
      <x v="73"/>
    </i>
    <i>
      <x v="178"/>
    </i>
    <i>
      <x v="110"/>
    </i>
    <i>
      <x v="77"/>
    </i>
    <i>
      <x v="74"/>
    </i>
    <i>
      <x v="238"/>
    </i>
    <i>
      <x v="80"/>
    </i>
    <i>
      <x v="8"/>
    </i>
    <i>
      <x v="102"/>
    </i>
    <i>
      <x v="34"/>
    </i>
    <i>
      <x v="538"/>
    </i>
    <i t="grand">
      <x/>
    </i>
  </rowItems>
  <colItems count="1">
    <i/>
  </colItems>
  <dataFields count="1">
    <dataField name="Contagem de SPECIES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B88EA-AA21-40E7-BD8F-BB922A412E2B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2" firstHeaderRow="1" firstDataRow="1" firstDataCol="1"/>
  <pivotFields count="1">
    <pivotField axis="axisRow" dataField="1" showAll="0" sortType="descending">
      <items count="49">
        <item x="26"/>
        <item x="9"/>
        <item x="31"/>
        <item x="34"/>
        <item x="8"/>
        <item x="23"/>
        <item x="11"/>
        <item x="46"/>
        <item x="25"/>
        <item x="27"/>
        <item x="29"/>
        <item x="44"/>
        <item x="14"/>
        <item x="16"/>
        <item x="12"/>
        <item x="32"/>
        <item x="24"/>
        <item x="2"/>
        <item x="13"/>
        <item x="0"/>
        <item x="6"/>
        <item x="42"/>
        <item x="20"/>
        <item x="10"/>
        <item x="15"/>
        <item x="1"/>
        <item x="39"/>
        <item x="38"/>
        <item x="21"/>
        <item x="28"/>
        <item x="5"/>
        <item x="37"/>
        <item x="18"/>
        <item x="4"/>
        <item x="22"/>
        <item x="36"/>
        <item x="41"/>
        <item x="33"/>
        <item x="40"/>
        <item x="43"/>
        <item x="17"/>
        <item x="19"/>
        <item x="35"/>
        <item x="45"/>
        <item x="7"/>
        <item x="30"/>
        <item x="3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49">
    <i>
      <x v="44"/>
    </i>
    <i>
      <x v="9"/>
    </i>
    <i>
      <x v="25"/>
    </i>
    <i>
      <x v="4"/>
    </i>
    <i>
      <x v="19"/>
    </i>
    <i>
      <x v="14"/>
    </i>
    <i>
      <x v="32"/>
    </i>
    <i>
      <x v="24"/>
    </i>
    <i>
      <x v="8"/>
    </i>
    <i>
      <x v="30"/>
    </i>
    <i>
      <x v="10"/>
    </i>
    <i>
      <x v="42"/>
    </i>
    <i>
      <x v="12"/>
    </i>
    <i>
      <x v="41"/>
    </i>
    <i>
      <x v="13"/>
    </i>
    <i>
      <x v="35"/>
    </i>
    <i>
      <x v="34"/>
    </i>
    <i>
      <x v="28"/>
    </i>
    <i>
      <x v="29"/>
    </i>
    <i>
      <x v="26"/>
    </i>
    <i>
      <x v="3"/>
    </i>
    <i>
      <x v="31"/>
    </i>
    <i>
      <x v="39"/>
    </i>
    <i>
      <x v="2"/>
    </i>
    <i>
      <x v="33"/>
    </i>
    <i>
      <x v="45"/>
    </i>
    <i>
      <x v="37"/>
    </i>
    <i>
      <x/>
    </i>
    <i>
      <x v="6"/>
    </i>
    <i>
      <x v="5"/>
    </i>
    <i>
      <x v="17"/>
    </i>
    <i>
      <x v="11"/>
    </i>
    <i>
      <x v="18"/>
    </i>
    <i>
      <x v="7"/>
    </i>
    <i>
      <x v="36"/>
    </i>
    <i>
      <x v="27"/>
    </i>
    <i>
      <x v="38"/>
    </i>
    <i>
      <x v="15"/>
    </i>
    <i>
      <x v="40"/>
    </i>
    <i>
      <x v="16"/>
    </i>
    <i>
      <x v="20"/>
    </i>
    <i>
      <x v="1"/>
    </i>
    <i>
      <x v="43"/>
    </i>
    <i>
      <x v="21"/>
    </i>
    <i>
      <x v="46"/>
    </i>
    <i>
      <x v="22"/>
    </i>
    <i>
      <x v="23"/>
    </i>
    <i>
      <x v="47"/>
    </i>
    <i t="grand">
      <x/>
    </i>
  </rowItems>
  <colItems count="1">
    <i/>
  </colItems>
  <dataFields count="1">
    <dataField name="Contagem de Tre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30763-4687-4C6C-94FA-95B02A17045F}" name="Tabela dinâ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Garden_plants">
  <location ref="A1:B364" firstHeaderRow="1" firstDataRow="1" firstDataCol="1"/>
  <pivotFields count="1">
    <pivotField axis="axisRow" dataField="1" showAll="0" sortType="descending">
      <items count="363">
        <item x="0"/>
        <item x="2"/>
        <item x="3"/>
        <item x="4"/>
        <item x="5"/>
        <item x="6"/>
        <item x="7"/>
        <item x="8"/>
        <item x="9"/>
        <item x="10"/>
        <item x="11"/>
        <item x="235"/>
        <item x="236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5"/>
        <item x="8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8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87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1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63">
    <i>
      <x v="238"/>
    </i>
    <i>
      <x v="295"/>
    </i>
    <i>
      <x v="61"/>
    </i>
    <i>
      <x v="53"/>
    </i>
    <i>
      <x v="95"/>
    </i>
    <i>
      <x v="249"/>
    </i>
    <i>
      <x v="245"/>
    </i>
    <i>
      <x v="67"/>
    </i>
    <i>
      <x v="110"/>
    </i>
    <i>
      <x v="26"/>
    </i>
    <i>
      <x v="116"/>
    </i>
    <i>
      <x v="181"/>
    </i>
    <i>
      <x v="194"/>
    </i>
    <i>
      <x v="304"/>
    </i>
    <i>
      <x v="308"/>
    </i>
    <i>
      <x v="269"/>
    </i>
    <i>
      <x v="184"/>
    </i>
    <i>
      <x v="341"/>
    </i>
    <i>
      <x v="335"/>
    </i>
    <i>
      <x v="360"/>
    </i>
    <i>
      <x v="169"/>
    </i>
    <i>
      <x v="10"/>
    </i>
    <i>
      <x v="59"/>
    </i>
    <i>
      <x v="183"/>
    </i>
    <i>
      <x v="159"/>
    </i>
    <i>
      <x v="207"/>
    </i>
    <i>
      <x v="163"/>
    </i>
    <i>
      <x v="79"/>
    </i>
    <i>
      <x v="222"/>
    </i>
    <i>
      <x v="321"/>
    </i>
    <i>
      <x v="293"/>
    </i>
    <i>
      <x v="115"/>
    </i>
    <i>
      <x v="350"/>
    </i>
    <i>
      <x v="300"/>
    </i>
    <i>
      <x v="154"/>
    </i>
    <i>
      <x v="323"/>
    </i>
    <i>
      <x v="157"/>
    </i>
    <i>
      <x v="262"/>
    </i>
    <i>
      <x v="96"/>
    </i>
    <i>
      <x v="117"/>
    </i>
    <i>
      <x v="198"/>
    </i>
    <i>
      <x v="306"/>
    </i>
    <i>
      <x v="144"/>
    </i>
    <i>
      <x v="322"/>
    </i>
    <i>
      <x v="97"/>
    </i>
    <i>
      <x v="145"/>
    </i>
    <i>
      <x v="241"/>
    </i>
    <i>
      <x v="234"/>
    </i>
    <i>
      <x v="70"/>
    </i>
    <i>
      <x v="91"/>
    </i>
    <i>
      <x v="16"/>
    </i>
    <i>
      <x v="147"/>
    </i>
    <i>
      <x v="274"/>
    </i>
    <i>
      <x v="119"/>
    </i>
    <i>
      <x v="289"/>
    </i>
    <i>
      <x v="120"/>
    </i>
    <i>
      <x v="292"/>
    </i>
    <i>
      <x v="161"/>
    </i>
    <i>
      <x v="129"/>
    </i>
    <i>
      <x v="216"/>
    </i>
    <i>
      <x v="142"/>
    </i>
    <i>
      <x v="231"/>
    </i>
    <i>
      <x v="354"/>
    </i>
    <i>
      <x v="175"/>
    </i>
    <i>
      <x v="186"/>
    </i>
    <i>
      <x v="358"/>
    </i>
    <i>
      <x v="312"/>
    </i>
    <i>
      <x v="162"/>
    </i>
    <i>
      <x v="195"/>
    </i>
    <i>
      <x v="327"/>
    </i>
    <i>
      <x v="138"/>
    </i>
    <i>
      <x v="288"/>
    </i>
    <i>
      <x v="204"/>
    </i>
    <i>
      <x v="49"/>
    </i>
    <i>
      <x v="139"/>
    </i>
    <i>
      <x v="123"/>
    </i>
    <i>
      <x v="209"/>
    </i>
    <i>
      <x v="134"/>
    </i>
    <i>
      <x v="210"/>
    </i>
    <i>
      <x v="286"/>
    </i>
    <i>
      <x v="19"/>
    </i>
    <i>
      <x v="290"/>
    </i>
    <i>
      <x v="221"/>
    </i>
    <i>
      <x v="296"/>
    </i>
    <i>
      <x v="60"/>
    </i>
    <i>
      <x v="307"/>
    </i>
    <i>
      <x v="228"/>
    </i>
    <i>
      <x v="316"/>
    </i>
    <i>
      <x v="14"/>
    </i>
    <i>
      <x v="182"/>
    </i>
    <i>
      <x v="232"/>
    </i>
    <i>
      <x v="131"/>
    </i>
    <i>
      <x v="233"/>
    </i>
    <i>
      <x v="348"/>
    </i>
    <i>
      <x v="146"/>
    </i>
    <i>
      <x v="137"/>
    </i>
    <i>
      <x v="235"/>
    </i>
    <i>
      <x v="287"/>
    </i>
    <i>
      <x v="237"/>
    </i>
    <i>
      <x v="160"/>
    </i>
    <i>
      <x v="107"/>
    </i>
    <i>
      <x v="48"/>
    </i>
    <i>
      <x v="148"/>
    </i>
    <i>
      <x v="78"/>
    </i>
    <i>
      <x v="243"/>
    </i>
    <i>
      <x v="168"/>
    </i>
    <i>
      <x v="153"/>
    </i>
    <i>
      <x v="174"/>
    </i>
    <i>
      <x v="30"/>
    </i>
    <i>
      <x v="5"/>
    </i>
    <i>
      <x v="252"/>
    </i>
    <i>
      <x v="314"/>
    </i>
    <i>
      <x v="260"/>
    </i>
    <i>
      <x v="319"/>
    </i>
    <i>
      <x v="156"/>
    </i>
    <i>
      <x v="94"/>
    </i>
    <i>
      <x v="112"/>
    </i>
    <i>
      <x v="324"/>
    </i>
    <i>
      <x v="270"/>
    </i>
    <i>
      <x v="329"/>
    </i>
    <i>
      <x v="273"/>
    </i>
    <i>
      <x v="336"/>
    </i>
    <i>
      <x v="68"/>
    </i>
    <i>
      <x v="342"/>
    </i>
    <i>
      <x v="278"/>
    </i>
    <i>
      <x v="185"/>
    </i>
    <i>
      <x v="280"/>
    </i>
    <i>
      <x v="355"/>
    </i>
    <i>
      <x v="281"/>
    </i>
    <i>
      <x v="284"/>
    </i>
    <i>
      <x v="179"/>
    </i>
    <i>
      <x v="258"/>
    </i>
    <i>
      <x v="29"/>
    </i>
    <i>
      <x v="102"/>
    </i>
    <i>
      <x v="132"/>
    </i>
    <i>
      <x v="128"/>
    </i>
    <i>
      <x v="133"/>
    </i>
    <i>
      <x v="93"/>
    </i>
    <i>
      <x v="35"/>
    </i>
    <i>
      <x v="109"/>
    </i>
    <i>
      <x v="135"/>
    </i>
    <i>
      <x v="338"/>
    </i>
    <i>
      <x v="136"/>
    </i>
    <i>
      <x v="250"/>
    </i>
    <i>
      <x v="36"/>
    </i>
    <i>
      <x v="266"/>
    </i>
    <i>
      <x v="37"/>
    </i>
    <i>
      <x v="282"/>
    </i>
    <i>
      <x v="38"/>
    </i>
    <i>
      <x v="298"/>
    </i>
    <i>
      <x v="140"/>
    </i>
    <i>
      <x v="113"/>
    </i>
    <i>
      <x v="141"/>
    </i>
    <i>
      <x v="330"/>
    </i>
    <i>
      <x v="39"/>
    </i>
    <i>
      <x v="346"/>
    </i>
    <i>
      <x v="143"/>
    </i>
    <i>
      <x v="246"/>
    </i>
    <i>
      <x v="40"/>
    </i>
    <i>
      <x v="254"/>
    </i>
    <i>
      <x v="41"/>
    </i>
    <i>
      <x v="89"/>
    </i>
    <i>
      <x v="42"/>
    </i>
    <i>
      <x v="1"/>
    </i>
    <i>
      <x v="43"/>
    </i>
    <i>
      <x v="20"/>
    </i>
    <i>
      <x v="44"/>
    </i>
    <i>
      <x v="98"/>
    </i>
    <i>
      <x v="149"/>
    </i>
    <i>
      <x v="294"/>
    </i>
    <i>
      <x v="150"/>
    </i>
    <i>
      <x v="302"/>
    </i>
    <i>
      <x v="151"/>
    </i>
    <i>
      <x v="310"/>
    </i>
    <i>
      <x v="152"/>
    </i>
    <i>
      <x v="318"/>
    </i>
    <i>
      <x v="45"/>
    </i>
    <i>
      <x v="326"/>
    </i>
    <i>
      <x v="46"/>
    </i>
    <i>
      <x v="334"/>
    </i>
    <i>
      <x v="155"/>
    </i>
    <i>
      <x v="125"/>
    </i>
    <i>
      <x v="47"/>
    </i>
    <i>
      <x v="127"/>
    </i>
    <i>
      <x v="8"/>
    </i>
    <i>
      <x v="130"/>
    </i>
    <i>
      <x v="158"/>
    </i>
    <i>
      <x v="248"/>
    </i>
    <i>
      <x v="9"/>
    </i>
    <i>
      <x v="87"/>
    </i>
    <i>
      <x v="50"/>
    </i>
    <i>
      <x v="256"/>
    </i>
    <i>
      <x v="51"/>
    </i>
    <i>
      <x v="88"/>
    </i>
    <i>
      <x v="52"/>
    </i>
    <i>
      <x v="264"/>
    </i>
    <i>
      <x v="2"/>
    </i>
    <i>
      <x v="268"/>
    </i>
    <i>
      <x v="164"/>
    </i>
    <i>
      <x v="272"/>
    </i>
    <i>
      <x v="165"/>
    </i>
    <i>
      <x v="276"/>
    </i>
    <i>
      <x v="166"/>
    </i>
    <i>
      <x v="21"/>
    </i>
    <i>
      <x v="167"/>
    </i>
    <i>
      <x v="23"/>
    </i>
    <i>
      <x v="54"/>
    </i>
    <i>
      <x v="100"/>
    </i>
    <i>
      <x v="55"/>
    </i>
    <i>
      <x v="103"/>
    </i>
    <i>
      <x v="170"/>
    </i>
    <i>
      <x v="106"/>
    </i>
    <i>
      <x v="171"/>
    </i>
    <i>
      <x v="24"/>
    </i>
    <i>
      <x v="172"/>
    </i>
    <i>
      <x v="108"/>
    </i>
    <i>
      <x v="173"/>
    </i>
    <i>
      <x v="111"/>
    </i>
    <i>
      <x v="56"/>
    </i>
    <i>
      <x v="6"/>
    </i>
    <i>
      <x v="57"/>
    </i>
    <i>
      <x v="114"/>
    </i>
    <i>
      <x v="176"/>
    </i>
    <i>
      <x v="320"/>
    </i>
    <i>
      <x v="177"/>
    </i>
    <i>
      <x v="7"/>
    </i>
    <i>
      <x v="178"/>
    </i>
    <i>
      <x v="328"/>
    </i>
    <i>
      <x v="58"/>
    </i>
    <i>
      <x v="332"/>
    </i>
    <i>
      <x/>
    </i>
    <i>
      <x v="32"/>
    </i>
    <i>
      <x v="11"/>
    </i>
    <i>
      <x v="340"/>
    </i>
    <i>
      <x v="12"/>
    </i>
    <i>
      <x v="344"/>
    </i>
    <i>
      <x v="13"/>
    </i>
    <i>
      <x v="126"/>
    </i>
    <i>
      <x v="62"/>
    </i>
    <i>
      <x v="352"/>
    </i>
    <i>
      <x v="63"/>
    </i>
    <i>
      <x v="356"/>
    </i>
    <i>
      <x v="64"/>
    </i>
    <i>
      <x v="34"/>
    </i>
    <i>
      <x v="187"/>
    </i>
    <i>
      <x v="247"/>
    </i>
    <i>
      <x v="188"/>
    </i>
    <i>
      <x v="86"/>
    </i>
    <i>
      <x v="189"/>
    </i>
    <i>
      <x v="251"/>
    </i>
    <i>
      <x v="190"/>
    </i>
    <i>
      <x v="253"/>
    </i>
    <i>
      <x v="191"/>
    </i>
    <i>
      <x v="255"/>
    </i>
    <i>
      <x v="192"/>
    </i>
    <i>
      <x v="257"/>
    </i>
    <i>
      <x v="193"/>
    </i>
    <i>
      <x v="259"/>
    </i>
    <i>
      <x v="65"/>
    </i>
    <i>
      <x v="261"/>
    </i>
    <i>
      <x v="66"/>
    </i>
    <i>
      <x v="263"/>
    </i>
    <i>
      <x v="196"/>
    </i>
    <i>
      <x v="265"/>
    </i>
    <i>
      <x v="197"/>
    </i>
    <i>
      <x v="267"/>
    </i>
    <i>
      <x v="3"/>
    </i>
    <i>
      <x v="90"/>
    </i>
    <i>
      <x v="199"/>
    </i>
    <i>
      <x v="271"/>
    </i>
    <i>
      <x v="200"/>
    </i>
    <i>
      <x v="92"/>
    </i>
    <i>
      <x v="201"/>
    </i>
    <i>
      <x v="275"/>
    </i>
    <i>
      <x v="202"/>
    </i>
    <i>
      <x v="277"/>
    </i>
    <i>
      <x v="203"/>
    </i>
    <i>
      <x v="279"/>
    </i>
    <i>
      <x v="15"/>
    </i>
    <i>
      <x v="22"/>
    </i>
    <i>
      <x v="205"/>
    </i>
    <i>
      <x v="283"/>
    </i>
    <i>
      <x v="206"/>
    </i>
    <i>
      <x v="285"/>
    </i>
    <i>
      <x v="69"/>
    </i>
    <i>
      <x v="99"/>
    </i>
    <i>
      <x v="208"/>
    </i>
    <i>
      <x v="101"/>
    </i>
    <i>
      <x v="4"/>
    </i>
    <i>
      <x v="291"/>
    </i>
    <i>
      <x v="71"/>
    </i>
    <i>
      <x v="104"/>
    </i>
    <i>
      <x v="211"/>
    </i>
    <i>
      <x v="105"/>
    </i>
    <i>
      <x v="212"/>
    </i>
    <i>
      <x v="297"/>
    </i>
    <i>
      <x v="213"/>
    </i>
    <i>
      <x v="299"/>
    </i>
    <i>
      <x v="214"/>
    </i>
    <i>
      <x v="301"/>
    </i>
    <i>
      <x v="215"/>
    </i>
    <i>
      <x v="303"/>
    </i>
    <i>
      <x v="72"/>
    </i>
    <i>
      <x v="305"/>
    </i>
    <i>
      <x v="217"/>
    </i>
    <i>
      <x v="25"/>
    </i>
    <i>
      <x v="218"/>
    </i>
    <i>
      <x v="309"/>
    </i>
    <i>
      <x v="219"/>
    </i>
    <i>
      <x v="311"/>
    </i>
    <i>
      <x v="220"/>
    </i>
    <i>
      <x v="313"/>
    </i>
    <i>
      <x v="73"/>
    </i>
    <i>
      <x v="315"/>
    </i>
    <i>
      <x v="74"/>
    </i>
    <i>
      <x v="317"/>
    </i>
    <i>
      <x v="223"/>
    </i>
    <i>
      <x v="27"/>
    </i>
    <i>
      <x v="224"/>
    </i>
    <i>
      <x v="28"/>
    </i>
    <i>
      <x v="225"/>
    </i>
    <i>
      <x v="118"/>
    </i>
    <i>
      <x v="226"/>
    </i>
    <i>
      <x v="325"/>
    </i>
    <i>
      <x v="227"/>
    </i>
    <i>
      <x v="31"/>
    </i>
    <i>
      <x v="75"/>
    </i>
    <i>
      <x v="121"/>
    </i>
    <i>
      <x v="229"/>
    </i>
    <i>
      <x v="331"/>
    </i>
    <i>
      <x v="230"/>
    </i>
    <i>
      <x v="333"/>
    </i>
    <i>
      <x v="76"/>
    </i>
    <i>
      <x v="122"/>
    </i>
    <i>
      <x v="77"/>
    </i>
    <i>
      <x v="337"/>
    </i>
    <i>
      <x v="17"/>
    </i>
    <i>
      <x v="339"/>
    </i>
    <i>
      <x v="18"/>
    </i>
    <i>
      <x v="124"/>
    </i>
    <i>
      <x v="80"/>
    </i>
    <i>
      <x v="343"/>
    </i>
    <i>
      <x v="236"/>
    </i>
    <i>
      <x v="345"/>
    </i>
    <i>
      <x v="81"/>
    </i>
    <i>
      <x v="347"/>
    </i>
    <i>
      <x v="82"/>
    </i>
    <i>
      <x v="349"/>
    </i>
    <i>
      <x v="239"/>
    </i>
    <i>
      <x v="351"/>
    </i>
    <i>
      <x v="240"/>
    </i>
    <i>
      <x v="353"/>
    </i>
    <i>
      <x v="83"/>
    </i>
    <i>
      <x v="33"/>
    </i>
    <i>
      <x v="242"/>
    </i>
    <i>
      <x v="357"/>
    </i>
    <i>
      <x v="84"/>
    </i>
    <i>
      <x v="359"/>
    </i>
    <i>
      <x v="244"/>
    </i>
    <i>
      <x v="85"/>
    </i>
    <i>
      <x v="180"/>
    </i>
    <i>
      <x v="361"/>
    </i>
    <i t="grand">
      <x/>
    </i>
  </rowItems>
  <colItems count="1">
    <i/>
  </colItems>
  <dataFields count="1">
    <dataField name="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cademic.oup.com/forestry/article-abstract/87/1/129/602137?redirectedFrom=fulltex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F482-1817-4C34-BE09-4ADB3F4F2B99}">
  <dimension ref="A1:J883"/>
  <sheetViews>
    <sheetView topLeftCell="A799" workbookViewId="0">
      <selection activeCell="A860" sqref="A860:A861"/>
    </sheetView>
  </sheetViews>
  <sheetFormatPr defaultRowHeight="14.4" x14ac:dyDescent="0.3"/>
  <sheetData>
    <row r="1" spans="1:9" ht="21" x14ac:dyDescent="0.4">
      <c r="A1" s="1" t="s">
        <v>0</v>
      </c>
    </row>
    <row r="2" spans="1:9" x14ac:dyDescent="0.3">
      <c r="A2" s="2"/>
      <c r="B2" s="3"/>
      <c r="C2" s="2"/>
      <c r="D2" s="2"/>
      <c r="F2" s="4"/>
      <c r="G2" s="5"/>
      <c r="H2" s="2"/>
      <c r="I2" s="3"/>
    </row>
    <row r="3" spans="1:9" x14ac:dyDescent="0.3">
      <c r="A3" s="6"/>
      <c r="E3" s="6"/>
    </row>
    <row r="4" spans="1:9" x14ac:dyDescent="0.3">
      <c r="A4" s="6"/>
      <c r="E4" s="6"/>
    </row>
    <row r="5" spans="1:9" x14ac:dyDescent="0.3">
      <c r="A5" s="7" t="s">
        <v>1</v>
      </c>
      <c r="B5" s="8" t="s">
        <v>2</v>
      </c>
      <c r="C5" s="9" t="s">
        <v>3</v>
      </c>
      <c r="D5" s="3"/>
      <c r="E5" s="6"/>
    </row>
    <row r="6" spans="1:9" x14ac:dyDescent="0.3">
      <c r="A6" s="10" t="s">
        <v>4</v>
      </c>
      <c r="B6" s="9"/>
      <c r="C6" s="9"/>
      <c r="D6" s="3"/>
      <c r="E6" s="6"/>
    </row>
    <row r="7" spans="1:9" ht="55.2" x14ac:dyDescent="0.3">
      <c r="A7" s="11" t="s">
        <v>5</v>
      </c>
      <c r="B7" s="9" t="s">
        <v>6</v>
      </c>
      <c r="E7" s="6"/>
    </row>
    <row r="8" spans="1:9" x14ac:dyDescent="0.3">
      <c r="A8" s="3"/>
      <c r="C8" s="2"/>
      <c r="D8" s="2"/>
      <c r="E8" s="6"/>
    </row>
    <row r="9" spans="1:9" x14ac:dyDescent="0.3">
      <c r="A9" s="3"/>
      <c r="C9" s="10" t="s">
        <v>7</v>
      </c>
      <c r="D9" s="2"/>
      <c r="E9" s="6"/>
    </row>
    <row r="10" spans="1:9" x14ac:dyDescent="0.3">
      <c r="A10" s="10" t="s">
        <v>8</v>
      </c>
      <c r="B10" s="12" t="b">
        <v>1</v>
      </c>
      <c r="C10" s="9">
        <v>40</v>
      </c>
      <c r="D10" s="3"/>
      <c r="E10" s="6"/>
    </row>
    <row r="11" spans="1:9" x14ac:dyDescent="0.3">
      <c r="A11" s="10" t="s">
        <v>9</v>
      </c>
      <c r="B11" s="12" t="b">
        <v>1</v>
      </c>
      <c r="C11" s="9">
        <v>50</v>
      </c>
      <c r="D11" s="3"/>
      <c r="E11" s="6"/>
    </row>
    <row r="12" spans="1:9" x14ac:dyDescent="0.3">
      <c r="A12" s="10" t="s">
        <v>10</v>
      </c>
      <c r="B12" s="12" t="b">
        <v>1</v>
      </c>
      <c r="C12" s="9">
        <v>10</v>
      </c>
      <c r="D12" s="3"/>
      <c r="E12" s="6"/>
    </row>
    <row r="13" spans="1:9" x14ac:dyDescent="0.3">
      <c r="A13" s="10" t="s">
        <v>11</v>
      </c>
      <c r="B13" s="12" t="b">
        <v>1</v>
      </c>
      <c r="C13" s="9">
        <v>10</v>
      </c>
      <c r="D13" s="3"/>
      <c r="E13" s="6"/>
    </row>
    <row r="14" spans="1:9" x14ac:dyDescent="0.3">
      <c r="A14" s="10" t="s">
        <v>12</v>
      </c>
      <c r="B14" s="9"/>
      <c r="E14" s="6"/>
    </row>
    <row r="15" spans="1:9" x14ac:dyDescent="0.3">
      <c r="B15" s="3"/>
      <c r="E15" s="6"/>
    </row>
    <row r="16" spans="1:9" x14ac:dyDescent="0.3">
      <c r="A16" s="9" t="s">
        <v>13</v>
      </c>
      <c r="B16" s="9" t="s">
        <v>14</v>
      </c>
      <c r="C16" s="9" t="s">
        <v>15</v>
      </c>
      <c r="D16" s="13" t="s">
        <v>16</v>
      </c>
      <c r="E16" s="9" t="s">
        <v>12</v>
      </c>
      <c r="F16" s="9" t="s">
        <v>17</v>
      </c>
      <c r="G16" s="9" t="s">
        <v>14</v>
      </c>
      <c r="H16" s="9" t="s">
        <v>18</v>
      </c>
      <c r="I16" s="13" t="s">
        <v>16</v>
      </c>
    </row>
    <row r="17" spans="1:9" ht="27.6" x14ac:dyDescent="0.3">
      <c r="A17" s="14" t="s">
        <v>19</v>
      </c>
      <c r="B17" s="9" t="s">
        <v>20</v>
      </c>
      <c r="C17" s="9"/>
      <c r="D17" s="9" t="s">
        <v>21</v>
      </c>
      <c r="E17" s="9" t="s">
        <v>22</v>
      </c>
      <c r="F17" s="14" t="s">
        <v>23</v>
      </c>
      <c r="G17" s="9"/>
      <c r="H17" s="9">
        <v>5</v>
      </c>
      <c r="I17" s="9" t="s">
        <v>21</v>
      </c>
    </row>
    <row r="18" spans="1:9" x14ac:dyDescent="0.3">
      <c r="A18" s="14" t="s">
        <v>24</v>
      </c>
      <c r="B18" s="9"/>
      <c r="C18" s="9"/>
      <c r="D18" s="9" t="s">
        <v>21</v>
      </c>
      <c r="E18" s="9" t="s">
        <v>22</v>
      </c>
      <c r="F18" s="14" t="s">
        <v>25</v>
      </c>
      <c r="G18" s="9"/>
      <c r="H18" s="9">
        <v>1</v>
      </c>
      <c r="I18" s="9" t="s">
        <v>21</v>
      </c>
    </row>
    <row r="19" spans="1:9" ht="27.6" x14ac:dyDescent="0.3">
      <c r="A19" s="14" t="s">
        <v>26</v>
      </c>
      <c r="B19" s="9"/>
      <c r="C19" s="9"/>
      <c r="D19" s="9" t="s">
        <v>21</v>
      </c>
      <c r="E19" s="9" t="s">
        <v>22</v>
      </c>
      <c r="F19" s="14" t="s">
        <v>27</v>
      </c>
      <c r="G19" s="9"/>
      <c r="H19" s="9">
        <v>1</v>
      </c>
      <c r="I19" s="9" t="s">
        <v>21</v>
      </c>
    </row>
    <row r="20" spans="1:9" x14ac:dyDescent="0.3">
      <c r="A20" s="14"/>
      <c r="B20" s="9"/>
      <c r="C20" s="9"/>
      <c r="D20" s="9"/>
      <c r="E20" s="9"/>
      <c r="F20" s="14" t="s">
        <v>28</v>
      </c>
      <c r="G20" s="9"/>
      <c r="H20" s="9">
        <v>10</v>
      </c>
      <c r="I20" s="9" t="s">
        <v>21</v>
      </c>
    </row>
    <row r="21" spans="1:9" ht="27.6" x14ac:dyDescent="0.3">
      <c r="A21" s="14"/>
      <c r="B21" s="9"/>
      <c r="C21" s="9"/>
      <c r="D21" s="9"/>
      <c r="E21" s="9"/>
      <c r="F21" s="14" t="s">
        <v>29</v>
      </c>
      <c r="G21" s="9"/>
      <c r="H21" s="9">
        <v>1</v>
      </c>
      <c r="I21" s="9" t="s">
        <v>21</v>
      </c>
    </row>
    <row r="22" spans="1:9" x14ac:dyDescent="0.3">
      <c r="A22" s="14"/>
      <c r="B22" s="9"/>
      <c r="C22" s="9"/>
      <c r="D22" s="9"/>
      <c r="E22" s="9"/>
      <c r="F22" s="14"/>
      <c r="G22" s="9"/>
      <c r="H22" s="9"/>
      <c r="I22" s="9"/>
    </row>
    <row r="23" spans="1:9" x14ac:dyDescent="0.3">
      <c r="A23" s="14"/>
      <c r="B23" s="9"/>
      <c r="C23" s="9"/>
      <c r="D23" s="9"/>
      <c r="E23" s="9"/>
      <c r="F23" s="14"/>
      <c r="G23" s="9"/>
      <c r="H23" s="9"/>
      <c r="I23" s="9"/>
    </row>
    <row r="25" spans="1:9" x14ac:dyDescent="0.3">
      <c r="A25" s="2" t="s">
        <v>22</v>
      </c>
      <c r="B25" s="3"/>
      <c r="C25" s="2"/>
      <c r="D25" s="2"/>
      <c r="F25" s="4"/>
      <c r="G25" s="3"/>
      <c r="H25" s="2"/>
      <c r="I25" s="3"/>
    </row>
    <row r="26" spans="1:9" x14ac:dyDescent="0.3">
      <c r="A26" s="10" t="s">
        <v>30</v>
      </c>
      <c r="B26" s="10" t="s">
        <v>14</v>
      </c>
      <c r="C26" s="10" t="s">
        <v>31</v>
      </c>
      <c r="D26" s="2"/>
    </row>
    <row r="27" spans="1:9" ht="27.6" x14ac:dyDescent="0.3">
      <c r="A27" s="14" t="s">
        <v>19</v>
      </c>
      <c r="B27" s="9" t="s">
        <v>32</v>
      </c>
      <c r="C27" s="15">
        <v>45721</v>
      </c>
      <c r="D27" s="16"/>
    </row>
    <row r="28" spans="1:9" x14ac:dyDescent="0.3">
      <c r="A28" s="9" t="s">
        <v>33</v>
      </c>
      <c r="B28" s="9" t="s">
        <v>34</v>
      </c>
      <c r="C28" s="15">
        <v>45664</v>
      </c>
      <c r="D28" s="16"/>
    </row>
    <row r="29" spans="1:9" x14ac:dyDescent="0.3">
      <c r="A29" s="9" t="s">
        <v>26</v>
      </c>
      <c r="B29" s="9" t="s">
        <v>32</v>
      </c>
      <c r="C29" s="15">
        <v>45719</v>
      </c>
      <c r="D29" s="16"/>
    </row>
    <row r="30" spans="1:9" x14ac:dyDescent="0.3">
      <c r="A30" s="6"/>
      <c r="E30" s="6"/>
    </row>
    <row r="31" spans="1:9" x14ac:dyDescent="0.3">
      <c r="A31" s="17" t="s">
        <v>1</v>
      </c>
      <c r="B31" s="18" t="s">
        <v>35</v>
      </c>
      <c r="C31" s="9" t="s">
        <v>3</v>
      </c>
      <c r="D31" s="3"/>
      <c r="E31" s="6"/>
    </row>
    <row r="32" spans="1:9" x14ac:dyDescent="0.3">
      <c r="A32" s="10" t="s">
        <v>4</v>
      </c>
      <c r="B32" s="9"/>
      <c r="C32" s="9"/>
      <c r="D32" s="3"/>
      <c r="E32" s="6"/>
    </row>
    <row r="33" spans="1:9" ht="55.2" x14ac:dyDescent="0.3">
      <c r="A33" s="11" t="s">
        <v>5</v>
      </c>
      <c r="B33" s="9" t="s">
        <v>36</v>
      </c>
      <c r="E33" s="6"/>
    </row>
    <row r="34" spans="1:9" x14ac:dyDescent="0.3">
      <c r="A34" s="3"/>
      <c r="C34" s="2"/>
      <c r="D34" s="2"/>
      <c r="E34" s="6"/>
    </row>
    <row r="35" spans="1:9" x14ac:dyDescent="0.3">
      <c r="A35" s="3"/>
      <c r="C35" s="10" t="s">
        <v>7</v>
      </c>
      <c r="D35" s="2"/>
      <c r="E35" s="6"/>
    </row>
    <row r="36" spans="1:9" x14ac:dyDescent="0.3">
      <c r="A36" s="10" t="s">
        <v>8</v>
      </c>
      <c r="B36" s="12" t="b">
        <v>1</v>
      </c>
      <c r="C36" s="9">
        <v>5</v>
      </c>
      <c r="D36" s="3"/>
      <c r="E36" s="6"/>
    </row>
    <row r="37" spans="1:9" x14ac:dyDescent="0.3">
      <c r="A37" s="10" t="s">
        <v>9</v>
      </c>
      <c r="B37" s="12" t="b">
        <v>1</v>
      </c>
      <c r="C37" s="9">
        <v>60</v>
      </c>
      <c r="D37" s="3"/>
      <c r="E37" s="6"/>
    </row>
    <row r="38" spans="1:9" x14ac:dyDescent="0.3">
      <c r="A38" s="10" t="s">
        <v>10</v>
      </c>
      <c r="B38" s="12" t="b">
        <v>1</v>
      </c>
      <c r="C38" s="9">
        <v>15</v>
      </c>
      <c r="D38" s="3"/>
      <c r="E38" s="6"/>
    </row>
    <row r="39" spans="1:9" x14ac:dyDescent="0.3">
      <c r="A39" s="10" t="s">
        <v>11</v>
      </c>
      <c r="B39" s="12" t="b">
        <v>1</v>
      </c>
      <c r="C39" s="9">
        <v>10</v>
      </c>
      <c r="D39" s="3"/>
      <c r="E39" s="6"/>
    </row>
    <row r="40" spans="1:9" x14ac:dyDescent="0.3">
      <c r="A40" s="10" t="s">
        <v>12</v>
      </c>
      <c r="B40" s="9"/>
      <c r="E40" s="6"/>
    </row>
    <row r="41" spans="1:9" x14ac:dyDescent="0.3">
      <c r="B41" s="3"/>
      <c r="E41" s="6"/>
    </row>
    <row r="42" spans="1:9" x14ac:dyDescent="0.3">
      <c r="A42" s="10" t="s">
        <v>13</v>
      </c>
      <c r="B42" s="10" t="s">
        <v>14</v>
      </c>
      <c r="C42" s="10" t="s">
        <v>15</v>
      </c>
      <c r="D42" s="13" t="s">
        <v>16</v>
      </c>
      <c r="E42" s="9" t="s">
        <v>12</v>
      </c>
      <c r="F42" s="10" t="s">
        <v>17</v>
      </c>
      <c r="G42" s="10" t="s">
        <v>14</v>
      </c>
      <c r="H42" s="10" t="s">
        <v>18</v>
      </c>
      <c r="I42" s="13" t="s">
        <v>16</v>
      </c>
    </row>
    <row r="43" spans="1:9" ht="27.6" x14ac:dyDescent="0.3">
      <c r="A43" s="14" t="s">
        <v>37</v>
      </c>
      <c r="B43" s="9" t="s">
        <v>38</v>
      </c>
      <c r="C43" s="9">
        <v>5</v>
      </c>
      <c r="D43" s="9" t="s">
        <v>21</v>
      </c>
      <c r="E43" s="9"/>
      <c r="F43" s="14" t="s">
        <v>39</v>
      </c>
      <c r="G43" s="9"/>
      <c r="H43" s="9">
        <v>1</v>
      </c>
      <c r="I43" s="9" t="s">
        <v>21</v>
      </c>
    </row>
    <row r="44" spans="1:9" ht="27.6" x14ac:dyDescent="0.3">
      <c r="A44" s="14" t="s">
        <v>40</v>
      </c>
      <c r="B44" s="9" t="s">
        <v>41</v>
      </c>
      <c r="C44" s="9">
        <v>1</v>
      </c>
      <c r="D44" s="9" t="s">
        <v>21</v>
      </c>
      <c r="E44" s="9"/>
      <c r="F44" s="14" t="s">
        <v>42</v>
      </c>
      <c r="G44" s="9"/>
      <c r="H44" s="9">
        <v>1</v>
      </c>
      <c r="I44" s="9" t="s">
        <v>21</v>
      </c>
    </row>
    <row r="45" spans="1:9" ht="27.6" x14ac:dyDescent="0.3">
      <c r="A45" s="14" t="s">
        <v>43</v>
      </c>
      <c r="B45" s="9" t="s">
        <v>44</v>
      </c>
      <c r="C45" s="9">
        <v>1</v>
      </c>
      <c r="D45" s="9" t="s">
        <v>21</v>
      </c>
      <c r="E45" s="9"/>
      <c r="F45" s="14" t="s">
        <v>45</v>
      </c>
      <c r="G45" s="9"/>
      <c r="H45" s="9">
        <v>35</v>
      </c>
      <c r="I45" s="9" t="s">
        <v>21</v>
      </c>
    </row>
    <row r="46" spans="1:9" x14ac:dyDescent="0.3">
      <c r="A46" s="14"/>
      <c r="B46" s="9"/>
      <c r="C46" s="9"/>
      <c r="D46" s="9"/>
      <c r="E46" s="9"/>
      <c r="F46" s="14" t="s">
        <v>46</v>
      </c>
      <c r="G46" s="9"/>
      <c r="H46" s="9">
        <v>5</v>
      </c>
      <c r="I46" s="9" t="s">
        <v>21</v>
      </c>
    </row>
    <row r="47" spans="1:9" ht="27.6" x14ac:dyDescent="0.3">
      <c r="A47" s="14"/>
      <c r="B47" s="9"/>
      <c r="C47" s="9"/>
      <c r="D47" s="9"/>
      <c r="E47" s="9"/>
      <c r="F47" s="14" t="s">
        <v>47</v>
      </c>
      <c r="G47" s="9"/>
      <c r="H47" s="9">
        <v>1</v>
      </c>
      <c r="I47" s="9" t="s">
        <v>21</v>
      </c>
    </row>
    <row r="48" spans="1:9" x14ac:dyDescent="0.3">
      <c r="A48" s="14"/>
      <c r="B48" s="9"/>
      <c r="C48" s="9"/>
      <c r="D48" s="9"/>
      <c r="E48" s="9"/>
      <c r="F48" s="14" t="s">
        <v>48</v>
      </c>
      <c r="G48" s="9"/>
      <c r="H48" s="9">
        <v>1</v>
      </c>
      <c r="I48" s="9" t="s">
        <v>21</v>
      </c>
    </row>
    <row r="49" spans="1:9" x14ac:dyDescent="0.3">
      <c r="A49" s="14"/>
      <c r="B49" s="9"/>
      <c r="C49" s="9"/>
      <c r="D49" s="9"/>
      <c r="E49" s="9"/>
      <c r="F49" s="14" t="s">
        <v>49</v>
      </c>
      <c r="G49" s="9"/>
      <c r="H49" s="9">
        <v>1</v>
      </c>
      <c r="I49" s="9" t="s">
        <v>50</v>
      </c>
    </row>
    <row r="50" spans="1:9" x14ac:dyDescent="0.3">
      <c r="F50" s="9" t="s">
        <v>51</v>
      </c>
      <c r="G50" s="9"/>
      <c r="H50" s="9">
        <v>1</v>
      </c>
      <c r="I50" s="9" t="s">
        <v>21</v>
      </c>
    </row>
    <row r="51" spans="1:9" ht="41.4" x14ac:dyDescent="0.3">
      <c r="A51" s="2"/>
      <c r="B51" s="3"/>
      <c r="C51" s="2"/>
      <c r="D51" s="2"/>
      <c r="F51" s="14" t="s">
        <v>52</v>
      </c>
      <c r="G51" s="9"/>
      <c r="H51" s="9">
        <v>1</v>
      </c>
      <c r="I51" s="9" t="s">
        <v>50</v>
      </c>
    </row>
    <row r="52" spans="1:9" ht="55.2" x14ac:dyDescent="0.3">
      <c r="F52" s="14" t="s">
        <v>53</v>
      </c>
      <c r="G52" s="9"/>
      <c r="H52" s="9">
        <v>1</v>
      </c>
      <c r="I52" s="9" t="s">
        <v>21</v>
      </c>
    </row>
    <row r="53" spans="1:9" ht="27.6" x14ac:dyDescent="0.3">
      <c r="F53" s="14" t="s">
        <v>54</v>
      </c>
      <c r="G53" s="9"/>
      <c r="H53" s="9">
        <v>1</v>
      </c>
      <c r="I53" s="9" t="s">
        <v>21</v>
      </c>
    </row>
    <row r="54" spans="1:9" x14ac:dyDescent="0.3">
      <c r="F54" s="6"/>
      <c r="G54" s="3"/>
      <c r="H54" s="3"/>
      <c r="I54" s="9"/>
    </row>
    <row r="55" spans="1:9" x14ac:dyDescent="0.3">
      <c r="A55" s="19" t="s">
        <v>1</v>
      </c>
      <c r="B55" s="20" t="s">
        <v>55</v>
      </c>
      <c r="C55" s="9" t="s">
        <v>3</v>
      </c>
      <c r="D55" s="3"/>
      <c r="E55" s="6"/>
    </row>
    <row r="56" spans="1:9" x14ac:dyDescent="0.3">
      <c r="A56" s="10" t="s">
        <v>4</v>
      </c>
      <c r="B56" s="9"/>
      <c r="C56" s="9"/>
      <c r="D56" s="3"/>
      <c r="E56" s="6"/>
    </row>
    <row r="57" spans="1:9" ht="55.2" x14ac:dyDescent="0.3">
      <c r="A57" s="11" t="s">
        <v>5</v>
      </c>
      <c r="B57" s="9" t="s">
        <v>56</v>
      </c>
      <c r="E57" s="6"/>
    </row>
    <row r="58" spans="1:9" x14ac:dyDescent="0.3">
      <c r="A58" s="3"/>
      <c r="C58" s="2"/>
      <c r="D58" s="2"/>
      <c r="E58" s="6"/>
    </row>
    <row r="59" spans="1:9" x14ac:dyDescent="0.3">
      <c r="A59" s="3"/>
      <c r="C59" s="10" t="s">
        <v>7</v>
      </c>
      <c r="D59" s="2"/>
      <c r="E59" s="6"/>
    </row>
    <row r="60" spans="1:9" x14ac:dyDescent="0.3">
      <c r="A60" s="10" t="s">
        <v>8</v>
      </c>
      <c r="B60" s="12" t="b">
        <v>1</v>
      </c>
      <c r="C60" s="9">
        <v>0</v>
      </c>
      <c r="D60" s="3"/>
      <c r="E60" s="6"/>
    </row>
    <row r="61" spans="1:9" x14ac:dyDescent="0.3">
      <c r="A61" s="10" t="s">
        <v>9</v>
      </c>
      <c r="B61" s="12" t="b">
        <v>1</v>
      </c>
      <c r="C61" s="9">
        <v>40</v>
      </c>
      <c r="D61" s="3"/>
      <c r="E61" s="6"/>
    </row>
    <row r="62" spans="1:9" x14ac:dyDescent="0.3">
      <c r="A62" s="10" t="s">
        <v>10</v>
      </c>
      <c r="B62" s="12" t="b">
        <v>1</v>
      </c>
      <c r="C62" s="9">
        <v>20</v>
      </c>
      <c r="D62" s="3"/>
      <c r="E62" s="6"/>
    </row>
    <row r="63" spans="1:9" x14ac:dyDescent="0.3">
      <c r="A63" s="10" t="s">
        <v>11</v>
      </c>
      <c r="B63" s="12" t="b">
        <v>1</v>
      </c>
      <c r="C63" s="9">
        <v>5</v>
      </c>
      <c r="D63" s="3"/>
      <c r="E63" s="6"/>
    </row>
    <row r="64" spans="1:9" x14ac:dyDescent="0.3">
      <c r="A64" s="10" t="s">
        <v>12</v>
      </c>
      <c r="B64" s="9" t="s">
        <v>57</v>
      </c>
      <c r="E64" s="6"/>
    </row>
    <row r="65" spans="1:10" x14ac:dyDescent="0.3">
      <c r="B65" s="3"/>
      <c r="E65" s="6"/>
    </row>
    <row r="66" spans="1:10" x14ac:dyDescent="0.3">
      <c r="A66" s="9" t="s">
        <v>13</v>
      </c>
      <c r="B66" s="9" t="s">
        <v>14</v>
      </c>
      <c r="C66" s="9" t="s">
        <v>15</v>
      </c>
      <c r="D66" s="13" t="s">
        <v>16</v>
      </c>
      <c r="E66" s="9" t="s">
        <v>12</v>
      </c>
      <c r="F66" s="9" t="s">
        <v>17</v>
      </c>
      <c r="G66" s="9" t="s">
        <v>14</v>
      </c>
      <c r="H66" s="9" t="s">
        <v>18</v>
      </c>
      <c r="I66" s="9" t="s">
        <v>12</v>
      </c>
      <c r="J66" s="13" t="s">
        <v>16</v>
      </c>
    </row>
    <row r="67" spans="1:10" x14ac:dyDescent="0.3">
      <c r="A67" s="14" t="s">
        <v>58</v>
      </c>
      <c r="B67" s="9"/>
      <c r="C67" s="9">
        <v>1</v>
      </c>
      <c r="D67" s="9" t="s">
        <v>21</v>
      </c>
      <c r="E67" s="9" t="s">
        <v>59</v>
      </c>
      <c r="F67" s="3" t="s">
        <v>60</v>
      </c>
      <c r="G67" s="21"/>
      <c r="H67" s="21" t="s">
        <v>61</v>
      </c>
      <c r="I67" s="9"/>
      <c r="J67" s="9" t="s">
        <v>50</v>
      </c>
    </row>
    <row r="68" spans="1:10" ht="27.6" x14ac:dyDescent="0.3">
      <c r="A68" s="22" t="s">
        <v>62</v>
      </c>
      <c r="B68" s="9"/>
      <c r="C68" s="9">
        <v>2</v>
      </c>
      <c r="D68" s="9" t="s">
        <v>21</v>
      </c>
      <c r="E68" s="9"/>
      <c r="F68" s="22" t="s">
        <v>63</v>
      </c>
      <c r="G68" s="21"/>
      <c r="H68" s="21" t="s">
        <v>64</v>
      </c>
      <c r="I68" s="9"/>
      <c r="J68" s="9" t="s">
        <v>50</v>
      </c>
    </row>
    <row r="69" spans="1:10" ht="27.6" x14ac:dyDescent="0.3">
      <c r="A69" s="14" t="s">
        <v>65</v>
      </c>
      <c r="B69" s="9"/>
      <c r="C69" s="9">
        <v>5</v>
      </c>
      <c r="D69" s="9" t="s">
        <v>21</v>
      </c>
      <c r="E69" s="9"/>
      <c r="F69" s="22" t="s">
        <v>66</v>
      </c>
      <c r="G69" s="21"/>
      <c r="H69" s="21" t="s">
        <v>67</v>
      </c>
      <c r="I69" s="9"/>
      <c r="J69" s="9" t="s">
        <v>21</v>
      </c>
    </row>
    <row r="70" spans="1:10" ht="27.6" x14ac:dyDescent="0.3">
      <c r="A70" s="14"/>
      <c r="B70" s="9"/>
      <c r="C70" s="9"/>
      <c r="D70" s="9"/>
      <c r="E70" s="9"/>
      <c r="F70" s="22" t="s">
        <v>68</v>
      </c>
      <c r="G70" s="21"/>
      <c r="H70" s="21" t="s">
        <v>69</v>
      </c>
      <c r="I70" s="9" t="s">
        <v>70</v>
      </c>
      <c r="J70" s="9" t="s">
        <v>21</v>
      </c>
    </row>
    <row r="71" spans="1:10" x14ac:dyDescent="0.3">
      <c r="A71" s="14"/>
      <c r="B71" s="9"/>
      <c r="C71" s="9"/>
      <c r="D71" s="9"/>
      <c r="E71" s="9"/>
      <c r="F71" s="22" t="s">
        <v>71</v>
      </c>
      <c r="G71" s="21"/>
      <c r="H71" s="21" t="s">
        <v>69</v>
      </c>
      <c r="I71" s="9"/>
      <c r="J71" s="9" t="s">
        <v>21</v>
      </c>
    </row>
    <row r="72" spans="1:10" x14ac:dyDescent="0.3">
      <c r="A72" s="14"/>
      <c r="B72" s="9"/>
      <c r="C72" s="9"/>
      <c r="D72" s="9"/>
      <c r="E72" s="9"/>
      <c r="F72" s="22" t="s">
        <v>72</v>
      </c>
      <c r="G72" s="21"/>
      <c r="H72" s="21" t="s">
        <v>69</v>
      </c>
      <c r="I72" s="9"/>
      <c r="J72" s="9" t="s">
        <v>50</v>
      </c>
    </row>
    <row r="73" spans="1:10" x14ac:dyDescent="0.3">
      <c r="A73" s="14"/>
      <c r="B73" s="9"/>
      <c r="C73" s="9"/>
      <c r="D73" s="9"/>
      <c r="E73" s="9"/>
      <c r="F73" s="22" t="s">
        <v>73</v>
      </c>
      <c r="G73" s="21"/>
      <c r="H73" s="21" t="s">
        <v>69</v>
      </c>
      <c r="I73" s="9"/>
      <c r="J73" s="9" t="s">
        <v>21</v>
      </c>
    </row>
    <row r="74" spans="1:10" ht="27.6" x14ac:dyDescent="0.3">
      <c r="A74" s="14"/>
      <c r="B74" s="9"/>
      <c r="C74" s="9"/>
      <c r="D74" s="9"/>
      <c r="E74" s="9"/>
      <c r="F74" s="22" t="s">
        <v>74</v>
      </c>
      <c r="G74" s="21"/>
      <c r="H74" s="21" t="s">
        <v>69</v>
      </c>
      <c r="I74" s="9"/>
      <c r="J74" s="9" t="s">
        <v>21</v>
      </c>
    </row>
    <row r="75" spans="1:10" x14ac:dyDescent="0.3">
      <c r="A75" s="14"/>
      <c r="B75" s="9"/>
      <c r="C75" s="9"/>
      <c r="D75" s="9"/>
      <c r="E75" s="9"/>
      <c r="F75" s="22" t="s">
        <v>75</v>
      </c>
      <c r="G75" s="21"/>
      <c r="H75" s="21" t="s">
        <v>69</v>
      </c>
      <c r="I75" s="9"/>
      <c r="J75" s="9" t="s">
        <v>21</v>
      </c>
    </row>
    <row r="76" spans="1:10" ht="27.6" x14ac:dyDescent="0.3">
      <c r="A76" s="14"/>
      <c r="B76" s="9"/>
      <c r="C76" s="9"/>
      <c r="D76" s="9"/>
      <c r="E76" s="9"/>
      <c r="F76" s="22" t="s">
        <v>76</v>
      </c>
      <c r="G76" s="21"/>
      <c r="H76" s="21" t="s">
        <v>69</v>
      </c>
      <c r="I76" s="9"/>
      <c r="J76" s="9" t="s">
        <v>21</v>
      </c>
    </row>
    <row r="77" spans="1:10" ht="41.4" x14ac:dyDescent="0.3">
      <c r="A77" s="14"/>
      <c r="B77" s="9"/>
      <c r="C77" s="9"/>
      <c r="D77" s="9"/>
      <c r="E77" s="9"/>
      <c r="F77" s="22" t="s">
        <v>77</v>
      </c>
      <c r="G77" s="21"/>
      <c r="H77" s="21" t="s">
        <v>69</v>
      </c>
      <c r="I77" s="9"/>
      <c r="J77" s="9" t="s">
        <v>21</v>
      </c>
    </row>
    <row r="78" spans="1:10" ht="27.6" x14ac:dyDescent="0.3">
      <c r="A78" s="14"/>
      <c r="B78" s="9"/>
      <c r="C78" s="9"/>
      <c r="D78" s="9"/>
      <c r="E78" s="9"/>
      <c r="F78" s="22" t="s">
        <v>78</v>
      </c>
      <c r="G78" s="21"/>
      <c r="H78" s="21" t="s">
        <v>69</v>
      </c>
      <c r="I78" s="9"/>
      <c r="J78" s="9" t="s">
        <v>21</v>
      </c>
    </row>
    <row r="79" spans="1:10" ht="41.4" x14ac:dyDescent="0.3">
      <c r="A79" s="14"/>
      <c r="B79" s="9"/>
      <c r="C79" s="9"/>
      <c r="D79" s="9"/>
      <c r="E79" s="9"/>
      <c r="F79" s="22" t="s">
        <v>79</v>
      </c>
      <c r="G79" s="21"/>
      <c r="H79" s="21" t="s">
        <v>69</v>
      </c>
      <c r="I79" s="9"/>
      <c r="J79" s="9" t="s">
        <v>50</v>
      </c>
    </row>
    <row r="80" spans="1:10" x14ac:dyDescent="0.3">
      <c r="A80" s="14"/>
      <c r="B80" s="9"/>
      <c r="C80" s="9"/>
      <c r="D80" s="9"/>
      <c r="E80" s="9"/>
      <c r="F80" s="22" t="s">
        <v>80</v>
      </c>
      <c r="G80" s="21"/>
      <c r="H80" s="21" t="s">
        <v>69</v>
      </c>
      <c r="I80" s="9"/>
      <c r="J80" s="9" t="s">
        <v>21</v>
      </c>
    </row>
    <row r="81" spans="1:10" ht="27.6" x14ac:dyDescent="0.3">
      <c r="A81" s="14"/>
      <c r="B81" s="9"/>
      <c r="C81" s="9"/>
      <c r="D81" s="9"/>
      <c r="E81" s="9"/>
      <c r="F81" s="22" t="s">
        <v>81</v>
      </c>
      <c r="G81" s="21"/>
      <c r="H81" s="21" t="s">
        <v>69</v>
      </c>
      <c r="I81" s="9" t="s">
        <v>70</v>
      </c>
      <c r="J81" s="9" t="s">
        <v>21</v>
      </c>
    </row>
    <row r="82" spans="1:10" x14ac:dyDescent="0.3">
      <c r="A82" s="14"/>
      <c r="B82" s="9"/>
      <c r="C82" s="9"/>
      <c r="D82" s="9"/>
      <c r="E82" s="9"/>
      <c r="F82" s="22" t="s">
        <v>82</v>
      </c>
      <c r="G82" s="21"/>
      <c r="H82" s="21" t="s">
        <v>69</v>
      </c>
      <c r="I82" s="9"/>
      <c r="J82" s="9" t="s">
        <v>21</v>
      </c>
    </row>
    <row r="83" spans="1:10" ht="27.6" x14ac:dyDescent="0.3">
      <c r="A83" s="14"/>
      <c r="B83" s="9"/>
      <c r="C83" s="9"/>
      <c r="D83" s="9"/>
      <c r="E83" s="9"/>
      <c r="F83" s="22" t="s">
        <v>83</v>
      </c>
      <c r="G83" s="21"/>
      <c r="H83" s="21" t="s">
        <v>69</v>
      </c>
      <c r="I83" s="9"/>
      <c r="J83" s="9" t="s">
        <v>21</v>
      </c>
    </row>
    <row r="84" spans="1:10" ht="41.4" x14ac:dyDescent="0.3">
      <c r="A84" s="14"/>
      <c r="B84" s="9"/>
      <c r="C84" s="9"/>
      <c r="D84" s="9"/>
      <c r="E84" s="9"/>
      <c r="F84" s="22" t="s">
        <v>84</v>
      </c>
      <c r="G84" s="21"/>
      <c r="H84" s="21" t="s">
        <v>64</v>
      </c>
      <c r="I84" s="9"/>
      <c r="J84" s="9" t="s">
        <v>50</v>
      </c>
    </row>
    <row r="85" spans="1:10" ht="41.4" x14ac:dyDescent="0.3">
      <c r="A85" s="14"/>
      <c r="B85" s="9"/>
      <c r="C85" s="9"/>
      <c r="D85" s="9"/>
      <c r="E85" s="9"/>
      <c r="F85" s="22" t="s">
        <v>85</v>
      </c>
      <c r="G85" s="21"/>
      <c r="H85" s="21" t="s">
        <v>69</v>
      </c>
      <c r="I85" s="9"/>
      <c r="J85" s="9" t="s">
        <v>50</v>
      </c>
    </row>
    <row r="86" spans="1:10" ht="41.4" x14ac:dyDescent="0.3">
      <c r="A86" s="14"/>
      <c r="B86" s="9"/>
      <c r="C86" s="9"/>
      <c r="D86" s="9"/>
      <c r="E86" s="9"/>
      <c r="F86" s="22" t="s">
        <v>86</v>
      </c>
      <c r="G86" s="21"/>
      <c r="H86" s="21" t="s">
        <v>69</v>
      </c>
      <c r="I86" s="9"/>
      <c r="J86" s="9" t="s">
        <v>50</v>
      </c>
    </row>
    <row r="87" spans="1:10" x14ac:dyDescent="0.3">
      <c r="A87" s="14"/>
      <c r="B87" s="9"/>
      <c r="C87" s="9"/>
      <c r="D87" s="9"/>
      <c r="E87" s="9"/>
      <c r="F87" s="22" t="s">
        <v>87</v>
      </c>
      <c r="G87" s="21"/>
      <c r="H87" s="21" t="s">
        <v>69</v>
      </c>
      <c r="I87" s="9"/>
      <c r="J87" s="9" t="s">
        <v>21</v>
      </c>
    </row>
    <row r="88" spans="1:10" ht="27.6" x14ac:dyDescent="0.3">
      <c r="A88" s="14"/>
      <c r="B88" s="9"/>
      <c r="C88" s="9"/>
      <c r="D88" s="9"/>
      <c r="E88" s="9"/>
      <c r="F88" s="22" t="s">
        <v>88</v>
      </c>
      <c r="G88" s="21"/>
      <c r="H88" s="21" t="s">
        <v>69</v>
      </c>
      <c r="I88" s="9"/>
      <c r="J88" s="9" t="s">
        <v>21</v>
      </c>
    </row>
    <row r="89" spans="1:10" ht="27.6" x14ac:dyDescent="0.3">
      <c r="A89" s="14"/>
      <c r="B89" s="9"/>
      <c r="C89" s="9"/>
      <c r="D89" s="9"/>
      <c r="E89" s="9"/>
      <c r="F89" s="22" t="s">
        <v>89</v>
      </c>
      <c r="G89" s="21"/>
      <c r="H89" s="21" t="s">
        <v>69</v>
      </c>
      <c r="I89" s="9"/>
      <c r="J89" s="9" t="s">
        <v>21</v>
      </c>
    </row>
    <row r="90" spans="1:10" x14ac:dyDescent="0.3">
      <c r="A90" s="14"/>
      <c r="B90" s="9"/>
      <c r="C90" s="9"/>
      <c r="D90" s="9"/>
      <c r="E90" s="9"/>
      <c r="F90" s="22" t="s">
        <v>90</v>
      </c>
      <c r="G90" s="21"/>
      <c r="H90" s="21" t="s">
        <v>69</v>
      </c>
      <c r="I90" s="9"/>
      <c r="J90" s="9" t="s">
        <v>50</v>
      </c>
    </row>
    <row r="91" spans="1:10" x14ac:dyDescent="0.3">
      <c r="A91" s="14"/>
      <c r="B91" s="9"/>
      <c r="C91" s="9"/>
      <c r="D91" s="9"/>
      <c r="E91" s="9"/>
      <c r="F91" s="22" t="s">
        <v>91</v>
      </c>
      <c r="G91" s="21"/>
      <c r="H91" s="21" t="s">
        <v>69</v>
      </c>
      <c r="I91" s="9"/>
      <c r="J91" s="9" t="s">
        <v>21</v>
      </c>
    </row>
    <row r="92" spans="1:10" x14ac:dyDescent="0.3">
      <c r="A92" s="23" t="s">
        <v>1</v>
      </c>
      <c r="B92" s="24" t="s">
        <v>92</v>
      </c>
      <c r="C92" s="25" t="s">
        <v>3</v>
      </c>
      <c r="D92" s="26"/>
      <c r="E92" s="26"/>
      <c r="F92" s="26"/>
      <c r="G92" s="26"/>
      <c r="H92" s="26"/>
      <c r="I92" s="26"/>
      <c r="J92" s="9"/>
    </row>
    <row r="93" spans="1:10" x14ac:dyDescent="0.3">
      <c r="A93" s="27" t="s">
        <v>4</v>
      </c>
      <c r="B93" s="28" t="s">
        <v>93</v>
      </c>
      <c r="C93" s="25"/>
      <c r="D93" s="26"/>
      <c r="E93" s="26"/>
      <c r="F93" s="26"/>
      <c r="G93" s="26"/>
      <c r="H93" s="26"/>
      <c r="I93" s="26"/>
      <c r="J93" s="9"/>
    </row>
    <row r="94" spans="1:10" ht="66.599999999999994" x14ac:dyDescent="0.3">
      <c r="A94" s="29" t="s">
        <v>5</v>
      </c>
      <c r="B94" s="25" t="s">
        <v>94</v>
      </c>
      <c r="C94" s="26"/>
      <c r="D94" s="26"/>
      <c r="E94" s="26"/>
      <c r="F94" s="26"/>
      <c r="G94" s="26"/>
      <c r="H94" s="26"/>
      <c r="I94" s="26"/>
      <c r="J94" s="9"/>
    </row>
    <row r="95" spans="1:10" x14ac:dyDescent="0.3">
      <c r="A95" s="26"/>
      <c r="B95" s="26"/>
      <c r="C95" s="26"/>
      <c r="D95" s="26"/>
      <c r="E95" s="26"/>
      <c r="F95" s="26"/>
      <c r="G95" s="26"/>
      <c r="H95" s="26"/>
      <c r="I95" s="26"/>
      <c r="J95" s="9"/>
    </row>
    <row r="96" spans="1:10" x14ac:dyDescent="0.3">
      <c r="A96" s="26"/>
      <c r="B96" s="26"/>
      <c r="C96" s="27" t="s">
        <v>7</v>
      </c>
      <c r="D96" s="30"/>
      <c r="E96" s="26"/>
      <c r="F96" s="26"/>
      <c r="G96" s="26"/>
      <c r="H96" s="26"/>
      <c r="I96" s="26"/>
      <c r="J96" s="26"/>
    </row>
    <row r="97" spans="1:10" x14ac:dyDescent="0.3">
      <c r="A97" s="27" t="s">
        <v>8</v>
      </c>
      <c r="B97" s="31" t="b">
        <v>1</v>
      </c>
      <c r="C97" s="25">
        <v>40</v>
      </c>
      <c r="D97" s="26"/>
      <c r="E97" s="26"/>
      <c r="F97" s="26"/>
      <c r="G97" s="26"/>
      <c r="H97" s="26"/>
      <c r="I97" s="26"/>
      <c r="J97" s="26"/>
    </row>
    <row r="98" spans="1:10" x14ac:dyDescent="0.3">
      <c r="A98" s="27" t="s">
        <v>9</v>
      </c>
      <c r="B98" s="31" t="b">
        <v>1</v>
      </c>
      <c r="C98" s="25">
        <v>20</v>
      </c>
      <c r="D98" s="26"/>
      <c r="E98" s="26"/>
      <c r="F98" s="26"/>
      <c r="G98" s="26"/>
      <c r="H98" s="26"/>
      <c r="I98" s="26"/>
      <c r="J98" s="26"/>
    </row>
    <row r="99" spans="1:10" x14ac:dyDescent="0.3">
      <c r="A99" s="27" t="s">
        <v>10</v>
      </c>
      <c r="B99" s="31" t="b">
        <v>1</v>
      </c>
      <c r="C99" s="25">
        <v>20</v>
      </c>
      <c r="D99" s="26"/>
      <c r="E99" s="26"/>
      <c r="F99" s="26"/>
      <c r="G99" s="26"/>
      <c r="H99" s="26"/>
      <c r="I99" s="26"/>
      <c r="J99" s="26"/>
    </row>
    <row r="100" spans="1:10" x14ac:dyDescent="0.3">
      <c r="A100" s="27" t="s">
        <v>11</v>
      </c>
      <c r="B100" s="31" t="b">
        <v>0</v>
      </c>
      <c r="C100" s="25">
        <v>0</v>
      </c>
      <c r="D100" s="26"/>
      <c r="E100" s="26"/>
      <c r="F100" s="26"/>
      <c r="G100" s="26"/>
      <c r="H100" s="26"/>
      <c r="I100" s="26"/>
      <c r="J100" s="26"/>
    </row>
    <row r="101" spans="1:10" x14ac:dyDescent="0.3">
      <c r="A101" s="27" t="s">
        <v>12</v>
      </c>
      <c r="B101" s="25"/>
      <c r="C101" s="26"/>
      <c r="D101" s="26"/>
      <c r="E101" s="26"/>
      <c r="F101" s="26"/>
      <c r="G101" s="26"/>
      <c r="H101" s="26"/>
      <c r="I101" s="26"/>
      <c r="J101" s="26"/>
    </row>
    <row r="102" spans="1:10" x14ac:dyDescent="0.3">
      <c r="A102" s="26"/>
      <c r="B102" s="26"/>
      <c r="C102" s="26"/>
      <c r="D102" s="26"/>
      <c r="E102" s="26"/>
      <c r="F102" s="26"/>
      <c r="G102" s="26"/>
      <c r="H102" s="26"/>
      <c r="I102" s="26"/>
      <c r="J102" s="26"/>
    </row>
    <row r="103" spans="1:10" x14ac:dyDescent="0.3">
      <c r="A103" s="25" t="s">
        <v>13</v>
      </c>
      <c r="B103" s="25" t="s">
        <v>14</v>
      </c>
      <c r="C103" s="25" t="s">
        <v>15</v>
      </c>
      <c r="D103" s="13" t="s">
        <v>16</v>
      </c>
      <c r="E103" s="25" t="s">
        <v>12</v>
      </c>
      <c r="F103" s="25" t="s">
        <v>17</v>
      </c>
      <c r="G103" s="25" t="s">
        <v>14</v>
      </c>
      <c r="H103" s="25" t="s">
        <v>18</v>
      </c>
      <c r="I103" s="25" t="s">
        <v>12</v>
      </c>
      <c r="J103" s="13" t="s">
        <v>16</v>
      </c>
    </row>
    <row r="104" spans="1:10" x14ac:dyDescent="0.3">
      <c r="A104" s="25" t="s">
        <v>95</v>
      </c>
      <c r="B104" s="25"/>
      <c r="C104" s="25">
        <v>1</v>
      </c>
      <c r="D104" s="9" t="s">
        <v>21</v>
      </c>
      <c r="E104" s="25"/>
      <c r="F104" s="32" t="s">
        <v>96</v>
      </c>
      <c r="G104" s="32"/>
      <c r="H104" s="32" t="s">
        <v>69</v>
      </c>
      <c r="I104" s="25" t="s">
        <v>97</v>
      </c>
      <c r="J104" s="9" t="s">
        <v>21</v>
      </c>
    </row>
    <row r="105" spans="1:10" x14ac:dyDescent="0.3">
      <c r="A105" s="25" t="s">
        <v>98</v>
      </c>
      <c r="B105" s="25"/>
      <c r="C105" s="25">
        <v>1</v>
      </c>
      <c r="D105" s="9" t="s">
        <v>21</v>
      </c>
      <c r="E105" s="25" t="s">
        <v>70</v>
      </c>
      <c r="F105" s="32" t="s">
        <v>99</v>
      </c>
      <c r="G105" s="32"/>
      <c r="H105" s="32">
        <v>1</v>
      </c>
      <c r="I105" s="25"/>
      <c r="J105" s="9" t="s">
        <v>21</v>
      </c>
    </row>
    <row r="106" spans="1:10" x14ac:dyDescent="0.3">
      <c r="A106" s="25" t="s">
        <v>100</v>
      </c>
      <c r="B106" s="25"/>
      <c r="C106" s="25">
        <v>2</v>
      </c>
      <c r="D106" s="9" t="s">
        <v>21</v>
      </c>
      <c r="E106" s="25"/>
      <c r="F106" s="32" t="s">
        <v>101</v>
      </c>
      <c r="G106" s="32"/>
      <c r="H106" s="32" t="s">
        <v>69</v>
      </c>
      <c r="I106" s="25"/>
      <c r="J106" s="9" t="s">
        <v>21</v>
      </c>
    </row>
    <row r="107" spans="1:10" x14ac:dyDescent="0.3">
      <c r="A107" s="25" t="s">
        <v>102</v>
      </c>
      <c r="B107" s="25"/>
      <c r="C107" s="25">
        <v>1</v>
      </c>
      <c r="D107" s="9" t="s">
        <v>21</v>
      </c>
      <c r="E107" s="25"/>
      <c r="F107" s="32" t="s">
        <v>103</v>
      </c>
      <c r="G107" s="32"/>
      <c r="H107" s="32" t="s">
        <v>69</v>
      </c>
      <c r="I107" s="25" t="s">
        <v>70</v>
      </c>
      <c r="J107" s="9" t="s">
        <v>21</v>
      </c>
    </row>
    <row r="108" spans="1:10" x14ac:dyDescent="0.3">
      <c r="A108" s="25" t="s">
        <v>104</v>
      </c>
      <c r="B108" s="25"/>
      <c r="C108" s="25">
        <v>2</v>
      </c>
      <c r="D108" s="9" t="s">
        <v>21</v>
      </c>
      <c r="E108" s="25" t="s">
        <v>70</v>
      </c>
      <c r="F108" s="32" t="s">
        <v>105</v>
      </c>
      <c r="G108" s="32"/>
      <c r="H108" s="32" t="s">
        <v>69</v>
      </c>
      <c r="I108" s="25" t="s">
        <v>70</v>
      </c>
      <c r="J108" s="9" t="s">
        <v>21</v>
      </c>
    </row>
    <row r="109" spans="1:10" x14ac:dyDescent="0.3">
      <c r="A109" s="25" t="s">
        <v>106</v>
      </c>
      <c r="B109" s="25"/>
      <c r="C109" s="25">
        <v>1</v>
      </c>
      <c r="D109" s="9" t="s">
        <v>21</v>
      </c>
      <c r="E109" s="25"/>
      <c r="F109" s="32" t="s">
        <v>107</v>
      </c>
      <c r="G109" s="32"/>
      <c r="H109" s="32" t="s">
        <v>69</v>
      </c>
      <c r="I109" s="25"/>
      <c r="J109" s="9" t="s">
        <v>21</v>
      </c>
    </row>
    <row r="110" spans="1:10" x14ac:dyDescent="0.3">
      <c r="A110" s="25" t="s">
        <v>108</v>
      </c>
      <c r="B110" s="25"/>
      <c r="C110" s="25">
        <v>1</v>
      </c>
      <c r="D110" s="9" t="s">
        <v>50</v>
      </c>
      <c r="E110" s="25"/>
      <c r="F110" s="32"/>
      <c r="G110" s="32"/>
      <c r="H110" s="32"/>
      <c r="I110" s="25"/>
      <c r="J110" s="9"/>
    </row>
    <row r="111" spans="1:10" x14ac:dyDescent="0.3">
      <c r="A111" s="14"/>
      <c r="B111" s="9"/>
      <c r="C111" s="9"/>
      <c r="D111" s="9"/>
      <c r="E111" s="9"/>
      <c r="F111" s="22"/>
      <c r="G111" s="21"/>
      <c r="H111" s="21"/>
      <c r="I111" s="9"/>
      <c r="J111" s="26"/>
    </row>
    <row r="112" spans="1:10" x14ac:dyDescent="0.3">
      <c r="A112" s="3"/>
      <c r="J112" s="26"/>
    </row>
    <row r="113" spans="1:10" x14ac:dyDescent="0.3">
      <c r="A113" s="33" t="s">
        <v>1</v>
      </c>
      <c r="B113" s="34" t="s">
        <v>109</v>
      </c>
      <c r="C113" s="9" t="s">
        <v>3</v>
      </c>
      <c r="D113" s="3"/>
      <c r="E113" s="6"/>
    </row>
    <row r="114" spans="1:10" x14ac:dyDescent="0.3">
      <c r="A114" s="10" t="s">
        <v>4</v>
      </c>
      <c r="B114" s="9"/>
      <c r="C114" s="9"/>
      <c r="D114" s="3"/>
      <c r="E114" s="6"/>
    </row>
    <row r="115" spans="1:10" ht="55.2" x14ac:dyDescent="0.3">
      <c r="A115" s="11" t="s">
        <v>5</v>
      </c>
      <c r="B115" s="9" t="s">
        <v>110</v>
      </c>
      <c r="E115" s="6"/>
    </row>
    <row r="116" spans="1:10" x14ac:dyDescent="0.3">
      <c r="A116" s="3"/>
      <c r="C116" s="2"/>
      <c r="D116" s="2"/>
      <c r="E116" s="6"/>
    </row>
    <row r="117" spans="1:10" x14ac:dyDescent="0.3">
      <c r="A117" s="3"/>
      <c r="C117" s="10" t="s">
        <v>7</v>
      </c>
      <c r="D117" s="2"/>
      <c r="E117" s="6"/>
    </row>
    <row r="118" spans="1:10" x14ac:dyDescent="0.3">
      <c r="A118" s="10" t="s">
        <v>8</v>
      </c>
      <c r="B118" s="12" t="b">
        <v>1</v>
      </c>
      <c r="C118" s="9">
        <v>79</v>
      </c>
      <c r="D118" s="3"/>
      <c r="E118" s="6"/>
    </row>
    <row r="119" spans="1:10" x14ac:dyDescent="0.3">
      <c r="A119" s="10" t="s">
        <v>9</v>
      </c>
      <c r="B119" s="12" t="b">
        <v>1</v>
      </c>
      <c r="C119" s="9">
        <v>15</v>
      </c>
      <c r="D119" s="3"/>
      <c r="E119" s="6"/>
    </row>
    <row r="120" spans="1:10" x14ac:dyDescent="0.3">
      <c r="A120" s="10" t="s">
        <v>10</v>
      </c>
      <c r="B120" s="12" t="b">
        <v>1</v>
      </c>
      <c r="C120" s="9">
        <v>5</v>
      </c>
      <c r="D120" s="3"/>
      <c r="E120" s="6"/>
    </row>
    <row r="121" spans="1:10" x14ac:dyDescent="0.3">
      <c r="A121" s="10" t="s">
        <v>11</v>
      </c>
      <c r="B121" s="12" t="b">
        <v>1</v>
      </c>
      <c r="C121" s="9">
        <v>1</v>
      </c>
      <c r="D121" s="3"/>
      <c r="E121" s="6"/>
    </row>
    <row r="122" spans="1:10" x14ac:dyDescent="0.3">
      <c r="A122" s="10" t="s">
        <v>12</v>
      </c>
      <c r="B122" s="9" t="s">
        <v>111</v>
      </c>
      <c r="E122" s="6"/>
    </row>
    <row r="123" spans="1:10" x14ac:dyDescent="0.3">
      <c r="B123" s="3"/>
      <c r="E123" s="6"/>
    </row>
    <row r="124" spans="1:10" x14ac:dyDescent="0.3">
      <c r="A124" s="9" t="s">
        <v>13</v>
      </c>
      <c r="B124" s="9" t="s">
        <v>14</v>
      </c>
      <c r="C124" s="9" t="s">
        <v>15</v>
      </c>
      <c r="D124" s="13" t="s">
        <v>16</v>
      </c>
      <c r="E124" s="9" t="s">
        <v>12</v>
      </c>
      <c r="F124" s="9" t="s">
        <v>17</v>
      </c>
      <c r="G124" s="9" t="s">
        <v>14</v>
      </c>
      <c r="H124" s="9" t="s">
        <v>18</v>
      </c>
      <c r="I124" s="9" t="s">
        <v>12</v>
      </c>
      <c r="J124" s="13" t="s">
        <v>16</v>
      </c>
    </row>
    <row r="125" spans="1:10" ht="27.6" x14ac:dyDescent="0.3">
      <c r="A125" s="14" t="s">
        <v>112</v>
      </c>
      <c r="B125" s="9"/>
      <c r="C125" s="9"/>
      <c r="D125" s="9" t="s">
        <v>21</v>
      </c>
      <c r="E125" s="9"/>
      <c r="F125" s="14" t="s">
        <v>76</v>
      </c>
      <c r="G125" s="9"/>
      <c r="H125" s="9"/>
      <c r="I125" s="9"/>
      <c r="J125" s="9" t="s">
        <v>21</v>
      </c>
    </row>
    <row r="126" spans="1:10" ht="27.6" x14ac:dyDescent="0.3">
      <c r="A126" s="14" t="s">
        <v>113</v>
      </c>
      <c r="B126" s="9"/>
      <c r="C126" s="9"/>
      <c r="D126" s="9" t="s">
        <v>21</v>
      </c>
      <c r="E126" s="9"/>
      <c r="F126" s="14" t="s">
        <v>114</v>
      </c>
      <c r="G126" s="9"/>
      <c r="H126" s="9"/>
      <c r="I126" s="9"/>
      <c r="J126" s="9" t="s">
        <v>21</v>
      </c>
    </row>
    <row r="127" spans="1:10" ht="27.6" x14ac:dyDescent="0.3">
      <c r="A127" s="14" t="s">
        <v>115</v>
      </c>
      <c r="B127" s="9"/>
      <c r="C127" s="9"/>
      <c r="D127" s="9" t="s">
        <v>50</v>
      </c>
      <c r="E127" s="9"/>
      <c r="F127" s="14" t="s">
        <v>42</v>
      </c>
      <c r="G127" s="9"/>
      <c r="H127" s="9"/>
      <c r="I127" s="9"/>
      <c r="J127" s="9" t="s">
        <v>21</v>
      </c>
    </row>
    <row r="128" spans="1:10" ht="27.6" x14ac:dyDescent="0.3">
      <c r="A128" s="14" t="s">
        <v>116</v>
      </c>
      <c r="B128" s="9"/>
      <c r="C128" s="9"/>
      <c r="D128" s="9" t="s">
        <v>21</v>
      </c>
      <c r="E128" s="9"/>
      <c r="F128" s="14" t="s">
        <v>117</v>
      </c>
      <c r="G128" s="9"/>
      <c r="H128" s="9"/>
      <c r="I128" s="9"/>
      <c r="J128" s="9"/>
    </row>
    <row r="129" spans="1:10" x14ac:dyDescent="0.3">
      <c r="A129" s="14"/>
      <c r="B129" s="9"/>
      <c r="C129" s="9"/>
      <c r="D129" s="9"/>
      <c r="E129" s="9"/>
      <c r="F129" s="14" t="s">
        <v>118</v>
      </c>
      <c r="G129" s="9"/>
      <c r="H129" s="9"/>
      <c r="I129" s="9"/>
      <c r="J129" s="9"/>
    </row>
    <row r="130" spans="1:10" x14ac:dyDescent="0.3">
      <c r="A130" s="14"/>
      <c r="B130" s="9"/>
      <c r="C130" s="9"/>
      <c r="D130" s="9"/>
      <c r="E130" s="9"/>
      <c r="F130" s="14" t="s">
        <v>119</v>
      </c>
      <c r="G130" s="9"/>
      <c r="H130" s="9"/>
      <c r="I130" s="9"/>
      <c r="J130" s="9"/>
    </row>
    <row r="131" spans="1:10" ht="27.6" x14ac:dyDescent="0.3">
      <c r="A131" s="14"/>
      <c r="B131" s="9"/>
      <c r="C131" s="9"/>
      <c r="D131" s="9"/>
      <c r="E131" s="9"/>
      <c r="F131" s="14" t="s">
        <v>120</v>
      </c>
      <c r="G131" s="9"/>
      <c r="H131" s="9"/>
      <c r="I131" s="9"/>
      <c r="J131" s="9"/>
    </row>
    <row r="132" spans="1:10" x14ac:dyDescent="0.3">
      <c r="A132" s="21"/>
      <c r="B132" s="21"/>
      <c r="C132" s="21"/>
      <c r="D132" s="21"/>
      <c r="E132" s="21"/>
      <c r="F132" s="9" t="s">
        <v>91</v>
      </c>
      <c r="G132" s="9"/>
      <c r="H132" s="9"/>
      <c r="I132" s="9"/>
      <c r="J132" s="9"/>
    </row>
    <row r="133" spans="1:10" ht="27.6" x14ac:dyDescent="0.3">
      <c r="A133" s="21"/>
      <c r="B133" s="21"/>
      <c r="C133" s="21"/>
      <c r="D133" s="21"/>
      <c r="E133" s="21"/>
      <c r="F133" s="14" t="s">
        <v>121</v>
      </c>
      <c r="G133" s="9"/>
      <c r="H133" s="10"/>
      <c r="I133" s="9"/>
      <c r="J133" s="9"/>
    </row>
    <row r="134" spans="1:10" ht="27.6" x14ac:dyDescent="0.3">
      <c r="A134" s="21"/>
      <c r="B134" s="21"/>
      <c r="C134" s="21"/>
      <c r="D134" s="21"/>
      <c r="E134" s="21"/>
      <c r="F134" s="14" t="s">
        <v>122</v>
      </c>
      <c r="G134" s="9"/>
      <c r="H134" s="10"/>
      <c r="I134" s="9"/>
      <c r="J134" s="9"/>
    </row>
    <row r="135" spans="1:10" ht="27.6" x14ac:dyDescent="0.3">
      <c r="A135" s="21"/>
      <c r="B135" s="21"/>
      <c r="C135" s="21"/>
      <c r="D135" s="21"/>
      <c r="E135" s="21"/>
      <c r="F135" s="22" t="s">
        <v>123</v>
      </c>
      <c r="G135" s="21"/>
      <c r="H135" s="21"/>
      <c r="I135" s="9" t="s">
        <v>124</v>
      </c>
      <c r="J135" s="9"/>
    </row>
    <row r="136" spans="1:10" ht="27.6" x14ac:dyDescent="0.3">
      <c r="A136" s="21"/>
      <c r="B136" s="21"/>
      <c r="C136" s="21"/>
      <c r="D136" s="21"/>
      <c r="E136" s="21"/>
      <c r="F136" s="22" t="s">
        <v>125</v>
      </c>
      <c r="G136" s="21"/>
      <c r="H136" s="21"/>
      <c r="I136" s="9" t="s">
        <v>126</v>
      </c>
      <c r="J136" s="9"/>
    </row>
    <row r="137" spans="1:10" x14ac:dyDescent="0.3">
      <c r="A137" s="6"/>
      <c r="E137" s="6"/>
      <c r="F137" s="35"/>
      <c r="G137" s="36"/>
      <c r="H137" s="36"/>
      <c r="I137" s="3"/>
      <c r="J137" s="9"/>
    </row>
    <row r="138" spans="1:10" x14ac:dyDescent="0.3">
      <c r="A138" s="37" t="s">
        <v>1</v>
      </c>
      <c r="B138" s="38" t="s">
        <v>127</v>
      </c>
      <c r="C138" s="9" t="s">
        <v>3</v>
      </c>
      <c r="D138" s="3"/>
    </row>
    <row r="139" spans="1:10" x14ac:dyDescent="0.3">
      <c r="A139" s="10" t="s">
        <v>4</v>
      </c>
      <c r="B139" s="9"/>
      <c r="C139" s="9"/>
      <c r="D139" s="3"/>
    </row>
    <row r="140" spans="1:10" ht="55.2" x14ac:dyDescent="0.3">
      <c r="A140" s="11" t="s">
        <v>5</v>
      </c>
      <c r="B140" s="9" t="s">
        <v>128</v>
      </c>
    </row>
    <row r="141" spans="1:10" x14ac:dyDescent="0.3">
      <c r="A141" s="3"/>
      <c r="C141" s="2"/>
      <c r="D141" s="2"/>
    </row>
    <row r="142" spans="1:10" x14ac:dyDescent="0.3">
      <c r="A142" s="3"/>
      <c r="C142" s="10" t="s">
        <v>7</v>
      </c>
      <c r="D142" s="2"/>
    </row>
    <row r="143" spans="1:10" x14ac:dyDescent="0.3">
      <c r="A143" s="10" t="s">
        <v>8</v>
      </c>
      <c r="B143" s="12" t="b">
        <v>0</v>
      </c>
      <c r="C143" s="9">
        <v>0</v>
      </c>
      <c r="D143" s="3"/>
    </row>
    <row r="144" spans="1:10" x14ac:dyDescent="0.3">
      <c r="A144" s="10" t="s">
        <v>9</v>
      </c>
      <c r="B144" s="12" t="b">
        <v>1</v>
      </c>
      <c r="C144" s="9">
        <v>2</v>
      </c>
      <c r="D144" s="3"/>
    </row>
    <row r="145" spans="1:10" x14ac:dyDescent="0.3">
      <c r="A145" s="10" t="s">
        <v>10</v>
      </c>
      <c r="B145" s="12" t="b">
        <v>1</v>
      </c>
      <c r="C145" s="9">
        <v>30</v>
      </c>
      <c r="D145" s="3"/>
    </row>
    <row r="146" spans="1:10" x14ac:dyDescent="0.3">
      <c r="A146" s="10" t="s">
        <v>11</v>
      </c>
      <c r="B146" s="12" t="b">
        <v>1</v>
      </c>
      <c r="C146" s="9">
        <v>80</v>
      </c>
      <c r="D146" s="3"/>
    </row>
    <row r="147" spans="1:10" x14ac:dyDescent="0.3">
      <c r="A147" s="10" t="s">
        <v>12</v>
      </c>
      <c r="B147" s="9" t="s">
        <v>129</v>
      </c>
    </row>
    <row r="149" spans="1:10" x14ac:dyDescent="0.3">
      <c r="A149" s="9" t="s">
        <v>13</v>
      </c>
      <c r="B149" s="9" t="s">
        <v>14</v>
      </c>
      <c r="C149" s="9" t="s">
        <v>15</v>
      </c>
      <c r="D149" s="13" t="s">
        <v>16</v>
      </c>
      <c r="E149" s="9" t="s">
        <v>12</v>
      </c>
      <c r="F149" s="9" t="s">
        <v>17</v>
      </c>
      <c r="G149" s="9" t="s">
        <v>14</v>
      </c>
      <c r="H149" s="9" t="s">
        <v>18</v>
      </c>
      <c r="I149" s="9" t="s">
        <v>12</v>
      </c>
      <c r="J149" s="13" t="s">
        <v>16</v>
      </c>
    </row>
    <row r="150" spans="1:10" ht="41.4" x14ac:dyDescent="0.3">
      <c r="A150" s="14" t="s">
        <v>130</v>
      </c>
      <c r="B150" s="9" t="s">
        <v>131</v>
      </c>
      <c r="C150" s="9">
        <v>20</v>
      </c>
      <c r="D150" s="9"/>
      <c r="E150" s="9"/>
      <c r="F150" s="14" t="s">
        <v>76</v>
      </c>
      <c r="G150" s="9"/>
      <c r="H150" s="9">
        <v>1</v>
      </c>
      <c r="I150" s="9"/>
      <c r="J150" s="9"/>
    </row>
    <row r="151" spans="1:10" ht="41.4" x14ac:dyDescent="0.3">
      <c r="A151" s="14" t="s">
        <v>132</v>
      </c>
      <c r="B151" s="9" t="s">
        <v>133</v>
      </c>
      <c r="C151" s="9">
        <v>1</v>
      </c>
      <c r="D151" s="9" t="s">
        <v>21</v>
      </c>
      <c r="E151" s="9"/>
      <c r="F151" s="14" t="s">
        <v>134</v>
      </c>
      <c r="G151" s="9"/>
      <c r="H151" s="9">
        <v>1</v>
      </c>
      <c r="I151" s="9"/>
      <c r="J151" s="9"/>
    </row>
    <row r="152" spans="1:10" ht="27.6" x14ac:dyDescent="0.3">
      <c r="A152" s="14" t="s">
        <v>135</v>
      </c>
      <c r="B152" s="9" t="s">
        <v>136</v>
      </c>
      <c r="C152" s="9">
        <v>9</v>
      </c>
      <c r="D152" s="9" t="s">
        <v>21</v>
      </c>
      <c r="E152" s="9"/>
      <c r="F152" s="14" t="s">
        <v>137</v>
      </c>
      <c r="G152" s="9"/>
      <c r="H152" s="9">
        <v>3</v>
      </c>
      <c r="I152" s="9" t="s">
        <v>138</v>
      </c>
      <c r="J152" s="9"/>
    </row>
    <row r="153" spans="1:10" ht="27.6" x14ac:dyDescent="0.3">
      <c r="A153" s="14" t="s">
        <v>139</v>
      </c>
      <c r="B153" s="9" t="s">
        <v>140</v>
      </c>
      <c r="C153" s="9">
        <v>1</v>
      </c>
      <c r="D153" s="9"/>
      <c r="E153" s="9"/>
      <c r="F153" s="14" t="s">
        <v>105</v>
      </c>
      <c r="G153" s="9"/>
      <c r="H153" s="9"/>
      <c r="I153" s="9"/>
      <c r="J153" s="9"/>
    </row>
    <row r="154" spans="1:10" ht="27.6" x14ac:dyDescent="0.3">
      <c r="A154" s="14" t="s">
        <v>141</v>
      </c>
      <c r="B154" s="9" t="s">
        <v>142</v>
      </c>
      <c r="C154" s="9">
        <v>1</v>
      </c>
      <c r="D154" s="9"/>
      <c r="E154" s="9"/>
      <c r="F154" s="14" t="s">
        <v>143</v>
      </c>
      <c r="G154" s="9"/>
      <c r="H154" s="9"/>
      <c r="I154" s="9"/>
      <c r="J154" s="9"/>
    </row>
    <row r="155" spans="1:10" ht="27.6" x14ac:dyDescent="0.3">
      <c r="A155" s="14"/>
      <c r="B155" s="9"/>
      <c r="C155" s="9"/>
      <c r="D155" s="9"/>
      <c r="E155" s="9"/>
      <c r="F155" s="14" t="s">
        <v>144</v>
      </c>
      <c r="G155" s="9"/>
      <c r="H155" s="9"/>
      <c r="I155" s="9"/>
      <c r="J155" s="9"/>
    </row>
    <row r="156" spans="1:10" ht="27.6" x14ac:dyDescent="0.3">
      <c r="A156" s="14"/>
      <c r="B156" s="9"/>
      <c r="C156" s="9"/>
      <c r="D156" s="9"/>
      <c r="E156" s="9"/>
      <c r="F156" s="14" t="s">
        <v>145</v>
      </c>
      <c r="G156" s="9"/>
      <c r="H156" s="9"/>
      <c r="I156" s="9"/>
      <c r="J156" s="9"/>
    </row>
    <row r="157" spans="1:10" ht="27.6" x14ac:dyDescent="0.3">
      <c r="A157" s="14"/>
      <c r="B157" s="9"/>
      <c r="C157" s="9"/>
      <c r="D157" s="9"/>
      <c r="E157" s="9"/>
      <c r="F157" s="14" t="s">
        <v>146</v>
      </c>
      <c r="G157" s="9"/>
      <c r="H157" s="9"/>
      <c r="I157" s="9" t="s">
        <v>70</v>
      </c>
      <c r="J157" s="9"/>
    </row>
    <row r="158" spans="1:10" ht="27.6" x14ac:dyDescent="0.3">
      <c r="A158" s="14"/>
      <c r="B158" s="9"/>
      <c r="C158" s="9"/>
      <c r="D158" s="9"/>
      <c r="E158" s="9"/>
      <c r="F158" s="14" t="s">
        <v>147</v>
      </c>
      <c r="G158" s="9"/>
      <c r="H158" s="9"/>
      <c r="I158" s="9"/>
      <c r="J158" s="9"/>
    </row>
    <row r="159" spans="1:10" ht="27.6" x14ac:dyDescent="0.3">
      <c r="A159" s="14"/>
      <c r="B159" s="9"/>
      <c r="C159" s="9"/>
      <c r="D159" s="9"/>
      <c r="E159" s="9"/>
      <c r="F159" s="14" t="s">
        <v>78</v>
      </c>
      <c r="G159" s="9"/>
      <c r="H159" s="9"/>
      <c r="I159" s="9"/>
      <c r="J159" s="9"/>
    </row>
    <row r="160" spans="1:10" ht="27.6" x14ac:dyDescent="0.3">
      <c r="A160" s="14"/>
      <c r="B160" s="9"/>
      <c r="C160" s="9"/>
      <c r="D160" s="9"/>
      <c r="E160" s="9"/>
      <c r="F160" s="14" t="s">
        <v>148</v>
      </c>
      <c r="G160" s="9"/>
      <c r="H160" s="9"/>
      <c r="I160" s="9" t="s">
        <v>70</v>
      </c>
      <c r="J160" s="9"/>
    </row>
    <row r="161" spans="1:10" ht="27.6" x14ac:dyDescent="0.3">
      <c r="A161" s="14"/>
      <c r="B161" s="9"/>
      <c r="C161" s="9"/>
      <c r="D161" s="9"/>
      <c r="E161" s="9"/>
      <c r="F161" s="14" t="s">
        <v>149</v>
      </c>
      <c r="G161" s="9"/>
      <c r="H161" s="9"/>
      <c r="I161" s="9"/>
      <c r="J161" s="9"/>
    </row>
    <row r="162" spans="1:10" ht="27.6" x14ac:dyDescent="0.3">
      <c r="A162" s="14"/>
      <c r="B162" s="9"/>
      <c r="C162" s="9"/>
      <c r="D162" s="9"/>
      <c r="E162" s="9"/>
      <c r="F162" s="14" t="s">
        <v>150</v>
      </c>
      <c r="G162" s="9"/>
      <c r="H162" s="9"/>
      <c r="I162" s="9"/>
      <c r="J162" s="9"/>
    </row>
    <row r="163" spans="1:10" ht="27.6" x14ac:dyDescent="0.3">
      <c r="A163" s="14"/>
      <c r="B163" s="9"/>
      <c r="C163" s="9"/>
      <c r="D163" s="9"/>
      <c r="E163" s="9"/>
      <c r="F163" s="14" t="s">
        <v>151</v>
      </c>
      <c r="G163" s="9"/>
      <c r="H163" s="9"/>
      <c r="I163" s="9"/>
      <c r="J163" s="9"/>
    </row>
    <row r="164" spans="1:10" ht="27.6" x14ac:dyDescent="0.3">
      <c r="A164" s="14"/>
      <c r="B164" s="9"/>
      <c r="C164" s="9"/>
      <c r="D164" s="9"/>
      <c r="E164" s="9"/>
      <c r="F164" s="14" t="s">
        <v>152</v>
      </c>
      <c r="G164" s="9"/>
      <c r="H164" s="9"/>
      <c r="I164" s="9" t="s">
        <v>70</v>
      </c>
      <c r="J164" s="9"/>
    </row>
    <row r="165" spans="1:10" x14ac:dyDescent="0.3">
      <c r="A165" s="3"/>
      <c r="J165" s="9"/>
    </row>
    <row r="166" spans="1:10" x14ac:dyDescent="0.3">
      <c r="A166" s="19" t="s">
        <v>1</v>
      </c>
      <c r="B166" s="20" t="s">
        <v>153</v>
      </c>
      <c r="C166" s="9" t="s">
        <v>3</v>
      </c>
      <c r="D166" s="3"/>
      <c r="E166" s="6"/>
      <c r="J166" s="9"/>
    </row>
    <row r="167" spans="1:10" x14ac:dyDescent="0.3">
      <c r="A167" s="10" t="s">
        <v>4</v>
      </c>
      <c r="B167" s="9"/>
      <c r="C167" s="9"/>
      <c r="D167" s="3"/>
      <c r="E167" s="6"/>
      <c r="J167" s="9"/>
    </row>
    <row r="168" spans="1:10" ht="55.2" x14ac:dyDescent="0.3">
      <c r="A168" s="11" t="s">
        <v>5</v>
      </c>
      <c r="B168" s="9" t="s">
        <v>154</v>
      </c>
      <c r="E168" s="6"/>
      <c r="J168" s="9"/>
    </row>
    <row r="169" spans="1:10" x14ac:dyDescent="0.3">
      <c r="A169" s="3"/>
      <c r="C169" s="2"/>
      <c r="D169" s="2"/>
      <c r="E169" s="6"/>
    </row>
    <row r="170" spans="1:10" x14ac:dyDescent="0.3">
      <c r="A170" s="3"/>
      <c r="C170" s="10" t="s">
        <v>7</v>
      </c>
      <c r="D170" s="2"/>
      <c r="E170" s="6"/>
    </row>
    <row r="171" spans="1:10" x14ac:dyDescent="0.3">
      <c r="A171" s="10" t="s">
        <v>8</v>
      </c>
      <c r="B171" s="39" t="b">
        <v>1</v>
      </c>
      <c r="C171" s="9">
        <v>5</v>
      </c>
      <c r="D171" s="3"/>
      <c r="E171" s="6"/>
    </row>
    <row r="172" spans="1:10" x14ac:dyDescent="0.3">
      <c r="A172" s="10" t="s">
        <v>9</v>
      </c>
      <c r="B172" s="39" t="b">
        <v>1</v>
      </c>
      <c r="C172" s="9">
        <v>60</v>
      </c>
      <c r="D172" s="3"/>
      <c r="E172" s="6"/>
    </row>
    <row r="173" spans="1:10" x14ac:dyDescent="0.3">
      <c r="A173" s="10" t="s">
        <v>10</v>
      </c>
      <c r="B173" s="39" t="b">
        <v>1</v>
      </c>
      <c r="C173" s="9">
        <v>20</v>
      </c>
      <c r="D173" s="3"/>
      <c r="E173" s="6"/>
    </row>
    <row r="174" spans="1:10" x14ac:dyDescent="0.3">
      <c r="A174" s="10" t="s">
        <v>11</v>
      </c>
      <c r="B174" s="39" t="b">
        <v>0</v>
      </c>
      <c r="C174" s="9">
        <v>0</v>
      </c>
      <c r="D174" s="3"/>
      <c r="E174" s="6"/>
    </row>
    <row r="175" spans="1:10" x14ac:dyDescent="0.3">
      <c r="A175" s="10" t="s">
        <v>12</v>
      </c>
      <c r="B175" s="9" t="s">
        <v>155</v>
      </c>
      <c r="E175" s="6"/>
    </row>
    <row r="176" spans="1:10" x14ac:dyDescent="0.3">
      <c r="B176" s="3"/>
      <c r="E176" s="6"/>
    </row>
    <row r="177" spans="1:10" x14ac:dyDescent="0.3">
      <c r="A177" s="9" t="s">
        <v>13</v>
      </c>
      <c r="B177" s="9" t="s">
        <v>14</v>
      </c>
      <c r="C177" s="9" t="s">
        <v>15</v>
      </c>
      <c r="D177" s="13" t="s">
        <v>16</v>
      </c>
      <c r="E177" s="9" t="s">
        <v>12</v>
      </c>
      <c r="F177" s="9" t="s">
        <v>17</v>
      </c>
      <c r="G177" s="9" t="s">
        <v>14</v>
      </c>
      <c r="H177" s="9" t="s">
        <v>18</v>
      </c>
      <c r="I177" s="9" t="s">
        <v>12</v>
      </c>
      <c r="J177" s="13" t="s">
        <v>16</v>
      </c>
    </row>
    <row r="178" spans="1:10" ht="27.6" x14ac:dyDescent="0.3">
      <c r="A178" s="14" t="s">
        <v>156</v>
      </c>
      <c r="B178" s="9"/>
      <c r="C178" s="9"/>
      <c r="D178" s="9"/>
      <c r="E178" s="9"/>
      <c r="F178" s="22" t="s">
        <v>157</v>
      </c>
      <c r="G178" s="21"/>
      <c r="H178" s="21"/>
      <c r="I178" s="9"/>
      <c r="J178" s="9"/>
    </row>
    <row r="179" spans="1:10" ht="27.6" x14ac:dyDescent="0.3">
      <c r="A179" s="14" t="s">
        <v>158</v>
      </c>
      <c r="B179" s="9"/>
      <c r="C179" s="9"/>
      <c r="D179" s="9"/>
      <c r="E179" s="9"/>
      <c r="F179" s="22" t="s">
        <v>159</v>
      </c>
      <c r="G179" s="21"/>
      <c r="H179" s="21"/>
      <c r="I179" s="9"/>
      <c r="J179" s="9"/>
    </row>
    <row r="180" spans="1:10" ht="27.6" x14ac:dyDescent="0.3">
      <c r="A180" s="14" t="s">
        <v>160</v>
      </c>
      <c r="B180" s="9"/>
      <c r="C180" s="9"/>
      <c r="D180" s="9"/>
      <c r="E180" s="9" t="s">
        <v>70</v>
      </c>
      <c r="F180" s="22" t="s">
        <v>161</v>
      </c>
      <c r="G180" s="21"/>
      <c r="H180" s="21"/>
      <c r="I180" s="9"/>
      <c r="J180" s="9"/>
    </row>
    <row r="181" spans="1:10" ht="27.6" x14ac:dyDescent="0.3">
      <c r="A181" s="14" t="s">
        <v>162</v>
      </c>
      <c r="B181" s="9"/>
      <c r="C181" s="9"/>
      <c r="D181" s="9"/>
      <c r="E181" s="9" t="s">
        <v>59</v>
      </c>
      <c r="F181" s="22" t="s">
        <v>68</v>
      </c>
      <c r="G181" s="21"/>
      <c r="H181" s="21"/>
      <c r="I181" s="9"/>
      <c r="J181" s="9"/>
    </row>
    <row r="182" spans="1:10" ht="27.6" x14ac:dyDescent="0.3">
      <c r="A182" s="14" t="s">
        <v>65</v>
      </c>
      <c r="B182" s="9"/>
      <c r="C182" s="9"/>
      <c r="D182" s="9"/>
      <c r="E182" s="9"/>
      <c r="F182" s="22" t="s">
        <v>163</v>
      </c>
      <c r="G182" s="21"/>
      <c r="H182" s="21"/>
      <c r="I182" s="9"/>
      <c r="J182" s="9"/>
    </row>
    <row r="183" spans="1:10" x14ac:dyDescent="0.3">
      <c r="A183" s="14" t="s">
        <v>164</v>
      </c>
      <c r="B183" s="9"/>
      <c r="C183" s="9"/>
      <c r="D183" s="9"/>
      <c r="E183" s="9" t="s">
        <v>70</v>
      </c>
      <c r="F183" s="22" t="s">
        <v>165</v>
      </c>
      <c r="G183" s="21"/>
      <c r="H183" s="21"/>
      <c r="I183" s="9"/>
      <c r="J183" s="9"/>
    </row>
    <row r="184" spans="1:10" ht="27.6" x14ac:dyDescent="0.3">
      <c r="A184" s="14" t="s">
        <v>166</v>
      </c>
      <c r="B184" s="9"/>
      <c r="C184" s="9"/>
      <c r="D184" s="9"/>
      <c r="E184" s="9" t="s">
        <v>59</v>
      </c>
      <c r="F184" s="22" t="s">
        <v>90</v>
      </c>
      <c r="G184" s="21"/>
      <c r="H184" s="21"/>
      <c r="I184" s="9"/>
      <c r="J184" s="9"/>
    </row>
    <row r="185" spans="1:10" ht="27.6" x14ac:dyDescent="0.3">
      <c r="A185" s="14" t="s">
        <v>135</v>
      </c>
      <c r="B185" s="9"/>
      <c r="C185" s="9"/>
      <c r="D185" s="9"/>
      <c r="E185" s="9" t="s">
        <v>167</v>
      </c>
      <c r="F185" s="22" t="s">
        <v>168</v>
      </c>
      <c r="G185" s="21"/>
      <c r="H185" s="21"/>
      <c r="I185" s="9"/>
      <c r="J185" s="9"/>
    </row>
    <row r="186" spans="1:10" ht="27.6" x14ac:dyDescent="0.3">
      <c r="A186" s="14" t="s">
        <v>169</v>
      </c>
      <c r="B186" s="9"/>
      <c r="C186" s="9"/>
      <c r="D186" s="9"/>
      <c r="E186" s="9" t="s">
        <v>70</v>
      </c>
      <c r="F186" s="22" t="s">
        <v>170</v>
      </c>
      <c r="G186" s="21"/>
      <c r="H186" s="21"/>
      <c r="I186" s="9"/>
      <c r="J186" s="9"/>
    </row>
    <row r="187" spans="1:10" ht="27.6" x14ac:dyDescent="0.3">
      <c r="A187" s="14" t="s">
        <v>171</v>
      </c>
      <c r="B187" s="9"/>
      <c r="C187" s="9"/>
      <c r="D187" s="9"/>
      <c r="E187" s="9" t="s">
        <v>167</v>
      </c>
      <c r="F187" s="22" t="s">
        <v>172</v>
      </c>
      <c r="G187" s="21"/>
      <c r="H187" s="21"/>
      <c r="I187" s="9"/>
      <c r="J187" s="9"/>
    </row>
    <row r="188" spans="1:10" x14ac:dyDescent="0.3">
      <c r="A188" s="14" t="s">
        <v>173</v>
      </c>
      <c r="B188" s="9"/>
      <c r="C188" s="9"/>
      <c r="D188" s="9"/>
      <c r="E188" s="9" t="s">
        <v>167</v>
      </c>
      <c r="F188" s="22" t="s">
        <v>174</v>
      </c>
      <c r="G188" s="21"/>
      <c r="H188" s="21"/>
      <c r="I188" s="9"/>
      <c r="J188" s="9"/>
    </row>
    <row r="189" spans="1:10" ht="27.6" x14ac:dyDescent="0.3">
      <c r="A189" s="14" t="s">
        <v>175</v>
      </c>
      <c r="B189" s="9"/>
      <c r="C189" s="9"/>
      <c r="D189" s="9"/>
      <c r="E189" s="9"/>
      <c r="F189" s="22" t="s">
        <v>176</v>
      </c>
      <c r="G189" s="21"/>
      <c r="H189" s="21"/>
      <c r="I189" s="9"/>
      <c r="J189" s="9"/>
    </row>
    <row r="190" spans="1:10" ht="27.6" x14ac:dyDescent="0.3">
      <c r="A190" s="14"/>
      <c r="B190" s="9"/>
      <c r="C190" s="9"/>
      <c r="D190" s="9"/>
      <c r="E190" s="9"/>
      <c r="F190" s="22" t="s">
        <v>177</v>
      </c>
      <c r="G190" s="21"/>
      <c r="H190" s="21"/>
      <c r="I190" s="9" t="s">
        <v>70</v>
      </c>
      <c r="J190" s="9"/>
    </row>
    <row r="191" spans="1:10" ht="27.6" x14ac:dyDescent="0.3">
      <c r="A191" s="14"/>
      <c r="B191" s="9"/>
      <c r="C191" s="9"/>
      <c r="D191" s="9"/>
      <c r="E191" s="9"/>
      <c r="F191" s="22" t="s">
        <v>178</v>
      </c>
      <c r="G191" s="21"/>
      <c r="H191" s="21"/>
      <c r="I191" s="9" t="s">
        <v>70</v>
      </c>
      <c r="J191" s="9"/>
    </row>
    <row r="192" spans="1:10" ht="27.6" x14ac:dyDescent="0.3">
      <c r="A192" s="14"/>
      <c r="B192" s="9"/>
      <c r="C192" s="9"/>
      <c r="D192" s="9"/>
      <c r="E192" s="9"/>
      <c r="F192" s="22" t="s">
        <v>179</v>
      </c>
      <c r="G192" s="21"/>
      <c r="H192" s="21"/>
      <c r="I192" s="9"/>
      <c r="J192" s="9"/>
    </row>
    <row r="193" spans="1:10" ht="27.6" x14ac:dyDescent="0.3">
      <c r="A193" s="14"/>
      <c r="B193" s="9"/>
      <c r="C193" s="9"/>
      <c r="D193" s="9"/>
      <c r="E193" s="9"/>
      <c r="F193" s="22" t="s">
        <v>180</v>
      </c>
      <c r="G193" s="21"/>
      <c r="H193" s="21"/>
      <c r="I193" s="9"/>
      <c r="J193" s="9"/>
    </row>
    <row r="194" spans="1:10" x14ac:dyDescent="0.3">
      <c r="A194" s="14"/>
      <c r="B194" s="9"/>
      <c r="C194" s="9"/>
      <c r="D194" s="9"/>
      <c r="E194" s="9"/>
      <c r="F194" s="22" t="s">
        <v>181</v>
      </c>
      <c r="G194" s="21"/>
      <c r="H194" s="21"/>
      <c r="I194" s="9"/>
      <c r="J194" s="9"/>
    </row>
    <row r="195" spans="1:10" ht="27.6" x14ac:dyDescent="0.3">
      <c r="A195" s="14"/>
      <c r="B195" s="9"/>
      <c r="C195" s="9"/>
      <c r="D195" s="9"/>
      <c r="E195" s="9"/>
      <c r="F195" s="22" t="s">
        <v>182</v>
      </c>
      <c r="G195" s="21"/>
      <c r="H195" s="21"/>
      <c r="I195" s="9"/>
      <c r="J195" s="9"/>
    </row>
    <row r="196" spans="1:10" ht="27.6" x14ac:dyDescent="0.3">
      <c r="A196" s="14"/>
      <c r="B196" s="9"/>
      <c r="C196" s="9"/>
      <c r="D196" s="9"/>
      <c r="E196" s="9"/>
      <c r="F196" s="22" t="s">
        <v>183</v>
      </c>
      <c r="G196" s="21"/>
      <c r="H196" s="21"/>
      <c r="I196" s="9" t="s">
        <v>70</v>
      </c>
      <c r="J196" s="9"/>
    </row>
    <row r="197" spans="1:10" ht="27.6" x14ac:dyDescent="0.3">
      <c r="A197" s="14"/>
      <c r="B197" s="9"/>
      <c r="C197" s="9"/>
      <c r="D197" s="9"/>
      <c r="E197" s="9"/>
      <c r="F197" s="22" t="s">
        <v>184</v>
      </c>
      <c r="G197" s="21"/>
      <c r="H197" s="21"/>
      <c r="I197" s="9" t="s">
        <v>70</v>
      </c>
      <c r="J197" s="9"/>
    </row>
    <row r="198" spans="1:10" ht="27.6" x14ac:dyDescent="0.3">
      <c r="A198" s="14"/>
      <c r="B198" s="9"/>
      <c r="C198" s="9"/>
      <c r="D198" s="9"/>
      <c r="E198" s="9"/>
      <c r="F198" s="22" t="s">
        <v>185</v>
      </c>
      <c r="G198" s="21"/>
      <c r="H198" s="21"/>
      <c r="I198" s="9"/>
      <c r="J198" s="9"/>
    </row>
    <row r="199" spans="1:10" ht="27.6" x14ac:dyDescent="0.3">
      <c r="A199" s="14"/>
      <c r="B199" s="9"/>
      <c r="C199" s="9"/>
      <c r="D199" s="9"/>
      <c r="E199" s="9"/>
      <c r="F199" s="22" t="s">
        <v>186</v>
      </c>
      <c r="G199" s="21"/>
      <c r="H199" s="21"/>
      <c r="I199" s="9"/>
      <c r="J199" s="9"/>
    </row>
    <row r="200" spans="1:10" x14ac:dyDescent="0.3">
      <c r="F200" s="21" t="s">
        <v>187</v>
      </c>
      <c r="G200" s="21"/>
      <c r="H200" s="21"/>
      <c r="I200" s="9" t="s">
        <v>70</v>
      </c>
      <c r="J200" s="9"/>
    </row>
    <row r="201" spans="1:10" x14ac:dyDescent="0.3">
      <c r="F201" s="21" t="s">
        <v>188</v>
      </c>
      <c r="G201" s="21"/>
      <c r="H201" s="21"/>
      <c r="I201" s="21"/>
      <c r="J201" s="9"/>
    </row>
    <row r="202" spans="1:10" x14ac:dyDescent="0.3">
      <c r="F202" s="21" t="s">
        <v>189</v>
      </c>
      <c r="G202" s="21"/>
      <c r="H202" s="21"/>
      <c r="I202" s="9" t="s">
        <v>70</v>
      </c>
      <c r="J202" s="9"/>
    </row>
    <row r="203" spans="1:10" x14ac:dyDescent="0.3">
      <c r="F203" s="21" t="s">
        <v>148</v>
      </c>
      <c r="G203" s="21"/>
      <c r="H203" s="21"/>
      <c r="I203" s="9" t="s">
        <v>70</v>
      </c>
      <c r="J203" s="9"/>
    </row>
    <row r="204" spans="1:10" x14ac:dyDescent="0.3">
      <c r="F204" s="21" t="s">
        <v>190</v>
      </c>
      <c r="G204" s="21"/>
      <c r="H204" s="21"/>
      <c r="I204" s="9" t="s">
        <v>70</v>
      </c>
      <c r="J204" s="9"/>
    </row>
    <row r="205" spans="1:10" x14ac:dyDescent="0.3">
      <c r="F205" s="21" t="s">
        <v>191</v>
      </c>
      <c r="G205" s="21"/>
      <c r="H205" s="21"/>
      <c r="I205" s="21"/>
      <c r="J205" s="9"/>
    </row>
    <row r="206" spans="1:10" x14ac:dyDescent="0.3">
      <c r="F206" s="36"/>
      <c r="G206" s="36"/>
      <c r="H206" s="36"/>
      <c r="J206" s="9"/>
    </row>
    <row r="207" spans="1:10" x14ac:dyDescent="0.3">
      <c r="A207" s="40" t="s">
        <v>1</v>
      </c>
      <c r="B207" s="40" t="s">
        <v>192</v>
      </c>
      <c r="C207" t="s">
        <v>3</v>
      </c>
      <c r="J207" s="9"/>
    </row>
    <row r="208" spans="1:10" x14ac:dyDescent="0.3">
      <c r="A208" s="10" t="s">
        <v>4</v>
      </c>
      <c r="B208" s="9"/>
      <c r="C208" s="9"/>
      <c r="D208" s="3"/>
      <c r="E208" s="6"/>
      <c r="J208" s="9"/>
    </row>
    <row r="209" spans="1:10" ht="55.2" x14ac:dyDescent="0.3">
      <c r="A209" s="11" t="s">
        <v>5</v>
      </c>
      <c r="B209" s="9" t="s">
        <v>193</v>
      </c>
      <c r="E209" s="6"/>
      <c r="J209" s="9"/>
    </row>
    <row r="210" spans="1:10" x14ac:dyDescent="0.3">
      <c r="A210" s="3"/>
      <c r="C210" s="2"/>
      <c r="D210" s="2"/>
      <c r="E210" s="6"/>
      <c r="J210" s="9"/>
    </row>
    <row r="211" spans="1:10" x14ac:dyDescent="0.3">
      <c r="A211" s="3"/>
      <c r="C211" s="10" t="s">
        <v>7</v>
      </c>
      <c r="D211" s="2"/>
      <c r="E211" s="6"/>
    </row>
    <row r="212" spans="1:10" x14ac:dyDescent="0.3">
      <c r="A212" s="10" t="s">
        <v>8</v>
      </c>
      <c r="B212" s="39" t="b">
        <v>1</v>
      </c>
      <c r="C212" s="9">
        <v>5</v>
      </c>
      <c r="D212" s="3"/>
      <c r="E212" s="6"/>
    </row>
    <row r="213" spans="1:10" x14ac:dyDescent="0.3">
      <c r="A213" s="10" t="s">
        <v>9</v>
      </c>
      <c r="B213" s="39" t="b">
        <v>1</v>
      </c>
      <c r="C213" s="9">
        <v>90</v>
      </c>
      <c r="D213" s="3"/>
      <c r="E213" s="6"/>
    </row>
    <row r="214" spans="1:10" x14ac:dyDescent="0.3">
      <c r="A214" s="10" t="s">
        <v>10</v>
      </c>
      <c r="B214" s="39" t="b">
        <v>1</v>
      </c>
      <c r="C214" s="9">
        <v>10</v>
      </c>
      <c r="D214" s="3"/>
      <c r="E214" s="6"/>
    </row>
    <row r="215" spans="1:10" x14ac:dyDescent="0.3">
      <c r="A215" s="10" t="s">
        <v>11</v>
      </c>
      <c r="B215" s="39" t="b">
        <v>1</v>
      </c>
      <c r="C215" s="9">
        <v>5</v>
      </c>
      <c r="D215" s="3"/>
      <c r="E215" s="6"/>
    </row>
    <row r="216" spans="1:10" x14ac:dyDescent="0.3">
      <c r="A216" s="10" t="s">
        <v>12</v>
      </c>
      <c r="B216" s="9" t="s">
        <v>194</v>
      </c>
      <c r="E216" s="6"/>
    </row>
    <row r="217" spans="1:10" x14ac:dyDescent="0.3">
      <c r="B217" s="3"/>
      <c r="E217" s="6"/>
    </row>
    <row r="218" spans="1:10" x14ac:dyDescent="0.3">
      <c r="A218" s="9" t="s">
        <v>13</v>
      </c>
      <c r="B218" s="9" t="s">
        <v>14</v>
      </c>
      <c r="C218" s="9" t="s">
        <v>15</v>
      </c>
      <c r="D218" s="13" t="s">
        <v>16</v>
      </c>
      <c r="E218" s="9" t="s">
        <v>12</v>
      </c>
      <c r="F218" s="9" t="s">
        <v>17</v>
      </c>
      <c r="G218" s="9" t="s">
        <v>14</v>
      </c>
      <c r="H218" s="9" t="s">
        <v>18</v>
      </c>
      <c r="I218" s="9" t="s">
        <v>12</v>
      </c>
      <c r="J218" s="13" t="s">
        <v>16</v>
      </c>
    </row>
    <row r="219" spans="1:10" ht="41.4" x14ac:dyDescent="0.3">
      <c r="A219" s="14" t="s">
        <v>130</v>
      </c>
      <c r="B219" s="9"/>
      <c r="C219" s="9">
        <v>1</v>
      </c>
      <c r="D219" s="9"/>
      <c r="E219" s="9"/>
      <c r="F219" s="22" t="s">
        <v>195</v>
      </c>
      <c r="G219" s="21"/>
      <c r="H219" s="21" t="s">
        <v>196</v>
      </c>
      <c r="I219" s="9" t="s">
        <v>138</v>
      </c>
      <c r="J219" s="9"/>
    </row>
    <row r="220" spans="1:10" ht="27.6" x14ac:dyDescent="0.3">
      <c r="A220" s="14" t="s">
        <v>197</v>
      </c>
      <c r="B220" s="9"/>
      <c r="C220" s="9">
        <v>5</v>
      </c>
      <c r="D220" s="9"/>
      <c r="E220" s="9" t="s">
        <v>198</v>
      </c>
      <c r="F220" s="22" t="s">
        <v>76</v>
      </c>
      <c r="G220" s="21"/>
      <c r="H220" s="21" t="s">
        <v>69</v>
      </c>
      <c r="I220" s="9"/>
      <c r="J220" s="9"/>
    </row>
    <row r="221" spans="1:10" ht="27.6" x14ac:dyDescent="0.3">
      <c r="A221" s="14" t="s">
        <v>199</v>
      </c>
      <c r="B221" s="9"/>
      <c r="C221" s="9">
        <v>1</v>
      </c>
      <c r="D221" s="9"/>
      <c r="E221" s="9" t="s">
        <v>70</v>
      </c>
      <c r="F221" s="22" t="s">
        <v>180</v>
      </c>
      <c r="G221" s="21"/>
      <c r="H221" s="21" t="s">
        <v>69</v>
      </c>
      <c r="I221" s="9"/>
      <c r="J221" s="9"/>
    </row>
    <row r="222" spans="1:10" ht="27.6" x14ac:dyDescent="0.3">
      <c r="A222" s="14" t="s">
        <v>160</v>
      </c>
      <c r="B222" s="9"/>
      <c r="C222" s="9">
        <v>1</v>
      </c>
      <c r="D222" s="9"/>
      <c r="E222" s="9" t="s">
        <v>59</v>
      </c>
      <c r="F222" s="22" t="s">
        <v>200</v>
      </c>
      <c r="G222" s="21"/>
      <c r="H222" s="21" t="s">
        <v>69</v>
      </c>
      <c r="I222" s="9"/>
      <c r="J222" s="9"/>
    </row>
    <row r="223" spans="1:10" ht="27.6" x14ac:dyDescent="0.3">
      <c r="A223" s="14" t="s">
        <v>201</v>
      </c>
      <c r="B223" s="9"/>
      <c r="C223" s="9">
        <v>1</v>
      </c>
      <c r="D223" s="9"/>
      <c r="E223" s="9"/>
      <c r="F223" s="22" t="s">
        <v>202</v>
      </c>
      <c r="G223" s="21"/>
      <c r="H223" s="21" t="s">
        <v>69</v>
      </c>
      <c r="I223" s="9"/>
      <c r="J223" s="9"/>
    </row>
    <row r="224" spans="1:10" ht="27.6" x14ac:dyDescent="0.3">
      <c r="A224" s="14" t="s">
        <v>203</v>
      </c>
      <c r="B224" s="9"/>
      <c r="C224" s="9">
        <v>1</v>
      </c>
      <c r="D224" s="9"/>
      <c r="E224" s="9"/>
      <c r="F224" s="22" t="s">
        <v>148</v>
      </c>
      <c r="G224" s="21"/>
      <c r="H224" s="21" t="s">
        <v>69</v>
      </c>
      <c r="I224" s="9" t="s">
        <v>70</v>
      </c>
      <c r="J224" s="9"/>
    </row>
    <row r="225" spans="1:10" ht="27.6" x14ac:dyDescent="0.3">
      <c r="A225" s="14"/>
      <c r="B225" s="9"/>
      <c r="C225" s="9"/>
      <c r="D225" s="9"/>
      <c r="E225" s="9"/>
      <c r="F225" s="22" t="s">
        <v>204</v>
      </c>
      <c r="G225" s="21"/>
      <c r="H225" s="21" t="s">
        <v>69</v>
      </c>
      <c r="I225" s="9"/>
      <c r="J225" s="9"/>
    </row>
    <row r="226" spans="1:10" ht="27.6" x14ac:dyDescent="0.3">
      <c r="A226" s="14"/>
      <c r="B226" s="9"/>
      <c r="C226" s="9"/>
      <c r="D226" s="9"/>
      <c r="E226" s="9"/>
      <c r="F226" s="22" t="s">
        <v>205</v>
      </c>
      <c r="G226" s="21"/>
      <c r="H226" s="21" t="s">
        <v>69</v>
      </c>
      <c r="I226" s="9"/>
      <c r="J226" s="9"/>
    </row>
    <row r="227" spans="1:10" x14ac:dyDescent="0.3">
      <c r="D227" s="9"/>
      <c r="F227" s="36"/>
      <c r="G227" s="36"/>
      <c r="H227" s="36"/>
      <c r="J227" s="9"/>
    </row>
    <row r="228" spans="1:10" x14ac:dyDescent="0.3">
      <c r="A228" s="33" t="s">
        <v>1</v>
      </c>
      <c r="B228" s="34" t="s">
        <v>206</v>
      </c>
      <c r="C228" s="9" t="s">
        <v>3</v>
      </c>
      <c r="D228" s="3"/>
      <c r="E228" s="6"/>
    </row>
    <row r="229" spans="1:10" x14ac:dyDescent="0.3">
      <c r="A229" s="10" t="s">
        <v>4</v>
      </c>
      <c r="B229" s="9"/>
      <c r="C229" s="9"/>
      <c r="D229" s="3"/>
      <c r="E229" s="6"/>
    </row>
    <row r="230" spans="1:10" ht="55.2" x14ac:dyDescent="0.3">
      <c r="A230" s="11" t="s">
        <v>5</v>
      </c>
      <c r="B230" s="9" t="s">
        <v>207</v>
      </c>
      <c r="E230" s="6"/>
    </row>
    <row r="231" spans="1:10" x14ac:dyDescent="0.3">
      <c r="A231" s="3"/>
      <c r="C231" s="2"/>
      <c r="D231" s="2"/>
      <c r="E231" s="6"/>
    </row>
    <row r="232" spans="1:10" x14ac:dyDescent="0.3">
      <c r="A232" s="3"/>
      <c r="C232" s="10" t="s">
        <v>7</v>
      </c>
      <c r="D232" s="2"/>
      <c r="E232" s="6"/>
    </row>
    <row r="233" spans="1:10" x14ac:dyDescent="0.3">
      <c r="A233" s="10" t="s">
        <v>8</v>
      </c>
      <c r="B233" s="12" t="b">
        <v>1</v>
      </c>
      <c r="C233" s="9">
        <v>80</v>
      </c>
      <c r="D233" s="3"/>
      <c r="E233" s="6"/>
    </row>
    <row r="234" spans="1:10" x14ac:dyDescent="0.3">
      <c r="A234" s="10" t="s">
        <v>9</v>
      </c>
      <c r="B234" s="12" t="b">
        <v>1</v>
      </c>
      <c r="C234" s="9">
        <v>10</v>
      </c>
      <c r="D234" s="3"/>
      <c r="E234" s="6"/>
    </row>
    <row r="235" spans="1:10" x14ac:dyDescent="0.3">
      <c r="A235" s="10" t="s">
        <v>10</v>
      </c>
      <c r="B235" s="12" t="b">
        <v>1</v>
      </c>
      <c r="C235" s="9">
        <v>10</v>
      </c>
      <c r="D235" s="3"/>
      <c r="E235" s="6"/>
    </row>
    <row r="236" spans="1:10" x14ac:dyDescent="0.3">
      <c r="A236" s="10" t="s">
        <v>11</v>
      </c>
      <c r="B236" s="12" t="b">
        <v>0</v>
      </c>
      <c r="C236" s="9">
        <v>0</v>
      </c>
      <c r="D236" s="3"/>
      <c r="E236" s="6"/>
    </row>
    <row r="237" spans="1:10" x14ac:dyDescent="0.3">
      <c r="A237" s="10" t="s">
        <v>12</v>
      </c>
      <c r="B237" s="9" t="s">
        <v>208</v>
      </c>
      <c r="E237" s="6"/>
    </row>
    <row r="238" spans="1:10" x14ac:dyDescent="0.3">
      <c r="B238" s="3"/>
      <c r="E238" s="6"/>
    </row>
    <row r="239" spans="1:10" x14ac:dyDescent="0.3">
      <c r="A239" s="9" t="s">
        <v>13</v>
      </c>
      <c r="B239" s="9" t="s">
        <v>14</v>
      </c>
      <c r="C239" s="9" t="s">
        <v>15</v>
      </c>
      <c r="D239" s="13" t="s">
        <v>16</v>
      </c>
      <c r="E239" s="9" t="s">
        <v>12</v>
      </c>
      <c r="F239" s="9" t="s">
        <v>17</v>
      </c>
      <c r="G239" s="9" t="s">
        <v>14</v>
      </c>
      <c r="H239" s="9" t="s">
        <v>18</v>
      </c>
      <c r="I239" s="9" t="s">
        <v>12</v>
      </c>
      <c r="J239" s="13" t="s">
        <v>16</v>
      </c>
    </row>
    <row r="240" spans="1:10" ht="27.6" x14ac:dyDescent="0.3">
      <c r="A240" s="14" t="s">
        <v>209</v>
      </c>
      <c r="B240" s="9"/>
      <c r="C240" s="9">
        <v>2</v>
      </c>
      <c r="D240" s="9"/>
      <c r="E240" s="9"/>
      <c r="F240" s="22" t="s">
        <v>210</v>
      </c>
      <c r="G240" s="21"/>
      <c r="H240" s="21" t="s">
        <v>69</v>
      </c>
      <c r="I240" s="9"/>
      <c r="J240" s="9"/>
    </row>
    <row r="241" spans="1:10" ht="27.6" x14ac:dyDescent="0.3">
      <c r="A241" s="14" t="s">
        <v>211</v>
      </c>
      <c r="B241" s="9"/>
      <c r="C241" s="9">
        <v>1</v>
      </c>
      <c r="D241" s="9"/>
      <c r="E241" s="9"/>
      <c r="F241" s="22" t="s">
        <v>181</v>
      </c>
      <c r="G241" s="21"/>
      <c r="H241" s="21" t="s">
        <v>69</v>
      </c>
      <c r="I241" s="9"/>
      <c r="J241" s="9"/>
    </row>
    <row r="242" spans="1:10" ht="27.6" x14ac:dyDescent="0.3">
      <c r="A242" s="14" t="s">
        <v>212</v>
      </c>
      <c r="B242" s="9"/>
      <c r="C242" s="9">
        <v>1</v>
      </c>
      <c r="D242" s="9"/>
      <c r="E242" s="9"/>
      <c r="F242" s="22" t="s">
        <v>213</v>
      </c>
      <c r="G242" s="21"/>
      <c r="H242" s="21" t="s">
        <v>69</v>
      </c>
      <c r="I242" s="9"/>
      <c r="J242" s="9"/>
    </row>
    <row r="243" spans="1:10" ht="41.4" x14ac:dyDescent="0.3">
      <c r="A243" s="14" t="s">
        <v>108</v>
      </c>
      <c r="B243" s="9"/>
      <c r="C243" s="9">
        <v>2</v>
      </c>
      <c r="D243" s="9"/>
      <c r="E243" s="9"/>
      <c r="F243" s="22" t="s">
        <v>90</v>
      </c>
      <c r="G243" s="21"/>
      <c r="H243" s="21" t="s">
        <v>69</v>
      </c>
      <c r="I243" s="21" t="s">
        <v>214</v>
      </c>
      <c r="J243" s="9"/>
    </row>
    <row r="244" spans="1:10" ht="27.6" x14ac:dyDescent="0.3">
      <c r="A244" s="14" t="s">
        <v>160</v>
      </c>
      <c r="B244" s="9"/>
      <c r="C244" s="9">
        <v>1</v>
      </c>
      <c r="D244" s="9"/>
      <c r="E244" s="9"/>
      <c r="F244" s="22" t="s">
        <v>215</v>
      </c>
      <c r="G244" s="21"/>
      <c r="H244" s="21" t="s">
        <v>69</v>
      </c>
      <c r="I244" s="21"/>
      <c r="J244" s="9"/>
    </row>
    <row r="245" spans="1:10" ht="27.6" x14ac:dyDescent="0.3">
      <c r="A245" s="14" t="s">
        <v>216</v>
      </c>
      <c r="B245" s="9"/>
      <c r="C245" s="9">
        <v>1</v>
      </c>
      <c r="D245" s="9"/>
      <c r="E245" s="9"/>
      <c r="F245" s="22" t="s">
        <v>217</v>
      </c>
      <c r="G245" s="21"/>
      <c r="H245" s="21" t="s">
        <v>69</v>
      </c>
      <c r="I245" s="21"/>
      <c r="J245" s="9"/>
    </row>
    <row r="246" spans="1:10" ht="27.6" x14ac:dyDescent="0.3">
      <c r="A246" s="14" t="s">
        <v>183</v>
      </c>
      <c r="B246" s="9"/>
      <c r="C246" s="9">
        <v>1</v>
      </c>
      <c r="D246" s="9"/>
      <c r="E246" s="9"/>
      <c r="F246" s="22" t="s">
        <v>218</v>
      </c>
      <c r="G246" s="21"/>
      <c r="H246" s="21" t="s">
        <v>69</v>
      </c>
      <c r="I246" s="21"/>
      <c r="J246" s="9"/>
    </row>
    <row r="247" spans="1:10" ht="27.6" x14ac:dyDescent="0.3">
      <c r="A247" s="14" t="s">
        <v>219</v>
      </c>
      <c r="B247" s="9"/>
      <c r="C247" s="9">
        <v>1</v>
      </c>
      <c r="D247" s="9"/>
      <c r="E247" s="9"/>
      <c r="F247" s="22" t="s">
        <v>220</v>
      </c>
      <c r="G247" s="21"/>
      <c r="H247" s="21" t="s">
        <v>69</v>
      </c>
      <c r="I247" s="21" t="s">
        <v>214</v>
      </c>
      <c r="J247" s="9"/>
    </row>
    <row r="248" spans="1:10" ht="27.6" x14ac:dyDescent="0.3">
      <c r="A248" s="14" t="s">
        <v>221</v>
      </c>
      <c r="B248" s="9"/>
      <c r="C248" s="9">
        <v>1</v>
      </c>
      <c r="D248" s="9"/>
      <c r="E248" s="9"/>
      <c r="F248" s="22" t="s">
        <v>222</v>
      </c>
      <c r="G248" s="21"/>
      <c r="H248" s="21" t="s">
        <v>69</v>
      </c>
      <c r="I248" s="21"/>
      <c r="J248" s="9"/>
    </row>
    <row r="249" spans="1:10" ht="27.6" x14ac:dyDescent="0.3">
      <c r="A249" s="14" t="s">
        <v>223</v>
      </c>
      <c r="B249" s="9"/>
      <c r="C249" s="9">
        <v>1</v>
      </c>
      <c r="D249" s="9"/>
      <c r="E249" s="9"/>
      <c r="F249" s="21" t="s">
        <v>224</v>
      </c>
      <c r="G249" s="21"/>
      <c r="H249" s="21" t="s">
        <v>69</v>
      </c>
      <c r="I249" s="21" t="s">
        <v>214</v>
      </c>
      <c r="J249" s="9"/>
    </row>
    <row r="250" spans="1:10" ht="41.4" x14ac:dyDescent="0.3">
      <c r="A250" s="14"/>
      <c r="B250" s="9"/>
      <c r="C250" s="9"/>
      <c r="D250" s="9"/>
      <c r="E250" s="9"/>
      <c r="F250" s="22" t="s">
        <v>225</v>
      </c>
      <c r="G250" s="21"/>
      <c r="H250" s="21" t="s">
        <v>69</v>
      </c>
      <c r="I250" s="21"/>
      <c r="J250" s="9"/>
    </row>
    <row r="251" spans="1:10" ht="27.6" x14ac:dyDescent="0.3">
      <c r="A251" s="14"/>
      <c r="B251" s="9"/>
      <c r="C251" s="9"/>
      <c r="D251" s="9"/>
      <c r="E251" s="9"/>
      <c r="F251" s="22" t="s">
        <v>226</v>
      </c>
      <c r="G251" s="21"/>
      <c r="H251" s="21" t="s">
        <v>69</v>
      </c>
      <c r="I251" s="21"/>
      <c r="J251" s="9"/>
    </row>
    <row r="252" spans="1:10" ht="41.4" x14ac:dyDescent="0.3">
      <c r="A252" s="14"/>
      <c r="B252" s="9"/>
      <c r="C252" s="9"/>
      <c r="D252" s="9"/>
      <c r="E252" s="9"/>
      <c r="F252" s="22" t="s">
        <v>227</v>
      </c>
      <c r="G252" s="21"/>
      <c r="H252" s="21" t="s">
        <v>69</v>
      </c>
      <c r="I252" s="21" t="s">
        <v>167</v>
      </c>
      <c r="J252" s="9"/>
    </row>
    <row r="253" spans="1:10" ht="27.6" x14ac:dyDescent="0.3">
      <c r="A253" s="14"/>
      <c r="B253" s="9"/>
      <c r="C253" s="9"/>
      <c r="D253" s="9"/>
      <c r="E253" s="9"/>
      <c r="F253" s="22" t="s">
        <v>228</v>
      </c>
      <c r="G253" s="21"/>
      <c r="H253" s="21" t="s">
        <v>69</v>
      </c>
      <c r="I253" s="21"/>
      <c r="J253" s="9"/>
    </row>
    <row r="254" spans="1:10" ht="41.4" x14ac:dyDescent="0.3">
      <c r="A254" s="14"/>
      <c r="B254" s="9"/>
      <c r="C254" s="9"/>
      <c r="D254" s="9"/>
      <c r="E254" s="9"/>
      <c r="F254" s="22" t="s">
        <v>229</v>
      </c>
      <c r="G254" s="21"/>
      <c r="H254" s="21" t="s">
        <v>69</v>
      </c>
      <c r="I254" s="21" t="s">
        <v>167</v>
      </c>
      <c r="J254" s="9"/>
    </row>
    <row r="255" spans="1:10" ht="27.6" x14ac:dyDescent="0.3">
      <c r="A255" s="14"/>
      <c r="B255" s="9"/>
      <c r="C255" s="9"/>
      <c r="D255" s="9"/>
      <c r="E255" s="9"/>
      <c r="F255" s="22" t="s">
        <v>230</v>
      </c>
      <c r="G255" s="21"/>
      <c r="H255" s="21" t="s">
        <v>69</v>
      </c>
      <c r="I255" s="21" t="s">
        <v>214</v>
      </c>
      <c r="J255" s="9"/>
    </row>
    <row r="256" spans="1:10" ht="41.4" x14ac:dyDescent="0.3">
      <c r="A256" s="14"/>
      <c r="B256" s="9"/>
      <c r="C256" s="9"/>
      <c r="D256" s="9"/>
      <c r="E256" s="9"/>
      <c r="F256" s="22" t="s">
        <v>231</v>
      </c>
      <c r="G256" s="21"/>
      <c r="H256" s="21" t="s">
        <v>69</v>
      </c>
      <c r="I256" s="21" t="s">
        <v>214</v>
      </c>
      <c r="J256" s="9"/>
    </row>
    <row r="257" spans="1:10" ht="41.4" x14ac:dyDescent="0.3">
      <c r="A257" s="14"/>
      <c r="B257" s="9"/>
      <c r="C257" s="9"/>
      <c r="D257" s="9"/>
      <c r="E257" s="9"/>
      <c r="F257" s="22" t="s">
        <v>77</v>
      </c>
      <c r="G257" s="21"/>
      <c r="H257" s="21" t="s">
        <v>69</v>
      </c>
      <c r="I257" s="21" t="s">
        <v>214</v>
      </c>
      <c r="J257" s="9"/>
    </row>
    <row r="258" spans="1:10" ht="27.6" x14ac:dyDescent="0.3">
      <c r="A258" s="14"/>
      <c r="B258" s="9"/>
      <c r="C258" s="9"/>
      <c r="D258" s="9"/>
      <c r="E258" s="9"/>
      <c r="F258" s="22" t="s">
        <v>232</v>
      </c>
      <c r="G258" s="21"/>
      <c r="H258" s="21" t="s">
        <v>69</v>
      </c>
      <c r="I258" s="21" t="s">
        <v>214</v>
      </c>
      <c r="J258" s="9"/>
    </row>
    <row r="259" spans="1:10" x14ac:dyDescent="0.3">
      <c r="A259" s="14"/>
      <c r="B259" s="9"/>
      <c r="C259" s="9"/>
      <c r="D259" s="9"/>
      <c r="E259" s="9"/>
      <c r="F259" s="22" t="s">
        <v>233</v>
      </c>
      <c r="G259" s="21"/>
      <c r="H259" s="21" t="s">
        <v>69</v>
      </c>
      <c r="I259" s="21" t="s">
        <v>214</v>
      </c>
      <c r="J259" s="9"/>
    </row>
    <row r="260" spans="1:10" ht="27.6" x14ac:dyDescent="0.3">
      <c r="A260" s="14"/>
      <c r="B260" s="9"/>
      <c r="C260" s="9"/>
      <c r="D260" s="9"/>
      <c r="E260" s="9"/>
      <c r="F260" s="22" t="s">
        <v>234</v>
      </c>
      <c r="G260" s="21"/>
      <c r="H260" s="21" t="s">
        <v>69</v>
      </c>
      <c r="I260" s="21"/>
      <c r="J260" s="9"/>
    </row>
    <row r="261" spans="1:10" ht="27.6" x14ac:dyDescent="0.3">
      <c r="A261" s="14"/>
      <c r="B261" s="9"/>
      <c r="C261" s="9"/>
      <c r="D261" s="9"/>
      <c r="E261" s="9"/>
      <c r="F261" s="22" t="s">
        <v>235</v>
      </c>
      <c r="G261" s="21"/>
      <c r="H261" s="21" t="s">
        <v>69</v>
      </c>
      <c r="I261" s="21" t="s">
        <v>214</v>
      </c>
      <c r="J261" s="9"/>
    </row>
    <row r="262" spans="1:10" ht="27.6" x14ac:dyDescent="0.3">
      <c r="A262" s="14"/>
      <c r="B262" s="9"/>
      <c r="C262" s="9"/>
      <c r="D262" s="9"/>
      <c r="E262" s="9"/>
      <c r="F262" s="22" t="s">
        <v>184</v>
      </c>
      <c r="G262" s="21"/>
      <c r="H262" s="21" t="s">
        <v>69</v>
      </c>
      <c r="I262" s="21" t="s">
        <v>214</v>
      </c>
      <c r="J262" s="9"/>
    </row>
    <row r="263" spans="1:10" ht="27.6" x14ac:dyDescent="0.3">
      <c r="A263" s="14"/>
      <c r="B263" s="9"/>
      <c r="C263" s="9"/>
      <c r="D263" s="9"/>
      <c r="E263" s="9"/>
      <c r="F263" s="22" t="s">
        <v>236</v>
      </c>
      <c r="G263" s="21"/>
      <c r="H263" s="21" t="s">
        <v>69</v>
      </c>
      <c r="I263" s="21" t="s">
        <v>214</v>
      </c>
      <c r="J263" s="9"/>
    </row>
    <row r="264" spans="1:10" ht="55.2" x14ac:dyDescent="0.3">
      <c r="A264" s="14"/>
      <c r="B264" s="9"/>
      <c r="C264" s="9"/>
      <c r="D264" s="9"/>
      <c r="E264" s="9"/>
      <c r="F264" s="22" t="s">
        <v>237</v>
      </c>
      <c r="G264" s="21"/>
      <c r="H264" s="21" t="s">
        <v>69</v>
      </c>
      <c r="I264" s="21" t="s">
        <v>214</v>
      </c>
      <c r="J264" s="9"/>
    </row>
    <row r="265" spans="1:10" ht="41.4" x14ac:dyDescent="0.3">
      <c r="A265" s="14"/>
      <c r="B265" s="9"/>
      <c r="C265" s="9"/>
      <c r="D265" s="9"/>
      <c r="E265" s="9"/>
      <c r="F265" s="22" t="s">
        <v>238</v>
      </c>
      <c r="G265" s="21"/>
      <c r="H265" s="21" t="s">
        <v>69</v>
      </c>
      <c r="I265" s="21" t="s">
        <v>167</v>
      </c>
      <c r="J265" s="9"/>
    </row>
    <row r="266" spans="1:10" x14ac:dyDescent="0.3">
      <c r="F266" s="36"/>
      <c r="G266" s="36"/>
      <c r="H266" s="36"/>
    </row>
    <row r="267" spans="1:10" x14ac:dyDescent="0.3">
      <c r="A267" s="3"/>
    </row>
    <row r="268" spans="1:10" x14ac:dyDescent="0.3">
      <c r="A268" s="19" t="s">
        <v>1</v>
      </c>
      <c r="B268" s="20" t="s">
        <v>239</v>
      </c>
      <c r="C268" s="9" t="s">
        <v>3</v>
      </c>
      <c r="D268" s="3"/>
      <c r="E268" s="6"/>
    </row>
    <row r="269" spans="1:10" x14ac:dyDescent="0.3">
      <c r="A269" s="10" t="s">
        <v>4</v>
      </c>
      <c r="B269" s="9"/>
      <c r="C269" s="9"/>
      <c r="D269" s="3"/>
      <c r="E269" s="6"/>
    </row>
    <row r="270" spans="1:10" ht="55.2" x14ac:dyDescent="0.3">
      <c r="A270" s="11" t="s">
        <v>5</v>
      </c>
      <c r="B270" s="9" t="s">
        <v>240</v>
      </c>
      <c r="E270" s="6"/>
    </row>
    <row r="271" spans="1:10" x14ac:dyDescent="0.3">
      <c r="A271" s="3"/>
      <c r="C271" s="2"/>
      <c r="D271" s="2"/>
      <c r="E271" s="6"/>
    </row>
    <row r="272" spans="1:10" x14ac:dyDescent="0.3">
      <c r="A272" s="3"/>
      <c r="C272" s="10" t="s">
        <v>7</v>
      </c>
      <c r="D272" s="2"/>
      <c r="E272" s="6"/>
    </row>
    <row r="273" spans="1:10" x14ac:dyDescent="0.3">
      <c r="A273" s="10" t="s">
        <v>8</v>
      </c>
      <c r="B273" s="39" t="b">
        <v>0</v>
      </c>
      <c r="C273" s="9">
        <v>0</v>
      </c>
      <c r="D273" s="3"/>
      <c r="E273" s="6"/>
    </row>
    <row r="274" spans="1:10" x14ac:dyDescent="0.3">
      <c r="A274" s="10" t="s">
        <v>9</v>
      </c>
      <c r="B274" s="39" t="b">
        <v>1</v>
      </c>
      <c r="C274" s="9">
        <v>60</v>
      </c>
      <c r="D274" s="3"/>
      <c r="E274" s="6"/>
    </row>
    <row r="275" spans="1:10" x14ac:dyDescent="0.3">
      <c r="A275" s="10" t="s">
        <v>10</v>
      </c>
      <c r="B275" s="39" t="b">
        <v>1</v>
      </c>
      <c r="C275" s="9">
        <v>20</v>
      </c>
      <c r="D275" s="3"/>
      <c r="E275" s="6"/>
    </row>
    <row r="276" spans="1:10" x14ac:dyDescent="0.3">
      <c r="A276" s="10" t="s">
        <v>11</v>
      </c>
      <c r="B276" s="39" t="b">
        <v>1</v>
      </c>
      <c r="C276" s="9">
        <v>20</v>
      </c>
      <c r="D276" s="3"/>
      <c r="E276" s="6"/>
    </row>
    <row r="277" spans="1:10" x14ac:dyDescent="0.3">
      <c r="A277" s="10" t="s">
        <v>12</v>
      </c>
      <c r="B277" s="9" t="s">
        <v>241</v>
      </c>
      <c r="E277" s="6"/>
    </row>
    <row r="278" spans="1:10" x14ac:dyDescent="0.3">
      <c r="B278" s="3"/>
      <c r="E278" s="6"/>
    </row>
    <row r="279" spans="1:10" x14ac:dyDescent="0.3">
      <c r="A279" s="9" t="s">
        <v>13</v>
      </c>
      <c r="B279" s="9" t="s">
        <v>14</v>
      </c>
      <c r="C279" s="9" t="s">
        <v>15</v>
      </c>
      <c r="D279" s="13" t="s">
        <v>16</v>
      </c>
      <c r="E279" s="9" t="s">
        <v>12</v>
      </c>
      <c r="F279" s="9" t="s">
        <v>17</v>
      </c>
      <c r="G279" s="9" t="s">
        <v>14</v>
      </c>
      <c r="H279" s="9" t="s">
        <v>18</v>
      </c>
      <c r="I279" s="9" t="s">
        <v>12</v>
      </c>
      <c r="J279" s="13" t="s">
        <v>16</v>
      </c>
    </row>
    <row r="280" spans="1:10" ht="41.4" x14ac:dyDescent="0.3">
      <c r="A280" s="14" t="s">
        <v>242</v>
      </c>
      <c r="B280" s="9"/>
      <c r="C280" s="3">
        <v>1</v>
      </c>
      <c r="D280" s="9"/>
      <c r="E280" s="9" t="s">
        <v>167</v>
      </c>
      <c r="F280" s="22" t="s">
        <v>243</v>
      </c>
      <c r="G280" s="21"/>
      <c r="H280" s="21" t="s">
        <v>69</v>
      </c>
      <c r="I280" s="9" t="s">
        <v>244</v>
      </c>
      <c r="J280" s="9"/>
    </row>
    <row r="281" spans="1:10" ht="55.2" x14ac:dyDescent="0.3">
      <c r="A281" s="14" t="s">
        <v>245</v>
      </c>
      <c r="B281" s="9"/>
      <c r="C281" s="9">
        <v>1</v>
      </c>
      <c r="D281" s="9"/>
      <c r="E281" s="9"/>
      <c r="F281" s="22" t="s">
        <v>246</v>
      </c>
      <c r="G281" s="21"/>
      <c r="H281" s="21" t="s">
        <v>69</v>
      </c>
      <c r="I281" s="9"/>
      <c r="J281" s="9"/>
    </row>
    <row r="282" spans="1:10" ht="27.6" x14ac:dyDescent="0.3">
      <c r="A282" s="14" t="s">
        <v>156</v>
      </c>
      <c r="B282" s="9"/>
      <c r="C282" s="3">
        <v>1</v>
      </c>
      <c r="D282" s="9"/>
      <c r="E282" s="9" t="s">
        <v>247</v>
      </c>
      <c r="F282" s="22" t="s">
        <v>248</v>
      </c>
      <c r="G282" s="21"/>
      <c r="H282" s="21" t="s">
        <v>69</v>
      </c>
      <c r="I282" s="9"/>
      <c r="J282" s="9"/>
    </row>
    <row r="283" spans="1:10" ht="41.4" x14ac:dyDescent="0.3">
      <c r="A283" s="14" t="s">
        <v>212</v>
      </c>
      <c r="B283" s="9"/>
      <c r="C283" s="9">
        <v>1</v>
      </c>
      <c r="D283" s="9"/>
      <c r="E283" s="9" t="s">
        <v>70</v>
      </c>
      <c r="F283" s="22" t="s">
        <v>249</v>
      </c>
      <c r="G283" s="21"/>
      <c r="H283" s="21" t="s">
        <v>69</v>
      </c>
      <c r="I283" s="9"/>
      <c r="J283" s="9"/>
    </row>
    <row r="284" spans="1:10" ht="41.4" x14ac:dyDescent="0.3">
      <c r="A284" s="14" t="s">
        <v>130</v>
      </c>
      <c r="B284" s="9"/>
      <c r="C284" s="3">
        <v>5</v>
      </c>
      <c r="D284" s="9"/>
      <c r="E284" s="9"/>
      <c r="F284" s="22" t="s">
        <v>250</v>
      </c>
      <c r="G284" s="21"/>
      <c r="H284" s="21" t="s">
        <v>69</v>
      </c>
      <c r="I284" s="9" t="s">
        <v>70</v>
      </c>
      <c r="J284" s="9"/>
    </row>
    <row r="285" spans="1:10" ht="27.6" x14ac:dyDescent="0.3">
      <c r="A285" s="14" t="s">
        <v>132</v>
      </c>
      <c r="B285" s="9"/>
      <c r="C285" s="9">
        <v>1</v>
      </c>
      <c r="D285" s="9"/>
      <c r="E285" s="9"/>
      <c r="F285" s="22" t="s">
        <v>251</v>
      </c>
      <c r="G285" s="21"/>
      <c r="H285" s="21" t="s">
        <v>69</v>
      </c>
      <c r="I285" s="9" t="s">
        <v>70</v>
      </c>
      <c r="J285" s="9"/>
    </row>
    <row r="286" spans="1:10" ht="27.6" x14ac:dyDescent="0.3">
      <c r="A286" s="14" t="s">
        <v>252</v>
      </c>
      <c r="B286" s="9"/>
      <c r="C286" s="3">
        <v>1</v>
      </c>
      <c r="D286" s="9"/>
      <c r="E286" s="9"/>
      <c r="F286" s="22" t="s">
        <v>253</v>
      </c>
      <c r="G286" s="21"/>
      <c r="H286" s="21" t="s">
        <v>69</v>
      </c>
      <c r="I286" s="9" t="s">
        <v>70</v>
      </c>
      <c r="J286" s="9"/>
    </row>
    <row r="287" spans="1:10" ht="27.6" x14ac:dyDescent="0.3">
      <c r="A287" s="14" t="s">
        <v>203</v>
      </c>
      <c r="B287" s="9"/>
      <c r="C287" s="9">
        <v>1</v>
      </c>
      <c r="D287" s="9"/>
      <c r="E287" s="9"/>
      <c r="F287" s="22" t="s">
        <v>254</v>
      </c>
      <c r="G287" s="21"/>
      <c r="H287" s="21" t="s">
        <v>69</v>
      </c>
      <c r="I287" s="9"/>
      <c r="J287" s="9"/>
    </row>
    <row r="288" spans="1:10" ht="41.4" x14ac:dyDescent="0.3">
      <c r="A288" s="14" t="s">
        <v>255</v>
      </c>
      <c r="B288" s="9"/>
      <c r="C288" s="3">
        <v>1</v>
      </c>
      <c r="D288" s="9"/>
      <c r="E288" s="9"/>
      <c r="F288" s="22" t="s">
        <v>256</v>
      </c>
      <c r="G288" s="21"/>
      <c r="H288" s="21" t="s">
        <v>69</v>
      </c>
      <c r="I288" s="9"/>
      <c r="J288" s="9"/>
    </row>
    <row r="289" spans="1:10" ht="27.6" x14ac:dyDescent="0.3">
      <c r="A289" s="14" t="s">
        <v>257</v>
      </c>
      <c r="B289" s="9"/>
      <c r="C289" s="9">
        <v>1</v>
      </c>
      <c r="D289" s="9"/>
      <c r="E289" s="9"/>
      <c r="F289" s="22" t="s">
        <v>258</v>
      </c>
      <c r="G289" s="21"/>
      <c r="H289" s="21" t="s">
        <v>69</v>
      </c>
      <c r="I289" s="9"/>
      <c r="J289" s="9"/>
    </row>
    <row r="290" spans="1:10" ht="27.6" x14ac:dyDescent="0.3">
      <c r="A290" s="14" t="s">
        <v>164</v>
      </c>
      <c r="B290" s="9"/>
      <c r="C290" s="3">
        <v>1</v>
      </c>
      <c r="D290" s="9"/>
      <c r="E290" s="9"/>
      <c r="F290" s="22" t="s">
        <v>259</v>
      </c>
      <c r="G290" s="21"/>
      <c r="H290" s="21" t="s">
        <v>69</v>
      </c>
      <c r="I290" s="9"/>
      <c r="J290" s="9"/>
    </row>
    <row r="291" spans="1:10" ht="41.4" x14ac:dyDescent="0.3">
      <c r="A291" s="14" t="s">
        <v>260</v>
      </c>
      <c r="B291" s="9"/>
      <c r="C291" s="9">
        <v>1</v>
      </c>
      <c r="D291" s="9"/>
      <c r="E291" s="9"/>
      <c r="F291" s="22" t="s">
        <v>261</v>
      </c>
      <c r="G291" s="21"/>
      <c r="H291" s="21" t="s">
        <v>69</v>
      </c>
      <c r="I291" s="9"/>
      <c r="J291" s="9"/>
    </row>
    <row r="292" spans="1:10" ht="27.6" x14ac:dyDescent="0.3">
      <c r="A292" s="14" t="s">
        <v>262</v>
      </c>
      <c r="B292" s="9"/>
      <c r="C292" s="3">
        <v>1</v>
      </c>
      <c r="D292" s="9"/>
      <c r="E292" s="9"/>
      <c r="F292" s="22" t="s">
        <v>263</v>
      </c>
      <c r="G292" s="21"/>
      <c r="H292" s="21" t="s">
        <v>69</v>
      </c>
      <c r="I292" s="9"/>
      <c r="J292" s="9"/>
    </row>
    <row r="293" spans="1:10" ht="27.6" x14ac:dyDescent="0.3">
      <c r="A293" s="14" t="s">
        <v>264</v>
      </c>
      <c r="B293" s="9"/>
      <c r="C293" s="9">
        <v>1</v>
      </c>
      <c r="D293" s="9"/>
      <c r="E293" s="9"/>
      <c r="F293" s="22" t="s">
        <v>162</v>
      </c>
      <c r="G293" s="21"/>
      <c r="H293" s="21" t="s">
        <v>69</v>
      </c>
      <c r="I293" s="9" t="s">
        <v>70</v>
      </c>
      <c r="J293" s="9"/>
    </row>
    <row r="294" spans="1:10" ht="41.4" x14ac:dyDescent="0.3">
      <c r="A294" s="14" t="s">
        <v>265</v>
      </c>
      <c r="B294" s="9"/>
      <c r="C294" s="3">
        <v>1</v>
      </c>
      <c r="D294" s="9"/>
      <c r="E294" s="9"/>
      <c r="F294" s="22" t="s">
        <v>266</v>
      </c>
      <c r="G294" s="21"/>
      <c r="H294" s="21" t="s">
        <v>69</v>
      </c>
      <c r="I294" s="9"/>
      <c r="J294" s="9"/>
    </row>
    <row r="295" spans="1:10" ht="27.6" x14ac:dyDescent="0.3">
      <c r="A295" s="14" t="s">
        <v>267</v>
      </c>
      <c r="B295" s="9"/>
      <c r="C295" s="9">
        <v>1</v>
      </c>
      <c r="D295" s="9"/>
      <c r="E295" s="9"/>
      <c r="F295" s="22" t="s">
        <v>268</v>
      </c>
      <c r="G295" s="21"/>
      <c r="H295" s="21" t="s">
        <v>69</v>
      </c>
      <c r="I295" s="9" t="s">
        <v>70</v>
      </c>
      <c r="J295" s="9"/>
    </row>
    <row r="296" spans="1:10" ht="27.6" x14ac:dyDescent="0.3">
      <c r="A296" s="14" t="s">
        <v>269</v>
      </c>
      <c r="B296" s="9"/>
      <c r="C296" s="3">
        <v>1</v>
      </c>
      <c r="D296" s="9"/>
      <c r="E296" s="9"/>
      <c r="F296" s="22" t="s">
        <v>270</v>
      </c>
      <c r="G296" s="21"/>
      <c r="H296" s="21" t="s">
        <v>69</v>
      </c>
      <c r="I296" s="9"/>
      <c r="J296" s="9"/>
    </row>
    <row r="297" spans="1:10" ht="27.6" x14ac:dyDescent="0.3">
      <c r="A297" s="14" t="s">
        <v>271</v>
      </c>
      <c r="B297" s="9"/>
      <c r="C297" s="9">
        <v>1</v>
      </c>
      <c r="D297" s="9"/>
      <c r="E297" s="9"/>
      <c r="F297" s="22" t="s">
        <v>150</v>
      </c>
      <c r="G297" s="21"/>
      <c r="H297" s="21" t="s">
        <v>69</v>
      </c>
      <c r="I297" s="9" t="s">
        <v>70</v>
      </c>
      <c r="J297" s="9"/>
    </row>
    <row r="298" spans="1:10" ht="41.4" x14ac:dyDescent="0.3">
      <c r="A298" s="14" t="s">
        <v>272</v>
      </c>
      <c r="B298" s="9"/>
      <c r="C298" s="3">
        <v>1</v>
      </c>
      <c r="D298" s="9"/>
      <c r="E298" s="9"/>
      <c r="F298" s="22" t="s">
        <v>273</v>
      </c>
      <c r="G298" s="21"/>
      <c r="H298" s="21" t="s">
        <v>69</v>
      </c>
      <c r="I298" s="9"/>
      <c r="J298" s="9"/>
    </row>
    <row r="299" spans="1:10" ht="27.6" x14ac:dyDescent="0.3">
      <c r="A299" s="14" t="s">
        <v>274</v>
      </c>
      <c r="B299" s="9"/>
      <c r="C299" s="9">
        <v>1</v>
      </c>
      <c r="D299" s="9"/>
      <c r="E299" s="9"/>
      <c r="F299" s="22" t="s">
        <v>275</v>
      </c>
      <c r="G299" s="21"/>
      <c r="H299" s="21" t="s">
        <v>69</v>
      </c>
      <c r="I299" s="9"/>
      <c r="J299" s="9"/>
    </row>
    <row r="300" spans="1:10" ht="27.6" x14ac:dyDescent="0.3">
      <c r="A300" s="14"/>
      <c r="B300" s="9"/>
      <c r="C300" s="9"/>
      <c r="D300" s="9"/>
      <c r="E300" s="9"/>
      <c r="F300" s="22" t="s">
        <v>276</v>
      </c>
      <c r="G300" s="21"/>
      <c r="H300" s="21" t="s">
        <v>69</v>
      </c>
      <c r="I300" s="9" t="s">
        <v>70</v>
      </c>
      <c r="J300" s="9"/>
    </row>
    <row r="301" spans="1:10" ht="27.6" x14ac:dyDescent="0.3">
      <c r="A301" s="14"/>
      <c r="B301" s="9"/>
      <c r="C301" s="9"/>
      <c r="D301" s="9"/>
      <c r="E301" s="9"/>
      <c r="F301" s="22" t="s">
        <v>277</v>
      </c>
      <c r="G301" s="21"/>
      <c r="H301" s="21" t="s">
        <v>69</v>
      </c>
      <c r="I301" s="9"/>
      <c r="J301" s="9"/>
    </row>
    <row r="302" spans="1:10" ht="41.4" x14ac:dyDescent="0.3">
      <c r="A302" s="14"/>
      <c r="B302" s="9"/>
      <c r="C302" s="9"/>
      <c r="D302" s="9"/>
      <c r="E302" s="9"/>
      <c r="F302" s="22" t="s">
        <v>278</v>
      </c>
      <c r="G302" s="21"/>
      <c r="H302" s="21" t="s">
        <v>69</v>
      </c>
      <c r="I302" s="9"/>
      <c r="J302" s="9"/>
    </row>
    <row r="303" spans="1:10" ht="27.6" x14ac:dyDescent="0.3">
      <c r="A303" s="14"/>
      <c r="B303" s="9"/>
      <c r="C303" s="9"/>
      <c r="D303" s="9"/>
      <c r="E303" s="9"/>
      <c r="F303" s="22" t="s">
        <v>279</v>
      </c>
      <c r="G303" s="21"/>
      <c r="H303" s="21" t="s">
        <v>69</v>
      </c>
      <c r="I303" s="9"/>
      <c r="J303" s="9"/>
    </row>
    <row r="304" spans="1:10" ht="27.6" x14ac:dyDescent="0.3">
      <c r="A304" s="14"/>
      <c r="B304" s="9"/>
      <c r="C304" s="9"/>
      <c r="D304" s="9"/>
      <c r="E304" s="9"/>
      <c r="F304" s="22" t="s">
        <v>171</v>
      </c>
      <c r="G304" s="21"/>
      <c r="H304" s="21" t="s">
        <v>69</v>
      </c>
      <c r="I304" s="9"/>
      <c r="J304" s="9"/>
    </row>
    <row r="305" spans="1:10" ht="27.6" x14ac:dyDescent="0.3">
      <c r="A305" s="14"/>
      <c r="B305" s="9"/>
      <c r="C305" s="9"/>
      <c r="D305" s="9"/>
      <c r="E305" s="9"/>
      <c r="F305" s="22" t="s">
        <v>280</v>
      </c>
      <c r="G305" s="21"/>
      <c r="H305" s="21" t="s">
        <v>69</v>
      </c>
      <c r="I305" s="9"/>
      <c r="J305" s="9"/>
    </row>
    <row r="306" spans="1:10" ht="27.6" x14ac:dyDescent="0.3">
      <c r="A306" s="14"/>
      <c r="B306" s="9"/>
      <c r="C306" s="9"/>
      <c r="D306" s="9"/>
      <c r="E306" s="9"/>
      <c r="F306" s="22" t="s">
        <v>219</v>
      </c>
      <c r="G306" s="21"/>
      <c r="H306" s="21" t="s">
        <v>69</v>
      </c>
      <c r="I306" s="9"/>
      <c r="J306" s="9"/>
    </row>
    <row r="307" spans="1:10" x14ac:dyDescent="0.3">
      <c r="A307" s="14"/>
      <c r="B307" s="9"/>
      <c r="C307" s="9"/>
      <c r="D307" s="9"/>
      <c r="E307" s="9"/>
      <c r="F307" s="22" t="s">
        <v>281</v>
      </c>
      <c r="G307" s="21"/>
      <c r="H307" s="21" t="s">
        <v>69</v>
      </c>
      <c r="I307" s="9"/>
      <c r="J307" s="9"/>
    </row>
    <row r="308" spans="1:10" ht="41.4" x14ac:dyDescent="0.3">
      <c r="A308" s="14"/>
      <c r="B308" s="9"/>
      <c r="C308" s="9"/>
      <c r="D308" s="9"/>
      <c r="E308" s="9"/>
      <c r="F308" s="22" t="s">
        <v>282</v>
      </c>
      <c r="G308" s="21"/>
      <c r="H308" s="21" t="s">
        <v>69</v>
      </c>
      <c r="I308" s="9"/>
      <c r="J308" s="9"/>
    </row>
    <row r="309" spans="1:10" ht="27.6" x14ac:dyDescent="0.3">
      <c r="A309" s="14"/>
      <c r="B309" s="9"/>
      <c r="C309" s="9"/>
      <c r="D309" s="9"/>
      <c r="E309" s="9"/>
      <c r="F309" s="22" t="s">
        <v>185</v>
      </c>
      <c r="G309" s="21"/>
      <c r="H309" s="21" t="s">
        <v>69</v>
      </c>
      <c r="I309" s="9"/>
      <c r="J309" s="9"/>
    </row>
    <row r="310" spans="1:10" ht="27.6" x14ac:dyDescent="0.3">
      <c r="A310" s="14"/>
      <c r="B310" s="9"/>
      <c r="C310" s="9"/>
      <c r="D310" s="9"/>
      <c r="E310" s="9"/>
      <c r="F310" s="22" t="s">
        <v>283</v>
      </c>
      <c r="G310" s="21"/>
      <c r="H310" s="21" t="s">
        <v>69</v>
      </c>
      <c r="I310" s="9"/>
      <c r="J310" s="9"/>
    </row>
    <row r="311" spans="1:10" ht="55.2" x14ac:dyDescent="0.3">
      <c r="A311" s="14"/>
      <c r="B311" s="9"/>
      <c r="C311" s="9"/>
      <c r="D311" s="9"/>
      <c r="E311" s="9"/>
      <c r="F311" s="22" t="s">
        <v>284</v>
      </c>
      <c r="G311" s="21"/>
      <c r="H311" s="21" t="s">
        <v>69</v>
      </c>
      <c r="I311" s="9" t="s">
        <v>70</v>
      </c>
      <c r="J311" s="9"/>
    </row>
    <row r="312" spans="1:10" x14ac:dyDescent="0.3">
      <c r="A312" s="14"/>
      <c r="B312" s="9"/>
      <c r="C312" s="9"/>
      <c r="D312" s="9"/>
      <c r="E312" s="9"/>
      <c r="F312" s="22" t="s">
        <v>285</v>
      </c>
      <c r="G312" s="21"/>
      <c r="H312" s="21" t="s">
        <v>69</v>
      </c>
      <c r="I312" s="9" t="s">
        <v>70</v>
      </c>
      <c r="J312" s="9"/>
    </row>
    <row r="313" spans="1:10" ht="27.6" x14ac:dyDescent="0.3">
      <c r="A313" s="14"/>
      <c r="B313" s="9"/>
      <c r="C313" s="9"/>
      <c r="D313" s="9"/>
      <c r="E313" s="9"/>
      <c r="F313" s="22" t="s">
        <v>286</v>
      </c>
      <c r="G313" s="21"/>
      <c r="H313" s="21" t="s">
        <v>69</v>
      </c>
      <c r="I313" s="9"/>
      <c r="J313" s="9"/>
    </row>
    <row r="314" spans="1:10" ht="27.6" x14ac:dyDescent="0.3">
      <c r="A314" s="14"/>
      <c r="B314" s="9"/>
      <c r="C314" s="9"/>
      <c r="D314" s="9"/>
      <c r="E314" s="9"/>
      <c r="F314" s="22" t="s">
        <v>287</v>
      </c>
      <c r="G314" s="21"/>
      <c r="H314" s="21" t="s">
        <v>69</v>
      </c>
      <c r="I314" s="9"/>
      <c r="J314" s="9"/>
    </row>
    <row r="315" spans="1:10" ht="41.4" x14ac:dyDescent="0.3">
      <c r="A315" s="14"/>
      <c r="B315" s="9"/>
      <c r="C315" s="9"/>
      <c r="D315" s="9"/>
      <c r="E315" s="9"/>
      <c r="F315" s="22" t="s">
        <v>288</v>
      </c>
      <c r="G315" s="21"/>
      <c r="H315" s="21" t="s">
        <v>69</v>
      </c>
      <c r="I315" s="9" t="s">
        <v>70</v>
      </c>
      <c r="J315" s="9"/>
    </row>
    <row r="316" spans="1:10" x14ac:dyDescent="0.3">
      <c r="A316" s="14"/>
      <c r="B316" s="9"/>
      <c r="C316" s="9"/>
      <c r="D316" s="9"/>
      <c r="E316" s="9"/>
      <c r="F316" s="22" t="s">
        <v>90</v>
      </c>
      <c r="G316" s="21"/>
      <c r="H316" s="21" t="s">
        <v>69</v>
      </c>
      <c r="I316" s="9"/>
      <c r="J316" s="9"/>
    </row>
    <row r="317" spans="1:10" x14ac:dyDescent="0.3">
      <c r="A317" s="14"/>
      <c r="B317" s="9"/>
      <c r="C317" s="9"/>
      <c r="D317" s="9"/>
      <c r="E317" s="9"/>
      <c r="F317" s="22" t="s">
        <v>289</v>
      </c>
      <c r="G317" s="21"/>
      <c r="H317" s="21" t="s">
        <v>69</v>
      </c>
      <c r="I317" s="9"/>
      <c r="J317" s="9"/>
    </row>
    <row r="318" spans="1:10" ht="55.2" x14ac:dyDescent="0.3">
      <c r="A318" s="14"/>
      <c r="B318" s="9"/>
      <c r="C318" s="9"/>
      <c r="D318" s="9"/>
      <c r="E318" s="9"/>
      <c r="F318" s="22" t="s">
        <v>290</v>
      </c>
      <c r="G318" s="21"/>
      <c r="H318" s="21" t="s">
        <v>69</v>
      </c>
      <c r="I318" s="9" t="s">
        <v>70</v>
      </c>
      <c r="J318" s="9"/>
    </row>
    <row r="319" spans="1:10" ht="27.6" x14ac:dyDescent="0.3">
      <c r="A319" s="14"/>
      <c r="B319" s="9"/>
      <c r="C319" s="9"/>
      <c r="D319" s="9"/>
      <c r="E319" s="9"/>
      <c r="F319" s="22" t="s">
        <v>291</v>
      </c>
      <c r="G319" s="21"/>
      <c r="H319" s="21" t="s">
        <v>69</v>
      </c>
      <c r="I319" s="9" t="s">
        <v>70</v>
      </c>
      <c r="J319" s="9"/>
    </row>
    <row r="320" spans="1:10" ht="27.6" x14ac:dyDescent="0.3">
      <c r="A320" s="14"/>
      <c r="B320" s="9"/>
      <c r="C320" s="9"/>
      <c r="D320" s="9"/>
      <c r="E320" s="9"/>
      <c r="F320" s="22" t="s">
        <v>292</v>
      </c>
      <c r="G320" s="21"/>
      <c r="H320" s="21" t="s">
        <v>69</v>
      </c>
      <c r="I320" s="9"/>
      <c r="J320" s="9"/>
    </row>
    <row r="321" spans="1:10" ht="27.6" x14ac:dyDescent="0.3">
      <c r="A321" s="14"/>
      <c r="B321" s="9"/>
      <c r="C321" s="9"/>
      <c r="D321" s="9"/>
      <c r="E321" s="9"/>
      <c r="F321" s="22" t="s">
        <v>293</v>
      </c>
      <c r="G321" s="21"/>
      <c r="H321" s="21" t="s">
        <v>69</v>
      </c>
      <c r="I321" s="9"/>
      <c r="J321" s="9"/>
    </row>
    <row r="322" spans="1:10" ht="41.4" x14ac:dyDescent="0.3">
      <c r="A322" s="14"/>
      <c r="B322" s="9"/>
      <c r="C322" s="9"/>
      <c r="D322" s="9"/>
      <c r="E322" s="9"/>
      <c r="F322" s="22" t="s">
        <v>294</v>
      </c>
      <c r="G322" s="21"/>
      <c r="H322" s="21" t="s">
        <v>69</v>
      </c>
      <c r="I322" s="9"/>
      <c r="J322" s="9"/>
    </row>
    <row r="323" spans="1:10" ht="27.6" x14ac:dyDescent="0.3">
      <c r="A323" s="14"/>
      <c r="B323" s="9"/>
      <c r="C323" s="9"/>
      <c r="D323" s="9"/>
      <c r="E323" s="9"/>
      <c r="F323" s="22" t="s">
        <v>295</v>
      </c>
      <c r="G323" s="21"/>
      <c r="H323" s="21" t="s">
        <v>69</v>
      </c>
      <c r="I323" s="9"/>
      <c r="J323" s="9"/>
    </row>
    <row r="324" spans="1:10" ht="27.6" x14ac:dyDescent="0.3">
      <c r="A324" s="14"/>
      <c r="B324" s="9"/>
      <c r="C324" s="9"/>
      <c r="D324" s="9"/>
      <c r="E324" s="9"/>
      <c r="F324" s="22" t="s">
        <v>296</v>
      </c>
      <c r="G324" s="21"/>
      <c r="H324" s="21" t="s">
        <v>69</v>
      </c>
      <c r="I324" s="9"/>
      <c r="J324" s="9"/>
    </row>
    <row r="325" spans="1:10" ht="27.6" x14ac:dyDescent="0.3">
      <c r="A325" s="14"/>
      <c r="B325" s="9"/>
      <c r="C325" s="9"/>
      <c r="D325" s="9"/>
      <c r="E325" s="9"/>
      <c r="F325" s="22" t="s">
        <v>297</v>
      </c>
      <c r="G325" s="21"/>
      <c r="H325" s="21" t="s">
        <v>69</v>
      </c>
      <c r="I325" s="9"/>
      <c r="J325" s="9"/>
    </row>
    <row r="326" spans="1:10" ht="27.6" x14ac:dyDescent="0.3">
      <c r="A326" s="14"/>
      <c r="B326" s="9"/>
      <c r="C326" s="9"/>
      <c r="D326" s="9"/>
      <c r="E326" s="9"/>
      <c r="F326" s="22" t="s">
        <v>298</v>
      </c>
      <c r="G326" s="21"/>
      <c r="H326" s="21" t="s">
        <v>69</v>
      </c>
      <c r="I326" s="9"/>
      <c r="J326" s="9"/>
    </row>
    <row r="327" spans="1:10" x14ac:dyDescent="0.3">
      <c r="A327" s="14"/>
      <c r="B327" s="9"/>
      <c r="C327" s="9"/>
      <c r="D327" s="9"/>
      <c r="E327" s="9"/>
      <c r="F327" s="22" t="s">
        <v>299</v>
      </c>
      <c r="G327" s="21"/>
      <c r="H327" s="21" t="s">
        <v>69</v>
      </c>
      <c r="I327" s="9"/>
      <c r="J327" s="9"/>
    </row>
    <row r="328" spans="1:10" ht="27.6" x14ac:dyDescent="0.3">
      <c r="A328" s="14"/>
      <c r="B328" s="9"/>
      <c r="C328" s="9"/>
      <c r="D328" s="9"/>
      <c r="E328" s="9"/>
      <c r="F328" s="22" t="s">
        <v>300</v>
      </c>
      <c r="G328" s="21"/>
      <c r="H328" s="21" t="s">
        <v>69</v>
      </c>
      <c r="I328" s="9"/>
      <c r="J328" s="9"/>
    </row>
    <row r="329" spans="1:10" ht="27.6" x14ac:dyDescent="0.3">
      <c r="A329" s="14"/>
      <c r="B329" s="9"/>
      <c r="C329" s="9"/>
      <c r="D329" s="9"/>
      <c r="E329" s="9"/>
      <c r="F329" s="22" t="s">
        <v>104</v>
      </c>
      <c r="G329" s="21"/>
      <c r="H329" s="21" t="s">
        <v>69</v>
      </c>
      <c r="I329" s="9"/>
      <c r="J329" s="9"/>
    </row>
    <row r="330" spans="1:10" ht="27.6" x14ac:dyDescent="0.3">
      <c r="A330" s="14"/>
      <c r="B330" s="9"/>
      <c r="C330" s="9"/>
      <c r="D330" s="9"/>
      <c r="E330" s="9"/>
      <c r="F330" s="22" t="s">
        <v>301</v>
      </c>
      <c r="G330" s="21"/>
      <c r="H330" s="21" t="s">
        <v>69</v>
      </c>
      <c r="I330" s="9"/>
      <c r="J330" s="9"/>
    </row>
    <row r="331" spans="1:10" ht="27.6" x14ac:dyDescent="0.3">
      <c r="A331" s="14"/>
      <c r="B331" s="9"/>
      <c r="C331" s="9"/>
      <c r="D331" s="9"/>
      <c r="E331" s="9"/>
      <c r="F331" s="22" t="s">
        <v>302</v>
      </c>
      <c r="G331" s="21"/>
      <c r="H331" s="21" t="s">
        <v>69</v>
      </c>
      <c r="I331" s="9"/>
      <c r="J331" s="9"/>
    </row>
    <row r="332" spans="1:10" ht="41.4" x14ac:dyDescent="0.3">
      <c r="A332" s="14"/>
      <c r="B332" s="9"/>
      <c r="C332" s="9"/>
      <c r="D332" s="9"/>
      <c r="E332" s="9"/>
      <c r="F332" s="22" t="s">
        <v>303</v>
      </c>
      <c r="G332" s="21"/>
      <c r="H332" s="21" t="s">
        <v>69</v>
      </c>
      <c r="I332" s="9"/>
      <c r="J332" s="9"/>
    </row>
    <row r="333" spans="1:10" ht="27.6" x14ac:dyDescent="0.3">
      <c r="A333" s="14"/>
      <c r="B333" s="9"/>
      <c r="C333" s="9"/>
      <c r="D333" s="9"/>
      <c r="E333" s="9"/>
      <c r="F333" s="22" t="s">
        <v>304</v>
      </c>
      <c r="G333" s="21"/>
      <c r="H333" s="21" t="s">
        <v>69</v>
      </c>
      <c r="I333" s="9"/>
      <c r="J333" s="9"/>
    </row>
    <row r="334" spans="1:10" ht="41.4" x14ac:dyDescent="0.3">
      <c r="A334" s="14"/>
      <c r="B334" s="9"/>
      <c r="C334" s="9"/>
      <c r="D334" s="9"/>
      <c r="E334" s="9"/>
      <c r="F334" s="22" t="s">
        <v>305</v>
      </c>
      <c r="G334" s="21"/>
      <c r="H334" s="21" t="s">
        <v>69</v>
      </c>
      <c r="I334" s="9"/>
      <c r="J334" s="9"/>
    </row>
    <row r="335" spans="1:10" ht="27.6" x14ac:dyDescent="0.3">
      <c r="A335" s="14"/>
      <c r="B335" s="9"/>
      <c r="C335" s="9"/>
      <c r="D335" s="9"/>
      <c r="E335" s="9"/>
      <c r="F335" s="22" t="s">
        <v>306</v>
      </c>
      <c r="G335" s="21"/>
      <c r="H335" s="21" t="s">
        <v>69</v>
      </c>
      <c r="I335" s="9"/>
      <c r="J335" s="9"/>
    </row>
    <row r="336" spans="1:10" ht="27.6" x14ac:dyDescent="0.3">
      <c r="A336" s="14"/>
      <c r="B336" s="9"/>
      <c r="C336" s="9"/>
      <c r="D336" s="9"/>
      <c r="E336" s="9"/>
      <c r="F336" s="22" t="s">
        <v>307</v>
      </c>
      <c r="G336" s="21"/>
      <c r="H336" s="21" t="s">
        <v>69</v>
      </c>
      <c r="I336" s="9"/>
      <c r="J336" s="9"/>
    </row>
    <row r="337" spans="1:10" ht="27.6" x14ac:dyDescent="0.3">
      <c r="A337" s="14"/>
      <c r="B337" s="9"/>
      <c r="C337" s="9"/>
      <c r="D337" s="9"/>
      <c r="E337" s="9"/>
      <c r="F337" s="22" t="s">
        <v>308</v>
      </c>
      <c r="G337" s="21"/>
      <c r="H337" s="21" t="s">
        <v>69</v>
      </c>
      <c r="I337" s="9" t="s">
        <v>70</v>
      </c>
      <c r="J337" s="9"/>
    </row>
    <row r="338" spans="1:10" ht="27.6" x14ac:dyDescent="0.3">
      <c r="A338" s="14"/>
      <c r="B338" s="9"/>
      <c r="C338" s="9"/>
      <c r="D338" s="9"/>
      <c r="E338" s="9"/>
      <c r="F338" s="22" t="s">
        <v>309</v>
      </c>
      <c r="G338" s="21"/>
      <c r="H338" s="21" t="s">
        <v>69</v>
      </c>
      <c r="I338" s="9" t="s">
        <v>70</v>
      </c>
      <c r="J338" s="9"/>
    </row>
    <row r="339" spans="1:10" x14ac:dyDescent="0.3">
      <c r="J339" s="9"/>
    </row>
    <row r="340" spans="1:10" x14ac:dyDescent="0.3">
      <c r="A340" s="19" t="s">
        <v>1</v>
      </c>
      <c r="B340" s="20" t="s">
        <v>310</v>
      </c>
      <c r="C340" s="9" t="s">
        <v>3</v>
      </c>
      <c r="D340" s="3"/>
      <c r="E340" s="6"/>
    </row>
    <row r="341" spans="1:10" x14ac:dyDescent="0.3">
      <c r="A341" s="10" t="s">
        <v>4</v>
      </c>
      <c r="B341" s="9"/>
      <c r="C341" s="9"/>
      <c r="D341" s="3"/>
      <c r="E341" s="6"/>
    </row>
    <row r="342" spans="1:10" ht="55.2" x14ac:dyDescent="0.3">
      <c r="A342" s="11" t="s">
        <v>5</v>
      </c>
      <c r="B342" s="9" t="s">
        <v>311</v>
      </c>
      <c r="E342" s="6"/>
    </row>
    <row r="343" spans="1:10" x14ac:dyDescent="0.3">
      <c r="A343" s="3"/>
      <c r="C343" s="2"/>
      <c r="D343" s="2"/>
      <c r="E343" s="6"/>
    </row>
    <row r="344" spans="1:10" x14ac:dyDescent="0.3">
      <c r="A344" s="3"/>
      <c r="C344" s="10" t="s">
        <v>7</v>
      </c>
      <c r="D344" s="2"/>
      <c r="E344" s="6"/>
    </row>
    <row r="345" spans="1:10" x14ac:dyDescent="0.3">
      <c r="A345" s="10" t="s">
        <v>8</v>
      </c>
      <c r="B345" s="39" t="b">
        <v>1</v>
      </c>
      <c r="C345" s="9">
        <v>30</v>
      </c>
      <c r="D345" s="3"/>
      <c r="E345" s="6"/>
    </row>
    <row r="346" spans="1:10" x14ac:dyDescent="0.3">
      <c r="A346" s="10" t="s">
        <v>9</v>
      </c>
      <c r="B346" s="39" t="b">
        <v>1</v>
      </c>
      <c r="C346" s="9">
        <v>3</v>
      </c>
      <c r="D346" s="3"/>
      <c r="E346" s="6"/>
    </row>
    <row r="347" spans="1:10" x14ac:dyDescent="0.3">
      <c r="A347" s="10" t="s">
        <v>10</v>
      </c>
      <c r="B347" s="39" t="b">
        <v>1</v>
      </c>
      <c r="C347" s="9">
        <v>5</v>
      </c>
      <c r="D347" s="3"/>
      <c r="E347" s="6"/>
    </row>
    <row r="348" spans="1:10" x14ac:dyDescent="0.3">
      <c r="A348" s="10" t="s">
        <v>11</v>
      </c>
      <c r="B348" s="39" t="b">
        <v>1</v>
      </c>
      <c r="C348" s="9">
        <v>15</v>
      </c>
      <c r="D348" s="3"/>
      <c r="E348" s="6"/>
    </row>
    <row r="349" spans="1:10" x14ac:dyDescent="0.3">
      <c r="A349" s="10" t="s">
        <v>12</v>
      </c>
      <c r="B349" s="9" t="s">
        <v>312</v>
      </c>
      <c r="E349" s="6"/>
    </row>
    <row r="350" spans="1:10" x14ac:dyDescent="0.3">
      <c r="B350" s="3"/>
      <c r="E350" s="6"/>
    </row>
    <row r="351" spans="1:10" x14ac:dyDescent="0.3">
      <c r="A351" s="9" t="s">
        <v>13</v>
      </c>
      <c r="B351" s="9" t="s">
        <v>14</v>
      </c>
      <c r="C351" s="9" t="s">
        <v>15</v>
      </c>
      <c r="D351" s="13" t="s">
        <v>16</v>
      </c>
      <c r="E351" s="9" t="s">
        <v>12</v>
      </c>
      <c r="F351" s="9" t="s">
        <v>17</v>
      </c>
      <c r="G351" s="9" t="s">
        <v>14</v>
      </c>
      <c r="H351" s="9" t="s">
        <v>18</v>
      </c>
      <c r="I351" s="9" t="s">
        <v>12</v>
      </c>
      <c r="J351" s="13" t="s">
        <v>16</v>
      </c>
    </row>
    <row r="352" spans="1:10" ht="41.4" x14ac:dyDescent="0.3">
      <c r="A352" s="14" t="s">
        <v>313</v>
      </c>
      <c r="B352" s="9"/>
      <c r="C352" s="9">
        <v>1</v>
      </c>
      <c r="D352" s="9"/>
      <c r="E352" s="9" t="s">
        <v>247</v>
      </c>
      <c r="F352" s="22" t="s">
        <v>314</v>
      </c>
      <c r="G352" s="21"/>
      <c r="H352" s="21" t="s">
        <v>69</v>
      </c>
      <c r="I352" s="9" t="s">
        <v>70</v>
      </c>
      <c r="J352" s="9"/>
    </row>
    <row r="353" spans="1:10" ht="41.4" x14ac:dyDescent="0.3">
      <c r="A353" s="14" t="s">
        <v>315</v>
      </c>
      <c r="B353" s="9"/>
      <c r="C353" s="9">
        <v>1</v>
      </c>
      <c r="D353" s="9"/>
      <c r="E353" s="9"/>
      <c r="F353" s="22" t="s">
        <v>316</v>
      </c>
      <c r="G353" s="21"/>
      <c r="H353" s="21" t="s">
        <v>69</v>
      </c>
      <c r="I353" s="9"/>
      <c r="J353" s="9"/>
    </row>
    <row r="354" spans="1:10" ht="41.4" x14ac:dyDescent="0.3">
      <c r="A354" s="14" t="s">
        <v>317</v>
      </c>
      <c r="B354" s="9"/>
      <c r="C354" s="9">
        <v>1</v>
      </c>
      <c r="D354" s="9"/>
      <c r="E354" s="9"/>
      <c r="F354" s="22" t="s">
        <v>318</v>
      </c>
      <c r="G354" s="21"/>
      <c r="H354" s="21" t="s">
        <v>69</v>
      </c>
      <c r="I354" s="9"/>
      <c r="J354" s="9"/>
    </row>
    <row r="355" spans="1:10" ht="41.4" x14ac:dyDescent="0.3">
      <c r="A355" s="41" t="s">
        <v>319</v>
      </c>
      <c r="B355" s="9"/>
      <c r="C355" s="9">
        <v>1</v>
      </c>
      <c r="D355" s="9"/>
      <c r="E355" s="9"/>
      <c r="F355" s="22" t="s">
        <v>251</v>
      </c>
      <c r="G355" s="21"/>
      <c r="H355" s="21" t="s">
        <v>69</v>
      </c>
      <c r="I355" s="9"/>
      <c r="J355" s="9"/>
    </row>
    <row r="356" spans="1:10" ht="27.6" x14ac:dyDescent="0.3">
      <c r="A356" s="14"/>
      <c r="B356" s="9"/>
      <c r="C356" s="9"/>
      <c r="D356" s="9"/>
      <c r="E356" s="9"/>
      <c r="F356" s="22" t="s">
        <v>320</v>
      </c>
      <c r="G356" s="21"/>
      <c r="H356" s="21" t="s">
        <v>69</v>
      </c>
      <c r="I356" s="9"/>
      <c r="J356" s="9"/>
    </row>
    <row r="357" spans="1:10" x14ac:dyDescent="0.3">
      <c r="D357" s="9"/>
      <c r="J357" s="9"/>
    </row>
    <row r="358" spans="1:10" x14ac:dyDescent="0.3">
      <c r="A358" s="19" t="s">
        <v>1</v>
      </c>
      <c r="B358" s="20" t="s">
        <v>321</v>
      </c>
      <c r="C358" s="9" t="s">
        <v>3</v>
      </c>
      <c r="D358" s="9"/>
      <c r="E358" s="6"/>
      <c r="J358" s="9"/>
    </row>
    <row r="359" spans="1:10" x14ac:dyDescent="0.3">
      <c r="A359" s="10" t="s">
        <v>4</v>
      </c>
      <c r="B359" s="9"/>
      <c r="C359" s="9"/>
      <c r="D359" s="3"/>
      <c r="E359" s="6"/>
    </row>
    <row r="360" spans="1:10" ht="55.2" x14ac:dyDescent="0.3">
      <c r="A360" s="11" t="s">
        <v>5</v>
      </c>
      <c r="B360" s="9" t="s">
        <v>322</v>
      </c>
      <c r="E360" s="6"/>
    </row>
    <row r="361" spans="1:10" x14ac:dyDescent="0.3">
      <c r="A361" s="3"/>
      <c r="C361" s="2"/>
      <c r="D361" s="2"/>
      <c r="E361" s="6"/>
    </row>
    <row r="362" spans="1:10" x14ac:dyDescent="0.3">
      <c r="A362" s="3"/>
      <c r="C362" s="10" t="s">
        <v>7</v>
      </c>
      <c r="D362" s="2"/>
      <c r="E362" s="6"/>
    </row>
    <row r="363" spans="1:10" x14ac:dyDescent="0.3">
      <c r="A363" s="10" t="s">
        <v>8</v>
      </c>
      <c r="B363" s="39" t="b">
        <v>0</v>
      </c>
      <c r="C363" s="9">
        <v>0</v>
      </c>
      <c r="D363" s="3"/>
      <c r="E363" s="6"/>
    </row>
    <row r="364" spans="1:10" x14ac:dyDescent="0.3">
      <c r="A364" s="10" t="s">
        <v>9</v>
      </c>
      <c r="B364" s="39" t="b">
        <v>1</v>
      </c>
      <c r="C364" s="9">
        <v>20</v>
      </c>
      <c r="D364" s="3"/>
      <c r="E364" s="6"/>
    </row>
    <row r="365" spans="1:10" x14ac:dyDescent="0.3">
      <c r="A365" s="10" t="s">
        <v>10</v>
      </c>
      <c r="B365" s="39" t="b">
        <v>1</v>
      </c>
      <c r="C365" s="9">
        <v>30</v>
      </c>
      <c r="D365" s="3"/>
      <c r="E365" s="6"/>
    </row>
    <row r="366" spans="1:10" x14ac:dyDescent="0.3">
      <c r="A366" s="10" t="s">
        <v>11</v>
      </c>
      <c r="B366" s="39" t="b">
        <v>1</v>
      </c>
      <c r="C366" s="9">
        <v>10</v>
      </c>
      <c r="D366" s="3"/>
      <c r="E366" s="6"/>
    </row>
    <row r="367" spans="1:10" x14ac:dyDescent="0.3">
      <c r="A367" s="10" t="s">
        <v>12</v>
      </c>
      <c r="B367" s="9"/>
      <c r="E367" s="6"/>
    </row>
    <row r="368" spans="1:10" x14ac:dyDescent="0.3">
      <c r="B368" s="3"/>
      <c r="E368" s="6"/>
    </row>
    <row r="369" spans="1:10" x14ac:dyDescent="0.3">
      <c r="A369" s="9" t="s">
        <v>13</v>
      </c>
      <c r="B369" s="9" t="s">
        <v>14</v>
      </c>
      <c r="C369" s="9" t="s">
        <v>15</v>
      </c>
      <c r="D369" s="13" t="s">
        <v>16</v>
      </c>
      <c r="E369" s="9" t="s">
        <v>12</v>
      </c>
      <c r="F369" s="9" t="s">
        <v>17</v>
      </c>
      <c r="G369" s="9" t="s">
        <v>14</v>
      </c>
      <c r="H369" s="9" t="s">
        <v>18</v>
      </c>
      <c r="I369" s="9" t="s">
        <v>12</v>
      </c>
      <c r="J369" s="13" t="s">
        <v>16</v>
      </c>
    </row>
    <row r="370" spans="1:10" ht="41.4" x14ac:dyDescent="0.3">
      <c r="A370" s="14" t="s">
        <v>323</v>
      </c>
      <c r="B370" s="9"/>
      <c r="C370" s="9">
        <v>20</v>
      </c>
      <c r="D370" s="9"/>
      <c r="E370" s="9"/>
      <c r="F370" s="22" t="s">
        <v>324</v>
      </c>
      <c r="G370" s="21"/>
      <c r="H370" s="21" t="s">
        <v>196</v>
      </c>
      <c r="I370" s="9"/>
      <c r="J370" s="9"/>
    </row>
    <row r="371" spans="1:10" ht="27.6" x14ac:dyDescent="0.3">
      <c r="A371" s="14" t="s">
        <v>203</v>
      </c>
      <c r="B371" s="9"/>
      <c r="C371" s="9">
        <v>5</v>
      </c>
      <c r="D371" s="9"/>
      <c r="E371" s="9"/>
      <c r="F371" s="22" t="s">
        <v>205</v>
      </c>
      <c r="G371" s="21"/>
      <c r="H371" s="21"/>
      <c r="I371" s="9"/>
      <c r="J371" s="9"/>
    </row>
    <row r="372" spans="1:10" ht="27.6" x14ac:dyDescent="0.3">
      <c r="A372" s="14" t="s">
        <v>325</v>
      </c>
      <c r="B372" s="9"/>
      <c r="C372" s="9">
        <v>10</v>
      </c>
      <c r="D372" s="9"/>
      <c r="E372" s="9" t="s">
        <v>198</v>
      </c>
      <c r="F372" s="22"/>
      <c r="G372" s="21"/>
      <c r="H372" s="21"/>
      <c r="I372" s="9"/>
      <c r="J372" s="9"/>
    </row>
    <row r="373" spans="1:10" x14ac:dyDescent="0.3">
      <c r="A373" s="3"/>
      <c r="D373" s="9"/>
      <c r="J373" s="9"/>
    </row>
    <row r="374" spans="1:10" x14ac:dyDescent="0.3">
      <c r="A374" s="42" t="s">
        <v>1</v>
      </c>
      <c r="B374" s="43" t="s">
        <v>326</v>
      </c>
      <c r="C374" s="9" t="s">
        <v>3</v>
      </c>
      <c r="D374" s="3"/>
      <c r="E374" s="6"/>
      <c r="J374" s="9"/>
    </row>
    <row r="375" spans="1:10" x14ac:dyDescent="0.3">
      <c r="A375" s="10" t="s">
        <v>4</v>
      </c>
      <c r="B375" s="9"/>
      <c r="C375" s="9"/>
      <c r="D375" s="3"/>
      <c r="E375" s="6"/>
    </row>
    <row r="376" spans="1:10" ht="55.2" x14ac:dyDescent="0.3">
      <c r="A376" s="11" t="s">
        <v>5</v>
      </c>
      <c r="B376" s="9" t="s">
        <v>327</v>
      </c>
      <c r="E376" s="6"/>
    </row>
    <row r="377" spans="1:10" x14ac:dyDescent="0.3">
      <c r="A377" s="3"/>
      <c r="C377" s="2"/>
      <c r="D377" s="2"/>
      <c r="E377" s="6"/>
    </row>
    <row r="378" spans="1:10" x14ac:dyDescent="0.3">
      <c r="A378" s="3"/>
      <c r="C378" s="10" t="s">
        <v>7</v>
      </c>
      <c r="D378" s="2"/>
      <c r="E378" s="6"/>
    </row>
    <row r="379" spans="1:10" x14ac:dyDescent="0.3">
      <c r="A379" s="10" t="s">
        <v>8</v>
      </c>
      <c r="B379" s="12" t="b">
        <v>1</v>
      </c>
      <c r="C379" s="9">
        <v>10</v>
      </c>
      <c r="D379" s="3"/>
      <c r="E379" s="6"/>
    </row>
    <row r="380" spans="1:10" x14ac:dyDescent="0.3">
      <c r="A380" s="10" t="s">
        <v>9</v>
      </c>
      <c r="B380" s="12" t="b">
        <v>1</v>
      </c>
      <c r="C380" s="9">
        <v>30</v>
      </c>
      <c r="D380" s="3"/>
      <c r="E380" s="6"/>
    </row>
    <row r="381" spans="1:10" x14ac:dyDescent="0.3">
      <c r="A381" s="10" t="s">
        <v>10</v>
      </c>
      <c r="B381" s="12" t="b">
        <v>1</v>
      </c>
      <c r="C381" s="9">
        <v>20</v>
      </c>
      <c r="D381" s="3"/>
      <c r="E381" s="6"/>
    </row>
    <row r="382" spans="1:10" x14ac:dyDescent="0.3">
      <c r="A382" s="10" t="s">
        <v>11</v>
      </c>
      <c r="B382" s="12" t="b">
        <v>1</v>
      </c>
      <c r="C382" s="9">
        <v>10</v>
      </c>
      <c r="D382" s="3"/>
      <c r="E382" s="6"/>
    </row>
    <row r="383" spans="1:10" x14ac:dyDescent="0.3">
      <c r="A383" s="10" t="s">
        <v>12</v>
      </c>
      <c r="B383" s="9" t="s">
        <v>328</v>
      </c>
      <c r="E383" s="6"/>
    </row>
    <row r="384" spans="1:10" x14ac:dyDescent="0.3">
      <c r="B384" s="3"/>
      <c r="E384" s="6"/>
    </row>
    <row r="385" spans="1:10" x14ac:dyDescent="0.3">
      <c r="A385" s="9" t="s">
        <v>13</v>
      </c>
      <c r="B385" s="9" t="s">
        <v>14</v>
      </c>
      <c r="C385" s="9" t="s">
        <v>15</v>
      </c>
      <c r="D385" s="13" t="s">
        <v>16</v>
      </c>
      <c r="E385" s="9" t="s">
        <v>12</v>
      </c>
      <c r="F385" s="9" t="s">
        <v>17</v>
      </c>
      <c r="G385" s="9" t="s">
        <v>14</v>
      </c>
      <c r="H385" s="9" t="s">
        <v>18</v>
      </c>
      <c r="I385" s="9" t="s">
        <v>12</v>
      </c>
      <c r="J385" s="13" t="s">
        <v>16</v>
      </c>
    </row>
    <row r="386" spans="1:10" ht="27.6" x14ac:dyDescent="0.3">
      <c r="A386" s="14" t="s">
        <v>329</v>
      </c>
      <c r="B386" s="9"/>
      <c r="C386" s="9"/>
      <c r="D386" s="9"/>
      <c r="E386" s="9" t="s">
        <v>330</v>
      </c>
      <c r="F386" s="22" t="s">
        <v>331</v>
      </c>
      <c r="G386" s="21"/>
      <c r="H386" s="21"/>
      <c r="I386" s="9" t="s">
        <v>332</v>
      </c>
      <c r="J386" s="9"/>
    </row>
    <row r="387" spans="1:10" ht="27.6" x14ac:dyDescent="0.3">
      <c r="A387" s="14" t="s">
        <v>333</v>
      </c>
      <c r="B387" s="9"/>
      <c r="C387" s="9"/>
      <c r="D387" s="9"/>
      <c r="E387" s="9"/>
      <c r="F387" s="22" t="s">
        <v>72</v>
      </c>
      <c r="G387" s="21"/>
      <c r="H387" s="21" t="s">
        <v>334</v>
      </c>
      <c r="I387" s="9"/>
      <c r="J387" s="9"/>
    </row>
    <row r="388" spans="1:10" ht="27.6" x14ac:dyDescent="0.3">
      <c r="A388" s="14" t="s">
        <v>49</v>
      </c>
      <c r="B388" s="9"/>
      <c r="C388" s="9"/>
      <c r="D388" s="9"/>
      <c r="E388" s="9"/>
      <c r="F388" s="22" t="s">
        <v>335</v>
      </c>
      <c r="G388" s="21"/>
      <c r="H388" s="21"/>
      <c r="I388" s="9" t="s">
        <v>332</v>
      </c>
      <c r="J388" s="9"/>
    </row>
    <row r="389" spans="1:10" ht="27.6" x14ac:dyDescent="0.3">
      <c r="A389" s="14" t="s">
        <v>336</v>
      </c>
      <c r="B389" s="9"/>
      <c r="C389" s="9"/>
      <c r="D389" s="9"/>
      <c r="E389" s="9"/>
      <c r="F389" s="22" t="s">
        <v>337</v>
      </c>
      <c r="G389" s="21"/>
      <c r="H389" s="21"/>
      <c r="I389" s="9"/>
      <c r="J389" s="9"/>
    </row>
    <row r="390" spans="1:10" ht="27.6" x14ac:dyDescent="0.3">
      <c r="A390" s="14" t="s">
        <v>338</v>
      </c>
      <c r="B390" s="9"/>
      <c r="C390" s="9"/>
      <c r="D390" s="9"/>
      <c r="E390" s="9"/>
      <c r="F390" s="22" t="s">
        <v>339</v>
      </c>
      <c r="G390" s="21"/>
      <c r="H390" s="21"/>
      <c r="I390" s="9"/>
      <c r="J390" s="9"/>
    </row>
    <row r="391" spans="1:10" ht="27.6" x14ac:dyDescent="0.3">
      <c r="A391" s="14" t="s">
        <v>340</v>
      </c>
      <c r="B391" s="9"/>
      <c r="C391" s="9"/>
      <c r="D391" s="9"/>
      <c r="E391" s="9"/>
      <c r="F391" s="22" t="s">
        <v>341</v>
      </c>
      <c r="G391" s="21"/>
      <c r="H391" s="21"/>
      <c r="I391" s="9"/>
      <c r="J391" s="9"/>
    </row>
    <row r="392" spans="1:10" ht="41.4" x14ac:dyDescent="0.3">
      <c r="A392" s="14" t="s">
        <v>342</v>
      </c>
      <c r="B392" s="9"/>
      <c r="C392" s="9"/>
      <c r="D392" s="9"/>
      <c r="E392" s="9" t="s">
        <v>59</v>
      </c>
      <c r="F392" s="22" t="s">
        <v>87</v>
      </c>
      <c r="G392" s="21"/>
      <c r="H392" s="21"/>
      <c r="I392" s="9"/>
      <c r="J392" s="9"/>
    </row>
    <row r="393" spans="1:10" x14ac:dyDescent="0.3">
      <c r="A393" s="9" t="s">
        <v>343</v>
      </c>
      <c r="B393" s="9"/>
      <c r="C393" s="9"/>
      <c r="D393" s="9"/>
      <c r="E393" s="9" t="s">
        <v>332</v>
      </c>
      <c r="F393" s="9" t="s">
        <v>344</v>
      </c>
      <c r="G393" s="9"/>
      <c r="H393" s="9"/>
      <c r="I393" s="9"/>
      <c r="J393" s="9"/>
    </row>
    <row r="394" spans="1:10" x14ac:dyDescent="0.3">
      <c r="A394" s="9" t="s">
        <v>156</v>
      </c>
      <c r="B394" s="9"/>
      <c r="C394" s="9"/>
      <c r="D394" s="9"/>
      <c r="E394" s="9" t="s">
        <v>332</v>
      </c>
      <c r="F394" s="9" t="s">
        <v>99</v>
      </c>
      <c r="G394" s="9"/>
      <c r="H394" s="9"/>
      <c r="I394" s="9"/>
      <c r="J394" s="9"/>
    </row>
    <row r="395" spans="1:10" x14ac:dyDescent="0.3">
      <c r="A395" s="9" t="s">
        <v>345</v>
      </c>
      <c r="B395" s="9"/>
      <c r="C395" s="9"/>
      <c r="D395" s="9"/>
      <c r="E395" s="9" t="s">
        <v>332</v>
      </c>
      <c r="F395" s="9" t="s">
        <v>90</v>
      </c>
      <c r="G395" s="9"/>
      <c r="H395" s="9"/>
      <c r="I395" s="9"/>
      <c r="J395" s="9"/>
    </row>
    <row r="396" spans="1:10" x14ac:dyDescent="0.3">
      <c r="A396" s="9" t="s">
        <v>346</v>
      </c>
      <c r="B396" s="9"/>
      <c r="C396" s="9"/>
      <c r="D396" s="9"/>
      <c r="E396" s="9"/>
      <c r="F396" s="9" t="s">
        <v>347</v>
      </c>
      <c r="G396" s="9"/>
      <c r="H396" s="9"/>
      <c r="I396" s="9"/>
      <c r="J396" s="9"/>
    </row>
    <row r="397" spans="1:10" x14ac:dyDescent="0.3">
      <c r="D397" s="9"/>
      <c r="F397" s="9" t="s">
        <v>172</v>
      </c>
      <c r="G397" s="9"/>
      <c r="H397" s="9"/>
      <c r="I397" s="9"/>
      <c r="J397" s="9"/>
    </row>
    <row r="398" spans="1:10" x14ac:dyDescent="0.3">
      <c r="D398" s="9"/>
      <c r="F398" s="9" t="s">
        <v>174</v>
      </c>
      <c r="G398" s="9"/>
      <c r="H398" s="9"/>
      <c r="I398" s="9"/>
      <c r="J398" s="9"/>
    </row>
    <row r="399" spans="1:10" x14ac:dyDescent="0.3">
      <c r="F399" s="9" t="s">
        <v>181</v>
      </c>
      <c r="G399" s="9"/>
      <c r="H399" s="9"/>
      <c r="I399" s="9"/>
      <c r="J399" s="9"/>
    </row>
    <row r="400" spans="1:10" x14ac:dyDescent="0.3">
      <c r="F400" s="9" t="s">
        <v>348</v>
      </c>
      <c r="G400" s="9"/>
      <c r="H400" s="9"/>
      <c r="I400" s="9"/>
      <c r="J400" s="9"/>
    </row>
    <row r="401" spans="6:10" x14ac:dyDescent="0.3">
      <c r="F401" s="9" t="s">
        <v>349</v>
      </c>
      <c r="G401" s="9"/>
      <c r="H401" s="9"/>
      <c r="I401" s="9" t="s">
        <v>332</v>
      </c>
      <c r="J401" s="9"/>
    </row>
    <row r="402" spans="6:10" x14ac:dyDescent="0.3">
      <c r="F402" s="9" t="s">
        <v>350</v>
      </c>
      <c r="G402" s="9"/>
      <c r="H402" s="9"/>
      <c r="I402" s="9"/>
      <c r="J402" s="9"/>
    </row>
    <row r="403" spans="6:10" x14ac:dyDescent="0.3">
      <c r="F403" s="9" t="s">
        <v>263</v>
      </c>
      <c r="G403" s="9"/>
      <c r="H403" s="9"/>
      <c r="I403" s="9"/>
      <c r="J403" s="9"/>
    </row>
    <row r="404" spans="6:10" x14ac:dyDescent="0.3">
      <c r="F404" s="9" t="s">
        <v>351</v>
      </c>
      <c r="G404" s="9"/>
      <c r="H404" s="9"/>
      <c r="I404" s="9"/>
      <c r="J404" s="9"/>
    </row>
    <row r="405" spans="6:10" x14ac:dyDescent="0.3">
      <c r="F405" s="9" t="s">
        <v>352</v>
      </c>
      <c r="G405" s="9"/>
      <c r="H405" s="9"/>
      <c r="I405" s="9"/>
      <c r="J405" s="9"/>
    </row>
    <row r="406" spans="6:10" x14ac:dyDescent="0.3">
      <c r="F406" s="9" t="s">
        <v>353</v>
      </c>
      <c r="G406" s="9"/>
      <c r="H406" s="9"/>
      <c r="I406" s="9"/>
      <c r="J406" s="9"/>
    </row>
    <row r="407" spans="6:10" x14ac:dyDescent="0.3">
      <c r="F407" s="9" t="s">
        <v>354</v>
      </c>
      <c r="G407" s="9"/>
      <c r="H407" s="9"/>
      <c r="I407" s="9"/>
      <c r="J407" s="9"/>
    </row>
    <row r="408" spans="6:10" x14ac:dyDescent="0.3">
      <c r="F408" s="9" t="s">
        <v>355</v>
      </c>
      <c r="G408" s="9"/>
      <c r="H408" s="9"/>
      <c r="I408" s="9"/>
      <c r="J408" s="9"/>
    </row>
    <row r="409" spans="6:10" x14ac:dyDescent="0.3">
      <c r="F409" s="9" t="s">
        <v>148</v>
      </c>
      <c r="G409" s="9"/>
      <c r="H409" s="9"/>
      <c r="I409" s="9"/>
      <c r="J409" s="9"/>
    </row>
    <row r="410" spans="6:10" x14ac:dyDescent="0.3">
      <c r="F410" s="9" t="s">
        <v>222</v>
      </c>
      <c r="G410" s="9"/>
      <c r="H410" s="9">
        <v>5</v>
      </c>
      <c r="I410" s="9"/>
      <c r="J410" s="9"/>
    </row>
    <row r="411" spans="6:10" x14ac:dyDescent="0.3">
      <c r="F411" s="9" t="s">
        <v>356</v>
      </c>
      <c r="G411" s="9"/>
      <c r="H411" s="9"/>
      <c r="I411" s="9"/>
      <c r="J411" s="9"/>
    </row>
    <row r="412" spans="6:10" x14ac:dyDescent="0.3">
      <c r="F412" s="9" t="s">
        <v>357</v>
      </c>
      <c r="G412" s="9"/>
      <c r="H412" s="9">
        <v>4</v>
      </c>
      <c r="I412" s="9"/>
      <c r="J412" s="9"/>
    </row>
    <row r="413" spans="6:10" x14ac:dyDescent="0.3">
      <c r="F413" s="9" t="s">
        <v>358</v>
      </c>
      <c r="G413" s="9"/>
      <c r="H413" s="9"/>
      <c r="I413" s="9"/>
      <c r="J413" s="9"/>
    </row>
    <row r="414" spans="6:10" x14ac:dyDescent="0.3">
      <c r="F414" s="9" t="s">
        <v>359</v>
      </c>
      <c r="G414" s="9"/>
      <c r="H414" s="9"/>
      <c r="I414" s="9"/>
      <c r="J414" s="9"/>
    </row>
    <row r="415" spans="6:10" x14ac:dyDescent="0.3">
      <c r="F415" s="9" t="s">
        <v>360</v>
      </c>
      <c r="G415" s="9"/>
      <c r="H415" s="9"/>
      <c r="I415" s="9"/>
      <c r="J415" s="9"/>
    </row>
    <row r="416" spans="6:10" x14ac:dyDescent="0.3">
      <c r="F416" s="9" t="s">
        <v>361</v>
      </c>
      <c r="G416" s="9"/>
      <c r="H416" s="9"/>
      <c r="I416" s="9"/>
      <c r="J416" s="9"/>
    </row>
    <row r="417" spans="1:10" x14ac:dyDescent="0.3">
      <c r="F417" s="9" t="s">
        <v>362</v>
      </c>
      <c r="G417" s="9"/>
      <c r="H417" s="9"/>
      <c r="I417" s="9" t="s">
        <v>332</v>
      </c>
      <c r="J417" s="9"/>
    </row>
    <row r="418" spans="1:10" x14ac:dyDescent="0.3">
      <c r="F418" s="9" t="s">
        <v>226</v>
      </c>
      <c r="G418" s="9"/>
      <c r="H418" s="9"/>
      <c r="I418" s="9" t="s">
        <v>332</v>
      </c>
      <c r="J418" s="9"/>
    </row>
    <row r="419" spans="1:10" x14ac:dyDescent="0.3">
      <c r="F419" s="9" t="s">
        <v>363</v>
      </c>
      <c r="G419" s="9"/>
      <c r="H419" s="9"/>
      <c r="I419" s="9" t="s">
        <v>332</v>
      </c>
      <c r="J419" s="9"/>
    </row>
    <row r="420" spans="1:10" x14ac:dyDescent="0.3">
      <c r="F420" s="9" t="s">
        <v>364</v>
      </c>
      <c r="G420" s="9"/>
      <c r="H420" s="9"/>
      <c r="I420" s="9"/>
      <c r="J420" s="9"/>
    </row>
    <row r="421" spans="1:10" x14ac:dyDescent="0.3">
      <c r="F421" s="9" t="s">
        <v>365</v>
      </c>
      <c r="G421" s="9"/>
      <c r="H421" s="9"/>
      <c r="I421" s="9" t="s">
        <v>332</v>
      </c>
      <c r="J421" s="9"/>
    </row>
    <row r="422" spans="1:10" x14ac:dyDescent="0.3">
      <c r="F422" s="9" t="s">
        <v>287</v>
      </c>
      <c r="G422" s="9"/>
      <c r="H422" s="9"/>
      <c r="I422" s="9"/>
      <c r="J422" s="9"/>
    </row>
    <row r="423" spans="1:10" x14ac:dyDescent="0.3">
      <c r="F423" s="9" t="s">
        <v>366</v>
      </c>
      <c r="G423" s="9"/>
      <c r="H423" s="9"/>
      <c r="I423" s="9" t="s">
        <v>332</v>
      </c>
      <c r="J423" s="9"/>
    </row>
    <row r="424" spans="1:10" x14ac:dyDescent="0.3">
      <c r="F424" s="9" t="s">
        <v>76</v>
      </c>
      <c r="G424" s="9"/>
      <c r="H424" s="9"/>
      <c r="I424" s="9" t="s">
        <v>332</v>
      </c>
      <c r="J424" s="9"/>
    </row>
    <row r="425" spans="1:10" x14ac:dyDescent="0.3">
      <c r="F425" s="9" t="s">
        <v>367</v>
      </c>
      <c r="G425" s="9"/>
      <c r="H425" s="9"/>
      <c r="I425" s="9" t="s">
        <v>332</v>
      </c>
      <c r="J425" s="9"/>
    </row>
    <row r="426" spans="1:10" x14ac:dyDescent="0.3">
      <c r="F426" s="9" t="s">
        <v>368</v>
      </c>
      <c r="G426" s="9"/>
      <c r="H426" s="9"/>
      <c r="I426" s="9"/>
      <c r="J426" s="9"/>
    </row>
    <row r="427" spans="1:10" x14ac:dyDescent="0.3">
      <c r="A427" s="6"/>
      <c r="E427" s="6"/>
      <c r="J427" s="9"/>
    </row>
    <row r="428" spans="1:10" x14ac:dyDescent="0.3">
      <c r="A428" s="19" t="s">
        <v>1</v>
      </c>
      <c r="B428" s="20" t="s">
        <v>369</v>
      </c>
      <c r="C428" s="9" t="s">
        <v>3</v>
      </c>
      <c r="D428" s="3"/>
      <c r="E428" s="6"/>
    </row>
    <row r="429" spans="1:10" x14ac:dyDescent="0.3">
      <c r="A429" s="10" t="s">
        <v>4</v>
      </c>
      <c r="B429" s="9"/>
      <c r="C429" s="9"/>
      <c r="D429" s="3"/>
      <c r="E429" s="6"/>
    </row>
    <row r="430" spans="1:10" ht="55.2" x14ac:dyDescent="0.3">
      <c r="A430" s="11" t="s">
        <v>5</v>
      </c>
      <c r="B430" s="9" t="s">
        <v>370</v>
      </c>
      <c r="E430" s="6"/>
    </row>
    <row r="431" spans="1:10" x14ac:dyDescent="0.3">
      <c r="A431" s="3"/>
      <c r="C431" s="2"/>
      <c r="D431" s="2"/>
      <c r="E431" s="6"/>
    </row>
    <row r="432" spans="1:10" x14ac:dyDescent="0.3">
      <c r="A432" s="3"/>
      <c r="C432" s="10" t="s">
        <v>7</v>
      </c>
      <c r="D432" s="2"/>
      <c r="E432" s="6"/>
    </row>
    <row r="433" spans="1:10" x14ac:dyDescent="0.3">
      <c r="A433" s="10" t="s">
        <v>8</v>
      </c>
      <c r="B433" s="39" t="b">
        <v>1</v>
      </c>
      <c r="C433" s="9">
        <v>75</v>
      </c>
      <c r="D433" s="3"/>
      <c r="E433" s="6"/>
    </row>
    <row r="434" spans="1:10" x14ac:dyDescent="0.3">
      <c r="A434" s="10" t="s">
        <v>9</v>
      </c>
      <c r="B434" s="39" t="b">
        <v>1</v>
      </c>
      <c r="C434" s="9">
        <v>5</v>
      </c>
      <c r="D434" s="3"/>
      <c r="E434" s="6"/>
    </row>
    <row r="435" spans="1:10" x14ac:dyDescent="0.3">
      <c r="A435" s="10" t="s">
        <v>10</v>
      </c>
      <c r="B435" s="39" t="b">
        <v>1</v>
      </c>
      <c r="C435" s="9">
        <v>5</v>
      </c>
      <c r="D435" s="3"/>
      <c r="E435" s="6"/>
    </row>
    <row r="436" spans="1:10" x14ac:dyDescent="0.3">
      <c r="A436" s="10" t="s">
        <v>11</v>
      </c>
      <c r="B436" s="39" t="b">
        <v>1</v>
      </c>
      <c r="C436" s="9">
        <v>10</v>
      </c>
      <c r="D436" s="3"/>
      <c r="E436" s="6"/>
    </row>
    <row r="437" spans="1:10" x14ac:dyDescent="0.3">
      <c r="A437" s="10" t="s">
        <v>12</v>
      </c>
      <c r="B437" s="9" t="s">
        <v>371</v>
      </c>
      <c r="E437" s="6"/>
    </row>
    <row r="438" spans="1:10" x14ac:dyDescent="0.3">
      <c r="B438" s="3"/>
      <c r="E438" s="6"/>
    </row>
    <row r="439" spans="1:10" x14ac:dyDescent="0.3">
      <c r="A439" s="9" t="s">
        <v>13</v>
      </c>
      <c r="B439" s="9" t="s">
        <v>14</v>
      </c>
      <c r="C439" s="9" t="s">
        <v>15</v>
      </c>
      <c r="D439" s="13" t="s">
        <v>16</v>
      </c>
      <c r="E439" s="9" t="s">
        <v>12</v>
      </c>
      <c r="F439" s="9" t="s">
        <v>17</v>
      </c>
      <c r="G439" s="9" t="s">
        <v>14</v>
      </c>
      <c r="H439" s="9" t="s">
        <v>18</v>
      </c>
      <c r="I439" s="9" t="s">
        <v>12</v>
      </c>
      <c r="J439" s="13" t="s">
        <v>16</v>
      </c>
    </row>
    <row r="440" spans="1:10" ht="27.6" x14ac:dyDescent="0.3">
      <c r="A440" s="14" t="s">
        <v>160</v>
      </c>
      <c r="B440" s="9"/>
      <c r="C440" s="9"/>
      <c r="D440" s="9"/>
      <c r="E440" s="9"/>
      <c r="F440" s="22" t="s">
        <v>90</v>
      </c>
      <c r="G440" s="21"/>
      <c r="H440" s="21"/>
      <c r="I440" s="9"/>
      <c r="J440" s="9"/>
    </row>
    <row r="441" spans="1:10" ht="41.4" x14ac:dyDescent="0.3">
      <c r="A441" s="14" t="s">
        <v>372</v>
      </c>
      <c r="B441" s="9"/>
      <c r="C441" s="9"/>
      <c r="D441" s="9"/>
      <c r="E441" s="9"/>
      <c r="F441" s="22" t="s">
        <v>148</v>
      </c>
      <c r="G441" s="21"/>
      <c r="H441" s="21"/>
      <c r="I441" s="9" t="s">
        <v>70</v>
      </c>
      <c r="J441" s="9"/>
    </row>
    <row r="442" spans="1:10" ht="27.6" x14ac:dyDescent="0.3">
      <c r="A442" s="14" t="s">
        <v>209</v>
      </c>
      <c r="B442" s="9"/>
      <c r="C442" s="9"/>
      <c r="D442" s="9"/>
      <c r="E442" s="9"/>
      <c r="F442" s="22" t="s">
        <v>78</v>
      </c>
      <c r="G442" s="21"/>
      <c r="H442" s="21"/>
      <c r="I442" s="9"/>
      <c r="J442" s="9"/>
    </row>
    <row r="443" spans="1:10" ht="27.6" x14ac:dyDescent="0.3">
      <c r="A443" s="14" t="s">
        <v>199</v>
      </c>
      <c r="B443" s="9"/>
      <c r="C443" s="9"/>
      <c r="D443" s="9"/>
      <c r="E443" s="9"/>
      <c r="F443" s="22" t="s">
        <v>373</v>
      </c>
      <c r="G443" s="21"/>
      <c r="H443" s="21"/>
      <c r="I443" s="9"/>
      <c r="J443" s="9"/>
    </row>
    <row r="444" spans="1:10" x14ac:dyDescent="0.3">
      <c r="A444" s="14"/>
      <c r="B444" s="9"/>
      <c r="C444" s="9"/>
      <c r="D444" s="9"/>
      <c r="E444" s="9"/>
      <c r="F444" s="22" t="s">
        <v>374</v>
      </c>
      <c r="G444" s="21"/>
      <c r="H444" s="21"/>
      <c r="I444" s="9" t="s">
        <v>247</v>
      </c>
      <c r="J444" s="9"/>
    </row>
    <row r="445" spans="1:10" x14ac:dyDescent="0.3">
      <c r="A445" s="14"/>
      <c r="B445" s="9"/>
      <c r="C445" s="9"/>
      <c r="D445" s="9"/>
      <c r="E445" s="9"/>
      <c r="F445" s="22" t="s">
        <v>222</v>
      </c>
      <c r="G445" s="21"/>
      <c r="H445" s="21"/>
      <c r="I445" s="9"/>
      <c r="J445" s="9"/>
    </row>
    <row r="447" spans="1:10" x14ac:dyDescent="0.3">
      <c r="A447" s="23" t="s">
        <v>1</v>
      </c>
      <c r="B447" s="24" t="s">
        <v>375</v>
      </c>
      <c r="C447" s="25" t="s">
        <v>3</v>
      </c>
      <c r="D447" s="26"/>
      <c r="E447" s="26"/>
      <c r="F447" s="26"/>
      <c r="G447" s="26"/>
      <c r="H447" s="26"/>
      <c r="I447" s="26"/>
    </row>
    <row r="448" spans="1:10" x14ac:dyDescent="0.3">
      <c r="A448" s="27" t="s">
        <v>4</v>
      </c>
      <c r="B448" s="25"/>
      <c r="C448" s="25"/>
      <c r="D448" s="26"/>
      <c r="E448" s="26"/>
      <c r="F448" s="26"/>
      <c r="G448" s="26"/>
      <c r="H448" s="26"/>
      <c r="I448" s="26"/>
    </row>
    <row r="449" spans="1:10" ht="66.599999999999994" x14ac:dyDescent="0.3">
      <c r="A449" s="29" t="s">
        <v>5</v>
      </c>
      <c r="B449" s="25" t="s">
        <v>376</v>
      </c>
      <c r="C449" s="26"/>
      <c r="D449" s="26"/>
      <c r="E449" s="26"/>
      <c r="F449" s="26"/>
      <c r="G449" s="26"/>
      <c r="H449" s="26"/>
      <c r="I449" s="26"/>
    </row>
    <row r="450" spans="1:10" x14ac:dyDescent="0.3">
      <c r="A450" s="26"/>
      <c r="B450" s="26"/>
      <c r="C450" s="26"/>
      <c r="D450" s="26"/>
      <c r="E450" s="26"/>
      <c r="F450" s="26"/>
      <c r="G450" s="26"/>
      <c r="H450" s="26"/>
      <c r="I450" s="26"/>
    </row>
    <row r="451" spans="1:10" x14ac:dyDescent="0.3">
      <c r="A451" s="26"/>
      <c r="B451" s="26"/>
      <c r="C451" s="27" t="s">
        <v>7</v>
      </c>
      <c r="D451" s="30"/>
      <c r="E451" s="26"/>
      <c r="F451" s="26"/>
      <c r="G451" s="26"/>
      <c r="H451" s="26"/>
      <c r="I451" s="26"/>
    </row>
    <row r="452" spans="1:10" x14ac:dyDescent="0.3">
      <c r="A452" s="27" t="s">
        <v>8</v>
      </c>
      <c r="B452" s="31" t="b">
        <v>1</v>
      </c>
      <c r="C452" s="25">
        <v>75</v>
      </c>
      <c r="D452" s="26"/>
      <c r="E452" s="26"/>
      <c r="F452" s="26"/>
      <c r="G452" s="26"/>
      <c r="H452" s="26"/>
      <c r="I452" s="26"/>
    </row>
    <row r="453" spans="1:10" x14ac:dyDescent="0.3">
      <c r="A453" s="27" t="s">
        <v>9</v>
      </c>
      <c r="B453" s="31" t="b">
        <v>1</v>
      </c>
      <c r="C453" s="25">
        <v>20</v>
      </c>
      <c r="D453" s="26"/>
      <c r="E453" s="26"/>
      <c r="F453" s="26"/>
      <c r="G453" s="26"/>
      <c r="H453" s="26"/>
      <c r="I453" s="26"/>
    </row>
    <row r="454" spans="1:10" x14ac:dyDescent="0.3">
      <c r="A454" s="27" t="s">
        <v>10</v>
      </c>
      <c r="B454" s="31" t="b">
        <v>1</v>
      </c>
      <c r="C454" s="25">
        <v>5</v>
      </c>
      <c r="D454" s="26"/>
      <c r="E454" s="26"/>
      <c r="F454" s="26"/>
      <c r="G454" s="26"/>
      <c r="H454" s="26"/>
      <c r="I454" s="26"/>
    </row>
    <row r="455" spans="1:10" x14ac:dyDescent="0.3">
      <c r="A455" s="27" t="s">
        <v>11</v>
      </c>
      <c r="B455" s="31" t="b">
        <v>1</v>
      </c>
      <c r="C455" s="25">
        <v>10</v>
      </c>
      <c r="D455" s="26"/>
      <c r="E455" s="26"/>
      <c r="F455" s="26"/>
      <c r="G455" s="26"/>
      <c r="H455" s="26"/>
      <c r="I455" s="26"/>
    </row>
    <row r="456" spans="1:10" x14ac:dyDescent="0.3">
      <c r="A456" s="27" t="s">
        <v>12</v>
      </c>
      <c r="B456" s="25" t="s">
        <v>377</v>
      </c>
      <c r="C456" s="26"/>
      <c r="D456" s="26"/>
      <c r="E456" s="26"/>
      <c r="F456" s="26"/>
      <c r="G456" s="26"/>
      <c r="H456" s="26"/>
      <c r="I456" s="26"/>
    </row>
    <row r="457" spans="1:10" x14ac:dyDescent="0.3">
      <c r="A457" s="26"/>
      <c r="B457" s="26"/>
      <c r="C457" s="26"/>
      <c r="D457" s="26"/>
      <c r="E457" s="26"/>
      <c r="F457" s="26"/>
      <c r="G457" s="26"/>
      <c r="H457" s="26"/>
      <c r="I457" s="26"/>
    </row>
    <row r="458" spans="1:10" x14ac:dyDescent="0.3">
      <c r="A458" s="25" t="s">
        <v>13</v>
      </c>
      <c r="B458" s="25" t="s">
        <v>14</v>
      </c>
      <c r="C458" s="25" t="s">
        <v>15</v>
      </c>
      <c r="D458" s="13" t="s">
        <v>16</v>
      </c>
      <c r="E458" s="25" t="s">
        <v>12</v>
      </c>
      <c r="F458" s="25" t="s">
        <v>17</v>
      </c>
      <c r="G458" s="25" t="s">
        <v>14</v>
      </c>
      <c r="H458" s="25" t="s">
        <v>18</v>
      </c>
      <c r="I458" s="25" t="s">
        <v>12</v>
      </c>
      <c r="J458" s="13" t="s">
        <v>16</v>
      </c>
    </row>
    <row r="459" spans="1:10" x14ac:dyDescent="0.3">
      <c r="A459" s="25" t="s">
        <v>160</v>
      </c>
      <c r="B459" s="25"/>
      <c r="C459" s="25"/>
      <c r="D459" s="9"/>
      <c r="E459" s="25"/>
      <c r="F459" s="32" t="s">
        <v>378</v>
      </c>
      <c r="G459" s="32"/>
      <c r="H459" s="32"/>
      <c r="I459" s="25"/>
      <c r="J459" s="9"/>
    </row>
    <row r="460" spans="1:10" x14ac:dyDescent="0.3">
      <c r="A460" s="25" t="s">
        <v>203</v>
      </c>
      <c r="B460" s="25"/>
      <c r="C460" s="25"/>
      <c r="D460" s="9"/>
      <c r="E460" s="25"/>
      <c r="F460" s="32" t="s">
        <v>205</v>
      </c>
      <c r="G460" s="32"/>
      <c r="H460" s="32"/>
      <c r="I460" s="25" t="s">
        <v>70</v>
      </c>
      <c r="J460" s="9"/>
    </row>
    <row r="461" spans="1:10" x14ac:dyDescent="0.3">
      <c r="A461" s="44" t="s">
        <v>379</v>
      </c>
      <c r="B461" s="25"/>
      <c r="C461" s="25"/>
      <c r="D461" s="9"/>
      <c r="E461" s="25"/>
      <c r="F461" s="32" t="s">
        <v>380</v>
      </c>
      <c r="G461" s="32"/>
      <c r="H461" s="32"/>
      <c r="I461" s="25"/>
      <c r="J461" s="9"/>
    </row>
    <row r="462" spans="1:10" x14ac:dyDescent="0.3">
      <c r="A462" s="25" t="s">
        <v>381</v>
      </c>
      <c r="B462" s="25"/>
      <c r="C462" s="25"/>
      <c r="D462" s="9"/>
      <c r="E462" s="25"/>
      <c r="F462" s="32" t="s">
        <v>72</v>
      </c>
      <c r="G462" s="32"/>
      <c r="H462" s="32"/>
      <c r="I462" s="25"/>
      <c r="J462" s="9"/>
    </row>
    <row r="463" spans="1:10" x14ac:dyDescent="0.3">
      <c r="A463" s="25" t="s">
        <v>382</v>
      </c>
      <c r="B463" s="25"/>
      <c r="C463" s="25"/>
      <c r="D463" s="9"/>
      <c r="E463" s="25"/>
      <c r="F463" s="32" t="s">
        <v>383</v>
      </c>
      <c r="G463" s="32"/>
      <c r="H463" s="32"/>
      <c r="I463" s="25" t="s">
        <v>70</v>
      </c>
      <c r="J463" s="9"/>
    </row>
    <row r="464" spans="1:10" x14ac:dyDescent="0.3">
      <c r="A464" s="25"/>
      <c r="B464" s="25"/>
      <c r="C464" s="25"/>
      <c r="D464" s="9"/>
      <c r="E464" s="25"/>
      <c r="F464" s="32" t="s">
        <v>268</v>
      </c>
      <c r="G464" s="32"/>
      <c r="H464" s="32"/>
      <c r="I464" s="25" t="s">
        <v>70</v>
      </c>
      <c r="J464" s="9"/>
    </row>
    <row r="465" spans="1:10" x14ac:dyDescent="0.3">
      <c r="A465" s="25"/>
      <c r="B465" s="25"/>
      <c r="C465" s="25"/>
      <c r="D465" s="25"/>
      <c r="E465" s="25"/>
      <c r="F465" s="32" t="s">
        <v>384</v>
      </c>
      <c r="G465" s="32"/>
      <c r="H465" s="32"/>
      <c r="I465" s="25"/>
      <c r="J465" s="9"/>
    </row>
    <row r="466" spans="1:10" x14ac:dyDescent="0.3">
      <c r="A466" s="25"/>
      <c r="B466" s="25"/>
      <c r="C466" s="25"/>
      <c r="D466" s="25"/>
      <c r="E466" s="25"/>
      <c r="F466" s="32" t="s">
        <v>263</v>
      </c>
      <c r="G466" s="32"/>
      <c r="H466" s="32"/>
      <c r="I466" s="25"/>
      <c r="J466" s="9"/>
    </row>
    <row r="467" spans="1:10" x14ac:dyDescent="0.3">
      <c r="A467" s="26"/>
      <c r="B467" s="26"/>
      <c r="C467" s="26"/>
      <c r="D467" s="26"/>
      <c r="E467" s="26"/>
      <c r="F467" s="26"/>
      <c r="G467" s="26"/>
      <c r="H467" s="26"/>
      <c r="I467" s="26"/>
    </row>
    <row r="468" spans="1:10" x14ac:dyDescent="0.3">
      <c r="A468" s="23" t="s">
        <v>1</v>
      </c>
      <c r="B468" s="24" t="s">
        <v>385</v>
      </c>
      <c r="C468" s="25" t="s">
        <v>3</v>
      </c>
      <c r="D468" s="26"/>
      <c r="E468" s="26"/>
      <c r="F468" s="26"/>
      <c r="G468" s="26"/>
      <c r="H468" s="26"/>
      <c r="I468" s="26"/>
    </row>
    <row r="469" spans="1:10" x14ac:dyDescent="0.3">
      <c r="A469" s="27" t="s">
        <v>4</v>
      </c>
      <c r="B469" s="25"/>
      <c r="C469" s="25"/>
      <c r="D469" s="26"/>
      <c r="E469" s="26"/>
      <c r="F469" s="26"/>
      <c r="G469" s="26"/>
      <c r="H469" s="26"/>
      <c r="I469" s="26"/>
    </row>
    <row r="470" spans="1:10" ht="66.599999999999994" x14ac:dyDescent="0.3">
      <c r="A470" s="29" t="s">
        <v>5</v>
      </c>
      <c r="B470" s="25" t="s">
        <v>386</v>
      </c>
      <c r="C470" s="26"/>
      <c r="D470" s="26"/>
      <c r="E470" s="26"/>
      <c r="F470" s="26"/>
      <c r="G470" s="26"/>
      <c r="H470" s="26"/>
      <c r="I470" s="26"/>
    </row>
    <row r="471" spans="1:10" x14ac:dyDescent="0.3">
      <c r="A471" s="26"/>
      <c r="B471" s="26"/>
      <c r="C471" s="26"/>
      <c r="D471" s="26"/>
      <c r="E471" s="26"/>
      <c r="F471" s="26"/>
      <c r="G471" s="26"/>
      <c r="H471" s="26"/>
      <c r="I471" s="26"/>
    </row>
    <row r="472" spans="1:10" x14ac:dyDescent="0.3">
      <c r="A472" s="26"/>
      <c r="B472" s="26"/>
      <c r="C472" s="27" t="s">
        <v>7</v>
      </c>
      <c r="D472" s="30"/>
      <c r="E472" s="26"/>
      <c r="F472" s="26"/>
      <c r="G472" s="26"/>
      <c r="H472" s="26"/>
      <c r="I472" s="26"/>
    </row>
    <row r="473" spans="1:10" x14ac:dyDescent="0.3">
      <c r="A473" s="27" t="s">
        <v>8</v>
      </c>
      <c r="B473" s="31" t="b">
        <v>1</v>
      </c>
      <c r="C473" s="25">
        <v>40</v>
      </c>
      <c r="D473" s="26"/>
      <c r="E473" s="26"/>
      <c r="F473" s="26"/>
      <c r="G473" s="26"/>
      <c r="H473" s="26"/>
      <c r="I473" s="26"/>
    </row>
    <row r="474" spans="1:10" x14ac:dyDescent="0.3">
      <c r="A474" s="27" t="s">
        <v>9</v>
      </c>
      <c r="B474" s="31" t="b">
        <v>1</v>
      </c>
      <c r="C474" s="25">
        <v>50</v>
      </c>
      <c r="D474" s="26"/>
      <c r="E474" s="26"/>
      <c r="F474" s="26"/>
      <c r="G474" s="26"/>
      <c r="H474" s="26"/>
      <c r="I474" s="26"/>
    </row>
    <row r="475" spans="1:10" x14ac:dyDescent="0.3">
      <c r="A475" s="27" t="s">
        <v>10</v>
      </c>
      <c r="B475" s="31" t="b">
        <v>1</v>
      </c>
      <c r="C475" s="25">
        <v>10</v>
      </c>
      <c r="D475" s="26"/>
      <c r="E475" s="26"/>
      <c r="F475" s="26"/>
      <c r="G475" s="26"/>
      <c r="H475" s="26"/>
      <c r="I475" s="26"/>
    </row>
    <row r="476" spans="1:10" x14ac:dyDescent="0.3">
      <c r="A476" s="27" t="s">
        <v>11</v>
      </c>
      <c r="B476" s="31" t="b">
        <v>1</v>
      </c>
      <c r="C476" s="25">
        <v>50</v>
      </c>
      <c r="D476" s="26"/>
      <c r="E476" s="26"/>
      <c r="F476" s="26"/>
      <c r="G476" s="26"/>
      <c r="H476" s="26"/>
      <c r="I476" s="26"/>
    </row>
    <row r="477" spans="1:10" x14ac:dyDescent="0.3">
      <c r="A477" s="27" t="s">
        <v>12</v>
      </c>
      <c r="B477" s="26" t="s">
        <v>387</v>
      </c>
      <c r="E477" s="26"/>
      <c r="F477" s="26"/>
      <c r="G477" s="26"/>
      <c r="H477" s="26"/>
      <c r="I477" s="26"/>
    </row>
    <row r="478" spans="1:10" x14ac:dyDescent="0.3">
      <c r="A478" s="26"/>
      <c r="B478" s="26"/>
      <c r="C478" s="26"/>
      <c r="D478" s="26"/>
      <c r="E478" s="26"/>
      <c r="F478" s="26"/>
      <c r="G478" s="26"/>
      <c r="H478" s="26"/>
      <c r="I478" s="26"/>
    </row>
    <row r="479" spans="1:10" x14ac:dyDescent="0.3">
      <c r="A479" s="25" t="s">
        <v>13</v>
      </c>
      <c r="B479" s="25" t="s">
        <v>14</v>
      </c>
      <c r="C479" s="25" t="s">
        <v>15</v>
      </c>
      <c r="D479" s="13" t="s">
        <v>16</v>
      </c>
      <c r="E479" s="25" t="s">
        <v>12</v>
      </c>
      <c r="F479" s="25" t="s">
        <v>17</v>
      </c>
      <c r="G479" s="25" t="s">
        <v>14</v>
      </c>
      <c r="H479" s="25" t="s">
        <v>18</v>
      </c>
      <c r="I479" s="25" t="s">
        <v>12</v>
      </c>
      <c r="J479" s="13" t="s">
        <v>16</v>
      </c>
    </row>
    <row r="480" spans="1:10" x14ac:dyDescent="0.3">
      <c r="A480" s="25" t="s">
        <v>388</v>
      </c>
      <c r="B480" s="25"/>
      <c r="C480" s="25"/>
      <c r="D480" s="9"/>
      <c r="E480" s="25" t="s">
        <v>70</v>
      </c>
      <c r="F480" s="32" t="s">
        <v>263</v>
      </c>
      <c r="G480" s="32"/>
      <c r="H480" s="25"/>
      <c r="I480" s="25"/>
      <c r="J480" s="9"/>
    </row>
    <row r="481" spans="1:10" x14ac:dyDescent="0.3">
      <c r="A481" s="25" t="s">
        <v>108</v>
      </c>
      <c r="B481" s="25"/>
      <c r="C481" s="25"/>
      <c r="D481" s="9"/>
      <c r="E481" s="25" t="s">
        <v>70</v>
      </c>
      <c r="F481" s="32" t="s">
        <v>389</v>
      </c>
      <c r="G481" s="32"/>
      <c r="H481" s="25"/>
      <c r="I481" s="25"/>
      <c r="J481" s="9"/>
    </row>
    <row r="482" spans="1:10" x14ac:dyDescent="0.3">
      <c r="A482" s="25" t="s">
        <v>390</v>
      </c>
      <c r="B482" s="25"/>
      <c r="C482" s="25"/>
      <c r="D482" s="9"/>
      <c r="E482" s="25"/>
      <c r="F482" s="32" t="s">
        <v>99</v>
      </c>
      <c r="G482" s="32"/>
      <c r="H482" s="25"/>
      <c r="I482" s="25"/>
      <c r="J482" s="9"/>
    </row>
    <row r="483" spans="1:10" x14ac:dyDescent="0.3">
      <c r="A483" s="25" t="s">
        <v>216</v>
      </c>
      <c r="B483" s="25"/>
      <c r="C483" s="25"/>
      <c r="D483" s="9"/>
      <c r="E483" s="25" t="s">
        <v>198</v>
      </c>
      <c r="F483" s="32" t="s">
        <v>226</v>
      </c>
      <c r="G483" s="32"/>
      <c r="H483" s="25"/>
      <c r="I483" s="25" t="s">
        <v>70</v>
      </c>
      <c r="J483" s="9"/>
    </row>
    <row r="484" spans="1:10" x14ac:dyDescent="0.3">
      <c r="A484" s="25" t="s">
        <v>391</v>
      </c>
      <c r="B484" s="25"/>
      <c r="C484" s="25"/>
      <c r="D484" s="9"/>
      <c r="E484" s="25" t="s">
        <v>247</v>
      </c>
      <c r="F484" s="32" t="s">
        <v>72</v>
      </c>
      <c r="G484" s="32"/>
      <c r="H484" s="25"/>
      <c r="I484" s="25"/>
      <c r="J484" s="9"/>
    </row>
    <row r="485" spans="1:10" x14ac:dyDescent="0.3">
      <c r="A485" s="25" t="s">
        <v>212</v>
      </c>
      <c r="B485" s="25"/>
      <c r="C485" s="25"/>
      <c r="D485" s="9"/>
      <c r="E485" s="25"/>
      <c r="F485" s="32" t="s">
        <v>380</v>
      </c>
      <c r="G485" s="32"/>
      <c r="H485" s="25"/>
      <c r="I485" s="25"/>
      <c r="J485" s="9"/>
    </row>
    <row r="486" spans="1:10" x14ac:dyDescent="0.3">
      <c r="A486" s="25" t="s">
        <v>392</v>
      </c>
      <c r="B486" s="25"/>
      <c r="C486" s="25"/>
      <c r="D486" s="25"/>
      <c r="E486" s="25" t="s">
        <v>167</v>
      </c>
      <c r="F486" s="32" t="s">
        <v>86</v>
      </c>
      <c r="G486" s="32"/>
      <c r="H486" s="25"/>
      <c r="I486" s="25"/>
      <c r="J486" s="25"/>
    </row>
    <row r="487" spans="1:10" x14ac:dyDescent="0.3">
      <c r="A487" s="25" t="s">
        <v>313</v>
      </c>
      <c r="B487" s="25"/>
      <c r="C487" s="25"/>
      <c r="D487" s="25"/>
      <c r="E487" s="25"/>
      <c r="F487" s="32" t="s">
        <v>320</v>
      </c>
      <c r="G487" s="32"/>
      <c r="H487" s="25"/>
      <c r="I487" s="25"/>
      <c r="J487" s="25"/>
    </row>
    <row r="488" spans="1:10" x14ac:dyDescent="0.3">
      <c r="A488" s="25"/>
      <c r="B488" s="25"/>
      <c r="C488" s="25"/>
      <c r="D488" s="25"/>
      <c r="E488" s="25"/>
      <c r="F488" s="32" t="s">
        <v>77</v>
      </c>
      <c r="G488" s="32"/>
      <c r="H488" s="25"/>
      <c r="I488" s="25" t="s">
        <v>59</v>
      </c>
      <c r="J488" s="9"/>
    </row>
    <row r="489" spans="1:10" x14ac:dyDescent="0.3">
      <c r="A489" s="25"/>
      <c r="B489" s="25"/>
      <c r="C489" s="25"/>
      <c r="D489" s="25"/>
      <c r="E489" s="25"/>
      <c r="F489" s="32" t="s">
        <v>393</v>
      </c>
      <c r="G489" s="32"/>
      <c r="H489" s="25"/>
      <c r="I489" s="25" t="s">
        <v>70</v>
      </c>
      <c r="J489" s="9"/>
    </row>
    <row r="490" spans="1:10" x14ac:dyDescent="0.3">
      <c r="A490" s="25"/>
      <c r="B490" s="25"/>
      <c r="C490" s="25"/>
      <c r="D490" s="25"/>
      <c r="E490" s="25"/>
      <c r="F490" s="32" t="s">
        <v>251</v>
      </c>
      <c r="G490" s="32"/>
      <c r="H490" s="25"/>
      <c r="I490" s="25"/>
      <c r="J490" s="9"/>
    </row>
    <row r="491" spans="1:10" x14ac:dyDescent="0.3">
      <c r="A491" s="25"/>
      <c r="B491" s="25"/>
      <c r="C491" s="25"/>
      <c r="D491" s="25"/>
      <c r="E491" s="25"/>
      <c r="F491" s="32" t="s">
        <v>394</v>
      </c>
      <c r="G491" s="32"/>
      <c r="H491" s="25"/>
      <c r="I491" s="25"/>
      <c r="J491" s="9"/>
    </row>
    <row r="492" spans="1:10" x14ac:dyDescent="0.3">
      <c r="A492" s="25"/>
      <c r="B492" s="25"/>
      <c r="C492" s="25"/>
      <c r="D492" s="25"/>
      <c r="E492" s="25"/>
      <c r="F492" s="32" t="s">
        <v>150</v>
      </c>
      <c r="G492" s="32"/>
      <c r="H492" s="25"/>
      <c r="I492" s="25"/>
      <c r="J492" s="9"/>
    </row>
    <row r="493" spans="1:10" x14ac:dyDescent="0.3">
      <c r="A493" s="25"/>
      <c r="B493" s="25"/>
      <c r="C493" s="25"/>
      <c r="D493" s="25"/>
      <c r="E493" s="25"/>
      <c r="F493" s="32" t="s">
        <v>395</v>
      </c>
      <c r="G493" s="32"/>
      <c r="H493" s="25"/>
      <c r="I493" s="25" t="s">
        <v>70</v>
      </c>
      <c r="J493" s="9"/>
    </row>
    <row r="494" spans="1:10" x14ac:dyDescent="0.3">
      <c r="A494" s="25"/>
      <c r="B494" s="25"/>
      <c r="C494" s="25"/>
      <c r="D494" s="25"/>
      <c r="E494" s="25"/>
      <c r="F494" s="25" t="s">
        <v>82</v>
      </c>
      <c r="G494" s="25"/>
      <c r="H494" s="25"/>
      <c r="I494" s="25"/>
      <c r="J494" s="25"/>
    </row>
    <row r="495" spans="1:10" x14ac:dyDescent="0.3">
      <c r="A495" s="25"/>
      <c r="B495" s="25"/>
      <c r="C495" s="25"/>
      <c r="D495" s="25"/>
      <c r="E495" s="25"/>
      <c r="F495" s="25" t="s">
        <v>396</v>
      </c>
      <c r="G495" s="25"/>
      <c r="H495" s="25"/>
      <c r="I495" s="25"/>
      <c r="J495" s="9"/>
    </row>
    <row r="496" spans="1:10" x14ac:dyDescent="0.3">
      <c r="A496" s="25"/>
      <c r="B496" s="25"/>
      <c r="C496" s="25"/>
      <c r="D496" s="25"/>
      <c r="E496" s="25"/>
      <c r="F496" s="25" t="s">
        <v>287</v>
      </c>
      <c r="G496" s="25"/>
      <c r="H496" s="25"/>
      <c r="I496" s="25"/>
      <c r="J496" s="9"/>
    </row>
    <row r="497" spans="1:10" x14ac:dyDescent="0.3">
      <c r="A497" s="25"/>
      <c r="B497" s="25"/>
      <c r="C497" s="25"/>
      <c r="D497" s="25"/>
      <c r="E497" s="25"/>
      <c r="F497" s="25" t="s">
        <v>256</v>
      </c>
      <c r="G497" s="25"/>
      <c r="H497" s="25"/>
      <c r="I497" s="25"/>
      <c r="J497" s="9"/>
    </row>
    <row r="498" spans="1:10" x14ac:dyDescent="0.3">
      <c r="A498" s="25"/>
      <c r="B498" s="25"/>
      <c r="C498" s="25"/>
      <c r="D498" s="25"/>
      <c r="E498" s="25"/>
      <c r="F498" s="25" t="s">
        <v>397</v>
      </c>
      <c r="G498" s="25"/>
      <c r="H498" s="25"/>
      <c r="I498" s="25" t="s">
        <v>70</v>
      </c>
      <c r="J498" s="9"/>
    </row>
    <row r="499" spans="1:10" x14ac:dyDescent="0.3">
      <c r="A499" s="25"/>
      <c r="B499" s="25"/>
      <c r="C499" s="25"/>
      <c r="D499" s="25"/>
      <c r="E499" s="25"/>
      <c r="F499" s="25" t="s">
        <v>224</v>
      </c>
      <c r="G499" s="25"/>
      <c r="H499" s="25"/>
      <c r="I499" s="25"/>
      <c r="J499" s="9"/>
    </row>
    <row r="500" spans="1:10" x14ac:dyDescent="0.3">
      <c r="A500" s="25"/>
      <c r="B500" s="25"/>
      <c r="C500" s="25"/>
      <c r="D500" s="25"/>
      <c r="E500" s="25"/>
      <c r="F500" s="25" t="s">
        <v>90</v>
      </c>
      <c r="G500" s="25"/>
      <c r="H500" s="25"/>
      <c r="I500" s="25" t="s">
        <v>70</v>
      </c>
      <c r="J500" s="9"/>
    </row>
    <row r="501" spans="1:10" x14ac:dyDescent="0.3">
      <c r="A501" s="25"/>
      <c r="B501" s="25"/>
      <c r="C501" s="25"/>
      <c r="D501" s="25"/>
      <c r="E501" s="25"/>
      <c r="F501" s="25" t="s">
        <v>162</v>
      </c>
      <c r="G501" s="25"/>
      <c r="H501" s="25"/>
      <c r="I501" s="25"/>
      <c r="J501" s="25"/>
    </row>
    <row r="502" spans="1:10" x14ac:dyDescent="0.3">
      <c r="A502" s="25"/>
      <c r="B502" s="25"/>
      <c r="C502" s="25"/>
      <c r="D502" s="25"/>
      <c r="E502" s="25"/>
      <c r="F502" s="25" t="s">
        <v>75</v>
      </c>
      <c r="G502" s="25"/>
      <c r="H502" s="25"/>
      <c r="I502" s="25"/>
      <c r="J502" s="9"/>
    </row>
    <row r="503" spans="1:10" x14ac:dyDescent="0.3">
      <c r="A503" s="25"/>
      <c r="B503" s="25"/>
      <c r="C503" s="25"/>
      <c r="D503" s="25"/>
      <c r="E503" s="25"/>
      <c r="F503" s="25" t="s">
        <v>105</v>
      </c>
      <c r="G503" s="25"/>
      <c r="H503" s="25"/>
      <c r="I503" s="31"/>
      <c r="J503" s="9"/>
    </row>
    <row r="504" spans="1:10" x14ac:dyDescent="0.3">
      <c r="A504" s="25"/>
      <c r="B504" s="25"/>
      <c r="C504" s="25"/>
      <c r="D504" s="25"/>
      <c r="E504" s="25"/>
      <c r="F504" s="25" t="s">
        <v>398</v>
      </c>
      <c r="G504" s="25"/>
      <c r="H504" s="25"/>
      <c r="I504" s="25"/>
      <c r="J504" s="9"/>
    </row>
    <row r="505" spans="1:10" x14ac:dyDescent="0.3">
      <c r="A505" s="25"/>
      <c r="B505" s="25"/>
      <c r="C505" s="25"/>
      <c r="D505" s="25"/>
      <c r="E505" s="25"/>
      <c r="F505" s="25" t="s">
        <v>399</v>
      </c>
      <c r="G505" s="25"/>
      <c r="H505" s="25"/>
      <c r="I505" s="25"/>
      <c r="J505" s="9"/>
    </row>
    <row r="506" spans="1:10" x14ac:dyDescent="0.3">
      <c r="A506" s="25"/>
      <c r="B506" s="25"/>
      <c r="C506" s="25"/>
      <c r="D506" s="25"/>
      <c r="E506" s="25"/>
      <c r="F506" s="25" t="s">
        <v>400</v>
      </c>
      <c r="G506" s="25"/>
      <c r="H506" s="25"/>
      <c r="I506" s="25" t="s">
        <v>70</v>
      </c>
      <c r="J506" s="9"/>
    </row>
    <row r="507" spans="1:10" x14ac:dyDescent="0.3">
      <c r="A507" s="25"/>
      <c r="B507" s="25"/>
      <c r="C507" s="25"/>
      <c r="D507" s="25"/>
      <c r="E507" s="25"/>
      <c r="F507" s="25" t="s">
        <v>401</v>
      </c>
      <c r="G507" s="25"/>
      <c r="H507" s="25"/>
      <c r="I507" s="25"/>
      <c r="J507" s="9"/>
    </row>
    <row r="508" spans="1:10" x14ac:dyDescent="0.3">
      <c r="A508" s="25"/>
      <c r="B508" s="25"/>
      <c r="C508" s="25"/>
      <c r="D508" s="25"/>
      <c r="E508" s="25"/>
      <c r="F508" s="25" t="s">
        <v>402</v>
      </c>
      <c r="G508" s="25"/>
      <c r="H508" s="25"/>
      <c r="I508" s="25"/>
      <c r="J508" s="25"/>
    </row>
    <row r="509" spans="1:10" x14ac:dyDescent="0.3">
      <c r="A509" s="25"/>
      <c r="B509" s="25"/>
      <c r="C509" s="25"/>
      <c r="D509" s="25"/>
      <c r="E509" s="25"/>
      <c r="F509" s="25" t="s">
        <v>403</v>
      </c>
      <c r="G509" s="25"/>
      <c r="H509" s="25"/>
      <c r="I509" s="25"/>
      <c r="J509" s="9"/>
    </row>
    <row r="510" spans="1:10" x14ac:dyDescent="0.3">
      <c r="A510" s="26"/>
      <c r="B510" s="26"/>
      <c r="C510" s="26"/>
      <c r="D510" s="26"/>
      <c r="E510" s="26"/>
      <c r="F510" s="26"/>
      <c r="G510" s="26"/>
      <c r="H510" s="26"/>
      <c r="I510" s="26"/>
    </row>
    <row r="511" spans="1:10" x14ac:dyDescent="0.3">
      <c r="A511" s="23" t="s">
        <v>1</v>
      </c>
      <c r="B511" s="24" t="s">
        <v>404</v>
      </c>
      <c r="C511" s="25" t="s">
        <v>3</v>
      </c>
      <c r="D511" s="26"/>
      <c r="E511" s="26"/>
      <c r="F511" s="26"/>
      <c r="G511" s="26"/>
      <c r="H511" s="26"/>
      <c r="I511" s="26"/>
    </row>
    <row r="512" spans="1:10" x14ac:dyDescent="0.3">
      <c r="A512" s="27" t="s">
        <v>4</v>
      </c>
      <c r="B512" s="25"/>
      <c r="C512" s="25"/>
      <c r="D512" s="26"/>
      <c r="E512" s="26"/>
      <c r="F512" s="26"/>
      <c r="G512" s="26"/>
      <c r="H512" s="26"/>
      <c r="I512" s="26"/>
    </row>
    <row r="513" spans="1:10" ht="66.599999999999994" x14ac:dyDescent="0.3">
      <c r="A513" s="29" t="s">
        <v>5</v>
      </c>
      <c r="B513" s="25" t="s">
        <v>405</v>
      </c>
      <c r="C513" s="26"/>
      <c r="D513" s="26"/>
      <c r="E513" s="26"/>
      <c r="F513" s="26"/>
      <c r="G513" s="26"/>
      <c r="H513" s="26"/>
      <c r="I513" s="26"/>
    </row>
    <row r="514" spans="1:10" x14ac:dyDescent="0.3">
      <c r="A514" s="26"/>
      <c r="B514" s="26"/>
      <c r="C514" s="26"/>
      <c r="D514" s="26"/>
      <c r="E514" s="26"/>
      <c r="F514" s="26"/>
      <c r="G514" s="26"/>
      <c r="H514" s="26"/>
      <c r="I514" s="26"/>
    </row>
    <row r="515" spans="1:10" x14ac:dyDescent="0.3">
      <c r="A515" s="26"/>
      <c r="B515" s="26"/>
      <c r="C515" s="27" t="s">
        <v>7</v>
      </c>
      <c r="D515" s="30"/>
      <c r="E515" s="26"/>
      <c r="F515" s="26"/>
      <c r="G515" s="26"/>
      <c r="H515" s="26"/>
      <c r="I515" s="26"/>
    </row>
    <row r="516" spans="1:10" x14ac:dyDescent="0.3">
      <c r="A516" s="27" t="s">
        <v>8</v>
      </c>
      <c r="B516" s="31" t="b">
        <v>1</v>
      </c>
      <c r="C516" s="25">
        <v>40</v>
      </c>
      <c r="D516" s="26"/>
      <c r="E516" s="26"/>
      <c r="F516" s="26"/>
      <c r="G516" s="26"/>
      <c r="H516" s="26"/>
      <c r="I516" s="26"/>
    </row>
    <row r="517" spans="1:10" x14ac:dyDescent="0.3">
      <c r="A517" s="27" t="s">
        <v>9</v>
      </c>
      <c r="B517" s="31" t="b">
        <v>1</v>
      </c>
      <c r="C517" s="25">
        <v>40</v>
      </c>
      <c r="D517" s="26"/>
      <c r="E517" s="26"/>
      <c r="F517" s="26"/>
      <c r="G517" s="26"/>
      <c r="H517" s="26"/>
      <c r="I517" s="26"/>
    </row>
    <row r="518" spans="1:10" x14ac:dyDescent="0.3">
      <c r="A518" s="27" t="s">
        <v>10</v>
      </c>
      <c r="B518" s="31" t="b">
        <v>1</v>
      </c>
      <c r="C518" s="25">
        <v>15</v>
      </c>
      <c r="D518" s="26"/>
      <c r="E518" s="26"/>
      <c r="F518" s="26"/>
      <c r="G518" s="26"/>
      <c r="H518" s="26"/>
      <c r="I518" s="26"/>
    </row>
    <row r="519" spans="1:10" x14ac:dyDescent="0.3">
      <c r="A519" s="27" t="s">
        <v>11</v>
      </c>
      <c r="B519" s="31" t="b">
        <v>1</v>
      </c>
      <c r="C519" s="25">
        <v>30</v>
      </c>
      <c r="D519" s="26"/>
      <c r="E519" s="26"/>
      <c r="F519" s="26"/>
      <c r="G519" s="26"/>
      <c r="H519" s="26"/>
      <c r="I519" s="26"/>
    </row>
    <row r="520" spans="1:10" x14ac:dyDescent="0.3">
      <c r="A520" s="27" t="s">
        <v>12</v>
      </c>
      <c r="B520" s="25"/>
      <c r="C520" s="26"/>
      <c r="D520" s="26"/>
      <c r="E520" s="26"/>
      <c r="F520" s="26"/>
      <c r="G520" s="26"/>
      <c r="H520" s="26"/>
      <c r="I520" s="26"/>
    </row>
    <row r="521" spans="1:10" x14ac:dyDescent="0.3">
      <c r="A521" s="26"/>
      <c r="B521" s="26"/>
      <c r="C521" s="26"/>
      <c r="D521" s="26"/>
      <c r="E521" s="26"/>
      <c r="F521" s="26"/>
      <c r="G521" s="26"/>
      <c r="H521" s="26"/>
      <c r="I521" s="26"/>
    </row>
    <row r="522" spans="1:10" x14ac:dyDescent="0.3">
      <c r="A522" s="25" t="s">
        <v>13</v>
      </c>
      <c r="B522" s="25" t="s">
        <v>14</v>
      </c>
      <c r="C522" s="25" t="s">
        <v>15</v>
      </c>
      <c r="D522" s="13" t="s">
        <v>16</v>
      </c>
      <c r="E522" s="25" t="s">
        <v>12</v>
      </c>
      <c r="F522" s="25" t="s">
        <v>17</v>
      </c>
      <c r="G522" s="25" t="s">
        <v>14</v>
      </c>
      <c r="H522" s="25" t="s">
        <v>18</v>
      </c>
      <c r="I522" s="25" t="s">
        <v>12</v>
      </c>
      <c r="J522" s="13" t="s">
        <v>16</v>
      </c>
    </row>
    <row r="523" spans="1:10" x14ac:dyDescent="0.3">
      <c r="A523" s="25" t="s">
        <v>108</v>
      </c>
      <c r="B523" s="25"/>
      <c r="C523" s="25">
        <v>5</v>
      </c>
      <c r="D523" s="9"/>
      <c r="E523" s="25" t="s">
        <v>70</v>
      </c>
      <c r="F523" s="32" t="s">
        <v>72</v>
      </c>
      <c r="G523" s="32"/>
      <c r="H523" s="32"/>
      <c r="I523" s="25"/>
      <c r="J523" s="9"/>
    </row>
    <row r="524" spans="1:10" x14ac:dyDescent="0.3">
      <c r="A524" s="25" t="s">
        <v>406</v>
      </c>
      <c r="B524" s="25"/>
      <c r="C524" s="25">
        <v>3</v>
      </c>
      <c r="D524" s="9"/>
      <c r="E524" s="25" t="s">
        <v>70</v>
      </c>
      <c r="F524" s="32" t="s">
        <v>407</v>
      </c>
      <c r="G524" s="32"/>
      <c r="H524" s="32"/>
      <c r="I524" s="25"/>
      <c r="J524" s="9"/>
    </row>
    <row r="525" spans="1:10" x14ac:dyDescent="0.3">
      <c r="A525" s="25" t="s">
        <v>58</v>
      </c>
      <c r="B525" s="25"/>
      <c r="C525" s="25"/>
      <c r="D525" s="9"/>
      <c r="E525" s="25"/>
      <c r="F525" s="32" t="s">
        <v>393</v>
      </c>
      <c r="G525" s="32"/>
      <c r="H525" s="32"/>
      <c r="I525" s="25"/>
      <c r="J525" s="9"/>
    </row>
    <row r="526" spans="1:10" x14ac:dyDescent="0.3">
      <c r="A526" s="25" t="s">
        <v>408</v>
      </c>
      <c r="B526" s="25"/>
      <c r="C526" s="25"/>
      <c r="D526" s="9"/>
      <c r="E526" s="25" t="s">
        <v>409</v>
      </c>
      <c r="F526" s="32" t="s">
        <v>148</v>
      </c>
      <c r="G526" s="32"/>
      <c r="H526" s="32"/>
      <c r="I526" s="25"/>
      <c r="J526" s="9"/>
    </row>
    <row r="527" spans="1:10" x14ac:dyDescent="0.3">
      <c r="A527" s="25" t="s">
        <v>410</v>
      </c>
      <c r="B527" s="25"/>
      <c r="C527" s="25"/>
      <c r="D527" s="9"/>
      <c r="E527" s="25"/>
      <c r="F527" s="32" t="s">
        <v>162</v>
      </c>
      <c r="G527" s="32"/>
      <c r="H527" s="32"/>
      <c r="I527" s="25"/>
      <c r="J527" s="9"/>
    </row>
    <row r="528" spans="1:10" x14ac:dyDescent="0.3">
      <c r="A528" s="25" t="s">
        <v>411</v>
      </c>
      <c r="B528" s="25"/>
      <c r="C528" s="25"/>
      <c r="D528" s="9"/>
      <c r="E528" s="25"/>
      <c r="F528" s="32" t="s">
        <v>320</v>
      </c>
      <c r="G528" s="32"/>
      <c r="H528" s="32"/>
      <c r="I528" s="25"/>
      <c r="J528" s="9"/>
    </row>
    <row r="529" spans="1:10" x14ac:dyDescent="0.3">
      <c r="A529" s="26"/>
      <c r="B529" s="26"/>
      <c r="C529" s="26"/>
      <c r="D529" s="25"/>
      <c r="E529" s="26"/>
      <c r="F529" s="45"/>
      <c r="G529" s="45"/>
      <c r="H529" s="45"/>
      <c r="I529" s="26"/>
    </row>
    <row r="530" spans="1:10" x14ac:dyDescent="0.3">
      <c r="A530" s="23" t="s">
        <v>1</v>
      </c>
      <c r="B530" s="24" t="s">
        <v>412</v>
      </c>
      <c r="C530" s="25" t="s">
        <v>3</v>
      </c>
      <c r="D530" s="25"/>
    </row>
    <row r="531" spans="1:10" x14ac:dyDescent="0.3">
      <c r="A531" s="27" t="s">
        <v>4</v>
      </c>
      <c r="B531" s="25"/>
      <c r="C531" s="25"/>
      <c r="D531" s="26"/>
    </row>
    <row r="532" spans="1:10" ht="66.599999999999994" x14ac:dyDescent="0.3">
      <c r="A532" s="29" t="s">
        <v>5</v>
      </c>
      <c r="B532" s="25" t="s">
        <v>413</v>
      </c>
      <c r="C532" s="26"/>
      <c r="D532" s="26"/>
    </row>
    <row r="533" spans="1:10" x14ac:dyDescent="0.3">
      <c r="A533" s="26"/>
      <c r="B533" s="26"/>
      <c r="C533" s="26"/>
      <c r="D533" s="26"/>
    </row>
    <row r="534" spans="1:10" x14ac:dyDescent="0.3">
      <c r="A534" s="26"/>
      <c r="B534" s="26"/>
      <c r="C534" s="27" t="s">
        <v>7</v>
      </c>
      <c r="D534" s="30"/>
    </row>
    <row r="535" spans="1:10" x14ac:dyDescent="0.3">
      <c r="A535" s="27" t="s">
        <v>8</v>
      </c>
      <c r="B535" s="31" t="b">
        <v>1</v>
      </c>
      <c r="C535" s="25">
        <v>40</v>
      </c>
      <c r="D535" s="26"/>
    </row>
    <row r="536" spans="1:10" x14ac:dyDescent="0.3">
      <c r="A536" s="27" t="s">
        <v>9</v>
      </c>
      <c r="B536" s="31" t="b">
        <v>1</v>
      </c>
      <c r="C536" s="25">
        <v>20</v>
      </c>
      <c r="D536" s="26"/>
    </row>
    <row r="537" spans="1:10" x14ac:dyDescent="0.3">
      <c r="A537" s="27" t="s">
        <v>10</v>
      </c>
      <c r="B537" s="31" t="b">
        <v>1</v>
      </c>
      <c r="C537" s="25">
        <v>20</v>
      </c>
      <c r="D537" s="26"/>
    </row>
    <row r="538" spans="1:10" x14ac:dyDescent="0.3">
      <c r="A538" s="27" t="s">
        <v>11</v>
      </c>
      <c r="B538" s="31" t="b">
        <v>1</v>
      </c>
      <c r="C538" s="25">
        <v>15</v>
      </c>
      <c r="D538" s="26"/>
    </row>
    <row r="539" spans="1:10" x14ac:dyDescent="0.3">
      <c r="A539" s="27" t="s">
        <v>12</v>
      </c>
      <c r="B539" s="25"/>
      <c r="C539" s="26"/>
      <c r="D539" s="26"/>
      <c r="E539" s="26"/>
      <c r="F539" s="26"/>
      <c r="G539" s="26"/>
      <c r="H539" s="26"/>
      <c r="I539" s="26"/>
    </row>
    <row r="540" spans="1:10" x14ac:dyDescent="0.3">
      <c r="A540" s="26"/>
      <c r="B540" s="26"/>
      <c r="C540" s="26"/>
      <c r="D540" s="26"/>
      <c r="E540" s="26"/>
      <c r="F540" s="26"/>
      <c r="G540" s="26"/>
      <c r="H540" s="26"/>
      <c r="I540" s="26"/>
    </row>
    <row r="541" spans="1:10" x14ac:dyDescent="0.3">
      <c r="A541" s="25" t="s">
        <v>13</v>
      </c>
      <c r="B541" s="25" t="s">
        <v>14</v>
      </c>
      <c r="C541" s="25" t="s">
        <v>15</v>
      </c>
      <c r="D541" s="13" t="s">
        <v>16</v>
      </c>
      <c r="E541" s="25" t="s">
        <v>12</v>
      </c>
      <c r="F541" s="25" t="s">
        <v>17</v>
      </c>
      <c r="G541" s="25" t="s">
        <v>14</v>
      </c>
      <c r="H541" s="25" t="s">
        <v>18</v>
      </c>
      <c r="I541" s="25" t="s">
        <v>12</v>
      </c>
      <c r="J541" s="13" t="s">
        <v>16</v>
      </c>
    </row>
    <row r="542" spans="1:10" x14ac:dyDescent="0.3">
      <c r="A542" s="25" t="s">
        <v>58</v>
      </c>
      <c r="B542" s="25"/>
      <c r="C542" s="25">
        <v>8</v>
      </c>
      <c r="D542" s="9"/>
      <c r="E542" s="25" t="s">
        <v>70</v>
      </c>
      <c r="F542" s="25" t="s">
        <v>148</v>
      </c>
      <c r="G542" s="25"/>
      <c r="H542" s="25"/>
      <c r="I542" s="25"/>
      <c r="J542" s="9"/>
    </row>
    <row r="543" spans="1:10" x14ac:dyDescent="0.3">
      <c r="A543" s="25" t="s">
        <v>162</v>
      </c>
      <c r="B543" s="25"/>
      <c r="C543" s="25"/>
      <c r="D543" s="9"/>
      <c r="E543" s="25"/>
      <c r="F543" s="25" t="s">
        <v>414</v>
      </c>
      <c r="G543" s="25"/>
      <c r="H543" s="25"/>
      <c r="I543" s="25"/>
      <c r="J543" s="9"/>
    </row>
    <row r="544" spans="1:10" x14ac:dyDescent="0.3">
      <c r="A544" s="25" t="s">
        <v>415</v>
      </c>
      <c r="B544" s="25"/>
      <c r="C544" s="25"/>
      <c r="D544" s="9"/>
      <c r="E544" s="25" t="s">
        <v>70</v>
      </c>
      <c r="F544" s="25" t="s">
        <v>72</v>
      </c>
      <c r="G544" s="25"/>
      <c r="H544" s="25"/>
      <c r="I544" s="25"/>
      <c r="J544" s="9"/>
    </row>
    <row r="545" spans="1:10" x14ac:dyDescent="0.3">
      <c r="A545" s="25" t="s">
        <v>416</v>
      </c>
      <c r="B545" s="25"/>
      <c r="C545" s="25"/>
      <c r="D545" s="9"/>
      <c r="E545" s="25" t="s">
        <v>70</v>
      </c>
      <c r="F545" s="25" t="s">
        <v>302</v>
      </c>
      <c r="G545" s="25"/>
      <c r="H545" s="25"/>
      <c r="I545" s="25"/>
      <c r="J545" s="9"/>
    </row>
    <row r="546" spans="1:10" x14ac:dyDescent="0.3">
      <c r="A546" s="25" t="s">
        <v>392</v>
      </c>
      <c r="B546" s="25"/>
      <c r="C546" s="25"/>
      <c r="D546" s="9"/>
      <c r="E546" s="25" t="s">
        <v>167</v>
      </c>
      <c r="F546" s="25" t="s">
        <v>172</v>
      </c>
      <c r="G546" s="25"/>
      <c r="H546" s="25"/>
      <c r="I546" s="25" t="s">
        <v>70</v>
      </c>
      <c r="J546" s="9"/>
    </row>
    <row r="547" spans="1:10" x14ac:dyDescent="0.3">
      <c r="A547" s="25" t="s">
        <v>417</v>
      </c>
      <c r="B547" s="25"/>
      <c r="C547" s="25"/>
      <c r="D547" s="9"/>
      <c r="E547" s="25" t="s">
        <v>70</v>
      </c>
      <c r="F547" s="25" t="s">
        <v>181</v>
      </c>
      <c r="G547" s="25"/>
      <c r="H547" s="25"/>
      <c r="I547" s="25" t="s">
        <v>167</v>
      </c>
      <c r="J547" s="9"/>
    </row>
    <row r="548" spans="1:10" x14ac:dyDescent="0.3">
      <c r="A548" s="25" t="s">
        <v>418</v>
      </c>
      <c r="B548" s="25"/>
      <c r="C548" s="25"/>
      <c r="D548" s="9"/>
      <c r="E548" s="25" t="s">
        <v>59</v>
      </c>
      <c r="F548" s="32" t="s">
        <v>320</v>
      </c>
      <c r="G548" s="32"/>
      <c r="H548" s="32" t="s">
        <v>419</v>
      </c>
      <c r="I548" s="25"/>
      <c r="J548" s="9"/>
    </row>
    <row r="549" spans="1:10" x14ac:dyDescent="0.3">
      <c r="A549" s="46" t="s">
        <v>420</v>
      </c>
      <c r="B549" s="25"/>
      <c r="C549" s="25"/>
      <c r="D549" s="9"/>
      <c r="E549" s="25"/>
      <c r="F549" s="32" t="s">
        <v>421</v>
      </c>
      <c r="G549" s="32"/>
      <c r="H549" s="32"/>
      <c r="I549" s="25"/>
      <c r="J549" s="9"/>
    </row>
    <row r="550" spans="1:10" x14ac:dyDescent="0.3">
      <c r="A550" s="25" t="s">
        <v>422</v>
      </c>
      <c r="B550" s="25"/>
      <c r="C550" s="25"/>
      <c r="D550" s="9"/>
      <c r="E550" s="25" t="s">
        <v>70</v>
      </c>
      <c r="F550" s="32" t="s">
        <v>423</v>
      </c>
      <c r="G550" s="32"/>
      <c r="H550" s="32"/>
      <c r="I550" s="25" t="s">
        <v>70</v>
      </c>
      <c r="J550" s="9"/>
    </row>
    <row r="551" spans="1:10" x14ac:dyDescent="0.3">
      <c r="A551" s="25" t="s">
        <v>424</v>
      </c>
      <c r="B551" s="25"/>
      <c r="C551" s="25"/>
      <c r="D551" s="9"/>
      <c r="E551" s="25"/>
      <c r="F551" s="32" t="s">
        <v>263</v>
      </c>
      <c r="G551" s="32"/>
      <c r="H551" s="32"/>
      <c r="I551" s="25"/>
      <c r="J551" s="9"/>
    </row>
    <row r="552" spans="1:10" x14ac:dyDescent="0.3">
      <c r="D552" s="9"/>
    </row>
    <row r="553" spans="1:10" x14ac:dyDescent="0.3">
      <c r="A553" s="23" t="s">
        <v>1</v>
      </c>
      <c r="B553" s="24" t="s">
        <v>425</v>
      </c>
      <c r="C553" s="25" t="s">
        <v>3</v>
      </c>
      <c r="D553" s="26"/>
      <c r="E553" s="26"/>
      <c r="F553" s="26"/>
      <c r="G553" s="26"/>
      <c r="H553" s="26"/>
      <c r="I553" s="26"/>
    </row>
    <row r="554" spans="1:10" x14ac:dyDescent="0.3">
      <c r="A554" s="27" t="s">
        <v>4</v>
      </c>
      <c r="B554" s="25"/>
      <c r="C554" s="25"/>
      <c r="D554" s="26"/>
      <c r="E554" s="26"/>
      <c r="F554" s="26"/>
      <c r="G554" s="26"/>
      <c r="H554" s="26"/>
      <c r="I554" s="26"/>
    </row>
    <row r="555" spans="1:10" ht="66.599999999999994" x14ac:dyDescent="0.3">
      <c r="A555" s="29" t="s">
        <v>5</v>
      </c>
      <c r="B555" s="25" t="s">
        <v>426</v>
      </c>
      <c r="C555" s="26"/>
      <c r="D555" s="26"/>
      <c r="E555" s="26"/>
      <c r="F555" s="26"/>
      <c r="G555" s="26"/>
      <c r="H555" s="26"/>
      <c r="I555" s="26"/>
    </row>
    <row r="556" spans="1:10" x14ac:dyDescent="0.3">
      <c r="A556" s="26"/>
      <c r="B556" s="26"/>
      <c r="C556" s="26"/>
      <c r="D556" s="26"/>
      <c r="E556" s="26"/>
      <c r="F556" s="26"/>
      <c r="G556" s="26"/>
      <c r="H556" s="26"/>
      <c r="I556" s="26"/>
    </row>
    <row r="557" spans="1:10" x14ac:dyDescent="0.3">
      <c r="A557" s="26"/>
      <c r="B557" s="26"/>
      <c r="C557" s="27" t="s">
        <v>7</v>
      </c>
      <c r="D557" s="30"/>
      <c r="E557" s="26"/>
      <c r="F557" s="26"/>
      <c r="G557" s="26"/>
      <c r="H557" s="26"/>
      <c r="I557" s="26"/>
    </row>
    <row r="558" spans="1:10" x14ac:dyDescent="0.3">
      <c r="A558" s="27" t="s">
        <v>8</v>
      </c>
      <c r="B558" s="31" t="b">
        <v>0</v>
      </c>
      <c r="C558" s="25">
        <v>0</v>
      </c>
      <c r="D558" s="26"/>
      <c r="E558" s="26"/>
      <c r="F558" s="26"/>
      <c r="G558" s="26"/>
      <c r="H558" s="26"/>
      <c r="I558" s="26"/>
    </row>
    <row r="559" spans="1:10" x14ac:dyDescent="0.3">
      <c r="A559" s="27" t="s">
        <v>9</v>
      </c>
      <c r="B559" s="31" t="b">
        <v>1</v>
      </c>
      <c r="C559" s="25">
        <v>10</v>
      </c>
      <c r="D559" s="26"/>
      <c r="E559" s="26"/>
      <c r="F559" s="26"/>
      <c r="G559" s="26"/>
      <c r="H559" s="26"/>
      <c r="I559" s="26"/>
    </row>
    <row r="560" spans="1:10" x14ac:dyDescent="0.3">
      <c r="A560" s="27" t="s">
        <v>10</v>
      </c>
      <c r="B560" s="31" t="b">
        <v>1</v>
      </c>
      <c r="C560" s="25">
        <v>70</v>
      </c>
      <c r="D560" s="26"/>
      <c r="E560" s="26"/>
      <c r="F560" s="26"/>
      <c r="G560" s="26"/>
      <c r="H560" s="26"/>
      <c r="I560" s="26"/>
    </row>
    <row r="561" spans="1:10" x14ac:dyDescent="0.3">
      <c r="A561" s="27" t="s">
        <v>11</v>
      </c>
      <c r="B561" s="31" t="b">
        <v>1</v>
      </c>
      <c r="C561" s="25">
        <v>10</v>
      </c>
      <c r="D561" s="26"/>
      <c r="E561" s="26"/>
      <c r="F561" s="26"/>
      <c r="G561" s="26"/>
      <c r="H561" s="26"/>
      <c r="I561" s="26"/>
    </row>
    <row r="562" spans="1:10" x14ac:dyDescent="0.3">
      <c r="A562" s="27" t="s">
        <v>12</v>
      </c>
      <c r="B562" s="25" t="s">
        <v>427</v>
      </c>
      <c r="C562" s="26"/>
      <c r="D562" s="26"/>
      <c r="E562" s="26"/>
      <c r="F562" s="26"/>
      <c r="G562" s="26"/>
      <c r="H562" s="26"/>
      <c r="I562" s="26"/>
    </row>
    <row r="563" spans="1:10" x14ac:dyDescent="0.3">
      <c r="A563" s="26"/>
      <c r="B563" s="26"/>
      <c r="C563" s="26"/>
      <c r="D563" s="26"/>
      <c r="E563" s="26"/>
      <c r="F563" s="26"/>
      <c r="G563" s="26"/>
      <c r="H563" s="26"/>
      <c r="I563" s="26"/>
    </row>
    <row r="564" spans="1:10" x14ac:dyDescent="0.3">
      <c r="A564" s="25" t="s">
        <v>13</v>
      </c>
      <c r="B564" s="25" t="s">
        <v>14</v>
      </c>
      <c r="C564" s="25" t="s">
        <v>15</v>
      </c>
      <c r="D564" s="13" t="s">
        <v>16</v>
      </c>
      <c r="E564" s="25" t="s">
        <v>12</v>
      </c>
      <c r="F564" s="25" t="s">
        <v>17</v>
      </c>
      <c r="G564" s="25" t="s">
        <v>14</v>
      </c>
      <c r="H564" s="25" t="s">
        <v>18</v>
      </c>
      <c r="I564" s="25" t="s">
        <v>12</v>
      </c>
      <c r="J564" s="13" t="s">
        <v>16</v>
      </c>
    </row>
    <row r="565" spans="1:10" x14ac:dyDescent="0.3">
      <c r="A565" s="25" t="s">
        <v>216</v>
      </c>
      <c r="B565" s="25"/>
      <c r="C565" s="25">
        <v>10</v>
      </c>
      <c r="D565" s="9"/>
      <c r="E565" s="25" t="s">
        <v>198</v>
      </c>
      <c r="F565" s="25" t="s">
        <v>428</v>
      </c>
      <c r="G565" s="25"/>
      <c r="H565" s="25">
        <v>1</v>
      </c>
      <c r="I565" s="25" t="s">
        <v>70</v>
      </c>
      <c r="J565" s="9"/>
    </row>
    <row r="566" spans="1:10" x14ac:dyDescent="0.3">
      <c r="A566" s="25" t="s">
        <v>272</v>
      </c>
      <c r="B566" s="25"/>
      <c r="C566" s="25">
        <v>1</v>
      </c>
      <c r="D566" s="9"/>
      <c r="E566" s="25"/>
      <c r="F566" s="25" t="s">
        <v>363</v>
      </c>
      <c r="G566" s="25"/>
      <c r="H566" s="25">
        <v>1</v>
      </c>
      <c r="I566" s="25" t="s">
        <v>70</v>
      </c>
      <c r="J566" s="9"/>
    </row>
    <row r="567" spans="1:10" x14ac:dyDescent="0.3">
      <c r="A567" s="25" t="s">
        <v>429</v>
      </c>
      <c r="B567" s="25"/>
      <c r="C567" s="25">
        <v>5</v>
      </c>
      <c r="D567" s="9"/>
      <c r="E567" s="25" t="s">
        <v>198</v>
      </c>
      <c r="F567" s="25" t="s">
        <v>430</v>
      </c>
      <c r="G567" s="25"/>
      <c r="H567" s="25">
        <v>1</v>
      </c>
      <c r="I567" s="25" t="s">
        <v>70</v>
      </c>
      <c r="J567" s="9"/>
    </row>
    <row r="568" spans="1:10" x14ac:dyDescent="0.3">
      <c r="A568" s="25" t="s">
        <v>100</v>
      </c>
      <c r="B568" s="25"/>
      <c r="C568" s="25">
        <v>1</v>
      </c>
      <c r="D568" s="9"/>
      <c r="E568" s="25"/>
      <c r="F568" s="25" t="s">
        <v>263</v>
      </c>
      <c r="G568" s="25"/>
      <c r="H568" s="25">
        <v>3</v>
      </c>
      <c r="I568" s="25"/>
      <c r="J568" s="9"/>
    </row>
    <row r="569" spans="1:10" x14ac:dyDescent="0.3">
      <c r="A569" s="25" t="s">
        <v>431</v>
      </c>
      <c r="B569" s="25"/>
      <c r="C569" s="25">
        <v>1</v>
      </c>
      <c r="D569" s="9"/>
      <c r="E569" s="25"/>
      <c r="F569" s="25" t="s">
        <v>297</v>
      </c>
      <c r="G569" s="25"/>
      <c r="H569" s="25">
        <v>1</v>
      </c>
      <c r="I569" s="25" t="s">
        <v>138</v>
      </c>
      <c r="J569" s="9"/>
    </row>
    <row r="570" spans="1:10" x14ac:dyDescent="0.3">
      <c r="A570" s="25" t="s">
        <v>432</v>
      </c>
      <c r="B570" s="25"/>
      <c r="C570" s="25">
        <v>1</v>
      </c>
      <c r="D570" s="9"/>
      <c r="E570" s="25"/>
      <c r="F570" s="25" t="s">
        <v>433</v>
      </c>
      <c r="G570" s="25"/>
      <c r="H570" s="25">
        <v>1</v>
      </c>
      <c r="I570" s="25"/>
      <c r="J570" s="9"/>
    </row>
    <row r="571" spans="1:10" x14ac:dyDescent="0.3">
      <c r="A571" s="25" t="s">
        <v>434</v>
      </c>
      <c r="B571" s="25"/>
      <c r="C571" s="25">
        <v>1</v>
      </c>
      <c r="D571" s="9"/>
      <c r="E571" s="25"/>
      <c r="F571" s="25" t="s">
        <v>435</v>
      </c>
      <c r="G571" s="25"/>
      <c r="H571" s="25">
        <v>1</v>
      </c>
      <c r="I571" s="25"/>
      <c r="J571" s="9"/>
    </row>
    <row r="572" spans="1:10" x14ac:dyDescent="0.3">
      <c r="A572" s="25" t="s">
        <v>436</v>
      </c>
      <c r="B572" s="25"/>
      <c r="C572" s="25">
        <v>2</v>
      </c>
      <c r="D572" s="9"/>
      <c r="E572" s="25"/>
      <c r="F572" s="32" t="s">
        <v>303</v>
      </c>
      <c r="G572" s="32"/>
      <c r="H572" s="25">
        <v>1</v>
      </c>
      <c r="I572" s="25"/>
      <c r="J572" s="9"/>
    </row>
    <row r="573" spans="1:10" x14ac:dyDescent="0.3">
      <c r="A573" s="25" t="s">
        <v>437</v>
      </c>
      <c r="B573" s="25"/>
      <c r="C573" s="25">
        <v>1</v>
      </c>
      <c r="D573" s="9"/>
      <c r="E573" s="25"/>
      <c r="F573" s="32" t="s">
        <v>99</v>
      </c>
      <c r="G573" s="32"/>
      <c r="H573" s="25">
        <v>1</v>
      </c>
      <c r="I573" s="25"/>
      <c r="J573" s="9"/>
    </row>
    <row r="574" spans="1:10" x14ac:dyDescent="0.3">
      <c r="A574" s="25" t="s">
        <v>108</v>
      </c>
      <c r="B574" s="25"/>
      <c r="C574" s="25">
        <v>1</v>
      </c>
      <c r="D574" s="9"/>
      <c r="E574" s="25"/>
      <c r="F574" s="32" t="s">
        <v>285</v>
      </c>
      <c r="G574" s="32"/>
      <c r="H574" s="25">
        <v>1</v>
      </c>
      <c r="I574" s="25"/>
      <c r="J574" s="9"/>
    </row>
    <row r="575" spans="1:10" x14ac:dyDescent="0.3">
      <c r="A575" s="25" t="s">
        <v>438</v>
      </c>
      <c r="B575" s="25"/>
      <c r="C575" s="25">
        <v>1</v>
      </c>
      <c r="D575" s="9"/>
      <c r="E575" s="25" t="s">
        <v>409</v>
      </c>
      <c r="F575" s="32" t="s">
        <v>257</v>
      </c>
      <c r="G575" s="32"/>
      <c r="H575" s="25">
        <v>1</v>
      </c>
      <c r="I575" s="25"/>
      <c r="J575" s="9"/>
    </row>
    <row r="576" spans="1:10" x14ac:dyDescent="0.3">
      <c r="A576" s="25" t="s">
        <v>439</v>
      </c>
      <c r="B576" s="25"/>
      <c r="C576" s="25">
        <v>1</v>
      </c>
      <c r="D576" s="9"/>
      <c r="E576" s="25" t="s">
        <v>70</v>
      </c>
      <c r="F576" s="32" t="s">
        <v>90</v>
      </c>
      <c r="G576" s="32"/>
      <c r="H576" s="25">
        <v>1</v>
      </c>
      <c r="I576" s="25" t="s">
        <v>70</v>
      </c>
      <c r="J576" s="9"/>
    </row>
    <row r="577" spans="1:10" x14ac:dyDescent="0.3">
      <c r="A577" s="25" t="s">
        <v>95</v>
      </c>
      <c r="B577" s="25"/>
      <c r="C577" s="25">
        <v>1</v>
      </c>
      <c r="D577" s="9"/>
      <c r="E577" s="25"/>
      <c r="F577" s="32" t="s">
        <v>235</v>
      </c>
      <c r="G577" s="32"/>
      <c r="H577" s="25">
        <v>1</v>
      </c>
      <c r="I577" s="25" t="s">
        <v>70</v>
      </c>
      <c r="J577" s="9"/>
    </row>
    <row r="578" spans="1:10" x14ac:dyDescent="0.3">
      <c r="A578" s="25" t="s">
        <v>203</v>
      </c>
      <c r="B578" s="25"/>
      <c r="C578" s="25">
        <v>1</v>
      </c>
      <c r="D578" s="9"/>
      <c r="E578" s="25"/>
      <c r="F578" s="47" t="s">
        <v>440</v>
      </c>
      <c r="G578" s="32"/>
      <c r="H578" s="25">
        <v>1</v>
      </c>
      <c r="I578" s="25"/>
      <c r="J578" s="9"/>
    </row>
    <row r="579" spans="1:10" x14ac:dyDescent="0.3">
      <c r="A579" s="25" t="s">
        <v>441</v>
      </c>
      <c r="B579" s="25"/>
      <c r="C579" s="25">
        <v>1</v>
      </c>
      <c r="D579" s="9"/>
      <c r="E579" s="25" t="s">
        <v>70</v>
      </c>
      <c r="F579" s="32"/>
      <c r="G579" s="32"/>
      <c r="H579" s="32"/>
      <c r="I579" s="25"/>
      <c r="J579" s="9"/>
    </row>
    <row r="580" spans="1:10" x14ac:dyDescent="0.3">
      <c r="A580" s="25" t="s">
        <v>406</v>
      </c>
      <c r="B580" s="25"/>
      <c r="C580" s="25">
        <v>1</v>
      </c>
      <c r="D580" s="9"/>
      <c r="E580" s="25" t="s">
        <v>70</v>
      </c>
      <c r="F580" s="32"/>
      <c r="G580" s="32"/>
      <c r="H580" s="32"/>
      <c r="I580" s="25"/>
      <c r="J580" s="9"/>
    </row>
    <row r="581" spans="1:10" x14ac:dyDescent="0.3">
      <c r="A581" s="25" t="s">
        <v>442</v>
      </c>
      <c r="B581" s="25"/>
      <c r="C581" s="25">
        <v>1</v>
      </c>
      <c r="D581" s="9"/>
      <c r="E581" s="25" t="s">
        <v>70</v>
      </c>
      <c r="F581" s="32"/>
      <c r="G581" s="32"/>
      <c r="H581" s="32"/>
      <c r="I581" s="25"/>
      <c r="J581" s="9"/>
    </row>
    <row r="582" spans="1:10" x14ac:dyDescent="0.3">
      <c r="A582" s="25" t="s">
        <v>443</v>
      </c>
      <c r="B582" s="25"/>
      <c r="C582" s="25">
        <v>1</v>
      </c>
      <c r="D582" s="9"/>
      <c r="E582" s="25" t="s">
        <v>70</v>
      </c>
      <c r="F582" s="32"/>
      <c r="G582" s="32"/>
      <c r="H582" s="32"/>
      <c r="I582" s="25"/>
      <c r="J582" s="9"/>
    </row>
    <row r="583" spans="1:10" x14ac:dyDescent="0.3">
      <c r="J583" s="9"/>
    </row>
    <row r="584" spans="1:10" x14ac:dyDescent="0.3">
      <c r="A584" s="23" t="s">
        <v>1</v>
      </c>
      <c r="B584" s="24" t="s">
        <v>444</v>
      </c>
      <c r="C584" s="25" t="s">
        <v>3</v>
      </c>
      <c r="D584" s="26"/>
      <c r="E584" s="26"/>
      <c r="F584" s="26"/>
      <c r="G584" s="26"/>
      <c r="H584" s="26"/>
      <c r="I584" s="26"/>
    </row>
    <row r="585" spans="1:10" x14ac:dyDescent="0.3">
      <c r="A585" s="27" t="s">
        <v>4</v>
      </c>
      <c r="B585" s="25"/>
      <c r="C585" s="25"/>
      <c r="D585" s="26"/>
      <c r="E585" s="26"/>
      <c r="F585" s="26"/>
      <c r="G585" s="26"/>
      <c r="H585" s="26"/>
      <c r="I585" s="26"/>
    </row>
    <row r="586" spans="1:10" ht="66.599999999999994" x14ac:dyDescent="0.3">
      <c r="A586" s="29" t="s">
        <v>5</v>
      </c>
      <c r="B586" s="25" t="s">
        <v>445</v>
      </c>
      <c r="C586" s="26"/>
      <c r="D586" s="26"/>
      <c r="E586" s="26"/>
      <c r="F586" s="26"/>
      <c r="G586" s="26"/>
      <c r="H586" s="26"/>
      <c r="I586" s="26"/>
    </row>
    <row r="587" spans="1:10" x14ac:dyDescent="0.3">
      <c r="A587" s="26"/>
      <c r="B587" s="26"/>
      <c r="C587" s="26"/>
      <c r="D587" s="26"/>
      <c r="E587" s="26"/>
      <c r="F587" s="26"/>
      <c r="G587" s="26"/>
      <c r="H587" s="26"/>
      <c r="I587" s="26"/>
    </row>
    <row r="588" spans="1:10" x14ac:dyDescent="0.3">
      <c r="A588" s="26"/>
      <c r="B588" s="26"/>
      <c r="C588" s="27" t="s">
        <v>7</v>
      </c>
      <c r="D588" s="30"/>
      <c r="E588" s="26"/>
      <c r="F588" s="26"/>
      <c r="G588" s="26"/>
      <c r="H588" s="26"/>
      <c r="I588" s="26"/>
    </row>
    <row r="589" spans="1:10" x14ac:dyDescent="0.3">
      <c r="A589" s="27" t="s">
        <v>8</v>
      </c>
      <c r="B589" s="31" t="b">
        <v>1</v>
      </c>
      <c r="C589" s="25">
        <v>50</v>
      </c>
      <c r="D589" s="26"/>
      <c r="E589" s="26"/>
      <c r="F589" s="26"/>
      <c r="G589" s="26"/>
      <c r="H589" s="26"/>
      <c r="I589" s="26"/>
    </row>
    <row r="590" spans="1:10" x14ac:dyDescent="0.3">
      <c r="A590" s="27" t="s">
        <v>9</v>
      </c>
      <c r="B590" s="31" t="b">
        <v>1</v>
      </c>
      <c r="C590" s="25">
        <v>30</v>
      </c>
      <c r="D590" s="26"/>
      <c r="E590" s="26"/>
      <c r="F590" s="26"/>
      <c r="G590" s="26"/>
      <c r="H590" s="26"/>
      <c r="I590" s="26"/>
    </row>
    <row r="591" spans="1:10" x14ac:dyDescent="0.3">
      <c r="A591" s="27" t="s">
        <v>10</v>
      </c>
      <c r="B591" s="31" t="b">
        <v>1</v>
      </c>
      <c r="C591" s="25">
        <v>10</v>
      </c>
      <c r="D591" s="26"/>
      <c r="E591" s="26"/>
      <c r="F591" s="26"/>
      <c r="G591" s="26"/>
      <c r="H591" s="26"/>
      <c r="I591" s="26"/>
    </row>
    <row r="592" spans="1:10" x14ac:dyDescent="0.3">
      <c r="A592" s="27" t="s">
        <v>11</v>
      </c>
      <c r="B592" s="31" t="b">
        <v>1</v>
      </c>
      <c r="C592" s="25">
        <v>25</v>
      </c>
      <c r="D592" s="26"/>
      <c r="E592" s="26"/>
      <c r="F592" s="26"/>
      <c r="G592" s="26"/>
      <c r="H592" s="26"/>
      <c r="I592" s="26"/>
    </row>
    <row r="593" spans="1:10" x14ac:dyDescent="0.3">
      <c r="A593" s="27" t="s">
        <v>12</v>
      </c>
      <c r="B593" s="25" t="s">
        <v>446</v>
      </c>
      <c r="C593" s="26"/>
      <c r="D593" s="26"/>
      <c r="E593" s="26"/>
      <c r="F593" s="26"/>
      <c r="G593" s="26"/>
      <c r="H593" s="26"/>
      <c r="I593" s="26"/>
    </row>
    <row r="594" spans="1:10" x14ac:dyDescent="0.3">
      <c r="A594" s="26"/>
      <c r="B594" s="26"/>
      <c r="C594" s="26"/>
      <c r="D594" s="26"/>
      <c r="E594" s="26"/>
      <c r="F594" s="26"/>
      <c r="G594" s="26"/>
      <c r="H594" s="26"/>
      <c r="I594" s="26"/>
    </row>
    <row r="595" spans="1:10" x14ac:dyDescent="0.3">
      <c r="A595" s="25" t="s">
        <v>13</v>
      </c>
      <c r="B595" s="25" t="s">
        <v>14</v>
      </c>
      <c r="C595" s="25" t="s">
        <v>15</v>
      </c>
      <c r="D595" s="13" t="s">
        <v>16</v>
      </c>
      <c r="E595" s="25" t="s">
        <v>12</v>
      </c>
      <c r="F595" s="25" t="s">
        <v>17</v>
      </c>
      <c r="G595" s="25" t="s">
        <v>14</v>
      </c>
      <c r="H595" s="25" t="s">
        <v>18</v>
      </c>
      <c r="I595" s="25" t="s">
        <v>12</v>
      </c>
      <c r="J595" s="13" t="s">
        <v>16</v>
      </c>
    </row>
    <row r="596" spans="1:10" x14ac:dyDescent="0.3">
      <c r="A596" s="25" t="s">
        <v>171</v>
      </c>
      <c r="B596" s="25"/>
      <c r="C596" s="25">
        <v>1</v>
      </c>
      <c r="D596" s="9"/>
      <c r="E596" s="48" t="s">
        <v>167</v>
      </c>
      <c r="F596" s="32" t="s">
        <v>90</v>
      </c>
      <c r="G596" s="32"/>
      <c r="H596" s="32" t="s">
        <v>69</v>
      </c>
      <c r="I596" s="25"/>
      <c r="J596" s="9"/>
    </row>
    <row r="597" spans="1:10" x14ac:dyDescent="0.3">
      <c r="A597" s="25" t="s">
        <v>259</v>
      </c>
      <c r="B597" s="25"/>
      <c r="C597" s="25">
        <v>1</v>
      </c>
      <c r="D597" s="9"/>
      <c r="E597" s="25"/>
      <c r="F597" s="32" t="s">
        <v>66</v>
      </c>
      <c r="G597" s="32"/>
      <c r="H597" s="32" t="s">
        <v>69</v>
      </c>
      <c r="I597" s="25"/>
      <c r="J597" s="9"/>
    </row>
    <row r="598" spans="1:10" x14ac:dyDescent="0.3">
      <c r="A598" s="25" t="s">
        <v>441</v>
      </c>
      <c r="B598" s="25"/>
      <c r="C598" s="25">
        <v>1</v>
      </c>
      <c r="D598" s="9"/>
      <c r="E598" s="25"/>
      <c r="F598" s="32" t="s">
        <v>165</v>
      </c>
      <c r="G598" s="32"/>
      <c r="H598" s="32" t="s">
        <v>334</v>
      </c>
      <c r="I598" s="25"/>
      <c r="J598" s="9"/>
    </row>
    <row r="599" spans="1:10" x14ac:dyDescent="0.3">
      <c r="A599" s="25" t="s">
        <v>447</v>
      </c>
      <c r="B599" s="25"/>
      <c r="C599" s="25">
        <v>1</v>
      </c>
      <c r="D599" s="9"/>
      <c r="E599" s="25"/>
      <c r="F599" s="32" t="s">
        <v>168</v>
      </c>
      <c r="G599" s="32"/>
      <c r="H599" s="32" t="s">
        <v>61</v>
      </c>
      <c r="I599" s="25"/>
      <c r="J599" s="9"/>
    </row>
    <row r="600" spans="1:10" x14ac:dyDescent="0.3">
      <c r="A600" s="25" t="s">
        <v>162</v>
      </c>
      <c r="B600" s="25"/>
      <c r="C600" s="25">
        <v>1</v>
      </c>
      <c r="D600" s="9"/>
      <c r="E600" s="25"/>
      <c r="F600" s="32" t="s">
        <v>448</v>
      </c>
      <c r="G600" s="32"/>
      <c r="H600" s="32" t="s">
        <v>69</v>
      </c>
      <c r="I600" s="25"/>
      <c r="J600" s="9"/>
    </row>
    <row r="601" spans="1:10" x14ac:dyDescent="0.3">
      <c r="A601" s="25" t="s">
        <v>434</v>
      </c>
      <c r="B601" s="25"/>
      <c r="C601" s="25">
        <v>1</v>
      </c>
      <c r="D601" s="9"/>
      <c r="E601" s="25"/>
      <c r="F601" s="32" t="s">
        <v>205</v>
      </c>
      <c r="G601" s="32"/>
      <c r="H601" s="32" t="s">
        <v>69</v>
      </c>
      <c r="I601" s="25" t="s">
        <v>247</v>
      </c>
      <c r="J601" s="9"/>
    </row>
    <row r="602" spans="1:10" x14ac:dyDescent="0.3">
      <c r="A602" s="25" t="s">
        <v>449</v>
      </c>
      <c r="B602" s="25"/>
      <c r="C602" s="25">
        <v>1</v>
      </c>
      <c r="D602" s="9"/>
      <c r="E602" s="25"/>
      <c r="F602" s="32" t="s">
        <v>380</v>
      </c>
      <c r="G602" s="32"/>
      <c r="H602" s="32" t="s">
        <v>69</v>
      </c>
      <c r="I602" s="25" t="s">
        <v>247</v>
      </c>
      <c r="J602" s="9"/>
    </row>
    <row r="603" spans="1:10" x14ac:dyDescent="0.3">
      <c r="A603" s="25" t="s">
        <v>272</v>
      </c>
      <c r="B603" s="25"/>
      <c r="C603" s="25">
        <v>1</v>
      </c>
      <c r="D603" s="9"/>
      <c r="E603" s="25"/>
      <c r="F603" s="32" t="s">
        <v>450</v>
      </c>
      <c r="G603" s="32"/>
      <c r="H603" s="32" t="s">
        <v>69</v>
      </c>
      <c r="I603" s="25"/>
      <c r="J603" s="9"/>
    </row>
    <row r="604" spans="1:10" x14ac:dyDescent="0.3">
      <c r="A604" s="25"/>
      <c r="B604" s="25"/>
      <c r="C604" s="25"/>
      <c r="D604" s="25"/>
      <c r="E604" s="25"/>
      <c r="F604" s="32" t="s">
        <v>148</v>
      </c>
      <c r="G604" s="32"/>
      <c r="H604" s="32" t="s">
        <v>451</v>
      </c>
      <c r="I604" s="25" t="s">
        <v>70</v>
      </c>
      <c r="J604" s="9"/>
    </row>
    <row r="605" spans="1:10" x14ac:dyDescent="0.3">
      <c r="A605" s="25"/>
      <c r="B605" s="25"/>
      <c r="C605" s="25"/>
      <c r="D605" s="25"/>
      <c r="E605" s="25"/>
      <c r="F605" s="32" t="s">
        <v>407</v>
      </c>
      <c r="G605" s="32"/>
      <c r="H605" s="32" t="s">
        <v>69</v>
      </c>
      <c r="I605" s="25" t="s">
        <v>70</v>
      </c>
      <c r="J605" s="9"/>
    </row>
    <row r="606" spans="1:10" x14ac:dyDescent="0.3">
      <c r="A606" s="25"/>
      <c r="B606" s="25"/>
      <c r="C606" s="25"/>
      <c r="D606" s="25"/>
      <c r="E606" s="25"/>
      <c r="F606" s="32" t="s">
        <v>452</v>
      </c>
      <c r="G606" s="32"/>
      <c r="H606" s="32" t="s">
        <v>69</v>
      </c>
      <c r="I606" s="25"/>
      <c r="J606" s="9"/>
    </row>
    <row r="607" spans="1:10" x14ac:dyDescent="0.3">
      <c r="A607" s="25"/>
      <c r="B607" s="25"/>
      <c r="C607" s="25"/>
      <c r="D607" s="25"/>
      <c r="E607" s="25"/>
      <c r="F607" s="32" t="s">
        <v>86</v>
      </c>
      <c r="G607" s="32"/>
      <c r="H607" s="32" t="s">
        <v>69</v>
      </c>
      <c r="I607" s="25"/>
      <c r="J607" s="9"/>
    </row>
    <row r="608" spans="1:10" x14ac:dyDescent="0.3">
      <c r="A608" s="25"/>
      <c r="B608" s="25"/>
      <c r="C608" s="25"/>
      <c r="D608" s="25"/>
      <c r="E608" s="25"/>
      <c r="F608" s="32" t="s">
        <v>453</v>
      </c>
      <c r="G608" s="32"/>
      <c r="H608" s="32" t="s">
        <v>69</v>
      </c>
      <c r="I608" s="25"/>
      <c r="J608" s="9"/>
    </row>
    <row r="609" spans="1:10" x14ac:dyDescent="0.3">
      <c r="A609" s="25"/>
      <c r="B609" s="25"/>
      <c r="C609" s="25"/>
      <c r="D609" s="25"/>
      <c r="E609" s="25"/>
      <c r="F609" s="32" t="s">
        <v>454</v>
      </c>
      <c r="G609" s="32"/>
      <c r="H609" s="32" t="s">
        <v>196</v>
      </c>
      <c r="I609" s="25"/>
      <c r="J609" s="9"/>
    </row>
    <row r="610" spans="1:10" x14ac:dyDescent="0.3">
      <c r="A610" s="25"/>
      <c r="B610" s="25"/>
      <c r="C610" s="25"/>
      <c r="D610" s="25"/>
      <c r="E610" s="25"/>
      <c r="F610" s="32" t="s">
        <v>455</v>
      </c>
      <c r="G610" s="32"/>
      <c r="H610" s="32" t="s">
        <v>196</v>
      </c>
      <c r="I610" s="25"/>
      <c r="J610" s="9"/>
    </row>
    <row r="611" spans="1:10" x14ac:dyDescent="0.3">
      <c r="A611" s="25"/>
      <c r="B611" s="25"/>
      <c r="C611" s="25"/>
      <c r="D611" s="25"/>
      <c r="E611" s="25"/>
      <c r="F611" s="32" t="s">
        <v>456</v>
      </c>
      <c r="G611" s="32"/>
      <c r="H611" s="32" t="s">
        <v>69</v>
      </c>
      <c r="I611" s="25"/>
      <c r="J611" s="9"/>
    </row>
    <row r="612" spans="1:10" x14ac:dyDescent="0.3">
      <c r="A612" s="25"/>
      <c r="B612" s="25"/>
      <c r="C612" s="25"/>
      <c r="D612" s="25"/>
      <c r="E612" s="25"/>
      <c r="F612" s="32" t="s">
        <v>457</v>
      </c>
      <c r="G612" s="32"/>
      <c r="H612" s="32" t="s">
        <v>69</v>
      </c>
      <c r="I612" s="25"/>
      <c r="J612" s="9"/>
    </row>
    <row r="613" spans="1:10" x14ac:dyDescent="0.3">
      <c r="A613" s="25"/>
      <c r="B613" s="25"/>
      <c r="C613" s="25"/>
      <c r="D613" s="25"/>
      <c r="E613" s="25"/>
      <c r="F613" s="32" t="s">
        <v>256</v>
      </c>
      <c r="G613" s="32"/>
      <c r="H613" s="32" t="s">
        <v>69</v>
      </c>
      <c r="I613" s="25"/>
      <c r="J613" s="9"/>
    </row>
    <row r="614" spans="1:10" x14ac:dyDescent="0.3">
      <c r="A614" s="25"/>
      <c r="B614" s="25"/>
      <c r="C614" s="25"/>
      <c r="D614" s="25"/>
      <c r="E614" s="25"/>
      <c r="F614" s="32" t="s">
        <v>75</v>
      </c>
      <c r="G614" s="32"/>
      <c r="H614" s="32" t="s">
        <v>69</v>
      </c>
      <c r="I614" s="25"/>
      <c r="J614" s="9"/>
    </row>
    <row r="615" spans="1:10" x14ac:dyDescent="0.3">
      <c r="A615" s="25"/>
      <c r="B615" s="25"/>
      <c r="C615" s="25"/>
      <c r="D615" s="25"/>
      <c r="E615" s="25"/>
      <c r="F615" s="32" t="s">
        <v>458</v>
      </c>
      <c r="G615" s="32"/>
      <c r="H615" s="32" t="s">
        <v>69</v>
      </c>
      <c r="I615" s="25"/>
      <c r="J615" s="9"/>
    </row>
    <row r="616" spans="1:10" x14ac:dyDescent="0.3">
      <c r="J616" s="9"/>
    </row>
    <row r="617" spans="1:10" x14ac:dyDescent="0.3">
      <c r="A617" s="49" t="s">
        <v>1</v>
      </c>
      <c r="B617" s="50" t="s">
        <v>459</v>
      </c>
      <c r="C617" s="9" t="s">
        <v>3</v>
      </c>
      <c r="D617" s="3"/>
      <c r="E617" s="6"/>
    </row>
    <row r="618" spans="1:10" x14ac:dyDescent="0.3">
      <c r="A618" s="10" t="s">
        <v>4</v>
      </c>
      <c r="B618" s="9"/>
      <c r="C618" s="9"/>
      <c r="D618" s="3"/>
      <c r="E618" s="6"/>
    </row>
    <row r="619" spans="1:10" ht="55.2" x14ac:dyDescent="0.3">
      <c r="A619" s="11" t="s">
        <v>5</v>
      </c>
      <c r="B619" s="9" t="s">
        <v>460</v>
      </c>
      <c r="E619" s="6"/>
    </row>
    <row r="620" spans="1:10" x14ac:dyDescent="0.3">
      <c r="A620" s="3"/>
      <c r="C620" s="2"/>
      <c r="D620" s="2"/>
      <c r="E620" s="6"/>
    </row>
    <row r="621" spans="1:10" x14ac:dyDescent="0.3">
      <c r="A621" s="3"/>
      <c r="C621" s="10" t="s">
        <v>7</v>
      </c>
      <c r="D621" s="2"/>
      <c r="E621" s="6"/>
    </row>
    <row r="622" spans="1:10" x14ac:dyDescent="0.3">
      <c r="A622" s="10" t="s">
        <v>8</v>
      </c>
      <c r="B622" s="12" t="b">
        <v>1</v>
      </c>
      <c r="C622" s="9">
        <v>40</v>
      </c>
      <c r="D622" s="3"/>
      <c r="E622" s="6"/>
    </row>
    <row r="623" spans="1:10" x14ac:dyDescent="0.3">
      <c r="A623" s="10" t="s">
        <v>9</v>
      </c>
      <c r="B623" s="12" t="b">
        <v>1</v>
      </c>
      <c r="C623" s="9">
        <v>5</v>
      </c>
      <c r="D623" s="3"/>
      <c r="E623" s="6"/>
    </row>
    <row r="624" spans="1:10" x14ac:dyDescent="0.3">
      <c r="A624" s="10" t="s">
        <v>10</v>
      </c>
      <c r="B624" s="12" t="b">
        <v>1</v>
      </c>
      <c r="C624" s="9">
        <v>10</v>
      </c>
      <c r="D624" s="3"/>
      <c r="E624" s="6"/>
    </row>
    <row r="625" spans="1:10" x14ac:dyDescent="0.3">
      <c r="A625" s="10" t="s">
        <v>11</v>
      </c>
      <c r="B625" s="12" t="b">
        <v>1</v>
      </c>
      <c r="C625" s="9">
        <v>30</v>
      </c>
      <c r="D625" s="3"/>
      <c r="E625" s="6"/>
    </row>
    <row r="626" spans="1:10" x14ac:dyDescent="0.3">
      <c r="A626" s="10" t="s">
        <v>12</v>
      </c>
      <c r="B626" s="51" t="s">
        <v>461</v>
      </c>
      <c r="E626" s="6"/>
    </row>
    <row r="627" spans="1:10" x14ac:dyDescent="0.3">
      <c r="B627" s="3"/>
      <c r="E627" s="6"/>
    </row>
    <row r="628" spans="1:10" x14ac:dyDescent="0.3">
      <c r="A628" s="9" t="s">
        <v>13</v>
      </c>
      <c r="B628" s="9" t="s">
        <v>14</v>
      </c>
      <c r="C628" s="9" t="s">
        <v>15</v>
      </c>
      <c r="D628" s="13" t="s">
        <v>16</v>
      </c>
      <c r="E628" s="9" t="s">
        <v>12</v>
      </c>
      <c r="F628" s="9" t="s">
        <v>17</v>
      </c>
      <c r="G628" s="9" t="s">
        <v>14</v>
      </c>
      <c r="H628" s="9" t="s">
        <v>18</v>
      </c>
      <c r="I628" s="9" t="s">
        <v>12</v>
      </c>
      <c r="J628" s="13" t="s">
        <v>16</v>
      </c>
    </row>
    <row r="629" spans="1:10" ht="27.6" x14ac:dyDescent="0.3">
      <c r="A629" s="14" t="s">
        <v>221</v>
      </c>
      <c r="B629" s="9"/>
      <c r="C629" s="9">
        <v>4</v>
      </c>
      <c r="D629" s="9"/>
      <c r="E629" s="9"/>
      <c r="F629" s="14" t="s">
        <v>80</v>
      </c>
      <c r="G629" s="9"/>
      <c r="H629" s="9">
        <v>1</v>
      </c>
      <c r="I629" s="9"/>
      <c r="J629" s="9"/>
    </row>
    <row r="630" spans="1:10" ht="27.6" x14ac:dyDescent="0.3">
      <c r="A630" s="14" t="s">
        <v>462</v>
      </c>
      <c r="B630" s="9"/>
      <c r="C630" s="9">
        <v>1</v>
      </c>
      <c r="D630" s="9"/>
      <c r="E630" s="9"/>
      <c r="F630" s="14" t="s">
        <v>463</v>
      </c>
      <c r="G630" s="9"/>
      <c r="H630" s="9">
        <v>1</v>
      </c>
      <c r="I630" s="9"/>
      <c r="J630" s="9"/>
    </row>
    <row r="631" spans="1:10" ht="27.6" x14ac:dyDescent="0.3">
      <c r="A631" s="14" t="s">
        <v>464</v>
      </c>
      <c r="B631" s="9"/>
      <c r="C631" s="9">
        <v>10</v>
      </c>
      <c r="D631" s="9"/>
      <c r="E631" s="9" t="s">
        <v>198</v>
      </c>
      <c r="F631" s="14" t="s">
        <v>465</v>
      </c>
      <c r="G631" s="9"/>
      <c r="H631" s="9">
        <v>1</v>
      </c>
      <c r="I631" s="9"/>
      <c r="J631" s="9"/>
    </row>
    <row r="632" spans="1:10" ht="27.6" x14ac:dyDescent="0.3">
      <c r="A632" s="14" t="s">
        <v>466</v>
      </c>
      <c r="B632" s="9"/>
      <c r="C632" s="9">
        <v>5</v>
      </c>
      <c r="D632" s="9"/>
      <c r="E632" s="9" t="s">
        <v>198</v>
      </c>
      <c r="F632" s="14" t="s">
        <v>364</v>
      </c>
      <c r="G632" s="9"/>
      <c r="H632" s="9">
        <v>1</v>
      </c>
      <c r="I632" s="9"/>
      <c r="J632" s="9"/>
    </row>
    <row r="633" spans="1:10" ht="27.6" x14ac:dyDescent="0.3">
      <c r="A633" s="14" t="s">
        <v>467</v>
      </c>
      <c r="B633" s="9"/>
      <c r="C633" s="9">
        <v>1</v>
      </c>
      <c r="D633" s="9"/>
      <c r="E633" s="9"/>
      <c r="F633" s="14" t="s">
        <v>90</v>
      </c>
      <c r="G633" s="9"/>
      <c r="H633" s="9">
        <v>1</v>
      </c>
      <c r="I633" s="9"/>
      <c r="J633" s="9"/>
    </row>
    <row r="634" spans="1:10" ht="41.4" x14ac:dyDescent="0.3">
      <c r="A634" s="14" t="s">
        <v>130</v>
      </c>
      <c r="B634" s="9"/>
      <c r="C634" s="9">
        <v>1</v>
      </c>
      <c r="D634" s="9"/>
      <c r="E634" s="9"/>
      <c r="F634" s="14" t="s">
        <v>468</v>
      </c>
      <c r="G634" s="9"/>
      <c r="H634" s="9">
        <v>1</v>
      </c>
      <c r="I634" s="9"/>
      <c r="J634" s="9"/>
    </row>
    <row r="635" spans="1:10" ht="27.6" x14ac:dyDescent="0.3">
      <c r="A635" s="14"/>
      <c r="B635" s="9"/>
      <c r="C635" s="9"/>
      <c r="D635" s="9"/>
      <c r="E635" s="9"/>
      <c r="F635" s="14" t="s">
        <v>76</v>
      </c>
      <c r="G635" s="9"/>
      <c r="H635" s="9">
        <v>1</v>
      </c>
      <c r="I635" s="9"/>
      <c r="J635" s="9"/>
    </row>
    <row r="636" spans="1:10" x14ac:dyDescent="0.3">
      <c r="F636" s="9" t="s">
        <v>469</v>
      </c>
      <c r="G636" s="9"/>
      <c r="H636" s="9">
        <v>1</v>
      </c>
      <c r="I636" s="9"/>
    </row>
    <row r="637" spans="1:10" x14ac:dyDescent="0.3">
      <c r="A637" s="2"/>
      <c r="B637" s="3"/>
      <c r="C637" s="2"/>
      <c r="D637" s="2"/>
      <c r="F637" s="4"/>
      <c r="G637" s="3"/>
      <c r="H637" s="2"/>
      <c r="I637" s="3"/>
    </row>
    <row r="638" spans="1:10" x14ac:dyDescent="0.3">
      <c r="A638" s="19" t="s">
        <v>1</v>
      </c>
      <c r="B638" s="20" t="s">
        <v>470</v>
      </c>
      <c r="C638" s="9" t="s">
        <v>3</v>
      </c>
      <c r="D638" s="3"/>
      <c r="E638" s="6"/>
    </row>
    <row r="639" spans="1:10" x14ac:dyDescent="0.3">
      <c r="A639" s="10" t="s">
        <v>4</v>
      </c>
      <c r="B639" s="9"/>
      <c r="C639" s="9"/>
      <c r="D639" s="3"/>
      <c r="E639" s="6"/>
    </row>
    <row r="640" spans="1:10" ht="55.2" x14ac:dyDescent="0.3">
      <c r="A640" s="11" t="s">
        <v>5</v>
      </c>
      <c r="B640" s="9" t="s">
        <v>471</v>
      </c>
      <c r="E640" s="6"/>
    </row>
    <row r="641" spans="1:10" x14ac:dyDescent="0.3">
      <c r="A641" s="3"/>
      <c r="C641" s="2"/>
      <c r="D641" s="2"/>
      <c r="E641" s="6"/>
    </row>
    <row r="642" spans="1:10" x14ac:dyDescent="0.3">
      <c r="A642" s="3"/>
      <c r="C642" s="10" t="s">
        <v>7</v>
      </c>
      <c r="D642" s="2"/>
      <c r="E642" s="6"/>
    </row>
    <row r="643" spans="1:10" x14ac:dyDescent="0.3">
      <c r="A643" s="10" t="s">
        <v>8</v>
      </c>
      <c r="B643" s="12" t="b">
        <v>0</v>
      </c>
      <c r="C643" s="9">
        <v>0</v>
      </c>
      <c r="D643" s="3"/>
      <c r="E643" s="6"/>
    </row>
    <row r="644" spans="1:10" x14ac:dyDescent="0.3">
      <c r="A644" s="10" t="s">
        <v>9</v>
      </c>
      <c r="B644" s="12" t="b">
        <v>1</v>
      </c>
      <c r="C644" s="9">
        <v>10</v>
      </c>
      <c r="D644" s="3"/>
      <c r="E644" s="6"/>
    </row>
    <row r="645" spans="1:10" x14ac:dyDescent="0.3">
      <c r="A645" s="10" t="s">
        <v>10</v>
      </c>
      <c r="B645" s="12" t="b">
        <v>1</v>
      </c>
      <c r="C645" s="9">
        <v>30</v>
      </c>
      <c r="D645" s="3"/>
      <c r="E645" s="6"/>
      <c r="F645" t="s">
        <v>472</v>
      </c>
    </row>
    <row r="646" spans="1:10" x14ac:dyDescent="0.3">
      <c r="A646" s="10" t="s">
        <v>11</v>
      </c>
      <c r="B646" s="12" t="b">
        <v>0</v>
      </c>
      <c r="C646" s="9">
        <v>0</v>
      </c>
      <c r="D646" s="3"/>
      <c r="E646" s="6"/>
    </row>
    <row r="647" spans="1:10" x14ac:dyDescent="0.3">
      <c r="A647" s="10" t="s">
        <v>12</v>
      </c>
      <c r="B647" s="9" t="s">
        <v>473</v>
      </c>
      <c r="E647" s="6"/>
    </row>
    <row r="648" spans="1:10" x14ac:dyDescent="0.3">
      <c r="B648" s="3"/>
      <c r="E648" s="6"/>
    </row>
    <row r="649" spans="1:10" x14ac:dyDescent="0.3">
      <c r="A649" s="9" t="s">
        <v>13</v>
      </c>
      <c r="B649" s="9" t="s">
        <v>14</v>
      </c>
      <c r="C649" s="9" t="s">
        <v>15</v>
      </c>
      <c r="D649" s="13" t="s">
        <v>16</v>
      </c>
      <c r="E649" s="9" t="s">
        <v>12</v>
      </c>
      <c r="F649" s="9" t="s">
        <v>17</v>
      </c>
      <c r="G649" s="9" t="s">
        <v>14</v>
      </c>
      <c r="H649" s="9" t="s">
        <v>18</v>
      </c>
      <c r="I649" s="9" t="s">
        <v>12</v>
      </c>
      <c r="J649" s="13" t="s">
        <v>16</v>
      </c>
    </row>
    <row r="650" spans="1:10" x14ac:dyDescent="0.3">
      <c r="A650" s="9" t="s">
        <v>135</v>
      </c>
      <c r="B650" s="9"/>
      <c r="C650" s="9">
        <v>3</v>
      </c>
      <c r="D650" s="9"/>
      <c r="E650" s="9"/>
      <c r="F650" s="9" t="s">
        <v>474</v>
      </c>
      <c r="G650" s="9"/>
      <c r="H650" s="9">
        <v>1</v>
      </c>
      <c r="I650" s="9"/>
      <c r="J650" s="9"/>
    </row>
    <row r="651" spans="1:10" x14ac:dyDescent="0.3">
      <c r="A651" s="9" t="s">
        <v>116</v>
      </c>
      <c r="B651" s="9"/>
      <c r="C651" s="9">
        <v>1</v>
      </c>
      <c r="D651" s="9"/>
      <c r="E651" s="9"/>
      <c r="F651" s="9" t="s">
        <v>475</v>
      </c>
      <c r="G651" s="9"/>
      <c r="H651" s="9">
        <v>1</v>
      </c>
      <c r="I651" s="9"/>
      <c r="J651" s="9"/>
    </row>
    <row r="652" spans="1:10" x14ac:dyDescent="0.3">
      <c r="A652" s="9" t="s">
        <v>476</v>
      </c>
      <c r="B652" s="9"/>
      <c r="C652" s="9">
        <v>1</v>
      </c>
      <c r="D652" s="9"/>
      <c r="E652" s="9"/>
      <c r="F652" s="9" t="s">
        <v>477</v>
      </c>
      <c r="G652" s="9"/>
      <c r="H652" s="9">
        <v>1</v>
      </c>
      <c r="I652" s="9"/>
      <c r="J652" s="9"/>
    </row>
    <row r="653" spans="1:10" x14ac:dyDescent="0.3">
      <c r="A653" s="9" t="s">
        <v>478</v>
      </c>
      <c r="B653" s="9"/>
      <c r="C653" s="9">
        <v>1</v>
      </c>
      <c r="D653" s="9"/>
      <c r="E653" s="9"/>
      <c r="F653" s="9" t="s">
        <v>479</v>
      </c>
      <c r="G653" s="9"/>
      <c r="H653" s="9">
        <v>1</v>
      </c>
      <c r="I653" s="9"/>
      <c r="J653" s="9"/>
    </row>
    <row r="654" spans="1:10" x14ac:dyDescent="0.3">
      <c r="A654" s="9" t="s">
        <v>338</v>
      </c>
      <c r="B654" s="9"/>
      <c r="C654" s="9">
        <v>1</v>
      </c>
      <c r="D654" s="9"/>
      <c r="E654" s="9" t="s">
        <v>59</v>
      </c>
      <c r="F654" s="9" t="s">
        <v>480</v>
      </c>
      <c r="G654" s="9"/>
      <c r="H654" s="9">
        <v>2</v>
      </c>
      <c r="I654" s="9"/>
      <c r="J654" s="9"/>
    </row>
    <row r="655" spans="1:10" x14ac:dyDescent="0.3">
      <c r="A655" s="9" t="s">
        <v>464</v>
      </c>
      <c r="B655" s="9"/>
      <c r="C655" s="9">
        <v>10</v>
      </c>
      <c r="D655" s="9"/>
      <c r="E655" s="9"/>
      <c r="F655" s="9" t="s">
        <v>481</v>
      </c>
      <c r="G655" s="9"/>
      <c r="H655" s="9">
        <v>1</v>
      </c>
      <c r="I655" s="9"/>
      <c r="J655" s="9"/>
    </row>
    <row r="656" spans="1:10" x14ac:dyDescent="0.3">
      <c r="A656" s="9" t="s">
        <v>482</v>
      </c>
      <c r="B656" s="9"/>
      <c r="C656" s="9">
        <v>5</v>
      </c>
      <c r="D656" s="9"/>
      <c r="E656" s="9" t="s">
        <v>483</v>
      </c>
      <c r="F656" s="9" t="s">
        <v>484</v>
      </c>
      <c r="G656" s="9"/>
      <c r="H656" s="9">
        <v>1</v>
      </c>
      <c r="I656" s="9"/>
      <c r="J656" s="9"/>
    </row>
    <row r="657" spans="1:10" x14ac:dyDescent="0.3">
      <c r="A657" s="9" t="s">
        <v>156</v>
      </c>
      <c r="B657" s="9"/>
      <c r="C657" s="9">
        <v>1</v>
      </c>
      <c r="D657" s="9"/>
      <c r="E657" s="9" t="s">
        <v>483</v>
      </c>
      <c r="F657" s="9" t="s">
        <v>337</v>
      </c>
      <c r="G657" s="9"/>
      <c r="H657" s="9">
        <v>1</v>
      </c>
      <c r="I657" s="9"/>
      <c r="J657" s="9"/>
    </row>
    <row r="658" spans="1:10" x14ac:dyDescent="0.3">
      <c r="A658" s="9" t="s">
        <v>485</v>
      </c>
      <c r="B658" s="9"/>
      <c r="C658" s="9">
        <v>1</v>
      </c>
      <c r="D658" s="9"/>
      <c r="E658" s="9"/>
      <c r="F658" s="9" t="s">
        <v>389</v>
      </c>
      <c r="G658" s="9"/>
      <c r="H658" s="9">
        <v>1</v>
      </c>
      <c r="I658" s="9"/>
      <c r="J658" s="9"/>
    </row>
    <row r="659" spans="1:10" x14ac:dyDescent="0.3">
      <c r="A659" s="9"/>
      <c r="B659" s="9"/>
      <c r="C659" s="9"/>
      <c r="D659" s="9"/>
      <c r="E659" s="9"/>
      <c r="F659" s="9" t="s">
        <v>232</v>
      </c>
      <c r="G659" s="9"/>
      <c r="H659" s="9">
        <v>1</v>
      </c>
      <c r="I659" s="9"/>
      <c r="J659" s="9"/>
    </row>
    <row r="660" spans="1:10" x14ac:dyDescent="0.3">
      <c r="A660" s="6"/>
      <c r="B660" s="6"/>
      <c r="C660" s="6"/>
      <c r="D660" s="6"/>
      <c r="E660" s="6"/>
    </row>
    <row r="661" spans="1:10" x14ac:dyDescent="0.3">
      <c r="A661" s="52" t="s">
        <v>1</v>
      </c>
      <c r="B661" s="53" t="s">
        <v>486</v>
      </c>
      <c r="C661" s="9" t="s">
        <v>3</v>
      </c>
      <c r="D661" s="3"/>
      <c r="E661" s="6"/>
    </row>
    <row r="662" spans="1:10" x14ac:dyDescent="0.3">
      <c r="A662" s="10" t="s">
        <v>4</v>
      </c>
      <c r="B662" s="9"/>
      <c r="C662" s="9"/>
      <c r="D662" s="3"/>
      <c r="E662" s="6"/>
    </row>
    <row r="663" spans="1:10" ht="55.2" x14ac:dyDescent="0.3">
      <c r="A663" s="11" t="s">
        <v>5</v>
      </c>
      <c r="B663" s="9" t="s">
        <v>487</v>
      </c>
      <c r="E663" s="6"/>
    </row>
    <row r="664" spans="1:10" x14ac:dyDescent="0.3">
      <c r="A664" s="3"/>
      <c r="C664" s="2"/>
      <c r="D664" s="2"/>
      <c r="E664" s="6"/>
    </row>
    <row r="665" spans="1:10" x14ac:dyDescent="0.3">
      <c r="A665" s="3"/>
      <c r="C665" s="10" t="s">
        <v>7</v>
      </c>
      <c r="D665" s="2"/>
      <c r="E665" s="6"/>
    </row>
    <row r="666" spans="1:10" x14ac:dyDescent="0.3">
      <c r="A666" s="10" t="s">
        <v>8</v>
      </c>
      <c r="B666" s="12" t="b">
        <v>1</v>
      </c>
      <c r="C666" s="9">
        <v>40</v>
      </c>
      <c r="D666" s="3"/>
      <c r="E666" s="6"/>
    </row>
    <row r="667" spans="1:10" x14ac:dyDescent="0.3">
      <c r="A667" s="10" t="s">
        <v>9</v>
      </c>
      <c r="B667" s="12" t="b">
        <v>1</v>
      </c>
      <c r="C667" s="9">
        <v>10</v>
      </c>
      <c r="D667" s="3"/>
      <c r="E667" s="6"/>
    </row>
    <row r="668" spans="1:10" x14ac:dyDescent="0.3">
      <c r="A668" s="10" t="s">
        <v>10</v>
      </c>
      <c r="B668" s="12" t="b">
        <v>1</v>
      </c>
      <c r="C668" s="9">
        <v>30</v>
      </c>
      <c r="D668" s="3"/>
      <c r="E668" s="6"/>
    </row>
    <row r="669" spans="1:10" x14ac:dyDescent="0.3">
      <c r="A669" s="10" t="s">
        <v>11</v>
      </c>
      <c r="B669" s="12" t="b">
        <v>1</v>
      </c>
      <c r="C669" s="9">
        <v>20</v>
      </c>
      <c r="D669" s="3"/>
      <c r="E669" s="6"/>
    </row>
    <row r="670" spans="1:10" x14ac:dyDescent="0.3">
      <c r="A670" s="10" t="s">
        <v>12</v>
      </c>
      <c r="B670" s="9" t="s">
        <v>488</v>
      </c>
      <c r="E670" s="6"/>
    </row>
    <row r="671" spans="1:10" x14ac:dyDescent="0.3">
      <c r="B671" s="3"/>
      <c r="E671" s="6"/>
    </row>
    <row r="672" spans="1:10" x14ac:dyDescent="0.3">
      <c r="A672" s="9" t="s">
        <v>13</v>
      </c>
      <c r="B672" s="9" t="s">
        <v>14</v>
      </c>
      <c r="C672" s="9" t="s">
        <v>15</v>
      </c>
      <c r="D672" s="13" t="s">
        <v>16</v>
      </c>
      <c r="E672" s="9" t="s">
        <v>12</v>
      </c>
      <c r="F672" s="9" t="s">
        <v>17</v>
      </c>
      <c r="G672" s="9" t="s">
        <v>14</v>
      </c>
      <c r="H672" s="9" t="s">
        <v>18</v>
      </c>
      <c r="I672" s="9" t="s">
        <v>12</v>
      </c>
      <c r="J672" s="13" t="s">
        <v>16</v>
      </c>
    </row>
    <row r="673" spans="1:10" ht="27.6" x14ac:dyDescent="0.3">
      <c r="A673" s="14" t="s">
        <v>489</v>
      </c>
      <c r="B673" s="9"/>
      <c r="C673" s="9">
        <v>1</v>
      </c>
      <c r="D673" s="9"/>
      <c r="E673" s="9"/>
      <c r="F673" s="9" t="s">
        <v>490</v>
      </c>
      <c r="G673" s="9"/>
      <c r="H673" s="9">
        <v>1</v>
      </c>
      <c r="I673" s="9"/>
      <c r="J673" s="9"/>
    </row>
    <row r="674" spans="1:10" ht="41.4" x14ac:dyDescent="0.3">
      <c r="A674" s="14" t="s">
        <v>491</v>
      </c>
      <c r="B674" s="9"/>
      <c r="C674" s="9">
        <v>5</v>
      </c>
      <c r="D674" s="9"/>
      <c r="E674" s="9"/>
      <c r="F674" s="9" t="s">
        <v>492</v>
      </c>
      <c r="G674" s="9"/>
      <c r="H674" s="9">
        <v>1</v>
      </c>
      <c r="I674" s="9"/>
      <c r="J674" s="9"/>
    </row>
    <row r="675" spans="1:10" x14ac:dyDescent="0.3">
      <c r="A675" s="14" t="s">
        <v>493</v>
      </c>
      <c r="B675" s="9"/>
      <c r="C675" s="9">
        <v>10</v>
      </c>
      <c r="D675" s="9"/>
      <c r="E675" s="9" t="s">
        <v>198</v>
      </c>
      <c r="F675" s="9" t="s">
        <v>469</v>
      </c>
      <c r="G675" s="9"/>
      <c r="H675" s="9">
        <v>1</v>
      </c>
      <c r="I675" s="9"/>
      <c r="J675" s="9"/>
    </row>
    <row r="676" spans="1:10" ht="27.6" x14ac:dyDescent="0.3">
      <c r="A676" s="14" t="s">
        <v>494</v>
      </c>
      <c r="B676" s="9"/>
      <c r="C676" s="9">
        <v>1</v>
      </c>
      <c r="D676" s="9"/>
      <c r="E676" s="9"/>
      <c r="F676" s="9" t="s">
        <v>356</v>
      </c>
      <c r="G676" s="9"/>
      <c r="H676" s="9">
        <v>1</v>
      </c>
      <c r="I676" s="9"/>
      <c r="J676" s="9"/>
    </row>
    <row r="677" spans="1:10" ht="27.6" x14ac:dyDescent="0.3">
      <c r="A677" s="14" t="s">
        <v>245</v>
      </c>
      <c r="B677" s="9"/>
      <c r="C677" s="9">
        <v>1</v>
      </c>
      <c r="D677" s="9"/>
      <c r="E677" s="9"/>
      <c r="F677" s="9" t="s">
        <v>263</v>
      </c>
      <c r="G677" s="9"/>
      <c r="H677" s="9">
        <v>1</v>
      </c>
      <c r="I677" s="9"/>
      <c r="J677" s="9"/>
    </row>
    <row r="678" spans="1:10" ht="27.6" x14ac:dyDescent="0.3">
      <c r="A678" s="14" t="s">
        <v>135</v>
      </c>
      <c r="B678" s="9"/>
      <c r="C678" s="9">
        <v>1</v>
      </c>
      <c r="D678" s="9"/>
      <c r="E678" s="9"/>
      <c r="F678" s="9" t="s">
        <v>495</v>
      </c>
      <c r="G678" s="9"/>
      <c r="H678" s="9">
        <v>1</v>
      </c>
      <c r="I678" s="9"/>
      <c r="J678" s="9"/>
    </row>
    <row r="679" spans="1:10" ht="27.6" x14ac:dyDescent="0.3">
      <c r="A679" s="41" t="s">
        <v>496</v>
      </c>
      <c r="B679" s="9"/>
      <c r="C679" s="9">
        <v>1</v>
      </c>
      <c r="D679" s="9"/>
      <c r="E679" s="9"/>
      <c r="F679" s="9" t="s">
        <v>497</v>
      </c>
      <c r="G679" s="9"/>
      <c r="H679" s="9">
        <v>1</v>
      </c>
      <c r="I679" s="9"/>
      <c r="J679" s="9"/>
    </row>
    <row r="680" spans="1:10" x14ac:dyDescent="0.3">
      <c r="A680" s="9" t="s">
        <v>132</v>
      </c>
      <c r="B680" s="9"/>
      <c r="C680" s="9">
        <v>1</v>
      </c>
      <c r="D680" s="9"/>
      <c r="E680" s="9"/>
      <c r="F680" s="9" t="s">
        <v>453</v>
      </c>
      <c r="G680" s="9"/>
      <c r="H680" s="9">
        <v>1</v>
      </c>
      <c r="I680" s="9"/>
      <c r="J680" s="9"/>
    </row>
    <row r="681" spans="1:10" x14ac:dyDescent="0.3">
      <c r="A681" s="9" t="s">
        <v>498</v>
      </c>
      <c r="B681" s="9"/>
      <c r="C681" s="9">
        <v>1</v>
      </c>
      <c r="D681" s="9"/>
      <c r="E681" s="9"/>
      <c r="F681" s="9" t="s">
        <v>499</v>
      </c>
      <c r="G681" s="9"/>
      <c r="H681" s="9">
        <v>1</v>
      </c>
      <c r="I681" s="9"/>
      <c r="J681" s="9"/>
    </row>
    <row r="682" spans="1:10" x14ac:dyDescent="0.3">
      <c r="A682" s="9" t="s">
        <v>500</v>
      </c>
      <c r="B682" s="9"/>
      <c r="C682" s="9">
        <v>1</v>
      </c>
      <c r="D682" s="9"/>
      <c r="E682" s="9"/>
      <c r="F682" s="9" t="s">
        <v>501</v>
      </c>
      <c r="G682" s="9"/>
      <c r="H682" s="9">
        <v>1</v>
      </c>
      <c r="I682" s="9"/>
      <c r="J682" s="9"/>
    </row>
    <row r="683" spans="1:10" x14ac:dyDescent="0.3">
      <c r="A683" s="9" t="s">
        <v>219</v>
      </c>
      <c r="B683" s="9"/>
      <c r="C683" s="9">
        <v>1</v>
      </c>
      <c r="D683" s="9"/>
      <c r="E683" s="9"/>
      <c r="F683" s="9"/>
      <c r="G683" s="9"/>
      <c r="H683" s="9"/>
      <c r="I683" s="9"/>
    </row>
    <row r="684" spans="1:10" x14ac:dyDescent="0.3">
      <c r="A684" s="3"/>
      <c r="C684" s="3"/>
      <c r="D684" s="3"/>
    </row>
    <row r="685" spans="1:10" x14ac:dyDescent="0.3">
      <c r="A685" s="42" t="s">
        <v>126</v>
      </c>
      <c r="B685" s="43" t="s">
        <v>502</v>
      </c>
      <c r="C685" s="9" t="s">
        <v>3</v>
      </c>
      <c r="D685" s="3"/>
      <c r="E685" s="6"/>
    </row>
    <row r="686" spans="1:10" x14ac:dyDescent="0.3">
      <c r="A686" s="10" t="s">
        <v>4</v>
      </c>
      <c r="B686" s="9"/>
      <c r="C686" s="9"/>
      <c r="D686" s="3"/>
      <c r="E686" s="6"/>
    </row>
    <row r="687" spans="1:10" ht="55.2" x14ac:dyDescent="0.3">
      <c r="A687" s="11" t="s">
        <v>5</v>
      </c>
      <c r="B687" s="9" t="s">
        <v>503</v>
      </c>
      <c r="E687" s="6"/>
    </row>
    <row r="688" spans="1:10" x14ac:dyDescent="0.3">
      <c r="A688" s="3"/>
      <c r="C688" s="2"/>
      <c r="D688" s="2"/>
      <c r="E688" s="6"/>
    </row>
    <row r="689" spans="1:10" x14ac:dyDescent="0.3">
      <c r="A689" s="3"/>
      <c r="C689" s="10" t="s">
        <v>7</v>
      </c>
      <c r="D689" s="2"/>
      <c r="E689" s="6"/>
    </row>
    <row r="690" spans="1:10" x14ac:dyDescent="0.3">
      <c r="A690" s="10" t="s">
        <v>8</v>
      </c>
      <c r="B690" s="12" t="b">
        <v>1</v>
      </c>
      <c r="C690" s="9">
        <v>60</v>
      </c>
      <c r="D690" s="3"/>
      <c r="E690" s="6"/>
    </row>
    <row r="691" spans="1:10" x14ac:dyDescent="0.3">
      <c r="A691" s="10" t="s">
        <v>9</v>
      </c>
      <c r="B691" s="12" t="b">
        <v>1</v>
      </c>
      <c r="C691" s="9">
        <v>10</v>
      </c>
      <c r="D691" s="3"/>
      <c r="E691" s="6"/>
    </row>
    <row r="692" spans="1:10" x14ac:dyDescent="0.3">
      <c r="A692" s="10" t="s">
        <v>10</v>
      </c>
      <c r="B692" s="12" t="b">
        <v>1</v>
      </c>
      <c r="C692" s="9">
        <v>20</v>
      </c>
      <c r="D692" s="3"/>
      <c r="E692" s="6"/>
    </row>
    <row r="693" spans="1:10" x14ac:dyDescent="0.3">
      <c r="A693" s="10" t="s">
        <v>11</v>
      </c>
      <c r="B693" s="12" t="b">
        <v>1</v>
      </c>
      <c r="C693" s="9">
        <v>10</v>
      </c>
      <c r="D693" s="3"/>
      <c r="E693" s="6"/>
    </row>
    <row r="694" spans="1:10" x14ac:dyDescent="0.3">
      <c r="A694" s="10" t="s">
        <v>12</v>
      </c>
      <c r="B694" s="9" t="s">
        <v>504</v>
      </c>
      <c r="E694" s="6"/>
    </row>
    <row r="695" spans="1:10" x14ac:dyDescent="0.3">
      <c r="B695" s="3"/>
      <c r="E695" s="6"/>
    </row>
    <row r="696" spans="1:10" x14ac:dyDescent="0.3">
      <c r="A696" s="9" t="s">
        <v>13</v>
      </c>
      <c r="B696" s="9" t="s">
        <v>14</v>
      </c>
      <c r="C696" s="9" t="s">
        <v>15</v>
      </c>
      <c r="D696" s="13" t="s">
        <v>16</v>
      </c>
      <c r="E696" s="21" t="s">
        <v>12</v>
      </c>
      <c r="F696" s="21" t="s">
        <v>17</v>
      </c>
      <c r="G696" s="21" t="s">
        <v>14</v>
      </c>
      <c r="H696" s="21" t="s">
        <v>18</v>
      </c>
      <c r="I696" s="21" t="s">
        <v>12</v>
      </c>
      <c r="J696" s="13" t="s">
        <v>16</v>
      </c>
    </row>
    <row r="697" spans="1:10" ht="27.6" x14ac:dyDescent="0.3">
      <c r="A697" s="14" t="s">
        <v>505</v>
      </c>
      <c r="B697" s="9"/>
      <c r="C697" s="9">
        <v>1</v>
      </c>
      <c r="D697" s="9"/>
      <c r="E697" s="21" t="s">
        <v>126</v>
      </c>
      <c r="F697" s="21" t="s">
        <v>123</v>
      </c>
      <c r="G697" s="21"/>
      <c r="H697" s="21"/>
      <c r="I697" s="21"/>
      <c r="J697" s="9"/>
    </row>
    <row r="698" spans="1:10" ht="27.6" x14ac:dyDescent="0.3">
      <c r="A698" s="14" t="s">
        <v>506</v>
      </c>
      <c r="B698" s="9"/>
      <c r="C698" s="9">
        <v>5</v>
      </c>
      <c r="D698" s="9"/>
      <c r="E698" s="21"/>
      <c r="F698" s="21" t="s">
        <v>507</v>
      </c>
      <c r="G698" s="21"/>
      <c r="H698" s="21"/>
      <c r="I698" s="21" t="s">
        <v>70</v>
      </c>
      <c r="J698" s="9"/>
    </row>
    <row r="699" spans="1:10" ht="27.6" x14ac:dyDescent="0.3">
      <c r="A699" s="14" t="s">
        <v>508</v>
      </c>
      <c r="B699" s="9"/>
      <c r="C699" s="9">
        <v>10</v>
      </c>
      <c r="D699" s="9"/>
      <c r="E699" s="21" t="s">
        <v>126</v>
      </c>
      <c r="F699" s="21" t="s">
        <v>509</v>
      </c>
      <c r="G699" s="21"/>
      <c r="H699" s="21"/>
      <c r="I699" s="21"/>
      <c r="J699" s="9"/>
    </row>
    <row r="700" spans="1:10" ht="27.6" x14ac:dyDescent="0.3">
      <c r="A700" s="14" t="s">
        <v>510</v>
      </c>
      <c r="B700" s="9"/>
      <c r="C700" s="9">
        <v>1</v>
      </c>
      <c r="D700" s="9"/>
      <c r="E700" s="21" t="s">
        <v>126</v>
      </c>
      <c r="F700" s="21" t="s">
        <v>511</v>
      </c>
      <c r="G700" s="21"/>
      <c r="H700" s="21"/>
      <c r="I700" s="21"/>
      <c r="J700" s="9"/>
    </row>
    <row r="701" spans="1:10" ht="41.4" x14ac:dyDescent="0.3">
      <c r="A701" s="14" t="s">
        <v>130</v>
      </c>
      <c r="B701" s="9"/>
      <c r="C701" s="9">
        <v>10</v>
      </c>
      <c r="D701" s="9"/>
      <c r="E701" s="21"/>
      <c r="F701" s="21" t="s">
        <v>512</v>
      </c>
      <c r="G701" s="21"/>
      <c r="H701" s="21"/>
      <c r="I701" s="21"/>
      <c r="J701" s="9"/>
    </row>
    <row r="702" spans="1:10" ht="27.6" x14ac:dyDescent="0.3">
      <c r="A702" s="14" t="s">
        <v>513</v>
      </c>
      <c r="B702" s="9"/>
      <c r="C702" s="9">
        <v>2</v>
      </c>
      <c r="D702" s="9"/>
      <c r="E702" s="21"/>
      <c r="F702" s="21" t="s">
        <v>90</v>
      </c>
      <c r="G702" s="21"/>
      <c r="H702" s="21"/>
      <c r="I702" s="21"/>
      <c r="J702" s="9"/>
    </row>
    <row r="703" spans="1:10" ht="27.6" x14ac:dyDescent="0.3">
      <c r="A703" s="41" t="s">
        <v>514</v>
      </c>
      <c r="B703" s="9"/>
      <c r="C703" s="9">
        <v>1</v>
      </c>
      <c r="D703" s="9"/>
      <c r="E703" s="21"/>
      <c r="F703" s="21" t="s">
        <v>226</v>
      </c>
      <c r="G703" s="21"/>
      <c r="H703" s="21"/>
      <c r="I703" s="21"/>
      <c r="J703" s="9"/>
    </row>
    <row r="704" spans="1:10" x14ac:dyDescent="0.3">
      <c r="A704" s="9"/>
      <c r="B704" s="9"/>
      <c r="C704" s="9"/>
      <c r="D704" s="9"/>
      <c r="E704" s="21"/>
      <c r="F704" s="21" t="s">
        <v>58</v>
      </c>
      <c r="G704" s="21"/>
      <c r="H704" s="21"/>
      <c r="I704" s="21"/>
      <c r="J704" s="9"/>
    </row>
    <row r="705" spans="1:10" x14ac:dyDescent="0.3">
      <c r="A705" s="9"/>
      <c r="B705" s="9"/>
      <c r="C705" s="9"/>
      <c r="D705" s="9"/>
      <c r="E705" s="21"/>
      <c r="F705" s="21" t="s">
        <v>515</v>
      </c>
      <c r="G705" s="21"/>
      <c r="H705" s="21"/>
      <c r="I705" s="21"/>
      <c r="J705" s="9"/>
    </row>
    <row r="706" spans="1:10" x14ac:dyDescent="0.3">
      <c r="A706" s="9"/>
      <c r="B706" s="9"/>
      <c r="C706" s="9"/>
      <c r="D706" s="9"/>
      <c r="E706" s="21"/>
      <c r="F706" s="21" t="s">
        <v>516</v>
      </c>
      <c r="G706" s="21"/>
      <c r="H706" s="21"/>
      <c r="I706" s="21"/>
      <c r="J706" s="9"/>
    </row>
    <row r="707" spans="1:10" x14ac:dyDescent="0.3">
      <c r="A707" s="9"/>
      <c r="B707" s="9"/>
      <c r="C707" s="9"/>
      <c r="D707" s="9"/>
      <c r="E707" s="21"/>
      <c r="F707" s="21" t="s">
        <v>257</v>
      </c>
      <c r="G707" s="21"/>
      <c r="H707" s="21"/>
      <c r="I707" s="21"/>
      <c r="J707" s="9"/>
    </row>
    <row r="708" spans="1:10" x14ac:dyDescent="0.3">
      <c r="A708" s="9"/>
      <c r="B708" s="9"/>
      <c r="C708" s="9"/>
      <c r="D708" s="9"/>
      <c r="E708" s="21"/>
      <c r="F708" s="21" t="s">
        <v>435</v>
      </c>
      <c r="G708" s="21"/>
      <c r="H708" s="21"/>
      <c r="I708" s="21"/>
      <c r="J708" s="9"/>
    </row>
    <row r="709" spans="1:10" x14ac:dyDescent="0.3">
      <c r="A709" s="9"/>
      <c r="B709" s="9"/>
      <c r="C709" s="9"/>
      <c r="D709" s="9"/>
      <c r="E709" s="21"/>
      <c r="F709" s="21" t="s">
        <v>407</v>
      </c>
      <c r="G709" s="21"/>
      <c r="H709" s="21"/>
      <c r="I709" s="21"/>
      <c r="J709" s="9"/>
    </row>
    <row r="710" spans="1:10" x14ac:dyDescent="0.3">
      <c r="A710" s="9"/>
      <c r="B710" s="9"/>
      <c r="C710" s="9"/>
      <c r="D710" s="9"/>
      <c r="E710" s="21"/>
      <c r="F710" s="21" t="s">
        <v>517</v>
      </c>
      <c r="G710" s="21"/>
      <c r="H710" s="21"/>
      <c r="I710" s="21"/>
      <c r="J710" s="9"/>
    </row>
    <row r="711" spans="1:10" x14ac:dyDescent="0.3">
      <c r="J711" s="9"/>
    </row>
    <row r="712" spans="1:10" x14ac:dyDescent="0.3">
      <c r="A712" s="23" t="s">
        <v>1</v>
      </c>
      <c r="B712" s="24" t="s">
        <v>518</v>
      </c>
      <c r="C712" s="25" t="s">
        <v>3</v>
      </c>
      <c r="D712" s="26"/>
      <c r="E712" s="26"/>
      <c r="F712" s="26"/>
      <c r="G712" s="26"/>
      <c r="H712" s="26"/>
      <c r="J712" s="9"/>
    </row>
    <row r="713" spans="1:10" x14ac:dyDescent="0.3">
      <c r="A713" s="27" t="s">
        <v>4</v>
      </c>
      <c r="B713" s="25"/>
      <c r="C713" s="25"/>
      <c r="D713" s="26"/>
      <c r="E713" s="26"/>
      <c r="F713" s="26"/>
      <c r="G713" s="26"/>
      <c r="H713" s="26"/>
      <c r="I713" s="26"/>
    </row>
    <row r="714" spans="1:10" ht="66.599999999999994" x14ac:dyDescent="0.3">
      <c r="A714" s="29" t="s">
        <v>5</v>
      </c>
      <c r="B714" s="25" t="s">
        <v>519</v>
      </c>
      <c r="C714" s="26"/>
      <c r="D714" s="26"/>
      <c r="E714" s="26"/>
      <c r="F714" s="26"/>
      <c r="G714" s="26"/>
      <c r="H714" s="26"/>
      <c r="I714" s="26"/>
    </row>
    <row r="715" spans="1:10" x14ac:dyDescent="0.3">
      <c r="A715" s="26"/>
      <c r="B715" s="26"/>
      <c r="C715" s="26"/>
      <c r="D715" s="26"/>
      <c r="E715" s="26"/>
      <c r="F715" s="26"/>
      <c r="G715" s="26"/>
      <c r="H715" s="26"/>
      <c r="I715" s="26"/>
    </row>
    <row r="716" spans="1:10" x14ac:dyDescent="0.3">
      <c r="A716" s="26"/>
      <c r="B716" s="26"/>
      <c r="C716" s="27" t="s">
        <v>7</v>
      </c>
      <c r="D716" s="30"/>
      <c r="E716" s="26"/>
      <c r="F716" s="26"/>
      <c r="G716" s="26"/>
      <c r="H716" s="26"/>
      <c r="I716" s="26"/>
    </row>
    <row r="717" spans="1:10" x14ac:dyDescent="0.3">
      <c r="A717" s="27" t="s">
        <v>8</v>
      </c>
      <c r="B717" s="31" t="b">
        <v>1</v>
      </c>
      <c r="C717" s="25">
        <v>65</v>
      </c>
      <c r="D717" s="26"/>
      <c r="E717" s="26"/>
      <c r="F717" s="26"/>
      <c r="G717" s="26"/>
      <c r="H717" s="26"/>
      <c r="I717" s="26"/>
    </row>
    <row r="718" spans="1:10" x14ac:dyDescent="0.3">
      <c r="A718" s="27" t="s">
        <v>9</v>
      </c>
      <c r="B718" s="31" t="b">
        <v>1</v>
      </c>
      <c r="C718" s="25">
        <v>10</v>
      </c>
      <c r="D718" s="26"/>
      <c r="E718" s="26"/>
      <c r="F718" s="26"/>
      <c r="G718" s="26"/>
      <c r="H718" s="26"/>
      <c r="I718" s="26"/>
    </row>
    <row r="719" spans="1:10" x14ac:dyDescent="0.3">
      <c r="A719" s="27" t="s">
        <v>10</v>
      </c>
      <c r="B719" s="31" t="b">
        <v>1</v>
      </c>
      <c r="C719" s="25">
        <v>20</v>
      </c>
      <c r="D719" s="26"/>
      <c r="E719" s="26"/>
      <c r="F719" s="26"/>
      <c r="G719" s="26"/>
      <c r="H719" s="26"/>
      <c r="I719" s="26"/>
    </row>
    <row r="720" spans="1:10" x14ac:dyDescent="0.3">
      <c r="A720" s="27" t="s">
        <v>11</v>
      </c>
      <c r="B720" s="31" t="b">
        <v>1</v>
      </c>
      <c r="C720" s="25">
        <v>5</v>
      </c>
      <c r="D720" s="26"/>
      <c r="E720" s="26"/>
      <c r="F720" s="26"/>
      <c r="G720" s="26"/>
      <c r="H720" s="26"/>
      <c r="I720" s="26"/>
    </row>
    <row r="721" spans="1:10" x14ac:dyDescent="0.3">
      <c r="A721" s="27" t="s">
        <v>12</v>
      </c>
      <c r="B721" s="25" t="s">
        <v>520</v>
      </c>
      <c r="C721" s="26"/>
      <c r="D721" s="26"/>
      <c r="E721" s="26"/>
      <c r="F721" s="26"/>
      <c r="G721" s="26"/>
      <c r="H721" s="26"/>
      <c r="I721" s="26"/>
    </row>
    <row r="722" spans="1:10" x14ac:dyDescent="0.3">
      <c r="A722" s="26"/>
      <c r="B722" s="26"/>
      <c r="C722" s="26"/>
      <c r="D722" s="26"/>
      <c r="E722" s="26"/>
      <c r="F722" s="26"/>
      <c r="G722" s="26"/>
      <c r="H722" s="26"/>
      <c r="I722" s="26"/>
    </row>
    <row r="723" spans="1:10" x14ac:dyDescent="0.3">
      <c r="A723" s="25" t="s">
        <v>13</v>
      </c>
      <c r="B723" s="25" t="s">
        <v>14</v>
      </c>
      <c r="C723" s="25" t="s">
        <v>15</v>
      </c>
      <c r="D723" s="13" t="s">
        <v>16</v>
      </c>
      <c r="E723" s="25" t="s">
        <v>12</v>
      </c>
      <c r="F723" s="25" t="s">
        <v>17</v>
      </c>
      <c r="G723" s="25" t="s">
        <v>14</v>
      </c>
      <c r="H723" s="25" t="s">
        <v>18</v>
      </c>
      <c r="I723" s="25" t="s">
        <v>12</v>
      </c>
      <c r="J723" s="13" t="s">
        <v>16</v>
      </c>
    </row>
    <row r="724" spans="1:10" x14ac:dyDescent="0.3">
      <c r="A724" s="25" t="s">
        <v>521</v>
      </c>
      <c r="B724" s="25"/>
      <c r="C724" s="25">
        <v>10</v>
      </c>
      <c r="D724" s="9"/>
      <c r="E724" s="25" t="s">
        <v>70</v>
      </c>
      <c r="F724" s="25" t="s">
        <v>522</v>
      </c>
      <c r="G724" s="25"/>
      <c r="H724" s="25">
        <v>1</v>
      </c>
      <c r="I724" s="25"/>
      <c r="J724" s="9"/>
    </row>
    <row r="725" spans="1:10" x14ac:dyDescent="0.3">
      <c r="A725" s="25" t="s">
        <v>219</v>
      </c>
      <c r="B725" s="25"/>
      <c r="C725" s="25">
        <v>1</v>
      </c>
      <c r="D725" s="9"/>
      <c r="E725" s="25"/>
      <c r="F725" s="25" t="s">
        <v>523</v>
      </c>
      <c r="G725" s="25"/>
      <c r="H725" s="25">
        <v>1</v>
      </c>
      <c r="I725" s="25" t="s">
        <v>524</v>
      </c>
      <c r="J725" s="9"/>
    </row>
    <row r="726" spans="1:10" x14ac:dyDescent="0.3">
      <c r="A726" s="25" t="s">
        <v>525</v>
      </c>
      <c r="B726" s="25"/>
      <c r="C726" s="25">
        <v>1</v>
      </c>
      <c r="D726" s="9"/>
      <c r="E726" s="25"/>
      <c r="F726" s="25" t="s">
        <v>526</v>
      </c>
      <c r="G726" s="25"/>
      <c r="H726" s="25">
        <v>1</v>
      </c>
      <c r="I726" s="25" t="s">
        <v>247</v>
      </c>
      <c r="J726" s="9"/>
    </row>
    <row r="727" spans="1:10" x14ac:dyDescent="0.3">
      <c r="A727" s="25" t="s">
        <v>527</v>
      </c>
      <c r="B727" s="25"/>
      <c r="C727" s="25">
        <v>1</v>
      </c>
      <c r="D727" s="9"/>
      <c r="E727" s="25" t="s">
        <v>70</v>
      </c>
      <c r="F727" s="25" t="s">
        <v>528</v>
      </c>
      <c r="G727" s="25"/>
      <c r="H727" s="25">
        <v>1</v>
      </c>
      <c r="I727" s="48" t="s">
        <v>70</v>
      </c>
      <c r="J727" s="9"/>
    </row>
    <row r="728" spans="1:10" x14ac:dyDescent="0.3">
      <c r="A728" s="25" t="s">
        <v>265</v>
      </c>
      <c r="B728" s="25"/>
      <c r="C728" s="25">
        <v>1</v>
      </c>
      <c r="D728" s="9"/>
      <c r="E728" s="25" t="s">
        <v>70</v>
      </c>
      <c r="F728" s="25" t="s">
        <v>320</v>
      </c>
      <c r="G728" s="25"/>
      <c r="H728" s="25">
        <v>1</v>
      </c>
      <c r="I728" s="25"/>
      <c r="J728" s="9"/>
    </row>
    <row r="729" spans="1:10" x14ac:dyDescent="0.3">
      <c r="A729" s="25" t="s">
        <v>529</v>
      </c>
      <c r="B729" s="25"/>
      <c r="C729" s="25">
        <v>2</v>
      </c>
      <c r="D729" s="9"/>
      <c r="E729" s="25"/>
      <c r="F729" s="25" t="s">
        <v>58</v>
      </c>
      <c r="G729" s="25"/>
      <c r="H729" s="25">
        <v>5</v>
      </c>
      <c r="I729" s="25"/>
      <c r="J729" s="9"/>
    </row>
    <row r="730" spans="1:10" x14ac:dyDescent="0.3">
      <c r="A730" s="25" t="s">
        <v>406</v>
      </c>
      <c r="B730" s="25"/>
      <c r="C730" s="25">
        <v>1</v>
      </c>
      <c r="D730" s="9"/>
      <c r="E730" s="25" t="s">
        <v>70</v>
      </c>
      <c r="F730" s="25" t="s">
        <v>263</v>
      </c>
      <c r="G730" s="25"/>
      <c r="H730" s="25">
        <v>1</v>
      </c>
      <c r="I730" s="25"/>
      <c r="J730" s="9"/>
    </row>
    <row r="731" spans="1:10" x14ac:dyDescent="0.3">
      <c r="A731" s="25" t="s">
        <v>530</v>
      </c>
      <c r="B731" s="25"/>
      <c r="C731" s="25">
        <v>1</v>
      </c>
      <c r="D731" s="9"/>
      <c r="E731" s="25"/>
      <c r="F731" s="25" t="s">
        <v>415</v>
      </c>
      <c r="G731" s="25"/>
      <c r="H731" s="25">
        <v>1</v>
      </c>
      <c r="I731" s="25"/>
      <c r="J731" s="9"/>
    </row>
    <row r="732" spans="1:10" x14ac:dyDescent="0.3">
      <c r="A732" s="25" t="s">
        <v>441</v>
      </c>
      <c r="B732" s="25"/>
      <c r="C732" s="25">
        <v>1</v>
      </c>
      <c r="D732" s="9"/>
      <c r="E732" s="25" t="s">
        <v>70</v>
      </c>
      <c r="F732" s="25"/>
      <c r="G732" s="25"/>
      <c r="H732" s="25"/>
      <c r="I732" s="25"/>
      <c r="J732" s="9"/>
    </row>
    <row r="733" spans="1:10" x14ac:dyDescent="0.3">
      <c r="A733" s="25" t="s">
        <v>442</v>
      </c>
      <c r="B733" s="25"/>
      <c r="C733" s="25">
        <v>1</v>
      </c>
      <c r="D733" s="9"/>
      <c r="E733" s="25"/>
      <c r="F733" s="25"/>
      <c r="G733" s="25"/>
      <c r="H733" s="25"/>
      <c r="I733" s="25"/>
      <c r="J733" s="9"/>
    </row>
    <row r="734" spans="1:10" x14ac:dyDescent="0.3">
      <c r="A734" s="25" t="s">
        <v>100</v>
      </c>
      <c r="B734" s="25"/>
      <c r="C734" s="25">
        <v>2</v>
      </c>
      <c r="D734" s="9"/>
      <c r="E734" s="25"/>
      <c r="F734" s="25"/>
      <c r="G734" s="25"/>
      <c r="H734" s="25"/>
      <c r="I734" s="25"/>
      <c r="J734" s="9"/>
    </row>
    <row r="735" spans="1:10" x14ac:dyDescent="0.3">
      <c r="A735" s="25" t="s">
        <v>531</v>
      </c>
      <c r="B735" s="25"/>
      <c r="C735" s="25">
        <v>1</v>
      </c>
      <c r="D735" s="9"/>
      <c r="E735" s="25"/>
      <c r="F735" s="25"/>
      <c r="G735" s="25"/>
      <c r="H735" s="25"/>
      <c r="I735" s="25"/>
      <c r="J735" s="9"/>
    </row>
    <row r="736" spans="1:10" x14ac:dyDescent="0.3">
      <c r="A736" s="25" t="s">
        <v>212</v>
      </c>
      <c r="B736" s="25"/>
      <c r="C736" s="25">
        <v>1</v>
      </c>
      <c r="D736" s="9"/>
      <c r="E736" s="25"/>
      <c r="F736" s="25"/>
      <c r="G736" s="25"/>
      <c r="H736" s="25"/>
      <c r="I736" s="25"/>
      <c r="J736" s="9"/>
    </row>
    <row r="737" spans="1:10" x14ac:dyDescent="0.3">
      <c r="A737" s="25" t="s">
        <v>532</v>
      </c>
      <c r="B737" s="25"/>
      <c r="C737" s="25">
        <v>1</v>
      </c>
      <c r="D737" s="9"/>
      <c r="E737" s="25" t="s">
        <v>70</v>
      </c>
      <c r="F737" s="25"/>
      <c r="G737" s="25"/>
      <c r="H737" s="25"/>
      <c r="I737" s="25"/>
      <c r="J737" s="9"/>
    </row>
    <row r="738" spans="1:10" x14ac:dyDescent="0.3">
      <c r="A738" s="25" t="s">
        <v>533</v>
      </c>
      <c r="B738" s="25"/>
      <c r="C738" s="25">
        <v>5</v>
      </c>
      <c r="D738" s="9"/>
      <c r="E738" s="25" t="s">
        <v>198</v>
      </c>
      <c r="F738" s="32"/>
      <c r="G738" s="32"/>
      <c r="H738" s="32"/>
      <c r="I738" s="25"/>
      <c r="J738" s="9"/>
    </row>
    <row r="739" spans="1:10" x14ac:dyDescent="0.3">
      <c r="A739" s="25" t="s">
        <v>216</v>
      </c>
      <c r="B739" s="25"/>
      <c r="C739" s="25">
        <v>10</v>
      </c>
      <c r="D739" s="9"/>
      <c r="E739" s="25" t="s">
        <v>70</v>
      </c>
      <c r="F739" s="32"/>
      <c r="G739" s="32"/>
      <c r="H739" s="32"/>
      <c r="I739" s="25"/>
      <c r="J739" s="9"/>
    </row>
    <row r="740" spans="1:10" x14ac:dyDescent="0.3">
      <c r="D740" s="9"/>
    </row>
    <row r="741" spans="1:10" x14ac:dyDescent="0.3">
      <c r="A741" s="19" t="s">
        <v>1</v>
      </c>
      <c r="B741" s="20" t="s">
        <v>534</v>
      </c>
      <c r="C741" s="9" t="s">
        <v>3</v>
      </c>
      <c r="D741" s="3"/>
      <c r="E741" s="6"/>
    </row>
    <row r="742" spans="1:10" x14ac:dyDescent="0.3">
      <c r="A742" s="10" t="s">
        <v>4</v>
      </c>
      <c r="B742" s="9"/>
      <c r="C742" s="9"/>
      <c r="D742" s="3"/>
      <c r="E742" s="6"/>
    </row>
    <row r="743" spans="1:10" ht="55.2" x14ac:dyDescent="0.3">
      <c r="A743" s="11" t="s">
        <v>5</v>
      </c>
      <c r="B743" s="9" t="s">
        <v>535</v>
      </c>
      <c r="E743" s="6"/>
    </row>
    <row r="744" spans="1:10" x14ac:dyDescent="0.3">
      <c r="A744" s="3"/>
      <c r="C744" s="2"/>
      <c r="D744" s="2"/>
      <c r="E744" s="6"/>
    </row>
    <row r="745" spans="1:10" x14ac:dyDescent="0.3">
      <c r="A745" s="3"/>
      <c r="C745" s="10" t="s">
        <v>7</v>
      </c>
      <c r="D745" s="2"/>
      <c r="E745" s="6"/>
    </row>
    <row r="746" spans="1:10" x14ac:dyDescent="0.3">
      <c r="A746" s="10" t="s">
        <v>8</v>
      </c>
      <c r="B746" s="12" t="b">
        <v>1</v>
      </c>
      <c r="C746" s="9">
        <v>40</v>
      </c>
      <c r="D746" s="3"/>
      <c r="E746" s="6"/>
    </row>
    <row r="747" spans="1:10" x14ac:dyDescent="0.3">
      <c r="A747" s="10" t="s">
        <v>9</v>
      </c>
      <c r="B747" s="12" t="b">
        <v>1</v>
      </c>
      <c r="C747" s="9">
        <v>10</v>
      </c>
      <c r="D747" s="3"/>
      <c r="E747" s="6"/>
    </row>
    <row r="748" spans="1:10" x14ac:dyDescent="0.3">
      <c r="A748" s="10" t="s">
        <v>10</v>
      </c>
      <c r="B748" s="12" t="b">
        <v>1</v>
      </c>
      <c r="C748" s="9">
        <v>30</v>
      </c>
      <c r="D748" s="3"/>
      <c r="E748" s="6"/>
    </row>
    <row r="749" spans="1:10" x14ac:dyDescent="0.3">
      <c r="A749" s="10" t="s">
        <v>11</v>
      </c>
      <c r="B749" s="12" t="b">
        <v>1</v>
      </c>
      <c r="C749" s="9">
        <v>20</v>
      </c>
      <c r="D749" s="3"/>
      <c r="E749" s="6"/>
    </row>
    <row r="750" spans="1:10" x14ac:dyDescent="0.3">
      <c r="A750" s="10" t="s">
        <v>12</v>
      </c>
      <c r="B750" s="9" t="s">
        <v>536</v>
      </c>
      <c r="E750" s="6"/>
    </row>
    <row r="751" spans="1:10" x14ac:dyDescent="0.3">
      <c r="B751" s="3"/>
      <c r="E751" s="6"/>
    </row>
    <row r="752" spans="1:10" x14ac:dyDescent="0.3">
      <c r="A752" s="9" t="s">
        <v>13</v>
      </c>
      <c r="B752" s="9" t="s">
        <v>14</v>
      </c>
      <c r="C752" s="9" t="s">
        <v>15</v>
      </c>
      <c r="D752" s="13" t="s">
        <v>16</v>
      </c>
      <c r="E752" s="9" t="s">
        <v>12</v>
      </c>
      <c r="F752" s="9" t="s">
        <v>17</v>
      </c>
      <c r="G752" s="9" t="s">
        <v>14</v>
      </c>
      <c r="H752" s="9" t="s">
        <v>18</v>
      </c>
      <c r="I752" s="9" t="s">
        <v>12</v>
      </c>
      <c r="J752" s="13" t="s">
        <v>16</v>
      </c>
    </row>
    <row r="753" spans="1:10" ht="41.4" x14ac:dyDescent="0.3">
      <c r="A753" s="14" t="s">
        <v>537</v>
      </c>
      <c r="B753" s="9"/>
      <c r="C753" s="9">
        <v>4</v>
      </c>
      <c r="D753" s="9"/>
      <c r="E753" s="9" t="s">
        <v>538</v>
      </c>
      <c r="F753" s="14" t="s">
        <v>539</v>
      </c>
      <c r="G753" s="21"/>
      <c r="H753" s="21" t="s">
        <v>69</v>
      </c>
      <c r="I753" s="9"/>
      <c r="J753" s="9"/>
    </row>
    <row r="754" spans="1:10" ht="41.4" x14ac:dyDescent="0.3">
      <c r="A754" s="3" t="s">
        <v>540</v>
      </c>
      <c r="B754" s="9"/>
      <c r="C754" s="9">
        <v>6</v>
      </c>
      <c r="D754" s="9"/>
      <c r="E754" s="9"/>
      <c r="F754" s="22" t="s">
        <v>541</v>
      </c>
      <c r="G754" s="21"/>
      <c r="H754" s="21" t="s">
        <v>419</v>
      </c>
      <c r="I754" s="9" t="s">
        <v>330</v>
      </c>
      <c r="J754" s="9"/>
    </row>
    <row r="755" spans="1:10" ht="41.4" x14ac:dyDescent="0.3">
      <c r="A755" s="14" t="s">
        <v>542</v>
      </c>
      <c r="B755" s="9"/>
      <c r="C755" s="9">
        <v>10</v>
      </c>
      <c r="D755" s="9"/>
      <c r="E755" s="9" t="s">
        <v>538</v>
      </c>
      <c r="F755" s="22" t="s">
        <v>123</v>
      </c>
      <c r="G755" s="21"/>
      <c r="H755" s="21" t="s">
        <v>69</v>
      </c>
      <c r="I755" s="9" t="s">
        <v>543</v>
      </c>
      <c r="J755" s="9"/>
    </row>
    <row r="756" spans="1:10" ht="41.4" x14ac:dyDescent="0.3">
      <c r="A756" s="14" t="s">
        <v>482</v>
      </c>
      <c r="B756" s="9"/>
      <c r="C756" s="9">
        <v>4</v>
      </c>
      <c r="D756" s="9"/>
      <c r="E756" s="9" t="s">
        <v>330</v>
      </c>
      <c r="F756" s="22" t="s">
        <v>544</v>
      </c>
      <c r="G756" s="21"/>
      <c r="H756" s="21" t="s">
        <v>69</v>
      </c>
      <c r="I756" s="9" t="s">
        <v>545</v>
      </c>
      <c r="J756" s="9"/>
    </row>
    <row r="757" spans="1:10" ht="27.6" x14ac:dyDescent="0.3">
      <c r="A757" s="14" t="s">
        <v>546</v>
      </c>
      <c r="B757" s="9"/>
      <c r="C757" s="9">
        <v>2</v>
      </c>
      <c r="D757" s="9"/>
      <c r="E757" s="9"/>
      <c r="F757" s="22" t="s">
        <v>547</v>
      </c>
      <c r="G757" s="21"/>
      <c r="H757" s="21" t="s">
        <v>69</v>
      </c>
      <c r="I757" s="9" t="s">
        <v>332</v>
      </c>
      <c r="J757" s="9"/>
    </row>
    <row r="758" spans="1:10" ht="27.6" x14ac:dyDescent="0.3">
      <c r="A758" s="14" t="s">
        <v>116</v>
      </c>
      <c r="B758" s="9"/>
      <c r="C758" s="9">
        <v>2</v>
      </c>
      <c r="D758" s="9"/>
      <c r="E758" s="9"/>
      <c r="F758" s="22" t="s">
        <v>548</v>
      </c>
      <c r="G758" s="21"/>
      <c r="H758" s="21" t="s">
        <v>69</v>
      </c>
      <c r="I758" s="9"/>
      <c r="J758" s="9"/>
    </row>
    <row r="759" spans="1:10" ht="27.6" x14ac:dyDescent="0.3">
      <c r="A759" s="14" t="s">
        <v>549</v>
      </c>
      <c r="B759" s="9"/>
      <c r="C759" s="9">
        <v>2</v>
      </c>
      <c r="D759" s="9"/>
      <c r="E759" s="9"/>
      <c r="F759" s="22"/>
      <c r="G759" s="21"/>
      <c r="H759" s="21"/>
      <c r="I759" s="9"/>
      <c r="J759" s="9"/>
    </row>
    <row r="761" spans="1:10" x14ac:dyDescent="0.3">
      <c r="A761" s="23" t="s">
        <v>1</v>
      </c>
      <c r="B761" s="24" t="s">
        <v>550</v>
      </c>
      <c r="C761" s="25" t="s">
        <v>3</v>
      </c>
      <c r="D761" s="26"/>
      <c r="E761" s="26"/>
      <c r="F761" s="26"/>
      <c r="G761" s="26"/>
      <c r="H761" s="26"/>
      <c r="I761" s="26"/>
    </row>
    <row r="762" spans="1:10" x14ac:dyDescent="0.3">
      <c r="A762" s="27" t="s">
        <v>4</v>
      </c>
      <c r="B762" s="25"/>
      <c r="C762" s="25"/>
      <c r="D762" s="26"/>
      <c r="E762" s="26"/>
      <c r="F762" s="26"/>
      <c r="G762" s="26"/>
      <c r="H762" s="26"/>
      <c r="I762" s="26"/>
    </row>
    <row r="763" spans="1:10" ht="66.599999999999994" x14ac:dyDescent="0.3">
      <c r="A763" s="29" t="s">
        <v>5</v>
      </c>
      <c r="B763" s="25" t="s">
        <v>551</v>
      </c>
      <c r="C763" s="26"/>
      <c r="D763" s="26"/>
      <c r="E763" s="26"/>
      <c r="F763" s="26"/>
      <c r="G763" s="26"/>
      <c r="H763" s="26"/>
      <c r="I763" s="26"/>
    </row>
    <row r="764" spans="1:10" x14ac:dyDescent="0.3">
      <c r="A764" s="26"/>
      <c r="B764" s="26"/>
      <c r="C764" s="26"/>
      <c r="D764" s="26"/>
      <c r="E764" s="26"/>
      <c r="F764" s="26"/>
      <c r="G764" s="26"/>
      <c r="H764" s="26"/>
      <c r="I764" s="26"/>
    </row>
    <row r="765" spans="1:10" x14ac:dyDescent="0.3">
      <c r="A765" s="26"/>
      <c r="B765" s="26"/>
      <c r="C765" s="27" t="s">
        <v>7</v>
      </c>
      <c r="D765" s="30"/>
      <c r="E765" s="26"/>
      <c r="F765" s="26"/>
      <c r="G765" s="26"/>
      <c r="H765" s="26"/>
      <c r="I765" s="26"/>
    </row>
    <row r="766" spans="1:10" x14ac:dyDescent="0.3">
      <c r="A766" s="27" t="s">
        <v>8</v>
      </c>
      <c r="B766" s="31" t="b">
        <v>1</v>
      </c>
      <c r="C766" s="25">
        <v>20</v>
      </c>
      <c r="D766" s="26"/>
      <c r="E766" s="26"/>
      <c r="F766" s="26"/>
      <c r="G766" s="26"/>
      <c r="H766" s="26"/>
      <c r="I766" s="26"/>
    </row>
    <row r="767" spans="1:10" x14ac:dyDescent="0.3">
      <c r="A767" s="27" t="s">
        <v>9</v>
      </c>
      <c r="B767" s="31" t="b">
        <v>1</v>
      </c>
      <c r="C767" s="25">
        <v>30</v>
      </c>
      <c r="D767" s="26"/>
      <c r="E767" s="26"/>
      <c r="F767" s="26"/>
      <c r="G767" s="26"/>
      <c r="H767" s="26"/>
      <c r="I767" s="26"/>
    </row>
    <row r="768" spans="1:10" x14ac:dyDescent="0.3">
      <c r="A768" s="27" t="s">
        <v>10</v>
      </c>
      <c r="B768" s="31" t="b">
        <v>1</v>
      </c>
      <c r="C768" s="25">
        <v>30</v>
      </c>
      <c r="D768" s="26"/>
      <c r="E768" s="26"/>
      <c r="F768" s="26"/>
      <c r="G768" s="26"/>
      <c r="H768" s="26"/>
      <c r="I768" s="26"/>
    </row>
    <row r="769" spans="1:10" x14ac:dyDescent="0.3">
      <c r="A769" s="27" t="s">
        <v>11</v>
      </c>
      <c r="B769" s="31" t="b">
        <v>1</v>
      </c>
      <c r="C769" s="25">
        <v>20</v>
      </c>
      <c r="D769" s="26"/>
      <c r="E769" s="26"/>
      <c r="F769" s="26"/>
      <c r="G769" s="26"/>
      <c r="H769" s="26"/>
      <c r="I769" s="26"/>
    </row>
    <row r="770" spans="1:10" x14ac:dyDescent="0.3">
      <c r="A770" s="27" t="s">
        <v>12</v>
      </c>
      <c r="B770" s="25" t="s">
        <v>552</v>
      </c>
      <c r="C770" s="26"/>
      <c r="D770" s="26"/>
      <c r="E770" s="26"/>
      <c r="F770" s="26"/>
      <c r="G770" s="26"/>
      <c r="H770" s="26"/>
      <c r="I770" s="26"/>
    </row>
    <row r="771" spans="1:10" x14ac:dyDescent="0.3">
      <c r="A771" s="26"/>
      <c r="B771" s="26"/>
      <c r="C771" s="26"/>
      <c r="D771" s="26"/>
      <c r="E771" s="26"/>
      <c r="F771" s="26"/>
      <c r="G771" s="26"/>
      <c r="H771" s="26"/>
      <c r="I771" s="26"/>
    </row>
    <row r="772" spans="1:10" x14ac:dyDescent="0.3">
      <c r="A772" s="25" t="s">
        <v>13</v>
      </c>
      <c r="B772" s="25" t="s">
        <v>14</v>
      </c>
      <c r="C772" s="25" t="s">
        <v>15</v>
      </c>
      <c r="D772" s="13" t="s">
        <v>16</v>
      </c>
      <c r="E772" s="25" t="s">
        <v>12</v>
      </c>
      <c r="F772" s="25" t="s">
        <v>17</v>
      </c>
      <c r="G772" s="25" t="s">
        <v>14</v>
      </c>
      <c r="H772" s="25" t="s">
        <v>18</v>
      </c>
      <c r="I772" s="25" t="s">
        <v>12</v>
      </c>
      <c r="J772" s="13" t="s">
        <v>16</v>
      </c>
    </row>
    <row r="773" spans="1:10" x14ac:dyDescent="0.3">
      <c r="A773" s="25" t="s">
        <v>553</v>
      </c>
      <c r="B773" s="25"/>
      <c r="C773" s="25">
        <v>1</v>
      </c>
      <c r="D773" s="9"/>
      <c r="E773" s="25"/>
      <c r="F773" s="32" t="s">
        <v>222</v>
      </c>
      <c r="G773" s="32"/>
      <c r="H773" s="32" t="s">
        <v>196</v>
      </c>
      <c r="I773" s="25" t="s">
        <v>70</v>
      </c>
      <c r="J773" s="9"/>
    </row>
    <row r="774" spans="1:10" x14ac:dyDescent="0.3">
      <c r="A774" s="25" t="s">
        <v>554</v>
      </c>
      <c r="B774" s="25"/>
      <c r="C774" s="25">
        <v>1</v>
      </c>
      <c r="D774" s="9"/>
      <c r="E774" s="25"/>
      <c r="F774" s="32" t="s">
        <v>179</v>
      </c>
      <c r="G774" s="32"/>
      <c r="H774" s="32" t="s">
        <v>69</v>
      </c>
      <c r="I774" s="25"/>
      <c r="J774" s="9"/>
    </row>
    <row r="775" spans="1:10" x14ac:dyDescent="0.3">
      <c r="A775" s="25" t="s">
        <v>555</v>
      </c>
      <c r="B775" s="25"/>
      <c r="C775" s="25">
        <v>1</v>
      </c>
      <c r="D775" s="9"/>
      <c r="E775" s="25"/>
      <c r="F775" s="32" t="s">
        <v>556</v>
      </c>
      <c r="G775" s="32"/>
      <c r="H775" s="32" t="s">
        <v>69</v>
      </c>
      <c r="I775" s="25"/>
      <c r="J775" s="9"/>
    </row>
    <row r="776" spans="1:10" x14ac:dyDescent="0.3">
      <c r="A776" s="25" t="s">
        <v>434</v>
      </c>
      <c r="B776" s="25"/>
      <c r="C776" s="25">
        <v>1</v>
      </c>
      <c r="D776" s="9"/>
      <c r="E776" s="25"/>
      <c r="F776" s="32" t="s">
        <v>219</v>
      </c>
      <c r="G776" s="32"/>
      <c r="H776" s="32" t="s">
        <v>69</v>
      </c>
      <c r="I776" s="25"/>
      <c r="J776" s="9"/>
    </row>
    <row r="777" spans="1:10" x14ac:dyDescent="0.3">
      <c r="A777" s="25" t="s">
        <v>443</v>
      </c>
      <c r="B777" s="25"/>
      <c r="C777" s="25">
        <v>1</v>
      </c>
      <c r="D777" s="9"/>
      <c r="E777" s="25"/>
      <c r="F777" s="32" t="s">
        <v>423</v>
      </c>
      <c r="G777" s="32"/>
      <c r="H777" s="32" t="s">
        <v>69</v>
      </c>
      <c r="I777" s="25"/>
      <c r="J777" s="9"/>
    </row>
    <row r="778" spans="1:10" x14ac:dyDescent="0.3">
      <c r="A778" s="25" t="s">
        <v>108</v>
      </c>
      <c r="B778" s="25"/>
      <c r="C778" s="25">
        <v>1</v>
      </c>
      <c r="D778" s="9"/>
      <c r="E778" s="25"/>
      <c r="F778" s="32" t="s">
        <v>557</v>
      </c>
      <c r="G778" s="32"/>
      <c r="H778" s="32" t="s">
        <v>419</v>
      </c>
      <c r="I778" s="25"/>
      <c r="J778" s="9"/>
    </row>
    <row r="779" spans="1:10" x14ac:dyDescent="0.3">
      <c r="A779" s="25" t="s">
        <v>558</v>
      </c>
      <c r="B779" s="25"/>
      <c r="C779" s="25">
        <v>1</v>
      </c>
      <c r="D779" s="9"/>
      <c r="E779" s="25"/>
      <c r="F779" s="32" t="s">
        <v>559</v>
      </c>
      <c r="G779" s="32"/>
      <c r="H779" s="32" t="s">
        <v>69</v>
      </c>
      <c r="I779" s="25"/>
      <c r="J779" s="9"/>
    </row>
    <row r="780" spans="1:10" x14ac:dyDescent="0.3">
      <c r="A780" s="25" t="s">
        <v>106</v>
      </c>
      <c r="B780" s="25"/>
      <c r="C780" s="25">
        <v>1</v>
      </c>
      <c r="D780" s="9"/>
      <c r="E780" s="25"/>
      <c r="F780" s="32" t="s">
        <v>560</v>
      </c>
      <c r="G780" s="32"/>
      <c r="H780" s="32" t="s">
        <v>69</v>
      </c>
      <c r="I780" s="25"/>
      <c r="J780" s="9"/>
    </row>
    <row r="781" spans="1:10" x14ac:dyDescent="0.3">
      <c r="A781" s="25" t="s">
        <v>531</v>
      </c>
      <c r="B781" s="25"/>
      <c r="C781" s="25">
        <v>1</v>
      </c>
      <c r="D781" s="9"/>
      <c r="E781" s="25"/>
      <c r="F781" s="32" t="s">
        <v>352</v>
      </c>
      <c r="G781" s="32"/>
      <c r="H781" s="32" t="s">
        <v>69</v>
      </c>
      <c r="I781" s="25"/>
      <c r="J781" s="9"/>
    </row>
    <row r="782" spans="1:10" x14ac:dyDescent="0.3">
      <c r="A782" s="25" t="s">
        <v>421</v>
      </c>
      <c r="B782" s="25"/>
      <c r="C782" s="25">
        <v>1</v>
      </c>
      <c r="D782" s="9"/>
      <c r="E782" s="25"/>
      <c r="F782" s="32" t="s">
        <v>561</v>
      </c>
      <c r="G782" s="32"/>
      <c r="H782" s="32" t="s">
        <v>69</v>
      </c>
      <c r="I782" s="25"/>
      <c r="J782" s="9"/>
    </row>
    <row r="783" spans="1:10" x14ac:dyDescent="0.3">
      <c r="A783" s="25" t="s">
        <v>95</v>
      </c>
      <c r="B783" s="25"/>
      <c r="C783" s="25">
        <v>1</v>
      </c>
      <c r="D783" s="9"/>
      <c r="E783" s="25"/>
      <c r="F783" s="32" t="s">
        <v>562</v>
      </c>
      <c r="G783" s="32"/>
      <c r="H783" s="32" t="s">
        <v>69</v>
      </c>
      <c r="I783" s="25"/>
      <c r="J783" s="9"/>
    </row>
    <row r="784" spans="1:10" x14ac:dyDescent="0.3">
      <c r="A784" s="25" t="s">
        <v>406</v>
      </c>
      <c r="B784" s="25"/>
      <c r="C784" s="25">
        <v>1</v>
      </c>
      <c r="D784" s="9"/>
      <c r="E784" s="25" t="s">
        <v>70</v>
      </c>
      <c r="F784" s="32" t="s">
        <v>563</v>
      </c>
      <c r="G784" s="32"/>
      <c r="H784" s="32" t="s">
        <v>69</v>
      </c>
      <c r="I784" s="25"/>
      <c r="J784" s="9"/>
    </row>
    <row r="785" spans="1:10" x14ac:dyDescent="0.3">
      <c r="A785" s="25" t="s">
        <v>564</v>
      </c>
      <c r="B785" s="25"/>
      <c r="C785" s="25">
        <v>1</v>
      </c>
      <c r="D785" s="9"/>
      <c r="E785" s="25"/>
      <c r="F785" s="32" t="s">
        <v>565</v>
      </c>
      <c r="G785" s="32"/>
      <c r="H785" s="32" t="s">
        <v>69</v>
      </c>
      <c r="I785" s="25"/>
      <c r="J785" s="9"/>
    </row>
    <row r="786" spans="1:10" x14ac:dyDescent="0.3">
      <c r="A786" s="25"/>
      <c r="B786" s="25"/>
      <c r="C786" s="25"/>
      <c r="D786" s="25"/>
      <c r="E786" s="25"/>
      <c r="F786" s="32" t="s">
        <v>297</v>
      </c>
      <c r="G786" s="32"/>
      <c r="H786" s="32" t="s">
        <v>69</v>
      </c>
      <c r="I786" s="25"/>
      <c r="J786" s="9"/>
    </row>
    <row r="787" spans="1:10" x14ac:dyDescent="0.3">
      <c r="A787" s="25"/>
      <c r="B787" s="25"/>
      <c r="C787" s="25"/>
      <c r="D787" s="25"/>
      <c r="E787" s="25"/>
      <c r="F787" s="32" t="s">
        <v>566</v>
      </c>
      <c r="G787" s="32"/>
      <c r="H787" s="32" t="s">
        <v>69</v>
      </c>
      <c r="I787" s="25"/>
      <c r="J787" s="9"/>
    </row>
    <row r="788" spans="1:10" x14ac:dyDescent="0.3">
      <c r="A788" s="25"/>
      <c r="B788" s="25"/>
      <c r="C788" s="25"/>
      <c r="D788" s="25"/>
      <c r="E788" s="25"/>
      <c r="F788" s="32" t="s">
        <v>172</v>
      </c>
      <c r="G788" s="32"/>
      <c r="H788" s="32" t="s">
        <v>69</v>
      </c>
      <c r="I788" s="25" t="s">
        <v>70</v>
      </c>
      <c r="J788" s="9"/>
    </row>
    <row r="789" spans="1:10" x14ac:dyDescent="0.3">
      <c r="A789" s="25"/>
      <c r="B789" s="25"/>
      <c r="C789" s="25"/>
      <c r="D789" s="25"/>
      <c r="E789" s="25"/>
      <c r="F789" s="32" t="s">
        <v>567</v>
      </c>
      <c r="G789" s="32"/>
      <c r="H789" s="32" t="s">
        <v>69</v>
      </c>
      <c r="I789" s="25"/>
      <c r="J789" s="9"/>
    </row>
    <row r="790" spans="1:10" x14ac:dyDescent="0.3">
      <c r="A790" s="25"/>
      <c r="B790" s="25"/>
      <c r="C790" s="25"/>
      <c r="D790" s="25"/>
      <c r="E790" s="25"/>
      <c r="F790" s="32" t="s">
        <v>568</v>
      </c>
      <c r="G790" s="32"/>
      <c r="H790" s="32" t="s">
        <v>69</v>
      </c>
      <c r="I790" s="25" t="s">
        <v>70</v>
      </c>
      <c r="J790" s="9"/>
    </row>
    <row r="791" spans="1:10" x14ac:dyDescent="0.3">
      <c r="A791" s="25"/>
      <c r="B791" s="25"/>
      <c r="C791" s="25"/>
      <c r="D791" s="25"/>
      <c r="E791" s="25"/>
      <c r="F791" s="32" t="s">
        <v>569</v>
      </c>
      <c r="G791" s="32"/>
      <c r="H791" s="32" t="s">
        <v>69</v>
      </c>
      <c r="I791" s="25"/>
      <c r="J791" s="9"/>
    </row>
    <row r="792" spans="1:10" x14ac:dyDescent="0.3">
      <c r="A792" s="25"/>
      <c r="B792" s="25"/>
      <c r="C792" s="25"/>
      <c r="D792" s="25"/>
      <c r="E792" s="25"/>
      <c r="F792" s="32" t="s">
        <v>293</v>
      </c>
      <c r="G792" s="32"/>
      <c r="H792" s="32" t="s">
        <v>69</v>
      </c>
      <c r="I792" s="25"/>
      <c r="J792" s="9"/>
    </row>
    <row r="793" spans="1:10" x14ac:dyDescent="0.3">
      <c r="A793" s="25"/>
      <c r="B793" s="25"/>
      <c r="C793" s="25"/>
      <c r="D793" s="25"/>
      <c r="E793" s="25"/>
      <c r="F793" s="32" t="s">
        <v>163</v>
      </c>
      <c r="G793" s="32"/>
      <c r="H793" s="32" t="s">
        <v>69</v>
      </c>
      <c r="I793" s="25"/>
      <c r="J793" s="9"/>
    </row>
    <row r="794" spans="1:10" x14ac:dyDescent="0.3">
      <c r="A794" s="25"/>
      <c r="B794" s="25"/>
      <c r="C794" s="25"/>
      <c r="D794" s="25"/>
      <c r="E794" s="25"/>
      <c r="F794" s="32" t="s">
        <v>339</v>
      </c>
      <c r="G794" s="32"/>
      <c r="H794" s="32" t="s">
        <v>69</v>
      </c>
      <c r="I794" s="25"/>
      <c r="J794" s="9"/>
    </row>
    <row r="795" spans="1:10" x14ac:dyDescent="0.3">
      <c r="A795" s="25"/>
      <c r="B795" s="25"/>
      <c r="C795" s="25"/>
      <c r="D795" s="25"/>
      <c r="E795" s="25"/>
      <c r="F795" s="32" t="s">
        <v>226</v>
      </c>
      <c r="G795" s="32"/>
      <c r="H795" s="32" t="s">
        <v>69</v>
      </c>
      <c r="I795" s="25" t="s">
        <v>70</v>
      </c>
      <c r="J795" s="9"/>
    </row>
    <row r="796" spans="1:10" x14ac:dyDescent="0.3">
      <c r="J796" s="9"/>
    </row>
    <row r="797" spans="1:10" x14ac:dyDescent="0.3">
      <c r="A797" s="23" t="s">
        <v>1</v>
      </c>
      <c r="B797" s="24" t="s">
        <v>570</v>
      </c>
      <c r="C797" s="25" t="s">
        <v>3</v>
      </c>
      <c r="D797" s="26"/>
      <c r="E797" s="26"/>
      <c r="F797" s="26"/>
      <c r="G797" s="26"/>
      <c r="H797" s="26"/>
      <c r="I797" s="26"/>
    </row>
    <row r="798" spans="1:10" x14ac:dyDescent="0.3">
      <c r="A798" s="27" t="s">
        <v>4</v>
      </c>
      <c r="B798" s="25"/>
      <c r="C798" s="25"/>
      <c r="D798" s="26"/>
      <c r="E798" s="26"/>
      <c r="F798" s="26"/>
      <c r="G798" s="26"/>
      <c r="H798" s="26"/>
      <c r="I798" s="26"/>
    </row>
    <row r="799" spans="1:10" ht="66.599999999999994" x14ac:dyDescent="0.3">
      <c r="A799" s="29" t="s">
        <v>5</v>
      </c>
      <c r="B799" s="25" t="s">
        <v>571</v>
      </c>
      <c r="C799" s="26"/>
      <c r="D799" s="26"/>
      <c r="E799" s="26"/>
      <c r="F799" s="26"/>
      <c r="G799" s="26"/>
      <c r="H799" s="26"/>
      <c r="I799" s="26"/>
    </row>
    <row r="800" spans="1:10" x14ac:dyDescent="0.3">
      <c r="A800" s="26"/>
      <c r="B800" s="26"/>
      <c r="C800" s="26"/>
      <c r="D800" s="26"/>
      <c r="E800" s="26"/>
      <c r="F800" s="26"/>
      <c r="G800" s="26"/>
      <c r="H800" s="26"/>
      <c r="I800" s="26"/>
    </row>
    <row r="801" spans="1:10" x14ac:dyDescent="0.3">
      <c r="A801" s="26"/>
      <c r="B801" s="26"/>
      <c r="C801" s="27" t="s">
        <v>7</v>
      </c>
      <c r="D801" s="30"/>
      <c r="E801" s="26"/>
      <c r="F801" s="26"/>
      <c r="G801" s="26"/>
      <c r="H801" s="26"/>
      <c r="I801" s="26"/>
    </row>
    <row r="802" spans="1:10" x14ac:dyDescent="0.3">
      <c r="A802" s="27" t="s">
        <v>8</v>
      </c>
      <c r="B802" s="31" t="b">
        <v>1</v>
      </c>
      <c r="C802" s="25">
        <v>70</v>
      </c>
      <c r="D802" s="26"/>
      <c r="E802" s="26"/>
      <c r="F802" s="26"/>
      <c r="G802" s="26"/>
      <c r="H802" s="26"/>
      <c r="I802" s="26"/>
    </row>
    <row r="803" spans="1:10" x14ac:dyDescent="0.3">
      <c r="A803" s="27" t="s">
        <v>9</v>
      </c>
      <c r="B803" s="31" t="b">
        <v>1</v>
      </c>
      <c r="C803" s="25">
        <v>5</v>
      </c>
      <c r="D803" s="26"/>
      <c r="E803" s="26"/>
      <c r="F803" s="26"/>
      <c r="G803" s="26"/>
      <c r="H803" s="26"/>
      <c r="I803" s="26"/>
    </row>
    <row r="804" spans="1:10" x14ac:dyDescent="0.3">
      <c r="A804" s="27" t="s">
        <v>10</v>
      </c>
      <c r="B804" s="31" t="b">
        <v>1</v>
      </c>
      <c r="C804" s="25">
        <v>5</v>
      </c>
      <c r="D804" s="26"/>
      <c r="E804" s="26"/>
      <c r="F804" s="26"/>
      <c r="G804" s="26"/>
      <c r="H804" s="26"/>
      <c r="I804" s="26"/>
    </row>
    <row r="805" spans="1:10" x14ac:dyDescent="0.3">
      <c r="A805" s="27" t="s">
        <v>11</v>
      </c>
      <c r="B805" s="31" t="b">
        <v>1</v>
      </c>
      <c r="C805" s="25">
        <v>10</v>
      </c>
      <c r="D805" s="26"/>
      <c r="E805" s="26"/>
      <c r="F805" s="26"/>
      <c r="G805" s="26"/>
      <c r="H805" s="26"/>
      <c r="I805" s="26"/>
    </row>
    <row r="806" spans="1:10" x14ac:dyDescent="0.3">
      <c r="A806" s="27" t="s">
        <v>12</v>
      </c>
      <c r="B806" s="25"/>
      <c r="C806" s="26"/>
      <c r="D806" s="26"/>
      <c r="E806" s="26"/>
      <c r="F806" s="26"/>
      <c r="G806" s="26"/>
      <c r="H806" s="26"/>
      <c r="I806" s="26"/>
    </row>
    <row r="807" spans="1:10" x14ac:dyDescent="0.3">
      <c r="A807" s="26"/>
      <c r="B807" s="26"/>
      <c r="C807" s="26"/>
      <c r="D807" s="26"/>
      <c r="E807" s="26"/>
      <c r="F807" s="26"/>
      <c r="G807" s="26"/>
      <c r="H807" s="26"/>
      <c r="I807" s="26"/>
    </row>
    <row r="808" spans="1:10" x14ac:dyDescent="0.3">
      <c r="A808" s="25" t="s">
        <v>13</v>
      </c>
      <c r="B808" s="25" t="s">
        <v>14</v>
      </c>
      <c r="C808" s="25" t="s">
        <v>15</v>
      </c>
      <c r="D808" s="13" t="s">
        <v>16</v>
      </c>
      <c r="E808" s="25" t="s">
        <v>12</v>
      </c>
      <c r="F808" s="25" t="s">
        <v>17</v>
      </c>
      <c r="G808" s="25" t="s">
        <v>14</v>
      </c>
      <c r="H808" s="25" t="s">
        <v>18</v>
      </c>
      <c r="I808" s="25" t="s">
        <v>12</v>
      </c>
      <c r="J808" s="13" t="s">
        <v>16</v>
      </c>
    </row>
    <row r="809" spans="1:10" x14ac:dyDescent="0.3">
      <c r="A809" s="25" t="s">
        <v>572</v>
      </c>
      <c r="B809" s="25"/>
      <c r="C809" s="25">
        <v>20</v>
      </c>
      <c r="D809" s="9"/>
      <c r="E809" s="25" t="s">
        <v>198</v>
      </c>
      <c r="F809" s="32" t="s">
        <v>148</v>
      </c>
      <c r="G809" s="32"/>
      <c r="H809" s="32" t="s">
        <v>67</v>
      </c>
      <c r="I809" s="25"/>
      <c r="J809" s="9"/>
    </row>
    <row r="810" spans="1:10" x14ac:dyDescent="0.3">
      <c r="A810" s="25" t="s">
        <v>558</v>
      </c>
      <c r="B810" s="25"/>
      <c r="C810" s="25">
        <v>5</v>
      </c>
      <c r="D810" s="9"/>
      <c r="E810" s="25" t="s">
        <v>70</v>
      </c>
      <c r="F810" s="32" t="s">
        <v>563</v>
      </c>
      <c r="G810" s="32"/>
      <c r="H810" s="32" t="s">
        <v>69</v>
      </c>
      <c r="I810" s="25"/>
      <c r="J810" s="9"/>
    </row>
    <row r="811" spans="1:10" x14ac:dyDescent="0.3">
      <c r="A811" s="25" t="s">
        <v>58</v>
      </c>
      <c r="B811" s="25"/>
      <c r="C811" s="25">
        <v>1</v>
      </c>
      <c r="D811" s="9"/>
      <c r="E811" s="25"/>
      <c r="F811" s="32" t="s">
        <v>380</v>
      </c>
      <c r="G811" s="32"/>
      <c r="H811" s="32" t="s">
        <v>69</v>
      </c>
      <c r="I811" s="25"/>
      <c r="J811" s="9"/>
    </row>
    <row r="812" spans="1:10" x14ac:dyDescent="0.3">
      <c r="A812" s="25" t="s">
        <v>384</v>
      </c>
      <c r="B812" s="25"/>
      <c r="C812" s="25">
        <v>1</v>
      </c>
      <c r="D812" s="9"/>
      <c r="E812" s="25"/>
      <c r="F812" s="32" t="s">
        <v>324</v>
      </c>
      <c r="G812" s="32"/>
      <c r="H812" s="32" t="s">
        <v>69</v>
      </c>
      <c r="I812" s="25"/>
      <c r="J812" s="9"/>
    </row>
    <row r="813" spans="1:10" x14ac:dyDescent="0.3">
      <c r="A813" s="25" t="s">
        <v>573</v>
      </c>
      <c r="B813" s="25"/>
      <c r="C813" s="25">
        <v>5</v>
      </c>
      <c r="D813" s="9"/>
      <c r="E813" s="25"/>
      <c r="F813" s="32" t="s">
        <v>222</v>
      </c>
      <c r="G813" s="32"/>
      <c r="H813" s="32" t="s">
        <v>69</v>
      </c>
      <c r="I813" s="25"/>
      <c r="J813" s="9"/>
    </row>
    <row r="814" spans="1:10" x14ac:dyDescent="0.3">
      <c r="A814" s="25" t="s">
        <v>108</v>
      </c>
      <c r="B814" s="25"/>
      <c r="C814" s="25">
        <v>2</v>
      </c>
      <c r="D814" s="9"/>
      <c r="E814" s="25" t="s">
        <v>70</v>
      </c>
      <c r="F814" s="32" t="s">
        <v>162</v>
      </c>
      <c r="G814" s="32"/>
      <c r="H814" s="32" t="s">
        <v>69</v>
      </c>
      <c r="I814" s="25"/>
      <c r="J814" s="9"/>
    </row>
    <row r="815" spans="1:10" x14ac:dyDescent="0.3">
      <c r="A815" s="25" t="s">
        <v>219</v>
      </c>
      <c r="B815" s="25"/>
      <c r="C815" s="25">
        <v>1</v>
      </c>
      <c r="D815" s="9"/>
      <c r="E815" s="25"/>
      <c r="F815" s="32" t="s">
        <v>266</v>
      </c>
      <c r="G815" s="32"/>
      <c r="H815" s="32" t="s">
        <v>69</v>
      </c>
      <c r="I815" s="25" t="s">
        <v>70</v>
      </c>
      <c r="J815" s="9"/>
    </row>
    <row r="816" spans="1:10" x14ac:dyDescent="0.3">
      <c r="A816" s="25"/>
      <c r="B816" s="25"/>
      <c r="C816" s="25"/>
      <c r="D816" s="9"/>
      <c r="E816" s="25"/>
      <c r="F816" s="32" t="s">
        <v>574</v>
      </c>
      <c r="G816" s="32"/>
      <c r="H816" s="32" t="s">
        <v>69</v>
      </c>
      <c r="I816" s="25" t="s">
        <v>70</v>
      </c>
      <c r="J816" s="9"/>
    </row>
    <row r="817" spans="1:10" x14ac:dyDescent="0.3">
      <c r="A817" s="25"/>
      <c r="B817" s="25"/>
      <c r="C817" s="25"/>
      <c r="D817" s="9"/>
      <c r="E817" s="25"/>
      <c r="F817" s="32" t="s">
        <v>575</v>
      </c>
      <c r="G817" s="32"/>
      <c r="H817" s="32" t="s">
        <v>69</v>
      </c>
      <c r="I817" s="25" t="s">
        <v>70</v>
      </c>
      <c r="J817" s="9"/>
    </row>
    <row r="818" spans="1:10" x14ac:dyDescent="0.3">
      <c r="D818" s="9"/>
    </row>
    <row r="819" spans="1:10" x14ac:dyDescent="0.3">
      <c r="A819" s="19" t="s">
        <v>1</v>
      </c>
      <c r="B819" s="20" t="s">
        <v>576</v>
      </c>
      <c r="C819" s="9" t="s">
        <v>3</v>
      </c>
      <c r="D819" s="3"/>
      <c r="E819" s="6"/>
    </row>
    <row r="820" spans="1:10" x14ac:dyDescent="0.3">
      <c r="A820" s="10" t="s">
        <v>4</v>
      </c>
      <c r="B820" s="9"/>
      <c r="C820" s="9"/>
      <c r="D820" s="3"/>
      <c r="E820" s="6"/>
    </row>
    <row r="821" spans="1:10" ht="55.2" x14ac:dyDescent="0.3">
      <c r="A821" s="11" t="s">
        <v>5</v>
      </c>
      <c r="B821" s="9" t="s">
        <v>577</v>
      </c>
      <c r="E821" s="6"/>
    </row>
    <row r="822" spans="1:10" x14ac:dyDescent="0.3">
      <c r="A822" s="3"/>
      <c r="C822" s="2"/>
      <c r="D822" s="2"/>
      <c r="E822" s="6"/>
    </row>
    <row r="823" spans="1:10" x14ac:dyDescent="0.3">
      <c r="A823" s="3"/>
      <c r="C823" s="10" t="s">
        <v>7</v>
      </c>
      <c r="D823" s="2"/>
      <c r="E823" s="6"/>
    </row>
    <row r="824" spans="1:10" x14ac:dyDescent="0.3">
      <c r="A824" s="10" t="s">
        <v>8</v>
      </c>
      <c r="B824" s="12" t="b">
        <v>1</v>
      </c>
      <c r="C824" s="9">
        <v>40</v>
      </c>
      <c r="D824" s="3"/>
      <c r="E824" s="6"/>
    </row>
    <row r="825" spans="1:10" x14ac:dyDescent="0.3">
      <c r="A825" s="10" t="s">
        <v>9</v>
      </c>
      <c r="B825" s="12" t="b">
        <v>1</v>
      </c>
      <c r="C825" s="9">
        <v>20</v>
      </c>
      <c r="D825" s="3"/>
      <c r="E825" s="6"/>
    </row>
    <row r="826" spans="1:10" x14ac:dyDescent="0.3">
      <c r="A826" s="10" t="s">
        <v>10</v>
      </c>
      <c r="B826" s="12" t="b">
        <v>1</v>
      </c>
      <c r="C826" s="9">
        <v>40</v>
      </c>
      <c r="D826" s="3"/>
      <c r="E826" s="6"/>
    </row>
    <row r="827" spans="1:10" x14ac:dyDescent="0.3">
      <c r="A827" s="10" t="s">
        <v>11</v>
      </c>
      <c r="B827" s="12" t="b">
        <v>1</v>
      </c>
      <c r="C827" s="9">
        <v>10</v>
      </c>
      <c r="D827" s="3"/>
      <c r="E827" s="6"/>
    </row>
    <row r="828" spans="1:10" x14ac:dyDescent="0.3">
      <c r="A828" s="10" t="s">
        <v>12</v>
      </c>
      <c r="B828" s="9" t="s">
        <v>578</v>
      </c>
      <c r="E828" s="6"/>
    </row>
    <row r="829" spans="1:10" x14ac:dyDescent="0.3">
      <c r="B829" s="3"/>
      <c r="E829" s="6"/>
    </row>
    <row r="830" spans="1:10" x14ac:dyDescent="0.3">
      <c r="A830" s="9" t="s">
        <v>13</v>
      </c>
      <c r="B830" s="9" t="s">
        <v>14</v>
      </c>
      <c r="C830" s="9" t="s">
        <v>15</v>
      </c>
      <c r="D830" s="13" t="s">
        <v>16</v>
      </c>
      <c r="E830" s="9" t="s">
        <v>579</v>
      </c>
      <c r="F830" s="9" t="s">
        <v>17</v>
      </c>
      <c r="G830" s="9" t="s">
        <v>14</v>
      </c>
      <c r="H830" s="9" t="s">
        <v>18</v>
      </c>
      <c r="I830" s="9" t="s">
        <v>579</v>
      </c>
      <c r="J830" s="13" t="s">
        <v>16</v>
      </c>
    </row>
    <row r="831" spans="1:10" ht="27.6" x14ac:dyDescent="0.3">
      <c r="A831" s="14" t="s">
        <v>580</v>
      </c>
      <c r="B831" s="9"/>
      <c r="C831" s="9">
        <v>1</v>
      </c>
      <c r="D831" s="9"/>
      <c r="E831" s="9"/>
      <c r="F831" s="22" t="s">
        <v>581</v>
      </c>
      <c r="G831" s="21"/>
      <c r="H831" s="21" t="s">
        <v>69</v>
      </c>
      <c r="I831" s="9"/>
      <c r="J831" s="9"/>
    </row>
    <row r="832" spans="1:10" ht="27.6" x14ac:dyDescent="0.3">
      <c r="A832" s="14" t="s">
        <v>216</v>
      </c>
      <c r="B832" s="9"/>
      <c r="C832" s="9">
        <v>1</v>
      </c>
      <c r="D832" s="9"/>
      <c r="E832" s="9" t="s">
        <v>198</v>
      </c>
      <c r="F832" s="22" t="s">
        <v>78</v>
      </c>
      <c r="G832" s="21"/>
      <c r="H832" s="21" t="s">
        <v>69</v>
      </c>
      <c r="I832" s="9" t="s">
        <v>70</v>
      </c>
      <c r="J832" s="9"/>
    </row>
    <row r="833" spans="1:10" ht="27.6" x14ac:dyDescent="0.3">
      <c r="A833" s="14" t="s">
        <v>582</v>
      </c>
      <c r="B833" s="9"/>
      <c r="C833" s="9">
        <v>1</v>
      </c>
      <c r="D833" s="9"/>
      <c r="E833" s="9" t="s">
        <v>59</v>
      </c>
      <c r="F833" s="22" t="s">
        <v>583</v>
      </c>
      <c r="G833" s="21"/>
      <c r="H833" s="21" t="s">
        <v>69</v>
      </c>
      <c r="I833" s="9"/>
      <c r="J833" s="9"/>
    </row>
    <row r="834" spans="1:10" ht="41.4" x14ac:dyDescent="0.3">
      <c r="A834" s="14" t="s">
        <v>130</v>
      </c>
      <c r="B834" s="9"/>
      <c r="C834" s="9">
        <v>1</v>
      </c>
      <c r="D834" s="9"/>
      <c r="E834" s="9"/>
      <c r="F834" s="22" t="s">
        <v>584</v>
      </c>
      <c r="G834" s="21"/>
      <c r="H834" s="21" t="s">
        <v>64</v>
      </c>
      <c r="I834" s="9" t="s">
        <v>70</v>
      </c>
      <c r="J834" s="9"/>
    </row>
    <row r="835" spans="1:10" ht="41.4" x14ac:dyDescent="0.3">
      <c r="A835" s="14" t="s">
        <v>585</v>
      </c>
      <c r="B835" s="9"/>
      <c r="C835" s="9">
        <v>5</v>
      </c>
      <c r="D835" s="9"/>
      <c r="E835" s="9"/>
      <c r="F835" s="22" t="s">
        <v>76</v>
      </c>
      <c r="G835" s="21"/>
      <c r="H835" s="21" t="s">
        <v>69</v>
      </c>
      <c r="I835" s="9"/>
      <c r="J835" s="9"/>
    </row>
    <row r="836" spans="1:10" ht="41.4" x14ac:dyDescent="0.3">
      <c r="A836" s="14" t="s">
        <v>169</v>
      </c>
      <c r="B836" s="9"/>
      <c r="C836" s="9">
        <v>4</v>
      </c>
      <c r="D836" s="9"/>
      <c r="E836" s="9"/>
      <c r="F836" s="22" t="s">
        <v>586</v>
      </c>
      <c r="G836" s="21"/>
      <c r="H836" s="21" t="s">
        <v>69</v>
      </c>
      <c r="I836" s="9"/>
      <c r="J836" s="9"/>
    </row>
    <row r="837" spans="1:10" ht="27.6" x14ac:dyDescent="0.3">
      <c r="A837" s="14" t="s">
        <v>489</v>
      </c>
      <c r="B837" s="9"/>
      <c r="C837" s="9">
        <v>1</v>
      </c>
      <c r="D837" s="9"/>
      <c r="E837" s="9"/>
      <c r="F837" s="22" t="s">
        <v>121</v>
      </c>
      <c r="G837" s="21"/>
      <c r="H837" s="21" t="s">
        <v>69</v>
      </c>
      <c r="I837" s="9"/>
      <c r="J837" s="9"/>
    </row>
    <row r="838" spans="1:10" x14ac:dyDescent="0.3">
      <c r="A838" s="9" t="s">
        <v>485</v>
      </c>
      <c r="B838" s="9"/>
      <c r="C838" s="9">
        <v>1</v>
      </c>
      <c r="D838" s="9"/>
      <c r="E838" s="9"/>
      <c r="F838" s="21" t="s">
        <v>42</v>
      </c>
      <c r="G838" s="21"/>
      <c r="H838" s="21" t="s">
        <v>69</v>
      </c>
      <c r="I838" s="9"/>
      <c r="J838" s="9"/>
    </row>
    <row r="839" spans="1:10" x14ac:dyDescent="0.3">
      <c r="A839" s="9" t="s">
        <v>587</v>
      </c>
      <c r="B839" s="9"/>
      <c r="C839" s="9">
        <v>1</v>
      </c>
      <c r="D839" s="9"/>
      <c r="E839" s="9" t="s">
        <v>330</v>
      </c>
      <c r="F839" s="9" t="s">
        <v>588</v>
      </c>
      <c r="G839" s="9"/>
      <c r="H839" s="21" t="s">
        <v>69</v>
      </c>
      <c r="I839" s="9"/>
      <c r="J839" s="9"/>
    </row>
    <row r="840" spans="1:10" x14ac:dyDescent="0.3">
      <c r="A840" s="9" t="s">
        <v>589</v>
      </c>
      <c r="B840" s="9"/>
      <c r="C840" s="9">
        <v>1</v>
      </c>
      <c r="D840" s="9"/>
      <c r="E840" s="9" t="s">
        <v>330</v>
      </c>
      <c r="F840" s="9" t="s">
        <v>114</v>
      </c>
      <c r="G840" s="9"/>
      <c r="H840" s="21" t="s">
        <v>69</v>
      </c>
      <c r="I840" s="9"/>
      <c r="J840" s="9"/>
    </row>
    <row r="841" spans="1:10" x14ac:dyDescent="0.3">
      <c r="A841" s="9" t="s">
        <v>590</v>
      </c>
      <c r="B841" s="9"/>
      <c r="C841" s="9">
        <v>1</v>
      </c>
      <c r="D841" s="9"/>
      <c r="E841" s="9" t="s">
        <v>591</v>
      </c>
      <c r="F841" s="9" t="s">
        <v>592</v>
      </c>
      <c r="G841" s="9"/>
      <c r="H841" s="21" t="s">
        <v>69</v>
      </c>
      <c r="I841" s="9"/>
      <c r="J841" s="9"/>
    </row>
    <row r="842" spans="1:10" x14ac:dyDescent="0.3">
      <c r="A842" s="9" t="s">
        <v>593</v>
      </c>
      <c r="B842" s="9"/>
      <c r="C842" s="9">
        <v>1</v>
      </c>
      <c r="D842" s="9"/>
      <c r="E842" s="9"/>
      <c r="F842" s="9" t="s">
        <v>594</v>
      </c>
      <c r="G842" s="9"/>
      <c r="H842" s="21" t="s">
        <v>69</v>
      </c>
      <c r="I842" s="9" t="s">
        <v>126</v>
      </c>
      <c r="J842" s="9"/>
    </row>
    <row r="843" spans="1:10" x14ac:dyDescent="0.3">
      <c r="A843" s="9" t="s">
        <v>595</v>
      </c>
      <c r="B843" s="9"/>
      <c r="C843" s="9">
        <v>1</v>
      </c>
      <c r="D843" s="9"/>
      <c r="E843" s="9" t="s">
        <v>330</v>
      </c>
      <c r="F843" s="9"/>
      <c r="G843" s="9"/>
      <c r="H843" s="9"/>
      <c r="I843" s="9"/>
      <c r="J843" s="9"/>
    </row>
    <row r="844" spans="1:10" x14ac:dyDescent="0.3">
      <c r="A844" s="9" t="s">
        <v>116</v>
      </c>
      <c r="B844" s="9"/>
      <c r="C844" s="9">
        <v>1</v>
      </c>
      <c r="D844" s="9"/>
      <c r="E844" s="9"/>
      <c r="F844" s="9"/>
      <c r="G844" s="9"/>
      <c r="H844" s="9"/>
      <c r="I844" s="9"/>
      <c r="J844" s="9"/>
    </row>
    <row r="845" spans="1:10" x14ac:dyDescent="0.3">
      <c r="A845" s="9" t="s">
        <v>596</v>
      </c>
      <c r="B845" s="9"/>
      <c r="C845" s="9">
        <v>1</v>
      </c>
      <c r="D845" s="9"/>
      <c r="E845" s="9"/>
      <c r="F845" s="9"/>
      <c r="G845" s="9"/>
      <c r="H845" s="9"/>
      <c r="I845" s="9"/>
      <c r="J845" s="9"/>
    </row>
    <row r="846" spans="1:10" x14ac:dyDescent="0.3">
      <c r="A846" s="9" t="s">
        <v>597</v>
      </c>
      <c r="B846" s="9" t="s">
        <v>32</v>
      </c>
      <c r="C846" s="9"/>
      <c r="D846" s="9"/>
      <c r="E846" s="9" t="s">
        <v>598</v>
      </c>
      <c r="F846" s="9"/>
      <c r="G846" s="9"/>
      <c r="H846" s="9"/>
      <c r="I846" s="9"/>
      <c r="J846" s="9"/>
    </row>
    <row r="848" spans="1:10" x14ac:dyDescent="0.3">
      <c r="A848" s="54" t="s">
        <v>1</v>
      </c>
      <c r="B848" s="55" t="s">
        <v>599</v>
      </c>
      <c r="C848" s="9" t="s">
        <v>3</v>
      </c>
      <c r="D848" s="3"/>
      <c r="E848" s="6"/>
    </row>
    <row r="849" spans="1:10" x14ac:dyDescent="0.3">
      <c r="A849" s="10" t="s">
        <v>4</v>
      </c>
      <c r="B849" s="9"/>
      <c r="C849" s="9"/>
      <c r="D849" s="3"/>
      <c r="E849" s="6"/>
    </row>
    <row r="850" spans="1:10" ht="55.2" x14ac:dyDescent="0.3">
      <c r="A850" s="11" t="s">
        <v>5</v>
      </c>
      <c r="B850" s="3" t="s">
        <v>600</v>
      </c>
      <c r="E850" s="6"/>
    </row>
    <row r="851" spans="1:10" x14ac:dyDescent="0.3">
      <c r="A851" s="3"/>
      <c r="C851" s="2"/>
      <c r="D851" s="2"/>
      <c r="E851" s="6"/>
    </row>
    <row r="852" spans="1:10" x14ac:dyDescent="0.3">
      <c r="A852" s="3"/>
      <c r="C852" s="10" t="s">
        <v>7</v>
      </c>
      <c r="D852" s="2"/>
      <c r="E852" s="6"/>
    </row>
    <row r="853" spans="1:10" x14ac:dyDescent="0.3">
      <c r="A853" s="10" t="s">
        <v>8</v>
      </c>
      <c r="B853" s="12" t="b">
        <v>1</v>
      </c>
      <c r="C853" s="9">
        <v>40</v>
      </c>
      <c r="D853" s="3"/>
      <c r="E853" s="6"/>
    </row>
    <row r="854" spans="1:10" x14ac:dyDescent="0.3">
      <c r="A854" s="10" t="s">
        <v>9</v>
      </c>
      <c r="B854" s="12" t="b">
        <v>1</v>
      </c>
      <c r="C854" s="9">
        <v>20</v>
      </c>
      <c r="D854" s="3"/>
      <c r="E854" s="6"/>
    </row>
    <row r="855" spans="1:10" x14ac:dyDescent="0.3">
      <c r="A855" s="10" t="s">
        <v>10</v>
      </c>
      <c r="B855" s="12" t="b">
        <v>1</v>
      </c>
      <c r="C855" s="9">
        <v>10</v>
      </c>
      <c r="D855" s="3"/>
      <c r="E855" s="6"/>
    </row>
    <row r="856" spans="1:10" x14ac:dyDescent="0.3">
      <c r="A856" s="10" t="s">
        <v>11</v>
      </c>
      <c r="B856" s="12" t="b">
        <v>1</v>
      </c>
      <c r="C856" s="9">
        <v>20</v>
      </c>
      <c r="D856" s="3"/>
      <c r="E856" s="6"/>
    </row>
    <row r="857" spans="1:10" x14ac:dyDescent="0.3">
      <c r="A857" s="10" t="s">
        <v>12</v>
      </c>
      <c r="B857" s="9" t="s">
        <v>504</v>
      </c>
      <c r="E857" s="6"/>
    </row>
    <row r="858" spans="1:10" x14ac:dyDescent="0.3">
      <c r="B858" s="3"/>
      <c r="E858" s="6"/>
    </row>
    <row r="859" spans="1:10" x14ac:dyDescent="0.3">
      <c r="A859" s="9" t="s">
        <v>13</v>
      </c>
      <c r="B859" s="9" t="s">
        <v>14</v>
      </c>
      <c r="C859" s="9" t="s">
        <v>15</v>
      </c>
      <c r="D859" s="13" t="s">
        <v>16</v>
      </c>
      <c r="E859" s="9" t="s">
        <v>12</v>
      </c>
      <c r="F859" s="9" t="s">
        <v>17</v>
      </c>
      <c r="G859" s="9" t="s">
        <v>14</v>
      </c>
      <c r="H859" s="9" t="s">
        <v>18</v>
      </c>
      <c r="I859" s="9" t="s">
        <v>12</v>
      </c>
      <c r="J859" s="13" t="s">
        <v>16</v>
      </c>
    </row>
    <row r="860" spans="1:10" ht="27.6" x14ac:dyDescent="0.3">
      <c r="A860" s="14" t="s">
        <v>132</v>
      </c>
      <c r="B860" s="9"/>
      <c r="C860" s="9">
        <v>2</v>
      </c>
      <c r="D860" s="9"/>
      <c r="E860" s="9" t="s">
        <v>601</v>
      </c>
      <c r="F860" s="9" t="s">
        <v>602</v>
      </c>
      <c r="G860" s="9"/>
      <c r="H860" s="9"/>
      <c r="I860" s="9" t="s">
        <v>126</v>
      </c>
      <c r="J860" s="9"/>
    </row>
    <row r="861" spans="1:10" ht="27.6" x14ac:dyDescent="0.3">
      <c r="A861" s="14" t="s">
        <v>113</v>
      </c>
      <c r="B861" s="9"/>
      <c r="C861" s="9">
        <v>5</v>
      </c>
      <c r="D861" s="9"/>
      <c r="E861" s="9" t="s">
        <v>601</v>
      </c>
      <c r="F861" s="9" t="s">
        <v>603</v>
      </c>
      <c r="G861" s="9"/>
      <c r="H861" s="9"/>
      <c r="I861" s="9" t="s">
        <v>126</v>
      </c>
      <c r="J861" s="9"/>
    </row>
    <row r="862" spans="1:10" x14ac:dyDescent="0.3">
      <c r="A862" s="14"/>
      <c r="B862" s="9"/>
      <c r="C862" s="9"/>
      <c r="D862" s="9"/>
      <c r="E862" s="9"/>
      <c r="F862" s="9" t="s">
        <v>604</v>
      </c>
      <c r="G862" s="9"/>
      <c r="H862" s="9"/>
      <c r="I862" s="9" t="s">
        <v>126</v>
      </c>
      <c r="J862" s="9"/>
    </row>
    <row r="863" spans="1:10" x14ac:dyDescent="0.3">
      <c r="A863" s="14"/>
      <c r="B863" s="9"/>
      <c r="C863" s="9"/>
      <c r="D863" s="9"/>
      <c r="E863" s="9"/>
      <c r="F863" s="9" t="s">
        <v>210</v>
      </c>
      <c r="G863" s="9"/>
      <c r="H863" s="9"/>
      <c r="I863" s="9"/>
      <c r="J863" s="9"/>
    </row>
    <row r="864" spans="1:10" x14ac:dyDescent="0.3">
      <c r="A864" s="14"/>
      <c r="B864" s="9"/>
      <c r="C864" s="9"/>
      <c r="D864" s="9"/>
      <c r="E864" s="9"/>
      <c r="F864" s="9" t="s">
        <v>285</v>
      </c>
      <c r="G864" s="9"/>
      <c r="H864" s="9"/>
      <c r="I864" s="9" t="s">
        <v>126</v>
      </c>
      <c r="J864" s="9"/>
    </row>
    <row r="865" spans="1:10" x14ac:dyDescent="0.3">
      <c r="A865" s="14"/>
      <c r="B865" s="9"/>
      <c r="C865" s="9"/>
      <c r="D865" s="9"/>
      <c r="E865" s="9"/>
      <c r="F865" s="9" t="s">
        <v>605</v>
      </c>
      <c r="G865" s="9"/>
      <c r="H865" s="9"/>
      <c r="I865" s="9"/>
      <c r="J865" s="9"/>
    </row>
    <row r="866" spans="1:10" x14ac:dyDescent="0.3">
      <c r="A866" s="14"/>
      <c r="B866" s="9"/>
      <c r="C866" s="9"/>
      <c r="D866" s="9"/>
      <c r="E866" s="9"/>
      <c r="F866" s="9" t="s">
        <v>226</v>
      </c>
      <c r="G866" s="9"/>
      <c r="H866" s="9"/>
      <c r="I866" s="9" t="s">
        <v>126</v>
      </c>
      <c r="J866" s="9"/>
    </row>
    <row r="867" spans="1:10" x14ac:dyDescent="0.3">
      <c r="A867" s="14"/>
      <c r="B867" s="9"/>
      <c r="C867" s="9"/>
      <c r="D867" s="9"/>
      <c r="E867" s="9"/>
      <c r="F867" s="9" t="s">
        <v>606</v>
      </c>
      <c r="G867" s="9"/>
      <c r="H867" s="9"/>
      <c r="I867" s="9" t="s">
        <v>126</v>
      </c>
      <c r="J867" s="9"/>
    </row>
    <row r="868" spans="1:10" x14ac:dyDescent="0.3">
      <c r="A868" s="14"/>
      <c r="B868" s="9"/>
      <c r="C868" s="9"/>
      <c r="D868" s="9"/>
      <c r="E868" s="9"/>
      <c r="F868" s="9" t="s">
        <v>607</v>
      </c>
      <c r="G868" s="9"/>
      <c r="H868" s="9"/>
      <c r="I868" s="9"/>
      <c r="J868" s="9"/>
    </row>
    <row r="869" spans="1:10" x14ac:dyDescent="0.3">
      <c r="A869" s="14"/>
      <c r="B869" s="9"/>
      <c r="C869" s="9"/>
      <c r="D869" s="9"/>
      <c r="E869" s="9"/>
      <c r="F869" s="9" t="s">
        <v>608</v>
      </c>
      <c r="G869" s="9"/>
      <c r="H869" s="9" t="s">
        <v>609</v>
      </c>
      <c r="I869" s="9"/>
      <c r="J869" s="9"/>
    </row>
    <row r="870" spans="1:10" x14ac:dyDescent="0.3">
      <c r="A870" s="14"/>
      <c r="B870" s="9"/>
      <c r="C870" s="9"/>
      <c r="D870" s="9"/>
      <c r="E870" s="9"/>
      <c r="F870" s="9" t="s">
        <v>610</v>
      </c>
      <c r="G870" s="9"/>
      <c r="H870" s="9"/>
      <c r="I870" s="9"/>
      <c r="J870" s="9"/>
    </row>
    <row r="871" spans="1:10" x14ac:dyDescent="0.3">
      <c r="A871" s="14"/>
      <c r="B871" s="9"/>
      <c r="C871" s="9"/>
      <c r="D871" s="9"/>
      <c r="E871" s="9"/>
      <c r="F871" s="9" t="s">
        <v>611</v>
      </c>
      <c r="G871" s="9"/>
      <c r="H871" s="9"/>
      <c r="I871" s="9"/>
      <c r="J871" s="9"/>
    </row>
    <row r="872" spans="1:10" x14ac:dyDescent="0.3">
      <c r="A872" s="14"/>
      <c r="B872" s="9"/>
      <c r="C872" s="9"/>
      <c r="D872" s="9"/>
      <c r="E872" s="9"/>
      <c r="F872" s="9" t="s">
        <v>612</v>
      </c>
      <c r="G872" s="9"/>
      <c r="H872" s="9"/>
      <c r="I872" s="9"/>
      <c r="J872" s="9"/>
    </row>
    <row r="873" spans="1:10" x14ac:dyDescent="0.3">
      <c r="A873" s="14"/>
      <c r="B873" s="9"/>
      <c r="C873" s="9"/>
      <c r="D873" s="9"/>
      <c r="E873" s="9"/>
      <c r="F873" s="9" t="s">
        <v>469</v>
      </c>
      <c r="G873" s="9"/>
      <c r="H873" s="9"/>
      <c r="I873" s="9"/>
      <c r="J873" s="9"/>
    </row>
    <row r="874" spans="1:10" x14ac:dyDescent="0.3">
      <c r="A874" s="14"/>
      <c r="B874" s="9"/>
      <c r="C874" s="9"/>
      <c r="D874" s="9"/>
      <c r="E874" s="9"/>
      <c r="F874" s="9" t="s">
        <v>78</v>
      </c>
      <c r="G874" s="9"/>
      <c r="H874" s="9"/>
      <c r="I874" s="9"/>
      <c r="J874" s="9"/>
    </row>
    <row r="875" spans="1:10" x14ac:dyDescent="0.3">
      <c r="A875" s="14"/>
      <c r="B875" s="9"/>
      <c r="C875" s="9"/>
      <c r="D875" s="9"/>
      <c r="E875" s="9"/>
      <c r="F875" s="9" t="s">
        <v>86</v>
      </c>
      <c r="G875" s="9"/>
      <c r="H875" s="9"/>
      <c r="I875" s="9"/>
      <c r="J875" s="9"/>
    </row>
    <row r="876" spans="1:10" x14ac:dyDescent="0.3">
      <c r="A876" s="14"/>
      <c r="B876" s="9"/>
      <c r="C876" s="9"/>
      <c r="D876" s="9"/>
      <c r="E876" s="9"/>
      <c r="F876" s="9" t="s">
        <v>178</v>
      </c>
      <c r="G876" s="9"/>
      <c r="H876" s="9"/>
      <c r="I876" s="9"/>
      <c r="J876" s="9"/>
    </row>
    <row r="877" spans="1:10" x14ac:dyDescent="0.3">
      <c r="A877" s="14"/>
      <c r="B877" s="9"/>
      <c r="C877" s="9"/>
      <c r="D877" s="9"/>
      <c r="E877" s="9"/>
      <c r="F877" s="9" t="s">
        <v>347</v>
      </c>
      <c r="G877" s="9"/>
      <c r="H877" s="9"/>
      <c r="I877" s="9" t="s">
        <v>601</v>
      </c>
      <c r="J877" s="9"/>
    </row>
    <row r="878" spans="1:10" x14ac:dyDescent="0.3">
      <c r="A878" s="14"/>
      <c r="B878" s="9"/>
      <c r="C878" s="9"/>
      <c r="D878" s="9"/>
      <c r="E878" s="9"/>
      <c r="F878" s="9" t="s">
        <v>77</v>
      </c>
      <c r="G878" s="9"/>
      <c r="H878" s="9"/>
      <c r="I878" s="9"/>
      <c r="J878" s="9"/>
    </row>
    <row r="879" spans="1:10" x14ac:dyDescent="0.3">
      <c r="A879" s="14"/>
      <c r="B879" s="9"/>
      <c r="C879" s="9"/>
      <c r="D879" s="9"/>
      <c r="E879" s="9"/>
      <c r="F879" s="9" t="s">
        <v>613</v>
      </c>
      <c r="G879" s="9"/>
      <c r="H879" s="9"/>
      <c r="I879" s="9"/>
      <c r="J879" s="9"/>
    </row>
    <row r="880" spans="1:10" x14ac:dyDescent="0.3">
      <c r="A880" s="14"/>
      <c r="B880" s="9"/>
      <c r="C880" s="9"/>
      <c r="D880" s="9"/>
      <c r="E880" s="9"/>
      <c r="F880" s="9" t="s">
        <v>614</v>
      </c>
      <c r="G880" s="9"/>
      <c r="H880" s="9"/>
      <c r="I880" s="9"/>
      <c r="J880" s="9"/>
    </row>
    <row r="881" spans="1:10" x14ac:dyDescent="0.3">
      <c r="A881" s="14"/>
      <c r="B881" s="9"/>
      <c r="C881" s="9"/>
      <c r="D881" s="9"/>
      <c r="E881" s="9"/>
      <c r="F881" s="9" t="s">
        <v>615</v>
      </c>
      <c r="G881" s="9"/>
      <c r="H881" s="9"/>
      <c r="I881" s="9"/>
      <c r="J881" s="9"/>
    </row>
    <row r="882" spans="1:10" x14ac:dyDescent="0.3">
      <c r="J882" s="9"/>
    </row>
    <row r="883" spans="1:10" x14ac:dyDescent="0.3">
      <c r="F883" s="36"/>
      <c r="G883" s="36"/>
      <c r="H883" s="36"/>
      <c r="J883" s="9"/>
    </row>
  </sheetData>
  <dataValidations count="1">
    <dataValidation type="list" allowBlank="1" showInputMessage="1" showErrorMessage="1" sqref="D16:D23 J859:J883 I16:I23 D42:D49 I42:I54 D66:D74 D103:D110 J103:J110 D124:D131 J124:J137 D149:D156 J149:J168 D177:D190 J177:J210 D218:D227 J218:J227 D239:D249 J239:J265 D279:D299 J279:J339 D351:D358 J351:J358 D369:D373 J369:J374 D385:D398 J385:J427 D439:D445 J439:J445 D458:D464 J458:J466 D479:D485 J479:J485 J488:J493 J495:J500 J502:J507 J509 D522:D528 J522:J528 D541:D552 J541:J551 D564:D582 J564:J583 D595:D603 J595:J616 D628:D635 J628:J635 D649:D659 J649:J659 D672:D683 J672:J682 D696:D706 J696:J712 D723:D740 J723:J739 D752:D759 J752:J759 D772:D785 J772:J796 D808:D818 J808:J817 D830:D846 J830:J846 D859:D875 J66:J95" xr:uid="{2D214E8B-4B89-4136-B178-2BA97F4B95DC}">
      <formula1>"Native,non-native"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4BCE-5EF5-407C-B619-19BE06133BDA}">
  <dimension ref="A1:V123"/>
  <sheetViews>
    <sheetView zoomScale="115" zoomScaleNormal="115" workbookViewId="0">
      <selection activeCell="S16" sqref="S16"/>
    </sheetView>
  </sheetViews>
  <sheetFormatPr defaultRowHeight="14.4" x14ac:dyDescent="0.3"/>
  <cols>
    <col min="1" max="1" width="5.44140625" bestFit="1" customWidth="1"/>
    <col min="2" max="2" width="19.6640625" bestFit="1" customWidth="1"/>
    <col min="3" max="3" width="17.77734375" bestFit="1" customWidth="1"/>
    <col min="4" max="4" width="24.6640625" bestFit="1" customWidth="1"/>
    <col min="5" max="5" width="14.6640625" bestFit="1" customWidth="1"/>
    <col min="6" max="6" width="13.44140625" bestFit="1" customWidth="1"/>
    <col min="7" max="7" width="12.44140625" bestFit="1" customWidth="1"/>
    <col min="9" max="9" width="16.5546875" customWidth="1"/>
    <col min="11" max="11" width="13.88671875" bestFit="1" customWidth="1"/>
    <col min="12" max="12" width="15.5546875" bestFit="1" customWidth="1"/>
    <col min="13" max="13" width="14.6640625" bestFit="1" customWidth="1"/>
    <col min="15" max="15" width="15.6640625" bestFit="1" customWidth="1"/>
    <col min="16" max="17" width="15.6640625" customWidth="1"/>
    <col min="18" max="18" width="14" bestFit="1" customWidth="1"/>
  </cols>
  <sheetData>
    <row r="1" spans="1:22" ht="42" x14ac:dyDescent="0.3">
      <c r="A1" s="57" t="s">
        <v>961</v>
      </c>
      <c r="B1" s="57" t="s">
        <v>962</v>
      </c>
      <c r="C1" s="57" t="s">
        <v>16</v>
      </c>
      <c r="D1" s="57" t="s">
        <v>960</v>
      </c>
      <c r="E1" s="57" t="s">
        <v>963</v>
      </c>
      <c r="F1" s="145" t="s">
        <v>2028</v>
      </c>
      <c r="G1" t="s">
        <v>1778</v>
      </c>
      <c r="H1" s="94" t="s">
        <v>1779</v>
      </c>
      <c r="I1" s="95" t="s">
        <v>2026</v>
      </c>
      <c r="J1" s="98" t="s">
        <v>1782</v>
      </c>
      <c r="K1" t="s">
        <v>2031</v>
      </c>
      <c r="L1" t="s">
        <v>2048</v>
      </c>
      <c r="M1" t="s">
        <v>2060</v>
      </c>
      <c r="N1" s="96" t="s">
        <v>2051</v>
      </c>
      <c r="O1" t="s">
        <v>2052</v>
      </c>
      <c r="P1" t="s">
        <v>2056</v>
      </c>
      <c r="S1" t="s">
        <v>2040</v>
      </c>
    </row>
    <row r="2" spans="1:22" x14ac:dyDescent="0.3">
      <c r="A2" t="s">
        <v>2</v>
      </c>
      <c r="B2" s="58" t="s">
        <v>964</v>
      </c>
      <c r="C2" s="58" t="s">
        <v>965</v>
      </c>
      <c r="D2" s="59" t="s">
        <v>966</v>
      </c>
      <c r="E2" s="58" t="s">
        <v>967</v>
      </c>
      <c r="F2" s="147" t="s">
        <v>2049</v>
      </c>
      <c r="G2">
        <v>13</v>
      </c>
      <c r="H2" s="101">
        <v>4</v>
      </c>
      <c r="I2" s="58">
        <v>15</v>
      </c>
      <c r="J2" s="101">
        <v>1.6</v>
      </c>
      <c r="K2">
        <f>IFERROR(VLOOKUP(TRIM(D2), Trees_density!$A:$B, 2, FALSE), "")</f>
        <v>0.56000000000000005</v>
      </c>
      <c r="L2" s="90">
        <f t="shared" ref="L2:L33" si="0">IFERROR(0.0673 * ((K2 * G2^2 * H2)^0.976), "")</f>
        <v>22.09401038571848</v>
      </c>
      <c r="M2" s="150">
        <f>IFERROR(PI() * (G2/200)^2, "")</f>
        <v>1.3273228961416878E-2</v>
      </c>
      <c r="N2" s="103">
        <v>1.7</v>
      </c>
      <c r="O2">
        <v>1.4</v>
      </c>
      <c r="P2" s="90">
        <f>IFERROR((PI() * N2 * O2) / 4, "")</f>
        <v>1.8692476288859268</v>
      </c>
      <c r="R2" t="s">
        <v>2042</v>
      </c>
      <c r="S2" s="152" t="s">
        <v>2041</v>
      </c>
    </row>
    <row r="3" spans="1:22" x14ac:dyDescent="0.3">
      <c r="A3" t="s">
        <v>2</v>
      </c>
      <c r="B3" s="60" t="s">
        <v>968</v>
      </c>
      <c r="C3" s="60" t="s">
        <v>965</v>
      </c>
      <c r="D3" s="61" t="s">
        <v>969</v>
      </c>
      <c r="E3" s="60" t="s">
        <v>41</v>
      </c>
      <c r="F3" s="146" t="s">
        <v>2049</v>
      </c>
      <c r="G3">
        <v>42</v>
      </c>
      <c r="H3" s="106">
        <v>1.8</v>
      </c>
      <c r="I3" s="60">
        <v>5</v>
      </c>
      <c r="J3" s="106">
        <v>0.5</v>
      </c>
      <c r="K3">
        <f>IFERROR(VLOOKUP(TRIM(D3), Trees_density!$A:$B, 2, FALSE), "")</f>
        <v>0.65</v>
      </c>
      <c r="L3" s="90">
        <f t="shared" si="0"/>
        <v>115.65038427302882</v>
      </c>
      <c r="M3" s="150">
        <f t="shared" ref="M3:M66" si="1">IFERROR(PI() * (G3/200)^2, "")</f>
        <v>0.13854423602330987</v>
      </c>
      <c r="N3" s="103">
        <v>2.6</v>
      </c>
      <c r="O3">
        <v>3.9</v>
      </c>
      <c r="P3" s="90">
        <f t="shared" ref="P3:P66" si="2">IFERROR((PI() * N3 * O3) / 4, "")</f>
        <v>7.9639373768501249</v>
      </c>
    </row>
    <row r="4" spans="1:22" x14ac:dyDescent="0.3">
      <c r="A4" t="s">
        <v>35</v>
      </c>
      <c r="B4" s="58" t="s">
        <v>968</v>
      </c>
      <c r="C4" s="58" t="s">
        <v>965</v>
      </c>
      <c r="D4" s="59" t="s">
        <v>969</v>
      </c>
      <c r="E4" s="58" t="s">
        <v>41</v>
      </c>
      <c r="F4" s="147" t="s">
        <v>2049</v>
      </c>
      <c r="G4">
        <v>5.3</v>
      </c>
      <c r="H4" s="101">
        <v>2.2999999999999998</v>
      </c>
      <c r="I4" s="58">
        <v>60</v>
      </c>
      <c r="J4" s="101">
        <v>0.4</v>
      </c>
      <c r="K4">
        <f>IFERROR(VLOOKUP(TRIM(D4), Trees_density!$A:$B, 2, FALSE), "")</f>
        <v>0.65</v>
      </c>
      <c r="L4" s="90">
        <f t="shared" si="0"/>
        <v>2.5837552121072269</v>
      </c>
      <c r="M4" s="150">
        <f t="shared" si="1"/>
        <v>2.2061834409834321E-3</v>
      </c>
      <c r="N4" s="103">
        <v>2.2000000000000002</v>
      </c>
      <c r="O4">
        <v>1.8</v>
      </c>
      <c r="P4" s="90">
        <f t="shared" si="2"/>
        <v>3.1101767270538958</v>
      </c>
    </row>
    <row r="5" spans="1:22" x14ac:dyDescent="0.3">
      <c r="A5" t="s">
        <v>35</v>
      </c>
      <c r="B5" s="60" t="s">
        <v>970</v>
      </c>
      <c r="C5" s="62" t="s">
        <v>965</v>
      </c>
      <c r="D5" s="63" t="s">
        <v>971</v>
      </c>
      <c r="E5" s="60" t="s">
        <v>972</v>
      </c>
      <c r="F5" s="62" t="s">
        <v>2049</v>
      </c>
      <c r="G5">
        <v>6</v>
      </c>
      <c r="H5" s="106">
        <v>2.5</v>
      </c>
      <c r="I5" s="60">
        <v>30</v>
      </c>
      <c r="J5" s="106">
        <v>1.3</v>
      </c>
      <c r="K5">
        <f>IFERROR(VLOOKUP(TRIM(D5), Trees_density!$A:$B, 2, FALSE), "")</f>
        <v>0.78</v>
      </c>
      <c r="L5" s="90">
        <f t="shared" si="0"/>
        <v>4.266188941853148</v>
      </c>
      <c r="M5" s="150">
        <f t="shared" si="1"/>
        <v>2.8274333882308137E-3</v>
      </c>
      <c r="N5" s="108">
        <v>2.1</v>
      </c>
      <c r="O5">
        <v>1.9</v>
      </c>
      <c r="P5" s="90">
        <f t="shared" si="2"/>
        <v>3.1337386719558187</v>
      </c>
      <c r="S5" t="s">
        <v>2043</v>
      </c>
    </row>
    <row r="6" spans="1:22" x14ac:dyDescent="0.3">
      <c r="A6" t="s">
        <v>35</v>
      </c>
      <c r="B6" s="58" t="s">
        <v>973</v>
      </c>
      <c r="C6" s="58" t="s">
        <v>965</v>
      </c>
      <c r="D6" s="59" t="s">
        <v>974</v>
      </c>
      <c r="E6" s="58" t="s">
        <v>975</v>
      </c>
      <c r="F6" s="147" t="s">
        <v>2049</v>
      </c>
      <c r="G6">
        <v>5.0999999999999996</v>
      </c>
      <c r="H6" s="101">
        <v>2</v>
      </c>
      <c r="I6" s="58">
        <v>25</v>
      </c>
      <c r="J6" s="101">
        <v>0.6</v>
      </c>
      <c r="K6">
        <f>IFERROR(VLOOKUP(TRIM(D6), Trees_density!$A:$B, 2, FALSE), "")</f>
        <v>0.64</v>
      </c>
      <c r="L6" s="90">
        <f t="shared" si="0"/>
        <v>2.0598186136185195</v>
      </c>
      <c r="M6" s="150">
        <f t="shared" si="1"/>
        <v>2.0428206229967626E-3</v>
      </c>
      <c r="N6" s="103">
        <v>5.5</v>
      </c>
      <c r="O6">
        <v>0.5</v>
      </c>
      <c r="P6" s="90">
        <f t="shared" si="2"/>
        <v>2.1598449493429825</v>
      </c>
      <c r="S6" t="s">
        <v>2044</v>
      </c>
    </row>
    <row r="7" spans="1:22" x14ac:dyDescent="0.3">
      <c r="A7" t="s">
        <v>35</v>
      </c>
      <c r="B7" s="60" t="s">
        <v>976</v>
      </c>
      <c r="C7" s="60" t="s">
        <v>965</v>
      </c>
      <c r="D7" s="61" t="s">
        <v>977</v>
      </c>
      <c r="E7" s="60" t="s">
        <v>41</v>
      </c>
      <c r="F7" s="62" t="s">
        <v>2049</v>
      </c>
      <c r="G7">
        <v>10.199999999999999</v>
      </c>
      <c r="H7" s="106">
        <v>4.9000000000000004</v>
      </c>
      <c r="I7" s="60">
        <v>85</v>
      </c>
      <c r="J7" s="106">
        <v>1.7</v>
      </c>
      <c r="K7">
        <f>IFERROR(VLOOKUP(TRIM(D7), Trees_density!$A:$B, 2, FALSE), "")</f>
        <v>0.67</v>
      </c>
      <c r="L7" s="90">
        <f t="shared" si="0"/>
        <v>19.984025769121459</v>
      </c>
      <c r="M7" s="150">
        <f t="shared" si="1"/>
        <v>8.1712824919870503E-3</v>
      </c>
      <c r="N7" s="108">
        <v>4.8</v>
      </c>
      <c r="O7">
        <v>3.8</v>
      </c>
      <c r="P7" s="90">
        <f t="shared" si="2"/>
        <v>14.325662500369456</v>
      </c>
      <c r="S7" t="s">
        <v>2045</v>
      </c>
    </row>
    <row r="8" spans="1:22" x14ac:dyDescent="0.3">
      <c r="A8" t="s">
        <v>55</v>
      </c>
      <c r="B8" s="64" t="s">
        <v>83</v>
      </c>
      <c r="C8" s="58" t="s">
        <v>965</v>
      </c>
      <c r="D8" s="65" t="s">
        <v>978</v>
      </c>
      <c r="E8" s="64" t="s">
        <v>41</v>
      </c>
      <c r="F8" s="72" t="s">
        <v>2049</v>
      </c>
      <c r="G8">
        <v>33.299999999999997</v>
      </c>
      <c r="H8" s="110">
        <v>7</v>
      </c>
      <c r="I8" s="64">
        <v>40</v>
      </c>
      <c r="J8" s="110">
        <v>1.75</v>
      </c>
      <c r="K8">
        <f>IFERROR(VLOOKUP(TRIM(D8), Trees_density!$A:$B, 2, FALSE), "")</f>
        <v>0.6</v>
      </c>
      <c r="L8" s="90">
        <f t="shared" si="0"/>
        <v>255.92783066452915</v>
      </c>
      <c r="M8" s="150">
        <f t="shared" si="1"/>
        <v>8.7092016940979622E-2</v>
      </c>
      <c r="N8" s="111">
        <v>6</v>
      </c>
      <c r="O8">
        <v>5.5</v>
      </c>
      <c r="P8" s="90">
        <f t="shared" si="2"/>
        <v>25.918139392115794</v>
      </c>
      <c r="S8" t="s">
        <v>2046</v>
      </c>
    </row>
    <row r="9" spans="1:22" x14ac:dyDescent="0.3">
      <c r="A9" t="s">
        <v>109</v>
      </c>
      <c r="B9" s="60" t="s">
        <v>964</v>
      </c>
      <c r="C9" s="60" t="s">
        <v>965</v>
      </c>
      <c r="D9" s="61" t="s">
        <v>966</v>
      </c>
      <c r="E9" s="60" t="s">
        <v>967</v>
      </c>
      <c r="F9" s="62" t="s">
        <v>2049</v>
      </c>
      <c r="G9">
        <v>11.4</v>
      </c>
      <c r="H9" s="106">
        <v>4.4000000000000004</v>
      </c>
      <c r="I9" s="60">
        <v>30</v>
      </c>
      <c r="J9" s="113" t="s">
        <v>1805</v>
      </c>
      <c r="K9">
        <f>IFERROR(VLOOKUP(TRIM(D9), Trees_density!$A:$B, 2, FALSE), "")</f>
        <v>0.56000000000000005</v>
      </c>
      <c r="L9" s="90">
        <f t="shared" si="0"/>
        <v>18.764399067973365</v>
      </c>
      <c r="M9" s="150">
        <f t="shared" si="1"/>
        <v>1.0207034531513238E-2</v>
      </c>
      <c r="N9" s="103">
        <v>3.45</v>
      </c>
      <c r="O9">
        <v>3.1</v>
      </c>
      <c r="P9" s="90">
        <f t="shared" si="2"/>
        <v>8.3998333575357105</v>
      </c>
      <c r="S9" t="s">
        <v>2047</v>
      </c>
    </row>
    <row r="10" spans="1:22" x14ac:dyDescent="0.3">
      <c r="A10" t="s">
        <v>109</v>
      </c>
      <c r="B10" s="58" t="s">
        <v>964</v>
      </c>
      <c r="C10" s="58" t="s">
        <v>965</v>
      </c>
      <c r="D10" s="59" t="s">
        <v>966</v>
      </c>
      <c r="E10" s="58" t="s">
        <v>967</v>
      </c>
      <c r="F10" s="72" t="s">
        <v>2049</v>
      </c>
      <c r="G10">
        <v>10.9</v>
      </c>
      <c r="H10" s="101">
        <v>4.4000000000000004</v>
      </c>
      <c r="I10" s="58">
        <v>30</v>
      </c>
      <c r="J10" s="113" t="s">
        <v>1808</v>
      </c>
      <c r="K10">
        <f>IFERROR(VLOOKUP(TRIM(D10), Trees_density!$A:$B, 2, FALSE), "")</f>
        <v>0.56000000000000005</v>
      </c>
      <c r="L10" s="90">
        <f t="shared" si="0"/>
        <v>17.191466084777936</v>
      </c>
      <c r="M10" s="150">
        <f t="shared" si="1"/>
        <v>9.3313155793250824E-3</v>
      </c>
      <c r="N10" s="108">
        <v>3.45</v>
      </c>
      <c r="O10">
        <v>3.1</v>
      </c>
      <c r="P10" s="90">
        <f t="shared" si="2"/>
        <v>8.3998333575357105</v>
      </c>
    </row>
    <row r="11" spans="1:22" x14ac:dyDescent="0.3">
      <c r="A11" t="s">
        <v>109</v>
      </c>
      <c r="B11" s="60" t="s">
        <v>853</v>
      </c>
      <c r="C11" s="60" t="s">
        <v>965</v>
      </c>
      <c r="D11" s="61" t="s">
        <v>979</v>
      </c>
      <c r="E11" s="60" t="s">
        <v>980</v>
      </c>
      <c r="F11" s="146" t="s">
        <v>2029</v>
      </c>
      <c r="G11">
        <v>9</v>
      </c>
      <c r="H11" s="106">
        <v>3</v>
      </c>
      <c r="I11" s="60">
        <v>5</v>
      </c>
      <c r="J11" s="114">
        <v>2</v>
      </c>
      <c r="K11">
        <f>IFERROR(VLOOKUP(TRIM(D11), Trees_density!$A:$B, 2, FALSE), "")</f>
        <v>0.44</v>
      </c>
      <c r="L11" s="90">
        <f t="shared" si="0"/>
        <v>6.4324526722513191</v>
      </c>
      <c r="M11" s="150">
        <f t="shared" si="1"/>
        <v>6.3617251235193305E-3</v>
      </c>
      <c r="N11" s="108">
        <v>1</v>
      </c>
      <c r="O11">
        <v>0.9</v>
      </c>
      <c r="P11" s="90">
        <f t="shared" si="2"/>
        <v>0.70685834705770345</v>
      </c>
    </row>
    <row r="12" spans="1:22" x14ac:dyDescent="0.3">
      <c r="A12" t="s">
        <v>127</v>
      </c>
      <c r="B12" s="58" t="s">
        <v>981</v>
      </c>
      <c r="C12" s="58" t="s">
        <v>50</v>
      </c>
      <c r="D12" s="59" t="s">
        <v>982</v>
      </c>
      <c r="E12" s="58" t="s">
        <v>32</v>
      </c>
      <c r="F12" s="146" t="s">
        <v>2029</v>
      </c>
      <c r="G12">
        <v>66.3</v>
      </c>
      <c r="H12" s="101">
        <v>23</v>
      </c>
      <c r="I12" s="58">
        <v>80</v>
      </c>
      <c r="J12" s="114" t="s">
        <v>1815</v>
      </c>
      <c r="K12">
        <f>IFERROR(VLOOKUP(TRIM(D12), Trees_density!$A:$B, 2, FALSE), "")</f>
        <v>0.32</v>
      </c>
      <c r="L12" s="90">
        <f t="shared" si="0"/>
        <v>1697.0014697854886</v>
      </c>
      <c r="M12" s="150">
        <f t="shared" si="1"/>
        <v>0.34523668528645285</v>
      </c>
      <c r="N12" s="103">
        <v>7.4</v>
      </c>
      <c r="O12">
        <v>7.4</v>
      </c>
      <c r="P12" s="90">
        <f t="shared" si="2"/>
        <v>43.008403427644268</v>
      </c>
    </row>
    <row r="13" spans="1:22" x14ac:dyDescent="0.3">
      <c r="A13" t="s">
        <v>127</v>
      </c>
      <c r="B13" s="60" t="s">
        <v>981</v>
      </c>
      <c r="C13" s="60" t="s">
        <v>50</v>
      </c>
      <c r="D13" s="61" t="s">
        <v>982</v>
      </c>
      <c r="E13" s="60" t="s">
        <v>32</v>
      </c>
      <c r="F13" s="146" t="s">
        <v>2029</v>
      </c>
      <c r="G13">
        <v>47.8</v>
      </c>
      <c r="H13" s="106">
        <v>19.600000000000001</v>
      </c>
      <c r="I13" s="60">
        <v>90</v>
      </c>
      <c r="J13" s="114" t="s">
        <v>1819</v>
      </c>
      <c r="K13">
        <f>IFERROR(VLOOKUP(TRIM(D13), Trees_density!$A:$B, 2, FALSE), "")</f>
        <v>0.32</v>
      </c>
      <c r="L13" s="90">
        <f t="shared" si="0"/>
        <v>766.52552787254047</v>
      </c>
      <c r="M13" s="150">
        <f t="shared" si="1"/>
        <v>0.17945091396570256</v>
      </c>
      <c r="N13" s="108">
        <v>7.4</v>
      </c>
      <c r="O13">
        <v>7.5</v>
      </c>
      <c r="P13" s="90">
        <f t="shared" si="2"/>
        <v>43.589598068558381</v>
      </c>
      <c r="S13" t="s">
        <v>2050</v>
      </c>
      <c r="V13" t="s">
        <v>2058</v>
      </c>
    </row>
    <row r="14" spans="1:22" x14ac:dyDescent="0.3">
      <c r="A14" t="s">
        <v>127</v>
      </c>
      <c r="B14" s="58" t="s">
        <v>981</v>
      </c>
      <c r="C14" s="58" t="s">
        <v>50</v>
      </c>
      <c r="D14" s="59" t="s">
        <v>982</v>
      </c>
      <c r="E14" s="58" t="s">
        <v>32</v>
      </c>
      <c r="F14" s="146" t="s">
        <v>2029</v>
      </c>
      <c r="G14">
        <v>49.4</v>
      </c>
      <c r="H14" s="101">
        <v>21.3</v>
      </c>
      <c r="I14" s="58">
        <v>90</v>
      </c>
      <c r="J14" s="114" t="s">
        <v>1815</v>
      </c>
      <c r="K14">
        <f>IFERROR(VLOOKUP(TRIM(D14), Trees_density!$A:$B, 2, FALSE), "")</f>
        <v>0.32</v>
      </c>
      <c r="L14" s="90">
        <f t="shared" si="0"/>
        <v>886.53306951272714</v>
      </c>
      <c r="M14" s="150">
        <f t="shared" si="1"/>
        <v>0.1916654262028597</v>
      </c>
      <c r="N14" s="103">
        <v>7.4</v>
      </c>
      <c r="O14">
        <v>7.6</v>
      </c>
      <c r="P14" s="90">
        <f t="shared" si="2"/>
        <v>44.170792709472487</v>
      </c>
      <c r="S14" t="s">
        <v>2053</v>
      </c>
    </row>
    <row r="15" spans="1:22" x14ac:dyDescent="0.3">
      <c r="A15" t="s">
        <v>127</v>
      </c>
      <c r="B15" s="60" t="s">
        <v>981</v>
      </c>
      <c r="C15" s="60" t="s">
        <v>50</v>
      </c>
      <c r="D15" s="61" t="s">
        <v>982</v>
      </c>
      <c r="E15" s="60" t="s">
        <v>32</v>
      </c>
      <c r="F15" s="146" t="s">
        <v>2029</v>
      </c>
      <c r="G15">
        <v>59.6</v>
      </c>
      <c r="H15" s="106">
        <v>21.3</v>
      </c>
      <c r="I15" s="60">
        <v>90</v>
      </c>
      <c r="J15" s="114" t="s">
        <v>1824</v>
      </c>
      <c r="K15">
        <f>IFERROR(VLOOKUP(TRIM(D15), Trees_density!$A:$B, 2, FALSE), "")</f>
        <v>0.32</v>
      </c>
      <c r="L15" s="90">
        <f t="shared" si="0"/>
        <v>1278.8530248128829</v>
      </c>
      <c r="M15" s="150">
        <f t="shared" si="1"/>
        <v>0.27898599400938795</v>
      </c>
      <c r="N15" s="108">
        <v>7.4</v>
      </c>
      <c r="O15">
        <v>7.7</v>
      </c>
      <c r="P15" s="90">
        <f t="shared" si="2"/>
        <v>44.751987350386607</v>
      </c>
      <c r="S15" t="s">
        <v>2054</v>
      </c>
    </row>
    <row r="16" spans="1:22" x14ac:dyDescent="0.3">
      <c r="A16" t="s">
        <v>127</v>
      </c>
      <c r="B16" s="58" t="s">
        <v>981</v>
      </c>
      <c r="C16" s="58" t="s">
        <v>50</v>
      </c>
      <c r="D16" s="59" t="s">
        <v>982</v>
      </c>
      <c r="E16" s="58" t="s">
        <v>32</v>
      </c>
      <c r="F16" s="146" t="s">
        <v>2029</v>
      </c>
      <c r="G16">
        <v>48.6</v>
      </c>
      <c r="H16" s="101">
        <v>21.3</v>
      </c>
      <c r="I16" s="58">
        <v>90</v>
      </c>
      <c r="J16" s="114" t="s">
        <v>1819</v>
      </c>
      <c r="K16">
        <f>IFERROR(VLOOKUP(TRIM(D16), Trees_density!$A:$B, 2, FALSE), "")</f>
        <v>0.32</v>
      </c>
      <c r="L16" s="90">
        <f t="shared" si="0"/>
        <v>858.72465783681366</v>
      </c>
      <c r="M16" s="150">
        <f t="shared" si="1"/>
        <v>0.18550790460182368</v>
      </c>
      <c r="N16" s="103">
        <v>7.4</v>
      </c>
      <c r="O16">
        <v>7.8</v>
      </c>
      <c r="P16" s="90">
        <f t="shared" si="2"/>
        <v>45.333181991300712</v>
      </c>
      <c r="S16" t="s">
        <v>2055</v>
      </c>
    </row>
    <row r="17" spans="1:19" x14ac:dyDescent="0.3">
      <c r="A17" t="s">
        <v>127</v>
      </c>
      <c r="B17" s="60" t="s">
        <v>981</v>
      </c>
      <c r="C17" s="60" t="s">
        <v>50</v>
      </c>
      <c r="D17" s="61" t="s">
        <v>982</v>
      </c>
      <c r="E17" s="60" t="s">
        <v>32</v>
      </c>
      <c r="F17" s="146" t="s">
        <v>2029</v>
      </c>
      <c r="G17">
        <v>57.8</v>
      </c>
      <c r="H17" s="106">
        <v>21.3</v>
      </c>
      <c r="I17" s="60">
        <v>90</v>
      </c>
      <c r="J17" s="114" t="s">
        <v>1829</v>
      </c>
      <c r="K17">
        <f>IFERROR(VLOOKUP(TRIM(D17), Trees_density!$A:$B, 2, FALSE), "")</f>
        <v>0.32</v>
      </c>
      <c r="L17" s="90">
        <f t="shared" si="0"/>
        <v>1204.5451314322222</v>
      </c>
      <c r="M17" s="150">
        <f t="shared" si="1"/>
        <v>0.26238896002047307</v>
      </c>
      <c r="N17" s="108">
        <v>7.4</v>
      </c>
      <c r="O17">
        <v>7.9</v>
      </c>
      <c r="P17" s="90">
        <f t="shared" si="2"/>
        <v>45.914376632214825</v>
      </c>
    </row>
    <row r="18" spans="1:19" x14ac:dyDescent="0.3">
      <c r="A18" t="s">
        <v>127</v>
      </c>
      <c r="B18" s="58" t="s">
        <v>981</v>
      </c>
      <c r="C18" s="58" t="s">
        <v>50</v>
      </c>
      <c r="D18" s="59" t="s">
        <v>982</v>
      </c>
      <c r="E18" s="58" t="s">
        <v>32</v>
      </c>
      <c r="F18" s="146" t="s">
        <v>2029</v>
      </c>
      <c r="G18">
        <v>45</v>
      </c>
      <c r="H18" s="101">
        <v>21.3</v>
      </c>
      <c r="I18" s="58">
        <v>90</v>
      </c>
      <c r="J18" s="114" t="s">
        <v>1832</v>
      </c>
      <c r="K18">
        <f>IFERROR(VLOOKUP(TRIM(D18), Trees_density!$A:$B, 2, FALSE), "")</f>
        <v>0.32</v>
      </c>
      <c r="L18" s="90">
        <f t="shared" si="0"/>
        <v>738.94269966672812</v>
      </c>
      <c r="M18" s="150">
        <f t="shared" si="1"/>
        <v>0.15904312808798329</v>
      </c>
      <c r="N18" s="103">
        <v>7.4</v>
      </c>
      <c r="O18">
        <v>7.1</v>
      </c>
      <c r="P18" s="90">
        <f t="shared" si="2"/>
        <v>41.264819504901929</v>
      </c>
      <c r="S18" t="s">
        <v>2059</v>
      </c>
    </row>
    <row r="19" spans="1:19" x14ac:dyDescent="0.3">
      <c r="A19" t="s">
        <v>127</v>
      </c>
      <c r="B19" s="60" t="s">
        <v>981</v>
      </c>
      <c r="C19" s="60" t="s">
        <v>50</v>
      </c>
      <c r="D19" s="61" t="s">
        <v>982</v>
      </c>
      <c r="E19" s="60" t="s">
        <v>32</v>
      </c>
      <c r="F19" s="146" t="s">
        <v>2029</v>
      </c>
      <c r="G19">
        <v>58.6</v>
      </c>
      <c r="H19" s="106">
        <v>21.3</v>
      </c>
      <c r="I19" s="60">
        <v>90</v>
      </c>
      <c r="J19" s="114" t="s">
        <v>1815</v>
      </c>
      <c r="K19">
        <f>IFERROR(VLOOKUP(TRIM(D19), Trees_density!$A:$B, 2, FALSE), "")</f>
        <v>0.32</v>
      </c>
      <c r="L19" s="90">
        <f t="shared" si="0"/>
        <v>1237.3030471729044</v>
      </c>
      <c r="M19" s="150">
        <f t="shared" si="1"/>
        <v>0.26970258771803013</v>
      </c>
      <c r="N19" s="108">
        <v>7.4</v>
      </c>
      <c r="O19">
        <v>7.11</v>
      </c>
      <c r="P19" s="90">
        <f t="shared" si="2"/>
        <v>41.322938968993348</v>
      </c>
      <c r="S19" t="s">
        <v>2057</v>
      </c>
    </row>
    <row r="20" spans="1:19" x14ac:dyDescent="0.3">
      <c r="A20" t="s">
        <v>192</v>
      </c>
      <c r="B20" s="66" t="s">
        <v>968</v>
      </c>
      <c r="C20" s="66" t="s">
        <v>965</v>
      </c>
      <c r="D20" s="67" t="s">
        <v>969</v>
      </c>
      <c r="E20" s="66" t="s">
        <v>41</v>
      </c>
      <c r="F20" s="146" t="s">
        <v>2049</v>
      </c>
      <c r="G20">
        <v>17</v>
      </c>
      <c r="H20" s="116">
        <v>4</v>
      </c>
      <c r="I20" s="66">
        <v>30</v>
      </c>
      <c r="J20" s="116">
        <v>1.5</v>
      </c>
      <c r="K20">
        <f>IFERROR(VLOOKUP(TRIM(D20), Trees_density!$A:$B, 2, FALSE), "")</f>
        <v>0.65</v>
      </c>
      <c r="L20" s="90">
        <f t="shared" si="0"/>
        <v>43.138530445919848</v>
      </c>
      <c r="M20" s="150">
        <f t="shared" si="1"/>
        <v>2.2698006922186261E-2</v>
      </c>
      <c r="N20" s="117">
        <v>3.4</v>
      </c>
      <c r="O20">
        <v>3.5</v>
      </c>
      <c r="P20" s="90">
        <f t="shared" si="2"/>
        <v>9.3462381444296341</v>
      </c>
    </row>
    <row r="21" spans="1:19" x14ac:dyDescent="0.3">
      <c r="A21" t="s">
        <v>192</v>
      </c>
      <c r="B21" s="68" t="s">
        <v>135</v>
      </c>
      <c r="C21" s="68" t="s">
        <v>965</v>
      </c>
      <c r="D21" s="69" t="s">
        <v>983</v>
      </c>
      <c r="E21" s="68" t="s">
        <v>136</v>
      </c>
      <c r="F21" s="146" t="s">
        <v>2049</v>
      </c>
      <c r="G21">
        <v>31.46</v>
      </c>
      <c r="H21" s="120">
        <v>6.2</v>
      </c>
      <c r="I21" s="68">
        <v>10</v>
      </c>
      <c r="J21" s="120">
        <v>1.75</v>
      </c>
      <c r="K21">
        <f>IFERROR(VLOOKUP(TRIM(D21), Trees_density!$A:$B, 2, FALSE), "")</f>
        <v>0.53</v>
      </c>
      <c r="L21" s="90">
        <f t="shared" si="0"/>
        <v>180.26342566810396</v>
      </c>
      <c r="M21" s="150">
        <f t="shared" si="1"/>
        <v>7.7733338089641779E-2</v>
      </c>
      <c r="N21" s="121">
        <v>5</v>
      </c>
      <c r="O21">
        <v>6</v>
      </c>
      <c r="P21" s="90">
        <f t="shared" si="2"/>
        <v>23.561944901923447</v>
      </c>
    </row>
    <row r="22" spans="1:19" x14ac:dyDescent="0.3">
      <c r="A22" t="s">
        <v>239</v>
      </c>
      <c r="B22" s="58" t="s">
        <v>984</v>
      </c>
      <c r="C22" s="58" t="s">
        <v>50</v>
      </c>
      <c r="D22" s="59" t="s">
        <v>985</v>
      </c>
      <c r="E22" s="58" t="s">
        <v>136</v>
      </c>
      <c r="F22" s="146" t="s">
        <v>2049</v>
      </c>
      <c r="G22">
        <v>10.5</v>
      </c>
      <c r="H22" s="101">
        <v>6</v>
      </c>
      <c r="I22" s="58">
        <v>70</v>
      </c>
      <c r="J22" s="101">
        <v>2</v>
      </c>
      <c r="K22">
        <f>IFERROR(VLOOKUP(TRIM(D22), Trees_density!$A:$B, 2, FALSE), "")</f>
        <v>0.62</v>
      </c>
      <c r="L22" s="90">
        <f t="shared" si="0"/>
        <v>23.89056855436732</v>
      </c>
      <c r="M22" s="150">
        <f t="shared" si="1"/>
        <v>8.6590147514568668E-3</v>
      </c>
      <c r="N22" s="108">
        <v>2.4</v>
      </c>
      <c r="O22">
        <v>3.5</v>
      </c>
      <c r="P22" s="90">
        <f t="shared" si="2"/>
        <v>6.5973445725385655</v>
      </c>
    </row>
    <row r="23" spans="1:19" x14ac:dyDescent="0.3">
      <c r="A23" t="s">
        <v>239</v>
      </c>
      <c r="B23" s="60" t="s">
        <v>986</v>
      </c>
      <c r="C23" s="68" t="s">
        <v>965</v>
      </c>
      <c r="D23" s="61" t="s">
        <v>987</v>
      </c>
      <c r="E23" s="60" t="s">
        <v>988</v>
      </c>
      <c r="F23" s="146" t="s">
        <v>2049</v>
      </c>
      <c r="G23">
        <v>11.7</v>
      </c>
      <c r="H23" s="106">
        <v>4.5</v>
      </c>
      <c r="I23" s="60">
        <v>70</v>
      </c>
      <c r="J23" s="106">
        <v>2</v>
      </c>
      <c r="K23">
        <f>IFERROR(VLOOKUP(TRIM(D23), Trees_density!$A:$B, 2, FALSE), "")</f>
        <v>0.45</v>
      </c>
      <c r="L23" s="90">
        <f t="shared" si="0"/>
        <v>16.299890738235042</v>
      </c>
      <c r="M23" s="150">
        <f t="shared" si="1"/>
        <v>1.0751315458747667E-2</v>
      </c>
      <c r="N23" s="103">
        <v>3.8</v>
      </c>
      <c r="O23">
        <v>2.5</v>
      </c>
      <c r="P23" s="90">
        <f t="shared" si="2"/>
        <v>7.4612825522757582</v>
      </c>
    </row>
    <row r="24" spans="1:19" x14ac:dyDescent="0.3">
      <c r="A24" t="s">
        <v>239</v>
      </c>
      <c r="B24" s="58" t="s">
        <v>989</v>
      </c>
      <c r="C24" s="66" t="s">
        <v>965</v>
      </c>
      <c r="D24" s="59" t="s">
        <v>990</v>
      </c>
      <c r="E24" s="58" t="s">
        <v>991</v>
      </c>
      <c r="F24" s="146" t="s">
        <v>2049</v>
      </c>
      <c r="G24">
        <v>29.5</v>
      </c>
      <c r="H24" s="101">
        <v>14</v>
      </c>
      <c r="I24" s="58">
        <v>75</v>
      </c>
      <c r="J24" s="101">
        <v>3</v>
      </c>
      <c r="K24">
        <f>IFERROR(VLOOKUP(TRIM(D24), Trees_density!$A:$B, 2, FALSE), "")</f>
        <v>0.56999999999999995</v>
      </c>
      <c r="L24" s="90">
        <f t="shared" si="0"/>
        <v>377.97446533201156</v>
      </c>
      <c r="M24" s="150">
        <f t="shared" si="1"/>
        <v>6.8349275169662924E-2</v>
      </c>
      <c r="N24" s="108">
        <v>7</v>
      </c>
      <c r="O24">
        <v>5.5</v>
      </c>
      <c r="P24" s="90">
        <f t="shared" si="2"/>
        <v>30.237829290801759</v>
      </c>
    </row>
    <row r="25" spans="1:19" x14ac:dyDescent="0.3">
      <c r="A25" t="s">
        <v>239</v>
      </c>
      <c r="B25" s="60" t="s">
        <v>860</v>
      </c>
      <c r="C25" s="68" t="s">
        <v>965</v>
      </c>
      <c r="D25" s="61" t="s">
        <v>992</v>
      </c>
      <c r="E25" s="60" t="s">
        <v>993</v>
      </c>
      <c r="F25" s="146" t="s">
        <v>2049</v>
      </c>
      <c r="G25">
        <v>19.14</v>
      </c>
      <c r="H25" s="106">
        <v>5</v>
      </c>
      <c r="I25" s="60">
        <v>40</v>
      </c>
      <c r="J25" s="106">
        <v>2</v>
      </c>
      <c r="K25">
        <f>IFERROR(VLOOKUP(TRIM(D25), Trees_density!$A:$B, 2, FALSE), "")</f>
        <v>0.6</v>
      </c>
      <c r="L25" s="90">
        <f t="shared" si="0"/>
        <v>62.522460796600484</v>
      </c>
      <c r="M25" s="150">
        <f t="shared" si="1"/>
        <v>2.877224490197559E-2</v>
      </c>
      <c r="N25" s="103">
        <v>5.7</v>
      </c>
      <c r="O25">
        <v>4</v>
      </c>
      <c r="P25" s="90">
        <f t="shared" si="2"/>
        <v>17.907078125461823</v>
      </c>
    </row>
    <row r="26" spans="1:19" x14ac:dyDescent="0.3">
      <c r="A26" t="s">
        <v>310</v>
      </c>
      <c r="B26" s="58" t="s">
        <v>994</v>
      </c>
      <c r="C26" s="66" t="s">
        <v>965</v>
      </c>
      <c r="D26" s="59" t="s">
        <v>995</v>
      </c>
      <c r="E26" s="58" t="s">
        <v>996</v>
      </c>
      <c r="F26" s="146" t="s">
        <v>2049</v>
      </c>
      <c r="G26">
        <v>43.01</v>
      </c>
      <c r="H26" s="101">
        <v>11</v>
      </c>
      <c r="I26" s="58">
        <v>80</v>
      </c>
      <c r="J26" s="101">
        <v>1.2</v>
      </c>
      <c r="K26">
        <f>IFERROR(VLOOKUP(TRIM(D26), Trees_density!$A:$B, 2, FALSE), "")</f>
        <v>0.72</v>
      </c>
      <c r="L26" s="90">
        <f t="shared" si="0"/>
        <v>783.24637455393099</v>
      </c>
      <c r="M26" s="150">
        <f t="shared" si="1"/>
        <v>0.14528767250822197</v>
      </c>
      <c r="N26" s="103">
        <v>4</v>
      </c>
      <c r="O26">
        <v>5</v>
      </c>
      <c r="P26" s="90">
        <f t="shared" si="2"/>
        <v>15.707963267948966</v>
      </c>
    </row>
    <row r="27" spans="1:19" x14ac:dyDescent="0.3">
      <c r="A27" t="s">
        <v>310</v>
      </c>
      <c r="B27" s="60" t="s">
        <v>997</v>
      </c>
      <c r="C27" s="68" t="s">
        <v>965</v>
      </c>
      <c r="D27" s="61" t="s">
        <v>998</v>
      </c>
      <c r="E27" s="60" t="s">
        <v>32</v>
      </c>
      <c r="F27" s="62" t="s">
        <v>2029</v>
      </c>
      <c r="G27">
        <v>30</v>
      </c>
      <c r="H27" s="106">
        <v>11.2</v>
      </c>
      <c r="I27" s="60">
        <v>40</v>
      </c>
      <c r="J27" s="106">
        <v>1.2</v>
      </c>
      <c r="K27">
        <f>IFERROR(VLOOKUP(TRIM(D27), Trees_density!$A:$B, 2, FALSE), "")</f>
        <v>0.39</v>
      </c>
      <c r="L27" s="90">
        <f t="shared" si="0"/>
        <v>216.90601722787608</v>
      </c>
      <c r="M27" s="150">
        <f t="shared" si="1"/>
        <v>7.0685834705770348E-2</v>
      </c>
      <c r="N27" s="108">
        <v>3.5</v>
      </c>
      <c r="O27">
        <v>3.5</v>
      </c>
      <c r="P27" s="90">
        <f t="shared" si="2"/>
        <v>9.6211275016187408</v>
      </c>
    </row>
    <row r="28" spans="1:19" x14ac:dyDescent="0.3">
      <c r="A28" t="s">
        <v>310</v>
      </c>
      <c r="B28" s="58" t="s">
        <v>997</v>
      </c>
      <c r="C28" s="66" t="s">
        <v>965</v>
      </c>
      <c r="D28" s="59" t="s">
        <v>998</v>
      </c>
      <c r="E28" s="58" t="s">
        <v>32</v>
      </c>
      <c r="F28" s="72" t="s">
        <v>2029</v>
      </c>
      <c r="G28">
        <v>45</v>
      </c>
      <c r="H28" s="101">
        <v>14.6</v>
      </c>
      <c r="I28" s="58">
        <v>45</v>
      </c>
      <c r="J28" s="101">
        <v>1.2</v>
      </c>
      <c r="K28">
        <f>IFERROR(VLOOKUP(TRIM(D28), Trees_density!$A:$B, 2, FALSE), "")</f>
        <v>0.39</v>
      </c>
      <c r="L28" s="90">
        <f t="shared" si="0"/>
        <v>619.9737973600221</v>
      </c>
      <c r="M28" s="150">
        <f t="shared" si="1"/>
        <v>0.15904312808798329</v>
      </c>
      <c r="N28" s="103">
        <v>4.5</v>
      </c>
      <c r="O28">
        <v>4.5</v>
      </c>
      <c r="P28" s="90">
        <f t="shared" si="2"/>
        <v>15.904312808798327</v>
      </c>
    </row>
    <row r="29" spans="1:19" x14ac:dyDescent="0.3">
      <c r="A29" t="s">
        <v>310</v>
      </c>
      <c r="B29" s="60" t="s">
        <v>135</v>
      </c>
      <c r="C29" s="68" t="s">
        <v>965</v>
      </c>
      <c r="D29" s="61" t="s">
        <v>983</v>
      </c>
      <c r="E29" s="60" t="s">
        <v>136</v>
      </c>
      <c r="F29" s="62" t="s">
        <v>2049</v>
      </c>
      <c r="G29">
        <v>14.14</v>
      </c>
      <c r="H29" s="106">
        <v>3.6</v>
      </c>
      <c r="I29" s="60">
        <v>40</v>
      </c>
      <c r="J29" s="106">
        <v>1.5</v>
      </c>
      <c r="K29">
        <f>IFERROR(VLOOKUP(TRIM(D29), Trees_density!$A:$B, 2, FALSE), "")</f>
        <v>0.53</v>
      </c>
      <c r="L29" s="90">
        <f t="shared" si="0"/>
        <v>22.260596672359839</v>
      </c>
      <c r="M29" s="150">
        <f t="shared" si="1"/>
        <v>1.5703219463042043E-2</v>
      </c>
      <c r="N29" s="108">
        <v>1.8</v>
      </c>
      <c r="O29">
        <v>2</v>
      </c>
      <c r="P29" s="90">
        <f t="shared" si="2"/>
        <v>2.8274333882308138</v>
      </c>
    </row>
    <row r="30" spans="1:19" x14ac:dyDescent="0.3">
      <c r="A30" t="s">
        <v>310</v>
      </c>
      <c r="B30" s="58" t="s">
        <v>999</v>
      </c>
      <c r="C30" s="66" t="s">
        <v>965</v>
      </c>
      <c r="D30" s="59" t="s">
        <v>1000</v>
      </c>
      <c r="E30" s="58" t="s">
        <v>988</v>
      </c>
      <c r="F30" s="62" t="s">
        <v>2049</v>
      </c>
      <c r="G30">
        <v>15</v>
      </c>
      <c r="H30" s="101">
        <v>3.6</v>
      </c>
      <c r="I30" s="58">
        <v>75</v>
      </c>
      <c r="J30" s="101">
        <v>1.3</v>
      </c>
      <c r="K30">
        <f>IFERROR(VLOOKUP(TRIM(D30), Trees_density!$A:$B, 2, FALSE), "")</f>
        <v>0.47</v>
      </c>
      <c r="L30" s="90">
        <f t="shared" si="0"/>
        <v>22.215902052786117</v>
      </c>
      <c r="M30" s="150">
        <f t="shared" si="1"/>
        <v>1.7671458676442587E-2</v>
      </c>
      <c r="N30" s="103">
        <v>3</v>
      </c>
      <c r="O30">
        <v>3</v>
      </c>
      <c r="P30" s="90">
        <f t="shared" si="2"/>
        <v>7.0685834705770345</v>
      </c>
    </row>
    <row r="31" spans="1:19" x14ac:dyDescent="0.3">
      <c r="A31" t="s">
        <v>326</v>
      </c>
      <c r="B31" s="60" t="s">
        <v>1001</v>
      </c>
      <c r="C31" s="60" t="s">
        <v>50</v>
      </c>
      <c r="D31" s="61" t="s">
        <v>1002</v>
      </c>
      <c r="E31" s="60" t="s">
        <v>993</v>
      </c>
      <c r="F31" s="62" t="s">
        <v>2049</v>
      </c>
      <c r="G31">
        <v>15</v>
      </c>
      <c r="H31" s="106">
        <v>8</v>
      </c>
      <c r="I31" s="60">
        <v>70</v>
      </c>
      <c r="J31" s="106">
        <v>4</v>
      </c>
      <c r="K31">
        <f>IFERROR(VLOOKUP(TRIM(D31), Trees_density!$A:$B, 2, FALSE), "")</f>
        <v>0.63</v>
      </c>
      <c r="L31" s="90">
        <f t="shared" si="0"/>
        <v>64.464023070660616</v>
      </c>
      <c r="M31" s="150">
        <f t="shared" si="1"/>
        <v>1.7671458676442587E-2</v>
      </c>
      <c r="N31" s="108">
        <v>4.8</v>
      </c>
      <c r="O31">
        <v>3.5</v>
      </c>
      <c r="P31" s="90">
        <f t="shared" si="2"/>
        <v>13.194689145077131</v>
      </c>
    </row>
    <row r="32" spans="1:19" x14ac:dyDescent="0.3">
      <c r="A32" t="s">
        <v>326</v>
      </c>
      <c r="B32" s="58" t="s">
        <v>506</v>
      </c>
      <c r="C32" s="58" t="s">
        <v>50</v>
      </c>
      <c r="D32" s="59" t="s">
        <v>982</v>
      </c>
      <c r="E32" s="58" t="s">
        <v>32</v>
      </c>
      <c r="F32" s="147" t="s">
        <v>2029</v>
      </c>
      <c r="G32">
        <v>17</v>
      </c>
      <c r="H32" s="101">
        <v>8</v>
      </c>
      <c r="I32" s="58">
        <v>50</v>
      </c>
      <c r="J32" s="101">
        <v>2</v>
      </c>
      <c r="K32">
        <f>IFERROR(VLOOKUP(TRIM(D32), Trees_density!$A:$B, 2, FALSE), "")</f>
        <v>0.32</v>
      </c>
      <c r="L32" s="90">
        <f t="shared" si="0"/>
        <v>42.490668603563577</v>
      </c>
      <c r="M32" s="150">
        <f t="shared" si="1"/>
        <v>2.2698006922186261E-2</v>
      </c>
      <c r="N32" s="123">
        <v>5</v>
      </c>
      <c r="O32">
        <v>3</v>
      </c>
      <c r="P32" s="90">
        <f t="shared" si="2"/>
        <v>11.780972450961723</v>
      </c>
    </row>
    <row r="33" spans="1:16" x14ac:dyDescent="0.3">
      <c r="A33" t="s">
        <v>326</v>
      </c>
      <c r="B33" s="60" t="s">
        <v>851</v>
      </c>
      <c r="C33" s="60" t="s">
        <v>965</v>
      </c>
      <c r="D33" s="61" t="s">
        <v>1003</v>
      </c>
      <c r="E33" s="60" t="s">
        <v>41</v>
      </c>
      <c r="F33" s="62" t="s">
        <v>2049</v>
      </c>
      <c r="G33">
        <v>21.54</v>
      </c>
      <c r="H33" s="106">
        <v>7</v>
      </c>
      <c r="I33" s="124">
        <v>60</v>
      </c>
      <c r="J33" s="106">
        <v>2</v>
      </c>
      <c r="K33">
        <f>IFERROR(VLOOKUP(TRIM(D33), Trees_density!$A:$B, 2, FALSE), "")</f>
        <v>0.48</v>
      </c>
      <c r="L33" s="90">
        <f t="shared" si="0"/>
        <v>87.946346659108059</v>
      </c>
      <c r="M33" s="150">
        <f t="shared" si="1"/>
        <v>3.6440244250857547E-2</v>
      </c>
      <c r="N33" s="108">
        <v>3.2</v>
      </c>
      <c r="O33">
        <v>2</v>
      </c>
      <c r="P33" s="90">
        <f t="shared" si="2"/>
        <v>5.026548245743669</v>
      </c>
    </row>
    <row r="34" spans="1:16" x14ac:dyDescent="0.3">
      <c r="A34" t="s">
        <v>375</v>
      </c>
      <c r="B34" s="58" t="s">
        <v>968</v>
      </c>
      <c r="C34" s="58" t="s">
        <v>965</v>
      </c>
      <c r="D34" s="59" t="s">
        <v>969</v>
      </c>
      <c r="E34" s="58" t="s">
        <v>41</v>
      </c>
      <c r="F34" s="62" t="s">
        <v>2049</v>
      </c>
      <c r="G34">
        <v>49.24</v>
      </c>
      <c r="H34" s="101">
        <v>8</v>
      </c>
      <c r="I34" s="58">
        <v>65</v>
      </c>
      <c r="J34" s="101">
        <v>0.2</v>
      </c>
      <c r="K34">
        <f>IFERROR(VLOOKUP(TRIM(D34), Trees_density!$A:$B, 2, FALSE), "")</f>
        <v>0.65</v>
      </c>
      <c r="L34" s="90">
        <f t="shared" ref="L34:L65" si="3">IFERROR(0.0673 * ((K34 * G34^2 * H34)^0.976), "")</f>
        <v>676.45537195551094</v>
      </c>
      <c r="M34" s="150">
        <f t="shared" si="1"/>
        <v>0.1904258794054593</v>
      </c>
      <c r="N34" s="103">
        <v>5.5</v>
      </c>
      <c r="O34">
        <v>6</v>
      </c>
      <c r="P34" s="90">
        <f t="shared" si="2"/>
        <v>25.918139392115791</v>
      </c>
    </row>
    <row r="35" spans="1:16" x14ac:dyDescent="0.3">
      <c r="A35" t="s">
        <v>385</v>
      </c>
      <c r="B35" s="60" t="s">
        <v>857</v>
      </c>
      <c r="C35" s="60" t="s">
        <v>965</v>
      </c>
      <c r="D35" s="61" t="s">
        <v>1004</v>
      </c>
      <c r="E35" s="60" t="s">
        <v>41</v>
      </c>
      <c r="F35" s="62" t="s">
        <v>2049</v>
      </c>
      <c r="G35">
        <v>80</v>
      </c>
      <c r="H35" s="106">
        <v>16</v>
      </c>
      <c r="I35" s="60">
        <v>50</v>
      </c>
      <c r="J35" s="106">
        <v>2.1</v>
      </c>
      <c r="K35">
        <f>IFERROR(VLOOKUP(TRIM(D35), Trees_density!$A:$B, 2, FALSE), "")</f>
        <v>0.56000000000000005</v>
      </c>
      <c r="L35" s="90">
        <f t="shared" si="3"/>
        <v>2966.8755957056378</v>
      </c>
      <c r="M35" s="150">
        <f t="shared" si="1"/>
        <v>0.50265482457436694</v>
      </c>
      <c r="N35" s="108">
        <v>12</v>
      </c>
      <c r="O35">
        <v>11.3</v>
      </c>
      <c r="P35" s="90">
        <f t="shared" si="2"/>
        <v>106.49999095669399</v>
      </c>
    </row>
    <row r="36" spans="1:16" x14ac:dyDescent="0.3">
      <c r="A36" t="s">
        <v>385</v>
      </c>
      <c r="B36" s="58" t="s">
        <v>1005</v>
      </c>
      <c r="C36" s="58" t="s">
        <v>965</v>
      </c>
      <c r="D36" s="59" t="s">
        <v>1006</v>
      </c>
      <c r="E36" s="58" t="s">
        <v>41</v>
      </c>
      <c r="F36" s="62" t="s">
        <v>2049</v>
      </c>
      <c r="G36">
        <v>78.27</v>
      </c>
      <c r="H36" s="101">
        <v>14.5</v>
      </c>
      <c r="I36" s="58">
        <v>65</v>
      </c>
      <c r="J36" s="101">
        <v>2.5</v>
      </c>
      <c r="K36">
        <f>IFERROR(VLOOKUP(TRIM(D36), Trees_density!$A:$B, 2, FALSE), "")</f>
        <v>0.55000000000000004</v>
      </c>
      <c r="L36" s="90">
        <f t="shared" si="3"/>
        <v>2537.4781482595672</v>
      </c>
      <c r="M36" s="150">
        <f t="shared" si="1"/>
        <v>0.4811500652278487</v>
      </c>
      <c r="N36" s="103">
        <v>11.5</v>
      </c>
      <c r="O36">
        <v>6.3</v>
      </c>
      <c r="P36" s="90">
        <f t="shared" si="2"/>
        <v>56.902096938145121</v>
      </c>
    </row>
    <row r="37" spans="1:16" x14ac:dyDescent="0.3">
      <c r="A37" t="s">
        <v>385</v>
      </c>
      <c r="B37" s="60" t="s">
        <v>1007</v>
      </c>
      <c r="C37" s="60" t="s">
        <v>50</v>
      </c>
      <c r="D37" s="61" t="s">
        <v>858</v>
      </c>
      <c r="E37" s="60" t="s">
        <v>32</v>
      </c>
      <c r="F37" s="146" t="s">
        <v>2029</v>
      </c>
      <c r="G37">
        <v>12</v>
      </c>
      <c r="H37" s="106">
        <v>1.5</v>
      </c>
      <c r="I37" s="60">
        <v>95</v>
      </c>
      <c r="J37" s="106">
        <v>0.4</v>
      </c>
      <c r="K37">
        <f>IFERROR(VLOOKUP(TRIM(D37), Trees_density!$A:$B, 2, FALSE), "")</f>
        <v>0.45</v>
      </c>
      <c r="L37" s="90">
        <f t="shared" si="3"/>
        <v>5.8610758099783986</v>
      </c>
      <c r="M37" s="150">
        <f t="shared" si="1"/>
        <v>1.1309733552923255E-2</v>
      </c>
      <c r="N37" s="108">
        <v>1</v>
      </c>
      <c r="O37">
        <v>1</v>
      </c>
      <c r="P37" s="90">
        <f t="shared" si="2"/>
        <v>0.78539816339744828</v>
      </c>
    </row>
    <row r="38" spans="1:16" x14ac:dyDescent="0.3">
      <c r="A38" t="s">
        <v>404</v>
      </c>
      <c r="B38" s="58" t="s">
        <v>1008</v>
      </c>
      <c r="C38" s="58" t="s">
        <v>50</v>
      </c>
      <c r="D38" s="59" t="s">
        <v>1009</v>
      </c>
      <c r="E38" s="58" t="s">
        <v>1010</v>
      </c>
      <c r="F38" s="146" t="s">
        <v>2029</v>
      </c>
      <c r="G38">
        <v>100</v>
      </c>
      <c r="H38" s="101">
        <v>18.8</v>
      </c>
      <c r="I38" s="58">
        <v>60</v>
      </c>
      <c r="J38" s="101">
        <v>1.8</v>
      </c>
      <c r="K38">
        <f>IFERROR(VLOOKUP(TRIM(D38), Trees_density!$A:$B, 2, FALSE), "")</f>
        <v>0.4</v>
      </c>
      <c r="L38" s="90">
        <f t="shared" si="3"/>
        <v>3865.4821901650712</v>
      </c>
      <c r="M38" s="150">
        <f t="shared" si="1"/>
        <v>0.78539816339744828</v>
      </c>
      <c r="N38" s="103">
        <v>9.3000000000000007</v>
      </c>
      <c r="O38">
        <v>13.3</v>
      </c>
      <c r="P38" s="90">
        <f t="shared" si="2"/>
        <v>97.145898830630387</v>
      </c>
    </row>
    <row r="39" spans="1:16" x14ac:dyDescent="0.3">
      <c r="A39" t="s">
        <v>404</v>
      </c>
      <c r="B39" s="60" t="s">
        <v>1008</v>
      </c>
      <c r="C39" s="60" t="s">
        <v>50</v>
      </c>
      <c r="D39" s="61" t="s">
        <v>1009</v>
      </c>
      <c r="E39" s="60" t="s">
        <v>1010</v>
      </c>
      <c r="F39" s="146" t="s">
        <v>2029</v>
      </c>
      <c r="G39">
        <v>85</v>
      </c>
      <c r="H39" s="106">
        <v>72.2</v>
      </c>
      <c r="I39" s="60">
        <v>50</v>
      </c>
      <c r="J39" s="106">
        <v>1.5</v>
      </c>
      <c r="K39">
        <f>IFERROR(VLOOKUP(TRIM(D39), Trees_density!$A:$B, 2, FALSE), "")</f>
        <v>0.4</v>
      </c>
      <c r="L39" s="90">
        <f t="shared" si="3"/>
        <v>10466.070686488327</v>
      </c>
      <c r="M39" s="150">
        <f t="shared" si="1"/>
        <v>0.56745017305465628</v>
      </c>
      <c r="N39" s="108">
        <v>4</v>
      </c>
      <c r="O39">
        <v>6</v>
      </c>
      <c r="P39" s="90">
        <f t="shared" si="2"/>
        <v>18.849555921538759</v>
      </c>
    </row>
    <row r="40" spans="1:16" x14ac:dyDescent="0.3">
      <c r="A40" t="s">
        <v>404</v>
      </c>
      <c r="B40" s="58" t="s">
        <v>964</v>
      </c>
      <c r="C40" s="58" t="s">
        <v>965</v>
      </c>
      <c r="D40" s="59" t="s">
        <v>966</v>
      </c>
      <c r="E40" s="58" t="s">
        <v>967</v>
      </c>
      <c r="F40" s="62" t="s">
        <v>2049</v>
      </c>
      <c r="G40">
        <v>15</v>
      </c>
      <c r="H40" s="101">
        <v>3.5</v>
      </c>
      <c r="I40" s="58">
        <v>30</v>
      </c>
      <c r="J40" s="101">
        <v>1.8</v>
      </c>
      <c r="K40">
        <f>IFERROR(VLOOKUP(TRIM(D40), Trees_density!$A:$B, 2, FALSE), "")</f>
        <v>0.56000000000000005</v>
      </c>
      <c r="L40" s="90">
        <f t="shared" si="3"/>
        <v>25.644080265323907</v>
      </c>
      <c r="M40" s="150">
        <f t="shared" si="1"/>
        <v>1.7671458676442587E-2</v>
      </c>
      <c r="N40" s="103">
        <v>3</v>
      </c>
      <c r="O40">
        <v>2.5</v>
      </c>
      <c r="P40" s="90">
        <f t="shared" si="2"/>
        <v>5.8904862254808616</v>
      </c>
    </row>
    <row r="41" spans="1:16" x14ac:dyDescent="0.3">
      <c r="A41" t="s">
        <v>412</v>
      </c>
      <c r="B41" s="60" t="s">
        <v>83</v>
      </c>
      <c r="C41" s="60" t="s">
        <v>965</v>
      </c>
      <c r="D41" s="61" t="s">
        <v>978</v>
      </c>
      <c r="E41" s="60" t="s">
        <v>41</v>
      </c>
      <c r="F41" s="62" t="s">
        <v>2049</v>
      </c>
      <c r="G41">
        <v>12</v>
      </c>
      <c r="H41" s="106">
        <v>2.1</v>
      </c>
      <c r="I41" s="60">
        <v>65</v>
      </c>
      <c r="J41" s="106">
        <v>0.6</v>
      </c>
      <c r="K41">
        <f>IFERROR(VLOOKUP(TRIM(D41), Trees_density!$A:$B, 2, FALSE), "")</f>
        <v>0.6</v>
      </c>
      <c r="L41" s="90">
        <f t="shared" si="3"/>
        <v>10.778008171922375</v>
      </c>
      <c r="M41" s="150">
        <f t="shared" si="1"/>
        <v>1.1309733552923255E-2</v>
      </c>
      <c r="N41" s="108">
        <v>3.7</v>
      </c>
      <c r="O41">
        <v>4.5</v>
      </c>
      <c r="P41" s="90">
        <f t="shared" si="2"/>
        <v>13.076879420567513</v>
      </c>
    </row>
    <row r="42" spans="1:16" x14ac:dyDescent="0.3">
      <c r="A42" t="s">
        <v>412</v>
      </c>
      <c r="B42" s="58" t="s">
        <v>964</v>
      </c>
      <c r="C42" s="58" t="s">
        <v>965</v>
      </c>
      <c r="D42" s="59" t="s">
        <v>966</v>
      </c>
      <c r="E42" s="58" t="s">
        <v>967</v>
      </c>
      <c r="F42" s="62" t="s">
        <v>2049</v>
      </c>
      <c r="G42">
        <v>6</v>
      </c>
      <c r="H42" s="101">
        <v>0.9</v>
      </c>
      <c r="I42" s="58">
        <v>15</v>
      </c>
      <c r="J42" s="101">
        <v>0.5</v>
      </c>
      <c r="K42">
        <f>IFERROR(VLOOKUP(TRIM(D42), Trees_density!$A:$B, 2, FALSE), "")</f>
        <v>0.56000000000000005</v>
      </c>
      <c r="L42" s="90">
        <f t="shared" si="3"/>
        <v>1.1390387750535471</v>
      </c>
      <c r="M42" s="150">
        <f t="shared" si="1"/>
        <v>2.8274333882308137E-3</v>
      </c>
      <c r="N42" s="103">
        <v>0.5</v>
      </c>
      <c r="O42">
        <v>0.4</v>
      </c>
      <c r="P42" s="90">
        <f t="shared" si="2"/>
        <v>0.15707963267948966</v>
      </c>
    </row>
    <row r="43" spans="1:16" x14ac:dyDescent="0.3">
      <c r="A43" t="s">
        <v>412</v>
      </c>
      <c r="B43" s="60" t="s">
        <v>130</v>
      </c>
      <c r="C43" s="60" t="s">
        <v>50</v>
      </c>
      <c r="D43" s="61" t="s">
        <v>1011</v>
      </c>
      <c r="E43" s="60" t="s">
        <v>131</v>
      </c>
      <c r="F43" s="62" t="s">
        <v>2049</v>
      </c>
      <c r="G43">
        <v>7</v>
      </c>
      <c r="H43" s="106">
        <v>0.9</v>
      </c>
      <c r="I43" s="60">
        <v>55</v>
      </c>
      <c r="J43" s="106">
        <v>0.4</v>
      </c>
      <c r="K43">
        <f>IFERROR(VLOOKUP(TRIM(D43), Trees_density!$A:$B, 2, FALSE), "")</f>
        <v>0.5</v>
      </c>
      <c r="L43" s="90">
        <f t="shared" si="3"/>
        <v>1.3777862674518089</v>
      </c>
      <c r="M43" s="150">
        <f t="shared" si="1"/>
        <v>3.8484510006474969E-3</v>
      </c>
      <c r="N43" s="108">
        <v>2.2999999999999998</v>
      </c>
      <c r="O43">
        <v>1.8</v>
      </c>
      <c r="P43" s="90">
        <f t="shared" si="2"/>
        <v>3.2515483964654357</v>
      </c>
    </row>
    <row r="44" spans="1:16" x14ac:dyDescent="0.3">
      <c r="A44" t="s">
        <v>412</v>
      </c>
      <c r="B44" s="58" t="s">
        <v>1012</v>
      </c>
      <c r="C44" s="58" t="s">
        <v>965</v>
      </c>
      <c r="D44" s="59" t="s">
        <v>1013</v>
      </c>
      <c r="E44" s="58" t="s">
        <v>38</v>
      </c>
      <c r="F44" s="62" t="s">
        <v>2049</v>
      </c>
      <c r="G44">
        <v>6</v>
      </c>
      <c r="H44" s="101">
        <v>2</v>
      </c>
      <c r="I44" s="58">
        <v>70</v>
      </c>
      <c r="J44" s="101">
        <v>0</v>
      </c>
      <c r="K44">
        <f>IFERROR(VLOOKUP(TRIM(D44), Trees_density!$A:$B, 2, FALSE), "")</f>
        <v>0.41</v>
      </c>
      <c r="L44" s="90">
        <f t="shared" si="3"/>
        <v>1.8316758730490104</v>
      </c>
      <c r="M44" s="150">
        <f t="shared" si="1"/>
        <v>2.8274333882308137E-3</v>
      </c>
      <c r="N44" s="103">
        <v>3.5</v>
      </c>
      <c r="O44">
        <v>2.6</v>
      </c>
      <c r="P44" s="90">
        <f t="shared" si="2"/>
        <v>7.1471232869167798</v>
      </c>
    </row>
    <row r="45" spans="1:16" x14ac:dyDescent="0.3">
      <c r="A45" t="s">
        <v>412</v>
      </c>
      <c r="B45" s="60" t="s">
        <v>1014</v>
      </c>
      <c r="C45" s="60" t="s">
        <v>965</v>
      </c>
      <c r="D45" s="61" t="s">
        <v>1015</v>
      </c>
      <c r="E45" s="60" t="s">
        <v>1016</v>
      </c>
      <c r="F45" s="62" t="s">
        <v>2049</v>
      </c>
      <c r="G45">
        <v>11</v>
      </c>
      <c r="H45" s="106">
        <v>5</v>
      </c>
      <c r="I45" s="60">
        <v>75</v>
      </c>
      <c r="J45" s="106">
        <v>0.2</v>
      </c>
      <c r="K45">
        <f>IFERROR(VLOOKUP(TRIM(D45), Trees_density!$A:$B, 2, FALSE), "")</f>
        <v>0.56000000000000005</v>
      </c>
      <c r="L45" s="90">
        <f t="shared" si="3"/>
        <v>19.826215583724618</v>
      </c>
      <c r="M45" s="150">
        <f t="shared" si="1"/>
        <v>9.5033177771091243E-3</v>
      </c>
      <c r="N45" s="108">
        <v>2.7</v>
      </c>
      <c r="O45">
        <v>2.7</v>
      </c>
      <c r="P45" s="90">
        <f t="shared" si="2"/>
        <v>5.725552611167398</v>
      </c>
    </row>
    <row r="46" spans="1:16" x14ac:dyDescent="0.3">
      <c r="A46" t="s">
        <v>412</v>
      </c>
      <c r="B46" s="58" t="s">
        <v>857</v>
      </c>
      <c r="C46" s="58" t="s">
        <v>965</v>
      </c>
      <c r="D46" s="59" t="s">
        <v>1004</v>
      </c>
      <c r="E46" s="58" t="s">
        <v>41</v>
      </c>
      <c r="F46" s="62" t="s">
        <v>2049</v>
      </c>
      <c r="G46">
        <v>4</v>
      </c>
      <c r="H46" s="101">
        <v>1.8</v>
      </c>
      <c r="I46" s="58">
        <v>50</v>
      </c>
      <c r="J46" s="101">
        <v>0.6</v>
      </c>
      <c r="K46">
        <f>IFERROR(VLOOKUP(TRIM(D46), Trees_density!$A:$B, 2, FALSE), "")</f>
        <v>0.56000000000000005</v>
      </c>
      <c r="L46" s="90">
        <f t="shared" si="3"/>
        <v>1.0153450283626537</v>
      </c>
      <c r="M46" s="150">
        <f t="shared" si="1"/>
        <v>1.2566370614359172E-3</v>
      </c>
      <c r="N46" s="126">
        <v>2</v>
      </c>
      <c r="O46">
        <v>1.5</v>
      </c>
      <c r="P46" s="90">
        <f t="shared" si="2"/>
        <v>2.3561944901923448</v>
      </c>
    </row>
    <row r="47" spans="1:16" x14ac:dyDescent="0.3">
      <c r="A47" t="s">
        <v>412</v>
      </c>
      <c r="B47" s="60" t="s">
        <v>83</v>
      </c>
      <c r="C47" s="60" t="s">
        <v>965</v>
      </c>
      <c r="D47" s="63" t="s">
        <v>978</v>
      </c>
      <c r="E47" s="60" t="s">
        <v>41</v>
      </c>
      <c r="F47" s="62" t="s">
        <v>2049</v>
      </c>
      <c r="G47">
        <v>7</v>
      </c>
      <c r="H47" s="106">
        <v>4</v>
      </c>
      <c r="I47" s="60">
        <v>55</v>
      </c>
      <c r="J47" s="106">
        <v>0.6</v>
      </c>
      <c r="K47">
        <f>IFERROR(VLOOKUP(TRIM(D47), Trees_density!$A:$B, 2, FALSE), "")</f>
        <v>0.6</v>
      </c>
      <c r="L47" s="90">
        <f t="shared" si="3"/>
        <v>7.0588281709857101</v>
      </c>
      <c r="M47" s="150">
        <f t="shared" si="1"/>
        <v>3.8484510006474969E-3</v>
      </c>
      <c r="N47" s="108">
        <v>2.6</v>
      </c>
      <c r="O47">
        <v>2.7</v>
      </c>
      <c r="P47" s="90">
        <f t="shared" si="2"/>
        <v>5.5134951070500877</v>
      </c>
    </row>
    <row r="48" spans="1:16" x14ac:dyDescent="0.3">
      <c r="A48" t="s">
        <v>425</v>
      </c>
      <c r="B48" s="58" t="s">
        <v>135</v>
      </c>
      <c r="C48" s="58" t="s">
        <v>965</v>
      </c>
      <c r="D48" s="59" t="s">
        <v>983</v>
      </c>
      <c r="E48" s="58" t="s">
        <v>136</v>
      </c>
      <c r="F48" s="62" t="s">
        <v>2049</v>
      </c>
      <c r="G48">
        <v>31.61</v>
      </c>
      <c r="H48" s="101">
        <v>7</v>
      </c>
      <c r="I48" s="58">
        <v>90</v>
      </c>
      <c r="J48" s="101">
        <v>1</v>
      </c>
      <c r="K48">
        <f>IFERROR(VLOOKUP(TRIM(D48), Trees_density!$A:$B, 2, FALSE), "")</f>
        <v>0.53</v>
      </c>
      <c r="L48" s="90">
        <f t="shared" si="3"/>
        <v>204.8242700904695</v>
      </c>
      <c r="M48" s="150">
        <f t="shared" si="1"/>
        <v>7.8476364022123948E-2</v>
      </c>
      <c r="N48" s="100">
        <v>7.5</v>
      </c>
      <c r="O48">
        <v>6</v>
      </c>
      <c r="P48" s="90">
        <f t="shared" si="2"/>
        <v>35.342917352885166</v>
      </c>
    </row>
    <row r="49" spans="1:16" x14ac:dyDescent="0.3">
      <c r="A49" t="s">
        <v>425</v>
      </c>
      <c r="B49" s="60" t="s">
        <v>1017</v>
      </c>
      <c r="C49" s="60" t="s">
        <v>965</v>
      </c>
      <c r="D49" s="61" t="s">
        <v>1018</v>
      </c>
      <c r="E49" s="60" t="s">
        <v>1010</v>
      </c>
      <c r="F49" s="146" t="s">
        <v>2029</v>
      </c>
      <c r="G49">
        <v>64.400000000000006</v>
      </c>
      <c r="H49" s="106">
        <v>9</v>
      </c>
      <c r="I49" s="60">
        <v>70</v>
      </c>
      <c r="J49" s="106">
        <v>3</v>
      </c>
      <c r="K49">
        <f>IFERROR(VLOOKUP(TRIM(D49), Trees_density!$A:$B, 2, FALSE), "")</f>
        <v>0.37</v>
      </c>
      <c r="L49" s="90">
        <f t="shared" si="3"/>
        <v>739.37685100082774</v>
      </c>
      <c r="M49" s="150">
        <f t="shared" si="1"/>
        <v>0.32573289269480415</v>
      </c>
      <c r="N49" s="105">
        <v>5</v>
      </c>
      <c r="O49">
        <v>5</v>
      </c>
      <c r="P49" s="90">
        <f t="shared" si="2"/>
        <v>19.634954084936208</v>
      </c>
    </row>
    <row r="50" spans="1:16" x14ac:dyDescent="0.3">
      <c r="A50" t="s">
        <v>425</v>
      </c>
      <c r="B50" s="58" t="s">
        <v>1019</v>
      </c>
      <c r="C50" s="58" t="s">
        <v>50</v>
      </c>
      <c r="D50" s="59" t="s">
        <v>1020</v>
      </c>
      <c r="E50" s="58" t="s">
        <v>1010</v>
      </c>
      <c r="F50" s="146" t="s">
        <v>2029</v>
      </c>
      <c r="G50">
        <v>13.66</v>
      </c>
      <c r="H50" s="101">
        <v>3.5</v>
      </c>
      <c r="I50" s="58">
        <v>40</v>
      </c>
      <c r="J50" s="101">
        <v>40</v>
      </c>
      <c r="K50">
        <f>IFERROR(VLOOKUP(TRIM(D50), Trees_density!$A:$B, 2, FALSE), "")</f>
        <v>0.36</v>
      </c>
      <c r="L50" s="90">
        <f t="shared" si="3"/>
        <v>13.879585015531633</v>
      </c>
      <c r="M50" s="150">
        <f t="shared" si="1"/>
        <v>1.4655184153804488E-2</v>
      </c>
      <c r="N50" s="100">
        <v>1.2</v>
      </c>
      <c r="O50">
        <v>2</v>
      </c>
      <c r="P50" s="90">
        <f t="shared" si="2"/>
        <v>1.8849555921538759</v>
      </c>
    </row>
    <row r="51" spans="1:16" x14ac:dyDescent="0.3">
      <c r="A51" t="s">
        <v>444</v>
      </c>
      <c r="B51" s="60" t="s">
        <v>861</v>
      </c>
      <c r="C51" s="60" t="s">
        <v>50</v>
      </c>
      <c r="D51" s="61" t="s">
        <v>982</v>
      </c>
      <c r="E51" s="60" t="s">
        <v>32</v>
      </c>
      <c r="F51" s="146" t="s">
        <v>2029</v>
      </c>
      <c r="G51">
        <v>76.3</v>
      </c>
      <c r="H51" s="106">
        <v>12</v>
      </c>
      <c r="I51" s="60">
        <v>70</v>
      </c>
      <c r="J51" s="106">
        <v>1.7</v>
      </c>
      <c r="K51">
        <f>IFERROR(VLOOKUP(TRIM(D51), Trees_density!$A:$B, 2, FALSE), "")</f>
        <v>0.32</v>
      </c>
      <c r="L51" s="90">
        <f t="shared" si="3"/>
        <v>1183.0694429956575</v>
      </c>
      <c r="M51" s="150">
        <f t="shared" si="1"/>
        <v>0.45723446338692908</v>
      </c>
      <c r="N51" s="108">
        <v>4.8</v>
      </c>
      <c r="O51">
        <v>4</v>
      </c>
      <c r="P51" s="90">
        <f t="shared" si="2"/>
        <v>15.079644737231007</v>
      </c>
    </row>
    <row r="52" spans="1:16" x14ac:dyDescent="0.3">
      <c r="A52" t="s">
        <v>444</v>
      </c>
      <c r="B52" s="58" t="s">
        <v>861</v>
      </c>
      <c r="C52" s="58" t="s">
        <v>50</v>
      </c>
      <c r="D52" s="59" t="s">
        <v>982</v>
      </c>
      <c r="E52" s="58" t="s">
        <v>32</v>
      </c>
      <c r="F52" s="146" t="s">
        <v>2029</v>
      </c>
      <c r="G52">
        <v>73</v>
      </c>
      <c r="H52" s="101">
        <v>12</v>
      </c>
      <c r="I52" s="58">
        <v>60</v>
      </c>
      <c r="J52" s="101">
        <v>1</v>
      </c>
      <c r="K52">
        <f>IFERROR(VLOOKUP(TRIM(D52), Trees_density!$A:$B, 2, FALSE), "")</f>
        <v>0.32</v>
      </c>
      <c r="L52" s="90">
        <f t="shared" si="3"/>
        <v>1085.2469205117154</v>
      </c>
      <c r="M52" s="150">
        <f t="shared" si="1"/>
        <v>0.41853868127450011</v>
      </c>
      <c r="N52" s="103">
        <v>6.4</v>
      </c>
      <c r="O52">
        <v>5</v>
      </c>
      <c r="P52" s="90">
        <f t="shared" si="2"/>
        <v>25.132741228718345</v>
      </c>
    </row>
    <row r="53" spans="1:16" x14ac:dyDescent="0.3">
      <c r="A53" t="s">
        <v>444</v>
      </c>
      <c r="B53" s="60" t="s">
        <v>857</v>
      </c>
      <c r="C53" s="60" t="s">
        <v>965</v>
      </c>
      <c r="D53" s="61" t="s">
        <v>1004</v>
      </c>
      <c r="E53" s="60" t="s">
        <v>41</v>
      </c>
      <c r="F53" s="62" t="s">
        <v>2049</v>
      </c>
      <c r="G53">
        <v>101.93</v>
      </c>
      <c r="H53" s="106">
        <v>7</v>
      </c>
      <c r="I53" s="60">
        <v>80</v>
      </c>
      <c r="J53" s="106">
        <v>1.5</v>
      </c>
      <c r="K53">
        <f>IFERROR(VLOOKUP(TRIM(D53), Trees_density!$A:$B, 2, FALSE), "")</f>
        <v>0.56000000000000005</v>
      </c>
      <c r="L53" s="90">
        <f t="shared" si="3"/>
        <v>2124.5542095032461</v>
      </c>
      <c r="M53" s="150">
        <f t="shared" si="1"/>
        <v>0.81600708546647382</v>
      </c>
      <c r="N53" s="108">
        <v>10</v>
      </c>
      <c r="O53">
        <v>7</v>
      </c>
      <c r="P53" s="90">
        <f t="shared" si="2"/>
        <v>54.977871437821378</v>
      </c>
    </row>
    <row r="54" spans="1:16" x14ac:dyDescent="0.3">
      <c r="A54" t="s">
        <v>444</v>
      </c>
      <c r="B54" s="58" t="s">
        <v>861</v>
      </c>
      <c r="C54" s="58" t="s">
        <v>50</v>
      </c>
      <c r="D54" s="59" t="s">
        <v>982</v>
      </c>
      <c r="E54" s="58" t="s">
        <v>32</v>
      </c>
      <c r="F54" s="62" t="s">
        <v>2029</v>
      </c>
      <c r="G54">
        <v>58</v>
      </c>
      <c r="H54" s="101">
        <v>10</v>
      </c>
      <c r="I54" s="58">
        <v>50</v>
      </c>
      <c r="J54" s="101">
        <v>1.5</v>
      </c>
      <c r="K54">
        <f>IFERROR(VLOOKUP(TRIM(D54), Trees_density!$A:$B, 2, FALSE), "")</f>
        <v>0.32</v>
      </c>
      <c r="L54" s="90">
        <f t="shared" si="3"/>
        <v>579.76619176810061</v>
      </c>
      <c r="M54" s="150">
        <f t="shared" si="1"/>
        <v>0.26420794216690158</v>
      </c>
      <c r="N54" s="103">
        <v>5</v>
      </c>
      <c r="O54">
        <v>5</v>
      </c>
      <c r="P54" s="90">
        <f t="shared" si="2"/>
        <v>19.634954084936208</v>
      </c>
    </row>
    <row r="55" spans="1:16" x14ac:dyDescent="0.3">
      <c r="A55" t="s">
        <v>444</v>
      </c>
      <c r="B55" s="60" t="s">
        <v>861</v>
      </c>
      <c r="C55" s="60" t="s">
        <v>50</v>
      </c>
      <c r="D55" s="61" t="s">
        <v>982</v>
      </c>
      <c r="E55" s="60" t="s">
        <v>32</v>
      </c>
      <c r="F55" s="62" t="s">
        <v>2029</v>
      </c>
      <c r="G55">
        <v>39.409999999999997</v>
      </c>
      <c r="H55" s="106">
        <v>10</v>
      </c>
      <c r="I55" s="60">
        <v>30</v>
      </c>
      <c r="J55" s="106">
        <v>2</v>
      </c>
      <c r="K55">
        <f>IFERROR(VLOOKUP(TRIM(D55), Trees_density!$A:$B, 2, FALSE), "")</f>
        <v>0.32</v>
      </c>
      <c r="L55" s="90">
        <f t="shared" si="3"/>
        <v>272.68748341813347</v>
      </c>
      <c r="M55" s="150">
        <f t="shared" si="1"/>
        <v>0.1219839665224236</v>
      </c>
      <c r="N55" s="108">
        <v>4.5</v>
      </c>
      <c r="O55">
        <v>2</v>
      </c>
      <c r="P55" s="90">
        <f t="shared" si="2"/>
        <v>7.0685834705770345</v>
      </c>
    </row>
    <row r="56" spans="1:16" x14ac:dyDescent="0.3">
      <c r="A56" t="s">
        <v>459</v>
      </c>
      <c r="B56" s="66" t="s">
        <v>1021</v>
      </c>
      <c r="C56" s="66" t="s">
        <v>965</v>
      </c>
      <c r="D56" s="67" t="s">
        <v>1022</v>
      </c>
      <c r="E56" s="66" t="s">
        <v>1023</v>
      </c>
      <c r="F56" s="62" t="s">
        <v>2049</v>
      </c>
      <c r="G56">
        <v>21</v>
      </c>
      <c r="H56" s="116">
        <v>7.2</v>
      </c>
      <c r="I56" s="66">
        <v>70</v>
      </c>
      <c r="J56" s="116">
        <v>1</v>
      </c>
      <c r="K56">
        <f>IFERROR(VLOOKUP(TRIM(D56), Trees_density!$A:$B, 2, FALSE), "")</f>
        <v>0.38</v>
      </c>
      <c r="L56" s="90">
        <f t="shared" si="3"/>
        <v>68.487676766889521</v>
      </c>
      <c r="M56" s="150">
        <f t="shared" si="1"/>
        <v>3.4636059005827467E-2</v>
      </c>
      <c r="N56" s="121">
        <v>6.5</v>
      </c>
      <c r="O56">
        <v>5.3</v>
      </c>
      <c r="P56" s="90">
        <f t="shared" si="2"/>
        <v>27.056966729042095</v>
      </c>
    </row>
    <row r="57" spans="1:16" x14ac:dyDescent="0.3">
      <c r="A57" t="s">
        <v>459</v>
      </c>
      <c r="B57" s="68" t="s">
        <v>997</v>
      </c>
      <c r="C57" s="68" t="s">
        <v>965</v>
      </c>
      <c r="D57" s="69" t="s">
        <v>998</v>
      </c>
      <c r="E57" s="68" t="s">
        <v>32</v>
      </c>
      <c r="F57" s="62" t="s">
        <v>2029</v>
      </c>
      <c r="G57">
        <v>37.11</v>
      </c>
      <c r="H57" s="120">
        <v>11</v>
      </c>
      <c r="I57" s="68">
        <v>80</v>
      </c>
      <c r="J57" s="120">
        <v>1.6</v>
      </c>
      <c r="K57">
        <f>IFERROR(VLOOKUP(TRIM(D57), Trees_density!$A:$B, 2, FALSE), "")</f>
        <v>0.39</v>
      </c>
      <c r="L57" s="90">
        <f t="shared" si="3"/>
        <v>322.80460702274149</v>
      </c>
      <c r="M57" s="150">
        <f t="shared" si="1"/>
        <v>0.10816127300589388</v>
      </c>
      <c r="N57" s="121">
        <v>8.3000000000000007</v>
      </c>
      <c r="O57">
        <v>6.7</v>
      </c>
      <c r="P57" s="90">
        <f t="shared" si="2"/>
        <v>43.675991866532101</v>
      </c>
    </row>
    <row r="58" spans="1:16" x14ac:dyDescent="0.3">
      <c r="A58" t="s">
        <v>459</v>
      </c>
      <c r="B58" s="66" t="s">
        <v>1017</v>
      </c>
      <c r="C58" s="66" t="s">
        <v>965</v>
      </c>
      <c r="D58" s="67" t="s">
        <v>1018</v>
      </c>
      <c r="E58" s="66" t="s">
        <v>1010</v>
      </c>
      <c r="F58" s="62" t="s">
        <v>2029</v>
      </c>
      <c r="G58">
        <v>108</v>
      </c>
      <c r="H58" s="116">
        <v>27.1</v>
      </c>
      <c r="I58" s="66">
        <v>75</v>
      </c>
      <c r="J58" s="116">
        <v>1.7</v>
      </c>
      <c r="K58">
        <f>IFERROR(VLOOKUP(TRIM(D58), Trees_density!$A:$B, 2, FALSE), "")</f>
        <v>0.37</v>
      </c>
      <c r="L58" s="90">
        <f t="shared" si="3"/>
        <v>5948.4134305106381</v>
      </c>
      <c r="M58" s="150">
        <f t="shared" si="1"/>
        <v>0.91608841778678374</v>
      </c>
      <c r="N58" s="121">
        <v>15.5</v>
      </c>
      <c r="O58">
        <v>16</v>
      </c>
      <c r="P58" s="90">
        <f t="shared" si="2"/>
        <v>194.77874452256717</v>
      </c>
    </row>
    <row r="59" spans="1:16" x14ac:dyDescent="0.3">
      <c r="A59" t="s">
        <v>459</v>
      </c>
      <c r="B59" s="68" t="s">
        <v>1024</v>
      </c>
      <c r="C59" s="68" t="s">
        <v>965</v>
      </c>
      <c r="D59" s="69" t="s">
        <v>1025</v>
      </c>
      <c r="E59" s="68" t="s">
        <v>41</v>
      </c>
      <c r="F59" s="62" t="s">
        <v>2049</v>
      </c>
      <c r="G59">
        <v>20.09</v>
      </c>
      <c r="H59" s="120">
        <v>7.2</v>
      </c>
      <c r="I59" s="68">
        <v>80</v>
      </c>
      <c r="J59" s="120">
        <v>1</v>
      </c>
      <c r="K59">
        <f>IFERROR(VLOOKUP(TRIM(D59), Trees_density!$A:$B, 2, FALSE), "")</f>
        <v>0.56000000000000005</v>
      </c>
      <c r="L59" s="90">
        <f t="shared" si="3"/>
        <v>91.710683810495311</v>
      </c>
      <c r="M59" s="150">
        <f t="shared" si="1"/>
        <v>3.169930604723336E-2</v>
      </c>
      <c r="N59" s="117">
        <v>5.5</v>
      </c>
      <c r="O59">
        <v>7.2</v>
      </c>
      <c r="P59" s="90">
        <f t="shared" si="2"/>
        <v>31.10176727053895</v>
      </c>
    </row>
    <row r="60" spans="1:16" x14ac:dyDescent="0.3">
      <c r="A60" t="s">
        <v>459</v>
      </c>
      <c r="B60" s="66" t="s">
        <v>1024</v>
      </c>
      <c r="C60" s="66" t="s">
        <v>965</v>
      </c>
      <c r="D60" s="70" t="s">
        <v>1025</v>
      </c>
      <c r="E60" s="66" t="s">
        <v>41</v>
      </c>
      <c r="F60" s="62" t="s">
        <v>2049</v>
      </c>
      <c r="G60">
        <v>15.29</v>
      </c>
      <c r="H60" s="116">
        <v>17.600000000000001</v>
      </c>
      <c r="I60" s="66">
        <v>95</v>
      </c>
      <c r="J60" s="116">
        <v>2</v>
      </c>
      <c r="K60">
        <f>IFERROR(VLOOKUP(TRIM(D60), Trees_density!$A:$B, 2, FALSE), "")</f>
        <v>0.56000000000000005</v>
      </c>
      <c r="L60" s="90">
        <f t="shared" si="3"/>
        <v>128.77464280051746</v>
      </c>
      <c r="M60" s="150">
        <f t="shared" si="1"/>
        <v>1.8361360277152534E-2</v>
      </c>
      <c r="N60" s="121">
        <v>5.3</v>
      </c>
      <c r="O60">
        <v>6</v>
      </c>
      <c r="P60" s="90">
        <f t="shared" si="2"/>
        <v>24.975661596038854</v>
      </c>
    </row>
    <row r="61" spans="1:16" x14ac:dyDescent="0.3">
      <c r="A61" t="s">
        <v>459</v>
      </c>
      <c r="B61" s="68" t="s">
        <v>1026</v>
      </c>
      <c r="C61" s="68" t="s">
        <v>965</v>
      </c>
      <c r="D61" s="69" t="s">
        <v>1027</v>
      </c>
      <c r="E61" s="68" t="s">
        <v>32</v>
      </c>
      <c r="F61" s="148" t="s">
        <v>2029</v>
      </c>
      <c r="G61">
        <v>38</v>
      </c>
      <c r="H61" s="120">
        <v>17.600000000000001</v>
      </c>
      <c r="I61" s="68">
        <v>95</v>
      </c>
      <c r="J61" s="120">
        <v>2</v>
      </c>
      <c r="K61">
        <f>IFERROR(VLOOKUP(TRIM(D61), Trees_density!$A:$B, 2, FALSE), "")</f>
        <v>0.41</v>
      </c>
      <c r="L61" s="90">
        <f t="shared" si="3"/>
        <v>561.6296828702275</v>
      </c>
      <c r="M61" s="150">
        <f t="shared" si="1"/>
        <v>0.11341149479459153</v>
      </c>
      <c r="N61" s="117">
        <v>3</v>
      </c>
      <c r="O61">
        <v>3.1</v>
      </c>
      <c r="P61" s="90">
        <f t="shared" si="2"/>
        <v>7.3042029195962694</v>
      </c>
    </row>
    <row r="62" spans="1:16" x14ac:dyDescent="0.3">
      <c r="A62" t="s">
        <v>459</v>
      </c>
      <c r="B62" s="66" t="s">
        <v>859</v>
      </c>
      <c r="C62" s="66" t="s">
        <v>965</v>
      </c>
      <c r="D62" s="67" t="s">
        <v>1028</v>
      </c>
      <c r="E62" s="66" t="s">
        <v>1029</v>
      </c>
      <c r="F62" s="62" t="s">
        <v>2049</v>
      </c>
      <c r="G62">
        <v>14.24</v>
      </c>
      <c r="H62" s="116">
        <v>4.5999999999999996</v>
      </c>
      <c r="I62" s="66">
        <v>40</v>
      </c>
      <c r="J62" s="116">
        <v>1</v>
      </c>
      <c r="K62">
        <f>IFERROR(VLOOKUP(TRIM(D62), Trees_density!$A:$B, 2, FALSE), "")</f>
        <v>0.52</v>
      </c>
      <c r="L62" s="90">
        <f t="shared" si="3"/>
        <v>28.140866795277624</v>
      </c>
      <c r="M62" s="150">
        <f t="shared" si="1"/>
        <v>1.5926115461814241E-2</v>
      </c>
      <c r="N62" s="117">
        <v>5.3</v>
      </c>
      <c r="O62">
        <v>4</v>
      </c>
      <c r="P62" s="90">
        <f t="shared" si="2"/>
        <v>16.650441064025902</v>
      </c>
    </row>
    <row r="63" spans="1:16" x14ac:dyDescent="0.3">
      <c r="A63" t="s">
        <v>459</v>
      </c>
      <c r="B63" s="68" t="s">
        <v>1005</v>
      </c>
      <c r="C63" s="68" t="s">
        <v>965</v>
      </c>
      <c r="D63" s="69" t="s">
        <v>1006</v>
      </c>
      <c r="E63" s="68" t="s">
        <v>41</v>
      </c>
      <c r="F63" s="62" t="s">
        <v>2049</v>
      </c>
      <c r="G63">
        <v>42.48</v>
      </c>
      <c r="H63" s="120">
        <v>12.6</v>
      </c>
      <c r="I63" s="68">
        <v>50</v>
      </c>
      <c r="J63" s="120">
        <v>3</v>
      </c>
      <c r="K63">
        <f>IFERROR(VLOOKUP(TRIM(D63), Trees_density!$A:$B, 2, FALSE), "")</f>
        <v>0.55000000000000004</v>
      </c>
      <c r="L63" s="90">
        <f t="shared" si="3"/>
        <v>671.09941611900729</v>
      </c>
      <c r="M63" s="150">
        <f t="shared" si="1"/>
        <v>0.14172905699181304</v>
      </c>
      <c r="N63" s="117">
        <v>6.8</v>
      </c>
      <c r="O63">
        <v>4.5</v>
      </c>
      <c r="P63" s="90">
        <f t="shared" si="2"/>
        <v>24.033183799961918</v>
      </c>
    </row>
    <row r="64" spans="1:16" x14ac:dyDescent="0.3">
      <c r="A64" t="s">
        <v>459</v>
      </c>
      <c r="B64" s="66" t="s">
        <v>1026</v>
      </c>
      <c r="C64" s="66" t="s">
        <v>965</v>
      </c>
      <c r="D64" s="67" t="s">
        <v>1027</v>
      </c>
      <c r="E64" s="66" t="s">
        <v>32</v>
      </c>
      <c r="F64" s="149" t="s">
        <v>2029</v>
      </c>
      <c r="G64">
        <v>37.299999999999997</v>
      </c>
      <c r="H64" s="116">
        <v>18.8</v>
      </c>
      <c r="I64" s="66">
        <v>30</v>
      </c>
      <c r="J64" s="116">
        <v>3</v>
      </c>
      <c r="K64">
        <f>IFERROR(VLOOKUP(TRIM(D64), Trees_density!$A:$B, 2, FALSE), "")</f>
        <v>0.41</v>
      </c>
      <c r="L64" s="90">
        <f t="shared" si="3"/>
        <v>577.62477047343555</v>
      </c>
      <c r="M64" s="150">
        <f t="shared" si="1"/>
        <v>0.10927166107532359</v>
      </c>
      <c r="N64" s="121">
        <v>3</v>
      </c>
      <c r="O64">
        <v>4</v>
      </c>
      <c r="P64" s="90">
        <f t="shared" si="2"/>
        <v>9.4247779607693793</v>
      </c>
    </row>
    <row r="65" spans="1:16" x14ac:dyDescent="0.3">
      <c r="A65" t="s">
        <v>459</v>
      </c>
      <c r="B65" s="68" t="s">
        <v>1026</v>
      </c>
      <c r="C65" s="68" t="s">
        <v>965</v>
      </c>
      <c r="D65" s="69" t="s">
        <v>1027</v>
      </c>
      <c r="E65" s="68" t="s">
        <v>32</v>
      </c>
      <c r="F65" t="s">
        <v>2029</v>
      </c>
      <c r="G65">
        <v>47.3</v>
      </c>
      <c r="H65" s="120">
        <v>18.600000000000001</v>
      </c>
      <c r="I65" s="68">
        <v>60</v>
      </c>
      <c r="J65" s="120">
        <v>1</v>
      </c>
      <c r="K65">
        <f>IFERROR(VLOOKUP(TRIM(D65), Trees_density!$A:$B, 2, FALSE), "")</f>
        <v>0.41</v>
      </c>
      <c r="L65" s="90">
        <f t="shared" si="3"/>
        <v>908.79449711856785</v>
      </c>
      <c r="M65" s="150">
        <f t="shared" si="1"/>
        <v>0.17571634569874769</v>
      </c>
      <c r="N65" s="117">
        <v>5</v>
      </c>
      <c r="O65">
        <v>5</v>
      </c>
      <c r="P65" s="90">
        <f t="shared" si="2"/>
        <v>19.634954084936208</v>
      </c>
    </row>
    <row r="66" spans="1:16" x14ac:dyDescent="0.3">
      <c r="A66" t="s">
        <v>486</v>
      </c>
      <c r="B66" s="66" t="s">
        <v>968</v>
      </c>
      <c r="C66" s="66" t="s">
        <v>965</v>
      </c>
      <c r="D66" s="67" t="s">
        <v>969</v>
      </c>
      <c r="E66" s="66" t="s">
        <v>41</v>
      </c>
      <c r="F66" s="62" t="s">
        <v>2049</v>
      </c>
      <c r="G66">
        <v>17.899999999999999</v>
      </c>
      <c r="H66" s="116">
        <v>8.1999999999999993</v>
      </c>
      <c r="I66" s="66">
        <v>70</v>
      </c>
      <c r="J66" s="116">
        <v>2</v>
      </c>
      <c r="K66">
        <f>IFERROR(VLOOKUP(TRIM(D66), Trees_density!$A:$B, 2, FALSE), "")</f>
        <v>0.65</v>
      </c>
      <c r="L66" s="90">
        <f t="shared" ref="L66:L97" si="4">IFERROR(0.0673 * ((K66 * G66^2 * H66)^0.976), "")</f>
        <v>96.132433612614733</v>
      </c>
      <c r="M66" s="150">
        <f t="shared" si="1"/>
        <v>2.5164942553417641E-2</v>
      </c>
      <c r="N66" s="121">
        <v>5.7</v>
      </c>
      <c r="O66">
        <v>5</v>
      </c>
      <c r="P66" s="90">
        <f t="shared" si="2"/>
        <v>22.383847656827278</v>
      </c>
    </row>
    <row r="67" spans="1:16" x14ac:dyDescent="0.3">
      <c r="A67" t="s">
        <v>486</v>
      </c>
      <c r="B67" s="68" t="s">
        <v>1017</v>
      </c>
      <c r="C67" s="68" t="s">
        <v>965</v>
      </c>
      <c r="D67" s="69" t="s">
        <v>1018</v>
      </c>
      <c r="E67" s="68" t="s">
        <v>1010</v>
      </c>
      <c r="F67" t="s">
        <v>2029</v>
      </c>
      <c r="G67">
        <v>96</v>
      </c>
      <c r="H67" s="120">
        <v>27.2</v>
      </c>
      <c r="I67" s="68">
        <v>75</v>
      </c>
      <c r="J67" s="120">
        <v>3</v>
      </c>
      <c r="K67">
        <f>IFERROR(VLOOKUP(TRIM(D67), Trees_density!$A:$B, 2, FALSE), "")</f>
        <v>0.37</v>
      </c>
      <c r="L67" s="90">
        <f t="shared" si="4"/>
        <v>4743.6500665060375</v>
      </c>
      <c r="M67" s="150">
        <f t="shared" ref="M67:M118" si="5">IFERROR(PI() * (G67/200)^2, "")</f>
        <v>0.7238229473870883</v>
      </c>
      <c r="N67" s="117">
        <v>11.5</v>
      </c>
      <c r="O67">
        <v>11.5</v>
      </c>
      <c r="P67" s="90">
        <f t="shared" ref="P67:P118" si="6">IFERROR((PI() * N67 * O67) / 4, "")</f>
        <v>103.86890710931253</v>
      </c>
    </row>
    <row r="68" spans="1:16" x14ac:dyDescent="0.3">
      <c r="A68" t="s">
        <v>486</v>
      </c>
      <c r="B68" s="66" t="s">
        <v>1030</v>
      </c>
      <c r="C68" s="66" t="s">
        <v>50</v>
      </c>
      <c r="D68" s="67" t="s">
        <v>1031</v>
      </c>
      <c r="E68" s="66" t="s">
        <v>136</v>
      </c>
      <c r="F68" s="149" t="s">
        <v>2049</v>
      </c>
      <c r="G68">
        <v>120</v>
      </c>
      <c r="H68" s="116">
        <v>12.5</v>
      </c>
      <c r="I68" s="66">
        <v>60</v>
      </c>
      <c r="J68" s="116">
        <v>3</v>
      </c>
      <c r="K68">
        <f>IFERROR(VLOOKUP(TRIM(D68), Trees_density!$A:$B, 2, FALSE), "")</f>
        <v>0.45</v>
      </c>
      <c r="L68" s="90">
        <f t="shared" si="4"/>
        <v>4156.2000443000861</v>
      </c>
      <c r="M68" s="150">
        <f t="shared" si="5"/>
        <v>1.1309733552923256</v>
      </c>
      <c r="N68" s="121">
        <v>6.8</v>
      </c>
      <c r="O68">
        <v>6.8</v>
      </c>
      <c r="P68" s="90">
        <f t="shared" si="6"/>
        <v>36.316811075498009</v>
      </c>
    </row>
    <row r="69" spans="1:16" x14ac:dyDescent="0.3">
      <c r="A69" t="s">
        <v>486</v>
      </c>
      <c r="B69" s="68" t="s">
        <v>130</v>
      </c>
      <c r="C69" s="68" t="s">
        <v>50</v>
      </c>
      <c r="D69" s="69" t="s">
        <v>1011</v>
      </c>
      <c r="E69" s="68" t="s">
        <v>131</v>
      </c>
      <c r="F69" s="148" t="s">
        <v>2049</v>
      </c>
      <c r="G69">
        <v>15.73</v>
      </c>
      <c r="H69" s="120">
        <v>6.3</v>
      </c>
      <c r="I69" s="68">
        <v>60</v>
      </c>
      <c r="J69" s="120">
        <v>1.5</v>
      </c>
      <c r="K69">
        <f>IFERROR(VLOOKUP(TRIM(D69), Trees_density!$A:$B, 2, FALSE), "")</f>
        <v>0.5</v>
      </c>
      <c r="L69" s="90">
        <f t="shared" si="4"/>
        <v>44.707525330334917</v>
      </c>
      <c r="M69" s="150">
        <f t="shared" si="5"/>
        <v>1.9433334522410445E-2</v>
      </c>
      <c r="N69" s="117">
        <v>5.5</v>
      </c>
      <c r="O69">
        <v>4</v>
      </c>
      <c r="P69" s="90">
        <f t="shared" si="6"/>
        <v>17.27875959474386</v>
      </c>
    </row>
    <row r="70" spans="1:16" x14ac:dyDescent="0.3">
      <c r="A70" t="s">
        <v>486</v>
      </c>
      <c r="B70" s="66" t="s">
        <v>1001</v>
      </c>
      <c r="C70" s="66" t="s">
        <v>50</v>
      </c>
      <c r="D70" s="67" t="s">
        <v>1002</v>
      </c>
      <c r="E70" s="66" t="s">
        <v>993</v>
      </c>
      <c r="F70" s="149" t="s">
        <v>2049</v>
      </c>
      <c r="G70">
        <v>11.8</v>
      </c>
      <c r="H70" s="116">
        <v>6.3</v>
      </c>
      <c r="I70" s="66">
        <v>40</v>
      </c>
      <c r="J70" s="116">
        <v>2</v>
      </c>
      <c r="K70">
        <f>IFERROR(VLOOKUP(TRIM(D70), Trees_density!$A:$B, 2, FALSE), "")</f>
        <v>0.63</v>
      </c>
      <c r="L70" s="90">
        <f t="shared" si="4"/>
        <v>31.96255549057739</v>
      </c>
      <c r="M70" s="150">
        <f t="shared" si="5"/>
        <v>1.0935884027146072E-2</v>
      </c>
      <c r="N70" s="121">
        <v>4.8</v>
      </c>
      <c r="O70">
        <v>3.6</v>
      </c>
      <c r="P70" s="90">
        <f t="shared" si="6"/>
        <v>13.571680263507906</v>
      </c>
    </row>
    <row r="71" spans="1:16" x14ac:dyDescent="0.3">
      <c r="A71" t="s">
        <v>486</v>
      </c>
      <c r="B71" s="68" t="s">
        <v>135</v>
      </c>
      <c r="C71" s="68" t="s">
        <v>965</v>
      </c>
      <c r="D71" s="69" t="s">
        <v>983</v>
      </c>
      <c r="E71" s="68" t="s">
        <v>136</v>
      </c>
      <c r="F71" s="148" t="s">
        <v>2049</v>
      </c>
      <c r="G71">
        <v>13.5</v>
      </c>
      <c r="H71" s="120">
        <v>9.6</v>
      </c>
      <c r="I71" s="68">
        <v>60</v>
      </c>
      <c r="J71" s="120">
        <v>2</v>
      </c>
      <c r="K71">
        <f>IFERROR(VLOOKUP(TRIM(D71), Trees_density!$A:$B, 2, FALSE), "")</f>
        <v>0.53</v>
      </c>
      <c r="L71" s="90">
        <f t="shared" si="4"/>
        <v>52.968363162901653</v>
      </c>
      <c r="M71" s="150">
        <f t="shared" si="5"/>
        <v>1.4313881527918496E-2</v>
      </c>
      <c r="N71" s="117">
        <v>3.6</v>
      </c>
      <c r="O71">
        <v>4</v>
      </c>
      <c r="P71" s="90">
        <f t="shared" si="6"/>
        <v>11.309733552923255</v>
      </c>
    </row>
    <row r="72" spans="1:16" x14ac:dyDescent="0.3">
      <c r="A72" t="s">
        <v>486</v>
      </c>
      <c r="B72" s="66" t="s">
        <v>1032</v>
      </c>
      <c r="C72" s="66" t="s">
        <v>50</v>
      </c>
      <c r="D72" s="67" t="s">
        <v>1033</v>
      </c>
      <c r="E72" s="66" t="s">
        <v>991</v>
      </c>
      <c r="F72" s="149" t="s">
        <v>2049</v>
      </c>
      <c r="G72">
        <v>12.2</v>
      </c>
      <c r="H72" s="116">
        <v>8.6</v>
      </c>
      <c r="I72" s="66">
        <v>50</v>
      </c>
      <c r="J72" s="116">
        <v>0.3</v>
      </c>
      <c r="K72">
        <f>IFERROR(VLOOKUP(TRIM(D72), Trees_density!$A:$B, 2, FALSE), "")</f>
        <v>0.56000000000000005</v>
      </c>
      <c r="L72" s="90">
        <f t="shared" si="4"/>
        <v>41.199453614264598</v>
      </c>
      <c r="M72" s="150">
        <f t="shared" si="5"/>
        <v>1.168986626400762E-2</v>
      </c>
      <c r="N72" s="121">
        <v>6.6</v>
      </c>
      <c r="O72">
        <v>4</v>
      </c>
      <c r="P72" s="90">
        <f t="shared" si="6"/>
        <v>20.734511513692635</v>
      </c>
    </row>
    <row r="73" spans="1:16" x14ac:dyDescent="0.3">
      <c r="A73" t="s">
        <v>486</v>
      </c>
      <c r="B73" s="68" t="s">
        <v>1034</v>
      </c>
      <c r="C73" s="68" t="s">
        <v>965</v>
      </c>
      <c r="D73" s="69" t="s">
        <v>1035</v>
      </c>
      <c r="E73" s="68" t="s">
        <v>44</v>
      </c>
      <c r="F73" s="148" t="s">
        <v>2049</v>
      </c>
      <c r="G73">
        <v>57</v>
      </c>
      <c r="H73" s="120">
        <v>30.8</v>
      </c>
      <c r="I73" s="68">
        <v>65</v>
      </c>
      <c r="J73" s="120">
        <v>15</v>
      </c>
      <c r="K73">
        <f>IFERROR(VLOOKUP(TRIM(D73), Trees_density!$A:$B, 2, FALSE), "")</f>
        <v>0.73</v>
      </c>
      <c r="L73" s="90">
        <f t="shared" si="4"/>
        <v>3757.6073206584201</v>
      </c>
      <c r="M73" s="150">
        <f t="shared" si="5"/>
        <v>0.25517586328783093</v>
      </c>
      <c r="N73" s="117">
        <v>10</v>
      </c>
      <c r="O73">
        <v>11</v>
      </c>
      <c r="P73" s="90">
        <f t="shared" si="6"/>
        <v>86.393797973719316</v>
      </c>
    </row>
    <row r="74" spans="1:16" x14ac:dyDescent="0.3">
      <c r="A74" t="s">
        <v>486</v>
      </c>
      <c r="B74" s="66" t="s">
        <v>1036</v>
      </c>
      <c r="C74" s="66" t="s">
        <v>965</v>
      </c>
      <c r="D74" s="67" t="s">
        <v>1037</v>
      </c>
      <c r="E74" s="66" t="s">
        <v>136</v>
      </c>
      <c r="F74" s="149" t="s">
        <v>2049</v>
      </c>
      <c r="G74">
        <v>38</v>
      </c>
      <c r="H74" s="116">
        <v>20</v>
      </c>
      <c r="I74" s="66">
        <v>50</v>
      </c>
      <c r="J74" s="116">
        <v>13</v>
      </c>
      <c r="K74">
        <f>IFERROR(VLOOKUP(TRIM(D74), Trees_density!$A:$B, 2, FALSE), "")</f>
        <v>0.46</v>
      </c>
      <c r="L74" s="90">
        <f t="shared" si="4"/>
        <v>711.88454466378789</v>
      </c>
      <c r="M74" s="150">
        <f t="shared" si="5"/>
        <v>0.11341149479459153</v>
      </c>
      <c r="N74" s="121">
        <v>15</v>
      </c>
      <c r="O74">
        <v>10</v>
      </c>
      <c r="P74" s="90">
        <f t="shared" si="6"/>
        <v>117.80972450961724</v>
      </c>
    </row>
    <row r="75" spans="1:16" x14ac:dyDescent="0.3">
      <c r="A75" t="s">
        <v>502</v>
      </c>
      <c r="B75" s="68" t="s">
        <v>857</v>
      </c>
      <c r="C75" s="68" t="s">
        <v>965</v>
      </c>
      <c r="D75" s="69" t="s">
        <v>1004</v>
      </c>
      <c r="E75" s="68" t="s">
        <v>41</v>
      </c>
      <c r="F75" s="148" t="s">
        <v>2049</v>
      </c>
      <c r="G75">
        <v>60</v>
      </c>
      <c r="H75" s="120">
        <v>8.1999999999999993</v>
      </c>
      <c r="I75" s="68">
        <v>70</v>
      </c>
      <c r="J75" s="120">
        <v>1.2</v>
      </c>
      <c r="K75">
        <f>IFERROR(VLOOKUP(TRIM(D75), Trees_density!$A:$B, 2, FALSE), "")</f>
        <v>0.56000000000000005</v>
      </c>
      <c r="L75" s="90">
        <f t="shared" si="4"/>
        <v>881.21146571916859</v>
      </c>
      <c r="M75" s="150">
        <f t="shared" si="5"/>
        <v>0.28274333882308139</v>
      </c>
      <c r="N75" s="121">
        <v>9.6999999999999993</v>
      </c>
      <c r="O75">
        <v>8</v>
      </c>
      <c r="P75" s="90">
        <f t="shared" si="6"/>
        <v>60.946897479641983</v>
      </c>
    </row>
    <row r="76" spans="1:16" x14ac:dyDescent="0.3">
      <c r="A76" t="s">
        <v>502</v>
      </c>
      <c r="B76" s="66" t="s">
        <v>857</v>
      </c>
      <c r="C76" s="66" t="s">
        <v>965</v>
      </c>
      <c r="D76" s="67" t="s">
        <v>1004</v>
      </c>
      <c r="E76" s="66" t="s">
        <v>41</v>
      </c>
      <c r="F76" s="149" t="s">
        <v>2049</v>
      </c>
      <c r="G76">
        <v>52</v>
      </c>
      <c r="H76" s="116">
        <v>8.8000000000000007</v>
      </c>
      <c r="I76" s="66">
        <v>60</v>
      </c>
      <c r="J76" s="116" t="s">
        <v>1936</v>
      </c>
      <c r="K76">
        <f>IFERROR(VLOOKUP(TRIM(D76), Trees_density!$A:$B, 2, FALSE), "")</f>
        <v>0.56000000000000005</v>
      </c>
      <c r="L76" s="90">
        <f t="shared" si="4"/>
        <v>714.0032578477585</v>
      </c>
      <c r="M76" s="150">
        <f t="shared" si="5"/>
        <v>0.21237166338267005</v>
      </c>
      <c r="N76" s="117">
        <v>9</v>
      </c>
      <c r="O76">
        <v>6.5</v>
      </c>
      <c r="P76" s="90">
        <f t="shared" si="6"/>
        <v>45.945792558750725</v>
      </c>
    </row>
    <row r="77" spans="1:16" x14ac:dyDescent="0.3">
      <c r="A77" t="s">
        <v>502</v>
      </c>
      <c r="B77" s="68" t="s">
        <v>595</v>
      </c>
      <c r="C77" s="68" t="s">
        <v>965</v>
      </c>
      <c r="D77" s="69" t="s">
        <v>482</v>
      </c>
      <c r="E77" s="68" t="s">
        <v>1038</v>
      </c>
      <c r="F77" s="148" t="s">
        <v>2049</v>
      </c>
      <c r="G77">
        <v>10</v>
      </c>
      <c r="H77" s="120">
        <v>5</v>
      </c>
      <c r="I77" s="68">
        <v>30</v>
      </c>
      <c r="J77" s="120">
        <v>1.66</v>
      </c>
      <c r="K77">
        <f>IFERROR(VLOOKUP(TRIM(D77), Trees_density!$A:$B, 2, FALSE), "")</f>
        <v>0.55000000000000004</v>
      </c>
      <c r="L77" s="90">
        <f t="shared" si="4"/>
        <v>16.173491082057833</v>
      </c>
      <c r="M77" s="150">
        <f t="shared" si="5"/>
        <v>7.8539816339744835E-3</v>
      </c>
      <c r="N77" s="121">
        <v>3</v>
      </c>
      <c r="O77">
        <v>2.5</v>
      </c>
      <c r="P77" s="90">
        <f t="shared" si="6"/>
        <v>5.8904862254808616</v>
      </c>
    </row>
    <row r="78" spans="1:16" x14ac:dyDescent="0.3">
      <c r="A78" t="s">
        <v>502</v>
      </c>
      <c r="B78" s="66" t="s">
        <v>595</v>
      </c>
      <c r="C78" s="66" t="s">
        <v>965</v>
      </c>
      <c r="D78" s="67" t="s">
        <v>482</v>
      </c>
      <c r="E78" s="66" t="s">
        <v>1038</v>
      </c>
      <c r="F78" s="149" t="s">
        <v>2049</v>
      </c>
      <c r="G78">
        <v>18.03</v>
      </c>
      <c r="H78" s="116">
        <v>5.5</v>
      </c>
      <c r="I78" s="66">
        <v>50</v>
      </c>
      <c r="J78" s="116">
        <v>1.2</v>
      </c>
      <c r="K78">
        <f>IFERROR(VLOOKUP(TRIM(D78), Trees_density!$A:$B, 2, FALSE), "")</f>
        <v>0.55000000000000004</v>
      </c>
      <c r="L78" s="90">
        <f t="shared" si="4"/>
        <v>56.092744891868456</v>
      </c>
      <c r="M78" s="150">
        <f t="shared" si="5"/>
        <v>2.5531794181558955E-2</v>
      </c>
      <c r="N78" s="117">
        <v>4.3</v>
      </c>
      <c r="O78">
        <v>6.5</v>
      </c>
      <c r="P78" s="90">
        <f t="shared" si="6"/>
        <v>21.951878666958681</v>
      </c>
    </row>
    <row r="79" spans="1:16" x14ac:dyDescent="0.3">
      <c r="A79" t="s">
        <v>502</v>
      </c>
      <c r="B79" s="68" t="s">
        <v>999</v>
      </c>
      <c r="C79" s="68" t="s">
        <v>965</v>
      </c>
      <c r="D79" s="69" t="s">
        <v>1000</v>
      </c>
      <c r="E79" s="68" t="s">
        <v>988</v>
      </c>
      <c r="F79" s="148" t="s">
        <v>2049</v>
      </c>
      <c r="G79">
        <v>37</v>
      </c>
      <c r="H79" s="120">
        <v>6</v>
      </c>
      <c r="I79" s="68">
        <v>60</v>
      </c>
      <c r="J79" s="120">
        <v>2.5</v>
      </c>
      <c r="K79">
        <f>IFERROR(VLOOKUP(TRIM(D79), Trees_density!$A:$B, 2, FALSE), "")</f>
        <v>0.47</v>
      </c>
      <c r="L79" s="90">
        <f t="shared" si="4"/>
        <v>213.10221279004608</v>
      </c>
      <c r="M79" s="150">
        <f t="shared" si="5"/>
        <v>0.10752100856911066</v>
      </c>
      <c r="N79" s="121">
        <v>4.3</v>
      </c>
      <c r="O79">
        <v>4</v>
      </c>
      <c r="P79" s="90">
        <f t="shared" si="6"/>
        <v>13.50884841043611</v>
      </c>
    </row>
    <row r="80" spans="1:16" x14ac:dyDescent="0.3">
      <c r="A80" t="s">
        <v>518</v>
      </c>
      <c r="B80" s="71" t="s">
        <v>1039</v>
      </c>
      <c r="C80" s="66" t="s">
        <v>965</v>
      </c>
      <c r="D80" s="67" t="s">
        <v>1040</v>
      </c>
      <c r="E80" s="66" t="s">
        <v>131</v>
      </c>
      <c r="F80" s="149" t="s">
        <v>2049</v>
      </c>
      <c r="G80">
        <v>17.12</v>
      </c>
      <c r="H80" s="116">
        <v>4.5</v>
      </c>
      <c r="I80" s="66">
        <v>70</v>
      </c>
      <c r="J80" s="116">
        <v>1.7</v>
      </c>
      <c r="K80">
        <f>IFERROR(VLOOKUP(TRIM(D80), Trees_density!$A:$B, 2, FALSE), "")</f>
        <v>0.47</v>
      </c>
      <c r="L80" s="90">
        <f t="shared" si="4"/>
        <v>35.753398311968702</v>
      </c>
      <c r="M80" s="150">
        <f t="shared" si="5"/>
        <v>2.301958034620771E-2</v>
      </c>
      <c r="N80" s="117">
        <v>2.2000000000000002</v>
      </c>
      <c r="O80">
        <v>4.8</v>
      </c>
      <c r="P80" s="90">
        <f t="shared" si="6"/>
        <v>8.2938046054770549</v>
      </c>
    </row>
    <row r="81" spans="1:16" x14ac:dyDescent="0.3">
      <c r="A81" t="s">
        <v>518</v>
      </c>
      <c r="B81" s="68" t="s">
        <v>1039</v>
      </c>
      <c r="C81" s="68" t="s">
        <v>965</v>
      </c>
      <c r="D81" s="69" t="s">
        <v>1040</v>
      </c>
      <c r="E81" s="68" t="s">
        <v>131</v>
      </c>
      <c r="F81" s="148" t="s">
        <v>2049</v>
      </c>
      <c r="G81">
        <v>16.25</v>
      </c>
      <c r="H81" s="120">
        <v>4.5</v>
      </c>
      <c r="I81" s="68">
        <v>65</v>
      </c>
      <c r="J81" s="120">
        <v>1.5</v>
      </c>
      <c r="K81">
        <f>IFERROR(VLOOKUP(TRIM(D81), Trees_density!$A:$B, 2, FALSE), "")</f>
        <v>0.47</v>
      </c>
      <c r="L81" s="90">
        <f t="shared" si="4"/>
        <v>32.292655245696707</v>
      </c>
      <c r="M81" s="150">
        <f t="shared" si="5"/>
        <v>2.0739420252213869E-2</v>
      </c>
      <c r="N81" s="121">
        <v>2.7</v>
      </c>
      <c r="O81">
        <v>4.8</v>
      </c>
      <c r="P81" s="90">
        <f t="shared" si="6"/>
        <v>10.178760197630929</v>
      </c>
    </row>
    <row r="82" spans="1:16" x14ac:dyDescent="0.3">
      <c r="A82" t="s">
        <v>518</v>
      </c>
      <c r="B82" s="66" t="s">
        <v>1041</v>
      </c>
      <c r="C82" s="66" t="s">
        <v>965</v>
      </c>
      <c r="D82" s="67" t="s">
        <v>1042</v>
      </c>
      <c r="E82" s="66" t="s">
        <v>41</v>
      </c>
      <c r="F82" s="149" t="s">
        <v>2049</v>
      </c>
      <c r="G82">
        <v>39.700000000000003</v>
      </c>
      <c r="H82" s="116">
        <v>12</v>
      </c>
      <c r="I82" s="66">
        <v>70</v>
      </c>
      <c r="J82" s="116">
        <v>1.5</v>
      </c>
      <c r="K82">
        <f>IFERROR(VLOOKUP(TRIM(D82), Trees_density!$A:$B, 2, FALSE), "")</f>
        <v>0.48</v>
      </c>
      <c r="L82" s="90">
        <f t="shared" si="4"/>
        <v>490.9378058101878</v>
      </c>
      <c r="M82" s="150">
        <f t="shared" si="5"/>
        <v>0.12378581913490845</v>
      </c>
      <c r="N82" s="117">
        <v>7.5</v>
      </c>
      <c r="O82">
        <v>6</v>
      </c>
      <c r="P82" s="90">
        <f t="shared" si="6"/>
        <v>35.342917352885166</v>
      </c>
    </row>
    <row r="83" spans="1:16" x14ac:dyDescent="0.3">
      <c r="A83" t="s">
        <v>518</v>
      </c>
      <c r="B83" s="68" t="s">
        <v>1043</v>
      </c>
      <c r="C83" s="68" t="s">
        <v>965</v>
      </c>
      <c r="D83" s="69" t="s">
        <v>1044</v>
      </c>
      <c r="E83" s="68" t="s">
        <v>41</v>
      </c>
      <c r="F83" s="148" t="s">
        <v>2049</v>
      </c>
      <c r="G83">
        <v>9.43</v>
      </c>
      <c r="H83" s="120">
        <v>3.5</v>
      </c>
      <c r="I83" s="68">
        <v>70</v>
      </c>
      <c r="J83" s="120">
        <v>1</v>
      </c>
      <c r="K83">
        <f>IFERROR(VLOOKUP(TRIM(D83), Trees_density!$A:$B, 2, FALSE), "")</f>
        <v>0.57999999999999996</v>
      </c>
      <c r="L83" s="90">
        <f t="shared" si="4"/>
        <v>10.724523901290739</v>
      </c>
      <c r="M83" s="150">
        <f t="shared" si="5"/>
        <v>6.984145314030174E-3</v>
      </c>
      <c r="N83" s="121">
        <v>2</v>
      </c>
      <c r="O83">
        <v>2.5</v>
      </c>
      <c r="P83" s="90">
        <f t="shared" si="6"/>
        <v>3.9269908169872414</v>
      </c>
    </row>
    <row r="84" spans="1:16" x14ac:dyDescent="0.3">
      <c r="A84" t="s">
        <v>534</v>
      </c>
      <c r="B84" s="66" t="s">
        <v>1045</v>
      </c>
      <c r="C84" s="66" t="s">
        <v>965</v>
      </c>
      <c r="D84" s="67" t="s">
        <v>1046</v>
      </c>
      <c r="E84" s="66" t="s">
        <v>1047</v>
      </c>
      <c r="F84" s="149" t="s">
        <v>2049</v>
      </c>
      <c r="G84">
        <v>7.64</v>
      </c>
      <c r="H84" s="116">
        <v>4.5</v>
      </c>
      <c r="I84" s="66">
        <v>85</v>
      </c>
      <c r="J84" s="116">
        <v>1.5</v>
      </c>
      <c r="K84">
        <f>IFERROR(VLOOKUP(TRIM(D84), Trees_density!$A:$B, 2, FALSE), "")</f>
        <v>0.7</v>
      </c>
      <c r="L84" s="90">
        <f t="shared" si="4"/>
        <v>10.918535755940447</v>
      </c>
      <c r="M84" s="150">
        <f t="shared" si="5"/>
        <v>4.5843376638243696E-3</v>
      </c>
      <c r="N84" s="117">
        <v>1</v>
      </c>
      <c r="O84">
        <v>1</v>
      </c>
      <c r="P84" s="90">
        <f t="shared" si="6"/>
        <v>0.78539816339744828</v>
      </c>
    </row>
    <row r="85" spans="1:16" x14ac:dyDescent="0.3">
      <c r="A85" t="s">
        <v>534</v>
      </c>
      <c r="B85" s="68" t="s">
        <v>1045</v>
      </c>
      <c r="C85" s="68" t="s">
        <v>965</v>
      </c>
      <c r="D85" s="69" t="s">
        <v>1046</v>
      </c>
      <c r="E85" s="68" t="s">
        <v>1047</v>
      </c>
      <c r="F85" s="148" t="s">
        <v>2049</v>
      </c>
      <c r="G85">
        <v>7</v>
      </c>
      <c r="H85" s="120">
        <v>4.4000000000000004</v>
      </c>
      <c r="I85" s="68">
        <v>85</v>
      </c>
      <c r="J85" s="120">
        <v>1.5</v>
      </c>
      <c r="K85">
        <f>IFERROR(VLOOKUP(TRIM(D85), Trees_density!$A:$B, 2, FALSE), "")</f>
        <v>0.7</v>
      </c>
      <c r="L85" s="90">
        <f t="shared" si="4"/>
        <v>9.0047557575854835</v>
      </c>
      <c r="M85" s="150">
        <f t="shared" si="5"/>
        <v>3.8484510006474969E-3</v>
      </c>
      <c r="N85" s="121">
        <v>1</v>
      </c>
      <c r="O85">
        <v>1</v>
      </c>
      <c r="P85" s="90">
        <f t="shared" si="6"/>
        <v>0.78539816339744828</v>
      </c>
    </row>
    <row r="86" spans="1:16" x14ac:dyDescent="0.3">
      <c r="A86" t="s">
        <v>534</v>
      </c>
      <c r="B86" s="66" t="s">
        <v>968</v>
      </c>
      <c r="C86" s="66" t="s">
        <v>965</v>
      </c>
      <c r="D86" s="67" t="s">
        <v>969</v>
      </c>
      <c r="E86" s="66" t="s">
        <v>41</v>
      </c>
      <c r="F86" s="149" t="s">
        <v>2049</v>
      </c>
      <c r="G86">
        <v>33.44</v>
      </c>
      <c r="H86" s="116">
        <v>8</v>
      </c>
      <c r="I86" s="66">
        <v>60</v>
      </c>
      <c r="J86" s="116">
        <v>1.8</v>
      </c>
      <c r="K86">
        <f>IFERROR(VLOOKUP(TRIM(D86), Trees_density!$A:$B, 2, FALSE), "")</f>
        <v>0.65</v>
      </c>
      <c r="L86" s="90">
        <f t="shared" si="4"/>
        <v>317.83526655031585</v>
      </c>
      <c r="M86" s="150">
        <f t="shared" si="5"/>
        <v>8.7825861568931671E-2</v>
      </c>
      <c r="N86" s="121">
        <v>9</v>
      </c>
      <c r="O86">
        <v>7.5</v>
      </c>
      <c r="P86" s="90">
        <f t="shared" si="6"/>
        <v>53.014376029327757</v>
      </c>
    </row>
    <row r="87" spans="1:16" x14ac:dyDescent="0.3">
      <c r="A87" t="s">
        <v>534</v>
      </c>
      <c r="B87" s="68" t="s">
        <v>1048</v>
      </c>
      <c r="C87" s="68" t="s">
        <v>965</v>
      </c>
      <c r="D87" s="69" t="s">
        <v>1022</v>
      </c>
      <c r="E87" s="68" t="s">
        <v>1023</v>
      </c>
      <c r="F87" s="148" t="s">
        <v>2049</v>
      </c>
      <c r="G87">
        <v>12.41</v>
      </c>
      <c r="H87" s="120">
        <v>7</v>
      </c>
      <c r="I87" s="68">
        <v>75</v>
      </c>
      <c r="J87" s="120">
        <v>1.5</v>
      </c>
      <c r="K87">
        <f>IFERROR(VLOOKUP(TRIM(D87), Trees_density!$A:$B, 2, FALSE), "")</f>
        <v>0.38</v>
      </c>
      <c r="L87" s="90">
        <f t="shared" si="4"/>
        <v>23.863935089371065</v>
      </c>
      <c r="M87" s="150">
        <f t="shared" si="5"/>
        <v>1.2095767888833056E-2</v>
      </c>
      <c r="N87" s="117">
        <v>2.4</v>
      </c>
      <c r="O87">
        <v>2.4</v>
      </c>
      <c r="P87" s="90">
        <f t="shared" si="6"/>
        <v>4.5238934211693023</v>
      </c>
    </row>
    <row r="88" spans="1:16" x14ac:dyDescent="0.3">
      <c r="A88" t="s">
        <v>534</v>
      </c>
      <c r="B88" s="66" t="s">
        <v>1048</v>
      </c>
      <c r="C88" s="66" t="s">
        <v>965</v>
      </c>
      <c r="D88" s="67" t="s">
        <v>1022</v>
      </c>
      <c r="E88" s="66" t="s">
        <v>1023</v>
      </c>
      <c r="F88" s="149" t="s">
        <v>2049</v>
      </c>
      <c r="G88">
        <v>11.14</v>
      </c>
      <c r="H88" s="116">
        <v>7.2</v>
      </c>
      <c r="I88" s="66">
        <v>65</v>
      </c>
      <c r="J88" s="116">
        <v>1.5</v>
      </c>
      <c r="K88">
        <f>IFERROR(VLOOKUP(TRIM(D88), Trees_density!$A:$B, 2, FALSE), "")</f>
        <v>0.38</v>
      </c>
      <c r="L88" s="90">
        <f t="shared" si="4"/>
        <v>19.868279622844991</v>
      </c>
      <c r="M88" s="150">
        <f t="shared" si="5"/>
        <v>9.7467597918357973E-3</v>
      </c>
      <c r="N88" s="117">
        <v>2.4</v>
      </c>
      <c r="O88">
        <v>2.4</v>
      </c>
      <c r="P88" s="90">
        <f t="shared" si="6"/>
        <v>4.5238934211693023</v>
      </c>
    </row>
    <row r="89" spans="1:16" x14ac:dyDescent="0.3">
      <c r="A89" t="s">
        <v>534</v>
      </c>
      <c r="B89" s="68" t="s">
        <v>1048</v>
      </c>
      <c r="C89" s="68" t="s">
        <v>965</v>
      </c>
      <c r="D89" s="69" t="s">
        <v>1022</v>
      </c>
      <c r="E89" s="68" t="s">
        <v>1023</v>
      </c>
      <c r="F89" s="148" t="s">
        <v>2049</v>
      </c>
      <c r="G89">
        <v>10.51</v>
      </c>
      <c r="H89" s="120">
        <v>7.1</v>
      </c>
      <c r="I89" s="68">
        <v>70</v>
      </c>
      <c r="J89" s="120">
        <v>1.5</v>
      </c>
      <c r="K89">
        <f>IFERROR(VLOOKUP(TRIM(D89), Trees_density!$A:$B, 2, FALSE), "")</f>
        <v>0.38</v>
      </c>
      <c r="L89" s="90">
        <f t="shared" si="4"/>
        <v>17.493652873022285</v>
      </c>
      <c r="M89" s="150">
        <f t="shared" si="5"/>
        <v>8.675515966869848E-3</v>
      </c>
      <c r="N89" s="117">
        <v>2.4</v>
      </c>
      <c r="O89">
        <v>2.4</v>
      </c>
      <c r="P89" s="90">
        <f t="shared" si="6"/>
        <v>4.5238934211693023</v>
      </c>
    </row>
    <row r="90" spans="1:16" x14ac:dyDescent="0.3">
      <c r="A90" t="s">
        <v>534</v>
      </c>
      <c r="B90" s="66" t="s">
        <v>1048</v>
      </c>
      <c r="C90" s="66" t="s">
        <v>965</v>
      </c>
      <c r="D90" s="67" t="s">
        <v>1022</v>
      </c>
      <c r="E90" s="66" t="s">
        <v>1023</v>
      </c>
      <c r="F90" s="149" t="s">
        <v>2049</v>
      </c>
      <c r="G90">
        <v>11.78</v>
      </c>
      <c r="H90" s="116">
        <v>6.9</v>
      </c>
      <c r="I90" s="66">
        <v>65</v>
      </c>
      <c r="J90" s="116">
        <v>1.5</v>
      </c>
      <c r="K90">
        <f>IFERROR(VLOOKUP(TRIM(D90), Trees_density!$A:$B, 2, FALSE), "")</f>
        <v>0.38</v>
      </c>
      <c r="L90" s="90">
        <f t="shared" si="4"/>
        <v>21.25573730289614</v>
      </c>
      <c r="M90" s="150">
        <f t="shared" si="5"/>
        <v>1.0898844649760245E-2</v>
      </c>
      <c r="N90" s="117">
        <v>2.4</v>
      </c>
      <c r="O90">
        <v>2.4</v>
      </c>
      <c r="P90" s="90">
        <f t="shared" si="6"/>
        <v>4.5238934211693023</v>
      </c>
    </row>
    <row r="91" spans="1:16" x14ac:dyDescent="0.3">
      <c r="A91" t="s">
        <v>534</v>
      </c>
      <c r="B91" s="68" t="s">
        <v>1048</v>
      </c>
      <c r="C91" s="68" t="s">
        <v>965</v>
      </c>
      <c r="D91" s="69" t="s">
        <v>1022</v>
      </c>
      <c r="E91" s="68" t="s">
        <v>1023</v>
      </c>
      <c r="F91" s="148" t="s">
        <v>2049</v>
      </c>
      <c r="G91">
        <v>6.37</v>
      </c>
      <c r="H91" s="120">
        <v>7.2</v>
      </c>
      <c r="I91" s="68">
        <v>65</v>
      </c>
      <c r="J91" s="120">
        <v>1.5</v>
      </c>
      <c r="K91">
        <f>IFERROR(VLOOKUP(TRIM(D91), Trees_density!$A:$B, 2, FALSE), "")</f>
        <v>0.38</v>
      </c>
      <c r="L91" s="90">
        <f t="shared" si="4"/>
        <v>6.6729910591284884</v>
      </c>
      <c r="M91" s="150">
        <f t="shared" si="5"/>
        <v>3.1869022736361928E-3</v>
      </c>
      <c r="N91" s="117">
        <v>2.4</v>
      </c>
      <c r="O91">
        <v>2.4</v>
      </c>
      <c r="P91" s="90">
        <f t="shared" si="6"/>
        <v>4.5238934211693023</v>
      </c>
    </row>
    <row r="92" spans="1:16" x14ac:dyDescent="0.3">
      <c r="A92" t="s">
        <v>534</v>
      </c>
      <c r="B92" s="66" t="s">
        <v>999</v>
      </c>
      <c r="C92" s="66" t="s">
        <v>965</v>
      </c>
      <c r="D92" s="67" t="s">
        <v>1000</v>
      </c>
      <c r="E92" s="66" t="s">
        <v>988</v>
      </c>
      <c r="F92" s="149" t="s">
        <v>2049</v>
      </c>
      <c r="G92">
        <v>4.7699999999999996</v>
      </c>
      <c r="H92" s="116">
        <v>2.6</v>
      </c>
      <c r="I92" s="66">
        <v>80</v>
      </c>
      <c r="J92" s="116">
        <v>0.9</v>
      </c>
      <c r="K92">
        <f>IFERROR(VLOOKUP(TRIM(D92), Trees_density!$A:$B, 2, FALSE), "")</f>
        <v>0.47</v>
      </c>
      <c r="L92" s="90">
        <f t="shared" si="4"/>
        <v>1.727684500400561</v>
      </c>
      <c r="M92" s="150">
        <f t="shared" si="5"/>
        <v>1.7870085871965794E-3</v>
      </c>
      <c r="N92" s="121">
        <v>1</v>
      </c>
      <c r="O92">
        <v>1</v>
      </c>
      <c r="P92" s="90">
        <f t="shared" si="6"/>
        <v>0.78539816339744828</v>
      </c>
    </row>
    <row r="93" spans="1:16" x14ac:dyDescent="0.3">
      <c r="A93" t="s">
        <v>534</v>
      </c>
      <c r="B93" s="68" t="s">
        <v>999</v>
      </c>
      <c r="C93" s="68" t="s">
        <v>965</v>
      </c>
      <c r="D93" s="69" t="s">
        <v>1000</v>
      </c>
      <c r="E93" s="68" t="s">
        <v>988</v>
      </c>
      <c r="F93" s="148" t="s">
        <v>2049</v>
      </c>
      <c r="G93">
        <v>3.18</v>
      </c>
      <c r="H93" s="120">
        <v>2.4</v>
      </c>
      <c r="I93" s="68">
        <v>80</v>
      </c>
      <c r="J93" s="120">
        <v>0.7</v>
      </c>
      <c r="K93">
        <f>IFERROR(VLOOKUP(TRIM(D93), Trees_density!$A:$B, 2, FALSE), "")</f>
        <v>0.47</v>
      </c>
      <c r="L93" s="90">
        <f t="shared" si="4"/>
        <v>0.72411323217665957</v>
      </c>
      <c r="M93" s="150">
        <f t="shared" si="5"/>
        <v>7.9422603875403566E-4</v>
      </c>
      <c r="N93" s="117">
        <v>0.8</v>
      </c>
      <c r="O93">
        <v>0.8</v>
      </c>
      <c r="P93" s="90">
        <f t="shared" si="6"/>
        <v>0.50265482457436694</v>
      </c>
    </row>
    <row r="94" spans="1:16" x14ac:dyDescent="0.3">
      <c r="A94" t="s">
        <v>534</v>
      </c>
      <c r="B94" s="66" t="s">
        <v>860</v>
      </c>
      <c r="C94" s="66" t="s">
        <v>965</v>
      </c>
      <c r="D94" s="67" t="s">
        <v>992</v>
      </c>
      <c r="E94" s="66" t="s">
        <v>993</v>
      </c>
      <c r="F94" s="149" t="s">
        <v>2049</v>
      </c>
      <c r="G94">
        <v>3.18</v>
      </c>
      <c r="H94" s="116">
        <v>4.5999999999999996</v>
      </c>
      <c r="I94" s="66">
        <v>55</v>
      </c>
      <c r="J94" s="116">
        <v>1.1000000000000001</v>
      </c>
      <c r="K94">
        <f>IFERROR(VLOOKUP(TRIM(D94), Trees_density!$A:$B, 2, FALSE), "")</f>
        <v>0.6</v>
      </c>
      <c r="L94" s="90">
        <f t="shared" si="4"/>
        <v>1.734123671320011</v>
      </c>
      <c r="M94" s="150">
        <f t="shared" si="5"/>
        <v>7.9422603875403566E-4</v>
      </c>
      <c r="N94" s="121">
        <v>3.1</v>
      </c>
      <c r="O94">
        <v>2.8</v>
      </c>
      <c r="P94" s="90">
        <f t="shared" si="6"/>
        <v>6.8172560582898507</v>
      </c>
    </row>
    <row r="95" spans="1:16" x14ac:dyDescent="0.3">
      <c r="A95" t="s">
        <v>534</v>
      </c>
      <c r="B95" s="68" t="s">
        <v>860</v>
      </c>
      <c r="C95" s="68" t="s">
        <v>965</v>
      </c>
      <c r="D95" s="69" t="s">
        <v>992</v>
      </c>
      <c r="E95" s="68" t="s">
        <v>993</v>
      </c>
      <c r="F95" s="148" t="s">
        <v>2049</v>
      </c>
      <c r="G95">
        <v>6.05</v>
      </c>
      <c r="H95" s="120">
        <v>4.7</v>
      </c>
      <c r="I95" s="68">
        <v>60</v>
      </c>
      <c r="J95" s="120">
        <v>1.4</v>
      </c>
      <c r="K95">
        <f>IFERROR(VLOOKUP(TRIM(D95), Trees_density!$A:$B, 2, FALSE), "")</f>
        <v>0.6</v>
      </c>
      <c r="L95" s="90">
        <f t="shared" si="4"/>
        <v>6.2150508354557195</v>
      </c>
      <c r="M95" s="150">
        <f t="shared" si="5"/>
        <v>2.8747536275755101E-3</v>
      </c>
      <c r="N95" s="117">
        <v>2.7</v>
      </c>
      <c r="O95">
        <v>2.8</v>
      </c>
      <c r="P95" s="90">
        <f t="shared" si="6"/>
        <v>5.9376101152847083</v>
      </c>
    </row>
    <row r="96" spans="1:16" x14ac:dyDescent="0.3">
      <c r="A96" t="s">
        <v>534</v>
      </c>
      <c r="B96" s="66" t="s">
        <v>860</v>
      </c>
      <c r="C96" s="66" t="s">
        <v>965</v>
      </c>
      <c r="D96" s="67" t="s">
        <v>992</v>
      </c>
      <c r="E96" s="66" t="s">
        <v>993</v>
      </c>
      <c r="F96" s="149" t="s">
        <v>2049</v>
      </c>
      <c r="G96">
        <v>5.41</v>
      </c>
      <c r="H96" s="116">
        <v>4.5</v>
      </c>
      <c r="I96" s="66">
        <v>20</v>
      </c>
      <c r="J96" s="116">
        <v>1.3</v>
      </c>
      <c r="K96">
        <f>IFERROR(VLOOKUP(TRIM(D96), Trees_density!$A:$B, 2, FALSE), "")</f>
        <v>0.6</v>
      </c>
      <c r="L96" s="90">
        <f t="shared" si="4"/>
        <v>4.7888050726341991</v>
      </c>
      <c r="M96" s="150">
        <f t="shared" si="5"/>
        <v>2.2987111986132857E-3</v>
      </c>
      <c r="N96" s="121">
        <v>2.1</v>
      </c>
      <c r="O96">
        <v>1.8</v>
      </c>
      <c r="P96" s="90">
        <f t="shared" si="6"/>
        <v>2.9688050576423546</v>
      </c>
    </row>
    <row r="97" spans="1:16" x14ac:dyDescent="0.3">
      <c r="A97" t="s">
        <v>534</v>
      </c>
      <c r="B97" s="68" t="s">
        <v>860</v>
      </c>
      <c r="C97" s="68" t="s">
        <v>965</v>
      </c>
      <c r="D97" s="69" t="s">
        <v>992</v>
      </c>
      <c r="E97" s="68" t="s">
        <v>993</v>
      </c>
      <c r="F97" s="148" t="s">
        <v>2049</v>
      </c>
      <c r="G97">
        <v>7.32</v>
      </c>
      <c r="H97" s="120">
        <v>4.5999999999999996</v>
      </c>
      <c r="I97" s="68">
        <v>60</v>
      </c>
      <c r="J97" s="120">
        <v>1.5</v>
      </c>
      <c r="K97">
        <f>IFERROR(VLOOKUP(TRIM(D97), Trees_density!$A:$B, 2, FALSE), "")</f>
        <v>0.6</v>
      </c>
      <c r="L97" s="90">
        <f t="shared" si="4"/>
        <v>8.8281145254452884</v>
      </c>
      <c r="M97" s="150">
        <f t="shared" si="5"/>
        <v>4.2083518550427431E-3</v>
      </c>
      <c r="N97" s="117">
        <v>3</v>
      </c>
      <c r="O97">
        <v>2.4</v>
      </c>
      <c r="P97" s="90">
        <f t="shared" si="6"/>
        <v>5.6548667764616276</v>
      </c>
    </row>
    <row r="98" spans="1:16" x14ac:dyDescent="0.3">
      <c r="A98" t="s">
        <v>534</v>
      </c>
      <c r="B98" s="66" t="s">
        <v>1048</v>
      </c>
      <c r="C98" s="66" t="s">
        <v>965</v>
      </c>
      <c r="D98" s="67" t="s">
        <v>1022</v>
      </c>
      <c r="E98" s="66" t="s">
        <v>1023</v>
      </c>
      <c r="F98" s="149" t="s">
        <v>2049</v>
      </c>
      <c r="G98">
        <v>6.37</v>
      </c>
      <c r="H98" s="116">
        <v>4.7</v>
      </c>
      <c r="I98" s="66">
        <v>55</v>
      </c>
      <c r="J98" s="116">
        <v>1.2</v>
      </c>
      <c r="K98">
        <f>IFERROR(VLOOKUP(TRIM(D98), Trees_density!$A:$B, 2, FALSE), "")</f>
        <v>0.38</v>
      </c>
      <c r="L98" s="90">
        <f t="shared" ref="L98:L118" si="7">IFERROR(0.0673 * ((K98 * G98^2 * H98)^0.976), "")</f>
        <v>4.4007990256319429</v>
      </c>
      <c r="M98" s="150">
        <f t="shared" si="5"/>
        <v>3.1869022736361928E-3</v>
      </c>
      <c r="N98" s="121">
        <v>2.8</v>
      </c>
      <c r="O98">
        <v>2.6</v>
      </c>
      <c r="P98" s="90">
        <f t="shared" si="6"/>
        <v>5.717698629533424</v>
      </c>
    </row>
    <row r="99" spans="1:16" x14ac:dyDescent="0.3">
      <c r="A99" t="s">
        <v>550</v>
      </c>
      <c r="B99" s="68" t="s">
        <v>964</v>
      </c>
      <c r="C99" s="68" t="s">
        <v>965</v>
      </c>
      <c r="D99" s="69" t="s">
        <v>966</v>
      </c>
      <c r="E99" s="68" t="s">
        <v>967</v>
      </c>
      <c r="F99" s="148" t="s">
        <v>2049</v>
      </c>
      <c r="G99">
        <v>18.3</v>
      </c>
      <c r="H99" s="120">
        <v>2.1</v>
      </c>
      <c r="I99" s="68">
        <v>40</v>
      </c>
      <c r="J99" s="120">
        <v>0.2</v>
      </c>
      <c r="K99">
        <f>IFERROR(VLOOKUP(TRIM(D99), Trees_density!$A:$B, 2, FALSE), "")</f>
        <v>0.56000000000000005</v>
      </c>
      <c r="L99" s="90">
        <f t="shared" si="7"/>
        <v>22.963450048046834</v>
      </c>
      <c r="M99" s="150">
        <f t="shared" si="5"/>
        <v>2.6302199094017143E-2</v>
      </c>
      <c r="N99" s="121">
        <v>3</v>
      </c>
      <c r="O99">
        <v>3</v>
      </c>
      <c r="P99" s="90">
        <f t="shared" si="6"/>
        <v>7.0685834705770345</v>
      </c>
    </row>
    <row r="100" spans="1:16" x14ac:dyDescent="0.3">
      <c r="A100" t="s">
        <v>550</v>
      </c>
      <c r="B100" s="66" t="s">
        <v>135</v>
      </c>
      <c r="C100" s="66" t="s">
        <v>965</v>
      </c>
      <c r="D100" s="67" t="s">
        <v>983</v>
      </c>
      <c r="E100" s="66" t="s">
        <v>136</v>
      </c>
      <c r="F100" s="149" t="s">
        <v>2049</v>
      </c>
      <c r="G100">
        <v>12.5</v>
      </c>
      <c r="H100" s="116">
        <v>1.9</v>
      </c>
      <c r="I100" s="66">
        <v>95</v>
      </c>
      <c r="J100" s="116">
        <v>0</v>
      </c>
      <c r="K100">
        <f>IFERROR(VLOOKUP(TRIM(D100), Trees_density!$A:$B, 2, FALSE), "")</f>
        <v>0.53</v>
      </c>
      <c r="L100" s="90">
        <f t="shared" si="7"/>
        <v>9.3786466325565492</v>
      </c>
      <c r="M100" s="150">
        <f t="shared" si="5"/>
        <v>1.2271846303085129E-2</v>
      </c>
      <c r="N100" s="117">
        <v>3.5</v>
      </c>
      <c r="O100">
        <v>3.5</v>
      </c>
      <c r="P100" s="90">
        <f t="shared" si="6"/>
        <v>9.6211275016187408</v>
      </c>
    </row>
    <row r="101" spans="1:16" x14ac:dyDescent="0.3">
      <c r="A101" t="s">
        <v>550</v>
      </c>
      <c r="B101" s="68" t="s">
        <v>1021</v>
      </c>
      <c r="C101" s="68" t="s">
        <v>965</v>
      </c>
      <c r="D101" s="69" t="s">
        <v>1022</v>
      </c>
      <c r="E101" s="68" t="s">
        <v>1023</v>
      </c>
      <c r="F101" s="148" t="s">
        <v>2049</v>
      </c>
      <c r="G101">
        <v>1</v>
      </c>
      <c r="H101" s="120">
        <v>1.7</v>
      </c>
      <c r="I101" s="68">
        <v>60</v>
      </c>
      <c r="J101" s="120">
        <v>0.2</v>
      </c>
      <c r="K101">
        <f>IFERROR(VLOOKUP(TRIM(D101), Trees_density!$A:$B, 2, FALSE), "")</f>
        <v>0.38</v>
      </c>
      <c r="L101" s="90">
        <f t="shared" si="7"/>
        <v>4.3934127068907779E-2</v>
      </c>
      <c r="M101" s="150">
        <f t="shared" si="5"/>
        <v>7.8539816339744827E-5</v>
      </c>
      <c r="N101" s="121">
        <v>1</v>
      </c>
      <c r="O101">
        <v>1</v>
      </c>
      <c r="P101" s="90">
        <f t="shared" si="6"/>
        <v>0.78539816339744828</v>
      </c>
    </row>
    <row r="102" spans="1:16" x14ac:dyDescent="0.3">
      <c r="A102" t="s">
        <v>550</v>
      </c>
      <c r="B102" s="66" t="s">
        <v>1021</v>
      </c>
      <c r="C102" s="66" t="s">
        <v>965</v>
      </c>
      <c r="D102" s="67" t="s">
        <v>1022</v>
      </c>
      <c r="E102" s="66" t="s">
        <v>1023</v>
      </c>
      <c r="F102" s="149" t="s">
        <v>2049</v>
      </c>
      <c r="G102">
        <v>1</v>
      </c>
      <c r="H102" s="116">
        <v>1.7</v>
      </c>
      <c r="I102" s="66">
        <v>60</v>
      </c>
      <c r="J102" s="116">
        <v>0.1</v>
      </c>
      <c r="K102">
        <f>IFERROR(VLOOKUP(TRIM(D102), Trees_density!$A:$B, 2, FALSE), "")</f>
        <v>0.38</v>
      </c>
      <c r="L102" s="90">
        <f t="shared" si="7"/>
        <v>4.3934127068907779E-2</v>
      </c>
      <c r="M102" s="150">
        <f t="shared" si="5"/>
        <v>7.8539816339744827E-5</v>
      </c>
      <c r="N102" s="117">
        <v>0.5</v>
      </c>
      <c r="O102">
        <v>0.5</v>
      </c>
      <c r="P102" s="90">
        <f t="shared" si="6"/>
        <v>0.19634954084936207</v>
      </c>
    </row>
    <row r="103" spans="1:16" x14ac:dyDescent="0.3">
      <c r="A103" t="s">
        <v>550</v>
      </c>
      <c r="B103" s="68" t="s">
        <v>850</v>
      </c>
      <c r="C103" s="68" t="s">
        <v>965</v>
      </c>
      <c r="D103" s="69" t="s">
        <v>1049</v>
      </c>
      <c r="E103" s="68" t="s">
        <v>1050</v>
      </c>
      <c r="F103" s="148" t="s">
        <v>2049</v>
      </c>
      <c r="G103">
        <v>5.3</v>
      </c>
      <c r="H103" s="120">
        <v>2</v>
      </c>
      <c r="I103" s="68">
        <v>95</v>
      </c>
      <c r="J103" s="120">
        <v>0.2</v>
      </c>
      <c r="K103">
        <f>IFERROR(VLOOKUP(TRIM(D103), Trees_density!$A:$B, 2, FALSE), "")</f>
        <v>0.4</v>
      </c>
      <c r="L103" s="90">
        <f t="shared" si="7"/>
        <v>1.403516068055328</v>
      </c>
      <c r="M103" s="150">
        <f t="shared" si="5"/>
        <v>2.2061834409834321E-3</v>
      </c>
      <c r="N103" s="121">
        <v>2.5</v>
      </c>
      <c r="O103">
        <v>2</v>
      </c>
      <c r="P103" s="90">
        <f t="shared" si="6"/>
        <v>3.9269908169872414</v>
      </c>
    </row>
    <row r="104" spans="1:16" x14ac:dyDescent="0.3">
      <c r="A104" t="s">
        <v>550</v>
      </c>
      <c r="B104" s="66" t="s">
        <v>1021</v>
      </c>
      <c r="C104" s="66" t="s">
        <v>965</v>
      </c>
      <c r="D104" s="67" t="s">
        <v>1022</v>
      </c>
      <c r="E104" s="66" t="s">
        <v>1023</v>
      </c>
      <c r="F104" s="149" t="s">
        <v>2049</v>
      </c>
      <c r="G104">
        <v>1</v>
      </c>
      <c r="H104" s="116">
        <v>1.45</v>
      </c>
      <c r="I104" s="66">
        <v>60</v>
      </c>
      <c r="J104" s="116">
        <v>0</v>
      </c>
      <c r="K104">
        <f>IFERROR(VLOOKUP(TRIM(D104), Trees_density!$A:$B, 2, FALSE), "")</f>
        <v>0.38</v>
      </c>
      <c r="L104" s="90">
        <f t="shared" si="7"/>
        <v>3.7616555453228513E-2</v>
      </c>
      <c r="M104" s="150">
        <f t="shared" si="5"/>
        <v>7.8539816339744827E-5</v>
      </c>
      <c r="N104" s="117">
        <v>0.5</v>
      </c>
      <c r="O104">
        <v>0.5</v>
      </c>
      <c r="P104" s="90">
        <f t="shared" si="6"/>
        <v>0.19634954084936207</v>
      </c>
    </row>
    <row r="105" spans="1:16" x14ac:dyDescent="0.3">
      <c r="A105" t="s">
        <v>550</v>
      </c>
      <c r="B105" s="68" t="s">
        <v>968</v>
      </c>
      <c r="C105" s="68" t="s">
        <v>965</v>
      </c>
      <c r="D105" s="69" t="s">
        <v>969</v>
      </c>
      <c r="E105" s="68" t="s">
        <v>41</v>
      </c>
      <c r="F105" s="148" t="s">
        <v>2049</v>
      </c>
      <c r="G105">
        <v>4.2</v>
      </c>
      <c r="H105" s="120">
        <v>2.6</v>
      </c>
      <c r="I105" s="68">
        <v>70</v>
      </c>
      <c r="J105" s="120">
        <v>0.3</v>
      </c>
      <c r="K105">
        <f>IFERROR(VLOOKUP(TRIM(D105), Trees_density!$A:$B, 2, FALSE), "")</f>
        <v>0.65</v>
      </c>
      <c r="L105" s="90">
        <f t="shared" si="7"/>
        <v>1.8493329292343859</v>
      </c>
      <c r="M105" s="150">
        <f t="shared" si="5"/>
        <v>1.385442360233099E-3</v>
      </c>
      <c r="N105" s="121">
        <v>2.5</v>
      </c>
      <c r="O105">
        <v>2.5</v>
      </c>
      <c r="P105" s="90">
        <f t="shared" si="6"/>
        <v>4.908738521234052</v>
      </c>
    </row>
    <row r="106" spans="1:16" x14ac:dyDescent="0.3">
      <c r="A106" t="s">
        <v>550</v>
      </c>
      <c r="B106" s="66" t="s">
        <v>595</v>
      </c>
      <c r="C106" s="66" t="s">
        <v>965</v>
      </c>
      <c r="D106" s="67" t="s">
        <v>482</v>
      </c>
      <c r="E106" s="66" t="s">
        <v>1038</v>
      </c>
      <c r="F106" s="149" t="s">
        <v>2049</v>
      </c>
      <c r="G106">
        <v>1.4</v>
      </c>
      <c r="H106" s="116">
        <v>5.2</v>
      </c>
      <c r="I106" s="66">
        <v>70</v>
      </c>
      <c r="J106" s="116">
        <v>1.4</v>
      </c>
      <c r="K106">
        <f>IFERROR(VLOOKUP(TRIM(D106), Trees_density!$A:$B, 2, FALSE), "")</f>
        <v>0.55000000000000004</v>
      </c>
      <c r="L106" s="90">
        <f t="shared" si="7"/>
        <v>0.36196805003943261</v>
      </c>
      <c r="M106" s="150">
        <f t="shared" si="5"/>
        <v>1.5393804002589983E-4</v>
      </c>
      <c r="N106" s="117">
        <v>4</v>
      </c>
      <c r="O106">
        <v>3.5</v>
      </c>
      <c r="P106" s="90">
        <f t="shared" si="6"/>
        <v>10.995574287564276</v>
      </c>
    </row>
    <row r="107" spans="1:16" x14ac:dyDescent="0.3">
      <c r="A107" t="s">
        <v>550</v>
      </c>
      <c r="B107" s="68" t="s">
        <v>1048</v>
      </c>
      <c r="C107" s="68" t="s">
        <v>965</v>
      </c>
      <c r="D107" s="69" t="s">
        <v>1022</v>
      </c>
      <c r="E107" s="68" t="s">
        <v>1023</v>
      </c>
      <c r="F107" s="148" t="s">
        <v>2049</v>
      </c>
      <c r="G107">
        <v>2.2999999999999998</v>
      </c>
      <c r="H107" s="120">
        <v>2.6</v>
      </c>
      <c r="I107" s="68">
        <v>55</v>
      </c>
      <c r="J107" s="120">
        <v>0.4</v>
      </c>
      <c r="K107">
        <f>IFERROR(VLOOKUP(TRIM(D107), Trees_density!$A:$B, 2, FALSE), "")</f>
        <v>0.38</v>
      </c>
      <c r="L107" s="90">
        <f t="shared" si="7"/>
        <v>0.33805750202078222</v>
      </c>
      <c r="M107" s="150">
        <f t="shared" si="5"/>
        <v>4.154756284372501E-4</v>
      </c>
      <c r="N107" s="121">
        <v>1</v>
      </c>
      <c r="O107">
        <v>1</v>
      </c>
      <c r="P107" s="90">
        <f t="shared" si="6"/>
        <v>0.78539816339744828</v>
      </c>
    </row>
    <row r="108" spans="1:16" x14ac:dyDescent="0.3">
      <c r="A108" t="s">
        <v>550</v>
      </c>
      <c r="B108" s="66" t="s">
        <v>1051</v>
      </c>
      <c r="C108" s="66" t="s">
        <v>965</v>
      </c>
      <c r="D108" s="67" t="s">
        <v>1052</v>
      </c>
      <c r="E108" s="66" t="s">
        <v>1053</v>
      </c>
      <c r="F108" s="149" t="s">
        <v>2049</v>
      </c>
      <c r="G108">
        <v>4</v>
      </c>
      <c r="H108" s="116">
        <v>2.4</v>
      </c>
      <c r="I108" s="66">
        <v>65</v>
      </c>
      <c r="J108" s="116">
        <v>0.3</v>
      </c>
      <c r="K108">
        <f>IFERROR(VLOOKUP(TRIM(D108), Trees_density!$A:$B, 2, FALSE), "")</f>
        <v>0.46</v>
      </c>
      <c r="L108" s="90">
        <f t="shared" si="7"/>
        <v>1.1096192513524812</v>
      </c>
      <c r="M108" s="150">
        <f t="shared" si="5"/>
        <v>1.2566370614359172E-3</v>
      </c>
      <c r="N108" s="117">
        <v>2</v>
      </c>
      <c r="O108">
        <v>1.5</v>
      </c>
      <c r="P108" s="90">
        <f t="shared" si="6"/>
        <v>2.3561944901923448</v>
      </c>
    </row>
    <row r="109" spans="1:16" x14ac:dyDescent="0.3">
      <c r="A109" t="s">
        <v>570</v>
      </c>
      <c r="B109" s="68" t="s">
        <v>666</v>
      </c>
      <c r="C109" s="68" t="s">
        <v>965</v>
      </c>
      <c r="D109" s="69" t="s">
        <v>33</v>
      </c>
      <c r="E109" s="68" t="s">
        <v>34</v>
      </c>
      <c r="F109" s="148" t="s">
        <v>2049</v>
      </c>
      <c r="G109">
        <v>30.5</v>
      </c>
      <c r="H109" s="120">
        <v>8</v>
      </c>
      <c r="I109" s="68">
        <v>80</v>
      </c>
      <c r="J109" s="120">
        <v>3</v>
      </c>
      <c r="K109">
        <f>IFERROR(VLOOKUP(TRIM(D109), Trees_density!$A:$B, 2, FALSE), "")</f>
        <v>0.69</v>
      </c>
      <c r="L109" s="90">
        <f t="shared" si="7"/>
        <v>281.51457874007991</v>
      </c>
      <c r="M109" s="150">
        <f t="shared" si="5"/>
        <v>7.3061664150047625E-2</v>
      </c>
      <c r="N109" s="121">
        <v>5</v>
      </c>
      <c r="O109">
        <v>3</v>
      </c>
      <c r="P109" s="90">
        <f t="shared" si="6"/>
        <v>11.780972450961723</v>
      </c>
    </row>
    <row r="110" spans="1:16" x14ac:dyDescent="0.3">
      <c r="A110" t="s">
        <v>570</v>
      </c>
      <c r="B110" s="66" t="s">
        <v>1048</v>
      </c>
      <c r="C110" s="66" t="s">
        <v>965</v>
      </c>
      <c r="D110" s="67" t="s">
        <v>1022</v>
      </c>
      <c r="E110" s="66" t="s">
        <v>1023</v>
      </c>
      <c r="F110" s="149" t="s">
        <v>2049</v>
      </c>
      <c r="G110">
        <v>34.5</v>
      </c>
      <c r="H110" s="116">
        <v>11.8</v>
      </c>
      <c r="I110" s="66">
        <v>70</v>
      </c>
      <c r="J110" s="116">
        <v>1.5</v>
      </c>
      <c r="K110">
        <f>IFERROR(VLOOKUP(TRIM(D110), Trees_density!$A:$B, 2, FALSE), "")</f>
        <v>0.38</v>
      </c>
      <c r="L110" s="90">
        <f t="shared" si="7"/>
        <v>292.32339053544098</v>
      </c>
      <c r="M110" s="150">
        <f t="shared" si="5"/>
        <v>9.348201639838126E-2</v>
      </c>
      <c r="N110" s="117">
        <v>7.5</v>
      </c>
      <c r="O110">
        <v>8</v>
      </c>
      <c r="P110" s="90">
        <f t="shared" si="6"/>
        <v>47.123889803846893</v>
      </c>
    </row>
    <row r="111" spans="1:16" x14ac:dyDescent="0.3">
      <c r="A111" t="s">
        <v>570</v>
      </c>
      <c r="B111" s="62" t="s">
        <v>1005</v>
      </c>
      <c r="C111" s="68" t="s">
        <v>965</v>
      </c>
      <c r="D111" s="69" t="s">
        <v>1006</v>
      </c>
      <c r="E111" s="68" t="s">
        <v>41</v>
      </c>
      <c r="F111" s="148" t="s">
        <v>2049</v>
      </c>
      <c r="G111">
        <v>17.329999999999998</v>
      </c>
      <c r="H111" s="120">
        <v>8.6</v>
      </c>
      <c r="I111" s="68">
        <v>50</v>
      </c>
      <c r="J111" s="120">
        <v>2</v>
      </c>
      <c r="K111">
        <f>IFERROR(VLOOKUP(TRIM(D111), Trees_density!$A:$B, 2, FALSE), "")</f>
        <v>0.55000000000000004</v>
      </c>
      <c r="L111" s="90">
        <f t="shared" si="7"/>
        <v>80.31826750383425</v>
      </c>
      <c r="M111" s="150">
        <f t="shared" si="5"/>
        <v>2.3587776647517586E-2</v>
      </c>
      <c r="N111" s="121">
        <v>6</v>
      </c>
      <c r="O111">
        <v>3</v>
      </c>
      <c r="P111" s="90">
        <f t="shared" si="6"/>
        <v>14.137166941154069</v>
      </c>
    </row>
    <row r="112" spans="1:16" x14ac:dyDescent="0.3">
      <c r="A112" t="s">
        <v>576</v>
      </c>
      <c r="B112" s="66" t="s">
        <v>1054</v>
      </c>
      <c r="C112" s="66" t="s">
        <v>965</v>
      </c>
      <c r="D112" s="67" t="s">
        <v>1055</v>
      </c>
      <c r="E112" s="66" t="s">
        <v>1056</v>
      </c>
      <c r="F112" s="149" t="s">
        <v>2029</v>
      </c>
      <c r="G112">
        <v>0.28000000000000003</v>
      </c>
      <c r="H112" s="116">
        <v>5</v>
      </c>
      <c r="I112" s="66">
        <v>65</v>
      </c>
      <c r="J112" s="116">
        <v>0.2</v>
      </c>
      <c r="K112">
        <f>IFERROR(VLOOKUP(TRIM(D112), Trees_density!$A:$B, 2, FALSE), "")</f>
        <v>0.33</v>
      </c>
      <c r="L112" s="90">
        <f t="shared" si="7"/>
        <v>9.1439084870682443E-3</v>
      </c>
      <c r="M112" s="150">
        <f t="shared" si="5"/>
        <v>6.157521601035997E-6</v>
      </c>
      <c r="N112" s="117">
        <v>2</v>
      </c>
      <c r="O112">
        <v>2</v>
      </c>
      <c r="P112" s="90">
        <f t="shared" si="6"/>
        <v>3.1415926535897931</v>
      </c>
    </row>
    <row r="113" spans="1:16" x14ac:dyDescent="0.3">
      <c r="A113" t="s">
        <v>576</v>
      </c>
      <c r="B113" s="68" t="s">
        <v>135</v>
      </c>
      <c r="C113" s="68" t="s">
        <v>965</v>
      </c>
      <c r="D113" s="69" t="s">
        <v>983</v>
      </c>
      <c r="E113" s="68" t="s">
        <v>136</v>
      </c>
      <c r="F113" s="148" t="s">
        <v>2049</v>
      </c>
      <c r="G113">
        <v>0.3</v>
      </c>
      <c r="H113" s="120">
        <v>5.3</v>
      </c>
      <c r="I113" s="68">
        <v>75</v>
      </c>
      <c r="J113" s="120">
        <v>0.5</v>
      </c>
      <c r="K113">
        <f>IFERROR(VLOOKUP(TRIM(D113), Trees_density!$A:$B, 2, FALSE), "")</f>
        <v>0.53</v>
      </c>
      <c r="L113" s="90">
        <f t="shared" si="7"/>
        <v>1.7584995070005237E-2</v>
      </c>
      <c r="M113" s="150">
        <f t="shared" si="5"/>
        <v>7.0685834705770344E-6</v>
      </c>
      <c r="N113" s="129">
        <v>5.7</v>
      </c>
      <c r="O113">
        <v>4.9000000000000004</v>
      </c>
      <c r="P113" s="90">
        <f t="shared" si="6"/>
        <v>21.936170703690735</v>
      </c>
    </row>
    <row r="114" spans="1:16" x14ac:dyDescent="0.3">
      <c r="A114" t="s">
        <v>576</v>
      </c>
      <c r="B114" s="66" t="s">
        <v>1057</v>
      </c>
      <c r="C114" s="66" t="s">
        <v>965</v>
      </c>
      <c r="D114" s="67" t="s">
        <v>1058</v>
      </c>
      <c r="E114" s="66" t="s">
        <v>32</v>
      </c>
      <c r="F114" s="149" t="s">
        <v>2049</v>
      </c>
      <c r="G114">
        <v>0.97</v>
      </c>
      <c r="H114" s="116">
        <v>8.4</v>
      </c>
      <c r="I114" s="130">
        <v>80</v>
      </c>
      <c r="J114" s="116">
        <v>7.7</v>
      </c>
      <c r="K114">
        <f>IFERROR(VLOOKUP(TRIM(D114), Trees_density!$A:$B, 2, FALSE), "")</f>
        <v>0.41</v>
      </c>
      <c r="L114" s="90">
        <f t="shared" si="7"/>
        <v>0.21201525807381447</v>
      </c>
      <c r="M114" s="150">
        <f t="shared" si="5"/>
        <v>7.3898113194065913E-5</v>
      </c>
      <c r="N114" s="103">
        <v>5.3</v>
      </c>
      <c r="O114">
        <v>5.3</v>
      </c>
      <c r="P114" s="90">
        <f t="shared" si="6"/>
        <v>22.061834409834319</v>
      </c>
    </row>
    <row r="115" spans="1:16" x14ac:dyDescent="0.3">
      <c r="A115" t="s">
        <v>599</v>
      </c>
      <c r="B115" s="66" t="s">
        <v>968</v>
      </c>
      <c r="C115" s="66" t="s">
        <v>965</v>
      </c>
      <c r="D115" s="67" t="s">
        <v>969</v>
      </c>
      <c r="E115" s="66" t="s">
        <v>41</v>
      </c>
      <c r="F115" s="148" t="s">
        <v>2049</v>
      </c>
      <c r="G115">
        <v>44</v>
      </c>
      <c r="H115" s="116">
        <v>4.8</v>
      </c>
      <c r="I115" s="116">
        <v>60</v>
      </c>
      <c r="J115" s="116">
        <v>1.5</v>
      </c>
      <c r="K115">
        <f>IFERROR(VLOOKUP(TRIM(D115), Trees_density!$A:$B, 2, FALSE), "")</f>
        <v>0.65</v>
      </c>
      <c r="L115" s="90">
        <f t="shared" si="7"/>
        <v>329.85993760192707</v>
      </c>
      <c r="M115" s="150">
        <f t="shared" si="5"/>
        <v>0.15205308443374599</v>
      </c>
      <c r="N115" s="116">
        <v>6.9</v>
      </c>
      <c r="O115">
        <v>6.1</v>
      </c>
      <c r="P115" s="90">
        <f t="shared" si="6"/>
        <v>33.0574086973986</v>
      </c>
    </row>
    <row r="116" spans="1:16" x14ac:dyDescent="0.3">
      <c r="A116" t="s">
        <v>599</v>
      </c>
      <c r="B116" s="68" t="s">
        <v>981</v>
      </c>
      <c r="C116" s="68" t="s">
        <v>50</v>
      </c>
      <c r="D116" s="69" t="s">
        <v>982</v>
      </c>
      <c r="E116" s="68" t="s">
        <v>32</v>
      </c>
      <c r="F116" t="s">
        <v>2029</v>
      </c>
      <c r="G116">
        <v>129.5</v>
      </c>
      <c r="H116" s="120">
        <v>24</v>
      </c>
      <c r="I116" s="120">
        <v>80</v>
      </c>
      <c r="J116" s="120">
        <v>1.3</v>
      </c>
      <c r="K116">
        <f>IFERROR(VLOOKUP(TRIM(D116), Trees_density!$A:$B, 2, FALSE), "")</f>
        <v>0.32</v>
      </c>
      <c r="L116" s="90">
        <f t="shared" si="7"/>
        <v>6535.4907291068666</v>
      </c>
      <c r="M116" s="150">
        <f t="shared" si="5"/>
        <v>1.3171323549716054</v>
      </c>
      <c r="N116" s="120">
        <v>15.5</v>
      </c>
      <c r="O116">
        <v>14.7</v>
      </c>
      <c r="P116" s="90">
        <f t="shared" si="6"/>
        <v>178.95297153010858</v>
      </c>
    </row>
    <row r="117" spans="1:16" x14ac:dyDescent="0.3">
      <c r="A117" t="s">
        <v>599</v>
      </c>
      <c r="B117" s="66" t="s">
        <v>856</v>
      </c>
      <c r="C117" s="66" t="s">
        <v>965</v>
      </c>
      <c r="D117" s="67" t="s">
        <v>1059</v>
      </c>
      <c r="E117" s="66" t="s">
        <v>140</v>
      </c>
      <c r="F117" s="149" t="s">
        <v>2049</v>
      </c>
      <c r="G117">
        <v>8.66</v>
      </c>
      <c r="H117" s="116">
        <v>3</v>
      </c>
      <c r="I117" s="116">
        <v>80</v>
      </c>
      <c r="J117" s="116">
        <v>0.6</v>
      </c>
      <c r="K117">
        <f>IFERROR(VLOOKUP(TRIM(D117), Trees_density!$A:$B, 2, FALSE), "")</f>
        <v>0.55000000000000004</v>
      </c>
      <c r="L117" s="90">
        <f t="shared" si="7"/>
        <v>7.4184695599357218</v>
      </c>
      <c r="M117" s="150">
        <f t="shared" si="5"/>
        <v>5.8901406502889671E-3</v>
      </c>
      <c r="N117" s="116">
        <v>2.7</v>
      </c>
      <c r="O117">
        <v>2.1</v>
      </c>
      <c r="P117" s="90">
        <f t="shared" si="6"/>
        <v>4.4532075864635319</v>
      </c>
    </row>
    <row r="118" spans="1:16" x14ac:dyDescent="0.3">
      <c r="A118" t="s">
        <v>599</v>
      </c>
      <c r="B118" s="68" t="s">
        <v>135</v>
      </c>
      <c r="C118" s="68" t="s">
        <v>965</v>
      </c>
      <c r="D118" s="69" t="s">
        <v>983</v>
      </c>
      <c r="E118" s="68" t="s">
        <v>136</v>
      </c>
      <c r="F118" s="148" t="s">
        <v>2049</v>
      </c>
      <c r="G118">
        <v>12.23</v>
      </c>
      <c r="H118" s="120">
        <v>1.9</v>
      </c>
      <c r="I118" s="120">
        <v>70</v>
      </c>
      <c r="J118" s="120">
        <v>1.3</v>
      </c>
      <c r="K118">
        <f>IFERROR(VLOOKUP(TRIM(D118), Trees_density!$A:$B, 2, FALSE), "")</f>
        <v>0.53</v>
      </c>
      <c r="L118" s="90">
        <f t="shared" si="7"/>
        <v>8.9872799836666921</v>
      </c>
      <c r="M118" s="150">
        <f t="shared" si="5"/>
        <v>1.174742809540302E-2</v>
      </c>
      <c r="N118" s="120">
        <v>3.1</v>
      </c>
      <c r="O118">
        <v>2.8</v>
      </c>
      <c r="P118" s="90">
        <f t="shared" si="6"/>
        <v>6.8172560582898507</v>
      </c>
    </row>
    <row r="119" spans="1:16" x14ac:dyDescent="0.3">
      <c r="A119" s="72"/>
      <c r="B119" s="72"/>
      <c r="C119" s="72"/>
      <c r="D119" s="72"/>
      <c r="E119" s="72"/>
    </row>
    <row r="120" spans="1:16" x14ac:dyDescent="0.3">
      <c r="A120" s="72"/>
      <c r="B120" s="72"/>
      <c r="C120" s="72"/>
      <c r="D120" s="72"/>
      <c r="E120" s="72"/>
    </row>
    <row r="121" spans="1:16" x14ac:dyDescent="0.3">
      <c r="A121" s="72"/>
      <c r="B121" s="72"/>
      <c r="C121" s="72"/>
      <c r="D121" s="72"/>
      <c r="E121" s="72"/>
    </row>
    <row r="122" spans="1:16" x14ac:dyDescent="0.3">
      <c r="A122" s="72"/>
      <c r="B122" s="72"/>
      <c r="C122" s="72"/>
      <c r="D122" s="72"/>
      <c r="E122" s="72"/>
    </row>
    <row r="123" spans="1:16" x14ac:dyDescent="0.3">
      <c r="A123" s="72"/>
      <c r="B123" s="72"/>
      <c r="C123" s="72"/>
      <c r="D123" s="72"/>
      <c r="E123" s="72"/>
    </row>
  </sheetData>
  <dataValidations count="1">
    <dataValidation type="list" allowBlank="1" showInputMessage="1" showErrorMessage="1" sqref="D119:E123 C1:C123" xr:uid="{206E7161-E44A-4AB2-950A-D2226700D1DD}">
      <formula1>"Native,Non-native"</formula1>
    </dataValidation>
  </dataValidations>
  <hyperlinks>
    <hyperlink ref="S2" r:id="rId1" xr:uid="{AEB31A65-7104-445E-9277-77B30C88A95D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5916-0568-434E-B894-5AD639D65312}">
  <sheetPr codeName="Planilha1"/>
  <dimension ref="A1:J31"/>
  <sheetViews>
    <sheetView tabSelected="1" zoomScale="83" zoomScaleNormal="138" workbookViewId="0">
      <pane xSplit="1" topLeftCell="B1" activePane="topRight" state="frozen"/>
      <selection pane="topRight" activeCell="L8" sqref="L8"/>
    </sheetView>
  </sheetViews>
  <sheetFormatPr defaultRowHeight="14.4" x14ac:dyDescent="0.3"/>
  <cols>
    <col min="2" max="2" width="20.5546875" bestFit="1" customWidth="1"/>
    <col min="3" max="3" width="11" bestFit="1" customWidth="1"/>
    <col min="4" max="4" width="23.21875" bestFit="1" customWidth="1"/>
    <col min="5" max="5" width="18.21875" bestFit="1" customWidth="1"/>
    <col min="6" max="6" width="25.6640625" bestFit="1" customWidth="1"/>
    <col min="7" max="7" width="17.6640625" bestFit="1" customWidth="1"/>
    <col min="8" max="8" width="13.5546875" bestFit="1" customWidth="1"/>
    <col min="10" max="10" width="26" bestFit="1" customWidth="1"/>
  </cols>
  <sheetData>
    <row r="1" spans="1:10" ht="15" thickBot="1" x14ac:dyDescent="0.35">
      <c r="A1" t="s">
        <v>958</v>
      </c>
      <c r="B1" t="s">
        <v>1750</v>
      </c>
      <c r="C1" t="s">
        <v>1751</v>
      </c>
      <c r="D1" t="s">
        <v>1774</v>
      </c>
      <c r="E1" t="s">
        <v>1752</v>
      </c>
      <c r="F1" t="s">
        <v>1753</v>
      </c>
      <c r="G1" s="91" t="s">
        <v>1775</v>
      </c>
      <c r="H1" s="92" t="s">
        <v>1749</v>
      </c>
      <c r="J1" s="151" t="s">
        <v>2061</v>
      </c>
    </row>
    <row r="2" spans="1:10" ht="15" thickBot="1" x14ac:dyDescent="0.35">
      <c r="A2" t="s">
        <v>239</v>
      </c>
      <c r="B2">
        <v>83</v>
      </c>
      <c r="C2">
        <v>57</v>
      </c>
      <c r="D2">
        <v>4</v>
      </c>
      <c r="E2">
        <v>1</v>
      </c>
      <c r="F2">
        <v>17</v>
      </c>
      <c r="G2" s="90">
        <f>B2/(E2+F2)</f>
        <v>4.6111111111111107</v>
      </c>
      <c r="H2">
        <v>78.5</v>
      </c>
      <c r="J2" s="151" t="s">
        <v>2062</v>
      </c>
    </row>
    <row r="3" spans="1:10" ht="15" thickBot="1" x14ac:dyDescent="0.35">
      <c r="A3" t="s">
        <v>310</v>
      </c>
      <c r="B3">
        <v>14</v>
      </c>
      <c r="C3">
        <v>75.19</v>
      </c>
      <c r="D3">
        <v>5</v>
      </c>
      <c r="E3">
        <v>0</v>
      </c>
      <c r="F3">
        <v>5</v>
      </c>
      <c r="G3" s="90">
        <f>B3/(E3+F3)</f>
        <v>2.8</v>
      </c>
      <c r="H3">
        <v>78.5</v>
      </c>
      <c r="J3" s="151" t="s">
        <v>2063</v>
      </c>
    </row>
    <row r="4" spans="1:10" ht="15" thickBot="1" x14ac:dyDescent="0.35">
      <c r="A4" t="s">
        <v>321</v>
      </c>
      <c r="B4">
        <v>5</v>
      </c>
      <c r="C4">
        <v>12.3</v>
      </c>
      <c r="D4">
        <v>0</v>
      </c>
      <c r="E4">
        <v>0</v>
      </c>
      <c r="F4">
        <v>0</v>
      </c>
      <c r="G4" s="90">
        <v>0</v>
      </c>
      <c r="H4">
        <v>78.5</v>
      </c>
      <c r="J4" s="151" t="s">
        <v>2064</v>
      </c>
    </row>
    <row r="5" spans="1:10" ht="15" thickBot="1" x14ac:dyDescent="0.35">
      <c r="A5" t="s">
        <v>326</v>
      </c>
      <c r="B5">
        <v>55</v>
      </c>
      <c r="C5">
        <v>160</v>
      </c>
      <c r="D5">
        <v>3</v>
      </c>
      <c r="E5">
        <v>2</v>
      </c>
      <c r="F5">
        <v>8</v>
      </c>
      <c r="G5" s="90">
        <f t="shared" ref="G5:G31" si="0">B5/(E5+F5)</f>
        <v>5.5</v>
      </c>
      <c r="H5">
        <v>78.5</v>
      </c>
      <c r="J5" s="151" t="s">
        <v>2065</v>
      </c>
    </row>
    <row r="6" spans="1:10" ht="15" thickBot="1" x14ac:dyDescent="0.35">
      <c r="A6" t="s">
        <v>369</v>
      </c>
      <c r="B6">
        <v>10</v>
      </c>
      <c r="C6">
        <v>142.5</v>
      </c>
      <c r="D6">
        <v>0</v>
      </c>
      <c r="E6">
        <v>0</v>
      </c>
      <c r="F6">
        <v>4</v>
      </c>
      <c r="G6" s="90">
        <f t="shared" si="0"/>
        <v>2.5</v>
      </c>
      <c r="H6">
        <v>104</v>
      </c>
      <c r="J6" s="151" t="s">
        <v>2066</v>
      </c>
    </row>
    <row r="7" spans="1:10" ht="15" thickBot="1" x14ac:dyDescent="0.35">
      <c r="A7" t="s">
        <v>375</v>
      </c>
      <c r="B7">
        <v>14</v>
      </c>
      <c r="C7">
        <v>110</v>
      </c>
      <c r="D7">
        <v>1</v>
      </c>
      <c r="E7">
        <v>0</v>
      </c>
      <c r="F7">
        <v>1</v>
      </c>
      <c r="G7" s="90">
        <f t="shared" si="0"/>
        <v>14</v>
      </c>
      <c r="H7">
        <v>104</v>
      </c>
      <c r="J7" s="151" t="s">
        <v>2067</v>
      </c>
    </row>
    <row r="8" spans="1:10" ht="15" thickBot="1" x14ac:dyDescent="0.35">
      <c r="A8" t="s">
        <v>385</v>
      </c>
      <c r="B8">
        <v>41</v>
      </c>
      <c r="C8">
        <v>81</v>
      </c>
      <c r="D8">
        <v>3</v>
      </c>
      <c r="E8">
        <v>1</v>
      </c>
      <c r="F8">
        <v>8</v>
      </c>
      <c r="G8" s="90">
        <f t="shared" si="0"/>
        <v>4.5555555555555554</v>
      </c>
      <c r="H8">
        <v>104</v>
      </c>
      <c r="J8" s="151" t="s">
        <v>2068</v>
      </c>
    </row>
    <row r="9" spans="1:10" ht="15" thickBot="1" x14ac:dyDescent="0.35">
      <c r="A9" t="s">
        <v>404</v>
      </c>
      <c r="B9">
        <v>15</v>
      </c>
      <c r="C9">
        <v>198</v>
      </c>
      <c r="D9">
        <v>3</v>
      </c>
      <c r="E9">
        <v>1</v>
      </c>
      <c r="F9">
        <v>4</v>
      </c>
      <c r="G9" s="90">
        <f t="shared" si="0"/>
        <v>3</v>
      </c>
      <c r="H9">
        <v>104</v>
      </c>
      <c r="J9" s="151" t="s">
        <v>2069</v>
      </c>
    </row>
    <row r="10" spans="1:10" ht="15" thickBot="1" x14ac:dyDescent="0.35">
      <c r="A10" t="s">
        <v>412</v>
      </c>
      <c r="B10">
        <v>27</v>
      </c>
      <c r="C10">
        <v>173.25</v>
      </c>
      <c r="D10">
        <v>7</v>
      </c>
      <c r="E10">
        <v>1</v>
      </c>
      <c r="F10">
        <v>3</v>
      </c>
      <c r="G10" s="90">
        <f t="shared" si="0"/>
        <v>6.75</v>
      </c>
      <c r="H10">
        <v>98</v>
      </c>
      <c r="J10" s="151" t="s">
        <v>2070</v>
      </c>
    </row>
    <row r="11" spans="1:10" ht="15" thickBot="1" x14ac:dyDescent="0.35">
      <c r="A11" t="s">
        <v>425</v>
      </c>
      <c r="B11">
        <v>35</v>
      </c>
      <c r="C11">
        <v>142</v>
      </c>
      <c r="D11">
        <v>3</v>
      </c>
      <c r="E11">
        <v>1</v>
      </c>
      <c r="F11">
        <v>4</v>
      </c>
      <c r="G11" s="90">
        <f t="shared" si="0"/>
        <v>7</v>
      </c>
      <c r="H11">
        <v>93</v>
      </c>
      <c r="J11" s="151" t="s">
        <v>2071</v>
      </c>
    </row>
    <row r="12" spans="1:10" ht="15" thickBot="1" x14ac:dyDescent="0.35">
      <c r="A12" t="s">
        <v>444</v>
      </c>
      <c r="B12">
        <v>33</v>
      </c>
      <c r="C12">
        <v>209</v>
      </c>
      <c r="D12">
        <v>5</v>
      </c>
      <c r="E12">
        <v>1</v>
      </c>
      <c r="F12">
        <v>4</v>
      </c>
      <c r="G12" s="90">
        <f t="shared" si="0"/>
        <v>6.6</v>
      </c>
      <c r="H12">
        <v>93</v>
      </c>
      <c r="J12" s="151" t="s">
        <v>2072</v>
      </c>
    </row>
    <row r="13" spans="1:10" ht="15" thickBot="1" x14ac:dyDescent="0.35">
      <c r="A13" t="s">
        <v>2</v>
      </c>
      <c r="B13">
        <v>10</v>
      </c>
      <c r="C13">
        <v>55.85</v>
      </c>
      <c r="D13">
        <v>2</v>
      </c>
      <c r="E13">
        <v>0</v>
      </c>
      <c r="F13">
        <v>1</v>
      </c>
      <c r="G13" s="90">
        <f t="shared" si="0"/>
        <v>10</v>
      </c>
      <c r="H13">
        <v>52</v>
      </c>
      <c r="J13" s="151" t="s">
        <v>2073</v>
      </c>
    </row>
    <row r="14" spans="1:10" ht="15" thickBot="1" x14ac:dyDescent="0.35">
      <c r="A14" t="s">
        <v>35</v>
      </c>
      <c r="B14">
        <v>18</v>
      </c>
      <c r="C14">
        <v>62.5</v>
      </c>
      <c r="D14">
        <v>4</v>
      </c>
      <c r="E14">
        <v>0</v>
      </c>
      <c r="F14">
        <v>2</v>
      </c>
      <c r="G14" s="90">
        <f t="shared" si="0"/>
        <v>9</v>
      </c>
      <c r="H14">
        <v>52</v>
      </c>
      <c r="J14" s="151" t="s">
        <v>2074</v>
      </c>
    </row>
    <row r="15" spans="1:10" ht="15" thickBot="1" x14ac:dyDescent="0.35">
      <c r="A15" t="s">
        <v>55</v>
      </c>
      <c r="B15">
        <v>30</v>
      </c>
      <c r="C15">
        <v>187</v>
      </c>
      <c r="D15">
        <v>1</v>
      </c>
      <c r="E15">
        <v>0</v>
      </c>
      <c r="F15">
        <v>2</v>
      </c>
      <c r="G15" s="90">
        <f t="shared" si="0"/>
        <v>15</v>
      </c>
      <c r="H15">
        <v>52</v>
      </c>
      <c r="J15" s="151" t="s">
        <v>2075</v>
      </c>
    </row>
    <row r="16" spans="1:10" ht="15" thickBot="1" x14ac:dyDescent="0.35">
      <c r="A16" t="s">
        <v>92</v>
      </c>
      <c r="B16">
        <v>13</v>
      </c>
      <c r="C16">
        <v>50</v>
      </c>
      <c r="D16">
        <v>0</v>
      </c>
      <c r="E16">
        <v>0</v>
      </c>
      <c r="F16">
        <v>1</v>
      </c>
      <c r="G16" s="90">
        <f t="shared" si="0"/>
        <v>13</v>
      </c>
      <c r="H16">
        <v>52</v>
      </c>
      <c r="J16" s="151" t="s">
        <v>2076</v>
      </c>
    </row>
    <row r="17" spans="1:10" ht="15" thickBot="1" x14ac:dyDescent="0.35">
      <c r="A17" t="s">
        <v>109</v>
      </c>
      <c r="B17">
        <v>19</v>
      </c>
      <c r="C17">
        <v>122</v>
      </c>
      <c r="D17">
        <v>3</v>
      </c>
      <c r="E17">
        <v>0</v>
      </c>
      <c r="F17">
        <v>3</v>
      </c>
      <c r="G17" s="90">
        <f t="shared" si="0"/>
        <v>6.333333333333333</v>
      </c>
      <c r="H17">
        <v>48</v>
      </c>
      <c r="J17" s="151" t="s">
        <v>2077</v>
      </c>
    </row>
    <row r="18" spans="1:10" ht="15" thickBot="1" x14ac:dyDescent="0.35">
      <c r="A18" t="s">
        <v>127</v>
      </c>
      <c r="B18">
        <v>28</v>
      </c>
      <c r="C18">
        <v>105</v>
      </c>
      <c r="D18">
        <v>8</v>
      </c>
      <c r="E18">
        <v>1</v>
      </c>
      <c r="F18">
        <v>2</v>
      </c>
      <c r="G18" s="90">
        <f t="shared" si="0"/>
        <v>9.3333333333333339</v>
      </c>
      <c r="H18">
        <v>48</v>
      </c>
      <c r="J18" s="151" t="s">
        <v>2078</v>
      </c>
    </row>
    <row r="19" spans="1:10" ht="15" thickBot="1" x14ac:dyDescent="0.35">
      <c r="A19" t="s">
        <v>153</v>
      </c>
      <c r="B19">
        <v>40</v>
      </c>
      <c r="C19">
        <v>78</v>
      </c>
      <c r="D19">
        <v>0</v>
      </c>
      <c r="E19">
        <v>0</v>
      </c>
      <c r="F19">
        <v>1</v>
      </c>
      <c r="G19" s="90">
        <f t="shared" si="0"/>
        <v>40</v>
      </c>
      <c r="H19">
        <v>57.6</v>
      </c>
      <c r="J19" s="151" t="s">
        <v>2079</v>
      </c>
    </row>
    <row r="20" spans="1:10" ht="15" thickBot="1" x14ac:dyDescent="0.35">
      <c r="A20" t="s">
        <v>192</v>
      </c>
      <c r="B20">
        <v>16</v>
      </c>
      <c r="C20">
        <v>122</v>
      </c>
      <c r="D20">
        <v>2</v>
      </c>
      <c r="E20">
        <v>0</v>
      </c>
      <c r="F20">
        <v>2</v>
      </c>
      <c r="G20" s="90">
        <f t="shared" si="0"/>
        <v>8</v>
      </c>
      <c r="H20">
        <v>57.6</v>
      </c>
      <c r="J20" s="151" t="s">
        <v>2080</v>
      </c>
    </row>
    <row r="21" spans="1:10" ht="15" thickBot="1" x14ac:dyDescent="0.35">
      <c r="A21" t="s">
        <v>206</v>
      </c>
      <c r="B21">
        <v>36</v>
      </c>
      <c r="C21">
        <v>237</v>
      </c>
      <c r="D21">
        <v>0</v>
      </c>
      <c r="E21">
        <v>0</v>
      </c>
      <c r="F21">
        <v>3</v>
      </c>
      <c r="G21" s="90">
        <f t="shared" si="0"/>
        <v>12</v>
      </c>
      <c r="H21">
        <v>51.2</v>
      </c>
      <c r="J21" s="151" t="s">
        <v>2081</v>
      </c>
    </row>
    <row r="22" spans="1:10" ht="15" thickBot="1" x14ac:dyDescent="0.35">
      <c r="A22" t="s">
        <v>459</v>
      </c>
      <c r="B22">
        <v>24</v>
      </c>
      <c r="C22">
        <v>402</v>
      </c>
      <c r="D22">
        <v>10</v>
      </c>
      <c r="E22">
        <v>0</v>
      </c>
      <c r="F22">
        <v>2</v>
      </c>
      <c r="G22" s="90">
        <f t="shared" si="0"/>
        <v>12</v>
      </c>
      <c r="H22">
        <v>182</v>
      </c>
      <c r="J22" s="151" t="s">
        <v>2082</v>
      </c>
    </row>
    <row r="23" spans="1:10" ht="15" thickBot="1" x14ac:dyDescent="0.35">
      <c r="A23" t="s">
        <v>470</v>
      </c>
      <c r="B23">
        <v>19</v>
      </c>
      <c r="C23">
        <v>49.5</v>
      </c>
      <c r="D23">
        <v>0</v>
      </c>
      <c r="E23">
        <v>0</v>
      </c>
      <c r="F23">
        <v>2</v>
      </c>
      <c r="G23" s="90">
        <f t="shared" si="0"/>
        <v>9.5</v>
      </c>
      <c r="H23">
        <v>182</v>
      </c>
      <c r="J23" s="151" t="s">
        <v>2083</v>
      </c>
    </row>
    <row r="24" spans="1:10" ht="15" thickBot="1" x14ac:dyDescent="0.35">
      <c r="A24" t="s">
        <v>486</v>
      </c>
      <c r="B24">
        <v>31</v>
      </c>
      <c r="C24">
        <v>297</v>
      </c>
      <c r="D24">
        <v>10</v>
      </c>
      <c r="E24">
        <v>4</v>
      </c>
      <c r="F24">
        <v>4</v>
      </c>
      <c r="G24" s="90">
        <f t="shared" si="0"/>
        <v>3.875</v>
      </c>
      <c r="H24">
        <v>182</v>
      </c>
      <c r="J24" s="151" t="s">
        <v>2084</v>
      </c>
    </row>
    <row r="25" spans="1:10" ht="15" thickBot="1" x14ac:dyDescent="0.35">
      <c r="A25" t="s">
        <v>502</v>
      </c>
      <c r="B25">
        <v>26</v>
      </c>
      <c r="C25">
        <v>178.65</v>
      </c>
      <c r="D25">
        <v>5</v>
      </c>
      <c r="E25">
        <v>0</v>
      </c>
      <c r="F25">
        <v>5</v>
      </c>
      <c r="G25" s="90">
        <f t="shared" si="0"/>
        <v>5.2</v>
      </c>
      <c r="H25">
        <v>130</v>
      </c>
      <c r="J25" s="151" t="s">
        <v>2085</v>
      </c>
    </row>
    <row r="26" spans="1:10" ht="15" thickBot="1" x14ac:dyDescent="0.35">
      <c r="A26" t="s">
        <v>518</v>
      </c>
      <c r="B26">
        <v>28</v>
      </c>
      <c r="C26">
        <v>155</v>
      </c>
      <c r="D26">
        <v>4</v>
      </c>
      <c r="E26">
        <v>0</v>
      </c>
      <c r="F26">
        <v>3</v>
      </c>
      <c r="G26" s="90">
        <f t="shared" si="0"/>
        <v>9.3333333333333339</v>
      </c>
      <c r="H26">
        <v>130</v>
      </c>
      <c r="J26" s="151" t="s">
        <v>2086</v>
      </c>
    </row>
    <row r="27" spans="1:10" ht="15" thickBot="1" x14ac:dyDescent="0.35">
      <c r="A27" t="s">
        <v>534</v>
      </c>
      <c r="B27">
        <v>28</v>
      </c>
      <c r="C27">
        <v>270</v>
      </c>
      <c r="D27">
        <v>15</v>
      </c>
      <c r="E27">
        <v>0</v>
      </c>
      <c r="F27">
        <v>2</v>
      </c>
      <c r="G27" s="90">
        <f t="shared" si="0"/>
        <v>14</v>
      </c>
      <c r="H27">
        <v>130</v>
      </c>
      <c r="J27" s="151" t="s">
        <v>2087</v>
      </c>
    </row>
    <row r="28" spans="1:10" ht="15" thickBot="1" x14ac:dyDescent="0.35">
      <c r="A28" t="s">
        <v>550</v>
      </c>
      <c r="B28">
        <v>46</v>
      </c>
      <c r="C28">
        <v>229.5</v>
      </c>
      <c r="D28">
        <v>10</v>
      </c>
      <c r="E28">
        <v>0</v>
      </c>
      <c r="F28">
        <v>4</v>
      </c>
      <c r="G28" s="90">
        <f t="shared" si="0"/>
        <v>11.5</v>
      </c>
      <c r="H28">
        <v>135</v>
      </c>
      <c r="J28" s="151" t="s">
        <v>2088</v>
      </c>
    </row>
    <row r="29" spans="1:10" ht="15" thickBot="1" x14ac:dyDescent="0.35">
      <c r="A29" t="s">
        <v>570</v>
      </c>
      <c r="B29">
        <v>19</v>
      </c>
      <c r="C29">
        <v>140</v>
      </c>
      <c r="D29">
        <v>3</v>
      </c>
      <c r="E29">
        <v>0</v>
      </c>
      <c r="F29">
        <v>4</v>
      </c>
      <c r="G29" s="90">
        <f t="shared" si="0"/>
        <v>4.75</v>
      </c>
      <c r="H29">
        <v>135</v>
      </c>
      <c r="J29" s="151" t="s">
        <v>2089</v>
      </c>
    </row>
    <row r="30" spans="1:10" ht="15" thickBot="1" x14ac:dyDescent="0.35">
      <c r="A30" t="s">
        <v>576</v>
      </c>
      <c r="B30">
        <v>30</v>
      </c>
      <c r="C30">
        <v>256</v>
      </c>
      <c r="D30">
        <v>3</v>
      </c>
      <c r="E30">
        <v>0</v>
      </c>
      <c r="F30">
        <v>2</v>
      </c>
      <c r="G30" s="90">
        <f t="shared" si="0"/>
        <v>15</v>
      </c>
      <c r="H30">
        <v>135</v>
      </c>
      <c r="J30" s="151" t="s">
        <v>2090</v>
      </c>
    </row>
    <row r="31" spans="1:10" x14ac:dyDescent="0.3">
      <c r="A31" t="s">
        <v>599</v>
      </c>
      <c r="B31">
        <v>28</v>
      </c>
      <c r="C31">
        <v>132</v>
      </c>
      <c r="D31">
        <v>4</v>
      </c>
      <c r="E31">
        <v>1</v>
      </c>
      <c r="F31">
        <v>3</v>
      </c>
      <c r="G31" s="90">
        <f t="shared" si="0"/>
        <v>7</v>
      </c>
      <c r="H31">
        <v>135</v>
      </c>
      <c r="J31" t="s">
        <v>2091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7E5D-50FB-4470-A70B-C8EEE97F268A}">
  <dimension ref="A1:E480"/>
  <sheetViews>
    <sheetView zoomScale="130" zoomScaleNormal="85" workbookViewId="0">
      <selection activeCell="I11" sqref="I11"/>
    </sheetView>
  </sheetViews>
  <sheetFormatPr defaultRowHeight="14.4" x14ac:dyDescent="0.3"/>
  <cols>
    <col min="2" max="2" width="22.88671875" customWidth="1"/>
    <col min="3" max="3" width="12.109375" bestFit="1" customWidth="1"/>
    <col min="4" max="4" width="23" bestFit="1" customWidth="1"/>
    <col min="5" max="5" width="12.109375" bestFit="1" customWidth="1"/>
  </cols>
  <sheetData>
    <row r="1" spans="1:5" x14ac:dyDescent="0.3">
      <c r="A1" s="76" t="s">
        <v>958</v>
      </c>
      <c r="B1" s="76" t="s">
        <v>959</v>
      </c>
      <c r="C1" s="76" t="s">
        <v>956</v>
      </c>
      <c r="D1" s="76" t="s">
        <v>846</v>
      </c>
      <c r="E1" s="76" t="s">
        <v>1754</v>
      </c>
    </row>
    <row r="2" spans="1:5" x14ac:dyDescent="0.3">
      <c r="A2" s="78" t="s">
        <v>2</v>
      </c>
      <c r="B2" s="79" t="s">
        <v>23</v>
      </c>
      <c r="C2" t="str">
        <f>IFERROR(VLOOKUP(B2,Shrub_plantNative_Nonnative!A:B,2,FALSE),"Verificar")</f>
        <v>non</v>
      </c>
      <c r="D2" s="79" t="s">
        <v>19</v>
      </c>
      <c r="E2" t="s">
        <v>1063</v>
      </c>
    </row>
    <row r="3" spans="1:5" x14ac:dyDescent="0.3">
      <c r="A3" s="78"/>
      <c r="B3" s="79" t="s">
        <v>25</v>
      </c>
      <c r="C3" t="str">
        <f>IFERROR(VLOOKUP(B3,Shrub_plantNative_Nonnative!A:B,2,FALSE),"Verificar")</f>
        <v>non</v>
      </c>
      <c r="D3" s="79" t="s">
        <v>24</v>
      </c>
      <c r="E3" t="s">
        <v>1062</v>
      </c>
    </row>
    <row r="4" spans="1:5" x14ac:dyDescent="0.3">
      <c r="A4" s="78"/>
      <c r="B4" s="79" t="s">
        <v>27</v>
      </c>
      <c r="C4" t="str">
        <f>IFERROR(VLOOKUP(B4,Shrub_plantNative_Nonnative!A:B,2,FALSE),"Verificar")</f>
        <v>non</v>
      </c>
      <c r="D4" s="79" t="s">
        <v>26</v>
      </c>
      <c r="E4" t="str">
        <f>IFERROR(VLOOKUP(D4,Shrub_plantNative_Nonnative!A:B,2,FALSE),"Verificar")</f>
        <v>non</v>
      </c>
    </row>
    <row r="5" spans="1:5" x14ac:dyDescent="0.3">
      <c r="A5" s="78"/>
      <c r="B5" s="79" t="s">
        <v>28</v>
      </c>
      <c r="C5" t="str">
        <f>IFERROR(VLOOKUP(B5,Shrub_plantNative_Nonnative!A:B,2,FALSE),"Verificar")</f>
        <v>non</v>
      </c>
      <c r="D5" s="78"/>
    </row>
    <row r="6" spans="1:5" x14ac:dyDescent="0.3">
      <c r="A6" s="78"/>
      <c r="B6" s="79" t="s">
        <v>29</v>
      </c>
      <c r="C6" t="str">
        <f>IFERROR(VLOOKUP(B6,Shrub_plantNative_Nonnative!A:B,2,FALSE),"Verificar")</f>
        <v>non</v>
      </c>
      <c r="D6" s="78"/>
    </row>
    <row r="7" spans="1:5" x14ac:dyDescent="0.3">
      <c r="A7" t="s">
        <v>35</v>
      </c>
      <c r="B7" s="14" t="s">
        <v>39</v>
      </c>
      <c r="C7" t="str">
        <f>IFERROR(VLOOKUP(B7,Shrub_plantNative_Nonnative!A:B,2,FALSE),"Verificar")</f>
        <v>non</v>
      </c>
      <c r="D7" s="14" t="s">
        <v>37</v>
      </c>
      <c r="E7" t="str">
        <f>IFERROR(VLOOKUP(D7,Shrub_plantNative_Nonnative!A:B,2,FALSE),"Verificar")</f>
        <v>non</v>
      </c>
    </row>
    <row r="8" spans="1:5" x14ac:dyDescent="0.3">
      <c r="B8" s="14" t="s">
        <v>42</v>
      </c>
      <c r="C8" t="str">
        <f>IFERROR(VLOOKUP(B8,Shrub_plantNative_Nonnative!A:B,2,FALSE),"Verificar")</f>
        <v>non</v>
      </c>
      <c r="D8" s="14" t="s">
        <v>40</v>
      </c>
      <c r="E8" t="s">
        <v>1062</v>
      </c>
    </row>
    <row r="9" spans="1:5" x14ac:dyDescent="0.3">
      <c r="B9" s="14" t="s">
        <v>45</v>
      </c>
      <c r="C9" t="str">
        <f>IFERROR(VLOOKUP(B9,Shrub_plantNative_Nonnative!A:B,2,FALSE),"Verificar")</f>
        <v>non</v>
      </c>
      <c r="D9" s="14" t="s">
        <v>43</v>
      </c>
      <c r="E9" t="str">
        <f>IFERROR(VLOOKUP(D9,Shrub_plantNative_Nonnative!A:B,2,FALSE),"Verificar")</f>
        <v>non</v>
      </c>
    </row>
    <row r="10" spans="1:5" x14ac:dyDescent="0.3">
      <c r="B10" s="14" t="s">
        <v>46</v>
      </c>
      <c r="C10" t="str">
        <f>IFERROR(VLOOKUP(B10,Shrub_plantNative_Nonnative!A:B,2,FALSE),"Verificar")</f>
        <v>non</v>
      </c>
    </row>
    <row r="11" spans="1:5" x14ac:dyDescent="0.3">
      <c r="B11" s="14" t="s">
        <v>47</v>
      </c>
      <c r="C11" t="str">
        <f>IFERROR(VLOOKUP(B11,Shrub_plantNative_Nonnative!A:B,2,FALSE),"Verificar")</f>
        <v>native</v>
      </c>
    </row>
    <row r="12" spans="1:5" x14ac:dyDescent="0.3">
      <c r="B12" s="14" t="s">
        <v>48</v>
      </c>
      <c r="C12" t="str">
        <f>IFERROR(VLOOKUP(B12,Shrub_plantNative_Nonnative!A:B,2,FALSE),"Verificar")</f>
        <v>non</v>
      </c>
    </row>
    <row r="13" spans="1:5" x14ac:dyDescent="0.3">
      <c r="B13" s="14" t="s">
        <v>49</v>
      </c>
      <c r="C13" t="str">
        <f>IFERROR(VLOOKUP(B13,Shrub_plantNative_Nonnative!A:B,2,FALSE),"Verificar")</f>
        <v>non</v>
      </c>
    </row>
    <row r="14" spans="1:5" x14ac:dyDescent="0.3">
      <c r="B14" s="9" t="s">
        <v>51</v>
      </c>
      <c r="C14" t="str">
        <f>IFERROR(VLOOKUP(B14,Shrub_plantNative_Nonnative!A:B,2,FALSE),"Verificar")</f>
        <v>non</v>
      </c>
    </row>
    <row r="15" spans="1:5" x14ac:dyDescent="0.3">
      <c r="B15" s="14" t="s">
        <v>52</v>
      </c>
      <c r="C15" t="str">
        <f>IFERROR(VLOOKUP(B15,Shrub_plantNative_Nonnative!A:B,2,FALSE),"Verificar")</f>
        <v>native</v>
      </c>
    </row>
    <row r="16" spans="1:5" x14ac:dyDescent="0.3">
      <c r="B16" s="14" t="s">
        <v>53</v>
      </c>
      <c r="C16" t="str">
        <f>IFERROR(VLOOKUP(B16,Shrub_plantNative_Nonnative!A:B,2,FALSE),"Verificar")</f>
        <v>non</v>
      </c>
    </row>
    <row r="17" spans="1:5" x14ac:dyDescent="0.3">
      <c r="B17" s="77" t="s">
        <v>54</v>
      </c>
      <c r="C17" t="str">
        <f>IFERROR(VLOOKUP(B17,Shrub_plantNative_Nonnative!A:B,2,FALSE),"Verificar")</f>
        <v>non</v>
      </c>
    </row>
    <row r="18" spans="1:5" x14ac:dyDescent="0.3">
      <c r="A18" s="78" t="s">
        <v>55</v>
      </c>
      <c r="B18" s="80" t="s">
        <v>60</v>
      </c>
      <c r="C18" t="str">
        <f>IFERROR(VLOOKUP(B18,Shrub_plantNative_Nonnative!A:B,2,FALSE),"Verificar")</f>
        <v>non</v>
      </c>
      <c r="D18" s="79" t="s">
        <v>58</v>
      </c>
      <c r="E18" t="str">
        <f>IFERROR(VLOOKUP(D18,Shrub_plantNative_Nonnative!A:B,2,FALSE),"Verificar")</f>
        <v>non</v>
      </c>
    </row>
    <row r="19" spans="1:5" x14ac:dyDescent="0.3">
      <c r="A19" s="78"/>
      <c r="B19" s="81" t="s">
        <v>63</v>
      </c>
      <c r="C19" t="str">
        <f>IFERROR(VLOOKUP(B19,Shrub_plantNative_Nonnative!A:B,2,FALSE),"Verificar")</f>
        <v>non</v>
      </c>
      <c r="D19" s="82" t="s">
        <v>62</v>
      </c>
      <c r="E19" t="str">
        <f>IFERROR(VLOOKUP(D19,Shrub_plantNative_Nonnative!A:B,2,FALSE),"Verificar")</f>
        <v>non</v>
      </c>
    </row>
    <row r="20" spans="1:5" x14ac:dyDescent="0.3">
      <c r="A20" s="78"/>
      <c r="B20" s="82" t="s">
        <v>66</v>
      </c>
      <c r="C20" t="str">
        <f>IFERROR(VLOOKUP(B20,Shrub_plantNative_Nonnative!A:B,2,FALSE),"Verificar")</f>
        <v>non</v>
      </c>
      <c r="D20" s="79" t="s">
        <v>65</v>
      </c>
      <c r="E20" t="str">
        <f>IFERROR(VLOOKUP(D20,Shrub_plantNative_Nonnative!A:B,2,FALSE),"Verificar")</f>
        <v>non</v>
      </c>
    </row>
    <row r="21" spans="1:5" x14ac:dyDescent="0.3">
      <c r="A21" s="78"/>
      <c r="B21" s="82" t="s">
        <v>68</v>
      </c>
      <c r="C21" t="str">
        <f>IFERROR(VLOOKUP(B21,Shrub_plantNative_Nonnative!A:B,2,FALSE),"Verificar")</f>
        <v>non</v>
      </c>
      <c r="D21" s="78"/>
    </row>
    <row r="22" spans="1:5" x14ac:dyDescent="0.3">
      <c r="A22" s="78"/>
      <c r="B22" s="82" t="s">
        <v>71</v>
      </c>
      <c r="C22" t="str">
        <f>IFERROR(VLOOKUP(B22,Shrub_plantNative_Nonnative!A:B,2,FALSE),"Verificar")</f>
        <v>non</v>
      </c>
      <c r="D22" s="78"/>
    </row>
    <row r="23" spans="1:5" x14ac:dyDescent="0.3">
      <c r="A23" s="78"/>
      <c r="B23" s="82" t="s">
        <v>72</v>
      </c>
      <c r="C23" t="str">
        <f>IFERROR(VLOOKUP(B23,Shrub_plantNative_Nonnative!A:B,2,FALSE),"Verificar")</f>
        <v>native</v>
      </c>
      <c r="D23" s="78"/>
    </row>
    <row r="24" spans="1:5" x14ac:dyDescent="0.3">
      <c r="A24" s="78"/>
      <c r="B24" s="82" t="s">
        <v>73</v>
      </c>
      <c r="C24" t="str">
        <f>IFERROR(VLOOKUP(B24,Shrub_plantNative_Nonnative!A:B,2,FALSE),"Verificar")</f>
        <v>non</v>
      </c>
      <c r="D24" s="78"/>
    </row>
    <row r="25" spans="1:5" x14ac:dyDescent="0.3">
      <c r="A25" s="78"/>
      <c r="B25" s="82" t="s">
        <v>74</v>
      </c>
      <c r="C25" t="s">
        <v>1062</v>
      </c>
      <c r="D25" s="78"/>
    </row>
    <row r="26" spans="1:5" x14ac:dyDescent="0.3">
      <c r="A26" s="78"/>
      <c r="B26" s="82" t="s">
        <v>210</v>
      </c>
      <c r="C26" t="str">
        <f>IFERROR(VLOOKUP(B26,Shrub_plantNative_Nonnative!A:B,2,FALSE),"Verificar")</f>
        <v>non</v>
      </c>
      <c r="D26" s="78"/>
    </row>
    <row r="27" spans="1:5" x14ac:dyDescent="0.3">
      <c r="A27" s="78"/>
      <c r="B27" s="82" t="s">
        <v>76</v>
      </c>
      <c r="C27" t="str">
        <f>IFERROR(VLOOKUP(B27,Shrub_plantNative_Nonnative!A:B,2,FALSE),"Verificar")</f>
        <v>non</v>
      </c>
      <c r="D27" s="78"/>
    </row>
    <row r="28" spans="1:5" x14ac:dyDescent="0.3">
      <c r="A28" s="78"/>
      <c r="B28" s="82" t="s">
        <v>77</v>
      </c>
      <c r="C28" t="str">
        <f>IFERROR(VLOOKUP(B28,Shrub_plantNative_Nonnative!A:B,2,FALSE),"Verificar")</f>
        <v>non</v>
      </c>
      <c r="D28" s="78"/>
    </row>
    <row r="29" spans="1:5" x14ac:dyDescent="0.3">
      <c r="A29" s="78"/>
      <c r="B29" s="82" t="s">
        <v>78</v>
      </c>
      <c r="C29" t="str">
        <f>IFERROR(VLOOKUP(B29,Shrub_plantNative_Nonnative!A:B,2,FALSE),"Verificar")</f>
        <v>non</v>
      </c>
      <c r="D29" s="78"/>
    </row>
    <row r="30" spans="1:5" x14ac:dyDescent="0.3">
      <c r="A30" s="78"/>
      <c r="B30" s="82" t="s">
        <v>79</v>
      </c>
      <c r="C30" t="s">
        <v>1062</v>
      </c>
      <c r="D30" s="78"/>
    </row>
    <row r="31" spans="1:5" x14ac:dyDescent="0.3">
      <c r="A31" s="78"/>
      <c r="B31" s="82" t="s">
        <v>80</v>
      </c>
      <c r="C31" t="str">
        <f>IFERROR(VLOOKUP(B31,Shrub_plantNative_Nonnative!A:B,2,FALSE),"Verificar")</f>
        <v>non</v>
      </c>
      <c r="D31" s="78"/>
    </row>
    <row r="32" spans="1:5" x14ac:dyDescent="0.3">
      <c r="A32" s="78"/>
      <c r="B32" s="82" t="s">
        <v>81</v>
      </c>
      <c r="C32" t="str">
        <f>IFERROR(VLOOKUP(B32,Shrub_plantNative_Nonnative!A:B,2,FALSE),"Verificar")</f>
        <v>non</v>
      </c>
      <c r="D32" s="78"/>
    </row>
    <row r="33" spans="1:5" x14ac:dyDescent="0.3">
      <c r="A33" s="78"/>
      <c r="B33" s="82" t="s">
        <v>82</v>
      </c>
      <c r="C33" t="str">
        <f>IFERROR(VLOOKUP(B33,Shrub_plantNative_Nonnative!A:B,2,FALSE),"Verificar")</f>
        <v>non</v>
      </c>
      <c r="D33" s="78"/>
    </row>
    <row r="34" spans="1:5" x14ac:dyDescent="0.3">
      <c r="A34" s="78"/>
      <c r="B34" s="82" t="s">
        <v>83</v>
      </c>
      <c r="C34" t="str">
        <f>IFERROR(VLOOKUP(B34,Shrub_plantNative_Nonnative!A:B,2,FALSE),"Verificar")</f>
        <v>non</v>
      </c>
      <c r="D34" s="78"/>
    </row>
    <row r="35" spans="1:5" x14ac:dyDescent="0.3">
      <c r="A35" s="78"/>
      <c r="B35" s="82" t="s">
        <v>84</v>
      </c>
      <c r="C35" t="str">
        <f>IFERROR(VLOOKUP(B35,Shrub_plantNative_Nonnative!A:B,2,FALSE),"Verificar")</f>
        <v>native</v>
      </c>
      <c r="D35" s="78"/>
    </row>
    <row r="36" spans="1:5" x14ac:dyDescent="0.3">
      <c r="A36" s="78"/>
      <c r="B36" s="82" t="s">
        <v>85</v>
      </c>
      <c r="C36" t="str">
        <f>IFERROR(VLOOKUP(B36,Shrub_plantNative_Nonnative!A:B,2,FALSE),"Verificar")</f>
        <v>non</v>
      </c>
      <c r="D36" s="78"/>
    </row>
    <row r="37" spans="1:5" x14ac:dyDescent="0.3">
      <c r="A37" s="78"/>
      <c r="B37" s="82" t="s">
        <v>86</v>
      </c>
      <c r="C37" t="str">
        <f>IFERROR(VLOOKUP(B37,Shrub_plantNative_Nonnative!A:B,2,FALSE),"Verificar")</f>
        <v>non</v>
      </c>
      <c r="D37" s="78"/>
    </row>
    <row r="38" spans="1:5" x14ac:dyDescent="0.3">
      <c r="A38" s="78"/>
      <c r="B38" s="82" t="s">
        <v>87</v>
      </c>
      <c r="C38" t="str">
        <f>IFERROR(VLOOKUP(B38,Shrub_plantNative_Nonnative!A:B,2,FALSE),"Verificar")</f>
        <v>non</v>
      </c>
      <c r="D38" s="78"/>
    </row>
    <row r="39" spans="1:5" x14ac:dyDescent="0.3">
      <c r="A39" s="78"/>
      <c r="B39" s="82" t="s">
        <v>88</v>
      </c>
      <c r="C39" t="str">
        <f>IFERROR(VLOOKUP(B39,Shrub_plantNative_Nonnative!A:B,2,FALSE),"Verificar")</f>
        <v>non</v>
      </c>
      <c r="D39" s="78"/>
    </row>
    <row r="40" spans="1:5" x14ac:dyDescent="0.3">
      <c r="A40" s="78"/>
      <c r="B40" s="82" t="s">
        <v>89</v>
      </c>
      <c r="C40" t="str">
        <f>IFERROR(VLOOKUP(B40,Shrub_plantNative_Nonnative!A:B,2,FALSE),"Verificar")</f>
        <v>non</v>
      </c>
      <c r="D40" s="78"/>
    </row>
    <row r="41" spans="1:5" x14ac:dyDescent="0.3">
      <c r="A41" s="78"/>
      <c r="B41" s="82" t="s">
        <v>90</v>
      </c>
      <c r="C41" t="str">
        <f>IFERROR(VLOOKUP(B41,Shrub_plantNative_Nonnative!A:B,2,FALSE),"Verificar")</f>
        <v>non</v>
      </c>
      <c r="D41" s="78"/>
    </row>
    <row r="42" spans="1:5" x14ac:dyDescent="0.3">
      <c r="A42" s="78"/>
      <c r="B42" s="82" t="s">
        <v>91</v>
      </c>
      <c r="C42" t="str">
        <f>IFERROR(VLOOKUP(B42,Shrub_plantNative_Nonnative!A:B,2,FALSE),"Verificar")</f>
        <v>non</v>
      </c>
      <c r="D42" s="78"/>
    </row>
    <row r="43" spans="1:5" x14ac:dyDescent="0.3">
      <c r="A43" t="s">
        <v>92</v>
      </c>
      <c r="B43" s="32" t="s">
        <v>96</v>
      </c>
      <c r="C43" t="str">
        <f>IFERROR(VLOOKUP(B43,Shrub_plantNative_Nonnative!A:B,2,FALSE),"Verificar")</f>
        <v>non</v>
      </c>
      <c r="D43" s="25" t="s">
        <v>95</v>
      </c>
      <c r="E43" t="str">
        <f>IFERROR(VLOOKUP(D43,Shrub_plantNative_Nonnative!A:B,2,FALSE),"Verificar")</f>
        <v>non</v>
      </c>
    </row>
    <row r="44" spans="1:5" x14ac:dyDescent="0.3">
      <c r="B44" s="32" t="s">
        <v>99</v>
      </c>
      <c r="C44" t="str">
        <f>IFERROR(VLOOKUP(B44,Shrub_plantNative_Nonnative!A:B,2,FALSE),"Verificar")</f>
        <v>non</v>
      </c>
      <c r="D44" s="25" t="s">
        <v>98</v>
      </c>
      <c r="E44" t="str">
        <f>IFERROR(VLOOKUP(D44,Shrub_plantNative_Nonnative!A:B,2,FALSE),"Verificar")</f>
        <v>non</v>
      </c>
    </row>
    <row r="45" spans="1:5" x14ac:dyDescent="0.3">
      <c r="B45" s="32" t="s">
        <v>101</v>
      </c>
      <c r="C45" t="str">
        <f>IFERROR(VLOOKUP(B45,Shrub_plantNative_Nonnative!A:B,2,FALSE),"Verificar")</f>
        <v>non</v>
      </c>
      <c r="D45" s="25" t="s">
        <v>100</v>
      </c>
      <c r="E45" t="str">
        <f>IFERROR(VLOOKUP(D45,Shrub_plantNative_Nonnative!A:B,2,FALSE),"Verificar")</f>
        <v>non</v>
      </c>
    </row>
    <row r="46" spans="1:5" x14ac:dyDescent="0.3">
      <c r="B46" s="32" t="s">
        <v>103</v>
      </c>
      <c r="C46" t="str">
        <f>IFERROR(VLOOKUP(B46,Shrub_plantNative_Nonnative!A:B,2,FALSE),"Verificar")</f>
        <v>non</v>
      </c>
      <c r="D46" s="25" t="s">
        <v>102</v>
      </c>
      <c r="E46" t="str">
        <f>IFERROR(VLOOKUP(D46,Shrub_plantNative_Nonnative!A:B,2,FALSE),"Verificar")</f>
        <v>non</v>
      </c>
    </row>
    <row r="47" spans="1:5" x14ac:dyDescent="0.3">
      <c r="B47" s="32" t="s">
        <v>105</v>
      </c>
      <c r="C47" t="str">
        <f>IFERROR(VLOOKUP(B47,Shrub_plantNative_Nonnative!A:B,2,FALSE),"Verificar")</f>
        <v>non</v>
      </c>
      <c r="D47" s="25" t="s">
        <v>104</v>
      </c>
      <c r="E47" t="str">
        <f>IFERROR(VLOOKUP(D47,Shrub_plantNative_Nonnative!A:B,2,FALSE),"Verificar")</f>
        <v>non</v>
      </c>
    </row>
    <row r="48" spans="1:5" x14ac:dyDescent="0.3">
      <c r="B48" s="32" t="s">
        <v>107</v>
      </c>
      <c r="C48" t="str">
        <f>IFERROR(VLOOKUP(B48,Shrub_plantNative_Nonnative!A:B,2,FALSE),"Verificar")</f>
        <v>non</v>
      </c>
      <c r="D48" s="25" t="s">
        <v>106</v>
      </c>
      <c r="E48" t="str">
        <f>IFERROR(VLOOKUP(D48,Shrub_plantNative_Nonnative!A:B,2,FALSE),"Verificar")</f>
        <v>non</v>
      </c>
    </row>
    <row r="49" spans="1:5" x14ac:dyDescent="0.3">
      <c r="D49" s="25" t="s">
        <v>108</v>
      </c>
      <c r="E49" t="str">
        <f>IFERROR(VLOOKUP(D49,Shrub_plantNative_Nonnative!A:B,2,FALSE),"Verificar")</f>
        <v>native</v>
      </c>
    </row>
    <row r="50" spans="1:5" x14ac:dyDescent="0.3">
      <c r="A50" s="78" t="s">
        <v>109</v>
      </c>
      <c r="B50" s="79" t="s">
        <v>76</v>
      </c>
      <c r="C50" t="str">
        <f>IFERROR(VLOOKUP(B50,Shrub_plantNative_Nonnative!A:B,2,FALSE),"Verificar")</f>
        <v>non</v>
      </c>
      <c r="D50" s="79" t="s">
        <v>112</v>
      </c>
      <c r="E50" t="str">
        <f>IFERROR(VLOOKUP(D50,Shrub_plantNative_Nonnative!A:B,2,FALSE),"Verificar")</f>
        <v>non</v>
      </c>
    </row>
    <row r="51" spans="1:5" x14ac:dyDescent="0.3">
      <c r="A51" s="78"/>
      <c r="B51" s="79" t="s">
        <v>114</v>
      </c>
      <c r="C51" t="str">
        <f>IFERROR(VLOOKUP(B51,Shrub_plantNative_Nonnative!A:B,2,FALSE),"Verificar")</f>
        <v>non</v>
      </c>
      <c r="D51" s="79" t="s">
        <v>113</v>
      </c>
      <c r="E51" t="str">
        <f>IFERROR(VLOOKUP(D51,Shrub_plantNative_Nonnative!A:B,2,FALSE),"Verificar")</f>
        <v>native</v>
      </c>
    </row>
    <row r="52" spans="1:5" x14ac:dyDescent="0.3">
      <c r="A52" s="78"/>
      <c r="B52" s="79" t="s">
        <v>42</v>
      </c>
      <c r="C52" t="str">
        <f>IFERROR(VLOOKUP(B52,Shrub_plantNative_Nonnative!A:B,2,FALSE),"Verificar")</f>
        <v>non</v>
      </c>
      <c r="D52" s="79" t="s">
        <v>115</v>
      </c>
      <c r="E52" t="str">
        <f>IFERROR(VLOOKUP(D52,Shrub_plantNative_Nonnative!A:B,2,FALSE),"Verificar")</f>
        <v>native</v>
      </c>
    </row>
    <row r="53" spans="1:5" x14ac:dyDescent="0.3">
      <c r="A53" s="78"/>
      <c r="B53" s="79" t="s">
        <v>117</v>
      </c>
      <c r="C53" t="str">
        <f>IFERROR(VLOOKUP(B53,Shrub_plantNative_Nonnative!A:B,2,FALSE),"Verificar")</f>
        <v>non</v>
      </c>
      <c r="D53" s="79" t="s">
        <v>116</v>
      </c>
      <c r="E53" t="str">
        <f>IFERROR(VLOOKUP(D53,Shrub_plantNative_Nonnative!A:B,2,FALSE),"Verificar")</f>
        <v>non</v>
      </c>
    </row>
    <row r="54" spans="1:5" x14ac:dyDescent="0.3">
      <c r="A54" s="78"/>
      <c r="B54" s="79" t="s">
        <v>118</v>
      </c>
      <c r="C54" t="str">
        <f>IFERROR(VLOOKUP(B54,Shrub_plantNative_Nonnative!A:B,2,FALSE),"Verificar")</f>
        <v>non</v>
      </c>
      <c r="D54" s="78"/>
    </row>
    <row r="55" spans="1:5" x14ac:dyDescent="0.3">
      <c r="A55" s="78"/>
      <c r="B55" s="79" t="s">
        <v>119</v>
      </c>
      <c r="C55" t="str">
        <f>IFERROR(VLOOKUP(B55,Shrub_plantNative_Nonnative!A:B,2,FALSE),"Verificar")</f>
        <v>non</v>
      </c>
      <c r="D55" s="78"/>
    </row>
    <row r="56" spans="1:5" x14ac:dyDescent="0.3">
      <c r="A56" s="78"/>
      <c r="B56" s="79" t="s">
        <v>120</v>
      </c>
      <c r="C56" t="s">
        <v>1062</v>
      </c>
      <c r="D56" s="78"/>
    </row>
    <row r="57" spans="1:5" x14ac:dyDescent="0.3">
      <c r="A57" s="78"/>
      <c r="B57" s="83" t="s">
        <v>91</v>
      </c>
      <c r="C57" t="str">
        <f>IFERROR(VLOOKUP(B57,Shrub_plantNative_Nonnative!A:B,2,FALSE),"Verificar")</f>
        <v>non</v>
      </c>
      <c r="D57" s="78"/>
    </row>
    <row r="58" spans="1:5" x14ac:dyDescent="0.3">
      <c r="A58" s="78"/>
      <c r="B58" s="79" t="s">
        <v>121</v>
      </c>
      <c r="C58" t="str">
        <f>IFERROR(VLOOKUP(B58,Shrub_plantNative_Nonnative!A:B,2,FALSE),"Verificar")</f>
        <v>non</v>
      </c>
      <c r="D58" s="78"/>
    </row>
    <row r="59" spans="1:5" x14ac:dyDescent="0.3">
      <c r="A59" s="78"/>
      <c r="B59" s="79" t="s">
        <v>122</v>
      </c>
      <c r="C59" t="str">
        <f>IFERROR(VLOOKUP(B59,Shrub_plantNative_Nonnative!A:B,2,FALSE),"Verificar")</f>
        <v>non</v>
      </c>
      <c r="D59" s="78"/>
    </row>
    <row r="60" spans="1:5" x14ac:dyDescent="0.3">
      <c r="A60" s="78"/>
      <c r="B60" s="82" t="s">
        <v>123</v>
      </c>
      <c r="C60" t="str">
        <f>IFERROR(VLOOKUP(B60,Shrub_plantNative_Nonnative!A:B,2,FALSE),"Verificar")</f>
        <v>native</v>
      </c>
      <c r="D60" s="78"/>
    </row>
    <row r="61" spans="1:5" x14ac:dyDescent="0.3">
      <c r="A61" s="78"/>
      <c r="B61" s="82" t="s">
        <v>125</v>
      </c>
      <c r="C61" t="str">
        <f>IFERROR(VLOOKUP(B61,Shrub_plantNative_Nonnative!A:B,2,FALSE),"Verificar")</f>
        <v>non</v>
      </c>
      <c r="D61" s="78"/>
    </row>
    <row r="62" spans="1:5" x14ac:dyDescent="0.3">
      <c r="A62" t="s">
        <v>127</v>
      </c>
      <c r="B62" s="14" t="s">
        <v>76</v>
      </c>
      <c r="C62" t="str">
        <f>IFERROR(VLOOKUP(B62,Shrub_plantNative_Nonnative!A:B,2,FALSE),"Verificar")</f>
        <v>non</v>
      </c>
      <c r="D62" s="14" t="s">
        <v>130</v>
      </c>
      <c r="E62" t="str">
        <f>IFERROR(VLOOKUP(D62,Shrub_plantNative_Nonnative!A:B,2,FALSE),"Verificar")</f>
        <v>native</v>
      </c>
    </row>
    <row r="63" spans="1:5" x14ac:dyDescent="0.3">
      <c r="B63" s="14" t="s">
        <v>1762</v>
      </c>
      <c r="C63" t="s">
        <v>1063</v>
      </c>
      <c r="D63" s="14" t="s">
        <v>132</v>
      </c>
      <c r="E63" t="str">
        <f>IFERROR(VLOOKUP(D63,Shrub_plantNative_Nonnative!A:B,2,FALSE),"Verificar")</f>
        <v>non</v>
      </c>
    </row>
    <row r="64" spans="1:5" x14ac:dyDescent="0.3">
      <c r="B64" s="14" t="s">
        <v>137</v>
      </c>
      <c r="C64" t="str">
        <f>IFERROR(VLOOKUP(B64,Shrub_plantNative_Nonnative!A:B,2,FALSE),"Verificar")</f>
        <v>non</v>
      </c>
      <c r="D64" s="14" t="s">
        <v>135</v>
      </c>
      <c r="E64" t="str">
        <f>IFERROR(VLOOKUP(D64,Shrub_plantNative_Nonnative!A:B,2,FALSE),"Verificar")</f>
        <v>non</v>
      </c>
    </row>
    <row r="65" spans="1:5" x14ac:dyDescent="0.3">
      <c r="B65" s="14" t="s">
        <v>105</v>
      </c>
      <c r="C65" t="str">
        <f>IFERROR(VLOOKUP(B65,Shrub_plantNative_Nonnative!A:B,2,FALSE),"Verificar")</f>
        <v>non</v>
      </c>
      <c r="D65" s="14" t="s">
        <v>139</v>
      </c>
      <c r="E65" t="s">
        <v>1062</v>
      </c>
    </row>
    <row r="66" spans="1:5" x14ac:dyDescent="0.3">
      <c r="B66" s="14" t="s">
        <v>143</v>
      </c>
      <c r="C66" t="str">
        <f>IFERROR(VLOOKUP(B66,Shrub_plantNative_Nonnative!A:B,2,FALSE),"Verificar")</f>
        <v>non</v>
      </c>
      <c r="D66" s="14" t="s">
        <v>141</v>
      </c>
      <c r="E66" t="str">
        <f>IFERROR(VLOOKUP(D66,Shrub_plantNative_Nonnative!A:B,2,FALSE),"Verificar")</f>
        <v>non</v>
      </c>
    </row>
    <row r="67" spans="1:5" x14ac:dyDescent="0.3">
      <c r="B67" s="14" t="s">
        <v>144</v>
      </c>
      <c r="C67" t="str">
        <f>IFERROR(VLOOKUP(B67,Shrub_plantNative_Nonnative!A:B,2,FALSE),"Verificar")</f>
        <v>non</v>
      </c>
    </row>
    <row r="68" spans="1:5" x14ac:dyDescent="0.3">
      <c r="B68" s="14" t="s">
        <v>145</v>
      </c>
      <c r="C68" t="str">
        <f>IFERROR(VLOOKUP(B68,Shrub_plantNative_Nonnative!A:B,2,FALSE),"Verificar")</f>
        <v>non</v>
      </c>
    </row>
    <row r="69" spans="1:5" x14ac:dyDescent="0.3">
      <c r="B69" s="14" t="s">
        <v>101</v>
      </c>
      <c r="C69" t="str">
        <f>IFERROR(VLOOKUP(B69,Shrub_plantNative_Nonnative!A:B,2,FALSE),"Verificar")</f>
        <v>non</v>
      </c>
    </row>
    <row r="70" spans="1:5" x14ac:dyDescent="0.3">
      <c r="B70" s="14" t="s">
        <v>1755</v>
      </c>
      <c r="C70" t="str">
        <f>IFERROR(VLOOKUP(B70,Shrub_plantNative_Nonnative!A:B,2,FALSE),"Verificar")</f>
        <v>non</v>
      </c>
    </row>
    <row r="71" spans="1:5" x14ac:dyDescent="0.3">
      <c r="B71" s="14" t="s">
        <v>78</v>
      </c>
      <c r="C71" t="str">
        <f>IFERROR(VLOOKUP(B71,Shrub_plantNative_Nonnative!A:B,2,FALSE),"Verificar")</f>
        <v>non</v>
      </c>
    </row>
    <row r="72" spans="1:5" x14ac:dyDescent="0.3">
      <c r="B72" s="14" t="s">
        <v>148</v>
      </c>
      <c r="C72" t="str">
        <f>IFERROR(VLOOKUP(B72,Shrub_plantNative_Nonnative!A:B,2,FALSE),"Verificar")</f>
        <v>non</v>
      </c>
    </row>
    <row r="73" spans="1:5" x14ac:dyDescent="0.3">
      <c r="B73" s="14" t="s">
        <v>149</v>
      </c>
      <c r="C73" t="str">
        <f>IFERROR(VLOOKUP(B73,Shrub_plantNative_Nonnative!A:B,2,FALSE),"Verificar")</f>
        <v>non</v>
      </c>
    </row>
    <row r="74" spans="1:5" x14ac:dyDescent="0.3">
      <c r="B74" s="14" t="s">
        <v>150</v>
      </c>
      <c r="C74" t="str">
        <f>IFERROR(VLOOKUP(B74,Shrub_plantNative_Nonnative!A:B,2,FALSE),"Verificar")</f>
        <v>non</v>
      </c>
    </row>
    <row r="75" spans="1:5" x14ac:dyDescent="0.3">
      <c r="B75" s="14" t="s">
        <v>151</v>
      </c>
      <c r="C75" t="str">
        <f>IFERROR(VLOOKUP(B75,Shrub_plantNative_Nonnative!A:B,2,FALSE),"Verificar")</f>
        <v>non</v>
      </c>
    </row>
    <row r="76" spans="1:5" x14ac:dyDescent="0.3">
      <c r="B76" s="14" t="s">
        <v>152</v>
      </c>
      <c r="C76" t="str">
        <f>IFERROR(VLOOKUP(B76,Shrub_plantNative_Nonnative!A:B,2,FALSE),"Verificar")</f>
        <v>non</v>
      </c>
    </row>
    <row r="77" spans="1:5" x14ac:dyDescent="0.3">
      <c r="A77" s="78" t="s">
        <v>153</v>
      </c>
      <c r="B77" s="82" t="s">
        <v>157</v>
      </c>
      <c r="C77" t="str">
        <f>IFERROR(VLOOKUP(B77,Shrub_plantNative_Nonnative!A:B,2,FALSE),"Verificar")</f>
        <v>non</v>
      </c>
      <c r="D77" s="79" t="s">
        <v>156</v>
      </c>
      <c r="E77" t="str">
        <f>IFERROR(VLOOKUP(D77,Shrub_plantNative_Nonnative!A:B,2,FALSE),"Verificar")</f>
        <v>non</v>
      </c>
    </row>
    <row r="78" spans="1:5" x14ac:dyDescent="0.3">
      <c r="A78" s="78"/>
      <c r="B78" s="82" t="s">
        <v>159</v>
      </c>
      <c r="C78" t="str">
        <f>IFERROR(VLOOKUP(B78,Shrub_plantNative_Nonnative!A:B,2,FALSE),"Verificar")</f>
        <v>non</v>
      </c>
      <c r="D78" s="79" t="s">
        <v>158</v>
      </c>
      <c r="E78" t="str">
        <f>IFERROR(VLOOKUP(D78,Shrub_plantNative_Nonnative!A:B,2,FALSE),"Verificar")</f>
        <v>non</v>
      </c>
    </row>
    <row r="79" spans="1:5" x14ac:dyDescent="0.3">
      <c r="A79" s="78"/>
      <c r="B79" s="82" t="s">
        <v>161</v>
      </c>
      <c r="C79" t="str">
        <f>IFERROR(VLOOKUP(B79,Shrub_plantNative_Nonnative!A:B,2,FALSE),"Verificar")</f>
        <v>non</v>
      </c>
      <c r="D79" s="79" t="s">
        <v>160</v>
      </c>
      <c r="E79" t="str">
        <f>IFERROR(VLOOKUP(D79,Shrub_plantNative_Nonnative!A:B,2,FALSE),"Verificar")</f>
        <v>non</v>
      </c>
    </row>
    <row r="80" spans="1:5" x14ac:dyDescent="0.3">
      <c r="A80" s="78"/>
      <c r="B80" s="82" t="s">
        <v>68</v>
      </c>
      <c r="C80" t="str">
        <f>IFERROR(VLOOKUP(B80,Shrub_plantNative_Nonnative!A:B,2,FALSE),"Verificar")</f>
        <v>non</v>
      </c>
      <c r="D80" s="79" t="s">
        <v>162</v>
      </c>
      <c r="E80" t="str">
        <f>IFERROR(VLOOKUP(D80,Shrub_plantNative_Nonnative!A:B,2,FALSE),"Verificar")</f>
        <v>non</v>
      </c>
    </row>
    <row r="81" spans="1:5" x14ac:dyDescent="0.3">
      <c r="A81" s="78"/>
      <c r="B81" s="82" t="s">
        <v>163</v>
      </c>
      <c r="C81" t="str">
        <f>IFERROR(VLOOKUP(B81,Shrub_plantNative_Nonnative!A:B,2,FALSE),"Verificar")</f>
        <v>non</v>
      </c>
      <c r="D81" s="79" t="s">
        <v>65</v>
      </c>
      <c r="E81" t="str">
        <f>IFERROR(VLOOKUP(D81,Shrub_plantNative_Nonnative!A:B,2,FALSE),"Verificar")</f>
        <v>non</v>
      </c>
    </row>
    <row r="82" spans="1:5" x14ac:dyDescent="0.3">
      <c r="A82" s="78"/>
      <c r="B82" s="82" t="s">
        <v>165</v>
      </c>
      <c r="C82" t="str">
        <f>IFERROR(VLOOKUP(B82,Shrub_plantNative_Nonnative!A:B,2,FALSE),"Verificar")</f>
        <v>non</v>
      </c>
      <c r="D82" s="79" t="s">
        <v>164</v>
      </c>
      <c r="E82" t="s">
        <v>1062</v>
      </c>
    </row>
    <row r="83" spans="1:5" x14ac:dyDescent="0.3">
      <c r="A83" s="78"/>
      <c r="B83" s="82" t="s">
        <v>90</v>
      </c>
      <c r="C83" t="str">
        <f>IFERROR(VLOOKUP(B83,Shrub_plantNative_Nonnative!A:B,2,FALSE),"Verificar")</f>
        <v>non</v>
      </c>
      <c r="D83" s="79" t="s">
        <v>166</v>
      </c>
      <c r="E83" t="str">
        <f>IFERROR(VLOOKUP(D83,Shrub_plantNative_Nonnative!A:B,2,FALSE),"Verificar")</f>
        <v>non</v>
      </c>
    </row>
    <row r="84" spans="1:5" x14ac:dyDescent="0.3">
      <c r="A84" s="78"/>
      <c r="B84" s="82" t="s">
        <v>168</v>
      </c>
      <c r="C84" t="str">
        <f>IFERROR(VLOOKUP(B84,Shrub_plantNative_Nonnative!A:B,2,FALSE),"Verificar")</f>
        <v>non</v>
      </c>
      <c r="D84" s="79" t="s">
        <v>135</v>
      </c>
      <c r="E84" t="str">
        <f>IFERROR(VLOOKUP(D84,Shrub_plantNative_Nonnative!A:B,2,FALSE),"Verificar")</f>
        <v>non</v>
      </c>
    </row>
    <row r="85" spans="1:5" x14ac:dyDescent="0.3">
      <c r="A85" s="78"/>
      <c r="B85" s="82" t="s">
        <v>170</v>
      </c>
      <c r="C85" t="str">
        <f>IFERROR(VLOOKUP(B85,Shrub_plantNative_Nonnative!A:B,2,FALSE),"Verificar")</f>
        <v>non</v>
      </c>
      <c r="D85" s="79" t="s">
        <v>169</v>
      </c>
      <c r="E85" t="str">
        <f>IFERROR(VLOOKUP(D85,Shrub_plantNative_Nonnative!A:B,2,FALSE),"Verificar")</f>
        <v>non</v>
      </c>
    </row>
    <row r="86" spans="1:5" x14ac:dyDescent="0.3">
      <c r="A86" s="78"/>
      <c r="B86" s="82" t="s">
        <v>172</v>
      </c>
      <c r="C86" t="str">
        <f>IFERROR(VLOOKUP(B86,Shrub_plantNative_Nonnative!A:B,2,FALSE),"Verificar")</f>
        <v>native</v>
      </c>
      <c r="D86" s="79" t="s">
        <v>171</v>
      </c>
      <c r="E86" t="str">
        <f>IFERROR(VLOOKUP(D86,Shrub_plantNative_Nonnative!A:B,2,FALSE),"Verificar")</f>
        <v>non</v>
      </c>
    </row>
    <row r="87" spans="1:5" x14ac:dyDescent="0.3">
      <c r="A87" s="78"/>
      <c r="B87" s="82" t="s">
        <v>1759</v>
      </c>
      <c r="C87" t="str">
        <f>IFERROR(VLOOKUP(B87,Shrub_plantNative_Nonnative!A:B,2,FALSE),"Verificar")</f>
        <v>non</v>
      </c>
      <c r="D87" s="79" t="s">
        <v>173</v>
      </c>
      <c r="E87" t="str">
        <f>IFERROR(VLOOKUP(D87,Shrub_plantNative_Nonnative!A:B,2,FALSE),"Verificar")</f>
        <v>non</v>
      </c>
    </row>
    <row r="88" spans="1:5" x14ac:dyDescent="0.3">
      <c r="A88" s="78"/>
      <c r="B88" s="82" t="s">
        <v>176</v>
      </c>
      <c r="C88" t="str">
        <f>IFERROR(VLOOKUP(B88,Shrub_plantNative_Nonnative!A:B,2,FALSE),"Verificar")</f>
        <v>non</v>
      </c>
      <c r="D88" s="79" t="s">
        <v>175</v>
      </c>
      <c r="E88" t="str">
        <f>IFERROR(VLOOKUP(D88,Shrub_plantNative_Nonnative!A:B,2,FALSE),"Verificar")</f>
        <v>non</v>
      </c>
    </row>
    <row r="89" spans="1:5" x14ac:dyDescent="0.3">
      <c r="A89" s="78"/>
      <c r="B89" s="82" t="s">
        <v>177</v>
      </c>
      <c r="C89" t="str">
        <f>IFERROR(VLOOKUP(B89,Shrub_plantNative_Nonnative!A:B,2,FALSE),"Verificar")</f>
        <v>non</v>
      </c>
      <c r="D89" s="78"/>
    </row>
    <row r="90" spans="1:5" x14ac:dyDescent="0.3">
      <c r="A90" s="78"/>
      <c r="B90" s="82" t="s">
        <v>178</v>
      </c>
      <c r="C90" t="str">
        <f>IFERROR(VLOOKUP(B90,Shrub_plantNative_Nonnative!A:B,2,FALSE),"Verificar")</f>
        <v>non</v>
      </c>
      <c r="D90" s="78"/>
    </row>
    <row r="91" spans="1:5" x14ac:dyDescent="0.3">
      <c r="A91" s="78"/>
      <c r="B91" s="82" t="s">
        <v>179</v>
      </c>
      <c r="C91" t="str">
        <f>IFERROR(VLOOKUP(B91,Shrub_plantNative_Nonnative!A:B,2,FALSE),"Verificar")</f>
        <v>non</v>
      </c>
      <c r="D91" s="78"/>
    </row>
    <row r="92" spans="1:5" x14ac:dyDescent="0.3">
      <c r="A92" s="78"/>
      <c r="B92" s="82" t="s">
        <v>180</v>
      </c>
      <c r="C92" t="str">
        <f>IFERROR(VLOOKUP(B92,Shrub_plantNative_Nonnative!A:B,2,FALSE),"Verificar")</f>
        <v>non</v>
      </c>
      <c r="D92" s="78"/>
    </row>
    <row r="93" spans="1:5" x14ac:dyDescent="0.3">
      <c r="A93" s="78"/>
      <c r="B93" s="82" t="s">
        <v>181</v>
      </c>
      <c r="C93" t="str">
        <f>IFERROR(VLOOKUP(B93,Shrub_plantNative_Nonnative!A:B,2,FALSE),"Verificar")</f>
        <v>non</v>
      </c>
      <c r="D93" s="78"/>
    </row>
    <row r="94" spans="1:5" x14ac:dyDescent="0.3">
      <c r="A94" s="78"/>
      <c r="B94" s="82" t="s">
        <v>182</v>
      </c>
      <c r="C94" t="s">
        <v>1062</v>
      </c>
      <c r="D94" s="78"/>
    </row>
    <row r="95" spans="1:5" x14ac:dyDescent="0.3">
      <c r="A95" s="78"/>
      <c r="B95" s="82" t="s">
        <v>1676</v>
      </c>
      <c r="C95" t="str">
        <f>IFERROR(VLOOKUP(B95,Shrub_plantNative_Nonnative!A:B,2,FALSE),"Verificar")</f>
        <v>non</v>
      </c>
      <c r="D95" s="78"/>
    </row>
    <row r="96" spans="1:5" x14ac:dyDescent="0.3">
      <c r="A96" s="78"/>
      <c r="B96" s="82" t="s">
        <v>184</v>
      </c>
      <c r="C96" t="str">
        <f>IFERROR(VLOOKUP(B96,Shrub_plantNative_Nonnative!A:B,2,FALSE),"Verificar")</f>
        <v>non</v>
      </c>
      <c r="D96" s="78"/>
    </row>
    <row r="97" spans="1:5" x14ac:dyDescent="0.3">
      <c r="A97" s="78"/>
      <c r="B97" s="82" t="s">
        <v>185</v>
      </c>
      <c r="C97" t="str">
        <f>IFERROR(VLOOKUP(B97,Shrub_plantNative_Nonnative!A:B,2,FALSE),"Verificar")</f>
        <v>non</v>
      </c>
      <c r="D97" s="78"/>
    </row>
    <row r="98" spans="1:5" x14ac:dyDescent="0.3">
      <c r="A98" s="78"/>
      <c r="B98" s="82" t="s">
        <v>287</v>
      </c>
      <c r="C98" t="str">
        <f>IFERROR(VLOOKUP(B98,Shrub_plantNative_Nonnative!A:B,2,FALSE),"Verificar")</f>
        <v>non</v>
      </c>
      <c r="D98" s="78"/>
    </row>
    <row r="99" spans="1:5" x14ac:dyDescent="0.3">
      <c r="A99" s="78"/>
      <c r="B99" s="84" t="s">
        <v>187</v>
      </c>
      <c r="C99" t="str">
        <f>IFERROR(VLOOKUP(B99,Shrub_plantNative_Nonnative!A:B,2,FALSE),"Verificar")</f>
        <v>non</v>
      </c>
      <c r="D99" s="78"/>
    </row>
    <row r="100" spans="1:5" x14ac:dyDescent="0.3">
      <c r="A100" s="78"/>
      <c r="B100" s="84" t="s">
        <v>188</v>
      </c>
      <c r="C100" t="str">
        <f>IFERROR(VLOOKUP(B100,Shrub_plantNative_Nonnative!A:B,2,FALSE),"Verificar")</f>
        <v>non</v>
      </c>
      <c r="D100" s="78"/>
    </row>
    <row r="101" spans="1:5" x14ac:dyDescent="0.3">
      <c r="A101" s="78"/>
      <c r="B101" s="84" t="s">
        <v>189</v>
      </c>
      <c r="C101" t="str">
        <f>IFERROR(VLOOKUP(B101,Shrub_plantNative_Nonnative!A:B,2,FALSE),"Verificar")</f>
        <v>non</v>
      </c>
      <c r="D101" s="78"/>
    </row>
    <row r="102" spans="1:5" x14ac:dyDescent="0.3">
      <c r="A102" s="78"/>
      <c r="B102" s="84" t="s">
        <v>148</v>
      </c>
      <c r="C102" t="str">
        <f>IFERROR(VLOOKUP(B102,Shrub_plantNative_Nonnative!A:B,2,FALSE),"Verificar")</f>
        <v>non</v>
      </c>
      <c r="D102" s="78"/>
    </row>
    <row r="103" spans="1:5" x14ac:dyDescent="0.3">
      <c r="A103" s="78"/>
      <c r="B103" s="84" t="s">
        <v>190</v>
      </c>
      <c r="C103" t="str">
        <f>IFERROR(VLOOKUP(B103,Shrub_plantNative_Nonnative!A:B,2,FALSE),"Verificar")</f>
        <v>non</v>
      </c>
      <c r="D103" s="78"/>
    </row>
    <row r="104" spans="1:5" x14ac:dyDescent="0.3">
      <c r="A104" s="78"/>
      <c r="B104" s="84" t="s">
        <v>191</v>
      </c>
      <c r="C104" t="str">
        <f>IFERROR(VLOOKUP(B104,Shrub_plantNative_Nonnative!A:B,2,FALSE),"Verificar")</f>
        <v>non</v>
      </c>
      <c r="D104" s="78"/>
    </row>
    <row r="105" spans="1:5" x14ac:dyDescent="0.3">
      <c r="A105" t="s">
        <v>192</v>
      </c>
      <c r="B105" s="22" t="s">
        <v>195</v>
      </c>
      <c r="C105" t="str">
        <f>IFERROR(VLOOKUP(B105,Shrub_plantNative_Nonnative!A:B,2,FALSE),"Verificar")</f>
        <v>non</v>
      </c>
      <c r="D105" s="14" t="s">
        <v>130</v>
      </c>
      <c r="E105" t="str">
        <f>IFERROR(VLOOKUP(D105,Shrub_plantNative_Nonnative!A:B,2,FALSE),"Verificar")</f>
        <v>native</v>
      </c>
    </row>
    <row r="106" spans="1:5" x14ac:dyDescent="0.3">
      <c r="B106" s="22" t="s">
        <v>76</v>
      </c>
      <c r="C106" t="str">
        <f>IFERROR(VLOOKUP(B106,Shrub_plantNative_Nonnative!A:B,2,FALSE),"Verificar")</f>
        <v>non</v>
      </c>
      <c r="D106" s="14" t="s">
        <v>197</v>
      </c>
      <c r="E106" t="str">
        <f>IFERROR(VLOOKUP(D106,Shrub_plantNative_Nonnative!A:B,2,FALSE),"Verificar")</f>
        <v>non</v>
      </c>
    </row>
    <row r="107" spans="1:5" x14ac:dyDescent="0.3">
      <c r="B107" s="22" t="s">
        <v>180</v>
      </c>
      <c r="C107" t="str">
        <f>IFERROR(VLOOKUP(B107,Shrub_plantNative_Nonnative!A:B,2,FALSE),"Verificar")</f>
        <v>non</v>
      </c>
      <c r="D107" s="14" t="s">
        <v>199</v>
      </c>
      <c r="E107" t="str">
        <f>IFERROR(VLOOKUP(D107,Shrub_plantNative_Nonnative!A:B,2,FALSE),"Verificar")</f>
        <v>native</v>
      </c>
    </row>
    <row r="108" spans="1:5" x14ac:dyDescent="0.3">
      <c r="B108" s="22" t="s">
        <v>200</v>
      </c>
      <c r="C108" t="str">
        <f>IFERROR(VLOOKUP(B108,Shrub_plantNative_Nonnative!A:B,2,FALSE),"Verificar")</f>
        <v>non</v>
      </c>
      <c r="D108" s="14" t="s">
        <v>160</v>
      </c>
      <c r="E108" t="str">
        <f>IFERROR(VLOOKUP(D108,Shrub_plantNative_Nonnative!A:B,2,FALSE),"Verificar")</f>
        <v>non</v>
      </c>
    </row>
    <row r="109" spans="1:5" x14ac:dyDescent="0.3">
      <c r="B109" s="22" t="s">
        <v>202</v>
      </c>
      <c r="C109" t="str">
        <f>IFERROR(VLOOKUP(B109,Shrub_plantNative_Nonnative!A:B,2,FALSE),"Verificar")</f>
        <v>non</v>
      </c>
      <c r="D109" s="14" t="s">
        <v>201</v>
      </c>
      <c r="E109" t="str">
        <f>IFERROR(VLOOKUP(D109,Shrub_plantNative_Nonnative!A:B,2,FALSE),"Verificar")</f>
        <v>non</v>
      </c>
    </row>
    <row r="110" spans="1:5" x14ac:dyDescent="0.3">
      <c r="B110" s="22" t="s">
        <v>148</v>
      </c>
      <c r="C110" t="str">
        <f>IFERROR(VLOOKUP(B110,Shrub_plantNative_Nonnative!A:B,2,FALSE),"Verificar")</f>
        <v>non</v>
      </c>
      <c r="D110" s="14" t="s">
        <v>203</v>
      </c>
      <c r="E110" t="str">
        <f>IFERROR(VLOOKUP(D110,Shrub_plantNative_Nonnative!A:B,2,FALSE),"Verificar")</f>
        <v>non</v>
      </c>
    </row>
    <row r="111" spans="1:5" x14ac:dyDescent="0.3">
      <c r="B111" s="22" t="s">
        <v>204</v>
      </c>
      <c r="C111" t="str">
        <f>IFERROR(VLOOKUP(B111,Shrub_plantNative_Nonnative!A:B,2,FALSE),"Verificar")</f>
        <v>non</v>
      </c>
    </row>
    <row r="112" spans="1:5" x14ac:dyDescent="0.3">
      <c r="B112" s="22" t="s">
        <v>205</v>
      </c>
      <c r="C112" t="str">
        <f>IFERROR(VLOOKUP(B112,Shrub_plantNative_Nonnative!A:B,2,FALSE),"Verificar")</f>
        <v>non</v>
      </c>
    </row>
    <row r="113" spans="1:5" x14ac:dyDescent="0.3">
      <c r="A113" s="78" t="s">
        <v>206</v>
      </c>
      <c r="B113" s="82" t="s">
        <v>210</v>
      </c>
      <c r="C113" t="str">
        <f>IFERROR(VLOOKUP(B113,Shrub_plantNative_Nonnative!A:B,2,FALSE),"Verificar")</f>
        <v>non</v>
      </c>
      <c r="D113" s="79" t="s">
        <v>209</v>
      </c>
      <c r="E113" t="str">
        <f>IFERROR(VLOOKUP(D113,Shrub_plantNative_Nonnative!A:B,2,FALSE),"Verificar")</f>
        <v>native</v>
      </c>
    </row>
    <row r="114" spans="1:5" x14ac:dyDescent="0.3">
      <c r="A114" s="78"/>
      <c r="B114" s="82" t="s">
        <v>181</v>
      </c>
      <c r="C114" t="str">
        <f>IFERROR(VLOOKUP(B114,Shrub_plantNative_Nonnative!A:B,2,FALSE),"Verificar")</f>
        <v>non</v>
      </c>
      <c r="D114" s="79" t="s">
        <v>211</v>
      </c>
      <c r="E114" t="str">
        <f>IFERROR(VLOOKUP(D114,Shrub_plantNative_Nonnative!A:B,2,FALSE),"Verificar")</f>
        <v>non</v>
      </c>
    </row>
    <row r="115" spans="1:5" x14ac:dyDescent="0.3">
      <c r="A115" s="78"/>
      <c r="B115" s="82" t="s">
        <v>213</v>
      </c>
      <c r="C115" t="str">
        <f>IFERROR(VLOOKUP(B115,Shrub_plantNative_Nonnative!A:B,2,FALSE),"Verificar")</f>
        <v>non</v>
      </c>
      <c r="D115" s="79" t="s">
        <v>212</v>
      </c>
      <c r="E115" t="str">
        <f>IFERROR(VLOOKUP(D115,Shrub_plantNative_Nonnative!A:B,2,FALSE),"Verificar")</f>
        <v>non</v>
      </c>
    </row>
    <row r="116" spans="1:5" x14ac:dyDescent="0.3">
      <c r="A116" s="78"/>
      <c r="B116" s="82" t="s">
        <v>90</v>
      </c>
      <c r="C116" t="str">
        <f>IFERROR(VLOOKUP(B116,Shrub_plantNative_Nonnative!A:B,2,FALSE),"Verificar")</f>
        <v>non</v>
      </c>
      <c r="D116" s="79" t="s">
        <v>108</v>
      </c>
      <c r="E116" t="str">
        <f>IFERROR(VLOOKUP(D116,Shrub_plantNative_Nonnative!A:B,2,FALSE),"Verificar")</f>
        <v>native</v>
      </c>
    </row>
    <row r="117" spans="1:5" x14ac:dyDescent="0.3">
      <c r="A117" s="78"/>
      <c r="B117" s="82" t="s">
        <v>215</v>
      </c>
      <c r="C117" t="str">
        <f>IFERROR(VLOOKUP(B117,Shrub_plantNative_Nonnative!A:B,2,FALSE),"Verificar")</f>
        <v>non</v>
      </c>
      <c r="D117" s="79" t="s">
        <v>160</v>
      </c>
      <c r="E117" t="str">
        <f>IFERROR(VLOOKUP(D117,Shrub_plantNative_Nonnative!A:B,2,FALSE),"Verificar")</f>
        <v>non</v>
      </c>
    </row>
    <row r="118" spans="1:5" x14ac:dyDescent="0.3">
      <c r="A118" s="78"/>
      <c r="B118" s="82" t="s">
        <v>217</v>
      </c>
      <c r="C118" t="str">
        <f>IFERROR(VLOOKUP(B118,Shrub_plantNative_Nonnative!A:B,2,FALSE),"Verificar")</f>
        <v>non</v>
      </c>
      <c r="D118" s="79" t="s">
        <v>216</v>
      </c>
      <c r="E118" t="str">
        <f>IFERROR(VLOOKUP(D118,Shrub_plantNative_Nonnative!A:B,2,FALSE),"Verificar")</f>
        <v>native</v>
      </c>
    </row>
    <row r="119" spans="1:5" x14ac:dyDescent="0.3">
      <c r="A119" s="78"/>
      <c r="B119" s="82" t="s">
        <v>218</v>
      </c>
      <c r="C119" t="str">
        <f>IFERROR(VLOOKUP(B119,Shrub_plantNative_Nonnative!A:B,2,FALSE),"Verificar")</f>
        <v>non</v>
      </c>
      <c r="D119" s="79" t="s">
        <v>1676</v>
      </c>
      <c r="E119" t="str">
        <f>IFERROR(VLOOKUP(D119,Shrub_plantNative_Nonnative!A:B,2,FALSE),"Verificar")</f>
        <v>non</v>
      </c>
    </row>
    <row r="120" spans="1:5" x14ac:dyDescent="0.3">
      <c r="A120" s="78"/>
      <c r="B120" s="82" t="s">
        <v>220</v>
      </c>
      <c r="C120" t="s">
        <v>1062</v>
      </c>
      <c r="D120" s="79" t="s">
        <v>219</v>
      </c>
      <c r="E120" t="str">
        <f>IFERROR(VLOOKUP(D120,Shrub_plantNative_Nonnative!A:B,2,FALSE),"Verificar")</f>
        <v>non</v>
      </c>
    </row>
    <row r="121" spans="1:5" x14ac:dyDescent="0.3">
      <c r="A121" s="78"/>
      <c r="B121" s="82" t="s">
        <v>222</v>
      </c>
      <c r="C121" t="str">
        <f>IFERROR(VLOOKUP(B121,Shrub_plantNative_Nonnative!A:B,2,FALSE),"Verificar")</f>
        <v>non</v>
      </c>
      <c r="D121" s="79" t="s">
        <v>221</v>
      </c>
      <c r="E121" t="str">
        <f>IFERROR(VLOOKUP(D121,Shrub_plantNative_Nonnative!A:B,2,FALSE),"Verificar")</f>
        <v>non</v>
      </c>
    </row>
    <row r="122" spans="1:5" x14ac:dyDescent="0.3">
      <c r="A122" s="78"/>
      <c r="B122" s="84" t="s">
        <v>224</v>
      </c>
      <c r="C122" t="str">
        <f>IFERROR(VLOOKUP(B122,Shrub_plantNative_Nonnative!A:B,2,FALSE),"Verificar")</f>
        <v>non</v>
      </c>
      <c r="D122" s="79" t="s">
        <v>223</v>
      </c>
      <c r="E122" t="str">
        <f>IFERROR(VLOOKUP(D122,Shrub_plantNative_Nonnative!A:B,2,FALSE),"Verificar")</f>
        <v>non</v>
      </c>
    </row>
    <row r="123" spans="1:5" x14ac:dyDescent="0.3">
      <c r="A123" s="78"/>
      <c r="B123" s="82" t="s">
        <v>225</v>
      </c>
      <c r="C123" t="str">
        <f>IFERROR(VLOOKUP(B123,Shrub_plantNative_Nonnative!A:B,2,FALSE),"Verificar")</f>
        <v>non</v>
      </c>
      <c r="D123" s="78"/>
    </row>
    <row r="124" spans="1:5" x14ac:dyDescent="0.3">
      <c r="A124" s="78"/>
      <c r="B124" s="82" t="s">
        <v>226</v>
      </c>
      <c r="C124" t="str">
        <f>IFERROR(VLOOKUP(B124,Shrub_plantNative_Nonnative!A:B,2,FALSE),"Verificar")</f>
        <v>non</v>
      </c>
      <c r="D124" s="78"/>
    </row>
    <row r="125" spans="1:5" x14ac:dyDescent="0.3">
      <c r="A125" s="78"/>
      <c r="B125" s="82" t="s">
        <v>227</v>
      </c>
      <c r="C125" t="str">
        <f>IFERROR(VLOOKUP(B125,Shrub_plantNative_Nonnative!A:B,2,FALSE),"Verificar")</f>
        <v>non</v>
      </c>
      <c r="D125" s="78"/>
    </row>
    <row r="126" spans="1:5" x14ac:dyDescent="0.3">
      <c r="A126" s="78"/>
      <c r="B126" s="82" t="s">
        <v>228</v>
      </c>
      <c r="C126" t="str">
        <f>IFERROR(VLOOKUP(B126,Shrub_plantNative_Nonnative!A:B,2,FALSE),"Verificar")</f>
        <v>non</v>
      </c>
      <c r="D126" s="78"/>
    </row>
    <row r="127" spans="1:5" x14ac:dyDescent="0.3">
      <c r="A127" s="78"/>
      <c r="B127" s="82" t="s">
        <v>229</v>
      </c>
      <c r="C127" t="str">
        <f>IFERROR(VLOOKUP(B127,Shrub_plantNative_Nonnative!A:B,2,FALSE),"Verificar")</f>
        <v>non</v>
      </c>
      <c r="D127" s="78"/>
    </row>
    <row r="128" spans="1:5" x14ac:dyDescent="0.3">
      <c r="A128" s="78"/>
      <c r="B128" s="82" t="s">
        <v>230</v>
      </c>
      <c r="C128" t="str">
        <f>IFERROR(VLOOKUP(B128,Shrub_plantNative_Nonnative!A:B,2,FALSE),"Verificar")</f>
        <v>non</v>
      </c>
      <c r="D128" s="78"/>
    </row>
    <row r="129" spans="1:5" x14ac:dyDescent="0.3">
      <c r="A129" s="78"/>
      <c r="B129" s="82" t="s">
        <v>231</v>
      </c>
      <c r="C129" t="str">
        <f>IFERROR(VLOOKUP(B129,Shrub_plantNative_Nonnative!A:B,2,FALSE),"Verificar")</f>
        <v>non</v>
      </c>
      <c r="D129" s="78"/>
    </row>
    <row r="130" spans="1:5" x14ac:dyDescent="0.3">
      <c r="A130" s="78"/>
      <c r="B130" s="82" t="s">
        <v>77</v>
      </c>
      <c r="C130" t="str">
        <f>IFERROR(VLOOKUP(B130,Shrub_plantNative_Nonnative!A:B,2,FALSE),"Verificar")</f>
        <v>non</v>
      </c>
      <c r="D130" s="78"/>
    </row>
    <row r="131" spans="1:5" x14ac:dyDescent="0.3">
      <c r="A131" s="78"/>
      <c r="B131" s="82" t="s">
        <v>232</v>
      </c>
      <c r="C131" t="str">
        <f>IFERROR(VLOOKUP(B131,Shrub_plantNative_Nonnative!A:B,2,FALSE),"Verificar")</f>
        <v>non</v>
      </c>
      <c r="D131" s="78"/>
    </row>
    <row r="132" spans="1:5" x14ac:dyDescent="0.3">
      <c r="A132" s="78"/>
      <c r="B132" s="82" t="s">
        <v>233</v>
      </c>
      <c r="C132" t="str">
        <f>IFERROR(VLOOKUP(B132,Shrub_plantNative_Nonnative!A:B,2,FALSE),"Verificar")</f>
        <v>non</v>
      </c>
      <c r="D132" s="78"/>
    </row>
    <row r="133" spans="1:5" x14ac:dyDescent="0.3">
      <c r="A133" s="78"/>
      <c r="B133" s="82" t="s">
        <v>1756</v>
      </c>
      <c r="C133" t="str">
        <f>IFERROR(VLOOKUP(B133,Shrub_plantNative_Nonnative!A:B,2,FALSE),"Verificar")</f>
        <v>non</v>
      </c>
      <c r="D133" s="78"/>
    </row>
    <row r="134" spans="1:5" x14ac:dyDescent="0.3">
      <c r="A134" s="78"/>
      <c r="B134" s="82" t="s">
        <v>235</v>
      </c>
      <c r="C134" t="str">
        <f>IFERROR(VLOOKUP(B134,Shrub_plantNative_Nonnative!A:B,2,FALSE),"Verificar")</f>
        <v>non</v>
      </c>
      <c r="D134" s="78"/>
    </row>
    <row r="135" spans="1:5" x14ac:dyDescent="0.3">
      <c r="A135" s="78"/>
      <c r="B135" s="82" t="s">
        <v>184</v>
      </c>
      <c r="C135" t="str">
        <f>IFERROR(VLOOKUP(B135,Shrub_plantNative_Nonnative!A:B,2,FALSE),"Verificar")</f>
        <v>non</v>
      </c>
      <c r="D135" s="78"/>
    </row>
    <row r="136" spans="1:5" x14ac:dyDescent="0.3">
      <c r="A136" s="78"/>
      <c r="B136" s="82" t="s">
        <v>1733</v>
      </c>
      <c r="C136" t="str">
        <f>IFERROR(VLOOKUP(B136,Shrub_plantNative_Nonnative!A:B,2,FALSE),"Verificar")</f>
        <v>non</v>
      </c>
      <c r="D136" s="78"/>
    </row>
    <row r="137" spans="1:5" x14ac:dyDescent="0.3">
      <c r="A137" s="78"/>
      <c r="B137" s="82" t="s">
        <v>237</v>
      </c>
      <c r="C137" t="str">
        <f>IFERROR(VLOOKUP(B137,Shrub_plantNative_Nonnative!A:B,2,FALSE),"Verificar")</f>
        <v>non</v>
      </c>
      <c r="D137" s="78"/>
    </row>
    <row r="138" spans="1:5" x14ac:dyDescent="0.3">
      <c r="A138" s="78"/>
      <c r="B138" s="82" t="s">
        <v>238</v>
      </c>
      <c r="C138" t="s">
        <v>1062</v>
      </c>
      <c r="D138" s="78"/>
    </row>
    <row r="139" spans="1:5" x14ac:dyDescent="0.3">
      <c r="A139" t="s">
        <v>239</v>
      </c>
      <c r="B139" s="22" t="s">
        <v>243</v>
      </c>
      <c r="C139" t="str">
        <f>IFERROR(VLOOKUP(B139,Shrub_plantNative_Nonnative!A:B,2,FALSE),"Verificar")</f>
        <v>non</v>
      </c>
      <c r="D139" s="14" t="s">
        <v>242</v>
      </c>
      <c r="E139" t="str">
        <f>IFERROR(VLOOKUP(D139,Shrub_plantNative_Nonnative!A:B,2,FALSE),"Verificar")</f>
        <v>native</v>
      </c>
    </row>
    <row r="140" spans="1:5" x14ac:dyDescent="0.3">
      <c r="B140" s="22" t="s">
        <v>246</v>
      </c>
      <c r="C140" t="str">
        <f>IFERROR(VLOOKUP(B140,Shrub_plantNative_Nonnative!A:B,2,FALSE),"Verificar")</f>
        <v>native</v>
      </c>
      <c r="D140" s="14" t="s">
        <v>245</v>
      </c>
      <c r="E140" t="str">
        <f>IFERROR(VLOOKUP(D140,Shrub_plantNative_Nonnative!A:B,2,FALSE),"Verificar")</f>
        <v>non</v>
      </c>
    </row>
    <row r="141" spans="1:5" x14ac:dyDescent="0.3">
      <c r="B141" s="22" t="s">
        <v>248</v>
      </c>
      <c r="C141" t="str">
        <f>IFERROR(VLOOKUP(B141,Shrub_plantNative_Nonnative!A:B,2,FALSE),"Verificar")</f>
        <v>native</v>
      </c>
      <c r="D141" s="14" t="s">
        <v>156</v>
      </c>
      <c r="E141" t="str">
        <f>IFERROR(VLOOKUP(D141,Shrub_plantNative_Nonnative!A:B,2,FALSE),"Verificar")</f>
        <v>non</v>
      </c>
    </row>
    <row r="142" spans="1:5" x14ac:dyDescent="0.3">
      <c r="B142" s="22" t="s">
        <v>249</v>
      </c>
      <c r="C142" t="str">
        <f>IFERROR(VLOOKUP(B142,Shrub_plantNative_Nonnative!A:B,2,FALSE),"Verificar")</f>
        <v>native</v>
      </c>
      <c r="D142" s="14" t="s">
        <v>212</v>
      </c>
      <c r="E142" t="str">
        <f>IFERROR(VLOOKUP(D142,Shrub_plantNative_Nonnative!A:B,2,FALSE),"Verificar")</f>
        <v>non</v>
      </c>
    </row>
    <row r="143" spans="1:5" x14ac:dyDescent="0.3">
      <c r="B143" s="22" t="s">
        <v>224</v>
      </c>
      <c r="C143" t="str">
        <f>IFERROR(VLOOKUP(B143,Shrub_plantNative_Nonnative!A:B,2,FALSE),"Verificar")</f>
        <v>non</v>
      </c>
      <c r="D143" s="14" t="s">
        <v>130</v>
      </c>
      <c r="E143" t="str">
        <f>IFERROR(VLOOKUP(D143,Shrub_plantNative_Nonnative!A:B,2,FALSE),"Verificar")</f>
        <v>native</v>
      </c>
    </row>
    <row r="144" spans="1:5" x14ac:dyDescent="0.3">
      <c r="B144" s="22" t="s">
        <v>251</v>
      </c>
      <c r="C144" t="str">
        <f>IFERROR(VLOOKUP(B144,Shrub_plantNative_Nonnative!A:B,2,FALSE),"Verificar")</f>
        <v>native</v>
      </c>
      <c r="D144" s="14" t="s">
        <v>132</v>
      </c>
      <c r="E144" t="str">
        <f>IFERROR(VLOOKUP(D144,Shrub_plantNative_Nonnative!A:B,2,FALSE),"Verificar")</f>
        <v>non</v>
      </c>
    </row>
    <row r="145" spans="2:5" x14ac:dyDescent="0.3">
      <c r="B145" s="22" t="s">
        <v>253</v>
      </c>
      <c r="C145" t="str">
        <f>IFERROR(VLOOKUP(B145,Shrub_plantNative_Nonnative!A:B,2,FALSE),"Verificar")</f>
        <v>non</v>
      </c>
      <c r="D145" s="14" t="s">
        <v>252</v>
      </c>
      <c r="E145" t="str">
        <f>IFERROR(VLOOKUP(D145,Shrub_plantNative_Nonnative!A:B,2,FALSE),"Verificar")</f>
        <v>native</v>
      </c>
    </row>
    <row r="146" spans="2:5" x14ac:dyDescent="0.3">
      <c r="B146" s="22" t="s">
        <v>254</v>
      </c>
      <c r="C146" t="str">
        <f>IFERROR(VLOOKUP(B146,Shrub_plantNative_Nonnative!A:B,2,FALSE),"Verificar")</f>
        <v>non</v>
      </c>
      <c r="D146" s="14" t="s">
        <v>203</v>
      </c>
      <c r="E146" t="str">
        <f>IFERROR(VLOOKUP(D146,Shrub_plantNative_Nonnative!A:B,2,FALSE),"Verificar")</f>
        <v>non</v>
      </c>
    </row>
    <row r="147" spans="2:5" x14ac:dyDescent="0.3">
      <c r="B147" s="22" t="s">
        <v>256</v>
      </c>
      <c r="C147" t="str">
        <f>IFERROR(VLOOKUP(B147,Shrub_plantNative_Nonnative!A:B,2,FALSE),"Verificar")</f>
        <v>native</v>
      </c>
      <c r="D147" s="14" t="s">
        <v>255</v>
      </c>
      <c r="E147" t="str">
        <f>IFERROR(VLOOKUP(D147,Shrub_plantNative_Nonnative!A:B,2,FALSE),"Verificar")</f>
        <v>non</v>
      </c>
    </row>
    <row r="148" spans="2:5" x14ac:dyDescent="0.3">
      <c r="B148" s="22" t="s">
        <v>258</v>
      </c>
      <c r="C148" t="str">
        <f>IFERROR(VLOOKUP(B148,Shrub_plantNative_Nonnative!A:B,2,FALSE),"Verificar")</f>
        <v>non</v>
      </c>
      <c r="D148" s="14" t="s">
        <v>257</v>
      </c>
      <c r="E148" t="str">
        <f>IFERROR(VLOOKUP(D148,Shrub_plantNative_Nonnative!A:B,2,FALSE),"Verificar")</f>
        <v>non</v>
      </c>
    </row>
    <row r="149" spans="2:5" x14ac:dyDescent="0.3">
      <c r="B149" s="22" t="s">
        <v>259</v>
      </c>
      <c r="C149" t="str">
        <f>IFERROR(VLOOKUP(B149,Shrub_plantNative_Nonnative!A:B,2,FALSE),"Verificar")</f>
        <v>non</v>
      </c>
      <c r="D149" s="14" t="s">
        <v>164</v>
      </c>
      <c r="E149" t="s">
        <v>1062</v>
      </c>
    </row>
    <row r="150" spans="2:5" x14ac:dyDescent="0.3">
      <c r="B150" s="22" t="s">
        <v>261</v>
      </c>
      <c r="C150" t="str">
        <f>IFERROR(VLOOKUP(B150,Shrub_plantNative_Nonnative!A:B,2,FALSE),"Verificar")</f>
        <v>non</v>
      </c>
      <c r="D150" s="14" t="s">
        <v>260</v>
      </c>
      <c r="E150" t="str">
        <f>IFERROR(VLOOKUP(D150,Shrub_plantNative_Nonnative!A:B,2,FALSE),"Verificar")</f>
        <v>non</v>
      </c>
    </row>
    <row r="151" spans="2:5" x14ac:dyDescent="0.3">
      <c r="B151" s="22" t="s">
        <v>263</v>
      </c>
      <c r="C151" t="str">
        <f>IFERROR(VLOOKUP(B151,Shrub_plantNative_Nonnative!A:B,2,FALSE),"Verificar")</f>
        <v>non</v>
      </c>
      <c r="D151" s="14" t="s">
        <v>262</v>
      </c>
      <c r="E151" t="str">
        <f>IFERROR(VLOOKUP(D151,Shrub_plantNative_Nonnative!A:B,2,FALSE),"Verificar")</f>
        <v>non</v>
      </c>
    </row>
    <row r="152" spans="2:5" x14ac:dyDescent="0.3">
      <c r="B152" s="22" t="s">
        <v>162</v>
      </c>
      <c r="C152" t="str">
        <f>IFERROR(VLOOKUP(B152,Shrub_plantNative_Nonnative!A:B,2,FALSE),"Verificar")</f>
        <v>non</v>
      </c>
      <c r="D152" s="14" t="s">
        <v>264</v>
      </c>
      <c r="E152" t="str">
        <f>IFERROR(VLOOKUP(D152,Shrub_plantNative_Nonnative!A:B,2,FALSE),"Verificar")</f>
        <v>non</v>
      </c>
    </row>
    <row r="153" spans="2:5" x14ac:dyDescent="0.3">
      <c r="B153" s="22" t="s">
        <v>266</v>
      </c>
      <c r="C153" t="str">
        <f>IFERROR(VLOOKUP(B153,Shrub_plantNative_Nonnative!A:B,2,FALSE),"Verificar")</f>
        <v>native</v>
      </c>
      <c r="D153" s="14" t="s">
        <v>265</v>
      </c>
      <c r="E153" t="s">
        <v>1063</v>
      </c>
    </row>
    <row r="154" spans="2:5" x14ac:dyDescent="0.3">
      <c r="B154" s="22" t="s">
        <v>268</v>
      </c>
      <c r="C154" t="str">
        <f>IFERROR(VLOOKUP(B154,Shrub_plantNative_Nonnative!A:B,2,FALSE),"Verificar")</f>
        <v>non</v>
      </c>
      <c r="D154" s="14" t="s">
        <v>267</v>
      </c>
      <c r="E154" t="str">
        <f>IFERROR(VLOOKUP(D154,Shrub_plantNative_Nonnative!A:B,2,FALSE),"Verificar")</f>
        <v>non</v>
      </c>
    </row>
    <row r="155" spans="2:5" x14ac:dyDescent="0.3">
      <c r="B155" s="22" t="s">
        <v>270</v>
      </c>
      <c r="C155" t="str">
        <f>IFERROR(VLOOKUP(B155,Shrub_plantNative_Nonnative!A:B,2,FALSE),"Verificar")</f>
        <v>non</v>
      </c>
      <c r="D155" s="14" t="s">
        <v>269</v>
      </c>
      <c r="E155" t="s">
        <v>1062</v>
      </c>
    </row>
    <row r="156" spans="2:5" x14ac:dyDescent="0.3">
      <c r="B156" s="22" t="s">
        <v>150</v>
      </c>
      <c r="C156" t="str">
        <f>IFERROR(VLOOKUP(B156,Shrub_plantNative_Nonnative!A:B,2,FALSE),"Verificar")</f>
        <v>non</v>
      </c>
      <c r="D156" s="14" t="s">
        <v>271</v>
      </c>
      <c r="E156" t="str">
        <f>IFERROR(VLOOKUP(D156,Shrub_plantNative_Nonnative!A:B,2,FALSE),"Verificar")</f>
        <v>non</v>
      </c>
    </row>
    <row r="157" spans="2:5" x14ac:dyDescent="0.3">
      <c r="B157" s="22" t="s">
        <v>273</v>
      </c>
      <c r="C157" t="str">
        <f>IFERROR(VLOOKUP(B157,Shrub_plantNative_Nonnative!A:B,2,FALSE),"Verificar")</f>
        <v>non</v>
      </c>
      <c r="D157" s="14" t="s">
        <v>272</v>
      </c>
      <c r="E157" t="str">
        <f>IFERROR(VLOOKUP(D157,Shrub_plantNative_Nonnative!A:B,2,FALSE),"Verificar")</f>
        <v>non</v>
      </c>
    </row>
    <row r="158" spans="2:5" x14ac:dyDescent="0.3">
      <c r="B158" s="22" t="s">
        <v>275</v>
      </c>
      <c r="C158" t="s">
        <v>1063</v>
      </c>
      <c r="D158" s="14" t="s">
        <v>313</v>
      </c>
      <c r="E158" t="str">
        <f>IFERROR(VLOOKUP(D158,Shrub_plantNative_Nonnative!A:B,2,FALSE),"Verificar")</f>
        <v>non</v>
      </c>
    </row>
    <row r="159" spans="2:5" x14ac:dyDescent="0.3">
      <c r="B159" s="22" t="s">
        <v>276</v>
      </c>
      <c r="C159" t="str">
        <f>IFERROR(VLOOKUP(B159,Shrub_plantNative_Nonnative!A:B,2,FALSE),"Verificar")</f>
        <v>non</v>
      </c>
    </row>
    <row r="160" spans="2:5" x14ac:dyDescent="0.3">
      <c r="B160" s="22" t="s">
        <v>277</v>
      </c>
      <c r="C160" t="str">
        <f>IFERROR(VLOOKUP(B160,Shrub_plantNative_Nonnative!A:B,2,FALSE),"Verificar")</f>
        <v>non</v>
      </c>
    </row>
    <row r="161" spans="2:3" x14ac:dyDescent="0.3">
      <c r="B161" s="22" t="s">
        <v>278</v>
      </c>
      <c r="C161" t="str">
        <f>IFERROR(VLOOKUP(B161,Shrub_plantNative_Nonnative!A:B,2,FALSE),"Verificar")</f>
        <v>non</v>
      </c>
    </row>
    <row r="162" spans="2:3" x14ac:dyDescent="0.3">
      <c r="B162" s="22" t="s">
        <v>279</v>
      </c>
      <c r="C162" t="str">
        <f>IFERROR(VLOOKUP(B162,Shrub_plantNative_Nonnative!A:B,2,FALSE),"Verificar")</f>
        <v>non</v>
      </c>
    </row>
    <row r="163" spans="2:3" x14ac:dyDescent="0.3">
      <c r="B163" s="22" t="s">
        <v>171</v>
      </c>
      <c r="C163" t="str">
        <f>IFERROR(VLOOKUP(B163,Shrub_plantNative_Nonnative!A:B,2,FALSE),"Verificar")</f>
        <v>non</v>
      </c>
    </row>
    <row r="164" spans="2:3" x14ac:dyDescent="0.3">
      <c r="B164" s="22" t="s">
        <v>280</v>
      </c>
      <c r="C164" t="str">
        <f>IFERROR(VLOOKUP(B164,Shrub_plantNative_Nonnative!A:B,2,FALSE),"Verificar")</f>
        <v>non</v>
      </c>
    </row>
    <row r="165" spans="2:3" x14ac:dyDescent="0.3">
      <c r="B165" s="22" t="s">
        <v>219</v>
      </c>
      <c r="C165" t="str">
        <f>IFERROR(VLOOKUP(B165,Shrub_plantNative_Nonnative!A:B,2,FALSE),"Verificar")</f>
        <v>non</v>
      </c>
    </row>
    <row r="166" spans="2:3" x14ac:dyDescent="0.3">
      <c r="B166" s="22" t="s">
        <v>281</v>
      </c>
      <c r="C166" t="str">
        <f>IFERROR(VLOOKUP(B166,Shrub_plantNative_Nonnative!A:B,2,FALSE),"Verificar")</f>
        <v>non</v>
      </c>
    </row>
    <row r="167" spans="2:3" x14ac:dyDescent="0.3">
      <c r="B167" s="22" t="s">
        <v>282</v>
      </c>
      <c r="C167" t="s">
        <v>1062</v>
      </c>
    </row>
    <row r="168" spans="2:3" x14ac:dyDescent="0.3">
      <c r="B168" s="22" t="s">
        <v>185</v>
      </c>
      <c r="C168" t="str">
        <f>IFERROR(VLOOKUP(B168,Shrub_plantNative_Nonnative!A:B,2,FALSE),"Verificar")</f>
        <v>non</v>
      </c>
    </row>
    <row r="169" spans="2:3" x14ac:dyDescent="0.3">
      <c r="B169" s="22" t="s">
        <v>283</v>
      </c>
      <c r="C169" t="str">
        <f>IFERROR(VLOOKUP(B169,Shrub_plantNative_Nonnative!A:B,2,FALSE),"Verificar")</f>
        <v>non</v>
      </c>
    </row>
    <row r="170" spans="2:3" x14ac:dyDescent="0.3">
      <c r="B170" s="22" t="s">
        <v>284</v>
      </c>
      <c r="C170" t="str">
        <f>IFERROR(VLOOKUP(B170,Shrub_plantNative_Nonnative!A:B,2,FALSE),"Verificar")</f>
        <v>native</v>
      </c>
    </row>
    <row r="171" spans="2:3" x14ac:dyDescent="0.3">
      <c r="B171" s="22" t="s">
        <v>285</v>
      </c>
      <c r="C171" t="str">
        <f>IFERROR(VLOOKUP(B171,Shrub_plantNative_Nonnative!A:B,2,FALSE),"Verificar")</f>
        <v>non</v>
      </c>
    </row>
    <row r="172" spans="2:3" x14ac:dyDescent="0.3">
      <c r="B172" s="22" t="s">
        <v>286</v>
      </c>
      <c r="C172" t="str">
        <f>IFERROR(VLOOKUP(B172,Shrub_plantNative_Nonnative!A:B,2,FALSE),"Verificar")</f>
        <v>non</v>
      </c>
    </row>
    <row r="173" spans="2:3" x14ac:dyDescent="0.3">
      <c r="B173" s="22" t="s">
        <v>287</v>
      </c>
      <c r="C173" t="str">
        <f>IFERROR(VLOOKUP(B173,Shrub_plantNative_Nonnative!A:B,2,FALSE),"Verificar")</f>
        <v>non</v>
      </c>
    </row>
    <row r="174" spans="2:3" x14ac:dyDescent="0.3">
      <c r="B174" s="22" t="s">
        <v>288</v>
      </c>
      <c r="C174" t="str">
        <f>IFERROR(VLOOKUP(B174,Shrub_plantNative_Nonnative!A:B,2,FALSE),"Verificar")</f>
        <v>non</v>
      </c>
    </row>
    <row r="175" spans="2:3" x14ac:dyDescent="0.3">
      <c r="B175" s="22" t="s">
        <v>90</v>
      </c>
      <c r="C175" t="str">
        <f>IFERROR(VLOOKUP(B175,Shrub_plantNative_Nonnative!A:B,2,FALSE),"Verificar")</f>
        <v>non</v>
      </c>
    </row>
    <row r="176" spans="2:3" x14ac:dyDescent="0.3">
      <c r="B176" s="22" t="s">
        <v>289</v>
      </c>
      <c r="C176" t="str">
        <f>IFERROR(VLOOKUP(B176,Shrub_plantNative_Nonnative!A:B,2,FALSE),"Verificar")</f>
        <v>non</v>
      </c>
    </row>
    <row r="177" spans="2:3" x14ac:dyDescent="0.3">
      <c r="B177" s="22" t="s">
        <v>290</v>
      </c>
      <c r="C177" t="str">
        <f>IFERROR(VLOOKUP(B177,Shrub_plantNative_Nonnative!A:B,2,FALSE),"Verificar")</f>
        <v>non</v>
      </c>
    </row>
    <row r="178" spans="2:3" x14ac:dyDescent="0.3">
      <c r="B178" s="22" t="s">
        <v>291</v>
      </c>
      <c r="C178" t="str">
        <f>IFERROR(VLOOKUP(B178,Shrub_plantNative_Nonnative!A:B,2,FALSE),"Verificar")</f>
        <v>non</v>
      </c>
    </row>
    <row r="179" spans="2:3" x14ac:dyDescent="0.3">
      <c r="B179" s="22" t="s">
        <v>292</v>
      </c>
      <c r="C179" t="str">
        <f>IFERROR(VLOOKUP(B179,Shrub_plantNative_Nonnative!A:B,2,FALSE),"Verificar")</f>
        <v>non</v>
      </c>
    </row>
    <row r="180" spans="2:3" x14ac:dyDescent="0.3">
      <c r="B180" s="22" t="s">
        <v>293</v>
      </c>
      <c r="C180" t="str">
        <f>IFERROR(VLOOKUP(B180,Shrub_plantNative_Nonnative!A:B,2,FALSE),"Verificar")</f>
        <v>non</v>
      </c>
    </row>
    <row r="181" spans="2:3" x14ac:dyDescent="0.3">
      <c r="B181" s="22" t="s">
        <v>294</v>
      </c>
      <c r="C181" t="str">
        <f>IFERROR(VLOOKUP(B181,Shrub_plantNative_Nonnative!A:B,2,FALSE),"Verificar")</f>
        <v>non</v>
      </c>
    </row>
    <row r="182" spans="2:3" x14ac:dyDescent="0.3">
      <c r="B182" s="22" t="s">
        <v>295</v>
      </c>
      <c r="C182" t="s">
        <v>1062</v>
      </c>
    </row>
    <row r="183" spans="2:3" x14ac:dyDescent="0.3">
      <c r="B183" s="22" t="s">
        <v>296</v>
      </c>
      <c r="C183" t="str">
        <f>IFERROR(VLOOKUP(B183,Shrub_plantNative_Nonnative!A:B,2,FALSE),"Verificar")</f>
        <v>non</v>
      </c>
    </row>
    <row r="184" spans="2:3" x14ac:dyDescent="0.3">
      <c r="B184" s="22" t="s">
        <v>297</v>
      </c>
      <c r="C184" t="str">
        <f>IFERROR(VLOOKUP(B184,Shrub_plantNative_Nonnative!A:B,2,FALSE),"Verificar")</f>
        <v>non</v>
      </c>
    </row>
    <row r="185" spans="2:3" x14ac:dyDescent="0.3">
      <c r="B185" s="22" t="s">
        <v>298</v>
      </c>
      <c r="C185" t="str">
        <f>IFERROR(VLOOKUP(B185,Shrub_plantNative_Nonnative!A:B,2,FALSE),"Verificar")</f>
        <v>non</v>
      </c>
    </row>
    <row r="186" spans="2:3" x14ac:dyDescent="0.3">
      <c r="B186" s="22" t="s">
        <v>299</v>
      </c>
      <c r="C186" t="s">
        <v>1062</v>
      </c>
    </row>
    <row r="187" spans="2:3" x14ac:dyDescent="0.3">
      <c r="B187" s="22" t="s">
        <v>300</v>
      </c>
      <c r="C187" t="str">
        <f>IFERROR(VLOOKUP(B187,Shrub_plantNative_Nonnative!A:B,2,FALSE),"Verificar")</f>
        <v>native</v>
      </c>
    </row>
    <row r="188" spans="2:3" x14ac:dyDescent="0.3">
      <c r="B188" s="22" t="s">
        <v>104</v>
      </c>
      <c r="C188" t="str">
        <f>IFERROR(VLOOKUP(B188,Shrub_plantNative_Nonnative!A:B,2,FALSE),"Verificar")</f>
        <v>non</v>
      </c>
    </row>
    <row r="189" spans="2:3" x14ac:dyDescent="0.3">
      <c r="B189" s="22" t="s">
        <v>1757</v>
      </c>
      <c r="C189" t="str">
        <f>IFERROR(VLOOKUP(B189,Shrub_plantNative_Nonnative!A:B,2,FALSE),"Verificar")</f>
        <v>native</v>
      </c>
    </row>
    <row r="190" spans="2:3" x14ac:dyDescent="0.3">
      <c r="B190" s="22" t="s">
        <v>302</v>
      </c>
      <c r="C190" t="str">
        <f>IFERROR(VLOOKUP(B190,Shrub_plantNative_Nonnative!A:B,2,FALSE),"Verificar")</f>
        <v>non</v>
      </c>
    </row>
    <row r="191" spans="2:3" x14ac:dyDescent="0.3">
      <c r="B191" s="22" t="s">
        <v>303</v>
      </c>
      <c r="C191" t="s">
        <v>1062</v>
      </c>
    </row>
    <row r="192" spans="2:3" x14ac:dyDescent="0.3">
      <c r="B192" s="22" t="s">
        <v>304</v>
      </c>
      <c r="C192" t="str">
        <f>IFERROR(VLOOKUP(B192,Shrub_plantNative_Nonnative!A:B,2,FALSE),"Verificar")</f>
        <v>native</v>
      </c>
    </row>
    <row r="193" spans="1:5" x14ac:dyDescent="0.3">
      <c r="B193" s="22" t="s">
        <v>305</v>
      </c>
      <c r="C193" t="str">
        <f>IFERROR(VLOOKUP(B193,Shrub_plantNative_Nonnative!A:B,2,FALSE),"Verificar")</f>
        <v>non</v>
      </c>
    </row>
    <row r="194" spans="1:5" x14ac:dyDescent="0.3">
      <c r="B194" s="22" t="s">
        <v>306</v>
      </c>
      <c r="C194" t="str">
        <f>IFERROR(VLOOKUP(B194,Shrub_plantNative_Nonnative!A:B,2,FALSE),"Verificar")</f>
        <v>non</v>
      </c>
    </row>
    <row r="195" spans="1:5" x14ac:dyDescent="0.3">
      <c r="B195" s="22" t="s">
        <v>307</v>
      </c>
      <c r="C195" t="str">
        <f>IFERROR(VLOOKUP(B195,Shrub_plantNative_Nonnative!A:B,2,FALSE),"Verificar")</f>
        <v>non</v>
      </c>
    </row>
    <row r="196" spans="1:5" x14ac:dyDescent="0.3">
      <c r="B196" s="22" t="s">
        <v>308</v>
      </c>
      <c r="C196" t="str">
        <f>IFERROR(VLOOKUP(B196,Shrub_plantNative_Nonnative!A:B,2,FALSE),"Verificar")</f>
        <v>native</v>
      </c>
    </row>
    <row r="197" spans="1:5" x14ac:dyDescent="0.3">
      <c r="B197" s="22" t="s">
        <v>309</v>
      </c>
      <c r="C197" t="str">
        <f>IFERROR(VLOOKUP(B197,Shrub_plantNative_Nonnative!A:B,2,FALSE),"Verificar")</f>
        <v>native</v>
      </c>
    </row>
    <row r="198" spans="1:5" x14ac:dyDescent="0.3">
      <c r="A198" s="78" t="s">
        <v>310</v>
      </c>
      <c r="B198" s="82" t="s">
        <v>314</v>
      </c>
      <c r="C198" t="str">
        <f>IFERROR(VLOOKUP(B198,Shrub_plantNative_Nonnative!A:B,2,FALSE),"Verificar")</f>
        <v>native</v>
      </c>
      <c r="D198" s="79" t="s">
        <v>313</v>
      </c>
      <c r="E198" t="str">
        <f>IFERROR(VLOOKUP(D198,Shrub_plantNative_Nonnative!A:B,2,FALSE),"Verificar")</f>
        <v>non</v>
      </c>
    </row>
    <row r="199" spans="1:5" x14ac:dyDescent="0.3">
      <c r="A199" s="78"/>
      <c r="B199" s="82" t="s">
        <v>316</v>
      </c>
      <c r="C199" t="s">
        <v>1062</v>
      </c>
      <c r="D199" s="79" t="s">
        <v>315</v>
      </c>
      <c r="E199" t="str">
        <f>IFERROR(VLOOKUP(D199,Shrub_plantNative_Nonnative!A:B,2,FALSE),"Verificar")</f>
        <v>native</v>
      </c>
    </row>
    <row r="200" spans="1:5" x14ac:dyDescent="0.3">
      <c r="A200" s="78"/>
      <c r="B200" s="82" t="s">
        <v>318</v>
      </c>
      <c r="C200" t="str">
        <f>IFERROR(VLOOKUP(B200,Shrub_plantNative_Nonnative!A:B,2,FALSE),"Verificar")</f>
        <v>non</v>
      </c>
      <c r="D200" s="79" t="s">
        <v>317</v>
      </c>
      <c r="E200" t="s">
        <v>1063</v>
      </c>
    </row>
    <row r="201" spans="1:5" x14ac:dyDescent="0.3">
      <c r="A201" s="78"/>
      <c r="B201" s="82" t="s">
        <v>251</v>
      </c>
      <c r="C201" t="str">
        <f>IFERROR(VLOOKUP(B201,Shrub_plantNative_Nonnative!A:B,2,FALSE),"Verificar")</f>
        <v>native</v>
      </c>
      <c r="D201" s="85" t="s">
        <v>319</v>
      </c>
      <c r="E201" t="s">
        <v>1063</v>
      </c>
    </row>
    <row r="202" spans="1:5" x14ac:dyDescent="0.3">
      <c r="A202" s="78"/>
      <c r="B202" s="82" t="s">
        <v>320</v>
      </c>
      <c r="C202" t="str">
        <f>IFERROR(VLOOKUP(B202,Shrub_plantNative_Nonnative!A:B,2,FALSE),"Verificar")</f>
        <v>non</v>
      </c>
      <c r="D202" s="78"/>
    </row>
    <row r="203" spans="1:5" x14ac:dyDescent="0.3">
      <c r="A203" t="s">
        <v>321</v>
      </c>
      <c r="B203" s="22" t="s">
        <v>324</v>
      </c>
      <c r="C203" t="str">
        <f>IFERROR(VLOOKUP(B203,Shrub_plantNative_Nonnative!A:B,2,FALSE),"Verificar")</f>
        <v>non</v>
      </c>
      <c r="D203" s="14" t="s">
        <v>323</v>
      </c>
      <c r="E203" t="str">
        <f>IFERROR(VLOOKUP(D203,Shrub_plantNative_Nonnative!A:B,2,FALSE),"Verificar")</f>
        <v>non</v>
      </c>
    </row>
    <row r="204" spans="1:5" x14ac:dyDescent="0.3">
      <c r="B204" s="22" t="s">
        <v>205</v>
      </c>
      <c r="C204" t="str">
        <f>IFERROR(VLOOKUP(B204,Shrub_plantNative_Nonnative!A:B,2,FALSE),"Verificar")</f>
        <v>non</v>
      </c>
      <c r="D204" s="14" t="s">
        <v>203</v>
      </c>
      <c r="E204" t="str">
        <f>IFERROR(VLOOKUP(D204,Shrub_plantNative_Nonnative!A:B,2,FALSE),"Verificar")</f>
        <v>non</v>
      </c>
    </row>
    <row r="205" spans="1:5" x14ac:dyDescent="0.3">
      <c r="D205" s="14" t="s">
        <v>325</v>
      </c>
      <c r="E205" t="str">
        <f>IFERROR(VLOOKUP(D205,Shrub_plantNative_Nonnative!A:B,2,FALSE),"Verificar")</f>
        <v>non</v>
      </c>
    </row>
    <row r="206" spans="1:5" x14ac:dyDescent="0.3">
      <c r="A206" s="78" t="s">
        <v>326</v>
      </c>
      <c r="B206" s="82" t="s">
        <v>331</v>
      </c>
      <c r="C206" t="s">
        <v>1062</v>
      </c>
      <c r="D206" s="79" t="s">
        <v>329</v>
      </c>
      <c r="E206" t="s">
        <v>1062</v>
      </c>
    </row>
    <row r="207" spans="1:5" x14ac:dyDescent="0.3">
      <c r="A207" s="78"/>
      <c r="B207" s="82" t="s">
        <v>72</v>
      </c>
      <c r="C207" t="str">
        <f>IFERROR(VLOOKUP(B207,Shrub_plantNative_Nonnative!A:B,2,FALSE),"Verificar")</f>
        <v>native</v>
      </c>
      <c r="D207" s="79" t="s">
        <v>333</v>
      </c>
      <c r="E207" t="s">
        <v>1062</v>
      </c>
    </row>
    <row r="208" spans="1:5" x14ac:dyDescent="0.3">
      <c r="A208" s="78"/>
      <c r="B208" s="82" t="s">
        <v>335</v>
      </c>
      <c r="C208" t="str">
        <f>IFERROR(VLOOKUP(B208,Shrub_plantNative_Nonnative!A:B,2,FALSE),"Verificar")</f>
        <v>non</v>
      </c>
      <c r="D208" s="79" t="s">
        <v>49</v>
      </c>
      <c r="E208" t="str">
        <f>IFERROR(VLOOKUP(D208,Shrub_plantNative_Nonnative!A:B,2,FALSE),"Verificar")</f>
        <v>non</v>
      </c>
    </row>
    <row r="209" spans="1:5" x14ac:dyDescent="0.3">
      <c r="A209" s="78"/>
      <c r="B209" s="82" t="s">
        <v>337</v>
      </c>
      <c r="C209" t="str">
        <f>IFERROR(VLOOKUP(B209,Shrub_plantNative_Nonnative!A:B,2,FALSE),"Verificar")</f>
        <v>non</v>
      </c>
      <c r="D209" s="79" t="s">
        <v>336</v>
      </c>
      <c r="E209" t="str">
        <f>IFERROR(VLOOKUP(D209,Shrub_plantNative_Nonnative!A:B,2,FALSE),"Verificar")</f>
        <v>non</v>
      </c>
    </row>
    <row r="210" spans="1:5" x14ac:dyDescent="0.3">
      <c r="A210" s="78"/>
      <c r="B210" s="82" t="s">
        <v>339</v>
      </c>
      <c r="C210" t="str">
        <f>IFERROR(VLOOKUP(B210,Shrub_plantNative_Nonnative!A:B,2,FALSE),"Verificar")</f>
        <v>non</v>
      </c>
      <c r="D210" s="79" t="s">
        <v>338</v>
      </c>
      <c r="E210" t="s">
        <v>1062</v>
      </c>
    </row>
    <row r="211" spans="1:5" x14ac:dyDescent="0.3">
      <c r="A211" s="78"/>
      <c r="B211" s="82" t="s">
        <v>341</v>
      </c>
      <c r="C211" t="str">
        <f>IFERROR(VLOOKUP(B211,Shrub_plantNative_Nonnative!A:B,2,FALSE),"Verificar")</f>
        <v>non</v>
      </c>
      <c r="D211" s="79" t="s">
        <v>340</v>
      </c>
      <c r="E211" t="str">
        <f>IFERROR(VLOOKUP(D211,Shrub_plantNative_Nonnative!A:B,2,FALSE),"Verificar")</f>
        <v>non</v>
      </c>
    </row>
    <row r="212" spans="1:5" x14ac:dyDescent="0.3">
      <c r="A212" s="78"/>
      <c r="B212" s="82" t="s">
        <v>87</v>
      </c>
      <c r="C212" t="str">
        <f>IFERROR(VLOOKUP(B212,Shrub_plantNative_Nonnative!A:B,2,FALSE),"Verificar")</f>
        <v>non</v>
      </c>
      <c r="D212" s="79" t="s">
        <v>342</v>
      </c>
      <c r="E212" t="str">
        <f>IFERROR(VLOOKUP(D212,Shrub_plantNative_Nonnative!A:B,2,FALSE),"Verificar")</f>
        <v>native</v>
      </c>
    </row>
    <row r="213" spans="1:5" x14ac:dyDescent="0.3">
      <c r="A213" s="78"/>
      <c r="B213" s="83" t="s">
        <v>344</v>
      </c>
      <c r="C213" t="str">
        <f>IFERROR(VLOOKUP(B213,Shrub_plantNative_Nonnative!A:B,2,FALSE),"Verificar")</f>
        <v>non</v>
      </c>
      <c r="D213" s="83" t="s">
        <v>343</v>
      </c>
      <c r="E213" t="str">
        <f>IFERROR(VLOOKUP(D213,Shrub_plantNative_Nonnative!A:B,2,FALSE),"Verificar")</f>
        <v>native</v>
      </c>
    </row>
    <row r="214" spans="1:5" x14ac:dyDescent="0.3">
      <c r="A214" s="78"/>
      <c r="B214" s="83" t="s">
        <v>99</v>
      </c>
      <c r="C214" t="str">
        <f>IFERROR(VLOOKUP(B214,Shrub_plantNative_Nonnative!A:B,2,FALSE),"Verificar")</f>
        <v>non</v>
      </c>
      <c r="D214" s="83" t="s">
        <v>156</v>
      </c>
      <c r="E214" t="str">
        <f>IFERROR(VLOOKUP(D214,Shrub_plantNative_Nonnative!A:B,2,FALSE),"Verificar")</f>
        <v>non</v>
      </c>
    </row>
    <row r="215" spans="1:5" x14ac:dyDescent="0.3">
      <c r="A215" s="78"/>
      <c r="B215" s="83" t="s">
        <v>90</v>
      </c>
      <c r="C215" t="str">
        <f>IFERROR(VLOOKUP(B215,Shrub_plantNative_Nonnative!A:B,2,FALSE),"Verificar")</f>
        <v>non</v>
      </c>
      <c r="D215" s="83" t="s">
        <v>345</v>
      </c>
      <c r="E215" t="str">
        <f>IFERROR(VLOOKUP(D215,Shrub_plantNative_Nonnative!A:B,2,FALSE),"Verificar")</f>
        <v>non</v>
      </c>
    </row>
    <row r="216" spans="1:5" x14ac:dyDescent="0.3">
      <c r="A216" s="78"/>
      <c r="B216" s="83" t="s">
        <v>347</v>
      </c>
      <c r="C216" t="str">
        <f>IFERROR(VLOOKUP(B216,Shrub_plantNative_Nonnative!A:B,2,FALSE),"Verificar")</f>
        <v>non</v>
      </c>
      <c r="D216" s="83" t="s">
        <v>851</v>
      </c>
      <c r="E216" t="s">
        <v>1062</v>
      </c>
    </row>
    <row r="217" spans="1:5" x14ac:dyDescent="0.3">
      <c r="A217" s="78"/>
      <c r="B217" s="83" t="s">
        <v>172</v>
      </c>
      <c r="C217" t="str">
        <f>IFERROR(VLOOKUP(B217,Shrub_plantNative_Nonnative!A:B,2,FALSE),"Verificar")</f>
        <v>native</v>
      </c>
      <c r="D217" s="78"/>
    </row>
    <row r="218" spans="1:5" x14ac:dyDescent="0.3">
      <c r="A218" s="78"/>
      <c r="B218" s="83" t="s">
        <v>174</v>
      </c>
      <c r="C218" t="s">
        <v>1062</v>
      </c>
      <c r="D218" s="78"/>
    </row>
    <row r="219" spans="1:5" x14ac:dyDescent="0.3">
      <c r="A219" s="78"/>
      <c r="B219" s="83" t="s">
        <v>181</v>
      </c>
      <c r="C219" t="str">
        <f>IFERROR(VLOOKUP(B219,Shrub_plantNative_Nonnative!A:B,2,FALSE),"Verificar")</f>
        <v>non</v>
      </c>
      <c r="D219" s="78"/>
    </row>
    <row r="220" spans="1:5" x14ac:dyDescent="0.3">
      <c r="A220" s="78"/>
      <c r="B220" s="83" t="s">
        <v>348</v>
      </c>
      <c r="C220" t="str">
        <f>IFERROR(VLOOKUP(B220,Shrub_plantNative_Nonnative!A:B,2,FALSE),"Verificar")</f>
        <v>non</v>
      </c>
      <c r="D220" s="78"/>
    </row>
    <row r="221" spans="1:5" x14ac:dyDescent="0.3">
      <c r="A221" s="78"/>
      <c r="B221" s="83" t="s">
        <v>349</v>
      </c>
      <c r="C221" t="str">
        <f>IFERROR(VLOOKUP(B221,Shrub_plantNative_Nonnative!A:B,2,FALSE),"Verificar")</f>
        <v>non</v>
      </c>
      <c r="D221" s="78"/>
    </row>
    <row r="222" spans="1:5" x14ac:dyDescent="0.3">
      <c r="A222" s="78"/>
      <c r="B222" s="83" t="s">
        <v>350</v>
      </c>
      <c r="C222" t="str">
        <f>IFERROR(VLOOKUP(B222,Shrub_plantNative_Nonnative!A:B,2,FALSE),"Verificar")</f>
        <v>non</v>
      </c>
      <c r="D222" s="78"/>
    </row>
    <row r="223" spans="1:5" x14ac:dyDescent="0.3">
      <c r="A223" s="78"/>
      <c r="B223" s="83" t="s">
        <v>263</v>
      </c>
      <c r="C223" t="str">
        <f>IFERROR(VLOOKUP(B223,Shrub_plantNative_Nonnative!A:B,2,FALSE),"Verificar")</f>
        <v>non</v>
      </c>
      <c r="D223" s="78"/>
    </row>
    <row r="224" spans="1:5" x14ac:dyDescent="0.3">
      <c r="A224" s="78"/>
      <c r="B224" s="83" t="s">
        <v>351</v>
      </c>
      <c r="C224" t="s">
        <v>1062</v>
      </c>
      <c r="D224" s="78"/>
    </row>
    <row r="225" spans="1:4" x14ac:dyDescent="0.3">
      <c r="A225" s="78"/>
      <c r="B225" s="83" t="s">
        <v>352</v>
      </c>
      <c r="C225" t="str">
        <f>IFERROR(VLOOKUP(B225,Shrub_plantNative_Nonnative!A:B,2,FALSE),"Verificar")</f>
        <v>non</v>
      </c>
      <c r="D225" s="78"/>
    </row>
    <row r="226" spans="1:4" x14ac:dyDescent="0.3">
      <c r="A226" s="78"/>
      <c r="B226" s="83" t="s">
        <v>353</v>
      </c>
      <c r="C226" t="str">
        <f>IFERROR(VLOOKUP(B226,Shrub_plantNative_Nonnative!A:B,2,FALSE),"Verificar")</f>
        <v>non</v>
      </c>
      <c r="D226" s="78"/>
    </row>
    <row r="227" spans="1:4" x14ac:dyDescent="0.3">
      <c r="A227" s="78"/>
      <c r="B227" s="83" t="s">
        <v>354</v>
      </c>
      <c r="C227" t="str">
        <f>IFERROR(VLOOKUP(B227,Shrub_plantNative_Nonnative!A:B,2,FALSE),"Verificar")</f>
        <v>non</v>
      </c>
      <c r="D227" s="78"/>
    </row>
    <row r="228" spans="1:4" x14ac:dyDescent="0.3">
      <c r="A228" s="78"/>
      <c r="B228" s="83" t="s">
        <v>355</v>
      </c>
      <c r="C228" t="s">
        <v>1062</v>
      </c>
      <c r="D228" s="78"/>
    </row>
    <row r="229" spans="1:4" x14ac:dyDescent="0.3">
      <c r="A229" s="78"/>
      <c r="B229" s="83" t="s">
        <v>148</v>
      </c>
      <c r="C229" t="str">
        <f>IFERROR(VLOOKUP(B229,Shrub_plantNative_Nonnative!A:B,2,FALSE),"Verificar")</f>
        <v>non</v>
      </c>
      <c r="D229" s="78"/>
    </row>
    <row r="230" spans="1:4" x14ac:dyDescent="0.3">
      <c r="A230" s="78"/>
      <c r="B230" s="83" t="s">
        <v>222</v>
      </c>
      <c r="C230" t="str">
        <f>IFERROR(VLOOKUP(B230,Shrub_plantNative_Nonnative!A:B,2,FALSE),"Verificar")</f>
        <v>non</v>
      </c>
      <c r="D230" s="78"/>
    </row>
    <row r="231" spans="1:4" x14ac:dyDescent="0.3">
      <c r="A231" s="78"/>
      <c r="B231" s="83" t="s">
        <v>356</v>
      </c>
      <c r="C231" t="str">
        <f>IFERROR(VLOOKUP(B231,Shrub_plantNative_Nonnative!A:B,2,FALSE),"Verificar")</f>
        <v>non</v>
      </c>
      <c r="D231" s="78"/>
    </row>
    <row r="232" spans="1:4" x14ac:dyDescent="0.3">
      <c r="A232" s="78"/>
      <c r="B232" s="83" t="s">
        <v>357</v>
      </c>
      <c r="C232" t="str">
        <f>IFERROR(VLOOKUP(B232,Shrub_plantNative_Nonnative!A:B,2,FALSE),"Verificar")</f>
        <v>non</v>
      </c>
      <c r="D232" s="78"/>
    </row>
    <row r="233" spans="1:4" x14ac:dyDescent="0.3">
      <c r="A233" s="78"/>
      <c r="B233" s="83" t="s">
        <v>358</v>
      </c>
      <c r="C233" t="str">
        <f>IFERROR(VLOOKUP(B233,Shrub_plantNative_Nonnative!A:B,2,FALSE),"Verificar")</f>
        <v>non</v>
      </c>
      <c r="D233" s="78"/>
    </row>
    <row r="234" spans="1:4" x14ac:dyDescent="0.3">
      <c r="A234" s="78"/>
      <c r="B234" s="83" t="s">
        <v>359</v>
      </c>
      <c r="C234" t="str">
        <f>IFERROR(VLOOKUP(B234,Shrub_plantNative_Nonnative!A:B,2,FALSE),"Verificar")</f>
        <v>non</v>
      </c>
      <c r="D234" s="78"/>
    </row>
    <row r="235" spans="1:4" x14ac:dyDescent="0.3">
      <c r="A235" s="78"/>
      <c r="B235" s="83" t="s">
        <v>360</v>
      </c>
      <c r="C235" t="str">
        <f>IFERROR(VLOOKUP(B235,Shrub_plantNative_Nonnative!A:B,2,FALSE),"Verificar")</f>
        <v>native</v>
      </c>
      <c r="D235" s="78"/>
    </row>
    <row r="236" spans="1:4" x14ac:dyDescent="0.3">
      <c r="A236" s="78"/>
      <c r="B236" s="83" t="s">
        <v>1758</v>
      </c>
      <c r="C236" t="s">
        <v>1062</v>
      </c>
      <c r="D236" s="78"/>
    </row>
    <row r="237" spans="1:4" x14ac:dyDescent="0.3">
      <c r="A237" s="78"/>
      <c r="B237" s="83" t="s">
        <v>362</v>
      </c>
      <c r="C237" t="s">
        <v>1063</v>
      </c>
      <c r="D237" s="78"/>
    </row>
    <row r="238" spans="1:4" x14ac:dyDescent="0.3">
      <c r="A238" s="78"/>
      <c r="B238" s="83" t="s">
        <v>226</v>
      </c>
      <c r="C238" t="str">
        <f>IFERROR(VLOOKUP(B238,Shrub_plantNative_Nonnative!A:B,2,FALSE),"Verificar")</f>
        <v>non</v>
      </c>
      <c r="D238" s="78"/>
    </row>
    <row r="239" spans="1:4" x14ac:dyDescent="0.3">
      <c r="A239" s="78"/>
      <c r="B239" s="83" t="s">
        <v>363</v>
      </c>
      <c r="C239" t="str">
        <f>IFERROR(VLOOKUP(B239,Shrub_plantNative_Nonnative!A:B,2,FALSE),"Verificar")</f>
        <v>non</v>
      </c>
      <c r="D239" s="78"/>
    </row>
    <row r="240" spans="1:4" x14ac:dyDescent="0.3">
      <c r="A240" s="78"/>
      <c r="B240" s="83" t="s">
        <v>364</v>
      </c>
      <c r="C240" t="str">
        <f>IFERROR(VLOOKUP(B240,Shrub_plantNative_Nonnative!A:B,2,FALSE),"Verificar")</f>
        <v>non</v>
      </c>
      <c r="D240" s="78"/>
    </row>
    <row r="241" spans="1:5" x14ac:dyDescent="0.3">
      <c r="A241" s="78"/>
      <c r="B241" s="83" t="s">
        <v>365</v>
      </c>
      <c r="C241" t="s">
        <v>1062</v>
      </c>
      <c r="D241" s="78"/>
    </row>
    <row r="242" spans="1:5" x14ac:dyDescent="0.3">
      <c r="A242" s="78"/>
      <c r="B242" s="83" t="s">
        <v>287</v>
      </c>
      <c r="C242" t="str">
        <f>IFERROR(VLOOKUP(B242,Shrub_plantNative_Nonnative!A:B,2,FALSE),"Verificar")</f>
        <v>non</v>
      </c>
      <c r="D242" s="78"/>
    </row>
    <row r="243" spans="1:5" x14ac:dyDescent="0.3">
      <c r="A243" s="78"/>
      <c r="B243" s="83" t="s">
        <v>366</v>
      </c>
      <c r="C243" t="str">
        <f>IFERROR(VLOOKUP(B243,Shrub_plantNative_Nonnative!A:B,2,FALSE),"Verificar")</f>
        <v>non</v>
      </c>
      <c r="D243" s="78"/>
    </row>
    <row r="244" spans="1:5" x14ac:dyDescent="0.3">
      <c r="A244" s="78"/>
      <c r="B244" s="83" t="s">
        <v>76</v>
      </c>
      <c r="C244" t="str">
        <f>IFERROR(VLOOKUP(B244,Shrub_plantNative_Nonnative!A:B,2,FALSE),"Verificar")</f>
        <v>non</v>
      </c>
      <c r="D244" s="78"/>
    </row>
    <row r="245" spans="1:5" x14ac:dyDescent="0.3">
      <c r="A245" s="78"/>
      <c r="B245" s="83" t="s">
        <v>367</v>
      </c>
      <c r="C245" t="str">
        <f>IFERROR(VLOOKUP(B245,Shrub_plantNative_Nonnative!A:B,2,FALSE),"Verificar")</f>
        <v>native</v>
      </c>
      <c r="D245" s="78"/>
    </row>
    <row r="246" spans="1:5" x14ac:dyDescent="0.3">
      <c r="A246" s="78"/>
      <c r="B246" s="83" t="s">
        <v>368</v>
      </c>
      <c r="C246" t="str">
        <f>IFERROR(VLOOKUP(B246,Shrub_plantNative_Nonnative!A:B,2,FALSE),"Verificar")</f>
        <v>native</v>
      </c>
      <c r="D246" s="78"/>
    </row>
    <row r="247" spans="1:5" x14ac:dyDescent="0.3">
      <c r="A247" t="s">
        <v>369</v>
      </c>
      <c r="B247" s="22" t="s">
        <v>90</v>
      </c>
      <c r="C247" t="str">
        <f>IFERROR(VLOOKUP(B247,Shrub_plantNative_Nonnative!A:B,2,FALSE),"Verificar")</f>
        <v>non</v>
      </c>
      <c r="D247" s="14" t="s">
        <v>160</v>
      </c>
      <c r="E247" t="str">
        <f>IFERROR(VLOOKUP(D247,Shrub_plantNative_Nonnative!A:B,2,FALSE),"Verificar")</f>
        <v>non</v>
      </c>
    </row>
    <row r="248" spans="1:5" x14ac:dyDescent="0.3">
      <c r="B248" s="22" t="s">
        <v>148</v>
      </c>
      <c r="C248" t="str">
        <f>IFERROR(VLOOKUP(B248,Shrub_plantNative_Nonnative!A:B,2,FALSE),"Verificar")</f>
        <v>non</v>
      </c>
      <c r="D248" s="14" t="s">
        <v>372</v>
      </c>
      <c r="E248" t="s">
        <v>1063</v>
      </c>
    </row>
    <row r="249" spans="1:5" x14ac:dyDescent="0.3">
      <c r="B249" s="22" t="s">
        <v>78</v>
      </c>
      <c r="C249" t="str">
        <f>IFERROR(VLOOKUP(B249,Shrub_plantNative_Nonnative!A:B,2,FALSE),"Verificar")</f>
        <v>non</v>
      </c>
      <c r="D249" s="14" t="s">
        <v>209</v>
      </c>
      <c r="E249" t="str">
        <f>IFERROR(VLOOKUP(D249,Shrub_plantNative_Nonnative!A:B,2,FALSE),"Verificar")</f>
        <v>native</v>
      </c>
    </row>
    <row r="250" spans="1:5" x14ac:dyDescent="0.3">
      <c r="B250" s="22" t="s">
        <v>373</v>
      </c>
      <c r="C250" t="str">
        <f>IFERROR(VLOOKUP(B250,Shrub_plantNative_Nonnative!A:B,2,FALSE),"Verificar")</f>
        <v>native</v>
      </c>
      <c r="D250" s="14" t="s">
        <v>199</v>
      </c>
      <c r="E250" t="str">
        <f>IFERROR(VLOOKUP(D250,Shrub_plantNative_Nonnative!A:B,2,FALSE),"Verificar")</f>
        <v>native</v>
      </c>
    </row>
    <row r="251" spans="1:5" x14ac:dyDescent="0.3">
      <c r="B251" s="22" t="s">
        <v>374</v>
      </c>
      <c r="C251" t="str">
        <f>IFERROR(VLOOKUP(B251,Shrub_plantNative_Nonnative!A:B,2,FALSE),"Verificar")</f>
        <v>non</v>
      </c>
    </row>
    <row r="252" spans="1:5" x14ac:dyDescent="0.3">
      <c r="B252" s="22" t="s">
        <v>222</v>
      </c>
      <c r="C252" t="str">
        <f>IFERROR(VLOOKUP(B252,Shrub_plantNative_Nonnative!A:B,2,FALSE),"Verificar")</f>
        <v>non</v>
      </c>
    </row>
    <row r="253" spans="1:5" x14ac:dyDescent="0.3">
      <c r="A253" s="78" t="s">
        <v>375</v>
      </c>
      <c r="B253" s="86" t="s">
        <v>378</v>
      </c>
      <c r="C253" t="str">
        <f>IFERROR(VLOOKUP(B253,Shrub_plantNative_Nonnative!A:B,2,FALSE),"Verificar")</f>
        <v>non</v>
      </c>
      <c r="D253" s="87" t="s">
        <v>160</v>
      </c>
      <c r="E253" t="str">
        <f>IFERROR(VLOOKUP(D253,Shrub_plantNative_Nonnative!A:B,2,FALSE),"Verificar")</f>
        <v>non</v>
      </c>
    </row>
    <row r="254" spans="1:5" x14ac:dyDescent="0.3">
      <c r="A254" s="78"/>
      <c r="B254" s="86" t="s">
        <v>205</v>
      </c>
      <c r="C254" t="str">
        <f>IFERROR(VLOOKUP(B254,Shrub_plantNative_Nonnative!A:B,2,FALSE),"Verificar")</f>
        <v>non</v>
      </c>
      <c r="D254" s="87" t="s">
        <v>203</v>
      </c>
      <c r="E254" t="str">
        <f>IFERROR(VLOOKUP(D254,Shrub_plantNative_Nonnative!A:B,2,FALSE),"Verificar")</f>
        <v>non</v>
      </c>
    </row>
    <row r="255" spans="1:5" x14ac:dyDescent="0.3">
      <c r="A255" s="78"/>
      <c r="B255" s="86" t="s">
        <v>380</v>
      </c>
      <c r="C255" t="str">
        <f>IFERROR(VLOOKUP(B255,Shrub_plantNative_Nonnative!A:B,2,FALSE),"Verificar")</f>
        <v>non</v>
      </c>
      <c r="D255" s="88" t="s">
        <v>379</v>
      </c>
      <c r="E255" t="str">
        <f>IFERROR(VLOOKUP(D255,Shrub_plantNative_Nonnative!A:B,2,FALSE),"Verificar")</f>
        <v>non</v>
      </c>
    </row>
    <row r="256" spans="1:5" x14ac:dyDescent="0.3">
      <c r="A256" s="78"/>
      <c r="B256" s="86" t="s">
        <v>72</v>
      </c>
      <c r="C256" t="str">
        <f>IFERROR(VLOOKUP(B256,Shrub_plantNative_Nonnative!A:B,2,FALSE),"Verificar")</f>
        <v>native</v>
      </c>
      <c r="D256" s="87" t="s">
        <v>381</v>
      </c>
      <c r="E256" t="str">
        <f>IFERROR(VLOOKUP(D256,Shrub_plantNative_Nonnative!A:B,2,FALSE),"Verificar")</f>
        <v>non</v>
      </c>
    </row>
    <row r="257" spans="1:5" x14ac:dyDescent="0.3">
      <c r="A257" s="78"/>
      <c r="B257" s="86" t="s">
        <v>383</v>
      </c>
      <c r="C257" t="str">
        <f>IFERROR(VLOOKUP(B257,Shrub_plantNative_Nonnative!A:B,2,FALSE),"Verificar")</f>
        <v>non</v>
      </c>
      <c r="D257" s="87" t="s">
        <v>382</v>
      </c>
      <c r="E257" t="str">
        <f>IFERROR(VLOOKUP(D257,Shrub_plantNative_Nonnative!A:B,2,FALSE),"Verificar")</f>
        <v>non</v>
      </c>
    </row>
    <row r="258" spans="1:5" x14ac:dyDescent="0.3">
      <c r="A258" s="78"/>
      <c r="B258" s="86" t="s">
        <v>268</v>
      </c>
      <c r="C258" t="str">
        <f>IFERROR(VLOOKUP(B258,Shrub_plantNative_Nonnative!A:B,2,FALSE),"Verificar")</f>
        <v>non</v>
      </c>
      <c r="D258" s="78"/>
    </row>
    <row r="259" spans="1:5" x14ac:dyDescent="0.3">
      <c r="A259" s="78"/>
      <c r="B259" s="86" t="s">
        <v>384</v>
      </c>
      <c r="C259" t="str">
        <f>IFERROR(VLOOKUP(B259,Shrub_plantNative_Nonnative!A:B,2,FALSE),"Verificar")</f>
        <v>non</v>
      </c>
      <c r="D259" s="78"/>
    </row>
    <row r="260" spans="1:5" x14ac:dyDescent="0.3">
      <c r="A260" s="78"/>
      <c r="B260" s="86" t="s">
        <v>263</v>
      </c>
      <c r="C260" t="str">
        <f>IFERROR(VLOOKUP(B260,Shrub_plantNative_Nonnative!A:B,2,FALSE),"Verificar")</f>
        <v>non</v>
      </c>
      <c r="D260" s="78"/>
    </row>
    <row r="261" spans="1:5" x14ac:dyDescent="0.3">
      <c r="A261" t="s">
        <v>385</v>
      </c>
      <c r="B261" s="32" t="s">
        <v>263</v>
      </c>
      <c r="C261" t="str">
        <f>IFERROR(VLOOKUP(B261,Shrub_plantNative_Nonnative!A:B,2,FALSE),"Verificar")</f>
        <v>non</v>
      </c>
      <c r="D261" s="25" t="s">
        <v>416</v>
      </c>
      <c r="E261" t="str">
        <f>IFERROR(VLOOKUP(D261,Shrub_plantNative_Nonnative!A:B,2,FALSE),"Verificar")</f>
        <v>non</v>
      </c>
    </row>
    <row r="262" spans="1:5" x14ac:dyDescent="0.3">
      <c r="B262" s="32" t="s">
        <v>389</v>
      </c>
      <c r="C262" t="str">
        <f>IFERROR(VLOOKUP(B262,Shrub_plantNative_Nonnative!A:B,2,FALSE),"Verificar")</f>
        <v>non</v>
      </c>
      <c r="D262" s="25" t="s">
        <v>108</v>
      </c>
      <c r="E262" t="str">
        <f>IFERROR(VLOOKUP(D262,Shrub_plantNative_Nonnative!A:B,2,FALSE),"Verificar")</f>
        <v>native</v>
      </c>
    </row>
    <row r="263" spans="1:5" x14ac:dyDescent="0.3">
      <c r="B263" s="32" t="s">
        <v>99</v>
      </c>
      <c r="C263" t="str">
        <f>IFERROR(VLOOKUP(B263,Shrub_plantNative_Nonnative!A:B,2,FALSE),"Verificar")</f>
        <v>non</v>
      </c>
      <c r="D263" s="25" t="s">
        <v>390</v>
      </c>
      <c r="E263" t="str">
        <f>IFERROR(VLOOKUP(D263,Shrub_plantNative_Nonnative!A:B,2,FALSE),"Verificar")</f>
        <v>non</v>
      </c>
    </row>
    <row r="264" spans="1:5" x14ac:dyDescent="0.3">
      <c r="B264" s="32" t="s">
        <v>226</v>
      </c>
      <c r="C264" t="str">
        <f>IFERROR(VLOOKUP(B264,Shrub_plantNative_Nonnative!A:B,2,FALSE),"Verificar")</f>
        <v>non</v>
      </c>
      <c r="D264" s="25" t="s">
        <v>216</v>
      </c>
      <c r="E264" t="str">
        <f>IFERROR(VLOOKUP(D264,Shrub_plantNative_Nonnative!A:B,2,FALSE),"Verificar")</f>
        <v>native</v>
      </c>
    </row>
    <row r="265" spans="1:5" x14ac:dyDescent="0.3">
      <c r="B265" s="32" t="s">
        <v>72</v>
      </c>
      <c r="C265" t="str">
        <f>IFERROR(VLOOKUP(B265,Shrub_plantNative_Nonnative!A:B,2,FALSE),"Verificar")</f>
        <v>native</v>
      </c>
      <c r="D265" s="25" t="s">
        <v>1760</v>
      </c>
      <c r="E265" t="str">
        <f>IFERROR(VLOOKUP(D265,Shrub_plantNative_Nonnative!A:B,2,FALSE),"Verificar")</f>
        <v>non</v>
      </c>
    </row>
    <row r="266" spans="1:5" x14ac:dyDescent="0.3">
      <c r="B266" s="32" t="s">
        <v>380</v>
      </c>
      <c r="C266" t="str">
        <f>IFERROR(VLOOKUP(B266,Shrub_plantNative_Nonnative!A:B,2,FALSE),"Verificar")</f>
        <v>non</v>
      </c>
      <c r="D266" s="25" t="s">
        <v>212</v>
      </c>
      <c r="E266" t="str">
        <f>IFERROR(VLOOKUP(D266,Shrub_plantNative_Nonnative!A:B,2,FALSE),"Verificar")</f>
        <v>non</v>
      </c>
    </row>
    <row r="267" spans="1:5" x14ac:dyDescent="0.3">
      <c r="B267" s="32" t="s">
        <v>86</v>
      </c>
      <c r="C267" t="str">
        <f>IFERROR(VLOOKUP(B267,Shrub_plantNative_Nonnative!A:B,2,FALSE),"Verificar")</f>
        <v>non</v>
      </c>
      <c r="D267" s="25" t="s">
        <v>392</v>
      </c>
      <c r="E267" t="str">
        <f>IFERROR(VLOOKUP(D267,Shrub_plantNative_Nonnative!A:B,2,FALSE),"Verificar")</f>
        <v>non</v>
      </c>
    </row>
    <row r="268" spans="1:5" x14ac:dyDescent="0.3">
      <c r="B268" s="32" t="s">
        <v>320</v>
      </c>
      <c r="C268" t="str">
        <f>IFERROR(VLOOKUP(B268,Shrub_plantNative_Nonnative!A:B,2,FALSE),"Verificar")</f>
        <v>non</v>
      </c>
      <c r="D268" s="25" t="s">
        <v>313</v>
      </c>
      <c r="E268" t="str">
        <f>IFERROR(VLOOKUP(D268,Shrub_plantNative_Nonnative!A:B,2,FALSE),"Verificar")</f>
        <v>non</v>
      </c>
    </row>
    <row r="269" spans="1:5" x14ac:dyDescent="0.3">
      <c r="B269" s="32" t="s">
        <v>77</v>
      </c>
      <c r="C269" t="str">
        <f>IFERROR(VLOOKUP(B269,Shrub_plantNative_Nonnative!A:B,2,FALSE),"Verificar")</f>
        <v>non</v>
      </c>
    </row>
    <row r="270" spans="1:5" x14ac:dyDescent="0.3">
      <c r="B270" s="32" t="s">
        <v>393</v>
      </c>
      <c r="C270" t="str">
        <f>IFERROR(VLOOKUP(B270,Shrub_plantNative_Nonnative!A:B,2,FALSE),"Verificar")</f>
        <v>native</v>
      </c>
    </row>
    <row r="271" spans="1:5" x14ac:dyDescent="0.3">
      <c r="B271" s="32" t="s">
        <v>251</v>
      </c>
      <c r="C271" t="str">
        <f>IFERROR(VLOOKUP(B271,Shrub_plantNative_Nonnative!A:B,2,FALSE),"Verificar")</f>
        <v>native</v>
      </c>
    </row>
    <row r="272" spans="1:5" x14ac:dyDescent="0.3">
      <c r="B272" s="32" t="s">
        <v>1761</v>
      </c>
      <c r="C272" t="str">
        <f>IFERROR(VLOOKUP(B272,Shrub_plantNative_Nonnative!A:B,2,FALSE),"Verificar")</f>
        <v>non</v>
      </c>
    </row>
    <row r="273" spans="2:3" x14ac:dyDescent="0.3">
      <c r="B273" s="32" t="s">
        <v>150</v>
      </c>
      <c r="C273" t="str">
        <f>IFERROR(VLOOKUP(B273,Shrub_plantNative_Nonnative!A:B,2,FALSE),"Verificar")</f>
        <v>non</v>
      </c>
    </row>
    <row r="274" spans="2:3" x14ac:dyDescent="0.3">
      <c r="B274" s="32" t="s">
        <v>395</v>
      </c>
      <c r="C274" t="str">
        <f>IFERROR(VLOOKUP(B274,Shrub_plantNative_Nonnative!A:B,2,FALSE),"Verificar")</f>
        <v>non</v>
      </c>
    </row>
    <row r="275" spans="2:3" x14ac:dyDescent="0.3">
      <c r="B275" s="25" t="s">
        <v>82</v>
      </c>
      <c r="C275" t="str">
        <f>IFERROR(VLOOKUP(B275,Shrub_plantNative_Nonnative!A:B,2,FALSE),"Verificar")</f>
        <v>non</v>
      </c>
    </row>
    <row r="276" spans="2:3" x14ac:dyDescent="0.3">
      <c r="B276" s="25" t="s">
        <v>396</v>
      </c>
      <c r="C276" t="str">
        <f>IFERROR(VLOOKUP(B276,Shrub_plantNative_Nonnative!A:B,2,FALSE),"Verificar")</f>
        <v>non</v>
      </c>
    </row>
    <row r="277" spans="2:3" x14ac:dyDescent="0.3">
      <c r="B277" s="25" t="s">
        <v>287</v>
      </c>
      <c r="C277" t="str">
        <f>IFERROR(VLOOKUP(B277,Shrub_plantNative_Nonnative!A:B,2,FALSE),"Verificar")</f>
        <v>non</v>
      </c>
    </row>
    <row r="278" spans="2:3" x14ac:dyDescent="0.3">
      <c r="B278" s="25" t="s">
        <v>256</v>
      </c>
      <c r="C278" t="str">
        <f>IFERROR(VLOOKUP(B278,Shrub_plantNative_Nonnative!A:B,2,FALSE),"Verificar")</f>
        <v>native</v>
      </c>
    </row>
    <row r="279" spans="2:3" x14ac:dyDescent="0.3">
      <c r="B279" s="25" t="s">
        <v>397</v>
      </c>
      <c r="C279" t="str">
        <f>IFERROR(VLOOKUP(B279,Shrub_plantNative_Nonnative!A:B,2,FALSE),"Verificar")</f>
        <v>non</v>
      </c>
    </row>
    <row r="280" spans="2:3" x14ac:dyDescent="0.3">
      <c r="B280" s="25" t="s">
        <v>224</v>
      </c>
      <c r="C280" t="str">
        <f>IFERROR(VLOOKUP(B280,Shrub_plantNative_Nonnative!A:B,2,FALSE),"Verificar")</f>
        <v>non</v>
      </c>
    </row>
    <row r="281" spans="2:3" x14ac:dyDescent="0.3">
      <c r="B281" s="25" t="s">
        <v>90</v>
      </c>
      <c r="C281" t="str">
        <f>IFERROR(VLOOKUP(B281,Shrub_plantNative_Nonnative!A:B,2,FALSE),"Verificar")</f>
        <v>non</v>
      </c>
    </row>
    <row r="282" spans="2:3" x14ac:dyDescent="0.3">
      <c r="B282" s="25" t="s">
        <v>162</v>
      </c>
      <c r="C282" t="str">
        <f>IFERROR(VLOOKUP(B282,Shrub_plantNative_Nonnative!A:B,2,FALSE),"Verificar")</f>
        <v>non</v>
      </c>
    </row>
    <row r="283" spans="2:3" x14ac:dyDescent="0.3">
      <c r="B283" s="25" t="s">
        <v>210</v>
      </c>
      <c r="C283" t="str">
        <f>IFERROR(VLOOKUP(B283,Shrub_plantNative_Nonnative!A:B,2,FALSE),"Verificar")</f>
        <v>non</v>
      </c>
    </row>
    <row r="284" spans="2:3" x14ac:dyDescent="0.3">
      <c r="B284" s="25" t="s">
        <v>105</v>
      </c>
      <c r="C284" t="str">
        <f>IFERROR(VLOOKUP(B284,Shrub_plantNative_Nonnative!A:B,2,FALSE),"Verificar")</f>
        <v>non</v>
      </c>
    </row>
    <row r="285" spans="2:3" x14ac:dyDescent="0.3">
      <c r="B285" s="25" t="s">
        <v>398</v>
      </c>
      <c r="C285" t="str">
        <f>IFERROR(VLOOKUP(B285,Shrub_plantNative_Nonnative!A:B,2,FALSE),"Verificar")</f>
        <v>non</v>
      </c>
    </row>
    <row r="286" spans="2:3" x14ac:dyDescent="0.3">
      <c r="B286" s="25" t="s">
        <v>399</v>
      </c>
      <c r="C286" t="s">
        <v>1062</v>
      </c>
    </row>
    <row r="287" spans="2:3" x14ac:dyDescent="0.3">
      <c r="B287" s="25" t="s">
        <v>266</v>
      </c>
      <c r="C287" t="str">
        <f>IFERROR(VLOOKUP(B287,Shrub_plantNative_Nonnative!A:B,2,FALSE),"Verificar")</f>
        <v>native</v>
      </c>
    </row>
    <row r="288" spans="2:3" x14ac:dyDescent="0.3">
      <c r="B288" s="25" t="s">
        <v>401</v>
      </c>
      <c r="C288" t="str">
        <f>IFERROR(VLOOKUP(B288,Shrub_plantNative_Nonnative!A:B,2,FALSE),"Verificar")</f>
        <v>non</v>
      </c>
    </row>
    <row r="289" spans="1:5" x14ac:dyDescent="0.3">
      <c r="B289" s="25" t="s">
        <v>402</v>
      </c>
      <c r="C289" t="str">
        <f>IFERROR(VLOOKUP(B289,Shrub_plantNative_Nonnative!A:B,2,FALSE),"Verificar")</f>
        <v>native</v>
      </c>
    </row>
    <row r="290" spans="1:5" x14ac:dyDescent="0.3">
      <c r="B290" s="25" t="s">
        <v>1732</v>
      </c>
      <c r="C290" t="str">
        <f>IFERROR(VLOOKUP(B290,Shrub_plantNative_Nonnative!A:B,2,FALSE),"Verificar")</f>
        <v>non</v>
      </c>
    </row>
    <row r="291" spans="1:5" x14ac:dyDescent="0.3">
      <c r="A291" s="78" t="s">
        <v>404</v>
      </c>
      <c r="B291" s="86" t="s">
        <v>72</v>
      </c>
      <c r="C291" t="str">
        <f>IFERROR(VLOOKUP(B291,Shrub_plantNative_Nonnative!A:B,2,FALSE),"Verificar")</f>
        <v>native</v>
      </c>
      <c r="D291" s="87" t="s">
        <v>108</v>
      </c>
      <c r="E291" t="str">
        <f>IFERROR(VLOOKUP(D291,Shrub_plantNative_Nonnative!A:B,2,FALSE),"Verificar")</f>
        <v>native</v>
      </c>
    </row>
    <row r="292" spans="1:5" x14ac:dyDescent="0.3">
      <c r="A292" s="78"/>
      <c r="B292" s="86" t="s">
        <v>566</v>
      </c>
      <c r="C292" t="str">
        <f>IFERROR(VLOOKUP(B292,Shrub_plantNative_Nonnative!A:B,2,FALSE),"Verificar")</f>
        <v>non</v>
      </c>
      <c r="D292" s="87" t="s">
        <v>406</v>
      </c>
      <c r="E292" t="str">
        <f>IFERROR(VLOOKUP(D292,Shrub_plantNative_Nonnative!A:B,2,FALSE),"Verificar")</f>
        <v>non</v>
      </c>
    </row>
    <row r="293" spans="1:5" x14ac:dyDescent="0.3">
      <c r="A293" s="78"/>
      <c r="B293" s="86" t="s">
        <v>393</v>
      </c>
      <c r="C293" t="str">
        <f>IFERROR(VLOOKUP(B293,Shrub_plantNative_Nonnative!A:B,2,FALSE),"Verificar")</f>
        <v>native</v>
      </c>
      <c r="D293" s="87" t="s">
        <v>58</v>
      </c>
      <c r="E293" t="str">
        <f>IFERROR(VLOOKUP(D293,Shrub_plantNative_Nonnative!A:B,2,FALSE),"Verificar")</f>
        <v>non</v>
      </c>
    </row>
    <row r="294" spans="1:5" x14ac:dyDescent="0.3">
      <c r="A294" s="78"/>
      <c r="B294" s="86" t="s">
        <v>148</v>
      </c>
      <c r="C294" t="str">
        <f>IFERROR(VLOOKUP(B294,Shrub_plantNative_Nonnative!A:B,2,FALSE),"Verificar")</f>
        <v>non</v>
      </c>
      <c r="D294" s="87" t="s">
        <v>408</v>
      </c>
      <c r="E294" t="str">
        <f>IFERROR(VLOOKUP(D294,Shrub_plantNative_Nonnative!A:B,2,FALSE),"Verificar")</f>
        <v>non</v>
      </c>
    </row>
    <row r="295" spans="1:5" x14ac:dyDescent="0.3">
      <c r="A295" s="78"/>
      <c r="B295" s="86" t="s">
        <v>162</v>
      </c>
      <c r="C295" t="str">
        <f>IFERROR(VLOOKUP(B295,Shrub_plantNative_Nonnative!A:B,2,FALSE),"Verificar")</f>
        <v>non</v>
      </c>
      <c r="D295" s="87" t="s">
        <v>410</v>
      </c>
      <c r="E295" t="str">
        <f>IFERROR(VLOOKUP(D295,Shrub_plantNative_Nonnative!A:B,2,FALSE),"Verificar")</f>
        <v>non</v>
      </c>
    </row>
    <row r="296" spans="1:5" x14ac:dyDescent="0.3">
      <c r="A296" s="78"/>
      <c r="B296" s="86" t="s">
        <v>320</v>
      </c>
      <c r="C296" t="str">
        <f>IFERROR(VLOOKUP(B296,Shrub_plantNative_Nonnative!A:B,2,FALSE),"Verificar")</f>
        <v>non</v>
      </c>
      <c r="D296" s="87" t="s">
        <v>1718</v>
      </c>
      <c r="E296" t="str">
        <f>IFERROR(VLOOKUP(D296,Shrub_plantNative_Nonnative!A:B,2,FALSE),"Verificar")</f>
        <v>native</v>
      </c>
    </row>
    <row r="297" spans="1:5" x14ac:dyDescent="0.3">
      <c r="A297" t="s">
        <v>412</v>
      </c>
      <c r="B297" s="25" t="s">
        <v>148</v>
      </c>
      <c r="C297" t="str">
        <f>IFERROR(VLOOKUP(B297,Shrub_plantNative_Nonnative!A:B,2,FALSE),"Verificar")</f>
        <v>non</v>
      </c>
      <c r="D297" s="25" t="s">
        <v>58</v>
      </c>
      <c r="E297" t="str">
        <f>IFERROR(VLOOKUP(D297,Shrub_plantNative_Nonnative!A:B,2,FALSE),"Verificar")</f>
        <v>non</v>
      </c>
    </row>
    <row r="298" spans="1:5" x14ac:dyDescent="0.3">
      <c r="B298" s="25" t="s">
        <v>414</v>
      </c>
      <c r="C298" t="str">
        <f>IFERROR(VLOOKUP(B298,Shrub_plantNative_Nonnative!A:B,2,FALSE),"Verificar")</f>
        <v>native</v>
      </c>
      <c r="D298" s="25" t="s">
        <v>162</v>
      </c>
      <c r="E298" t="str">
        <f>IFERROR(VLOOKUP(D298,Shrub_plantNative_Nonnative!A:B,2,FALSE),"Verificar")</f>
        <v>non</v>
      </c>
    </row>
    <row r="299" spans="1:5" x14ac:dyDescent="0.3">
      <c r="B299" s="25" t="s">
        <v>72</v>
      </c>
      <c r="C299" t="str">
        <f>IFERROR(VLOOKUP(B299,Shrub_plantNative_Nonnative!A:B,2,FALSE),"Verificar")</f>
        <v>native</v>
      </c>
      <c r="D299" s="25" t="s">
        <v>415</v>
      </c>
      <c r="E299" t="str">
        <f>IFERROR(VLOOKUP(D299,Shrub_plantNative_Nonnative!A:B,2,FALSE),"Verificar")</f>
        <v>non</v>
      </c>
    </row>
    <row r="300" spans="1:5" x14ac:dyDescent="0.3">
      <c r="B300" s="25" t="s">
        <v>302</v>
      </c>
      <c r="C300" t="str">
        <f>IFERROR(VLOOKUP(B300,Shrub_plantNative_Nonnative!A:B,2,FALSE),"Verificar")</f>
        <v>non</v>
      </c>
      <c r="D300" s="25" t="s">
        <v>416</v>
      </c>
      <c r="E300" t="str">
        <f>IFERROR(VLOOKUP(D300,Shrub_plantNative_Nonnative!A:B,2,FALSE),"Verificar")</f>
        <v>non</v>
      </c>
    </row>
    <row r="301" spans="1:5" x14ac:dyDescent="0.3">
      <c r="B301" s="25" t="s">
        <v>172</v>
      </c>
      <c r="C301" t="str">
        <f>IFERROR(VLOOKUP(B301,Shrub_plantNative_Nonnative!A:B,2,FALSE),"Verificar")</f>
        <v>native</v>
      </c>
      <c r="D301" s="25" t="s">
        <v>392</v>
      </c>
      <c r="E301" t="str">
        <f>IFERROR(VLOOKUP(D301,Shrub_plantNative_Nonnative!A:B,2,FALSE),"Verificar")</f>
        <v>non</v>
      </c>
    </row>
    <row r="302" spans="1:5" x14ac:dyDescent="0.3">
      <c r="B302" s="25" t="s">
        <v>181</v>
      </c>
      <c r="C302" t="str">
        <f>IFERROR(VLOOKUP(B302,Shrub_plantNative_Nonnative!A:B,2,FALSE),"Verificar")</f>
        <v>non</v>
      </c>
      <c r="D302" s="25" t="s">
        <v>521</v>
      </c>
      <c r="E302" t="str">
        <f>IFERROR(VLOOKUP(D302,Shrub_plantNative_Nonnative!A:B,2,FALSE),"Verificar")</f>
        <v>non</v>
      </c>
    </row>
    <row r="303" spans="1:5" x14ac:dyDescent="0.3">
      <c r="B303" s="32" t="s">
        <v>320</v>
      </c>
      <c r="C303" t="str">
        <f>IFERROR(VLOOKUP(B303,Shrub_plantNative_Nonnative!A:B,2,FALSE),"Verificar")</f>
        <v>non</v>
      </c>
      <c r="D303" s="25" t="s">
        <v>1740</v>
      </c>
      <c r="E303" t="str">
        <f>IFERROR(VLOOKUP(D303,Shrub_plantNative_Nonnative!A:B,2,FALSE),"Verificar")</f>
        <v>non</v>
      </c>
    </row>
    <row r="304" spans="1:5" x14ac:dyDescent="0.3">
      <c r="B304" s="32" t="s">
        <v>421</v>
      </c>
      <c r="C304" t="str">
        <f>IFERROR(VLOOKUP(B304,Shrub_plantNative_Nonnative!A:B,2,FALSE),"Verificar")</f>
        <v>non</v>
      </c>
      <c r="D304" s="46" t="s">
        <v>420</v>
      </c>
      <c r="E304" t="str">
        <f>IFERROR(VLOOKUP(D304,Shrub_plantNative_Nonnative!A:B,2,FALSE),"Verificar")</f>
        <v>non</v>
      </c>
    </row>
    <row r="305" spans="1:5" x14ac:dyDescent="0.3">
      <c r="B305" s="32" t="s">
        <v>423</v>
      </c>
      <c r="C305" t="str">
        <f>IFERROR(VLOOKUP(B305,Shrub_plantNative_Nonnative!A:B,2,FALSE),"Verificar")</f>
        <v>non</v>
      </c>
      <c r="D305" s="25" t="s">
        <v>422</v>
      </c>
      <c r="E305" t="str">
        <f>IFERROR(VLOOKUP(D305,Shrub_plantNative_Nonnative!A:B,2,FALSE),"Verificar")</f>
        <v>non</v>
      </c>
    </row>
    <row r="306" spans="1:5" x14ac:dyDescent="0.3">
      <c r="B306" s="32" t="s">
        <v>263</v>
      </c>
      <c r="C306" t="str">
        <f>IFERROR(VLOOKUP(B306,Shrub_plantNative_Nonnative!A:B,2,FALSE),"Verificar")</f>
        <v>non</v>
      </c>
      <c r="D306" s="25" t="s">
        <v>424</v>
      </c>
      <c r="E306" t="str">
        <f>IFERROR(VLOOKUP(D306,Shrub_plantNative_Nonnative!A:B,2,FALSE),"Verificar")</f>
        <v>non</v>
      </c>
    </row>
    <row r="307" spans="1:5" x14ac:dyDescent="0.3">
      <c r="A307" s="78" t="s">
        <v>425</v>
      </c>
      <c r="B307" s="87" t="s">
        <v>428</v>
      </c>
      <c r="C307" t="str">
        <f>IFERROR(VLOOKUP(B307,Shrub_plantNative_Nonnative!A:B,2,FALSE),"Verificar")</f>
        <v>non</v>
      </c>
      <c r="D307" s="87" t="s">
        <v>216</v>
      </c>
      <c r="E307" t="str">
        <f>IFERROR(VLOOKUP(D307,Shrub_plantNative_Nonnative!A:B,2,FALSE),"Verificar")</f>
        <v>native</v>
      </c>
    </row>
    <row r="308" spans="1:5" x14ac:dyDescent="0.3">
      <c r="A308" s="78"/>
      <c r="B308" s="87" t="s">
        <v>363</v>
      </c>
      <c r="C308" t="str">
        <f>IFERROR(VLOOKUP(B308,Shrub_plantNative_Nonnative!A:B,2,FALSE),"Verificar")</f>
        <v>non</v>
      </c>
      <c r="D308" s="87" t="s">
        <v>272</v>
      </c>
      <c r="E308" t="str">
        <f>IFERROR(VLOOKUP(D308,Shrub_plantNative_Nonnative!A:B,2,FALSE),"Verificar")</f>
        <v>non</v>
      </c>
    </row>
    <row r="309" spans="1:5" x14ac:dyDescent="0.3">
      <c r="A309" s="78"/>
      <c r="B309" s="87" t="s">
        <v>150</v>
      </c>
      <c r="C309" t="str">
        <f>IFERROR(VLOOKUP(B309,Shrub_plantNative_Nonnative!A:B,2,FALSE),"Verificar")</f>
        <v>non</v>
      </c>
      <c r="D309" s="87" t="s">
        <v>429</v>
      </c>
      <c r="E309" t="str">
        <f>IFERROR(VLOOKUP(D309,Shrub_plantNative_Nonnative!A:B,2,FALSE),"Verificar")</f>
        <v>non</v>
      </c>
    </row>
    <row r="310" spans="1:5" x14ac:dyDescent="0.3">
      <c r="A310" s="78"/>
      <c r="B310" s="87" t="s">
        <v>263</v>
      </c>
      <c r="C310" t="str">
        <f>IFERROR(VLOOKUP(B310,Shrub_plantNative_Nonnative!A:B,2,FALSE),"Verificar")</f>
        <v>non</v>
      </c>
      <c r="D310" s="87" t="s">
        <v>100</v>
      </c>
      <c r="E310" t="str">
        <f>IFERROR(VLOOKUP(D310,Shrub_plantNative_Nonnative!A:B,2,FALSE),"Verificar")</f>
        <v>non</v>
      </c>
    </row>
    <row r="311" spans="1:5" x14ac:dyDescent="0.3">
      <c r="A311" s="78"/>
      <c r="B311" s="87" t="s">
        <v>297</v>
      </c>
      <c r="C311" t="str">
        <f>IFERROR(VLOOKUP(B311,Shrub_plantNative_Nonnative!A:B,2,FALSE),"Verificar")</f>
        <v>non</v>
      </c>
      <c r="D311" s="87" t="s">
        <v>431</v>
      </c>
      <c r="E311" t="str">
        <f>IFERROR(VLOOKUP(D311,Shrub_plantNative_Nonnative!A:B,2,FALSE),"Verificar")</f>
        <v>non</v>
      </c>
    </row>
    <row r="312" spans="1:5" x14ac:dyDescent="0.3">
      <c r="A312" s="78"/>
      <c r="B312" s="87" t="s">
        <v>433</v>
      </c>
      <c r="C312" t="str">
        <f>IFERROR(VLOOKUP(B312,Shrub_plantNative_Nonnative!A:B,2,FALSE),"Verificar")</f>
        <v>non</v>
      </c>
      <c r="D312" s="87" t="s">
        <v>432</v>
      </c>
      <c r="E312" t="str">
        <f>IFERROR(VLOOKUP(D312,Shrub_plantNative_Nonnative!A:B,2,FALSE),"Verificar")</f>
        <v>non</v>
      </c>
    </row>
    <row r="313" spans="1:5" x14ac:dyDescent="0.3">
      <c r="A313" s="78"/>
      <c r="B313" s="87" t="s">
        <v>435</v>
      </c>
      <c r="C313" t="str">
        <f>IFERROR(VLOOKUP(B313,Shrub_plantNative_Nonnative!A:B,2,FALSE),"Verificar")</f>
        <v>non</v>
      </c>
      <c r="D313" s="87" t="s">
        <v>434</v>
      </c>
      <c r="E313" t="str">
        <f>IFERROR(VLOOKUP(D313,Shrub_plantNative_Nonnative!A:B,2,FALSE),"Verificar")</f>
        <v>non</v>
      </c>
    </row>
    <row r="314" spans="1:5" x14ac:dyDescent="0.3">
      <c r="A314" s="78"/>
      <c r="B314" s="86" t="s">
        <v>1763</v>
      </c>
      <c r="C314" t="str">
        <f>IFERROR(VLOOKUP(B314,Shrub_plantNative_Nonnative!A:B,2,FALSE),"Verificar")</f>
        <v>non</v>
      </c>
      <c r="D314" s="87" t="s">
        <v>1734</v>
      </c>
      <c r="E314" t="str">
        <f>IFERROR(VLOOKUP(D314,Shrub_plantNative_Nonnative!A:B,2,FALSE),"Verificar")</f>
        <v>non</v>
      </c>
    </row>
    <row r="315" spans="1:5" x14ac:dyDescent="0.3">
      <c r="A315" s="78"/>
      <c r="B315" s="86" t="s">
        <v>99</v>
      </c>
      <c r="C315" t="str">
        <f>IFERROR(VLOOKUP(B315,Shrub_plantNative_Nonnative!A:B,2,FALSE),"Verificar")</f>
        <v>non</v>
      </c>
      <c r="D315" s="87" t="s">
        <v>437</v>
      </c>
      <c r="E315" t="str">
        <f>IFERROR(VLOOKUP(D315,Shrub_plantNative_Nonnative!A:B,2,FALSE),"Verificar")</f>
        <v>non</v>
      </c>
    </row>
    <row r="316" spans="1:5" x14ac:dyDescent="0.3">
      <c r="A316" s="78"/>
      <c r="B316" s="86" t="s">
        <v>285</v>
      </c>
      <c r="C316" t="str">
        <f>IFERROR(VLOOKUP(B316,Shrub_plantNative_Nonnative!A:B,2,FALSE),"Verificar")</f>
        <v>non</v>
      </c>
      <c r="D316" s="87" t="s">
        <v>108</v>
      </c>
      <c r="E316" t="str">
        <f>IFERROR(VLOOKUP(D316,Shrub_plantNative_Nonnative!A:B,2,FALSE),"Verificar")</f>
        <v>native</v>
      </c>
    </row>
    <row r="317" spans="1:5" x14ac:dyDescent="0.3">
      <c r="A317" s="78"/>
      <c r="B317" s="86" t="s">
        <v>257</v>
      </c>
      <c r="C317" t="str">
        <f>IFERROR(VLOOKUP(B317,Shrub_plantNative_Nonnative!A:B,2,FALSE),"Verificar")</f>
        <v>non</v>
      </c>
      <c r="D317" s="87" t="s">
        <v>438</v>
      </c>
      <c r="E317" t="str">
        <f>IFERROR(VLOOKUP(D317,Shrub_plantNative_Nonnative!A:B,2,FALSE),"Verificar")</f>
        <v>non</v>
      </c>
    </row>
    <row r="318" spans="1:5" x14ac:dyDescent="0.3">
      <c r="A318" s="78"/>
      <c r="B318" s="86" t="s">
        <v>90</v>
      </c>
      <c r="C318" t="str">
        <f>IFERROR(VLOOKUP(B318,Shrub_plantNative_Nonnative!A:B,2,FALSE),"Verificar")</f>
        <v>non</v>
      </c>
      <c r="D318" s="87" t="s">
        <v>439</v>
      </c>
      <c r="E318" t="str">
        <f>IFERROR(VLOOKUP(D318,Shrub_plantNative_Nonnative!A:B,2,FALSE),"Verificar")</f>
        <v>native</v>
      </c>
    </row>
    <row r="319" spans="1:5" x14ac:dyDescent="0.3">
      <c r="A319" s="78"/>
      <c r="B319" s="86" t="s">
        <v>235</v>
      </c>
      <c r="C319" t="str">
        <f>IFERROR(VLOOKUP(B319,Shrub_plantNative_Nonnative!A:B,2,FALSE),"Verificar")</f>
        <v>non</v>
      </c>
      <c r="D319" s="87" t="s">
        <v>95</v>
      </c>
      <c r="E319" t="str">
        <f>IFERROR(VLOOKUP(D319,Shrub_plantNative_Nonnative!A:B,2,FALSE),"Verificar")</f>
        <v>non</v>
      </c>
    </row>
    <row r="320" spans="1:5" x14ac:dyDescent="0.3">
      <c r="A320" s="78"/>
      <c r="B320" s="89" t="s">
        <v>440</v>
      </c>
      <c r="C320" t="str">
        <f>IFERROR(VLOOKUP(B320,Shrub_plantNative_Nonnative!A:B,2,FALSE),"Verificar")</f>
        <v>non</v>
      </c>
      <c r="D320" s="87" t="s">
        <v>203</v>
      </c>
      <c r="E320" t="str">
        <f>IFERROR(VLOOKUP(D320,Shrub_plantNative_Nonnative!A:B,2,FALSE),"Verificar")</f>
        <v>non</v>
      </c>
    </row>
    <row r="321" spans="1:5" x14ac:dyDescent="0.3">
      <c r="A321" s="78"/>
      <c r="B321" s="78"/>
      <c r="D321" s="87" t="s">
        <v>441</v>
      </c>
      <c r="E321" t="str">
        <f>IFERROR(VLOOKUP(D321,Shrub_plantNative_Nonnative!A:B,2,FALSE),"Verificar")</f>
        <v>native</v>
      </c>
    </row>
    <row r="322" spans="1:5" x14ac:dyDescent="0.3">
      <c r="A322" s="78"/>
      <c r="B322" s="78"/>
      <c r="D322" s="87" t="s">
        <v>406</v>
      </c>
      <c r="E322" t="str">
        <f>IFERROR(VLOOKUP(D322,Shrub_plantNative_Nonnative!A:B,2,FALSE),"Verificar")</f>
        <v>non</v>
      </c>
    </row>
    <row r="323" spans="1:5" x14ac:dyDescent="0.3">
      <c r="A323" s="78"/>
      <c r="B323" s="78"/>
      <c r="D323" s="87" t="s">
        <v>442</v>
      </c>
      <c r="E323" t="str">
        <f>IFERROR(VLOOKUP(D323,Shrub_plantNative_Nonnative!A:B,2,FALSE),"Verificar")</f>
        <v>non</v>
      </c>
    </row>
    <row r="324" spans="1:5" x14ac:dyDescent="0.3">
      <c r="A324" s="78"/>
      <c r="B324" s="78"/>
      <c r="D324" s="87" t="s">
        <v>443</v>
      </c>
      <c r="E324" t="str">
        <f>IFERROR(VLOOKUP(D324,Shrub_plantNative_Nonnative!A:B,2,FALSE),"Verificar")</f>
        <v>non</v>
      </c>
    </row>
    <row r="325" spans="1:5" x14ac:dyDescent="0.3">
      <c r="A325" t="s">
        <v>444</v>
      </c>
      <c r="B325" s="32" t="s">
        <v>90</v>
      </c>
      <c r="C325" t="str">
        <f>IFERROR(VLOOKUP(B325,Shrub_plantNative_Nonnative!A:B,2,FALSE),"Verificar")</f>
        <v>non</v>
      </c>
      <c r="D325" s="25" t="s">
        <v>171</v>
      </c>
      <c r="E325" t="str">
        <f>IFERROR(VLOOKUP(D325,Shrub_plantNative_Nonnative!A:B,2,FALSE),"Verificar")</f>
        <v>non</v>
      </c>
    </row>
    <row r="326" spans="1:5" x14ac:dyDescent="0.3">
      <c r="B326" s="32" t="s">
        <v>66</v>
      </c>
      <c r="C326" t="str">
        <f>IFERROR(VLOOKUP(B326,Shrub_plantNative_Nonnative!A:B,2,FALSE),"Verificar")</f>
        <v>non</v>
      </c>
      <c r="D326" s="25" t="s">
        <v>259</v>
      </c>
      <c r="E326" t="str">
        <f>IFERROR(VLOOKUP(D326,Shrub_plantNative_Nonnative!A:B,2,FALSE),"Verificar")</f>
        <v>non</v>
      </c>
    </row>
    <row r="327" spans="1:5" x14ac:dyDescent="0.3">
      <c r="B327" s="32" t="s">
        <v>165</v>
      </c>
      <c r="C327" t="str">
        <f>IFERROR(VLOOKUP(B327,Shrub_plantNative_Nonnative!A:B,2,FALSE),"Verificar")</f>
        <v>non</v>
      </c>
      <c r="D327" s="25" t="s">
        <v>441</v>
      </c>
      <c r="E327" t="str">
        <f>IFERROR(VLOOKUP(D327,Shrub_plantNative_Nonnative!A:B,2,FALSE),"Verificar")</f>
        <v>native</v>
      </c>
    </row>
    <row r="328" spans="1:5" x14ac:dyDescent="0.3">
      <c r="B328" s="32" t="s">
        <v>168</v>
      </c>
      <c r="C328" t="str">
        <f>IFERROR(VLOOKUP(B328,Shrub_plantNative_Nonnative!A:B,2,FALSE),"Verificar")</f>
        <v>non</v>
      </c>
      <c r="D328" s="25" t="s">
        <v>447</v>
      </c>
      <c r="E328" t="str">
        <f>IFERROR(VLOOKUP(D328,Shrub_plantNative_Nonnative!A:B,2,FALSE),"Verificar")</f>
        <v>non</v>
      </c>
    </row>
    <row r="329" spans="1:5" x14ac:dyDescent="0.3">
      <c r="B329" s="32" t="s">
        <v>78</v>
      </c>
      <c r="C329" t="str">
        <f>IFERROR(VLOOKUP(B329,Shrub_plantNative_Nonnative!A:B,2,FALSE),"Verificar")</f>
        <v>non</v>
      </c>
      <c r="D329" s="25" t="s">
        <v>162</v>
      </c>
      <c r="E329" t="str">
        <f>IFERROR(VLOOKUP(D329,Shrub_plantNative_Nonnative!A:B,2,FALSE),"Verificar")</f>
        <v>non</v>
      </c>
    </row>
    <row r="330" spans="1:5" x14ac:dyDescent="0.3">
      <c r="B330" s="32" t="s">
        <v>205</v>
      </c>
      <c r="C330" t="str">
        <f>IFERROR(VLOOKUP(B330,Shrub_plantNative_Nonnative!A:B,2,FALSE),"Verificar")</f>
        <v>non</v>
      </c>
      <c r="D330" s="25" t="s">
        <v>434</v>
      </c>
      <c r="E330" t="str">
        <f>IFERROR(VLOOKUP(D330,Shrub_plantNative_Nonnative!A:B,2,FALSE),"Verificar")</f>
        <v>non</v>
      </c>
    </row>
    <row r="331" spans="1:5" x14ac:dyDescent="0.3">
      <c r="B331" s="32" t="s">
        <v>380</v>
      </c>
      <c r="C331" t="str">
        <f>IFERROR(VLOOKUP(B331,Shrub_plantNative_Nonnative!A:B,2,FALSE),"Verificar")</f>
        <v>non</v>
      </c>
      <c r="D331" s="25" t="s">
        <v>449</v>
      </c>
      <c r="E331" t="str">
        <f>IFERROR(VLOOKUP(D331,Shrub_plantNative_Nonnative!A:B,2,FALSE),"Verificar")</f>
        <v>non</v>
      </c>
    </row>
    <row r="332" spans="1:5" x14ac:dyDescent="0.3">
      <c r="B332" s="32" t="s">
        <v>353</v>
      </c>
      <c r="C332" t="str">
        <f>IFERROR(VLOOKUP(B332,Shrub_plantNative_Nonnative!A:B,2,FALSE),"Verificar")</f>
        <v>non</v>
      </c>
      <c r="D332" s="25" t="s">
        <v>272</v>
      </c>
      <c r="E332" t="str">
        <f>IFERROR(VLOOKUP(D332,Shrub_plantNative_Nonnative!A:B,2,FALSE),"Verificar")</f>
        <v>non</v>
      </c>
    </row>
    <row r="333" spans="1:5" x14ac:dyDescent="0.3">
      <c r="B333" s="32" t="s">
        <v>148</v>
      </c>
      <c r="C333" t="str">
        <f>IFERROR(VLOOKUP(B333,Shrub_plantNative_Nonnative!A:B,2,FALSE),"Verificar")</f>
        <v>non</v>
      </c>
    </row>
    <row r="334" spans="1:5" x14ac:dyDescent="0.3">
      <c r="B334" s="32" t="s">
        <v>566</v>
      </c>
      <c r="C334" t="str">
        <f>IFERROR(VLOOKUP(B334,Shrub_plantNative_Nonnative!A:B,2,FALSE),"Verificar")</f>
        <v>non</v>
      </c>
    </row>
    <row r="335" spans="1:5" x14ac:dyDescent="0.3">
      <c r="B335" s="32" t="s">
        <v>452</v>
      </c>
      <c r="C335" t="str">
        <f>IFERROR(VLOOKUP(B335,Shrub_plantNative_Nonnative!A:B,2,FALSE),"Verificar")</f>
        <v>non</v>
      </c>
    </row>
    <row r="336" spans="1:5" x14ac:dyDescent="0.3">
      <c r="B336" s="32" t="s">
        <v>86</v>
      </c>
      <c r="C336" t="str">
        <f>IFERROR(VLOOKUP(B336,Shrub_plantNative_Nonnative!A:B,2,FALSE),"Verificar")</f>
        <v>non</v>
      </c>
    </row>
    <row r="337" spans="1:5" x14ac:dyDescent="0.3">
      <c r="B337" s="32" t="s">
        <v>453</v>
      </c>
      <c r="C337" t="str">
        <f>IFERROR(VLOOKUP(B337,Shrub_plantNative_Nonnative!A:B,2,FALSE),"Verificar")</f>
        <v>native</v>
      </c>
    </row>
    <row r="338" spans="1:5" x14ac:dyDescent="0.3">
      <c r="B338" s="32" t="s">
        <v>454</v>
      </c>
      <c r="C338" t="str">
        <f>IFERROR(VLOOKUP(B338,Shrub_plantNative_Nonnative!A:B,2,FALSE),"Verificar")</f>
        <v>native</v>
      </c>
    </row>
    <row r="339" spans="1:5" x14ac:dyDescent="0.3">
      <c r="B339" s="32" t="s">
        <v>455</v>
      </c>
      <c r="C339" t="str">
        <f>IFERROR(VLOOKUP(B339,Shrub_plantNative_Nonnative!A:B,2,FALSE),"Verificar")</f>
        <v>non</v>
      </c>
    </row>
    <row r="340" spans="1:5" x14ac:dyDescent="0.3">
      <c r="B340" s="32" t="s">
        <v>1764</v>
      </c>
      <c r="C340" t="str">
        <f>IFERROR(VLOOKUP(B340,Shrub_plantNative_Nonnative!A:B,2,FALSE),"Verificar")</f>
        <v>non</v>
      </c>
    </row>
    <row r="341" spans="1:5" x14ac:dyDescent="0.3">
      <c r="B341" s="32" t="s">
        <v>457</v>
      </c>
      <c r="C341" t="str">
        <f>IFERROR(VLOOKUP(B341,Shrub_plantNative_Nonnative!A:B,2,FALSE),"Verificar")</f>
        <v>non</v>
      </c>
    </row>
    <row r="342" spans="1:5" x14ac:dyDescent="0.3">
      <c r="B342" s="32" t="s">
        <v>256</v>
      </c>
      <c r="C342" t="str">
        <f>IFERROR(VLOOKUP(B342,Shrub_plantNative_Nonnative!A:B,2,FALSE),"Verificar")</f>
        <v>native</v>
      </c>
    </row>
    <row r="343" spans="1:5" x14ac:dyDescent="0.3">
      <c r="B343" s="32" t="s">
        <v>210</v>
      </c>
      <c r="C343" t="str">
        <f>IFERROR(VLOOKUP(B343,Shrub_plantNative_Nonnative!A:B,2,FALSE),"Verificar")</f>
        <v>non</v>
      </c>
    </row>
    <row r="344" spans="1:5" x14ac:dyDescent="0.3">
      <c r="B344" s="32" t="s">
        <v>1700</v>
      </c>
      <c r="C344" t="str">
        <f>IFERROR(VLOOKUP(B344,Shrub_plantNative_Nonnative!A:B,2,FALSE),"Verificar")</f>
        <v>non</v>
      </c>
    </row>
    <row r="345" spans="1:5" x14ac:dyDescent="0.3">
      <c r="A345" s="78" t="s">
        <v>459</v>
      </c>
      <c r="B345" s="79" t="s">
        <v>80</v>
      </c>
      <c r="C345" t="str">
        <f>IFERROR(VLOOKUP(B345,Shrub_plantNative_Nonnative!A:B,2,FALSE),"Verificar")</f>
        <v>non</v>
      </c>
      <c r="D345" s="79" t="s">
        <v>221</v>
      </c>
      <c r="E345" t="str">
        <f>IFERROR(VLOOKUP(D345,Shrub_plantNative_Nonnative!A:B,2,FALSE),"Verificar")</f>
        <v>non</v>
      </c>
    </row>
    <row r="346" spans="1:5" x14ac:dyDescent="0.3">
      <c r="A346" s="78"/>
      <c r="B346" s="79" t="s">
        <v>1770</v>
      </c>
      <c r="C346" t="str">
        <f>IFERROR(VLOOKUP(B346,Shrub_plantNative_Nonnative!A:B,2,FALSE),"Verificar")</f>
        <v>non</v>
      </c>
      <c r="D346" s="79" t="s">
        <v>462</v>
      </c>
      <c r="E346" t="str">
        <f>IFERROR(VLOOKUP(D346,Shrub_plantNative_Nonnative!A:B,2,FALSE),"Verificar")</f>
        <v>non</v>
      </c>
    </row>
    <row r="347" spans="1:5" x14ac:dyDescent="0.3">
      <c r="A347" s="78"/>
      <c r="B347" s="79" t="s">
        <v>465</v>
      </c>
      <c r="C347" t="str">
        <f>IFERROR(VLOOKUP(B347,Shrub_plantNative_Nonnative!A:B,2,FALSE),"Verificar")</f>
        <v>non</v>
      </c>
      <c r="D347" s="79" t="s">
        <v>464</v>
      </c>
      <c r="E347" t="str">
        <f>IFERROR(VLOOKUP(D347,Shrub_plantNative_Nonnative!A:B,2,FALSE),"Verificar")</f>
        <v>non</v>
      </c>
    </row>
    <row r="348" spans="1:5" x14ac:dyDescent="0.3">
      <c r="A348" s="78"/>
      <c r="B348" s="79" t="s">
        <v>364</v>
      </c>
      <c r="C348" t="str">
        <f>IFERROR(VLOOKUP(B348,Shrub_plantNative_Nonnative!A:B,2,FALSE),"Verificar")</f>
        <v>non</v>
      </c>
      <c r="D348" s="79" t="s">
        <v>466</v>
      </c>
      <c r="E348" t="str">
        <f>IFERROR(VLOOKUP(D348,Shrub_plantNative_Nonnative!A:B,2,FALSE),"Verificar")</f>
        <v>native</v>
      </c>
    </row>
    <row r="349" spans="1:5" x14ac:dyDescent="0.3">
      <c r="A349" s="78"/>
      <c r="B349" s="79" t="s">
        <v>90</v>
      </c>
      <c r="C349" t="str">
        <f>IFERROR(VLOOKUP(B349,Shrub_plantNative_Nonnative!A:B,2,FALSE),"Verificar")</f>
        <v>non</v>
      </c>
      <c r="D349" s="79" t="s">
        <v>1772</v>
      </c>
      <c r="E349" t="str">
        <f>IFERROR(VLOOKUP(D349,Shrub_plantNative_Nonnative!A:B,2,FALSE),"Verificar")</f>
        <v>non</v>
      </c>
    </row>
    <row r="350" spans="1:5" x14ac:dyDescent="0.3">
      <c r="A350" s="78"/>
      <c r="B350" s="79" t="s">
        <v>1771</v>
      </c>
      <c r="C350" t="str">
        <f>IFERROR(VLOOKUP(B350,Shrub_plantNative_Nonnative!A:B,2,FALSE),"Verificar")</f>
        <v>non</v>
      </c>
      <c r="D350" s="79" t="s">
        <v>130</v>
      </c>
      <c r="E350" t="str">
        <f>IFERROR(VLOOKUP(D350,Shrub_plantNative_Nonnative!A:B,2,FALSE),"Verificar")</f>
        <v>native</v>
      </c>
    </row>
    <row r="351" spans="1:5" x14ac:dyDescent="0.3">
      <c r="A351" s="78"/>
      <c r="B351" s="79" t="s">
        <v>76</v>
      </c>
      <c r="C351" t="str">
        <f>IFERROR(VLOOKUP(B351,Shrub_plantNative_Nonnative!A:B,2,FALSE),"Verificar")</f>
        <v>non</v>
      </c>
      <c r="D351" s="78"/>
    </row>
    <row r="352" spans="1:5" x14ac:dyDescent="0.3">
      <c r="A352" s="78"/>
      <c r="B352" s="83" t="s">
        <v>469</v>
      </c>
      <c r="C352" t="str">
        <f>IFERROR(VLOOKUP(B352,Shrub_plantNative_Nonnative!A:B,2,FALSE),"Verificar")</f>
        <v>non</v>
      </c>
      <c r="D352" s="78"/>
    </row>
    <row r="353" spans="1:5" x14ac:dyDescent="0.3">
      <c r="A353" t="s">
        <v>470</v>
      </c>
      <c r="B353" s="9" t="s">
        <v>474</v>
      </c>
      <c r="C353" t="str">
        <f>IFERROR(VLOOKUP(B353,Shrub_plantNative_Nonnative!A:B,2,FALSE),"Verificar")</f>
        <v>non</v>
      </c>
      <c r="D353" s="9" t="s">
        <v>135</v>
      </c>
      <c r="E353" t="str">
        <f>IFERROR(VLOOKUP(D353,Shrub_plantNative_Nonnative!A:B,2,FALSE),"Verificar")</f>
        <v>non</v>
      </c>
    </row>
    <row r="354" spans="1:5" x14ac:dyDescent="0.3">
      <c r="B354" s="9" t="s">
        <v>475</v>
      </c>
      <c r="C354" t="str">
        <f>IFERROR(VLOOKUP(B354,Shrub_plantNative_Nonnative!A:B,2,FALSE),"Verificar")</f>
        <v>non</v>
      </c>
      <c r="D354" s="9" t="s">
        <v>116</v>
      </c>
      <c r="E354" t="str">
        <f>IFERROR(VLOOKUP(D354,Shrub_plantNative_Nonnative!A:B,2,FALSE),"Verificar")</f>
        <v>non</v>
      </c>
    </row>
    <row r="355" spans="1:5" x14ac:dyDescent="0.3">
      <c r="B355" s="9" t="s">
        <v>477</v>
      </c>
      <c r="C355" t="str">
        <f>IFERROR(VLOOKUP(B355,Shrub_plantNative_Nonnative!A:B,2,FALSE),"Verificar")</f>
        <v>non</v>
      </c>
      <c r="D355" s="9" t="s">
        <v>476</v>
      </c>
      <c r="E355" t="str">
        <f>IFERROR(VLOOKUP(D355,Shrub_plantNative_Nonnative!A:B,2,FALSE),"Verificar")</f>
        <v>non</v>
      </c>
    </row>
    <row r="356" spans="1:5" x14ac:dyDescent="0.3">
      <c r="B356" s="9" t="s">
        <v>1773</v>
      </c>
      <c r="C356" t="str">
        <f>IFERROR(VLOOKUP(B356,Shrub_plantNative_Nonnative!A:B,2,FALSE),"Verificar")</f>
        <v>non</v>
      </c>
      <c r="D356" s="9" t="s">
        <v>478</v>
      </c>
      <c r="E356" t="str">
        <f>IFERROR(VLOOKUP(D356,Shrub_plantNative_Nonnative!A:B,2,FALSE),"Verificar")</f>
        <v>non</v>
      </c>
    </row>
    <row r="357" spans="1:5" x14ac:dyDescent="0.3">
      <c r="B357" s="9" t="s">
        <v>480</v>
      </c>
      <c r="C357" t="str">
        <f>IFERROR(VLOOKUP(B357,Shrub_plantNative_Nonnative!A:B,2,FALSE),"Verificar")</f>
        <v>native</v>
      </c>
      <c r="D357" s="9" t="s">
        <v>338</v>
      </c>
      <c r="E357" t="s">
        <v>1062</v>
      </c>
    </row>
    <row r="358" spans="1:5" x14ac:dyDescent="0.3">
      <c r="B358" s="9" t="s">
        <v>481</v>
      </c>
      <c r="C358" t="str">
        <f>IFERROR(VLOOKUP(B358,Shrub_plantNative_Nonnative!A:B,2,FALSE),"Verificar")</f>
        <v>non</v>
      </c>
      <c r="D358" s="9" t="s">
        <v>464</v>
      </c>
      <c r="E358" t="str">
        <f>IFERROR(VLOOKUP(D358,Shrub_plantNative_Nonnative!A:B,2,FALSE),"Verificar")</f>
        <v>non</v>
      </c>
    </row>
    <row r="359" spans="1:5" x14ac:dyDescent="0.3">
      <c r="B359" s="9" t="s">
        <v>1735</v>
      </c>
      <c r="C359" t="str">
        <f>IFERROR(VLOOKUP(B359,Shrub_plantNative_Nonnative!A:B,2,FALSE),"Verificar")</f>
        <v>native</v>
      </c>
      <c r="D359" s="9" t="s">
        <v>406</v>
      </c>
      <c r="E359" t="str">
        <f>IFERROR(VLOOKUP(D359,Shrub_plantNative_Nonnative!A:B,2,FALSE),"Verificar")</f>
        <v>non</v>
      </c>
    </row>
    <row r="360" spans="1:5" x14ac:dyDescent="0.3">
      <c r="B360" s="9" t="s">
        <v>337</v>
      </c>
      <c r="C360" t="str">
        <f>IFERROR(VLOOKUP(B360,Shrub_plantNative_Nonnative!A:B,2,FALSE),"Verificar")</f>
        <v>non</v>
      </c>
      <c r="D360" s="9" t="s">
        <v>156</v>
      </c>
      <c r="E360" t="str">
        <f>IFERROR(VLOOKUP(D360,Shrub_plantNative_Nonnative!A:B,2,FALSE),"Verificar")</f>
        <v>non</v>
      </c>
    </row>
    <row r="361" spans="1:5" x14ac:dyDescent="0.3">
      <c r="B361" s="9" t="s">
        <v>389</v>
      </c>
      <c r="C361" t="str">
        <f>IFERROR(VLOOKUP(B361,Shrub_plantNative_Nonnative!A:B,2,FALSE),"Verificar")</f>
        <v>non</v>
      </c>
      <c r="D361" s="9" t="s">
        <v>485</v>
      </c>
      <c r="E361" t="str">
        <f>IFERROR(VLOOKUP(D361,Shrub_plantNative_Nonnative!A:B,2,FALSE),"Verificar")</f>
        <v>non</v>
      </c>
    </row>
    <row r="362" spans="1:5" x14ac:dyDescent="0.3">
      <c r="B362" s="9" t="s">
        <v>232</v>
      </c>
      <c r="C362" t="str">
        <f>IFERROR(VLOOKUP(B362,Shrub_plantNative_Nonnative!A:B,2,FALSE),"Verificar")</f>
        <v>non</v>
      </c>
    </row>
    <row r="363" spans="1:5" x14ac:dyDescent="0.3">
      <c r="A363" s="78" t="s">
        <v>486</v>
      </c>
      <c r="B363" s="83" t="s">
        <v>179</v>
      </c>
      <c r="C363" t="str">
        <f>IFERROR(VLOOKUP(B363,Shrub_plantNative_Nonnative!A:B,2,FALSE),"Verificar")</f>
        <v>non</v>
      </c>
      <c r="D363" s="79" t="s">
        <v>489</v>
      </c>
      <c r="E363" t="str">
        <f>IFERROR(VLOOKUP(D363,Shrub_plantNative_Nonnative!A:B,2,FALSE),"Verificar")</f>
        <v>non</v>
      </c>
    </row>
    <row r="364" spans="1:5" x14ac:dyDescent="0.3">
      <c r="A364" s="78"/>
      <c r="B364" s="83" t="s">
        <v>414</v>
      </c>
      <c r="C364" t="str">
        <f>IFERROR(VLOOKUP(B364,Shrub_plantNative_Nonnative!A:B,2,FALSE),"Verificar")</f>
        <v>native</v>
      </c>
      <c r="D364" s="79" t="s">
        <v>108</v>
      </c>
      <c r="E364" t="str">
        <f>IFERROR(VLOOKUP(D364,Shrub_plantNative_Nonnative!A:B,2,FALSE),"Verificar")</f>
        <v>native</v>
      </c>
    </row>
    <row r="365" spans="1:5" x14ac:dyDescent="0.3">
      <c r="A365" s="78"/>
      <c r="B365" s="83" t="s">
        <v>469</v>
      </c>
      <c r="C365" t="str">
        <f>IFERROR(VLOOKUP(B365,Shrub_plantNative_Nonnative!A:B,2,FALSE),"Verificar")</f>
        <v>non</v>
      </c>
      <c r="D365" s="79" t="s">
        <v>493</v>
      </c>
      <c r="E365" t="str">
        <f>IFERROR(VLOOKUP(D365,Shrub_plantNative_Nonnative!A:B,2,FALSE),"Verificar")</f>
        <v>native</v>
      </c>
    </row>
    <row r="366" spans="1:5" x14ac:dyDescent="0.3">
      <c r="A366" s="78"/>
      <c r="B366" s="83" t="s">
        <v>356</v>
      </c>
      <c r="C366" t="str">
        <f>IFERROR(VLOOKUP(B366,Shrub_plantNative_Nonnative!A:B,2,FALSE),"Verificar")</f>
        <v>non</v>
      </c>
      <c r="D366" s="79" t="s">
        <v>494</v>
      </c>
      <c r="E366" t="str">
        <f>IFERROR(VLOOKUP(D366,Shrub_plantNative_Nonnative!A:B,2,FALSE),"Verificar")</f>
        <v>non</v>
      </c>
    </row>
    <row r="367" spans="1:5" x14ac:dyDescent="0.3">
      <c r="A367" s="78"/>
      <c r="B367" s="83" t="s">
        <v>263</v>
      </c>
      <c r="C367" t="str">
        <f>IFERROR(VLOOKUP(B367,Shrub_plantNative_Nonnative!A:B,2,FALSE),"Verificar")</f>
        <v>non</v>
      </c>
      <c r="D367" s="79" t="s">
        <v>245</v>
      </c>
      <c r="E367" t="str">
        <f>IFERROR(VLOOKUP(D367,Shrub_plantNative_Nonnative!A:B,2,FALSE),"Verificar")</f>
        <v>non</v>
      </c>
    </row>
    <row r="368" spans="1:5" x14ac:dyDescent="0.3">
      <c r="A368" s="78"/>
      <c r="B368" s="83" t="s">
        <v>177</v>
      </c>
      <c r="C368" t="str">
        <f>IFERROR(VLOOKUP(B368,Shrub_plantNative_Nonnative!A:B,2,FALSE),"Verificar")</f>
        <v>non</v>
      </c>
      <c r="D368" s="79" t="s">
        <v>135</v>
      </c>
      <c r="E368" t="str">
        <f>IFERROR(VLOOKUP(D368,Shrub_plantNative_Nonnative!A:B,2,FALSE),"Verificar")</f>
        <v>non</v>
      </c>
    </row>
    <row r="369" spans="1:5" x14ac:dyDescent="0.3">
      <c r="A369" s="78"/>
      <c r="B369" s="83" t="s">
        <v>259</v>
      </c>
      <c r="C369" t="str">
        <f>IFERROR(VLOOKUP(B369,Shrub_plantNative_Nonnative!A:B,2,FALSE),"Verificar")</f>
        <v>non</v>
      </c>
      <c r="D369" s="85" t="s">
        <v>496</v>
      </c>
      <c r="E369" t="str">
        <f>IFERROR(VLOOKUP(D369,Shrub_plantNative_Nonnative!A:B,2,FALSE),"Verificar")</f>
        <v>non</v>
      </c>
    </row>
    <row r="370" spans="1:5" x14ac:dyDescent="0.3">
      <c r="A370" s="78"/>
      <c r="B370" s="83" t="s">
        <v>453</v>
      </c>
      <c r="C370" t="str">
        <f>IFERROR(VLOOKUP(B370,Shrub_plantNative_Nonnative!A:B,2,FALSE),"Verificar")</f>
        <v>native</v>
      </c>
      <c r="D370" s="83" t="s">
        <v>132</v>
      </c>
      <c r="E370" t="str">
        <f>IFERROR(VLOOKUP(D370,Shrub_plantNative_Nonnative!A:B,2,FALSE),"Verificar")</f>
        <v>non</v>
      </c>
    </row>
    <row r="371" spans="1:5" x14ac:dyDescent="0.3">
      <c r="A371" s="78"/>
      <c r="B371" s="83" t="s">
        <v>76</v>
      </c>
      <c r="C371" t="str">
        <f>IFERROR(VLOOKUP(B371,Shrub_plantNative_Nonnative!A:B,2,FALSE),"Verificar")</f>
        <v>non</v>
      </c>
      <c r="D371" s="83" t="s">
        <v>1769</v>
      </c>
      <c r="E371" t="str">
        <f>IFERROR(VLOOKUP(D371,Shrub_plantNative_Nonnative!A:B,2,FALSE),"Verificar")</f>
        <v>non</v>
      </c>
    </row>
    <row r="372" spans="1:5" x14ac:dyDescent="0.3">
      <c r="A372" s="78"/>
      <c r="B372" s="83" t="s">
        <v>501</v>
      </c>
      <c r="C372" t="str">
        <f>IFERROR(VLOOKUP(B372,Shrub_plantNative_Nonnative!A:B,2,FALSE),"Verificar")</f>
        <v>non</v>
      </c>
      <c r="D372" s="83" t="s">
        <v>500</v>
      </c>
      <c r="E372" t="str">
        <f>IFERROR(VLOOKUP(D372,Shrub_plantNative_Nonnative!A:B,2,FALSE),"Verificar")</f>
        <v>non</v>
      </c>
    </row>
    <row r="373" spans="1:5" x14ac:dyDescent="0.3">
      <c r="A373" s="78"/>
      <c r="B373" s="78"/>
      <c r="D373" s="83" t="s">
        <v>219</v>
      </c>
      <c r="E373" t="str">
        <f>IFERROR(VLOOKUP(D373,Shrub_plantNative_Nonnative!A:B,2,FALSE),"Verificar")</f>
        <v>non</v>
      </c>
    </row>
    <row r="374" spans="1:5" x14ac:dyDescent="0.3">
      <c r="A374" t="s">
        <v>502</v>
      </c>
      <c r="B374" s="21" t="s">
        <v>123</v>
      </c>
      <c r="C374" t="str">
        <f>IFERROR(VLOOKUP(B374,Shrub_plantNative_Nonnative!A:B,2,FALSE),"Verificar")</f>
        <v>native</v>
      </c>
      <c r="D374" s="14" t="s">
        <v>505</v>
      </c>
      <c r="E374" t="str">
        <f>IFERROR(VLOOKUP(D374,Shrub_plantNative_Nonnative!A:B,2,FALSE),"Verificar")</f>
        <v>native</v>
      </c>
    </row>
    <row r="375" spans="1:5" x14ac:dyDescent="0.3">
      <c r="B375" s="21" t="s">
        <v>507</v>
      </c>
      <c r="C375" t="str">
        <f>IFERROR(VLOOKUP(B375,Shrub_plantNative_Nonnative!A:B,2,FALSE),"Verificar")</f>
        <v>non</v>
      </c>
      <c r="D375" s="14" t="s">
        <v>506</v>
      </c>
      <c r="E375" t="str">
        <f>IFERROR(VLOOKUP(D375,Shrub_plantNative_Nonnative!A:B,2,FALSE),"Verificar")</f>
        <v>native</v>
      </c>
    </row>
    <row r="376" spans="1:5" x14ac:dyDescent="0.3">
      <c r="B376" s="21" t="s">
        <v>509</v>
      </c>
      <c r="C376" t="str">
        <f>IFERROR(VLOOKUP(B376,Shrub_plantNative_Nonnative!A:B,2,FALSE),"Verificar")</f>
        <v>non</v>
      </c>
      <c r="D376" s="14" t="s">
        <v>113</v>
      </c>
      <c r="E376" t="str">
        <f>IFERROR(VLOOKUP(D376,Shrub_plantNative_Nonnative!A:B,2,FALSE),"Verificar")</f>
        <v>native</v>
      </c>
    </row>
    <row r="377" spans="1:5" x14ac:dyDescent="0.3">
      <c r="B377" s="21" t="s">
        <v>511</v>
      </c>
      <c r="C377" t="str">
        <f>IFERROR(VLOOKUP(B377,Shrub_plantNative_Nonnative!A:B,2,FALSE),"Verificar")</f>
        <v>non</v>
      </c>
      <c r="D377" s="14" t="s">
        <v>510</v>
      </c>
      <c r="E377" t="str">
        <f>IFERROR(VLOOKUP(D377,Shrub_plantNative_Nonnative!A:B,2,FALSE),"Verificar")</f>
        <v>non</v>
      </c>
    </row>
    <row r="378" spans="1:5" x14ac:dyDescent="0.3">
      <c r="B378" s="21" t="s">
        <v>512</v>
      </c>
      <c r="C378" t="str">
        <f>IFERROR(VLOOKUP(B378,Shrub_plantNative_Nonnative!A:B,2,FALSE),"Verificar")</f>
        <v>non</v>
      </c>
      <c r="D378" s="14" t="s">
        <v>130</v>
      </c>
      <c r="E378" t="str">
        <f>IFERROR(VLOOKUP(D378,Shrub_plantNative_Nonnative!A:B,2,FALSE),"Verificar")</f>
        <v>native</v>
      </c>
    </row>
    <row r="379" spans="1:5" x14ac:dyDescent="0.3">
      <c r="B379" s="21" t="s">
        <v>90</v>
      </c>
      <c r="C379" t="str">
        <f>IFERROR(VLOOKUP(B379,Shrub_plantNative_Nonnative!A:B,2,FALSE),"Verificar")</f>
        <v>non</v>
      </c>
      <c r="D379" s="14" t="s">
        <v>513</v>
      </c>
      <c r="E379" t="str">
        <f>IFERROR(VLOOKUP(D379,Shrub_plantNative_Nonnative!A:B,2,FALSE),"Verificar")</f>
        <v>non</v>
      </c>
    </row>
    <row r="380" spans="1:5" x14ac:dyDescent="0.3">
      <c r="B380" s="21" t="s">
        <v>226</v>
      </c>
      <c r="C380" t="str">
        <f>IFERROR(VLOOKUP(B380,Shrub_plantNative_Nonnative!A:B,2,FALSE),"Verificar")</f>
        <v>non</v>
      </c>
      <c r="D380" s="41" t="s">
        <v>514</v>
      </c>
      <c r="E380" t="str">
        <f>IFERROR(VLOOKUP(D380,Shrub_plantNative_Nonnative!A:B,2,FALSE),"Verificar")</f>
        <v>non</v>
      </c>
    </row>
    <row r="381" spans="1:5" x14ac:dyDescent="0.3">
      <c r="B381" s="21" t="s">
        <v>58</v>
      </c>
      <c r="C381" t="str">
        <f>IFERROR(VLOOKUP(B381,Shrub_plantNative_Nonnative!A:B,2,FALSE),"Verificar")</f>
        <v>non</v>
      </c>
    </row>
    <row r="382" spans="1:5" x14ac:dyDescent="0.3">
      <c r="B382" s="21" t="s">
        <v>515</v>
      </c>
      <c r="C382" t="str">
        <f>IFERROR(VLOOKUP(B382,Shrub_plantNative_Nonnative!A:B,2,FALSE),"Verificar")</f>
        <v>non</v>
      </c>
    </row>
    <row r="383" spans="1:5" x14ac:dyDescent="0.3">
      <c r="B383" s="21" t="s">
        <v>516</v>
      </c>
      <c r="C383" t="str">
        <f>IFERROR(VLOOKUP(B383,Shrub_plantNative_Nonnative!A:B,2,FALSE),"Verificar")</f>
        <v>non</v>
      </c>
    </row>
    <row r="384" spans="1:5" x14ac:dyDescent="0.3">
      <c r="B384" s="21" t="s">
        <v>257</v>
      </c>
      <c r="C384" t="str">
        <f>IFERROR(VLOOKUP(B384,Shrub_plantNative_Nonnative!A:B,2,FALSE),"Verificar")</f>
        <v>non</v>
      </c>
    </row>
    <row r="385" spans="1:5" x14ac:dyDescent="0.3">
      <c r="B385" s="21" t="s">
        <v>435</v>
      </c>
      <c r="C385" t="str">
        <f>IFERROR(VLOOKUP(B385,Shrub_plantNative_Nonnative!A:B,2,FALSE),"Verificar")</f>
        <v>non</v>
      </c>
    </row>
    <row r="386" spans="1:5" x14ac:dyDescent="0.3">
      <c r="B386" s="21" t="s">
        <v>566</v>
      </c>
      <c r="C386" t="str">
        <f>IFERROR(VLOOKUP(B386,Shrub_plantNative_Nonnative!A:B,2,FALSE),"Verificar")</f>
        <v>non</v>
      </c>
    </row>
    <row r="387" spans="1:5" x14ac:dyDescent="0.3">
      <c r="B387" s="21" t="s">
        <v>517</v>
      </c>
      <c r="C387" t="str">
        <f>IFERROR(VLOOKUP(B387,Shrub_plantNative_Nonnative!A:B,2,FALSE),"Verificar")</f>
        <v>non</v>
      </c>
    </row>
    <row r="388" spans="1:5" x14ac:dyDescent="0.3">
      <c r="A388" s="78" t="s">
        <v>518</v>
      </c>
      <c r="B388" s="87" t="s">
        <v>522</v>
      </c>
      <c r="C388" t="str">
        <f>IFERROR(VLOOKUP(B388,Shrub_plantNative_Nonnative!A:B,2,FALSE),"Verificar")</f>
        <v>non</v>
      </c>
      <c r="D388" s="87" t="s">
        <v>521</v>
      </c>
      <c r="E388" t="str">
        <f>IFERROR(VLOOKUP(D388,Shrub_plantNative_Nonnative!A:B,2,FALSE),"Verificar")</f>
        <v>non</v>
      </c>
    </row>
    <row r="389" spans="1:5" x14ac:dyDescent="0.3">
      <c r="A389" s="78"/>
      <c r="B389" s="87" t="s">
        <v>523</v>
      </c>
      <c r="C389" t="str">
        <f>IFERROR(VLOOKUP(B389,Shrub_plantNative_Nonnative!A:B,2,FALSE),"Verificar")</f>
        <v>non</v>
      </c>
      <c r="D389" s="87" t="s">
        <v>219</v>
      </c>
      <c r="E389" t="str">
        <f>IFERROR(VLOOKUP(D389,Shrub_plantNative_Nonnative!A:B,2,FALSE),"Verificar")</f>
        <v>non</v>
      </c>
    </row>
    <row r="390" spans="1:5" x14ac:dyDescent="0.3">
      <c r="A390" s="78"/>
      <c r="B390" s="87" t="s">
        <v>526</v>
      </c>
      <c r="C390" t="str">
        <f>IFERROR(VLOOKUP(B390,Shrub_plantNative_Nonnative!A:B,2,FALSE),"Verificar")</f>
        <v>non</v>
      </c>
      <c r="D390" s="87" t="s">
        <v>525</v>
      </c>
      <c r="E390" t="str">
        <f>IFERROR(VLOOKUP(D390,Shrub_plantNative_Nonnative!A:B,2,FALSE),"Verificar")</f>
        <v>non</v>
      </c>
    </row>
    <row r="391" spans="1:5" x14ac:dyDescent="0.3">
      <c r="A391" s="78"/>
      <c r="B391" s="87" t="s">
        <v>528</v>
      </c>
      <c r="C391" t="str">
        <f>IFERROR(VLOOKUP(B391,Shrub_plantNative_Nonnative!A:B,2,FALSE),"Verificar")</f>
        <v>non</v>
      </c>
      <c r="D391" s="87" t="s">
        <v>1685</v>
      </c>
      <c r="E391" t="str">
        <f>IFERROR(VLOOKUP(D391,Shrub_plantNative_Nonnative!A:B,2,FALSE),"Verificar")</f>
        <v>non</v>
      </c>
    </row>
    <row r="392" spans="1:5" x14ac:dyDescent="0.3">
      <c r="A392" s="78"/>
      <c r="B392" s="87" t="s">
        <v>320</v>
      </c>
      <c r="C392" t="str">
        <f>IFERROR(VLOOKUP(B392,Shrub_plantNative_Nonnative!A:B,2,FALSE),"Verificar")</f>
        <v>non</v>
      </c>
      <c r="D392" s="87" t="s">
        <v>1718</v>
      </c>
      <c r="E392" t="str">
        <f>IFERROR(VLOOKUP(D392,Shrub_plantNative_Nonnative!A:B,2,FALSE),"Verificar")</f>
        <v>native</v>
      </c>
    </row>
    <row r="393" spans="1:5" x14ac:dyDescent="0.3">
      <c r="A393" s="78"/>
      <c r="B393" s="87" t="s">
        <v>58</v>
      </c>
      <c r="C393" t="str">
        <f>IFERROR(VLOOKUP(B393,Shrub_plantNative_Nonnative!A:B,2,FALSE),"Verificar")</f>
        <v>non</v>
      </c>
      <c r="D393" s="87" t="s">
        <v>529</v>
      </c>
      <c r="E393" t="str">
        <f>IFERROR(VLOOKUP(D393,Shrub_plantNative_Nonnative!A:B,2,FALSE),"Verificar")</f>
        <v>non</v>
      </c>
    </row>
    <row r="394" spans="1:5" x14ac:dyDescent="0.3">
      <c r="A394" s="78"/>
      <c r="B394" s="87" t="s">
        <v>263</v>
      </c>
      <c r="C394" t="str">
        <f>IFERROR(VLOOKUP(B394,Shrub_plantNative_Nonnative!A:B,2,FALSE),"Verificar")</f>
        <v>non</v>
      </c>
      <c r="D394" s="87" t="s">
        <v>406</v>
      </c>
      <c r="E394" t="str">
        <f>IFERROR(VLOOKUP(D394,Shrub_plantNative_Nonnative!A:B,2,FALSE),"Verificar")</f>
        <v>non</v>
      </c>
    </row>
    <row r="395" spans="1:5" x14ac:dyDescent="0.3">
      <c r="A395" s="78"/>
      <c r="B395" s="87" t="s">
        <v>415</v>
      </c>
      <c r="C395" t="str">
        <f>IFERROR(VLOOKUP(B395,Shrub_plantNative_Nonnative!A:B,2,FALSE),"Verificar")</f>
        <v>non</v>
      </c>
      <c r="D395" s="87" t="s">
        <v>530</v>
      </c>
      <c r="E395" t="str">
        <f>IFERROR(VLOOKUP(D395,Shrub_plantNative_Nonnative!A:B,2,FALSE),"Verificar")</f>
        <v>non</v>
      </c>
    </row>
    <row r="396" spans="1:5" x14ac:dyDescent="0.3">
      <c r="A396" s="78"/>
      <c r="B396" s="78"/>
      <c r="D396" s="87" t="s">
        <v>441</v>
      </c>
      <c r="E396" t="str">
        <f>IFERROR(VLOOKUP(D396,Shrub_plantNative_Nonnative!A:B,2,FALSE),"Verificar")</f>
        <v>native</v>
      </c>
    </row>
    <row r="397" spans="1:5" x14ac:dyDescent="0.3">
      <c r="A397" s="78"/>
      <c r="B397" s="78"/>
      <c r="D397" s="87" t="s">
        <v>442</v>
      </c>
      <c r="E397" t="str">
        <f>IFERROR(VLOOKUP(D397,Shrub_plantNative_Nonnative!A:B,2,FALSE),"Verificar")</f>
        <v>non</v>
      </c>
    </row>
    <row r="398" spans="1:5" x14ac:dyDescent="0.3">
      <c r="A398" s="78"/>
      <c r="B398" s="78"/>
      <c r="D398" s="87" t="s">
        <v>100</v>
      </c>
      <c r="E398" t="str">
        <f>IFERROR(VLOOKUP(D398,Shrub_plantNative_Nonnative!A:B,2,FALSE),"Verificar")</f>
        <v>non</v>
      </c>
    </row>
    <row r="399" spans="1:5" x14ac:dyDescent="0.3">
      <c r="A399" s="78"/>
      <c r="B399" s="78"/>
      <c r="D399" s="87" t="s">
        <v>531</v>
      </c>
      <c r="E399" t="str">
        <f>IFERROR(VLOOKUP(D399,Shrub_plantNative_Nonnative!A:B,2,FALSE),"Verificar")</f>
        <v>non</v>
      </c>
    </row>
    <row r="400" spans="1:5" x14ac:dyDescent="0.3">
      <c r="A400" s="78"/>
      <c r="B400" s="78"/>
      <c r="D400" s="87" t="s">
        <v>212</v>
      </c>
      <c r="E400" t="str">
        <f>IFERROR(VLOOKUP(D400,Shrub_plantNative_Nonnative!A:B,2,FALSE),"Verificar")</f>
        <v>non</v>
      </c>
    </row>
    <row r="401" spans="1:5" x14ac:dyDescent="0.3">
      <c r="A401" s="78"/>
      <c r="B401" s="78"/>
      <c r="D401" s="87" t="s">
        <v>532</v>
      </c>
      <c r="E401" t="str">
        <f>IFERROR(VLOOKUP(D401,Shrub_plantNative_Nonnative!A:B,2,FALSE),"Verificar")</f>
        <v>non</v>
      </c>
    </row>
    <row r="402" spans="1:5" x14ac:dyDescent="0.3">
      <c r="A402" s="78"/>
      <c r="B402" s="78"/>
      <c r="D402" s="87" t="s">
        <v>533</v>
      </c>
      <c r="E402" t="str">
        <f>IFERROR(VLOOKUP(D402,Shrub_plantNative_Nonnative!A:B,2,FALSE),"Verificar")</f>
        <v>non</v>
      </c>
    </row>
    <row r="403" spans="1:5" x14ac:dyDescent="0.3">
      <c r="A403" s="78"/>
      <c r="B403" s="78"/>
      <c r="D403" s="87" t="s">
        <v>216</v>
      </c>
      <c r="E403" t="str">
        <f>IFERROR(VLOOKUP(D403,Shrub_plantNative_Nonnative!A:B,2,FALSE),"Verificar")</f>
        <v>native</v>
      </c>
    </row>
    <row r="404" spans="1:5" x14ac:dyDescent="0.3">
      <c r="A404" t="s">
        <v>534</v>
      </c>
      <c r="B404" s="14" t="s">
        <v>539</v>
      </c>
      <c r="C404" t="str">
        <f>IFERROR(VLOOKUP(B404,Shrub_plantNative_Nonnative!A:B,2,FALSE),"Verificar")</f>
        <v>native</v>
      </c>
      <c r="D404" s="14" t="s">
        <v>537</v>
      </c>
      <c r="E404" t="str">
        <f>IFERROR(VLOOKUP(D404,Shrub_plantNative_Nonnative!A:B,2,FALSE),"Verificar")</f>
        <v>non</v>
      </c>
    </row>
    <row r="405" spans="1:5" x14ac:dyDescent="0.3">
      <c r="B405" s="22" t="s">
        <v>541</v>
      </c>
      <c r="C405" t="str">
        <f>IFERROR(VLOOKUP(B405,Shrub_plantNative_Nonnative!A:B,2,FALSE),"Verificar")</f>
        <v>non</v>
      </c>
      <c r="D405" s="3" t="s">
        <v>540</v>
      </c>
      <c r="E405" t="str">
        <f>IFERROR(VLOOKUP(D405,Shrub_plantNative_Nonnative!A:B,2,FALSE),"Verificar")</f>
        <v>non</v>
      </c>
    </row>
    <row r="406" spans="1:5" x14ac:dyDescent="0.3">
      <c r="B406" s="22" t="s">
        <v>123</v>
      </c>
      <c r="C406" t="str">
        <f>IFERROR(VLOOKUP(B406,Shrub_plantNative_Nonnative!A:B,2,FALSE),"Verificar")</f>
        <v>native</v>
      </c>
      <c r="D406" s="14" t="s">
        <v>542</v>
      </c>
      <c r="E406" t="str">
        <f>IFERROR(VLOOKUP(D406,Shrub_plantNative_Nonnative!A:B,2,FALSE),"Verificar")</f>
        <v>non</v>
      </c>
    </row>
    <row r="407" spans="1:5" x14ac:dyDescent="0.3">
      <c r="B407" s="22" t="s">
        <v>544</v>
      </c>
      <c r="C407" t="str">
        <f>IFERROR(VLOOKUP(B407,Shrub_plantNative_Nonnative!A:B,2,FALSE),"Verificar")</f>
        <v>non</v>
      </c>
      <c r="D407" s="14" t="s">
        <v>406</v>
      </c>
      <c r="E407" t="str">
        <f>IFERROR(VLOOKUP(D407,Shrub_plantNative_Nonnative!A:B,2,FALSE),"Verificar")</f>
        <v>non</v>
      </c>
    </row>
    <row r="408" spans="1:5" x14ac:dyDescent="0.3">
      <c r="B408" s="22" t="s">
        <v>547</v>
      </c>
      <c r="C408" t="str">
        <f>IFERROR(VLOOKUP(B408,Shrub_plantNative_Nonnative!A:B,2,FALSE),"Verificar")</f>
        <v>non</v>
      </c>
      <c r="D408" s="14" t="s">
        <v>546</v>
      </c>
      <c r="E408" t="s">
        <v>1062</v>
      </c>
    </row>
    <row r="409" spans="1:5" x14ac:dyDescent="0.3">
      <c r="B409" s="22" t="s">
        <v>548</v>
      </c>
      <c r="C409" t="str">
        <f>IFERROR(VLOOKUP(B409,Shrub_plantNative_Nonnative!A:B,2,FALSE),"Verificar")</f>
        <v>non</v>
      </c>
      <c r="D409" s="14" t="s">
        <v>116</v>
      </c>
      <c r="E409" t="str">
        <f>IFERROR(VLOOKUP(D409,Shrub_plantNative_Nonnative!A:B,2,FALSE),"Verificar")</f>
        <v>non</v>
      </c>
    </row>
    <row r="410" spans="1:5" x14ac:dyDescent="0.3">
      <c r="D410" s="14" t="s">
        <v>549</v>
      </c>
      <c r="E410" t="str">
        <f>IFERROR(VLOOKUP(D410,Shrub_plantNative_Nonnative!A:B,2,FALSE),"Verificar")</f>
        <v>non</v>
      </c>
    </row>
    <row r="411" spans="1:5" x14ac:dyDescent="0.3">
      <c r="A411" s="78" t="s">
        <v>550</v>
      </c>
      <c r="B411" s="86" t="s">
        <v>222</v>
      </c>
      <c r="C411" t="str">
        <f>IFERROR(VLOOKUP(B411,Shrub_plantNative_Nonnative!A:B,2,FALSE),"Verificar")</f>
        <v>non</v>
      </c>
      <c r="D411" s="87" t="s">
        <v>553</v>
      </c>
      <c r="E411" t="str">
        <f>IFERROR(VLOOKUP(D411,Shrub_plantNative_Nonnative!A:B,2,FALSE),"Verificar")</f>
        <v>non</v>
      </c>
    </row>
    <row r="412" spans="1:5" x14ac:dyDescent="0.3">
      <c r="A412" s="78"/>
      <c r="B412" s="86" t="s">
        <v>179</v>
      </c>
      <c r="C412" t="str">
        <f>IFERROR(VLOOKUP(B412,Shrub_plantNative_Nonnative!A:B,2,FALSE),"Verificar")</f>
        <v>non</v>
      </c>
      <c r="D412" s="87" t="s">
        <v>554</v>
      </c>
      <c r="E412" t="str">
        <f>IFERROR(VLOOKUP(D412,Shrub_plantNative_Nonnative!A:B,2,FALSE),"Verificar")</f>
        <v>non</v>
      </c>
    </row>
    <row r="413" spans="1:5" x14ac:dyDescent="0.3">
      <c r="A413" s="78"/>
      <c r="B413" s="86" t="s">
        <v>556</v>
      </c>
      <c r="C413" t="str">
        <f>IFERROR(VLOOKUP(B413,Shrub_plantNative_Nonnative!A:B,2,FALSE),"Verificar")</f>
        <v>non</v>
      </c>
      <c r="D413" s="87" t="s">
        <v>555</v>
      </c>
      <c r="E413" t="str">
        <f>IFERROR(VLOOKUP(D413,Shrub_plantNative_Nonnative!A:B,2,FALSE),"Verificar")</f>
        <v>non</v>
      </c>
    </row>
    <row r="414" spans="1:5" x14ac:dyDescent="0.3">
      <c r="A414" s="78"/>
      <c r="B414" s="86" t="s">
        <v>219</v>
      </c>
      <c r="C414" t="str">
        <f>IFERROR(VLOOKUP(B414,Shrub_plantNative_Nonnative!A:B,2,FALSE),"Verificar")</f>
        <v>non</v>
      </c>
      <c r="D414" s="87" t="s">
        <v>434</v>
      </c>
      <c r="E414" t="str">
        <f>IFERROR(VLOOKUP(D414,Shrub_plantNative_Nonnative!A:B,2,FALSE),"Verificar")</f>
        <v>non</v>
      </c>
    </row>
    <row r="415" spans="1:5" x14ac:dyDescent="0.3">
      <c r="A415" s="78"/>
      <c r="B415" s="86" t="s">
        <v>423</v>
      </c>
      <c r="C415" t="str">
        <f>IFERROR(VLOOKUP(B415,Shrub_plantNative_Nonnative!A:B,2,FALSE),"Verificar")</f>
        <v>non</v>
      </c>
      <c r="D415" s="87" t="s">
        <v>443</v>
      </c>
      <c r="E415" t="str">
        <f>IFERROR(VLOOKUP(D415,Shrub_plantNative_Nonnative!A:B,2,FALSE),"Verificar")</f>
        <v>non</v>
      </c>
    </row>
    <row r="416" spans="1:5" x14ac:dyDescent="0.3">
      <c r="A416" s="78"/>
      <c r="B416" s="86" t="s">
        <v>557</v>
      </c>
      <c r="C416" t="str">
        <f>IFERROR(VLOOKUP(B416,Shrub_plantNative_Nonnative!A:B,2,FALSE),"Verificar")</f>
        <v>non</v>
      </c>
      <c r="D416" s="87" t="s">
        <v>108</v>
      </c>
      <c r="E416" t="str">
        <f>IFERROR(VLOOKUP(D416,Shrub_plantNative_Nonnative!A:B,2,FALSE),"Verificar")</f>
        <v>native</v>
      </c>
    </row>
    <row r="417" spans="1:5" x14ac:dyDescent="0.3">
      <c r="A417" s="78"/>
      <c r="B417" s="86" t="s">
        <v>559</v>
      </c>
      <c r="C417" t="str">
        <f>IFERROR(VLOOKUP(B417,Shrub_plantNative_Nonnative!A:B,2,FALSE),"Verificar")</f>
        <v>non</v>
      </c>
      <c r="D417" s="87" t="s">
        <v>558</v>
      </c>
      <c r="E417" t="str">
        <f>IFERROR(VLOOKUP(D417,Shrub_plantNative_Nonnative!A:B,2,FALSE),"Verificar")</f>
        <v>non</v>
      </c>
    </row>
    <row r="418" spans="1:5" x14ac:dyDescent="0.3">
      <c r="A418" s="78"/>
      <c r="B418" s="86" t="s">
        <v>560</v>
      </c>
      <c r="C418" t="str">
        <f>IFERROR(VLOOKUP(B418,Shrub_plantNative_Nonnative!A:B,2,FALSE),"Verificar")</f>
        <v>non</v>
      </c>
      <c r="D418" s="87" t="s">
        <v>106</v>
      </c>
      <c r="E418" t="str">
        <f>IFERROR(VLOOKUP(D418,Shrub_plantNative_Nonnative!A:B,2,FALSE),"Verificar")</f>
        <v>non</v>
      </c>
    </row>
    <row r="419" spans="1:5" x14ac:dyDescent="0.3">
      <c r="A419" s="78"/>
      <c r="B419" s="86" t="s">
        <v>352</v>
      </c>
      <c r="C419" t="str">
        <f>IFERROR(VLOOKUP(B419,Shrub_plantNative_Nonnative!A:B,2,FALSE),"Verificar")</f>
        <v>non</v>
      </c>
      <c r="D419" s="87" t="s">
        <v>531</v>
      </c>
      <c r="E419" t="str">
        <f>IFERROR(VLOOKUP(D419,Shrub_plantNative_Nonnative!A:B,2,FALSE),"Verificar")</f>
        <v>non</v>
      </c>
    </row>
    <row r="420" spans="1:5" x14ac:dyDescent="0.3">
      <c r="A420" s="78"/>
      <c r="B420" s="86" t="s">
        <v>561</v>
      </c>
      <c r="C420" t="str">
        <f>IFERROR(VLOOKUP(B420,Shrub_plantNative_Nonnative!A:B,2,FALSE),"Verificar")</f>
        <v>non</v>
      </c>
      <c r="D420" s="87" t="s">
        <v>421</v>
      </c>
      <c r="E420" t="str">
        <f>IFERROR(VLOOKUP(D420,Shrub_plantNative_Nonnative!A:B,2,FALSE),"Verificar")</f>
        <v>non</v>
      </c>
    </row>
    <row r="421" spans="1:5" x14ac:dyDescent="0.3">
      <c r="A421" s="78"/>
      <c r="B421" s="86" t="s">
        <v>562</v>
      </c>
      <c r="C421" t="str">
        <f>IFERROR(VLOOKUP(B421,Shrub_plantNative_Nonnative!A:B,2,FALSE),"Verificar")</f>
        <v>non</v>
      </c>
      <c r="D421" s="87" t="s">
        <v>95</v>
      </c>
      <c r="E421" t="str">
        <f>IFERROR(VLOOKUP(D421,Shrub_plantNative_Nonnative!A:B,2,FALSE),"Verificar")</f>
        <v>non</v>
      </c>
    </row>
    <row r="422" spans="1:5" x14ac:dyDescent="0.3">
      <c r="A422" s="78"/>
      <c r="B422" s="86" t="s">
        <v>563</v>
      </c>
      <c r="C422" t="str">
        <f>IFERROR(VLOOKUP(B422,Shrub_plantNative_Nonnative!A:B,2,FALSE),"Verificar")</f>
        <v>native</v>
      </c>
      <c r="D422" s="87" t="s">
        <v>406</v>
      </c>
      <c r="E422" t="str">
        <f>IFERROR(VLOOKUP(D422,Shrub_plantNative_Nonnative!A:B,2,FALSE),"Verificar")</f>
        <v>non</v>
      </c>
    </row>
    <row r="423" spans="1:5" x14ac:dyDescent="0.3">
      <c r="A423" s="78"/>
      <c r="B423" s="86" t="s">
        <v>565</v>
      </c>
      <c r="C423" t="str">
        <f>IFERROR(VLOOKUP(B423,Shrub_plantNative_Nonnative!A:B,2,FALSE),"Verificar")</f>
        <v>non</v>
      </c>
      <c r="D423" s="87" t="s">
        <v>1760</v>
      </c>
      <c r="E423" t="str">
        <f>IFERROR(VLOOKUP(D423,Shrub_plantNative_Nonnative!A:B,2,FALSE),"Verificar")</f>
        <v>non</v>
      </c>
    </row>
    <row r="424" spans="1:5" x14ac:dyDescent="0.3">
      <c r="A424" s="78"/>
      <c r="B424" s="86" t="s">
        <v>297</v>
      </c>
      <c r="C424" t="str">
        <f>IFERROR(VLOOKUP(B424,Shrub_plantNative_Nonnative!A:B,2,FALSE),"Verificar")</f>
        <v>non</v>
      </c>
      <c r="D424" s="78"/>
    </row>
    <row r="425" spans="1:5" x14ac:dyDescent="0.3">
      <c r="A425" s="78"/>
      <c r="B425" s="86" t="s">
        <v>566</v>
      </c>
      <c r="C425" t="str">
        <f>IFERROR(VLOOKUP(B425,Shrub_plantNative_Nonnative!A:B,2,FALSE),"Verificar")</f>
        <v>non</v>
      </c>
      <c r="D425" s="78"/>
    </row>
    <row r="426" spans="1:5" x14ac:dyDescent="0.3">
      <c r="A426" s="78"/>
      <c r="B426" s="86" t="s">
        <v>172</v>
      </c>
      <c r="C426" t="str">
        <f>IFERROR(VLOOKUP(B426,Shrub_plantNative_Nonnative!A:B,2,FALSE),"Verificar")</f>
        <v>native</v>
      </c>
      <c r="D426" s="78"/>
    </row>
    <row r="427" spans="1:5" x14ac:dyDescent="0.3">
      <c r="A427" s="78"/>
      <c r="B427" s="86" t="s">
        <v>567</v>
      </c>
      <c r="C427" t="str">
        <f>IFERROR(VLOOKUP(B427,Shrub_plantNative_Nonnative!A:B,2,FALSE),"Verificar")</f>
        <v>non</v>
      </c>
      <c r="D427" s="78"/>
    </row>
    <row r="428" spans="1:5" x14ac:dyDescent="0.3">
      <c r="A428" s="78"/>
      <c r="B428" s="86" t="s">
        <v>1768</v>
      </c>
      <c r="C428" t="str">
        <f>IFERROR(VLOOKUP(B428,Shrub_plantNative_Nonnative!A:B,2,FALSE),"Verificar")</f>
        <v>non</v>
      </c>
      <c r="D428" s="78"/>
    </row>
    <row r="429" spans="1:5" x14ac:dyDescent="0.3">
      <c r="A429" s="78"/>
      <c r="B429" s="86" t="s">
        <v>569</v>
      </c>
      <c r="C429" t="str">
        <f>IFERROR(VLOOKUP(B429,Shrub_plantNative_Nonnative!A:B,2,FALSE),"Verificar")</f>
        <v>native</v>
      </c>
      <c r="D429" s="78"/>
    </row>
    <row r="430" spans="1:5" x14ac:dyDescent="0.3">
      <c r="A430" s="78"/>
      <c r="B430" s="86" t="s">
        <v>293</v>
      </c>
      <c r="C430" t="str">
        <f>IFERROR(VLOOKUP(B430,Shrub_plantNative_Nonnative!A:B,2,FALSE),"Verificar")</f>
        <v>non</v>
      </c>
      <c r="D430" s="78"/>
    </row>
    <row r="431" spans="1:5" x14ac:dyDescent="0.3">
      <c r="A431" s="78"/>
      <c r="B431" s="86" t="s">
        <v>163</v>
      </c>
      <c r="C431" t="str">
        <f>IFERROR(VLOOKUP(B431,Shrub_plantNative_Nonnative!A:B,2,FALSE),"Verificar")</f>
        <v>non</v>
      </c>
      <c r="D431" s="78"/>
    </row>
    <row r="432" spans="1:5" x14ac:dyDescent="0.3">
      <c r="A432" s="78"/>
      <c r="B432" s="86" t="s">
        <v>339</v>
      </c>
      <c r="C432" t="str">
        <f>IFERROR(VLOOKUP(B432,Shrub_plantNative_Nonnative!A:B,2,FALSE),"Verificar")</f>
        <v>non</v>
      </c>
      <c r="D432" s="78"/>
    </row>
    <row r="433" spans="1:5" x14ac:dyDescent="0.3">
      <c r="A433" s="78"/>
      <c r="B433" s="86" t="s">
        <v>226</v>
      </c>
      <c r="C433" t="str">
        <f>IFERROR(VLOOKUP(B433,Shrub_plantNative_Nonnative!A:B,2,FALSE),"Verificar")</f>
        <v>non</v>
      </c>
      <c r="D433" s="78"/>
    </row>
    <row r="434" spans="1:5" x14ac:dyDescent="0.3">
      <c r="A434" t="s">
        <v>570</v>
      </c>
      <c r="B434" s="32" t="s">
        <v>148</v>
      </c>
      <c r="C434" t="str">
        <f>IFERROR(VLOOKUP(B434,Shrub_plantNative_Nonnative!A:B,2,FALSE),"Verificar")</f>
        <v>non</v>
      </c>
      <c r="D434" s="25" t="s">
        <v>572</v>
      </c>
      <c r="E434" t="str">
        <f>IFERROR(VLOOKUP(D434,Shrub_plantNative_Nonnative!A:B,2,FALSE),"Verificar")</f>
        <v>non</v>
      </c>
    </row>
    <row r="435" spans="1:5" x14ac:dyDescent="0.3">
      <c r="B435" s="32" t="s">
        <v>563</v>
      </c>
      <c r="C435" t="str">
        <f>IFERROR(VLOOKUP(B435,Shrub_plantNative_Nonnative!A:B,2,FALSE),"Verificar")</f>
        <v>native</v>
      </c>
      <c r="D435" s="25" t="s">
        <v>558</v>
      </c>
      <c r="E435" t="str">
        <f>IFERROR(VLOOKUP(D435,Shrub_plantNative_Nonnative!A:B,2,FALSE),"Verificar")</f>
        <v>non</v>
      </c>
    </row>
    <row r="436" spans="1:5" x14ac:dyDescent="0.3">
      <c r="B436" s="32" t="s">
        <v>380</v>
      </c>
      <c r="C436" t="str">
        <f>IFERROR(VLOOKUP(B436,Shrub_plantNative_Nonnative!A:B,2,FALSE),"Verificar")</f>
        <v>non</v>
      </c>
      <c r="D436" s="25" t="s">
        <v>58</v>
      </c>
      <c r="E436" t="str">
        <f>IFERROR(VLOOKUP(D436,Shrub_plantNative_Nonnative!A:B,2,FALSE),"Verificar")</f>
        <v>non</v>
      </c>
    </row>
    <row r="437" spans="1:5" x14ac:dyDescent="0.3">
      <c r="B437" s="32" t="s">
        <v>324</v>
      </c>
      <c r="C437" t="str">
        <f>IFERROR(VLOOKUP(B437,Shrub_plantNative_Nonnative!A:B,2,FALSE),"Verificar")</f>
        <v>non</v>
      </c>
      <c r="D437" s="25" t="s">
        <v>384</v>
      </c>
      <c r="E437" t="str">
        <f>IFERROR(VLOOKUP(D437,Shrub_plantNative_Nonnative!A:B,2,FALSE),"Verificar")</f>
        <v>non</v>
      </c>
    </row>
    <row r="438" spans="1:5" x14ac:dyDescent="0.3">
      <c r="B438" s="32" t="s">
        <v>222</v>
      </c>
      <c r="C438" t="str">
        <f>IFERROR(VLOOKUP(B438,Shrub_plantNative_Nonnative!A:B,2,FALSE),"Verificar")</f>
        <v>non</v>
      </c>
      <c r="D438" s="25" t="s">
        <v>573</v>
      </c>
      <c r="E438" t="str">
        <f>IFERROR(VLOOKUP(D438,Shrub_plantNative_Nonnative!A:B,2,FALSE),"Verificar")</f>
        <v>non</v>
      </c>
    </row>
    <row r="439" spans="1:5" x14ac:dyDescent="0.3">
      <c r="B439" s="32" t="s">
        <v>162</v>
      </c>
      <c r="C439" t="str">
        <f>IFERROR(VLOOKUP(B439,Shrub_plantNative_Nonnative!A:B,2,FALSE),"Verificar")</f>
        <v>non</v>
      </c>
      <c r="D439" s="25" t="s">
        <v>108</v>
      </c>
      <c r="E439" t="str">
        <f>IFERROR(VLOOKUP(D439,Shrub_plantNative_Nonnative!A:B,2,FALSE),"Verificar")</f>
        <v>native</v>
      </c>
    </row>
    <row r="440" spans="1:5" x14ac:dyDescent="0.3">
      <c r="B440" s="32" t="s">
        <v>266</v>
      </c>
      <c r="C440" t="str">
        <f>IFERROR(VLOOKUP(B440,Shrub_plantNative_Nonnative!A:B,2,FALSE),"Verificar")</f>
        <v>native</v>
      </c>
      <c r="D440" s="25" t="s">
        <v>219</v>
      </c>
      <c r="E440" t="str">
        <f>IFERROR(VLOOKUP(D440,Shrub_plantNative_Nonnative!A:B,2,FALSE),"Verificar")</f>
        <v>non</v>
      </c>
    </row>
    <row r="441" spans="1:5" x14ac:dyDescent="0.3">
      <c r="B441" s="32" t="s">
        <v>1731</v>
      </c>
      <c r="C441" t="str">
        <f>IFERROR(VLOOKUP(B441,Shrub_plantNative_Nonnative!A:B,2,FALSE),"Verificar")</f>
        <v>non</v>
      </c>
    </row>
    <row r="442" spans="1:5" x14ac:dyDescent="0.3">
      <c r="B442" s="32" t="s">
        <v>1767</v>
      </c>
      <c r="C442" t="str">
        <f>IFERROR(VLOOKUP(B442,Shrub_plantNative_Nonnative!A:B,2,FALSE),"Verificar")</f>
        <v>native</v>
      </c>
    </row>
    <row r="443" spans="1:5" x14ac:dyDescent="0.3">
      <c r="A443" s="78" t="s">
        <v>576</v>
      </c>
      <c r="B443" s="82" t="s">
        <v>581</v>
      </c>
      <c r="C443" t="str">
        <f>IFERROR(VLOOKUP(B443,Shrub_plantNative_Nonnative!A:B,2,FALSE),"Verificar")</f>
        <v>non</v>
      </c>
      <c r="D443" s="79" t="s">
        <v>580</v>
      </c>
      <c r="E443" t="str">
        <f>IFERROR(VLOOKUP(D443,Shrub_plantNative_Nonnative!A:B,2,FALSE),"Verificar")</f>
        <v>non</v>
      </c>
    </row>
    <row r="444" spans="1:5" x14ac:dyDescent="0.3">
      <c r="A444" s="78"/>
      <c r="B444" s="82" t="s">
        <v>78</v>
      </c>
      <c r="C444" t="str">
        <f>IFERROR(VLOOKUP(B444,Shrub_plantNative_Nonnative!A:B,2,FALSE),"Verificar")</f>
        <v>non</v>
      </c>
      <c r="D444" s="79" t="s">
        <v>216</v>
      </c>
      <c r="E444" t="str">
        <f>IFERROR(VLOOKUP(D444,Shrub_plantNative_Nonnative!A:B,2,FALSE),"Verificar")</f>
        <v>native</v>
      </c>
    </row>
    <row r="445" spans="1:5" x14ac:dyDescent="0.3">
      <c r="A445" s="78"/>
      <c r="B445" s="82" t="s">
        <v>583</v>
      </c>
      <c r="C445" t="str">
        <f>IFERROR(VLOOKUP(B445,Shrub_plantNative_Nonnative!A:B,2,FALSE),"Verificar")</f>
        <v>non</v>
      </c>
      <c r="D445" s="79" t="s">
        <v>582</v>
      </c>
      <c r="E445" t="str">
        <f>IFERROR(VLOOKUP(D445,Shrub_plantNative_Nonnative!A:B,2,FALSE),"Verificar")</f>
        <v>non</v>
      </c>
    </row>
    <row r="446" spans="1:5" x14ac:dyDescent="0.3">
      <c r="A446" s="78"/>
      <c r="B446" s="82" t="s">
        <v>680</v>
      </c>
      <c r="C446" t="str">
        <f>IFERROR(VLOOKUP(B446,Shrub_plantNative_Nonnative!A:B,2,FALSE),"Verificar")</f>
        <v>non</v>
      </c>
      <c r="D446" s="79" t="s">
        <v>130</v>
      </c>
      <c r="E446" t="str">
        <f>IFERROR(VLOOKUP(D446,Shrub_plantNative_Nonnative!A:B,2,FALSE),"Verificar")</f>
        <v>native</v>
      </c>
    </row>
    <row r="447" spans="1:5" x14ac:dyDescent="0.3">
      <c r="A447" s="78"/>
      <c r="B447" s="82" t="s">
        <v>76</v>
      </c>
      <c r="C447" t="str">
        <f>IFERROR(VLOOKUP(B447,Shrub_plantNative_Nonnative!A:B,2,FALSE),"Verificar")</f>
        <v>non</v>
      </c>
      <c r="D447" s="79" t="s">
        <v>585</v>
      </c>
      <c r="E447" t="str">
        <f>IFERROR(VLOOKUP(D447,Shrub_plantNative_Nonnative!A:B,2,FALSE),"Verificar")</f>
        <v>non</v>
      </c>
    </row>
    <row r="448" spans="1:5" x14ac:dyDescent="0.3">
      <c r="A448" s="78"/>
      <c r="B448" s="82" t="s">
        <v>586</v>
      </c>
      <c r="C448" t="str">
        <f>IFERROR(VLOOKUP(B448,Shrub_plantNative_Nonnative!A:B,2,FALSE),"Verificar")</f>
        <v>non</v>
      </c>
      <c r="D448" s="79" t="s">
        <v>169</v>
      </c>
      <c r="E448" t="str">
        <f>IFERROR(VLOOKUP(D448,Shrub_plantNative_Nonnative!A:B,2,FALSE),"Verificar")</f>
        <v>non</v>
      </c>
    </row>
    <row r="449" spans="1:5" x14ac:dyDescent="0.3">
      <c r="A449" s="78"/>
      <c r="B449" s="82" t="s">
        <v>121</v>
      </c>
      <c r="C449" t="str">
        <f>IFERROR(VLOOKUP(B449,Shrub_plantNative_Nonnative!A:B,2,FALSE),"Verificar")</f>
        <v>non</v>
      </c>
      <c r="D449" s="79" t="s">
        <v>489</v>
      </c>
      <c r="E449" t="str">
        <f>IFERROR(VLOOKUP(D449,Shrub_plantNative_Nonnative!A:B,2,FALSE),"Verificar")</f>
        <v>non</v>
      </c>
    </row>
    <row r="450" spans="1:5" x14ac:dyDescent="0.3">
      <c r="A450" s="78"/>
      <c r="B450" s="84" t="s">
        <v>42</v>
      </c>
      <c r="C450" t="str">
        <f>IFERROR(VLOOKUP(B450,Shrub_plantNative_Nonnative!A:B,2,FALSE),"Verificar")</f>
        <v>non</v>
      </c>
      <c r="D450" s="83" t="s">
        <v>485</v>
      </c>
      <c r="E450" t="str">
        <f>IFERROR(VLOOKUP(D450,Shrub_plantNative_Nonnative!A:B,2,FALSE),"Verificar")</f>
        <v>non</v>
      </c>
    </row>
    <row r="451" spans="1:5" x14ac:dyDescent="0.3">
      <c r="A451" s="78"/>
      <c r="B451" s="83" t="s">
        <v>588</v>
      </c>
      <c r="C451" t="str">
        <f>IFERROR(VLOOKUP(B451,Shrub_plantNative_Nonnative!A:B,2,FALSE),"Verificar")</f>
        <v>non</v>
      </c>
      <c r="D451" s="83" t="s">
        <v>587</v>
      </c>
      <c r="E451" t="str">
        <f>IFERROR(VLOOKUP(D451,Shrub_plantNative_Nonnative!A:B,2,FALSE),"Verificar")</f>
        <v>non</v>
      </c>
    </row>
    <row r="452" spans="1:5" x14ac:dyDescent="0.3">
      <c r="A452" s="78"/>
      <c r="B452" s="83" t="s">
        <v>114</v>
      </c>
      <c r="C452" t="str">
        <f>IFERROR(VLOOKUP(B452,Shrub_plantNative_Nonnative!A:B,2,FALSE),"Verificar")</f>
        <v>non</v>
      </c>
      <c r="D452" s="83" t="s">
        <v>589</v>
      </c>
      <c r="E452" t="str">
        <f>IFERROR(VLOOKUP(D452,Shrub_plantNative_Nonnative!A:B,2,FALSE),"Verificar")</f>
        <v>non</v>
      </c>
    </row>
    <row r="453" spans="1:5" x14ac:dyDescent="0.3">
      <c r="A453" s="78"/>
      <c r="B453" s="83" t="s">
        <v>592</v>
      </c>
      <c r="C453" t="str">
        <f>IFERROR(VLOOKUP(B453,Shrub_plantNative_Nonnative!A:B,2,FALSE),"Verificar")</f>
        <v>non</v>
      </c>
      <c r="D453" s="83" t="s">
        <v>590</v>
      </c>
      <c r="E453" t="str">
        <f>IFERROR(VLOOKUP(D453,Shrub_plantNative_Nonnative!A:B,2,FALSE),"Verificar")</f>
        <v>non</v>
      </c>
    </row>
    <row r="454" spans="1:5" x14ac:dyDescent="0.3">
      <c r="A454" s="78"/>
      <c r="B454" s="83" t="s">
        <v>1766</v>
      </c>
      <c r="C454" t="str">
        <f>IFERROR(VLOOKUP(B454,Shrub_plantNative_Nonnative!A:B,2,FALSE),"Verificar")</f>
        <v>non</v>
      </c>
      <c r="D454" s="83" t="s">
        <v>593</v>
      </c>
      <c r="E454" t="str">
        <f>IFERROR(VLOOKUP(D454,Shrub_plantNative_Nonnative!A:B,2,FALSE),"Verificar")</f>
        <v>non</v>
      </c>
    </row>
    <row r="455" spans="1:5" x14ac:dyDescent="0.3">
      <c r="A455" s="78"/>
      <c r="B455" s="78"/>
      <c r="D455" s="83" t="s">
        <v>595</v>
      </c>
      <c r="E455" t="str">
        <f>IFERROR(VLOOKUP(D455,Shrub_plantNative_Nonnative!A:B,2,FALSE),"Verificar")</f>
        <v>non</v>
      </c>
    </row>
    <row r="456" spans="1:5" x14ac:dyDescent="0.3">
      <c r="A456" s="78"/>
      <c r="B456" s="78"/>
      <c r="D456" s="83" t="s">
        <v>116</v>
      </c>
      <c r="E456" t="str">
        <f>IFERROR(VLOOKUP(D456,Shrub_plantNative_Nonnative!A:B,2,FALSE),"Verificar")</f>
        <v>non</v>
      </c>
    </row>
    <row r="457" spans="1:5" x14ac:dyDescent="0.3">
      <c r="A457" s="78"/>
      <c r="B457" s="78"/>
      <c r="D457" s="83" t="s">
        <v>596</v>
      </c>
      <c r="E457" t="str">
        <f>IFERROR(VLOOKUP(D457,Shrub_plantNative_Nonnative!A:B,2,FALSE),"Verificar")</f>
        <v>non</v>
      </c>
    </row>
    <row r="458" spans="1:5" x14ac:dyDescent="0.3">
      <c r="A458" s="78"/>
      <c r="B458" s="78"/>
      <c r="D458" s="83" t="s">
        <v>597</v>
      </c>
      <c r="E458" t="str">
        <f>IFERROR(VLOOKUP(D458,Shrub_plantNative_Nonnative!A:B,2,FALSE),"Verificar")</f>
        <v>non</v>
      </c>
    </row>
    <row r="459" spans="1:5" x14ac:dyDescent="0.3">
      <c r="A459" t="s">
        <v>599</v>
      </c>
      <c r="B459" s="9" t="s">
        <v>602</v>
      </c>
      <c r="C459" t="str">
        <f>IFERROR(VLOOKUP(B459,Shrub_plantNative_Nonnative!A:B,2,FALSE),"Verificar")</f>
        <v>non</v>
      </c>
      <c r="D459" s="14" t="s">
        <v>132</v>
      </c>
      <c r="E459" t="str">
        <f>IFERROR(VLOOKUP(D459,Shrub_plantNative_Nonnative!A:B,2,FALSE),"Verificar")</f>
        <v>non</v>
      </c>
    </row>
    <row r="460" spans="1:5" x14ac:dyDescent="0.3">
      <c r="B460" s="9" t="s">
        <v>1765</v>
      </c>
      <c r="C460" t="str">
        <f>IFERROR(VLOOKUP(B460,Shrub_plantNative_Nonnative!A:B,2,FALSE),"Verificar")</f>
        <v>non</v>
      </c>
      <c r="D460" s="14" t="s">
        <v>113</v>
      </c>
      <c r="E460" t="str">
        <f>IFERROR(VLOOKUP(D460,Shrub_plantNative_Nonnative!A:B,2,FALSE),"Verificar")</f>
        <v>native</v>
      </c>
    </row>
    <row r="461" spans="1:5" x14ac:dyDescent="0.3">
      <c r="B461" s="9" t="s">
        <v>604</v>
      </c>
      <c r="C461" t="str">
        <f>IFERROR(VLOOKUP(B461,Shrub_plantNative_Nonnative!A:B,2,FALSE),"Verificar")</f>
        <v>non</v>
      </c>
    </row>
    <row r="462" spans="1:5" x14ac:dyDescent="0.3">
      <c r="B462" s="9" t="s">
        <v>210</v>
      </c>
      <c r="C462" t="str">
        <f>IFERROR(VLOOKUP(B462,Shrub_plantNative_Nonnative!A:B,2,FALSE),"Verificar")</f>
        <v>non</v>
      </c>
    </row>
    <row r="463" spans="1:5" x14ac:dyDescent="0.3">
      <c r="B463" s="9" t="s">
        <v>285</v>
      </c>
      <c r="C463" t="str">
        <f>IFERROR(VLOOKUP(B463,Shrub_plantNative_Nonnative!A:B,2,FALSE),"Verificar")</f>
        <v>non</v>
      </c>
    </row>
    <row r="464" spans="1:5" x14ac:dyDescent="0.3">
      <c r="B464" s="9" t="s">
        <v>605</v>
      </c>
      <c r="C464" t="str">
        <f>IFERROR(VLOOKUP(B464,Shrub_plantNative_Nonnative!A:B,2,FALSE),"Verificar")</f>
        <v>non</v>
      </c>
    </row>
    <row r="465" spans="2:3" x14ac:dyDescent="0.3">
      <c r="B465" s="9" t="s">
        <v>226</v>
      </c>
      <c r="C465" t="str">
        <f>IFERROR(VLOOKUP(B465,Shrub_plantNative_Nonnative!A:B,2,FALSE),"Verificar")</f>
        <v>non</v>
      </c>
    </row>
    <row r="466" spans="2:3" x14ac:dyDescent="0.3">
      <c r="B466" s="9" t="s">
        <v>606</v>
      </c>
      <c r="C466" t="str">
        <f>IFERROR(VLOOKUP(B466,Shrub_plantNative_Nonnative!A:B,2,FALSE),"Verificar")</f>
        <v>non</v>
      </c>
    </row>
    <row r="467" spans="2:3" x14ac:dyDescent="0.3">
      <c r="B467" s="9" t="s">
        <v>607</v>
      </c>
      <c r="C467" t="str">
        <f>IFERROR(VLOOKUP(B467,Shrub_plantNative_Nonnative!A:B,2,FALSE),"Verificar")</f>
        <v>non</v>
      </c>
    </row>
    <row r="468" spans="2:3" x14ac:dyDescent="0.3">
      <c r="B468" s="9" t="s">
        <v>608</v>
      </c>
      <c r="C468" t="str">
        <f>IFERROR(VLOOKUP(B468,Shrub_plantNative_Nonnative!A:B,2,FALSE),"Verificar")</f>
        <v>native</v>
      </c>
    </row>
    <row r="469" spans="2:3" x14ac:dyDescent="0.3">
      <c r="B469" s="9" t="s">
        <v>610</v>
      </c>
      <c r="C469" t="str">
        <f>IFERROR(VLOOKUP(B469,Shrub_plantNative_Nonnative!A:B,2,FALSE),"Verificar")</f>
        <v>native</v>
      </c>
    </row>
    <row r="470" spans="2:3" x14ac:dyDescent="0.3">
      <c r="B470" s="9" t="s">
        <v>611</v>
      </c>
      <c r="C470" t="str">
        <f>IFERROR(VLOOKUP(B470,Shrub_plantNative_Nonnative!A:B,2,FALSE),"Verificar")</f>
        <v>non</v>
      </c>
    </row>
    <row r="471" spans="2:3" x14ac:dyDescent="0.3">
      <c r="B471" s="9" t="s">
        <v>612</v>
      </c>
      <c r="C471" t="str">
        <f>IFERROR(VLOOKUP(B471,Shrub_plantNative_Nonnative!A:B,2,FALSE),"Verificar")</f>
        <v>non</v>
      </c>
    </row>
    <row r="472" spans="2:3" x14ac:dyDescent="0.3">
      <c r="B472" s="9" t="s">
        <v>469</v>
      </c>
      <c r="C472" t="str">
        <f>IFERROR(VLOOKUP(B472,Shrub_plantNative_Nonnative!A:B,2,FALSE),"Verificar")</f>
        <v>non</v>
      </c>
    </row>
    <row r="473" spans="2:3" x14ac:dyDescent="0.3">
      <c r="B473" s="9" t="s">
        <v>78</v>
      </c>
      <c r="C473" t="str">
        <f>IFERROR(VLOOKUP(B473,Shrub_plantNative_Nonnative!A:B,2,FALSE),"Verificar")</f>
        <v>non</v>
      </c>
    </row>
    <row r="474" spans="2:3" x14ac:dyDescent="0.3">
      <c r="B474" s="9" t="s">
        <v>86</v>
      </c>
      <c r="C474" t="str">
        <f>IFERROR(VLOOKUP(B474,Shrub_plantNative_Nonnative!A:B,2,FALSE),"Verificar")</f>
        <v>non</v>
      </c>
    </row>
    <row r="475" spans="2:3" x14ac:dyDescent="0.3">
      <c r="B475" s="9" t="s">
        <v>178</v>
      </c>
      <c r="C475" t="str">
        <f>IFERROR(VLOOKUP(B475,Shrub_plantNative_Nonnative!A:B,2,FALSE),"Verificar")</f>
        <v>non</v>
      </c>
    </row>
    <row r="476" spans="2:3" x14ac:dyDescent="0.3">
      <c r="B476" s="9" t="s">
        <v>347</v>
      </c>
      <c r="C476" t="str">
        <f>IFERROR(VLOOKUP(B476,Shrub_plantNative_Nonnative!A:B,2,FALSE),"Verificar")</f>
        <v>non</v>
      </c>
    </row>
    <row r="477" spans="2:3" x14ac:dyDescent="0.3">
      <c r="B477" s="9" t="s">
        <v>77</v>
      </c>
      <c r="C477" t="str">
        <f>IFERROR(VLOOKUP(B477,Shrub_plantNative_Nonnative!A:B,2,FALSE),"Verificar")</f>
        <v>non</v>
      </c>
    </row>
    <row r="478" spans="2:3" x14ac:dyDescent="0.3">
      <c r="B478" s="9" t="s">
        <v>287</v>
      </c>
      <c r="C478" t="str">
        <f>IFERROR(VLOOKUP(B478,Shrub_plantNative_Nonnative!A:B,2,FALSE),"Verificar")</f>
        <v>non</v>
      </c>
    </row>
    <row r="479" spans="2:3" x14ac:dyDescent="0.3">
      <c r="B479" s="9" t="s">
        <v>614</v>
      </c>
      <c r="C479" t="str">
        <f>IFERROR(VLOOKUP(B479,Shrub_plantNative_Nonnative!A:B,2,FALSE),"Verificar")</f>
        <v>non</v>
      </c>
    </row>
    <row r="480" spans="2:3" x14ac:dyDescent="0.3">
      <c r="B480" s="9" t="s">
        <v>615</v>
      </c>
      <c r="C480" t="str">
        <f>IFERROR(VLOOKUP(B480,Shrub_plantNative_Nonnative!A:B,2,FALSE),"Verificar")</f>
        <v>non</v>
      </c>
    </row>
  </sheetData>
  <conditionalFormatting sqref="C1:C1048576">
    <cfRule type="cellIs" dxfId="2" priority="2" operator="equal">
      <formula>"native"</formula>
    </cfRule>
    <cfRule type="cellIs" dxfId="1" priority="3" operator="equal">
      <formula>"native"</formula>
    </cfRule>
  </conditionalFormatting>
  <conditionalFormatting sqref="E1:E1048576">
    <cfRule type="cellIs" dxfId="0" priority="1" operator="equal">
      <formula>"native"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10F1-4B9F-4D18-B337-12668C6CADB8}">
  <dimension ref="A1:B359"/>
  <sheetViews>
    <sheetView zoomScale="141" workbookViewId="0">
      <selection activeCell="A92" sqref="A92"/>
    </sheetView>
  </sheetViews>
  <sheetFormatPr defaultRowHeight="14.4" x14ac:dyDescent="0.3"/>
  <cols>
    <col min="1" max="1" width="25.88671875" bestFit="1" customWidth="1"/>
    <col min="2" max="2" width="11.88671875" bestFit="1" customWidth="1"/>
  </cols>
  <sheetData>
    <row r="1" spans="1:2" x14ac:dyDescent="0.3">
      <c r="A1" t="s">
        <v>957</v>
      </c>
      <c r="B1" t="s">
        <v>956</v>
      </c>
    </row>
    <row r="2" spans="1:2" ht="15" x14ac:dyDescent="0.35">
      <c r="A2" s="56" t="s">
        <v>616</v>
      </c>
      <c r="B2" t="s">
        <v>1062</v>
      </c>
    </row>
    <row r="3" spans="1:2" ht="15" x14ac:dyDescent="0.35">
      <c r="A3" s="56" t="s">
        <v>617</v>
      </c>
      <c r="B3" t="s">
        <v>1062</v>
      </c>
    </row>
    <row r="4" spans="1:2" ht="15" x14ac:dyDescent="0.35">
      <c r="A4" s="56" t="s">
        <v>618</v>
      </c>
      <c r="B4" t="s">
        <v>1063</v>
      </c>
    </row>
    <row r="5" spans="1:2" ht="15" x14ac:dyDescent="0.35">
      <c r="A5" s="56" t="s">
        <v>619</v>
      </c>
      <c r="B5" t="s">
        <v>1062</v>
      </c>
    </row>
    <row r="6" spans="1:2" ht="15" x14ac:dyDescent="0.35">
      <c r="A6" s="56" t="s">
        <v>620</v>
      </c>
      <c r="B6" t="s">
        <v>1062</v>
      </c>
    </row>
    <row r="7" spans="1:2" ht="15" x14ac:dyDescent="0.35">
      <c r="A7" s="56" t="s">
        <v>621</v>
      </c>
      <c r="B7" t="s">
        <v>1062</v>
      </c>
    </row>
    <row r="8" spans="1:2" ht="15" x14ac:dyDescent="0.35">
      <c r="A8" s="56" t="s">
        <v>622</v>
      </c>
      <c r="B8" t="s">
        <v>1062</v>
      </c>
    </row>
    <row r="9" spans="1:2" ht="15" x14ac:dyDescent="0.35">
      <c r="A9" s="56" t="s">
        <v>623</v>
      </c>
      <c r="B9" t="s">
        <v>1062</v>
      </c>
    </row>
    <row r="10" spans="1:2" ht="15" x14ac:dyDescent="0.35">
      <c r="A10" s="56" t="s">
        <v>624</v>
      </c>
      <c r="B10" t="s">
        <v>1062</v>
      </c>
    </row>
    <row r="11" spans="1:2" ht="15" x14ac:dyDescent="0.35">
      <c r="A11" s="56" t="s">
        <v>625</v>
      </c>
      <c r="B11" t="s">
        <v>1062</v>
      </c>
    </row>
    <row r="12" spans="1:2" ht="15" x14ac:dyDescent="0.35">
      <c r="A12" s="56" t="s">
        <v>626</v>
      </c>
      <c r="B12" t="s">
        <v>1062</v>
      </c>
    </row>
    <row r="13" spans="1:2" ht="15" x14ac:dyDescent="0.35">
      <c r="A13" s="56" t="s">
        <v>627</v>
      </c>
      <c r="B13" t="s">
        <v>1062</v>
      </c>
    </row>
    <row r="14" spans="1:2" ht="15" x14ac:dyDescent="0.35">
      <c r="A14" s="56" t="s">
        <v>628</v>
      </c>
      <c r="B14" t="s">
        <v>1062</v>
      </c>
    </row>
    <row r="15" spans="1:2" ht="15" x14ac:dyDescent="0.35">
      <c r="A15" s="56" t="s">
        <v>629</v>
      </c>
      <c r="B15" t="s">
        <v>1062</v>
      </c>
    </row>
    <row r="16" spans="1:2" ht="15" x14ac:dyDescent="0.35">
      <c r="A16" s="56" t="s">
        <v>630</v>
      </c>
      <c r="B16" t="s">
        <v>1062</v>
      </c>
    </row>
    <row r="17" spans="1:2" ht="15" x14ac:dyDescent="0.35">
      <c r="A17" s="56" t="s">
        <v>631</v>
      </c>
      <c r="B17" t="s">
        <v>1062</v>
      </c>
    </row>
    <row r="18" spans="1:2" ht="15" x14ac:dyDescent="0.35">
      <c r="A18" s="56" t="s">
        <v>632</v>
      </c>
      <c r="B18" t="s">
        <v>1062</v>
      </c>
    </row>
    <row r="19" spans="1:2" ht="15" x14ac:dyDescent="0.35">
      <c r="A19" s="56" t="s">
        <v>633</v>
      </c>
      <c r="B19" t="s">
        <v>1062</v>
      </c>
    </row>
    <row r="20" spans="1:2" ht="15" x14ac:dyDescent="0.35">
      <c r="A20" s="56" t="s">
        <v>634</v>
      </c>
      <c r="B20" t="s">
        <v>1062</v>
      </c>
    </row>
    <row r="21" spans="1:2" ht="15" x14ac:dyDescent="0.35">
      <c r="A21" s="56" t="s">
        <v>635</v>
      </c>
      <c r="B21" t="s">
        <v>1062</v>
      </c>
    </row>
    <row r="22" spans="1:2" ht="15" x14ac:dyDescent="0.35">
      <c r="A22" s="56" t="s">
        <v>636</v>
      </c>
      <c r="B22" t="s">
        <v>1062</v>
      </c>
    </row>
    <row r="23" spans="1:2" ht="15" x14ac:dyDescent="0.35">
      <c r="A23" s="56" t="s">
        <v>637</v>
      </c>
      <c r="B23" t="s">
        <v>1062</v>
      </c>
    </row>
    <row r="24" spans="1:2" ht="15" x14ac:dyDescent="0.35">
      <c r="A24" s="56" t="s">
        <v>638</v>
      </c>
      <c r="B24" t="s">
        <v>1063</v>
      </c>
    </row>
    <row r="25" spans="1:2" ht="15" x14ac:dyDescent="0.35">
      <c r="A25" s="56" t="s">
        <v>639</v>
      </c>
      <c r="B25" t="s">
        <v>1062</v>
      </c>
    </row>
    <row r="26" spans="1:2" ht="15" x14ac:dyDescent="0.35">
      <c r="A26" s="56" t="s">
        <v>640</v>
      </c>
      <c r="B26" t="s">
        <v>1062</v>
      </c>
    </row>
    <row r="27" spans="1:2" ht="15" x14ac:dyDescent="0.35">
      <c r="A27" s="56" t="s">
        <v>641</v>
      </c>
      <c r="B27" t="s">
        <v>1063</v>
      </c>
    </row>
    <row r="28" spans="1:2" ht="15" x14ac:dyDescent="0.35">
      <c r="A28" s="56" t="s">
        <v>642</v>
      </c>
      <c r="B28" t="s">
        <v>1063</v>
      </c>
    </row>
    <row r="29" spans="1:2" ht="15" x14ac:dyDescent="0.35">
      <c r="A29" s="56" t="s">
        <v>643</v>
      </c>
      <c r="B29" t="s">
        <v>1062</v>
      </c>
    </row>
    <row r="30" spans="1:2" ht="15" x14ac:dyDescent="0.35">
      <c r="A30" s="56" t="s">
        <v>644</v>
      </c>
      <c r="B30" t="s">
        <v>1062</v>
      </c>
    </row>
    <row r="31" spans="1:2" ht="15" x14ac:dyDescent="0.35">
      <c r="A31" s="56" t="s">
        <v>645</v>
      </c>
      <c r="B31" t="s">
        <v>1062</v>
      </c>
    </row>
    <row r="32" spans="1:2" ht="15" x14ac:dyDescent="0.35">
      <c r="A32" s="56" t="s">
        <v>646</v>
      </c>
      <c r="B32" t="s">
        <v>1062</v>
      </c>
    </row>
    <row r="33" spans="1:2" ht="15" x14ac:dyDescent="0.35">
      <c r="A33" s="56" t="s">
        <v>647</v>
      </c>
      <c r="B33" t="s">
        <v>1062</v>
      </c>
    </row>
    <row r="34" spans="1:2" ht="15" x14ac:dyDescent="0.35">
      <c r="A34" s="56" t="s">
        <v>648</v>
      </c>
      <c r="B34" t="s">
        <v>1063</v>
      </c>
    </row>
    <row r="35" spans="1:2" ht="15" x14ac:dyDescent="0.35">
      <c r="A35" s="56" t="s">
        <v>649</v>
      </c>
      <c r="B35" t="s">
        <v>1062</v>
      </c>
    </row>
    <row r="36" spans="1:2" ht="15" x14ac:dyDescent="0.35">
      <c r="A36" s="56" t="s">
        <v>650</v>
      </c>
      <c r="B36" t="s">
        <v>1062</v>
      </c>
    </row>
    <row r="37" spans="1:2" ht="15" x14ac:dyDescent="0.35">
      <c r="A37" s="56" t="s">
        <v>651</v>
      </c>
      <c r="B37" t="s">
        <v>1062</v>
      </c>
    </row>
    <row r="38" spans="1:2" ht="15" x14ac:dyDescent="0.35">
      <c r="A38" s="56" t="s">
        <v>652</v>
      </c>
      <c r="B38" t="s">
        <v>1062</v>
      </c>
    </row>
    <row r="39" spans="1:2" ht="15" x14ac:dyDescent="0.35">
      <c r="A39" s="56" t="s">
        <v>653</v>
      </c>
      <c r="B39" t="s">
        <v>1062</v>
      </c>
    </row>
    <row r="40" spans="1:2" ht="15" x14ac:dyDescent="0.35">
      <c r="A40" s="56" t="s">
        <v>45</v>
      </c>
      <c r="B40" t="s">
        <v>1062</v>
      </c>
    </row>
    <row r="41" spans="1:2" ht="15" x14ac:dyDescent="0.35">
      <c r="A41" s="56" t="s">
        <v>654</v>
      </c>
      <c r="B41" t="s">
        <v>1062</v>
      </c>
    </row>
    <row r="42" spans="1:2" ht="15" x14ac:dyDescent="0.35">
      <c r="A42" s="56" t="s">
        <v>655</v>
      </c>
      <c r="B42" t="s">
        <v>1062</v>
      </c>
    </row>
    <row r="43" spans="1:2" ht="15" x14ac:dyDescent="0.35">
      <c r="A43" s="56" t="s">
        <v>656</v>
      </c>
      <c r="B43" t="s">
        <v>1062</v>
      </c>
    </row>
    <row r="44" spans="1:2" ht="15" x14ac:dyDescent="0.35">
      <c r="A44" s="56" t="s">
        <v>657</v>
      </c>
      <c r="B44" t="s">
        <v>1062</v>
      </c>
    </row>
    <row r="45" spans="1:2" ht="15" x14ac:dyDescent="0.35">
      <c r="A45" s="56" t="s">
        <v>658</v>
      </c>
      <c r="B45" t="s">
        <v>1062</v>
      </c>
    </row>
    <row r="46" spans="1:2" ht="15" x14ac:dyDescent="0.35">
      <c r="A46" s="56" t="s">
        <v>659</v>
      </c>
      <c r="B46" t="s">
        <v>1062</v>
      </c>
    </row>
    <row r="47" spans="1:2" ht="15" x14ac:dyDescent="0.35">
      <c r="A47" s="56" t="s">
        <v>660</v>
      </c>
      <c r="B47" t="s">
        <v>1062</v>
      </c>
    </row>
    <row r="48" spans="1:2" ht="15" x14ac:dyDescent="0.35">
      <c r="A48" s="56" t="s">
        <v>661</v>
      </c>
      <c r="B48" t="s">
        <v>1063</v>
      </c>
    </row>
    <row r="49" spans="1:2" ht="15" x14ac:dyDescent="0.35">
      <c r="A49" s="56" t="s">
        <v>662</v>
      </c>
      <c r="B49" t="s">
        <v>1062</v>
      </c>
    </row>
    <row r="50" spans="1:2" ht="15" x14ac:dyDescent="0.35">
      <c r="A50" s="56" t="s">
        <v>663</v>
      </c>
      <c r="B50" t="s">
        <v>1062</v>
      </c>
    </row>
    <row r="51" spans="1:2" ht="15" x14ac:dyDescent="0.35">
      <c r="A51" s="56" t="s">
        <v>664</v>
      </c>
      <c r="B51" t="s">
        <v>1062</v>
      </c>
    </row>
    <row r="52" spans="1:2" ht="15" x14ac:dyDescent="0.35">
      <c r="A52" s="56" t="s">
        <v>665</v>
      </c>
      <c r="B52" t="s">
        <v>1062</v>
      </c>
    </row>
    <row r="53" spans="1:2" ht="15" x14ac:dyDescent="0.35">
      <c r="A53" s="56" t="s">
        <v>666</v>
      </c>
      <c r="B53" t="s">
        <v>1062</v>
      </c>
    </row>
    <row r="54" spans="1:2" ht="15" x14ac:dyDescent="0.35">
      <c r="A54" s="56" t="s">
        <v>667</v>
      </c>
      <c r="B54" t="s">
        <v>1062</v>
      </c>
    </row>
    <row r="55" spans="1:2" ht="15" x14ac:dyDescent="0.35">
      <c r="A55" s="56" t="s">
        <v>668</v>
      </c>
      <c r="B55" t="s">
        <v>1063</v>
      </c>
    </row>
    <row r="56" spans="1:2" ht="15" x14ac:dyDescent="0.35">
      <c r="A56" s="56" t="s">
        <v>669</v>
      </c>
      <c r="B56" t="s">
        <v>1062</v>
      </c>
    </row>
    <row r="57" spans="1:2" ht="15" x14ac:dyDescent="0.35">
      <c r="A57" s="56" t="s">
        <v>670</v>
      </c>
      <c r="B57" t="s">
        <v>1062</v>
      </c>
    </row>
    <row r="58" spans="1:2" ht="15" x14ac:dyDescent="0.35">
      <c r="A58" s="56" t="s">
        <v>671</v>
      </c>
      <c r="B58" t="s">
        <v>1062</v>
      </c>
    </row>
    <row r="59" spans="1:2" ht="15" x14ac:dyDescent="0.35">
      <c r="A59" s="56" t="s">
        <v>672</v>
      </c>
      <c r="B59" t="s">
        <v>1062</v>
      </c>
    </row>
    <row r="60" spans="1:2" ht="15" x14ac:dyDescent="0.35">
      <c r="A60" s="56" t="s">
        <v>673</v>
      </c>
      <c r="B60" t="s">
        <v>1062</v>
      </c>
    </row>
    <row r="61" spans="1:2" ht="15" x14ac:dyDescent="0.35">
      <c r="A61" s="56" t="s">
        <v>674</v>
      </c>
      <c r="B61" t="s">
        <v>1062</v>
      </c>
    </row>
    <row r="62" spans="1:2" ht="15" x14ac:dyDescent="0.35">
      <c r="A62" s="56" t="s">
        <v>675</v>
      </c>
      <c r="B62" t="s">
        <v>1062</v>
      </c>
    </row>
    <row r="63" spans="1:2" ht="15" x14ac:dyDescent="0.35">
      <c r="A63" s="56" t="s">
        <v>676</v>
      </c>
      <c r="B63" t="s">
        <v>1063</v>
      </c>
    </row>
    <row r="64" spans="1:2" ht="15" x14ac:dyDescent="0.35">
      <c r="A64" s="56" t="s">
        <v>677</v>
      </c>
      <c r="B64" t="s">
        <v>1062</v>
      </c>
    </row>
    <row r="65" spans="1:2" ht="15" x14ac:dyDescent="0.35">
      <c r="A65" s="56" t="s">
        <v>678</v>
      </c>
      <c r="B65" t="s">
        <v>1063</v>
      </c>
    </row>
    <row r="66" spans="1:2" ht="15" x14ac:dyDescent="0.35">
      <c r="A66" s="56" t="s">
        <v>679</v>
      </c>
      <c r="B66" t="s">
        <v>1062</v>
      </c>
    </row>
    <row r="67" spans="1:2" ht="15" x14ac:dyDescent="0.35">
      <c r="A67" s="56" t="s">
        <v>680</v>
      </c>
      <c r="B67" t="s">
        <v>1062</v>
      </c>
    </row>
    <row r="68" spans="1:2" ht="15" x14ac:dyDescent="0.35">
      <c r="A68" s="56" t="s">
        <v>681</v>
      </c>
      <c r="B68" t="s">
        <v>1062</v>
      </c>
    </row>
    <row r="69" spans="1:2" ht="15" x14ac:dyDescent="0.35">
      <c r="A69" s="56" t="s">
        <v>682</v>
      </c>
      <c r="B69" t="s">
        <v>1062</v>
      </c>
    </row>
    <row r="70" spans="1:2" ht="15" x14ac:dyDescent="0.35">
      <c r="A70" s="56" t="s">
        <v>683</v>
      </c>
      <c r="B70" t="s">
        <v>1062</v>
      </c>
    </row>
    <row r="71" spans="1:2" ht="15" x14ac:dyDescent="0.35">
      <c r="A71" s="56" t="s">
        <v>684</v>
      </c>
      <c r="B71" t="s">
        <v>1062</v>
      </c>
    </row>
    <row r="72" spans="1:2" ht="15" x14ac:dyDescent="0.35">
      <c r="A72" s="56" t="s">
        <v>685</v>
      </c>
      <c r="B72" t="s">
        <v>1062</v>
      </c>
    </row>
    <row r="73" spans="1:2" ht="15" x14ac:dyDescent="0.35">
      <c r="A73" s="56" t="s">
        <v>686</v>
      </c>
      <c r="B73" t="s">
        <v>1062</v>
      </c>
    </row>
    <row r="74" spans="1:2" ht="15" x14ac:dyDescent="0.35">
      <c r="A74" s="56" t="s">
        <v>687</v>
      </c>
      <c r="B74" t="s">
        <v>1062</v>
      </c>
    </row>
    <row r="75" spans="1:2" ht="15" x14ac:dyDescent="0.35">
      <c r="A75" s="56" t="s">
        <v>688</v>
      </c>
      <c r="B75" t="s">
        <v>1062</v>
      </c>
    </row>
    <row r="76" spans="1:2" ht="15" x14ac:dyDescent="0.35">
      <c r="A76" s="56" t="s">
        <v>689</v>
      </c>
      <c r="B76" t="s">
        <v>1062</v>
      </c>
    </row>
    <row r="77" spans="1:2" ht="15" x14ac:dyDescent="0.35">
      <c r="A77" s="56" t="s">
        <v>690</v>
      </c>
      <c r="B77" t="s">
        <v>1063</v>
      </c>
    </row>
    <row r="78" spans="1:2" ht="15" x14ac:dyDescent="0.35">
      <c r="A78" s="56" t="s">
        <v>691</v>
      </c>
      <c r="B78" t="s">
        <v>1062</v>
      </c>
    </row>
    <row r="79" spans="1:2" ht="15" x14ac:dyDescent="0.35">
      <c r="A79" s="56" t="s">
        <v>692</v>
      </c>
      <c r="B79" t="s">
        <v>1062</v>
      </c>
    </row>
    <row r="80" spans="1:2" ht="15" x14ac:dyDescent="0.35">
      <c r="A80" s="56" t="s">
        <v>693</v>
      </c>
      <c r="B80" t="s">
        <v>1062</v>
      </c>
    </row>
    <row r="81" spans="1:2" ht="15" x14ac:dyDescent="0.35">
      <c r="A81" s="56" t="s">
        <v>694</v>
      </c>
      <c r="B81" t="s">
        <v>1062</v>
      </c>
    </row>
    <row r="82" spans="1:2" ht="15" x14ac:dyDescent="0.35">
      <c r="A82" s="56" t="s">
        <v>695</v>
      </c>
      <c r="B82" t="s">
        <v>1062</v>
      </c>
    </row>
    <row r="83" spans="1:2" ht="15" x14ac:dyDescent="0.35">
      <c r="A83" s="56" t="s">
        <v>696</v>
      </c>
      <c r="B83" t="s">
        <v>1062</v>
      </c>
    </row>
    <row r="84" spans="1:2" ht="15" x14ac:dyDescent="0.35">
      <c r="A84" s="56" t="s">
        <v>697</v>
      </c>
      <c r="B84" t="s">
        <v>1062</v>
      </c>
    </row>
    <row r="85" spans="1:2" ht="15" x14ac:dyDescent="0.35">
      <c r="A85" s="56" t="s">
        <v>698</v>
      </c>
      <c r="B85" t="s">
        <v>1062</v>
      </c>
    </row>
    <row r="86" spans="1:2" ht="15" x14ac:dyDescent="0.35">
      <c r="A86" s="56" t="s">
        <v>29</v>
      </c>
      <c r="B86" t="s">
        <v>1062</v>
      </c>
    </row>
    <row r="87" spans="1:2" ht="15" x14ac:dyDescent="0.35">
      <c r="A87" s="56" t="s">
        <v>699</v>
      </c>
      <c r="B87" t="s">
        <v>1062</v>
      </c>
    </row>
    <row r="88" spans="1:2" ht="15" x14ac:dyDescent="0.35">
      <c r="A88" s="56" t="s">
        <v>700</v>
      </c>
      <c r="B88" t="s">
        <v>1062</v>
      </c>
    </row>
    <row r="89" spans="1:2" ht="15" x14ac:dyDescent="0.35">
      <c r="A89" s="56" t="s">
        <v>701</v>
      </c>
      <c r="B89" t="s">
        <v>1062</v>
      </c>
    </row>
    <row r="90" spans="1:2" ht="15" x14ac:dyDescent="0.35">
      <c r="A90" s="56" t="s">
        <v>702</v>
      </c>
      <c r="B90" t="s">
        <v>1062</v>
      </c>
    </row>
    <row r="91" spans="1:2" ht="15" x14ac:dyDescent="0.35">
      <c r="A91" s="56" t="s">
        <v>703</v>
      </c>
      <c r="B91" t="s">
        <v>1062</v>
      </c>
    </row>
    <row r="92" spans="1:2" ht="15" x14ac:dyDescent="0.35">
      <c r="A92" s="56" t="s">
        <v>704</v>
      </c>
      <c r="B92" t="s">
        <v>1063</v>
      </c>
    </row>
    <row r="93" spans="1:2" ht="15" x14ac:dyDescent="0.35">
      <c r="A93" s="56" t="s">
        <v>705</v>
      </c>
      <c r="B93" t="s">
        <v>1062</v>
      </c>
    </row>
    <row r="94" spans="1:2" ht="15" x14ac:dyDescent="0.35">
      <c r="A94" s="56" t="s">
        <v>507</v>
      </c>
      <c r="B94" t="s">
        <v>1062</v>
      </c>
    </row>
    <row r="95" spans="1:2" ht="15" x14ac:dyDescent="0.35">
      <c r="A95" s="56" t="s">
        <v>706</v>
      </c>
      <c r="B95" t="s">
        <v>1063</v>
      </c>
    </row>
    <row r="96" spans="1:2" ht="15" x14ac:dyDescent="0.35">
      <c r="A96" s="56" t="s">
        <v>707</v>
      </c>
      <c r="B96" t="s">
        <v>1062</v>
      </c>
    </row>
    <row r="97" spans="1:2" ht="15" x14ac:dyDescent="0.35">
      <c r="A97" s="56" t="s">
        <v>708</v>
      </c>
      <c r="B97" t="s">
        <v>1062</v>
      </c>
    </row>
    <row r="98" spans="1:2" ht="15" x14ac:dyDescent="0.35">
      <c r="A98" s="56" t="s">
        <v>709</v>
      </c>
      <c r="B98" t="s">
        <v>1062</v>
      </c>
    </row>
    <row r="99" spans="1:2" ht="15" x14ac:dyDescent="0.35">
      <c r="A99" s="56" t="s">
        <v>710</v>
      </c>
      <c r="B99" t="s">
        <v>1062</v>
      </c>
    </row>
    <row r="100" spans="1:2" ht="15" x14ac:dyDescent="0.35">
      <c r="A100" s="56" t="s">
        <v>711</v>
      </c>
      <c r="B100" t="s">
        <v>1063</v>
      </c>
    </row>
    <row r="101" spans="1:2" ht="15" x14ac:dyDescent="0.35">
      <c r="A101" s="56" t="s">
        <v>712</v>
      </c>
      <c r="B101" t="s">
        <v>1062</v>
      </c>
    </row>
    <row r="102" spans="1:2" ht="15" x14ac:dyDescent="0.35">
      <c r="A102" s="56" t="s">
        <v>713</v>
      </c>
      <c r="B102" t="s">
        <v>1062</v>
      </c>
    </row>
    <row r="103" spans="1:2" ht="15" x14ac:dyDescent="0.35">
      <c r="A103" s="56" t="s">
        <v>714</v>
      </c>
      <c r="B103" t="s">
        <v>1062</v>
      </c>
    </row>
    <row r="104" spans="1:2" ht="15" x14ac:dyDescent="0.35">
      <c r="A104" s="56" t="s">
        <v>715</v>
      </c>
      <c r="B104" t="s">
        <v>1062</v>
      </c>
    </row>
    <row r="105" spans="1:2" ht="15" x14ac:dyDescent="0.35">
      <c r="A105" s="56" t="s">
        <v>716</v>
      </c>
      <c r="B105" t="s">
        <v>1062</v>
      </c>
    </row>
    <row r="106" spans="1:2" ht="15" x14ac:dyDescent="0.35">
      <c r="A106" s="56" t="s">
        <v>717</v>
      </c>
      <c r="B106" t="s">
        <v>1062</v>
      </c>
    </row>
    <row r="107" spans="1:2" ht="15" x14ac:dyDescent="0.35">
      <c r="A107" s="56" t="s">
        <v>718</v>
      </c>
      <c r="B107" t="s">
        <v>1062</v>
      </c>
    </row>
    <row r="108" spans="1:2" ht="15" x14ac:dyDescent="0.35">
      <c r="A108" s="56" t="s">
        <v>719</v>
      </c>
      <c r="B108" t="s">
        <v>1062</v>
      </c>
    </row>
    <row r="109" spans="1:2" ht="15" x14ac:dyDescent="0.35">
      <c r="A109" s="56" t="s">
        <v>720</v>
      </c>
      <c r="B109" t="s">
        <v>1062</v>
      </c>
    </row>
    <row r="110" spans="1:2" ht="15" x14ac:dyDescent="0.35">
      <c r="A110" s="56" t="s">
        <v>721</v>
      </c>
      <c r="B110" t="s">
        <v>1062</v>
      </c>
    </row>
    <row r="111" spans="1:2" ht="15" x14ac:dyDescent="0.35">
      <c r="A111" s="56" t="s">
        <v>28</v>
      </c>
      <c r="B111" t="s">
        <v>1062</v>
      </c>
    </row>
    <row r="112" spans="1:2" ht="15" x14ac:dyDescent="0.35">
      <c r="A112" s="56" t="s">
        <v>722</v>
      </c>
      <c r="B112" t="s">
        <v>1062</v>
      </c>
    </row>
    <row r="113" spans="1:2" ht="15" x14ac:dyDescent="0.35">
      <c r="A113" s="56" t="s">
        <v>723</v>
      </c>
      <c r="B113" t="s">
        <v>1062</v>
      </c>
    </row>
    <row r="114" spans="1:2" ht="15" x14ac:dyDescent="0.35">
      <c r="A114" s="56" t="s">
        <v>724</v>
      </c>
      <c r="B114" t="s">
        <v>1063</v>
      </c>
    </row>
    <row r="115" spans="1:2" ht="15" x14ac:dyDescent="0.35">
      <c r="A115" s="56" t="s">
        <v>725</v>
      </c>
      <c r="B115" t="s">
        <v>1062</v>
      </c>
    </row>
    <row r="116" spans="1:2" ht="15" x14ac:dyDescent="0.35">
      <c r="A116" s="56" t="s">
        <v>726</v>
      </c>
      <c r="B116" t="s">
        <v>1062</v>
      </c>
    </row>
    <row r="117" spans="1:2" ht="15" x14ac:dyDescent="0.35">
      <c r="A117" s="56" t="s">
        <v>727</v>
      </c>
      <c r="B117" t="s">
        <v>1062</v>
      </c>
    </row>
    <row r="118" spans="1:2" ht="15" x14ac:dyDescent="0.35">
      <c r="A118" s="56" t="s">
        <v>728</v>
      </c>
      <c r="B118" t="s">
        <v>1062</v>
      </c>
    </row>
    <row r="119" spans="1:2" ht="15" x14ac:dyDescent="0.35">
      <c r="A119" s="56" t="s">
        <v>729</v>
      </c>
      <c r="B119" t="s">
        <v>1062</v>
      </c>
    </row>
    <row r="120" spans="1:2" ht="15" x14ac:dyDescent="0.35">
      <c r="A120" s="56" t="s">
        <v>730</v>
      </c>
      <c r="B120" t="s">
        <v>1062</v>
      </c>
    </row>
    <row r="121" spans="1:2" ht="15" x14ac:dyDescent="0.35">
      <c r="A121" s="56" t="s">
        <v>731</v>
      </c>
      <c r="B121" t="s">
        <v>1062</v>
      </c>
    </row>
    <row r="122" spans="1:2" ht="15" x14ac:dyDescent="0.35">
      <c r="A122" s="56" t="s">
        <v>732</v>
      </c>
      <c r="B122" t="s">
        <v>1063</v>
      </c>
    </row>
    <row r="123" spans="1:2" ht="15" x14ac:dyDescent="0.35">
      <c r="A123" s="56" t="s">
        <v>733</v>
      </c>
      <c r="B123" t="s">
        <v>1062</v>
      </c>
    </row>
    <row r="124" spans="1:2" ht="15" x14ac:dyDescent="0.35">
      <c r="A124" s="56" t="s">
        <v>734</v>
      </c>
      <c r="B124" t="s">
        <v>1062</v>
      </c>
    </row>
    <row r="125" spans="1:2" ht="15" x14ac:dyDescent="0.35">
      <c r="A125" s="56" t="s">
        <v>735</v>
      </c>
      <c r="B125" t="s">
        <v>1062</v>
      </c>
    </row>
    <row r="126" spans="1:2" ht="15" x14ac:dyDescent="0.35">
      <c r="A126" s="56" t="s">
        <v>54</v>
      </c>
      <c r="B126" t="s">
        <v>1062</v>
      </c>
    </row>
    <row r="127" spans="1:2" ht="15" x14ac:dyDescent="0.35">
      <c r="A127" s="56" t="s">
        <v>736</v>
      </c>
      <c r="B127" t="s">
        <v>1062</v>
      </c>
    </row>
    <row r="128" spans="1:2" ht="15" x14ac:dyDescent="0.35">
      <c r="A128" s="56" t="s">
        <v>737</v>
      </c>
      <c r="B128" t="s">
        <v>1062</v>
      </c>
    </row>
    <row r="129" spans="1:2" ht="15" x14ac:dyDescent="0.35">
      <c r="A129" s="56" t="s">
        <v>738</v>
      </c>
      <c r="B129" t="s">
        <v>1062</v>
      </c>
    </row>
    <row r="130" spans="1:2" ht="15" x14ac:dyDescent="0.35">
      <c r="A130" s="56" t="s">
        <v>739</v>
      </c>
      <c r="B130" t="s">
        <v>1062</v>
      </c>
    </row>
    <row r="131" spans="1:2" ht="15" x14ac:dyDescent="0.35">
      <c r="A131" s="56" t="s">
        <v>740</v>
      </c>
      <c r="B131" t="s">
        <v>1062</v>
      </c>
    </row>
    <row r="132" spans="1:2" ht="15" x14ac:dyDescent="0.35">
      <c r="A132" s="56" t="s">
        <v>741</v>
      </c>
      <c r="B132" t="s">
        <v>1062</v>
      </c>
    </row>
    <row r="133" spans="1:2" ht="15" x14ac:dyDescent="0.35">
      <c r="A133" s="56" t="s">
        <v>742</v>
      </c>
      <c r="B133" t="s">
        <v>1062</v>
      </c>
    </row>
    <row r="134" spans="1:2" ht="15" x14ac:dyDescent="0.35">
      <c r="A134" s="56" t="s">
        <v>743</v>
      </c>
      <c r="B134" t="s">
        <v>1062</v>
      </c>
    </row>
    <row r="135" spans="1:2" ht="15" x14ac:dyDescent="0.35">
      <c r="A135" s="56" t="s">
        <v>744</v>
      </c>
      <c r="B135" t="s">
        <v>1063</v>
      </c>
    </row>
    <row r="136" spans="1:2" ht="15" x14ac:dyDescent="0.35">
      <c r="A136" s="56" t="s">
        <v>745</v>
      </c>
      <c r="B136" t="s">
        <v>1062</v>
      </c>
    </row>
    <row r="137" spans="1:2" ht="15" x14ac:dyDescent="0.35">
      <c r="A137" s="56" t="s">
        <v>746</v>
      </c>
      <c r="B137" t="s">
        <v>1063</v>
      </c>
    </row>
    <row r="138" spans="1:2" ht="15" x14ac:dyDescent="0.35">
      <c r="A138" s="56" t="s">
        <v>747</v>
      </c>
      <c r="B138" t="s">
        <v>1062</v>
      </c>
    </row>
    <row r="139" spans="1:2" ht="15" x14ac:dyDescent="0.35">
      <c r="A139" s="56" t="s">
        <v>748</v>
      </c>
      <c r="B139" t="s">
        <v>1062</v>
      </c>
    </row>
    <row r="140" spans="1:2" ht="15" x14ac:dyDescent="0.35">
      <c r="A140" s="56" t="s">
        <v>749</v>
      </c>
      <c r="B140" t="s">
        <v>1062</v>
      </c>
    </row>
    <row r="141" spans="1:2" ht="15" x14ac:dyDescent="0.35">
      <c r="A141" s="56" t="s">
        <v>750</v>
      </c>
      <c r="B141" t="s">
        <v>1062</v>
      </c>
    </row>
    <row r="142" spans="1:2" ht="15" x14ac:dyDescent="0.35">
      <c r="A142" s="56" t="s">
        <v>474</v>
      </c>
      <c r="B142" t="s">
        <v>1062</v>
      </c>
    </row>
    <row r="143" spans="1:2" ht="15" x14ac:dyDescent="0.35">
      <c r="A143" s="56" t="s">
        <v>751</v>
      </c>
      <c r="B143" t="s">
        <v>1062</v>
      </c>
    </row>
    <row r="144" spans="1:2" ht="15" x14ac:dyDescent="0.35">
      <c r="A144" s="56" t="s">
        <v>25</v>
      </c>
      <c r="B144" t="s">
        <v>1062</v>
      </c>
    </row>
    <row r="145" spans="1:2" ht="15" x14ac:dyDescent="0.35">
      <c r="A145" s="56" t="s">
        <v>752</v>
      </c>
      <c r="B145" t="s">
        <v>1062</v>
      </c>
    </row>
    <row r="146" spans="1:2" ht="15" x14ac:dyDescent="0.35">
      <c r="A146" s="56" t="s">
        <v>753</v>
      </c>
      <c r="B146" t="s">
        <v>1062</v>
      </c>
    </row>
    <row r="147" spans="1:2" ht="15" x14ac:dyDescent="0.35">
      <c r="A147" s="56" t="s">
        <v>754</v>
      </c>
      <c r="B147" t="s">
        <v>1062</v>
      </c>
    </row>
    <row r="148" spans="1:2" ht="15" x14ac:dyDescent="0.35">
      <c r="A148" s="56" t="s">
        <v>755</v>
      </c>
      <c r="B148" t="s">
        <v>1062</v>
      </c>
    </row>
    <row r="149" spans="1:2" ht="15" x14ac:dyDescent="0.35">
      <c r="A149" s="56" t="s">
        <v>756</v>
      </c>
      <c r="B149" t="s">
        <v>1062</v>
      </c>
    </row>
    <row r="150" spans="1:2" ht="15" x14ac:dyDescent="0.35">
      <c r="A150" s="56" t="s">
        <v>757</v>
      </c>
      <c r="B150" t="s">
        <v>1062</v>
      </c>
    </row>
    <row r="151" spans="1:2" ht="15" x14ac:dyDescent="0.35">
      <c r="A151" s="56" t="s">
        <v>758</v>
      </c>
      <c r="B151" t="s">
        <v>1062</v>
      </c>
    </row>
    <row r="152" spans="1:2" ht="15" x14ac:dyDescent="0.35">
      <c r="A152" s="56" t="s">
        <v>759</v>
      </c>
      <c r="B152" t="s">
        <v>1062</v>
      </c>
    </row>
    <row r="153" spans="1:2" ht="15" x14ac:dyDescent="0.35">
      <c r="A153" s="56" t="s">
        <v>760</v>
      </c>
      <c r="B153" t="s">
        <v>1062</v>
      </c>
    </row>
    <row r="154" spans="1:2" ht="15" x14ac:dyDescent="0.35">
      <c r="A154" s="56" t="s">
        <v>761</v>
      </c>
      <c r="B154" t="s">
        <v>1062</v>
      </c>
    </row>
    <row r="155" spans="1:2" ht="15" x14ac:dyDescent="0.35">
      <c r="A155" s="56" t="s">
        <v>762</v>
      </c>
      <c r="B155" t="s">
        <v>1062</v>
      </c>
    </row>
    <row r="156" spans="1:2" ht="15" x14ac:dyDescent="0.35">
      <c r="A156" s="56" t="s">
        <v>763</v>
      </c>
      <c r="B156" t="s">
        <v>1062</v>
      </c>
    </row>
    <row r="157" spans="1:2" ht="15" x14ac:dyDescent="0.35">
      <c r="A157" s="56" t="s">
        <v>764</v>
      </c>
      <c r="B157" t="s">
        <v>1062</v>
      </c>
    </row>
    <row r="158" spans="1:2" ht="15" x14ac:dyDescent="0.35">
      <c r="A158" s="56" t="s">
        <v>765</v>
      </c>
      <c r="B158" t="s">
        <v>1063</v>
      </c>
    </row>
    <row r="159" spans="1:2" ht="15" x14ac:dyDescent="0.35">
      <c r="A159" s="56" t="s">
        <v>766</v>
      </c>
      <c r="B159" t="s">
        <v>1062</v>
      </c>
    </row>
    <row r="160" spans="1:2" ht="15" x14ac:dyDescent="0.35">
      <c r="A160" s="56" t="s">
        <v>767</v>
      </c>
      <c r="B160" t="s">
        <v>1062</v>
      </c>
    </row>
    <row r="161" spans="1:2" ht="15" x14ac:dyDescent="0.35">
      <c r="A161" s="56" t="s">
        <v>768</v>
      </c>
      <c r="B161" t="s">
        <v>1062</v>
      </c>
    </row>
    <row r="162" spans="1:2" ht="15" x14ac:dyDescent="0.35">
      <c r="A162" s="56" t="s">
        <v>769</v>
      </c>
      <c r="B162" t="s">
        <v>1062</v>
      </c>
    </row>
    <row r="163" spans="1:2" ht="15" x14ac:dyDescent="0.35">
      <c r="A163" s="56" t="s">
        <v>770</v>
      </c>
      <c r="B163" t="s">
        <v>1062</v>
      </c>
    </row>
    <row r="164" spans="1:2" ht="15" x14ac:dyDescent="0.35">
      <c r="A164" s="56" t="s">
        <v>771</v>
      </c>
      <c r="B164" t="s">
        <v>1062</v>
      </c>
    </row>
    <row r="165" spans="1:2" ht="15" x14ac:dyDescent="0.35">
      <c r="A165" s="56" t="s">
        <v>118</v>
      </c>
      <c r="B165" t="s">
        <v>1062</v>
      </c>
    </row>
    <row r="166" spans="1:2" ht="15" x14ac:dyDescent="0.35">
      <c r="A166" s="56" t="s">
        <v>772</v>
      </c>
      <c r="B166" t="s">
        <v>1062</v>
      </c>
    </row>
    <row r="167" spans="1:2" ht="15" x14ac:dyDescent="0.35">
      <c r="A167" s="56" t="s">
        <v>614</v>
      </c>
      <c r="B167" t="s">
        <v>1062</v>
      </c>
    </row>
    <row r="168" spans="1:2" ht="15" x14ac:dyDescent="0.35">
      <c r="A168" s="56" t="s">
        <v>773</v>
      </c>
      <c r="B168" t="s">
        <v>1062</v>
      </c>
    </row>
    <row r="169" spans="1:2" ht="15" x14ac:dyDescent="0.35">
      <c r="A169" s="56" t="s">
        <v>774</v>
      </c>
      <c r="B169" t="s">
        <v>1063</v>
      </c>
    </row>
    <row r="170" spans="1:2" ht="15" x14ac:dyDescent="0.35">
      <c r="A170" s="56" t="s">
        <v>775</v>
      </c>
      <c r="B170" t="s">
        <v>1062</v>
      </c>
    </row>
    <row r="171" spans="1:2" ht="15" x14ac:dyDescent="0.35">
      <c r="A171" s="56" t="s">
        <v>475</v>
      </c>
      <c r="B171" t="s">
        <v>1062</v>
      </c>
    </row>
    <row r="172" spans="1:2" ht="15" x14ac:dyDescent="0.35">
      <c r="A172" s="56" t="s">
        <v>776</v>
      </c>
      <c r="B172" t="s">
        <v>1062</v>
      </c>
    </row>
    <row r="173" spans="1:2" ht="15" x14ac:dyDescent="0.35">
      <c r="A173" s="56" t="s">
        <v>49</v>
      </c>
      <c r="B173" t="s">
        <v>1062</v>
      </c>
    </row>
    <row r="174" spans="1:2" ht="15" x14ac:dyDescent="0.35">
      <c r="A174" s="56" t="s">
        <v>512</v>
      </c>
      <c r="B174" t="s">
        <v>1062</v>
      </c>
    </row>
    <row r="175" spans="1:2" ht="15" x14ac:dyDescent="0.35">
      <c r="A175" s="56" t="s">
        <v>777</v>
      </c>
      <c r="B175" t="s">
        <v>1062</v>
      </c>
    </row>
    <row r="176" spans="1:2" ht="15" x14ac:dyDescent="0.35">
      <c r="A176" s="56" t="s">
        <v>778</v>
      </c>
      <c r="B176" t="s">
        <v>1062</v>
      </c>
    </row>
    <row r="177" spans="1:2" ht="15" x14ac:dyDescent="0.35">
      <c r="A177" s="56" t="s">
        <v>779</v>
      </c>
      <c r="B177" t="s">
        <v>1062</v>
      </c>
    </row>
    <row r="178" spans="1:2" ht="15" x14ac:dyDescent="0.35">
      <c r="A178" s="56" t="s">
        <v>780</v>
      </c>
      <c r="B178" t="s">
        <v>1062</v>
      </c>
    </row>
    <row r="179" spans="1:2" ht="15" x14ac:dyDescent="0.35">
      <c r="A179" s="56" t="s">
        <v>781</v>
      </c>
      <c r="B179" t="s">
        <v>1062</v>
      </c>
    </row>
    <row r="180" spans="1:2" ht="15" x14ac:dyDescent="0.35">
      <c r="A180" s="56" t="s">
        <v>782</v>
      </c>
      <c r="B180" t="s">
        <v>1062</v>
      </c>
    </row>
    <row r="181" spans="1:2" ht="15" x14ac:dyDescent="0.35">
      <c r="A181" s="56" t="s">
        <v>783</v>
      </c>
      <c r="B181" t="s">
        <v>1062</v>
      </c>
    </row>
    <row r="182" spans="1:2" ht="15" x14ac:dyDescent="0.35">
      <c r="A182" s="56" t="s">
        <v>784</v>
      </c>
      <c r="B182" t="s">
        <v>1062</v>
      </c>
    </row>
    <row r="183" spans="1:2" ht="15" x14ac:dyDescent="0.35">
      <c r="A183" s="56" t="s">
        <v>785</v>
      </c>
      <c r="B183" t="s">
        <v>1063</v>
      </c>
    </row>
    <row r="184" spans="1:2" ht="15" x14ac:dyDescent="0.35">
      <c r="A184" s="56" t="s">
        <v>786</v>
      </c>
      <c r="B184" t="s">
        <v>1062</v>
      </c>
    </row>
    <row r="185" spans="1:2" ht="15" x14ac:dyDescent="0.35">
      <c r="A185" s="56" t="s">
        <v>787</v>
      </c>
      <c r="B185" t="s">
        <v>1062</v>
      </c>
    </row>
    <row r="186" spans="1:2" ht="15" x14ac:dyDescent="0.35">
      <c r="A186" s="56" t="s">
        <v>788</v>
      </c>
      <c r="B186" t="s">
        <v>1062</v>
      </c>
    </row>
    <row r="187" spans="1:2" ht="15" x14ac:dyDescent="0.35">
      <c r="A187" s="56" t="s">
        <v>789</v>
      </c>
      <c r="B187" t="s">
        <v>1063</v>
      </c>
    </row>
    <row r="188" spans="1:2" ht="15" x14ac:dyDescent="0.35">
      <c r="A188" s="56" t="s">
        <v>790</v>
      </c>
      <c r="B188" t="s">
        <v>1062</v>
      </c>
    </row>
    <row r="189" spans="1:2" ht="15" x14ac:dyDescent="0.35">
      <c r="A189" s="56" t="s">
        <v>791</v>
      </c>
      <c r="B189" t="s">
        <v>1063</v>
      </c>
    </row>
    <row r="190" spans="1:2" ht="15" x14ac:dyDescent="0.35">
      <c r="A190" s="56" t="s">
        <v>792</v>
      </c>
      <c r="B190" t="s">
        <v>1062</v>
      </c>
    </row>
    <row r="191" spans="1:2" ht="15" x14ac:dyDescent="0.35">
      <c r="A191" s="56" t="s">
        <v>341</v>
      </c>
      <c r="B191" t="s">
        <v>1062</v>
      </c>
    </row>
    <row r="192" spans="1:2" ht="15" x14ac:dyDescent="0.35">
      <c r="A192" s="56" t="s">
        <v>793</v>
      </c>
      <c r="B192" t="s">
        <v>1062</v>
      </c>
    </row>
    <row r="193" spans="1:2" ht="15" x14ac:dyDescent="0.35">
      <c r="A193" s="56" t="s">
        <v>794</v>
      </c>
      <c r="B193" t="s">
        <v>1062</v>
      </c>
    </row>
    <row r="194" spans="1:2" ht="15" x14ac:dyDescent="0.35">
      <c r="A194" s="56" t="s">
        <v>795</v>
      </c>
      <c r="B194" t="s">
        <v>1062</v>
      </c>
    </row>
    <row r="195" spans="1:2" ht="15" x14ac:dyDescent="0.35">
      <c r="A195" s="56" t="s">
        <v>796</v>
      </c>
      <c r="B195" t="s">
        <v>1062</v>
      </c>
    </row>
    <row r="196" spans="1:2" ht="15" x14ac:dyDescent="0.35">
      <c r="A196" s="56" t="s">
        <v>119</v>
      </c>
      <c r="B196" t="s">
        <v>1062</v>
      </c>
    </row>
    <row r="197" spans="1:2" ht="15" x14ac:dyDescent="0.35">
      <c r="A197" s="56" t="s">
        <v>344</v>
      </c>
      <c r="B197" t="s">
        <v>1062</v>
      </c>
    </row>
    <row r="198" spans="1:2" ht="15" x14ac:dyDescent="0.35">
      <c r="A198" s="56" t="s">
        <v>158</v>
      </c>
      <c r="B198" t="s">
        <v>1062</v>
      </c>
    </row>
    <row r="199" spans="1:2" ht="15" x14ac:dyDescent="0.35">
      <c r="A199" s="56" t="s">
        <v>23</v>
      </c>
      <c r="B199" t="s">
        <v>1062</v>
      </c>
    </row>
    <row r="200" spans="1:2" ht="15" x14ac:dyDescent="0.35">
      <c r="A200" s="56" t="s">
        <v>797</v>
      </c>
      <c r="B200" t="s">
        <v>1062</v>
      </c>
    </row>
    <row r="201" spans="1:2" ht="15" x14ac:dyDescent="0.35">
      <c r="A201" s="56" t="s">
        <v>798</v>
      </c>
      <c r="B201" t="s">
        <v>1062</v>
      </c>
    </row>
    <row r="202" spans="1:2" ht="15" x14ac:dyDescent="0.35">
      <c r="A202" s="56" t="s">
        <v>799</v>
      </c>
      <c r="B202" t="s">
        <v>1062</v>
      </c>
    </row>
    <row r="203" spans="1:2" ht="15" x14ac:dyDescent="0.35">
      <c r="A203" s="56" t="s">
        <v>800</v>
      </c>
      <c r="B203" t="s">
        <v>1062</v>
      </c>
    </row>
    <row r="204" spans="1:2" ht="15" x14ac:dyDescent="0.35">
      <c r="A204" s="56" t="s">
        <v>801</v>
      </c>
      <c r="B204" t="s">
        <v>1062</v>
      </c>
    </row>
    <row r="205" spans="1:2" ht="15" x14ac:dyDescent="0.35">
      <c r="A205" s="56" t="s">
        <v>802</v>
      </c>
      <c r="B205" t="s">
        <v>1062</v>
      </c>
    </row>
    <row r="206" spans="1:2" ht="15" x14ac:dyDescent="0.35">
      <c r="A206" s="56" t="s">
        <v>803</v>
      </c>
      <c r="B206" t="s">
        <v>1062</v>
      </c>
    </row>
    <row r="207" spans="1:2" ht="15" x14ac:dyDescent="0.35">
      <c r="A207" s="56" t="s">
        <v>804</v>
      </c>
      <c r="B207" t="s">
        <v>1063</v>
      </c>
    </row>
    <row r="208" spans="1:2" ht="15" x14ac:dyDescent="0.35">
      <c r="A208" s="56" t="s">
        <v>46</v>
      </c>
      <c r="B208" t="s">
        <v>1062</v>
      </c>
    </row>
    <row r="209" spans="1:2" ht="15" x14ac:dyDescent="0.35">
      <c r="A209" s="56" t="s">
        <v>805</v>
      </c>
      <c r="B209" t="s">
        <v>1062</v>
      </c>
    </row>
    <row r="210" spans="1:2" ht="15" x14ac:dyDescent="0.35">
      <c r="A210" s="56" t="s">
        <v>806</v>
      </c>
      <c r="B210" t="s">
        <v>1062</v>
      </c>
    </row>
    <row r="211" spans="1:2" ht="15" x14ac:dyDescent="0.35">
      <c r="A211" s="56" t="s">
        <v>807</v>
      </c>
      <c r="B211" t="s">
        <v>1062</v>
      </c>
    </row>
    <row r="212" spans="1:2" ht="15" x14ac:dyDescent="0.35">
      <c r="A212" s="56" t="s">
        <v>808</v>
      </c>
      <c r="B212" t="s">
        <v>1062</v>
      </c>
    </row>
    <row r="213" spans="1:2" ht="15" x14ac:dyDescent="0.35">
      <c r="A213" s="56" t="s">
        <v>809</v>
      </c>
      <c r="B213" t="s">
        <v>1062</v>
      </c>
    </row>
    <row r="214" spans="1:2" ht="15" x14ac:dyDescent="0.35">
      <c r="A214" s="56" t="s">
        <v>810</v>
      </c>
      <c r="B214" t="s">
        <v>1062</v>
      </c>
    </row>
    <row r="215" spans="1:2" ht="15" x14ac:dyDescent="0.35">
      <c r="A215" s="56" t="s">
        <v>811</v>
      </c>
      <c r="B215" t="s">
        <v>1063</v>
      </c>
    </row>
    <row r="216" spans="1:2" ht="15" x14ac:dyDescent="0.35">
      <c r="A216" s="56" t="s">
        <v>123</v>
      </c>
      <c r="B216" t="s">
        <v>1063</v>
      </c>
    </row>
    <row r="217" spans="1:2" ht="15" x14ac:dyDescent="0.35">
      <c r="A217" s="56" t="s">
        <v>812</v>
      </c>
      <c r="B217" t="s">
        <v>1062</v>
      </c>
    </row>
    <row r="218" spans="1:2" ht="15" x14ac:dyDescent="0.35">
      <c r="A218" s="56" t="s">
        <v>813</v>
      </c>
      <c r="B218" t="s">
        <v>1062</v>
      </c>
    </row>
    <row r="219" spans="1:2" ht="15" x14ac:dyDescent="0.35">
      <c r="A219" s="56" t="s">
        <v>814</v>
      </c>
      <c r="B219" t="s">
        <v>1062</v>
      </c>
    </row>
    <row r="220" spans="1:2" ht="15" x14ac:dyDescent="0.35">
      <c r="A220" s="56" t="s">
        <v>815</v>
      </c>
      <c r="B220" t="s">
        <v>1062</v>
      </c>
    </row>
    <row r="221" spans="1:2" ht="15" x14ac:dyDescent="0.35">
      <c r="A221" s="56" t="s">
        <v>816</v>
      </c>
      <c r="B221" t="s">
        <v>1062</v>
      </c>
    </row>
    <row r="222" spans="1:2" ht="15" x14ac:dyDescent="0.35">
      <c r="A222" s="56" t="s">
        <v>817</v>
      </c>
      <c r="B222" t="s">
        <v>1062</v>
      </c>
    </row>
    <row r="223" spans="1:2" ht="15" x14ac:dyDescent="0.35">
      <c r="A223" s="56" t="s">
        <v>818</v>
      </c>
      <c r="B223" t="s">
        <v>1062</v>
      </c>
    </row>
    <row r="224" spans="1:2" ht="15" x14ac:dyDescent="0.35">
      <c r="A224" s="56" t="s">
        <v>819</v>
      </c>
      <c r="B224" t="s">
        <v>1063</v>
      </c>
    </row>
    <row r="225" spans="1:2" ht="15" x14ac:dyDescent="0.35">
      <c r="A225" s="56" t="s">
        <v>615</v>
      </c>
      <c r="B225" t="s">
        <v>1062</v>
      </c>
    </row>
    <row r="226" spans="1:2" ht="15" x14ac:dyDescent="0.35">
      <c r="A226" s="56" t="s">
        <v>820</v>
      </c>
      <c r="B226" t="s">
        <v>1063</v>
      </c>
    </row>
    <row r="227" spans="1:2" ht="15" x14ac:dyDescent="0.35">
      <c r="A227" s="56" t="s">
        <v>821</v>
      </c>
      <c r="B227" t="s">
        <v>1062</v>
      </c>
    </row>
    <row r="228" spans="1:2" ht="15" x14ac:dyDescent="0.35">
      <c r="A228" s="56" t="s">
        <v>822</v>
      </c>
      <c r="B228" t="s">
        <v>1062</v>
      </c>
    </row>
    <row r="229" spans="1:2" ht="15" x14ac:dyDescent="0.35">
      <c r="A229" s="56" t="s">
        <v>823</v>
      </c>
      <c r="B229" t="s">
        <v>1062</v>
      </c>
    </row>
    <row r="230" spans="1:2" ht="15" x14ac:dyDescent="0.35">
      <c r="A230" s="56" t="s">
        <v>824</v>
      </c>
      <c r="B230" t="s">
        <v>1062</v>
      </c>
    </row>
    <row r="231" spans="1:2" ht="15" x14ac:dyDescent="0.35">
      <c r="A231" s="56" t="s">
        <v>825</v>
      </c>
      <c r="B231" t="s">
        <v>1062</v>
      </c>
    </row>
    <row r="232" spans="1:2" ht="15" x14ac:dyDescent="0.35">
      <c r="A232" s="56" t="s">
        <v>826</v>
      </c>
      <c r="B232" t="s">
        <v>1062</v>
      </c>
    </row>
    <row r="233" spans="1:2" ht="15" x14ac:dyDescent="0.35">
      <c r="A233" s="56" t="s">
        <v>827</v>
      </c>
      <c r="B233" t="s">
        <v>1062</v>
      </c>
    </row>
    <row r="234" spans="1:2" ht="15" x14ac:dyDescent="0.35">
      <c r="A234" s="56" t="s">
        <v>828</v>
      </c>
      <c r="B234" t="s">
        <v>1063</v>
      </c>
    </row>
    <row r="235" spans="1:2" ht="15" x14ac:dyDescent="0.35">
      <c r="A235" s="56" t="s">
        <v>829</v>
      </c>
      <c r="B235" t="s">
        <v>1063</v>
      </c>
    </row>
    <row r="236" spans="1:2" ht="15" x14ac:dyDescent="0.35">
      <c r="A236" s="56" t="s">
        <v>830</v>
      </c>
      <c r="B236" t="s">
        <v>1063</v>
      </c>
    </row>
    <row r="237" spans="1:2" ht="15" x14ac:dyDescent="0.35">
      <c r="A237" s="56" t="s">
        <v>831</v>
      </c>
      <c r="B237" t="s">
        <v>1062</v>
      </c>
    </row>
    <row r="238" spans="1:2" ht="15" x14ac:dyDescent="0.35">
      <c r="A238" s="56" t="s">
        <v>832</v>
      </c>
      <c r="B238" t="s">
        <v>1062</v>
      </c>
    </row>
    <row r="239" spans="1:2" ht="15" x14ac:dyDescent="0.35">
      <c r="A239" s="56" t="s">
        <v>833</v>
      </c>
      <c r="B239" t="s">
        <v>1062</v>
      </c>
    </row>
    <row r="240" spans="1:2" ht="15" x14ac:dyDescent="0.35">
      <c r="A240" s="56" t="s">
        <v>834</v>
      </c>
      <c r="B240" t="s">
        <v>1062</v>
      </c>
    </row>
    <row r="241" spans="1:2" ht="15" x14ac:dyDescent="0.35">
      <c r="A241" s="56" t="s">
        <v>835</v>
      </c>
      <c r="B241" t="s">
        <v>1062</v>
      </c>
    </row>
    <row r="242" spans="1:2" ht="15" x14ac:dyDescent="0.35">
      <c r="A242" s="56" t="s">
        <v>836</v>
      </c>
      <c r="B242" t="s">
        <v>1062</v>
      </c>
    </row>
    <row r="243" spans="1:2" ht="15" x14ac:dyDescent="0.35">
      <c r="A243" s="56" t="s">
        <v>837</v>
      </c>
      <c r="B243" t="s">
        <v>1062</v>
      </c>
    </row>
    <row r="244" spans="1:2" ht="15" x14ac:dyDescent="0.35">
      <c r="A244" s="56" t="s">
        <v>838</v>
      </c>
      <c r="B244" t="s">
        <v>1062</v>
      </c>
    </row>
    <row r="245" spans="1:2" ht="15" x14ac:dyDescent="0.35">
      <c r="A245" s="56" t="s">
        <v>839</v>
      </c>
      <c r="B245" t="s">
        <v>1063</v>
      </c>
    </row>
    <row r="246" spans="1:2" ht="15" x14ac:dyDescent="0.35">
      <c r="A246" s="56" t="s">
        <v>840</v>
      </c>
      <c r="B246" t="s">
        <v>1062</v>
      </c>
    </row>
    <row r="247" spans="1:2" ht="15" x14ac:dyDescent="0.35">
      <c r="A247" s="56" t="s">
        <v>841</v>
      </c>
      <c r="B247" t="s">
        <v>1062</v>
      </c>
    </row>
    <row r="248" spans="1:2" ht="15" x14ac:dyDescent="0.35">
      <c r="A248" s="56" t="s">
        <v>842</v>
      </c>
      <c r="B248" t="s">
        <v>1062</v>
      </c>
    </row>
    <row r="249" spans="1:2" ht="15" x14ac:dyDescent="0.35">
      <c r="A249" s="56" t="s">
        <v>843</v>
      </c>
      <c r="B249" t="s">
        <v>1062</v>
      </c>
    </row>
    <row r="250" spans="1:2" ht="15" x14ac:dyDescent="0.35">
      <c r="A250" s="56" t="s">
        <v>844</v>
      </c>
      <c r="B250" t="s">
        <v>1062</v>
      </c>
    </row>
    <row r="251" spans="1:2" ht="15" x14ac:dyDescent="0.35">
      <c r="A251" s="56" t="s">
        <v>845</v>
      </c>
      <c r="B251" t="s">
        <v>1062</v>
      </c>
    </row>
    <row r="252" spans="1:2" ht="15" x14ac:dyDescent="0.35">
      <c r="A252" s="56" t="s">
        <v>539</v>
      </c>
      <c r="B252" t="s">
        <v>1063</v>
      </c>
    </row>
    <row r="253" spans="1:2" ht="15" x14ac:dyDescent="0.35">
      <c r="A253" s="56" t="s">
        <v>541</v>
      </c>
      <c r="B253" t="s">
        <v>1062</v>
      </c>
    </row>
    <row r="254" spans="1:2" ht="15" x14ac:dyDescent="0.35">
      <c r="A254" s="56" t="s">
        <v>544</v>
      </c>
      <c r="B254" t="s">
        <v>1062</v>
      </c>
    </row>
    <row r="255" spans="1:2" ht="15" x14ac:dyDescent="0.35">
      <c r="A255" s="56" t="s">
        <v>547</v>
      </c>
      <c r="B255" t="s">
        <v>1062</v>
      </c>
    </row>
    <row r="256" spans="1:2" ht="15" x14ac:dyDescent="0.35">
      <c r="A256" s="56" t="s">
        <v>548</v>
      </c>
      <c r="B256" t="s">
        <v>1062</v>
      </c>
    </row>
    <row r="257" spans="1:2" x14ac:dyDescent="0.3">
      <c r="A257" t="s">
        <v>864</v>
      </c>
      <c r="B257" t="s">
        <v>1062</v>
      </c>
    </row>
    <row r="258" spans="1:2" x14ac:dyDescent="0.3">
      <c r="A258" t="s">
        <v>865</v>
      </c>
      <c r="B258" t="s">
        <v>1062</v>
      </c>
    </row>
    <row r="259" spans="1:2" x14ac:dyDescent="0.3">
      <c r="A259" t="s">
        <v>597</v>
      </c>
      <c r="B259" t="s">
        <v>1062</v>
      </c>
    </row>
    <row r="260" spans="1:2" x14ac:dyDescent="0.3">
      <c r="A260" t="s">
        <v>866</v>
      </c>
      <c r="B260" t="s">
        <v>1062</v>
      </c>
    </row>
    <row r="261" spans="1:2" x14ac:dyDescent="0.3">
      <c r="A261" t="s">
        <v>867</v>
      </c>
      <c r="B261" t="s">
        <v>1062</v>
      </c>
    </row>
    <row r="262" spans="1:2" x14ac:dyDescent="0.3">
      <c r="A262" t="s">
        <v>868</v>
      </c>
      <c r="B262" t="s">
        <v>1062</v>
      </c>
    </row>
    <row r="263" spans="1:2" x14ac:dyDescent="0.3">
      <c r="A263" t="s">
        <v>869</v>
      </c>
      <c r="B263" t="s">
        <v>1062</v>
      </c>
    </row>
    <row r="264" spans="1:2" x14ac:dyDescent="0.3">
      <c r="A264" t="s">
        <v>847</v>
      </c>
      <c r="B264" t="s">
        <v>1062</v>
      </c>
    </row>
    <row r="265" spans="1:2" x14ac:dyDescent="0.3">
      <c r="A265" t="s">
        <v>870</v>
      </c>
      <c r="B265" t="s">
        <v>1062</v>
      </c>
    </row>
    <row r="266" spans="1:2" x14ac:dyDescent="0.3">
      <c r="A266" t="s">
        <v>848</v>
      </c>
      <c r="B266" t="s">
        <v>1062</v>
      </c>
    </row>
    <row r="267" spans="1:2" x14ac:dyDescent="0.3">
      <c r="A267" t="s">
        <v>871</v>
      </c>
      <c r="B267" t="s">
        <v>1063</v>
      </c>
    </row>
    <row r="268" spans="1:2" x14ac:dyDescent="0.3">
      <c r="A268" t="s">
        <v>872</v>
      </c>
      <c r="B268" t="s">
        <v>1062</v>
      </c>
    </row>
    <row r="269" spans="1:2" x14ac:dyDescent="0.3">
      <c r="A269" t="s">
        <v>873</v>
      </c>
      <c r="B269" t="s">
        <v>1062</v>
      </c>
    </row>
    <row r="270" spans="1:2" x14ac:dyDescent="0.3">
      <c r="A270" t="s">
        <v>874</v>
      </c>
      <c r="B270" t="s">
        <v>1062</v>
      </c>
    </row>
    <row r="271" spans="1:2" x14ac:dyDescent="0.3">
      <c r="A271" t="s">
        <v>26</v>
      </c>
      <c r="B271" t="s">
        <v>1062</v>
      </c>
    </row>
    <row r="272" spans="1:2" x14ac:dyDescent="0.3">
      <c r="A272" t="s">
        <v>875</v>
      </c>
      <c r="B272" t="s">
        <v>1062</v>
      </c>
    </row>
    <row r="273" spans="1:2" x14ac:dyDescent="0.3">
      <c r="A273" t="s">
        <v>849</v>
      </c>
      <c r="B273" t="s">
        <v>1062</v>
      </c>
    </row>
    <row r="274" spans="1:2" x14ac:dyDescent="0.3">
      <c r="A274" t="s">
        <v>876</v>
      </c>
      <c r="B274" t="s">
        <v>1062</v>
      </c>
    </row>
    <row r="275" spans="1:2" x14ac:dyDescent="0.3">
      <c r="A275" t="s">
        <v>877</v>
      </c>
      <c r="B275" t="s">
        <v>1062</v>
      </c>
    </row>
    <row r="276" spans="1:2" x14ac:dyDescent="0.3">
      <c r="A276" t="s">
        <v>878</v>
      </c>
      <c r="B276" t="s">
        <v>1062</v>
      </c>
    </row>
    <row r="277" spans="1:2" x14ac:dyDescent="0.3">
      <c r="A277" t="s">
        <v>879</v>
      </c>
      <c r="B277" t="s">
        <v>1062</v>
      </c>
    </row>
    <row r="278" spans="1:2" x14ac:dyDescent="0.3">
      <c r="A278" t="s">
        <v>880</v>
      </c>
      <c r="B278" t="s">
        <v>1062</v>
      </c>
    </row>
    <row r="279" spans="1:2" x14ac:dyDescent="0.3">
      <c r="A279" t="s">
        <v>881</v>
      </c>
      <c r="B279" t="s">
        <v>1062</v>
      </c>
    </row>
    <row r="280" spans="1:2" x14ac:dyDescent="0.3">
      <c r="A280" t="s">
        <v>882</v>
      </c>
      <c r="B280" t="s">
        <v>1062</v>
      </c>
    </row>
    <row r="281" spans="1:2" x14ac:dyDescent="0.3">
      <c r="A281" t="s">
        <v>883</v>
      </c>
      <c r="B281" t="s">
        <v>1062</v>
      </c>
    </row>
    <row r="282" spans="1:2" x14ac:dyDescent="0.3">
      <c r="A282" t="s">
        <v>884</v>
      </c>
      <c r="B282" t="s">
        <v>1062</v>
      </c>
    </row>
    <row r="283" spans="1:2" x14ac:dyDescent="0.3">
      <c r="A283" t="s">
        <v>885</v>
      </c>
      <c r="B283" t="s">
        <v>1063</v>
      </c>
    </row>
    <row r="284" spans="1:2" x14ac:dyDescent="0.3">
      <c r="A284" t="s">
        <v>886</v>
      </c>
      <c r="B284" t="s">
        <v>1062</v>
      </c>
    </row>
    <row r="285" spans="1:2" x14ac:dyDescent="0.3">
      <c r="A285" t="s">
        <v>887</v>
      </c>
      <c r="B285" t="s">
        <v>1062</v>
      </c>
    </row>
    <row r="286" spans="1:2" x14ac:dyDescent="0.3">
      <c r="A286" t="s">
        <v>888</v>
      </c>
      <c r="B286" t="s">
        <v>1062</v>
      </c>
    </row>
    <row r="287" spans="1:2" x14ac:dyDescent="0.3">
      <c r="A287" t="s">
        <v>889</v>
      </c>
      <c r="B287" t="s">
        <v>1062</v>
      </c>
    </row>
    <row r="288" spans="1:2" x14ac:dyDescent="0.3">
      <c r="A288" t="s">
        <v>890</v>
      </c>
      <c r="B288" t="s">
        <v>1063</v>
      </c>
    </row>
    <row r="289" spans="1:2" x14ac:dyDescent="0.3">
      <c r="A289" t="s">
        <v>891</v>
      </c>
      <c r="B289" t="s">
        <v>1062</v>
      </c>
    </row>
    <row r="290" spans="1:2" x14ac:dyDescent="0.3">
      <c r="A290" t="s">
        <v>892</v>
      </c>
      <c r="B290" t="s">
        <v>1062</v>
      </c>
    </row>
    <row r="291" spans="1:2" x14ac:dyDescent="0.3">
      <c r="A291" t="s">
        <v>852</v>
      </c>
      <c r="B291" t="s">
        <v>1062</v>
      </c>
    </row>
    <row r="292" spans="1:2" x14ac:dyDescent="0.3">
      <c r="A292" t="s">
        <v>893</v>
      </c>
      <c r="B292" t="s">
        <v>1062</v>
      </c>
    </row>
    <row r="293" spans="1:2" x14ac:dyDescent="0.3">
      <c r="A293" t="s">
        <v>853</v>
      </c>
      <c r="B293" t="s">
        <v>1062</v>
      </c>
    </row>
    <row r="294" spans="1:2" x14ac:dyDescent="0.3">
      <c r="A294" t="s">
        <v>505</v>
      </c>
      <c r="B294" t="s">
        <v>1063</v>
      </c>
    </row>
    <row r="295" spans="1:2" x14ac:dyDescent="0.3">
      <c r="A295" t="s">
        <v>894</v>
      </c>
      <c r="B295" t="s">
        <v>1063</v>
      </c>
    </row>
    <row r="296" spans="1:2" x14ac:dyDescent="0.3">
      <c r="A296" t="s">
        <v>895</v>
      </c>
      <c r="B296" t="s">
        <v>1062</v>
      </c>
    </row>
    <row r="297" spans="1:2" x14ac:dyDescent="0.3">
      <c r="A297" t="s">
        <v>854</v>
      </c>
      <c r="B297" t="s">
        <v>1062</v>
      </c>
    </row>
    <row r="298" spans="1:2" x14ac:dyDescent="0.3">
      <c r="A298" t="s">
        <v>855</v>
      </c>
      <c r="B298" t="s">
        <v>1062</v>
      </c>
    </row>
    <row r="299" spans="1:2" x14ac:dyDescent="0.3">
      <c r="A299" t="s">
        <v>896</v>
      </c>
      <c r="B299" t="s">
        <v>1062</v>
      </c>
    </row>
    <row r="300" spans="1:2" x14ac:dyDescent="0.3">
      <c r="A300" t="s">
        <v>897</v>
      </c>
      <c r="B300" t="s">
        <v>1062</v>
      </c>
    </row>
    <row r="301" spans="1:2" x14ac:dyDescent="0.3">
      <c r="A301" t="s">
        <v>898</v>
      </c>
      <c r="B301" t="s">
        <v>1062</v>
      </c>
    </row>
    <row r="302" spans="1:2" x14ac:dyDescent="0.3">
      <c r="A302" t="s">
        <v>899</v>
      </c>
      <c r="B302" t="s">
        <v>1062</v>
      </c>
    </row>
    <row r="303" spans="1:2" x14ac:dyDescent="0.3">
      <c r="A303" t="s">
        <v>900</v>
      </c>
      <c r="B303" t="s">
        <v>1062</v>
      </c>
    </row>
    <row r="304" spans="1:2" x14ac:dyDescent="0.3">
      <c r="A304" t="s">
        <v>901</v>
      </c>
      <c r="B304" t="s">
        <v>1062</v>
      </c>
    </row>
    <row r="305" spans="1:2" x14ac:dyDescent="0.3">
      <c r="A305" t="s">
        <v>902</v>
      </c>
      <c r="B305" t="s">
        <v>1062</v>
      </c>
    </row>
    <row r="306" spans="1:2" x14ac:dyDescent="0.3">
      <c r="A306" t="s">
        <v>903</v>
      </c>
      <c r="B306" t="s">
        <v>1062</v>
      </c>
    </row>
    <row r="307" spans="1:2" x14ac:dyDescent="0.3">
      <c r="A307" t="s">
        <v>904</v>
      </c>
      <c r="B307" t="s">
        <v>1062</v>
      </c>
    </row>
    <row r="308" spans="1:2" x14ac:dyDescent="0.3">
      <c r="A308" t="s">
        <v>905</v>
      </c>
      <c r="B308" t="s">
        <v>1062</v>
      </c>
    </row>
    <row r="309" spans="1:2" x14ac:dyDescent="0.3">
      <c r="A309" t="s">
        <v>906</v>
      </c>
      <c r="B309" t="s">
        <v>1062</v>
      </c>
    </row>
    <row r="310" spans="1:2" x14ac:dyDescent="0.3">
      <c r="A310" t="s">
        <v>907</v>
      </c>
      <c r="B310" t="s">
        <v>1063</v>
      </c>
    </row>
    <row r="311" spans="1:2" x14ac:dyDescent="0.3">
      <c r="A311" t="s">
        <v>908</v>
      </c>
      <c r="B311" t="s">
        <v>1062</v>
      </c>
    </row>
    <row r="312" spans="1:2" x14ac:dyDescent="0.3">
      <c r="A312" t="s">
        <v>909</v>
      </c>
      <c r="B312" t="s">
        <v>1062</v>
      </c>
    </row>
    <row r="313" spans="1:2" x14ac:dyDescent="0.3">
      <c r="A313" t="s">
        <v>910</v>
      </c>
      <c r="B313" t="s">
        <v>1062</v>
      </c>
    </row>
    <row r="314" spans="1:2" x14ac:dyDescent="0.3">
      <c r="A314" t="s">
        <v>911</v>
      </c>
      <c r="B314" t="s">
        <v>1062</v>
      </c>
    </row>
    <row r="315" spans="1:2" x14ac:dyDescent="0.3">
      <c r="A315" t="s">
        <v>912</v>
      </c>
      <c r="B315" t="s">
        <v>1062</v>
      </c>
    </row>
    <row r="316" spans="1:2" x14ac:dyDescent="0.3">
      <c r="A316" t="s">
        <v>913</v>
      </c>
      <c r="B316" t="s">
        <v>1062</v>
      </c>
    </row>
    <row r="317" spans="1:2" x14ac:dyDescent="0.3">
      <c r="A317" t="s">
        <v>914</v>
      </c>
      <c r="B317" t="s">
        <v>1062</v>
      </c>
    </row>
    <row r="318" spans="1:2" x14ac:dyDescent="0.3">
      <c r="A318" t="s">
        <v>915</v>
      </c>
      <c r="B318" t="s">
        <v>1062</v>
      </c>
    </row>
    <row r="319" spans="1:2" x14ac:dyDescent="0.3">
      <c r="A319" t="s">
        <v>917</v>
      </c>
      <c r="B319" t="s">
        <v>1062</v>
      </c>
    </row>
    <row r="320" spans="1:2" x14ac:dyDescent="0.3">
      <c r="A320" t="s">
        <v>918</v>
      </c>
      <c r="B320" t="s">
        <v>1062</v>
      </c>
    </row>
    <row r="321" spans="1:2" x14ac:dyDescent="0.3">
      <c r="A321" t="s">
        <v>919</v>
      </c>
      <c r="B321" t="s">
        <v>1062</v>
      </c>
    </row>
    <row r="322" spans="1:2" x14ac:dyDescent="0.3">
      <c r="A322" t="s">
        <v>920</v>
      </c>
      <c r="B322" t="s">
        <v>1062</v>
      </c>
    </row>
    <row r="323" spans="1:2" x14ac:dyDescent="0.3">
      <c r="A323" t="s">
        <v>315</v>
      </c>
      <c r="B323" t="s">
        <v>1063</v>
      </c>
    </row>
    <row r="324" spans="1:2" x14ac:dyDescent="0.3">
      <c r="A324" t="s">
        <v>921</v>
      </c>
      <c r="B324" t="s">
        <v>1062</v>
      </c>
    </row>
    <row r="325" spans="1:2" x14ac:dyDescent="0.3">
      <c r="A325" t="s">
        <v>922</v>
      </c>
      <c r="B325" t="s">
        <v>1062</v>
      </c>
    </row>
    <row r="326" spans="1:2" x14ac:dyDescent="0.3">
      <c r="A326" t="s">
        <v>923</v>
      </c>
      <c r="B326" t="s">
        <v>1062</v>
      </c>
    </row>
    <row r="327" spans="1:2" x14ac:dyDescent="0.3">
      <c r="A327" t="s">
        <v>924</v>
      </c>
      <c r="B327" t="s">
        <v>1062</v>
      </c>
    </row>
    <row r="328" spans="1:2" x14ac:dyDescent="0.3">
      <c r="A328" t="s">
        <v>925</v>
      </c>
      <c r="B328" t="s">
        <v>1063</v>
      </c>
    </row>
    <row r="329" spans="1:2" x14ac:dyDescent="0.3">
      <c r="A329" t="s">
        <v>926</v>
      </c>
      <c r="B329" t="s">
        <v>1062</v>
      </c>
    </row>
    <row r="330" spans="1:2" x14ac:dyDescent="0.3">
      <c r="A330" t="s">
        <v>927</v>
      </c>
      <c r="B330" t="s">
        <v>1063</v>
      </c>
    </row>
    <row r="331" spans="1:2" x14ac:dyDescent="0.3">
      <c r="A331" t="s">
        <v>928</v>
      </c>
      <c r="B331" t="s">
        <v>1063</v>
      </c>
    </row>
    <row r="332" spans="1:2" x14ac:dyDescent="0.3">
      <c r="A332" t="s">
        <v>929</v>
      </c>
      <c r="B332" t="s">
        <v>1062</v>
      </c>
    </row>
    <row r="333" spans="1:2" x14ac:dyDescent="0.3">
      <c r="A333" t="s">
        <v>930</v>
      </c>
      <c r="B333" t="s">
        <v>1062</v>
      </c>
    </row>
    <row r="334" spans="1:2" x14ac:dyDescent="0.3">
      <c r="A334" t="s">
        <v>932</v>
      </c>
      <c r="B334" t="s">
        <v>1062</v>
      </c>
    </row>
    <row r="335" spans="1:2" x14ac:dyDescent="0.3">
      <c r="A335" t="s">
        <v>933</v>
      </c>
      <c r="B335" t="s">
        <v>1062</v>
      </c>
    </row>
    <row r="336" spans="1:2" x14ac:dyDescent="0.3">
      <c r="A336" t="s">
        <v>934</v>
      </c>
      <c r="B336" t="s">
        <v>1062</v>
      </c>
    </row>
    <row r="337" spans="1:2" x14ac:dyDescent="0.3">
      <c r="A337" t="s">
        <v>935</v>
      </c>
      <c r="B337" t="s">
        <v>1062</v>
      </c>
    </row>
    <row r="338" spans="1:2" x14ac:dyDescent="0.3">
      <c r="A338" t="s">
        <v>862</v>
      </c>
      <c r="B338" t="s">
        <v>1062</v>
      </c>
    </row>
    <row r="339" spans="1:2" x14ac:dyDescent="0.3">
      <c r="A339" t="s">
        <v>936</v>
      </c>
      <c r="B339" t="s">
        <v>1062</v>
      </c>
    </row>
    <row r="340" spans="1:2" x14ac:dyDescent="0.3">
      <c r="A340" t="s">
        <v>937</v>
      </c>
      <c r="B340" t="s">
        <v>1062</v>
      </c>
    </row>
    <row r="341" spans="1:2" x14ac:dyDescent="0.3">
      <c r="A341" t="s">
        <v>938</v>
      </c>
      <c r="B341" t="s">
        <v>1063</v>
      </c>
    </row>
    <row r="342" spans="1:2" x14ac:dyDescent="0.3">
      <c r="A342" t="s">
        <v>939</v>
      </c>
      <c r="B342" t="s">
        <v>1062</v>
      </c>
    </row>
    <row r="343" spans="1:2" x14ac:dyDescent="0.3">
      <c r="A343" t="s">
        <v>940</v>
      </c>
      <c r="B343" t="s">
        <v>1062</v>
      </c>
    </row>
    <row r="344" spans="1:2" x14ac:dyDescent="0.3">
      <c r="A344" t="s">
        <v>941</v>
      </c>
      <c r="B344" t="s">
        <v>1062</v>
      </c>
    </row>
    <row r="345" spans="1:2" x14ac:dyDescent="0.3">
      <c r="A345" t="s">
        <v>942</v>
      </c>
      <c r="B345" t="s">
        <v>1062</v>
      </c>
    </row>
    <row r="346" spans="1:2" x14ac:dyDescent="0.3">
      <c r="A346" t="s">
        <v>943</v>
      </c>
      <c r="B346" t="s">
        <v>1062</v>
      </c>
    </row>
    <row r="347" spans="1:2" x14ac:dyDescent="0.3">
      <c r="A347" t="s">
        <v>944</v>
      </c>
      <c r="B347" t="s">
        <v>1062</v>
      </c>
    </row>
    <row r="348" spans="1:2" x14ac:dyDescent="0.3">
      <c r="A348" t="s">
        <v>863</v>
      </c>
      <c r="B348" t="s">
        <v>1062</v>
      </c>
    </row>
    <row r="349" spans="1:2" x14ac:dyDescent="0.3">
      <c r="A349" t="s">
        <v>945</v>
      </c>
      <c r="B349" t="s">
        <v>1062</v>
      </c>
    </row>
    <row r="350" spans="1:2" x14ac:dyDescent="0.3">
      <c r="A350" t="s">
        <v>946</v>
      </c>
      <c r="B350" t="s">
        <v>1062</v>
      </c>
    </row>
    <row r="351" spans="1:2" x14ac:dyDescent="0.3">
      <c r="A351" t="s">
        <v>947</v>
      </c>
      <c r="B351" t="s">
        <v>1062</v>
      </c>
    </row>
    <row r="352" spans="1:2" x14ac:dyDescent="0.3">
      <c r="A352" t="s">
        <v>948</v>
      </c>
      <c r="B352" t="s">
        <v>1062</v>
      </c>
    </row>
    <row r="353" spans="1:2" x14ac:dyDescent="0.3">
      <c r="A353" t="s">
        <v>949</v>
      </c>
      <c r="B353" t="s">
        <v>1062</v>
      </c>
    </row>
    <row r="354" spans="1:2" x14ac:dyDescent="0.3">
      <c r="A354" t="s">
        <v>950</v>
      </c>
      <c r="B354" t="s">
        <v>1063</v>
      </c>
    </row>
    <row r="355" spans="1:2" x14ac:dyDescent="0.3">
      <c r="A355" t="s">
        <v>951</v>
      </c>
      <c r="B355" t="s">
        <v>1062</v>
      </c>
    </row>
    <row r="356" spans="1:2" x14ac:dyDescent="0.3">
      <c r="A356" t="s">
        <v>952</v>
      </c>
      <c r="B356" t="s">
        <v>1062</v>
      </c>
    </row>
    <row r="357" spans="1:2" x14ac:dyDescent="0.3">
      <c r="A357" t="s">
        <v>953</v>
      </c>
      <c r="B357" t="s">
        <v>1063</v>
      </c>
    </row>
    <row r="358" spans="1:2" x14ac:dyDescent="0.3">
      <c r="A358" t="s">
        <v>954</v>
      </c>
      <c r="B358" t="s">
        <v>1062</v>
      </c>
    </row>
    <row r="359" spans="1:2" x14ac:dyDescent="0.3">
      <c r="A359" t="s">
        <v>955</v>
      </c>
      <c r="B359" t="s">
        <v>1062</v>
      </c>
    </row>
  </sheetData>
  <dataValidations count="1">
    <dataValidation type="list" allowBlank="1" showInputMessage="1" showErrorMessage="1" sqref="B1:B1048576" xr:uid="{293D961E-0F54-407B-B101-4E9570F1216A}">
      <formula1>"native,non"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2C9B-FA70-4E05-8C12-0E6718CBA51D}">
  <dimension ref="A1:A255"/>
  <sheetViews>
    <sheetView topLeftCell="A152" workbookViewId="0">
      <selection activeCell="E175" sqref="E175"/>
    </sheetView>
  </sheetViews>
  <sheetFormatPr defaultRowHeight="14.4" x14ac:dyDescent="0.3"/>
  <cols>
    <col min="1" max="1" width="25.88671875" bestFit="1" customWidth="1"/>
  </cols>
  <sheetData>
    <row r="1" spans="1:1" ht="15" x14ac:dyDescent="0.35">
      <c r="A1" s="56" t="s">
        <v>616</v>
      </c>
    </row>
    <row r="2" spans="1:1" ht="15" x14ac:dyDescent="0.35">
      <c r="A2" s="56" t="s">
        <v>617</v>
      </c>
    </row>
    <row r="3" spans="1:1" ht="15" x14ac:dyDescent="0.35">
      <c r="A3" s="56" t="s">
        <v>618</v>
      </c>
    </row>
    <row r="4" spans="1:1" ht="15" x14ac:dyDescent="0.35">
      <c r="A4" s="56" t="s">
        <v>619</v>
      </c>
    </row>
    <row r="5" spans="1:1" ht="15" x14ac:dyDescent="0.35">
      <c r="A5" s="56" t="s">
        <v>620</v>
      </c>
    </row>
    <row r="6" spans="1:1" ht="15" x14ac:dyDescent="0.35">
      <c r="A6" s="56" t="s">
        <v>621</v>
      </c>
    </row>
    <row r="7" spans="1:1" ht="15" x14ac:dyDescent="0.35">
      <c r="A7" s="56" t="s">
        <v>622</v>
      </c>
    </row>
    <row r="8" spans="1:1" ht="15" x14ac:dyDescent="0.35">
      <c r="A8" s="56" t="s">
        <v>623</v>
      </c>
    </row>
    <row r="9" spans="1:1" ht="15" x14ac:dyDescent="0.35">
      <c r="A9" s="56" t="s">
        <v>624</v>
      </c>
    </row>
    <row r="10" spans="1:1" ht="15" x14ac:dyDescent="0.35">
      <c r="A10" s="56" t="s">
        <v>625</v>
      </c>
    </row>
    <row r="11" spans="1:1" ht="15" x14ac:dyDescent="0.35">
      <c r="A11" s="56" t="s">
        <v>626</v>
      </c>
    </row>
    <row r="12" spans="1:1" ht="15" x14ac:dyDescent="0.35">
      <c r="A12" s="56" t="s">
        <v>627</v>
      </c>
    </row>
    <row r="13" spans="1:1" ht="15" x14ac:dyDescent="0.35">
      <c r="A13" s="56" t="s">
        <v>628</v>
      </c>
    </row>
    <row r="14" spans="1:1" ht="15" x14ac:dyDescent="0.35">
      <c r="A14" s="56" t="s">
        <v>629</v>
      </c>
    </row>
    <row r="15" spans="1:1" ht="15" x14ac:dyDescent="0.35">
      <c r="A15" s="56" t="s">
        <v>630</v>
      </c>
    </row>
    <row r="16" spans="1:1" ht="15" x14ac:dyDescent="0.35">
      <c r="A16" s="56" t="s">
        <v>631</v>
      </c>
    </row>
    <row r="17" spans="1:1" ht="15" x14ac:dyDescent="0.35">
      <c r="A17" s="56" t="s">
        <v>632</v>
      </c>
    </row>
    <row r="18" spans="1:1" ht="15" x14ac:dyDescent="0.35">
      <c r="A18" s="56" t="s">
        <v>633</v>
      </c>
    </row>
    <row r="19" spans="1:1" ht="15" x14ac:dyDescent="0.35">
      <c r="A19" s="56" t="s">
        <v>634</v>
      </c>
    </row>
    <row r="20" spans="1:1" ht="15" x14ac:dyDescent="0.35">
      <c r="A20" s="56" t="s">
        <v>635</v>
      </c>
    </row>
    <row r="21" spans="1:1" ht="15" x14ac:dyDescent="0.35">
      <c r="A21" s="56" t="s">
        <v>636</v>
      </c>
    </row>
    <row r="22" spans="1:1" ht="15" x14ac:dyDescent="0.35">
      <c r="A22" s="56" t="s">
        <v>637</v>
      </c>
    </row>
    <row r="23" spans="1:1" ht="15" x14ac:dyDescent="0.35">
      <c r="A23" s="56" t="s">
        <v>638</v>
      </c>
    </row>
    <row r="24" spans="1:1" ht="15" x14ac:dyDescent="0.35">
      <c r="A24" s="56" t="s">
        <v>639</v>
      </c>
    </row>
    <row r="25" spans="1:1" ht="15" x14ac:dyDescent="0.35">
      <c r="A25" s="56" t="s">
        <v>640</v>
      </c>
    </row>
    <row r="26" spans="1:1" ht="15" x14ac:dyDescent="0.35">
      <c r="A26" s="56" t="s">
        <v>641</v>
      </c>
    </row>
    <row r="27" spans="1:1" ht="15" x14ac:dyDescent="0.35">
      <c r="A27" s="56" t="s">
        <v>642</v>
      </c>
    </row>
    <row r="28" spans="1:1" ht="15" x14ac:dyDescent="0.35">
      <c r="A28" s="56" t="s">
        <v>643</v>
      </c>
    </row>
    <row r="29" spans="1:1" ht="15" x14ac:dyDescent="0.35">
      <c r="A29" s="56" t="s">
        <v>644</v>
      </c>
    </row>
    <row r="30" spans="1:1" ht="15" x14ac:dyDescent="0.35">
      <c r="A30" s="56" t="s">
        <v>645</v>
      </c>
    </row>
    <row r="31" spans="1:1" ht="15" x14ac:dyDescent="0.35">
      <c r="A31" s="56" t="s">
        <v>646</v>
      </c>
    </row>
    <row r="32" spans="1:1" ht="15" x14ac:dyDescent="0.35">
      <c r="A32" s="56" t="s">
        <v>647</v>
      </c>
    </row>
    <row r="33" spans="1:1" ht="15" x14ac:dyDescent="0.35">
      <c r="A33" s="56" t="s">
        <v>648</v>
      </c>
    </row>
    <row r="34" spans="1:1" ht="15" x14ac:dyDescent="0.35">
      <c r="A34" s="56" t="s">
        <v>649</v>
      </c>
    </row>
    <row r="35" spans="1:1" ht="15" x14ac:dyDescent="0.35">
      <c r="A35" s="56" t="s">
        <v>650</v>
      </c>
    </row>
    <row r="36" spans="1:1" ht="15" x14ac:dyDescent="0.35">
      <c r="A36" s="56" t="s">
        <v>651</v>
      </c>
    </row>
    <row r="37" spans="1:1" ht="15" x14ac:dyDescent="0.35">
      <c r="A37" s="56" t="s">
        <v>652</v>
      </c>
    </row>
    <row r="38" spans="1:1" ht="15" x14ac:dyDescent="0.35">
      <c r="A38" s="56" t="s">
        <v>653</v>
      </c>
    </row>
    <row r="39" spans="1:1" ht="15" x14ac:dyDescent="0.35">
      <c r="A39" s="56" t="s">
        <v>45</v>
      </c>
    </row>
    <row r="40" spans="1:1" ht="15" x14ac:dyDescent="0.35">
      <c r="A40" s="56" t="s">
        <v>654</v>
      </c>
    </row>
    <row r="41" spans="1:1" ht="15" x14ac:dyDescent="0.35">
      <c r="A41" s="56" t="s">
        <v>655</v>
      </c>
    </row>
    <row r="42" spans="1:1" ht="15" x14ac:dyDescent="0.35">
      <c r="A42" s="56" t="s">
        <v>656</v>
      </c>
    </row>
    <row r="43" spans="1:1" ht="15" x14ac:dyDescent="0.35">
      <c r="A43" s="56" t="s">
        <v>657</v>
      </c>
    </row>
    <row r="44" spans="1:1" ht="15" x14ac:dyDescent="0.35">
      <c r="A44" s="56" t="s">
        <v>658</v>
      </c>
    </row>
    <row r="45" spans="1:1" ht="15" x14ac:dyDescent="0.35">
      <c r="A45" s="56" t="s">
        <v>659</v>
      </c>
    </row>
    <row r="46" spans="1:1" ht="15" x14ac:dyDescent="0.35">
      <c r="A46" s="56" t="s">
        <v>660</v>
      </c>
    </row>
    <row r="47" spans="1:1" ht="15" x14ac:dyDescent="0.35">
      <c r="A47" s="56" t="s">
        <v>661</v>
      </c>
    </row>
    <row r="48" spans="1:1" ht="15" x14ac:dyDescent="0.35">
      <c r="A48" s="56" t="s">
        <v>662</v>
      </c>
    </row>
    <row r="49" spans="1:1" ht="15" x14ac:dyDescent="0.35">
      <c r="A49" s="56" t="s">
        <v>663</v>
      </c>
    </row>
    <row r="50" spans="1:1" ht="15" x14ac:dyDescent="0.35">
      <c r="A50" s="56" t="s">
        <v>664</v>
      </c>
    </row>
    <row r="51" spans="1:1" ht="15" x14ac:dyDescent="0.35">
      <c r="A51" s="56" t="s">
        <v>665</v>
      </c>
    </row>
    <row r="52" spans="1:1" ht="15" x14ac:dyDescent="0.35">
      <c r="A52" s="56" t="s">
        <v>666</v>
      </c>
    </row>
    <row r="53" spans="1:1" ht="15" x14ac:dyDescent="0.35">
      <c r="A53" s="56" t="s">
        <v>667</v>
      </c>
    </row>
    <row r="54" spans="1:1" ht="15" x14ac:dyDescent="0.35">
      <c r="A54" s="56" t="s">
        <v>668</v>
      </c>
    </row>
    <row r="55" spans="1:1" ht="15" x14ac:dyDescent="0.35">
      <c r="A55" s="56" t="s">
        <v>669</v>
      </c>
    </row>
    <row r="56" spans="1:1" ht="15" x14ac:dyDescent="0.35">
      <c r="A56" s="56" t="s">
        <v>670</v>
      </c>
    </row>
    <row r="57" spans="1:1" ht="15" x14ac:dyDescent="0.35">
      <c r="A57" s="56" t="s">
        <v>671</v>
      </c>
    </row>
    <row r="58" spans="1:1" ht="15" x14ac:dyDescent="0.35">
      <c r="A58" s="56" t="s">
        <v>672</v>
      </c>
    </row>
    <row r="59" spans="1:1" ht="15" x14ac:dyDescent="0.35">
      <c r="A59" s="56" t="s">
        <v>673</v>
      </c>
    </row>
    <row r="60" spans="1:1" ht="15" x14ac:dyDescent="0.35">
      <c r="A60" s="56" t="s">
        <v>674</v>
      </c>
    </row>
    <row r="61" spans="1:1" ht="15" x14ac:dyDescent="0.35">
      <c r="A61" s="56" t="s">
        <v>675</v>
      </c>
    </row>
    <row r="62" spans="1:1" ht="15" x14ac:dyDescent="0.35">
      <c r="A62" s="56" t="s">
        <v>676</v>
      </c>
    </row>
    <row r="63" spans="1:1" ht="15" x14ac:dyDescent="0.35">
      <c r="A63" s="56" t="s">
        <v>677</v>
      </c>
    </row>
    <row r="64" spans="1:1" ht="15" x14ac:dyDescent="0.35">
      <c r="A64" s="56" t="s">
        <v>678</v>
      </c>
    </row>
    <row r="65" spans="1:1" ht="15" x14ac:dyDescent="0.35">
      <c r="A65" s="56" t="s">
        <v>679</v>
      </c>
    </row>
    <row r="66" spans="1:1" ht="15" x14ac:dyDescent="0.35">
      <c r="A66" s="56" t="s">
        <v>680</v>
      </c>
    </row>
    <row r="67" spans="1:1" ht="15" x14ac:dyDescent="0.35">
      <c r="A67" s="56" t="s">
        <v>681</v>
      </c>
    </row>
    <row r="68" spans="1:1" ht="15" x14ac:dyDescent="0.35">
      <c r="A68" s="56" t="s">
        <v>682</v>
      </c>
    </row>
    <row r="69" spans="1:1" ht="15" x14ac:dyDescent="0.35">
      <c r="A69" s="56" t="s">
        <v>683</v>
      </c>
    </row>
    <row r="70" spans="1:1" ht="15" x14ac:dyDescent="0.35">
      <c r="A70" s="56" t="s">
        <v>684</v>
      </c>
    </row>
    <row r="71" spans="1:1" ht="15" x14ac:dyDescent="0.35">
      <c r="A71" s="56" t="s">
        <v>685</v>
      </c>
    </row>
    <row r="72" spans="1:1" ht="15" x14ac:dyDescent="0.35">
      <c r="A72" s="56" t="s">
        <v>686</v>
      </c>
    </row>
    <row r="73" spans="1:1" ht="15" x14ac:dyDescent="0.35">
      <c r="A73" s="56" t="s">
        <v>687</v>
      </c>
    </row>
    <row r="74" spans="1:1" ht="15" x14ac:dyDescent="0.35">
      <c r="A74" s="56" t="s">
        <v>688</v>
      </c>
    </row>
    <row r="75" spans="1:1" ht="15" x14ac:dyDescent="0.35">
      <c r="A75" s="56" t="s">
        <v>689</v>
      </c>
    </row>
    <row r="76" spans="1:1" ht="15" x14ac:dyDescent="0.35">
      <c r="A76" s="56" t="s">
        <v>690</v>
      </c>
    </row>
    <row r="77" spans="1:1" ht="15" x14ac:dyDescent="0.35">
      <c r="A77" s="56" t="s">
        <v>691</v>
      </c>
    </row>
    <row r="78" spans="1:1" ht="15" x14ac:dyDescent="0.35">
      <c r="A78" s="56" t="s">
        <v>692</v>
      </c>
    </row>
    <row r="79" spans="1:1" ht="15" x14ac:dyDescent="0.35">
      <c r="A79" s="56" t="s">
        <v>693</v>
      </c>
    </row>
    <row r="80" spans="1:1" ht="15" x14ac:dyDescent="0.35">
      <c r="A80" s="56" t="s">
        <v>694</v>
      </c>
    </row>
    <row r="81" spans="1:1" ht="15" x14ac:dyDescent="0.35">
      <c r="A81" s="56" t="s">
        <v>695</v>
      </c>
    </row>
    <row r="82" spans="1:1" ht="15" x14ac:dyDescent="0.35">
      <c r="A82" s="56" t="s">
        <v>696</v>
      </c>
    </row>
    <row r="83" spans="1:1" ht="15" x14ac:dyDescent="0.35">
      <c r="A83" s="56" t="s">
        <v>697</v>
      </c>
    </row>
    <row r="84" spans="1:1" ht="15" x14ac:dyDescent="0.35">
      <c r="A84" s="56" t="s">
        <v>698</v>
      </c>
    </row>
    <row r="85" spans="1:1" ht="15" x14ac:dyDescent="0.35">
      <c r="A85" s="56" t="s">
        <v>29</v>
      </c>
    </row>
    <row r="86" spans="1:1" ht="15" x14ac:dyDescent="0.35">
      <c r="A86" s="56" t="s">
        <v>699</v>
      </c>
    </row>
    <row r="87" spans="1:1" ht="15" x14ac:dyDescent="0.35">
      <c r="A87" s="56" t="s">
        <v>700</v>
      </c>
    </row>
    <row r="88" spans="1:1" ht="15" x14ac:dyDescent="0.35">
      <c r="A88" s="56" t="s">
        <v>701</v>
      </c>
    </row>
    <row r="89" spans="1:1" ht="15" x14ac:dyDescent="0.35">
      <c r="A89" s="56" t="s">
        <v>702</v>
      </c>
    </row>
    <row r="90" spans="1:1" ht="15" x14ac:dyDescent="0.35">
      <c r="A90" s="56" t="s">
        <v>703</v>
      </c>
    </row>
    <row r="91" spans="1:1" ht="15" x14ac:dyDescent="0.35">
      <c r="A91" s="56" t="s">
        <v>704</v>
      </c>
    </row>
    <row r="92" spans="1:1" ht="15" x14ac:dyDescent="0.35">
      <c r="A92" s="56" t="s">
        <v>705</v>
      </c>
    </row>
    <row r="93" spans="1:1" ht="15" x14ac:dyDescent="0.35">
      <c r="A93" s="56" t="s">
        <v>507</v>
      </c>
    </row>
    <row r="94" spans="1:1" ht="15" x14ac:dyDescent="0.35">
      <c r="A94" s="56" t="s">
        <v>706</v>
      </c>
    </row>
    <row r="95" spans="1:1" ht="15" x14ac:dyDescent="0.35">
      <c r="A95" s="56" t="s">
        <v>707</v>
      </c>
    </row>
    <row r="96" spans="1:1" ht="15" x14ac:dyDescent="0.35">
      <c r="A96" s="56" t="s">
        <v>708</v>
      </c>
    </row>
    <row r="97" spans="1:1" ht="15" x14ac:dyDescent="0.35">
      <c r="A97" s="56" t="s">
        <v>709</v>
      </c>
    </row>
    <row r="98" spans="1:1" ht="15" x14ac:dyDescent="0.35">
      <c r="A98" s="56" t="s">
        <v>710</v>
      </c>
    </row>
    <row r="99" spans="1:1" ht="15" x14ac:dyDescent="0.35">
      <c r="A99" s="56" t="s">
        <v>711</v>
      </c>
    </row>
    <row r="100" spans="1:1" ht="15" x14ac:dyDescent="0.35">
      <c r="A100" s="56" t="s">
        <v>712</v>
      </c>
    </row>
    <row r="101" spans="1:1" ht="15" x14ac:dyDescent="0.35">
      <c r="A101" s="56" t="s">
        <v>713</v>
      </c>
    </row>
    <row r="102" spans="1:1" ht="15" x14ac:dyDescent="0.35">
      <c r="A102" s="56" t="s">
        <v>714</v>
      </c>
    </row>
    <row r="103" spans="1:1" ht="15" x14ac:dyDescent="0.35">
      <c r="A103" s="56" t="s">
        <v>715</v>
      </c>
    </row>
    <row r="104" spans="1:1" ht="15" x14ac:dyDescent="0.35">
      <c r="A104" s="56" t="s">
        <v>716</v>
      </c>
    </row>
    <row r="105" spans="1:1" ht="15" x14ac:dyDescent="0.35">
      <c r="A105" s="56" t="s">
        <v>717</v>
      </c>
    </row>
    <row r="106" spans="1:1" ht="15" x14ac:dyDescent="0.35">
      <c r="A106" s="56" t="s">
        <v>718</v>
      </c>
    </row>
    <row r="107" spans="1:1" ht="15" x14ac:dyDescent="0.35">
      <c r="A107" s="56" t="s">
        <v>719</v>
      </c>
    </row>
    <row r="108" spans="1:1" ht="15" x14ac:dyDescent="0.35">
      <c r="A108" s="56" t="s">
        <v>720</v>
      </c>
    </row>
    <row r="109" spans="1:1" ht="15" x14ac:dyDescent="0.35">
      <c r="A109" s="56" t="s">
        <v>721</v>
      </c>
    </row>
    <row r="110" spans="1:1" ht="15" x14ac:dyDescent="0.35">
      <c r="A110" s="56" t="s">
        <v>28</v>
      </c>
    </row>
    <row r="111" spans="1:1" ht="15" x14ac:dyDescent="0.35">
      <c r="A111" s="56" t="s">
        <v>722</v>
      </c>
    </row>
    <row r="112" spans="1:1" ht="15" x14ac:dyDescent="0.35">
      <c r="A112" s="56" t="s">
        <v>723</v>
      </c>
    </row>
    <row r="113" spans="1:1" ht="15" x14ac:dyDescent="0.35">
      <c r="A113" s="56" t="s">
        <v>724</v>
      </c>
    </row>
    <row r="114" spans="1:1" ht="15" x14ac:dyDescent="0.35">
      <c r="A114" s="56" t="s">
        <v>725</v>
      </c>
    </row>
    <row r="115" spans="1:1" ht="15" x14ac:dyDescent="0.35">
      <c r="A115" s="56" t="s">
        <v>726</v>
      </c>
    </row>
    <row r="116" spans="1:1" ht="15" x14ac:dyDescent="0.35">
      <c r="A116" s="56" t="s">
        <v>727</v>
      </c>
    </row>
    <row r="117" spans="1:1" ht="15" x14ac:dyDescent="0.35">
      <c r="A117" s="56" t="s">
        <v>728</v>
      </c>
    </row>
    <row r="118" spans="1:1" ht="15" x14ac:dyDescent="0.35">
      <c r="A118" s="56" t="s">
        <v>729</v>
      </c>
    </row>
    <row r="119" spans="1:1" ht="15" x14ac:dyDescent="0.35">
      <c r="A119" s="56" t="s">
        <v>730</v>
      </c>
    </row>
    <row r="120" spans="1:1" ht="15" x14ac:dyDescent="0.35">
      <c r="A120" s="56" t="s">
        <v>731</v>
      </c>
    </row>
    <row r="121" spans="1:1" ht="15" x14ac:dyDescent="0.35">
      <c r="A121" s="56" t="s">
        <v>732</v>
      </c>
    </row>
    <row r="122" spans="1:1" ht="15" x14ac:dyDescent="0.35">
      <c r="A122" s="56" t="s">
        <v>733</v>
      </c>
    </row>
    <row r="123" spans="1:1" ht="15" x14ac:dyDescent="0.35">
      <c r="A123" s="56" t="s">
        <v>734</v>
      </c>
    </row>
    <row r="124" spans="1:1" ht="15" x14ac:dyDescent="0.35">
      <c r="A124" s="56" t="s">
        <v>735</v>
      </c>
    </row>
    <row r="125" spans="1:1" ht="15" x14ac:dyDescent="0.35">
      <c r="A125" s="56" t="s">
        <v>54</v>
      </c>
    </row>
    <row r="126" spans="1:1" ht="15" x14ac:dyDescent="0.35">
      <c r="A126" s="56" t="s">
        <v>736</v>
      </c>
    </row>
    <row r="127" spans="1:1" ht="15" x14ac:dyDescent="0.35">
      <c r="A127" s="56" t="s">
        <v>737</v>
      </c>
    </row>
    <row r="128" spans="1:1" ht="15" x14ac:dyDescent="0.35">
      <c r="A128" s="56" t="s">
        <v>738</v>
      </c>
    </row>
    <row r="129" spans="1:1" ht="15" x14ac:dyDescent="0.35">
      <c r="A129" s="56" t="s">
        <v>739</v>
      </c>
    </row>
    <row r="130" spans="1:1" ht="15" x14ac:dyDescent="0.35">
      <c r="A130" s="56" t="s">
        <v>740</v>
      </c>
    </row>
    <row r="131" spans="1:1" ht="15" x14ac:dyDescent="0.35">
      <c r="A131" s="56" t="s">
        <v>741</v>
      </c>
    </row>
    <row r="132" spans="1:1" ht="15" x14ac:dyDescent="0.35">
      <c r="A132" s="56" t="s">
        <v>742</v>
      </c>
    </row>
    <row r="133" spans="1:1" ht="15" x14ac:dyDescent="0.35">
      <c r="A133" s="56" t="s">
        <v>743</v>
      </c>
    </row>
    <row r="134" spans="1:1" ht="15" x14ac:dyDescent="0.35">
      <c r="A134" s="56" t="s">
        <v>744</v>
      </c>
    </row>
    <row r="135" spans="1:1" ht="15" x14ac:dyDescent="0.35">
      <c r="A135" s="56" t="s">
        <v>745</v>
      </c>
    </row>
    <row r="136" spans="1:1" ht="15" x14ac:dyDescent="0.35">
      <c r="A136" s="56" t="s">
        <v>746</v>
      </c>
    </row>
    <row r="137" spans="1:1" ht="15" x14ac:dyDescent="0.35">
      <c r="A137" s="56" t="s">
        <v>747</v>
      </c>
    </row>
    <row r="138" spans="1:1" ht="15" x14ac:dyDescent="0.35">
      <c r="A138" s="56" t="s">
        <v>748</v>
      </c>
    </row>
    <row r="139" spans="1:1" ht="15" x14ac:dyDescent="0.35">
      <c r="A139" s="56" t="s">
        <v>749</v>
      </c>
    </row>
    <row r="140" spans="1:1" ht="15" x14ac:dyDescent="0.35">
      <c r="A140" s="56" t="s">
        <v>750</v>
      </c>
    </row>
    <row r="141" spans="1:1" ht="15" x14ac:dyDescent="0.35">
      <c r="A141" s="56" t="s">
        <v>474</v>
      </c>
    </row>
    <row r="142" spans="1:1" ht="15" x14ac:dyDescent="0.35">
      <c r="A142" s="56" t="s">
        <v>751</v>
      </c>
    </row>
    <row r="143" spans="1:1" ht="15" x14ac:dyDescent="0.35">
      <c r="A143" s="56" t="s">
        <v>25</v>
      </c>
    </row>
    <row r="144" spans="1:1" ht="15" x14ac:dyDescent="0.35">
      <c r="A144" s="56" t="s">
        <v>752</v>
      </c>
    </row>
    <row r="145" spans="1:1" ht="15" x14ac:dyDescent="0.35">
      <c r="A145" s="56" t="s">
        <v>753</v>
      </c>
    </row>
    <row r="146" spans="1:1" ht="15" x14ac:dyDescent="0.35">
      <c r="A146" s="56" t="s">
        <v>754</v>
      </c>
    </row>
    <row r="147" spans="1:1" ht="15" x14ac:dyDescent="0.35">
      <c r="A147" s="56" t="s">
        <v>755</v>
      </c>
    </row>
    <row r="148" spans="1:1" ht="15" x14ac:dyDescent="0.35">
      <c r="A148" s="56" t="s">
        <v>756</v>
      </c>
    </row>
    <row r="149" spans="1:1" ht="15" x14ac:dyDescent="0.35">
      <c r="A149" s="56" t="s">
        <v>757</v>
      </c>
    </row>
    <row r="150" spans="1:1" ht="15" x14ac:dyDescent="0.35">
      <c r="A150" s="56" t="s">
        <v>758</v>
      </c>
    </row>
    <row r="151" spans="1:1" ht="15" x14ac:dyDescent="0.35">
      <c r="A151" s="56" t="s">
        <v>759</v>
      </c>
    </row>
    <row r="152" spans="1:1" ht="15" x14ac:dyDescent="0.35">
      <c r="A152" s="56" t="s">
        <v>760</v>
      </c>
    </row>
    <row r="153" spans="1:1" ht="15" x14ac:dyDescent="0.35">
      <c r="A153" s="56" t="s">
        <v>761</v>
      </c>
    </row>
    <row r="154" spans="1:1" ht="15" x14ac:dyDescent="0.35">
      <c r="A154" s="56" t="s">
        <v>762</v>
      </c>
    </row>
    <row r="155" spans="1:1" ht="15" x14ac:dyDescent="0.35">
      <c r="A155" s="56" t="s">
        <v>763</v>
      </c>
    </row>
    <row r="156" spans="1:1" ht="15" x14ac:dyDescent="0.35">
      <c r="A156" s="56" t="s">
        <v>764</v>
      </c>
    </row>
    <row r="157" spans="1:1" ht="15" x14ac:dyDescent="0.35">
      <c r="A157" s="56" t="s">
        <v>765</v>
      </c>
    </row>
    <row r="158" spans="1:1" ht="15" x14ac:dyDescent="0.35">
      <c r="A158" s="56" t="s">
        <v>766</v>
      </c>
    </row>
    <row r="159" spans="1:1" ht="15" x14ac:dyDescent="0.35">
      <c r="A159" s="56" t="s">
        <v>767</v>
      </c>
    </row>
    <row r="160" spans="1:1" ht="15" x14ac:dyDescent="0.35">
      <c r="A160" s="56" t="s">
        <v>768</v>
      </c>
    </row>
    <row r="161" spans="1:1" ht="15" x14ac:dyDescent="0.35">
      <c r="A161" s="56" t="s">
        <v>769</v>
      </c>
    </row>
    <row r="162" spans="1:1" ht="15" x14ac:dyDescent="0.35">
      <c r="A162" s="56" t="s">
        <v>770</v>
      </c>
    </row>
    <row r="163" spans="1:1" ht="15" x14ac:dyDescent="0.35">
      <c r="A163" s="56" t="s">
        <v>771</v>
      </c>
    </row>
    <row r="164" spans="1:1" ht="15" x14ac:dyDescent="0.35">
      <c r="A164" s="56" t="s">
        <v>118</v>
      </c>
    </row>
    <row r="165" spans="1:1" ht="15" x14ac:dyDescent="0.35">
      <c r="A165" s="56" t="s">
        <v>772</v>
      </c>
    </row>
    <row r="166" spans="1:1" ht="15" x14ac:dyDescent="0.35">
      <c r="A166" s="56" t="s">
        <v>614</v>
      </c>
    </row>
    <row r="167" spans="1:1" ht="15" x14ac:dyDescent="0.35">
      <c r="A167" s="56" t="s">
        <v>773</v>
      </c>
    </row>
    <row r="168" spans="1:1" ht="15" x14ac:dyDescent="0.35">
      <c r="A168" s="56" t="s">
        <v>774</v>
      </c>
    </row>
    <row r="169" spans="1:1" ht="15" x14ac:dyDescent="0.35">
      <c r="A169" s="56" t="s">
        <v>775</v>
      </c>
    </row>
    <row r="170" spans="1:1" ht="15" x14ac:dyDescent="0.35">
      <c r="A170" s="56" t="s">
        <v>475</v>
      </c>
    </row>
    <row r="171" spans="1:1" ht="15" x14ac:dyDescent="0.35">
      <c r="A171" s="56" t="s">
        <v>776</v>
      </c>
    </row>
    <row r="172" spans="1:1" ht="15" x14ac:dyDescent="0.35">
      <c r="A172" s="56" t="s">
        <v>49</v>
      </c>
    </row>
    <row r="173" spans="1:1" ht="15" x14ac:dyDescent="0.35">
      <c r="A173" s="56" t="s">
        <v>512</v>
      </c>
    </row>
    <row r="174" spans="1:1" ht="15" x14ac:dyDescent="0.35">
      <c r="A174" s="56" t="s">
        <v>777</v>
      </c>
    </row>
    <row r="175" spans="1:1" ht="15" x14ac:dyDescent="0.35">
      <c r="A175" s="56" t="s">
        <v>778</v>
      </c>
    </row>
    <row r="176" spans="1:1" ht="15" x14ac:dyDescent="0.35">
      <c r="A176" s="56" t="s">
        <v>779</v>
      </c>
    </row>
    <row r="177" spans="1:1" ht="15" x14ac:dyDescent="0.35">
      <c r="A177" s="56" t="s">
        <v>780</v>
      </c>
    </row>
    <row r="178" spans="1:1" ht="15" x14ac:dyDescent="0.35">
      <c r="A178" s="56" t="s">
        <v>781</v>
      </c>
    </row>
    <row r="179" spans="1:1" ht="15" x14ac:dyDescent="0.35">
      <c r="A179" s="56" t="s">
        <v>782</v>
      </c>
    </row>
    <row r="180" spans="1:1" ht="15" x14ac:dyDescent="0.35">
      <c r="A180" s="56" t="s">
        <v>783</v>
      </c>
    </row>
    <row r="181" spans="1:1" ht="15" x14ac:dyDescent="0.35">
      <c r="A181" s="56" t="s">
        <v>784</v>
      </c>
    </row>
    <row r="182" spans="1:1" ht="15" x14ac:dyDescent="0.35">
      <c r="A182" s="56" t="s">
        <v>785</v>
      </c>
    </row>
    <row r="183" spans="1:1" ht="15" x14ac:dyDescent="0.35">
      <c r="A183" s="56" t="s">
        <v>786</v>
      </c>
    </row>
    <row r="184" spans="1:1" ht="15" x14ac:dyDescent="0.35">
      <c r="A184" s="56" t="s">
        <v>787</v>
      </c>
    </row>
    <row r="185" spans="1:1" ht="15" x14ac:dyDescent="0.35">
      <c r="A185" s="56" t="s">
        <v>788</v>
      </c>
    </row>
    <row r="186" spans="1:1" ht="15" x14ac:dyDescent="0.35">
      <c r="A186" s="56" t="s">
        <v>789</v>
      </c>
    </row>
    <row r="187" spans="1:1" ht="15" x14ac:dyDescent="0.35">
      <c r="A187" s="56" t="s">
        <v>790</v>
      </c>
    </row>
    <row r="188" spans="1:1" ht="15" x14ac:dyDescent="0.35">
      <c r="A188" s="56" t="s">
        <v>791</v>
      </c>
    </row>
    <row r="189" spans="1:1" ht="15" x14ac:dyDescent="0.35">
      <c r="A189" s="56" t="s">
        <v>792</v>
      </c>
    </row>
    <row r="190" spans="1:1" ht="15" x14ac:dyDescent="0.35">
      <c r="A190" s="56" t="s">
        <v>341</v>
      </c>
    </row>
    <row r="191" spans="1:1" ht="15" x14ac:dyDescent="0.35">
      <c r="A191" s="56" t="s">
        <v>793</v>
      </c>
    </row>
    <row r="192" spans="1:1" ht="15" x14ac:dyDescent="0.35">
      <c r="A192" s="56" t="s">
        <v>794</v>
      </c>
    </row>
    <row r="193" spans="1:1" ht="15" x14ac:dyDescent="0.35">
      <c r="A193" s="56" t="s">
        <v>795</v>
      </c>
    </row>
    <row r="194" spans="1:1" ht="15" x14ac:dyDescent="0.35">
      <c r="A194" s="56" t="s">
        <v>796</v>
      </c>
    </row>
    <row r="195" spans="1:1" ht="15" x14ac:dyDescent="0.35">
      <c r="A195" s="56" t="s">
        <v>119</v>
      </c>
    </row>
    <row r="196" spans="1:1" ht="15" x14ac:dyDescent="0.35">
      <c r="A196" s="56" t="s">
        <v>344</v>
      </c>
    </row>
    <row r="197" spans="1:1" ht="15" x14ac:dyDescent="0.35">
      <c r="A197" s="56" t="s">
        <v>158</v>
      </c>
    </row>
    <row r="198" spans="1:1" ht="15" x14ac:dyDescent="0.35">
      <c r="A198" s="56" t="s">
        <v>23</v>
      </c>
    </row>
    <row r="199" spans="1:1" ht="15" x14ac:dyDescent="0.35">
      <c r="A199" s="56" t="s">
        <v>797</v>
      </c>
    </row>
    <row r="200" spans="1:1" ht="15" x14ac:dyDescent="0.35">
      <c r="A200" s="56" t="s">
        <v>798</v>
      </c>
    </row>
    <row r="201" spans="1:1" ht="15" x14ac:dyDescent="0.35">
      <c r="A201" s="56" t="s">
        <v>799</v>
      </c>
    </row>
    <row r="202" spans="1:1" ht="15" x14ac:dyDescent="0.35">
      <c r="A202" s="56" t="s">
        <v>800</v>
      </c>
    </row>
    <row r="203" spans="1:1" ht="15" x14ac:dyDescent="0.35">
      <c r="A203" s="56" t="s">
        <v>801</v>
      </c>
    </row>
    <row r="204" spans="1:1" ht="15" x14ac:dyDescent="0.35">
      <c r="A204" s="56" t="s">
        <v>802</v>
      </c>
    </row>
    <row r="205" spans="1:1" ht="15" x14ac:dyDescent="0.35">
      <c r="A205" s="56" t="s">
        <v>803</v>
      </c>
    </row>
    <row r="206" spans="1:1" ht="15" x14ac:dyDescent="0.35">
      <c r="A206" s="56" t="s">
        <v>804</v>
      </c>
    </row>
    <row r="207" spans="1:1" ht="15" x14ac:dyDescent="0.35">
      <c r="A207" s="56" t="s">
        <v>46</v>
      </c>
    </row>
    <row r="208" spans="1:1" ht="15" x14ac:dyDescent="0.35">
      <c r="A208" s="56" t="s">
        <v>805</v>
      </c>
    </row>
    <row r="209" spans="1:1" ht="15" x14ac:dyDescent="0.35">
      <c r="A209" s="56" t="s">
        <v>806</v>
      </c>
    </row>
    <row r="210" spans="1:1" ht="15" x14ac:dyDescent="0.35">
      <c r="A210" s="56" t="s">
        <v>807</v>
      </c>
    </row>
    <row r="211" spans="1:1" ht="15" x14ac:dyDescent="0.35">
      <c r="A211" s="56" t="s">
        <v>808</v>
      </c>
    </row>
    <row r="212" spans="1:1" ht="15" x14ac:dyDescent="0.35">
      <c r="A212" s="56" t="s">
        <v>809</v>
      </c>
    </row>
    <row r="213" spans="1:1" ht="15" x14ac:dyDescent="0.35">
      <c r="A213" s="56" t="s">
        <v>810</v>
      </c>
    </row>
    <row r="214" spans="1:1" ht="15" x14ac:dyDescent="0.35">
      <c r="A214" s="56" t="s">
        <v>811</v>
      </c>
    </row>
    <row r="215" spans="1:1" ht="15" x14ac:dyDescent="0.35">
      <c r="A215" s="56" t="s">
        <v>123</v>
      </c>
    </row>
    <row r="216" spans="1:1" ht="15" x14ac:dyDescent="0.35">
      <c r="A216" s="56" t="s">
        <v>812</v>
      </c>
    </row>
    <row r="217" spans="1:1" ht="15" x14ac:dyDescent="0.35">
      <c r="A217" s="56" t="s">
        <v>813</v>
      </c>
    </row>
    <row r="218" spans="1:1" ht="15" x14ac:dyDescent="0.35">
      <c r="A218" s="56" t="s">
        <v>814</v>
      </c>
    </row>
    <row r="219" spans="1:1" ht="15" x14ac:dyDescent="0.35">
      <c r="A219" s="56" t="s">
        <v>815</v>
      </c>
    </row>
    <row r="220" spans="1:1" ht="15" x14ac:dyDescent="0.35">
      <c r="A220" s="56" t="s">
        <v>816</v>
      </c>
    </row>
    <row r="221" spans="1:1" ht="15" x14ac:dyDescent="0.35">
      <c r="A221" s="56" t="s">
        <v>817</v>
      </c>
    </row>
    <row r="222" spans="1:1" ht="15" x14ac:dyDescent="0.35">
      <c r="A222" s="56" t="s">
        <v>818</v>
      </c>
    </row>
    <row r="223" spans="1:1" ht="15" x14ac:dyDescent="0.35">
      <c r="A223" s="56" t="s">
        <v>819</v>
      </c>
    </row>
    <row r="224" spans="1:1" ht="15" x14ac:dyDescent="0.35">
      <c r="A224" s="56" t="s">
        <v>615</v>
      </c>
    </row>
    <row r="225" spans="1:1" ht="15" x14ac:dyDescent="0.35">
      <c r="A225" s="56" t="s">
        <v>820</v>
      </c>
    </row>
    <row r="226" spans="1:1" ht="15" x14ac:dyDescent="0.35">
      <c r="A226" s="56" t="s">
        <v>821</v>
      </c>
    </row>
    <row r="227" spans="1:1" ht="15" x14ac:dyDescent="0.35">
      <c r="A227" s="56" t="s">
        <v>822</v>
      </c>
    </row>
    <row r="228" spans="1:1" ht="15" x14ac:dyDescent="0.35">
      <c r="A228" s="56" t="s">
        <v>823</v>
      </c>
    </row>
    <row r="229" spans="1:1" ht="15" x14ac:dyDescent="0.35">
      <c r="A229" s="56" t="s">
        <v>824</v>
      </c>
    </row>
    <row r="230" spans="1:1" ht="15" x14ac:dyDescent="0.35">
      <c r="A230" s="56" t="s">
        <v>825</v>
      </c>
    </row>
    <row r="231" spans="1:1" ht="15" x14ac:dyDescent="0.35">
      <c r="A231" s="56" t="s">
        <v>826</v>
      </c>
    </row>
    <row r="232" spans="1:1" ht="15" x14ac:dyDescent="0.35">
      <c r="A232" s="56" t="s">
        <v>827</v>
      </c>
    </row>
    <row r="233" spans="1:1" ht="15" x14ac:dyDescent="0.35">
      <c r="A233" s="56" t="s">
        <v>828</v>
      </c>
    </row>
    <row r="234" spans="1:1" ht="15" x14ac:dyDescent="0.35">
      <c r="A234" s="56" t="s">
        <v>829</v>
      </c>
    </row>
    <row r="235" spans="1:1" ht="15" x14ac:dyDescent="0.35">
      <c r="A235" s="56" t="s">
        <v>830</v>
      </c>
    </row>
    <row r="236" spans="1:1" ht="15" x14ac:dyDescent="0.35">
      <c r="A236" s="56" t="s">
        <v>831</v>
      </c>
    </row>
    <row r="237" spans="1:1" ht="15" x14ac:dyDescent="0.35">
      <c r="A237" s="56" t="s">
        <v>832</v>
      </c>
    </row>
    <row r="238" spans="1:1" ht="15" x14ac:dyDescent="0.35">
      <c r="A238" s="56" t="s">
        <v>833</v>
      </c>
    </row>
    <row r="239" spans="1:1" ht="15" x14ac:dyDescent="0.35">
      <c r="A239" s="56" t="s">
        <v>834</v>
      </c>
    </row>
    <row r="240" spans="1:1" ht="15" x14ac:dyDescent="0.35">
      <c r="A240" s="56" t="s">
        <v>835</v>
      </c>
    </row>
    <row r="241" spans="1:1" ht="15" x14ac:dyDescent="0.35">
      <c r="A241" s="56" t="s">
        <v>836</v>
      </c>
    </row>
    <row r="242" spans="1:1" ht="15" x14ac:dyDescent="0.35">
      <c r="A242" s="56" t="s">
        <v>837</v>
      </c>
    </row>
    <row r="243" spans="1:1" ht="15" x14ac:dyDescent="0.35">
      <c r="A243" s="56" t="s">
        <v>838</v>
      </c>
    </row>
    <row r="244" spans="1:1" ht="15" x14ac:dyDescent="0.35">
      <c r="A244" s="56" t="s">
        <v>839</v>
      </c>
    </row>
    <row r="245" spans="1:1" ht="15" x14ac:dyDescent="0.35">
      <c r="A245" s="56" t="s">
        <v>840</v>
      </c>
    </row>
    <row r="246" spans="1:1" ht="15" x14ac:dyDescent="0.35">
      <c r="A246" s="56" t="s">
        <v>841</v>
      </c>
    </row>
    <row r="247" spans="1:1" ht="15" x14ac:dyDescent="0.35">
      <c r="A247" s="56" t="s">
        <v>842</v>
      </c>
    </row>
    <row r="248" spans="1:1" ht="15" x14ac:dyDescent="0.35">
      <c r="A248" s="56" t="s">
        <v>843</v>
      </c>
    </row>
    <row r="249" spans="1:1" ht="15" x14ac:dyDescent="0.35">
      <c r="A249" s="56" t="s">
        <v>844</v>
      </c>
    </row>
    <row r="250" spans="1:1" ht="15" x14ac:dyDescent="0.35">
      <c r="A250" s="56" t="s">
        <v>845</v>
      </c>
    </row>
    <row r="251" spans="1:1" ht="15" x14ac:dyDescent="0.35">
      <c r="A251" s="56" t="s">
        <v>539</v>
      </c>
    </row>
    <row r="252" spans="1:1" ht="15" x14ac:dyDescent="0.35">
      <c r="A252" s="56" t="s">
        <v>541</v>
      </c>
    </row>
    <row r="253" spans="1:1" ht="15" x14ac:dyDescent="0.35">
      <c r="A253" s="56" t="s">
        <v>544</v>
      </c>
    </row>
    <row r="254" spans="1:1" ht="15" x14ac:dyDescent="0.35">
      <c r="A254" s="56" t="s">
        <v>547</v>
      </c>
    </row>
    <row r="255" spans="1:1" ht="15" x14ac:dyDescent="0.35">
      <c r="A255" s="56" t="s">
        <v>548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8B09-960B-4E05-904F-A4FF4868C99A}">
  <dimension ref="A1:A118"/>
  <sheetViews>
    <sheetView topLeftCell="A51" zoomScale="93" workbookViewId="0">
      <selection activeCell="D66" sqref="D66"/>
    </sheetView>
  </sheetViews>
  <sheetFormatPr defaultRowHeight="14.4" x14ac:dyDescent="0.3"/>
  <cols>
    <col min="1" max="1" width="19.88671875" customWidth="1"/>
  </cols>
  <sheetData>
    <row r="1" spans="1:1" x14ac:dyDescent="0.3">
      <c r="A1" t="s">
        <v>864</v>
      </c>
    </row>
    <row r="2" spans="1:1" x14ac:dyDescent="0.3">
      <c r="A2" t="s">
        <v>865</v>
      </c>
    </row>
    <row r="3" spans="1:1" x14ac:dyDescent="0.3">
      <c r="A3" t="s">
        <v>597</v>
      </c>
    </row>
    <row r="4" spans="1:1" x14ac:dyDescent="0.3">
      <c r="A4" t="s">
        <v>866</v>
      </c>
    </row>
    <row r="5" spans="1:1" x14ac:dyDescent="0.3">
      <c r="A5" t="s">
        <v>867</v>
      </c>
    </row>
    <row r="6" spans="1:1" x14ac:dyDescent="0.3">
      <c r="A6" t="s">
        <v>635</v>
      </c>
    </row>
    <row r="7" spans="1:1" x14ac:dyDescent="0.3">
      <c r="A7" t="s">
        <v>868</v>
      </c>
    </row>
    <row r="8" spans="1:1" x14ac:dyDescent="0.3">
      <c r="A8" t="s">
        <v>869</v>
      </c>
    </row>
    <row r="9" spans="1:1" x14ac:dyDescent="0.3">
      <c r="A9" t="s">
        <v>847</v>
      </c>
    </row>
    <row r="10" spans="1:1" x14ac:dyDescent="0.3">
      <c r="A10" t="s">
        <v>870</v>
      </c>
    </row>
    <row r="11" spans="1:1" x14ac:dyDescent="0.3">
      <c r="A11" t="s">
        <v>848</v>
      </c>
    </row>
    <row r="12" spans="1:1" x14ac:dyDescent="0.3">
      <c r="A12" t="s">
        <v>871</v>
      </c>
    </row>
    <row r="13" spans="1:1" x14ac:dyDescent="0.3">
      <c r="A13" t="s">
        <v>872</v>
      </c>
    </row>
    <row r="14" spans="1:1" x14ac:dyDescent="0.3">
      <c r="A14" t="s">
        <v>873</v>
      </c>
    </row>
    <row r="15" spans="1:1" x14ac:dyDescent="0.3">
      <c r="A15" t="s">
        <v>874</v>
      </c>
    </row>
    <row r="16" spans="1:1" x14ac:dyDescent="0.3">
      <c r="A16" t="s">
        <v>26</v>
      </c>
    </row>
    <row r="17" spans="1:1" x14ac:dyDescent="0.3">
      <c r="A17" t="s">
        <v>875</v>
      </c>
    </row>
    <row r="18" spans="1:1" x14ac:dyDescent="0.3">
      <c r="A18" t="s">
        <v>849</v>
      </c>
    </row>
    <row r="19" spans="1:1" x14ac:dyDescent="0.3">
      <c r="A19" t="s">
        <v>876</v>
      </c>
    </row>
    <row r="20" spans="1:1" x14ac:dyDescent="0.3">
      <c r="A20" t="s">
        <v>877</v>
      </c>
    </row>
    <row r="21" spans="1:1" x14ac:dyDescent="0.3">
      <c r="A21" t="s">
        <v>878</v>
      </c>
    </row>
    <row r="22" spans="1:1" x14ac:dyDescent="0.3">
      <c r="A22" t="s">
        <v>879</v>
      </c>
    </row>
    <row r="23" spans="1:1" x14ac:dyDescent="0.3">
      <c r="A23" t="s">
        <v>880</v>
      </c>
    </row>
    <row r="24" spans="1:1" x14ac:dyDescent="0.3">
      <c r="A24" t="s">
        <v>652</v>
      </c>
    </row>
    <row r="25" spans="1:1" x14ac:dyDescent="0.3">
      <c r="A25" t="s">
        <v>881</v>
      </c>
    </row>
    <row r="26" spans="1:1" x14ac:dyDescent="0.3">
      <c r="A26" t="s">
        <v>882</v>
      </c>
    </row>
    <row r="27" spans="1:1" x14ac:dyDescent="0.3">
      <c r="A27" t="s">
        <v>883</v>
      </c>
    </row>
    <row r="28" spans="1:1" x14ac:dyDescent="0.3">
      <c r="A28" t="s">
        <v>884</v>
      </c>
    </row>
    <row r="29" spans="1:1" x14ac:dyDescent="0.3">
      <c r="A29" t="s">
        <v>885</v>
      </c>
    </row>
    <row r="30" spans="1:1" x14ac:dyDescent="0.3">
      <c r="A30" t="s">
        <v>886</v>
      </c>
    </row>
    <row r="31" spans="1:1" x14ac:dyDescent="0.3">
      <c r="A31" t="s">
        <v>887</v>
      </c>
    </row>
    <row r="32" spans="1:1" x14ac:dyDescent="0.3">
      <c r="A32" t="s">
        <v>888</v>
      </c>
    </row>
    <row r="33" spans="1:1" x14ac:dyDescent="0.3">
      <c r="A33" t="s">
        <v>29</v>
      </c>
    </row>
    <row r="34" spans="1:1" x14ac:dyDescent="0.3">
      <c r="A34" t="s">
        <v>700</v>
      </c>
    </row>
    <row r="35" spans="1:1" x14ac:dyDescent="0.3">
      <c r="A35" t="s">
        <v>702</v>
      </c>
    </row>
    <row r="36" spans="1:1" x14ac:dyDescent="0.3">
      <c r="A36" t="s">
        <v>703</v>
      </c>
    </row>
    <row r="37" spans="1:1" x14ac:dyDescent="0.3">
      <c r="A37" t="s">
        <v>889</v>
      </c>
    </row>
    <row r="38" spans="1:1" x14ac:dyDescent="0.3">
      <c r="A38" t="s">
        <v>890</v>
      </c>
    </row>
    <row r="39" spans="1:1" x14ac:dyDescent="0.3">
      <c r="A39" t="s">
        <v>891</v>
      </c>
    </row>
    <row r="40" spans="1:1" x14ac:dyDescent="0.3">
      <c r="A40" t="s">
        <v>892</v>
      </c>
    </row>
    <row r="41" spans="1:1" x14ac:dyDescent="0.3">
      <c r="A41" t="s">
        <v>852</v>
      </c>
    </row>
    <row r="42" spans="1:1" x14ac:dyDescent="0.3">
      <c r="A42" t="s">
        <v>893</v>
      </c>
    </row>
    <row r="43" spans="1:1" x14ac:dyDescent="0.3">
      <c r="A43" t="s">
        <v>853</v>
      </c>
    </row>
    <row r="44" spans="1:1" x14ac:dyDescent="0.3">
      <c r="A44" t="s">
        <v>505</v>
      </c>
    </row>
    <row r="45" spans="1:1" x14ac:dyDescent="0.3">
      <c r="A45" t="s">
        <v>731</v>
      </c>
    </row>
    <row r="46" spans="1:1" x14ac:dyDescent="0.3">
      <c r="A46" t="s">
        <v>894</v>
      </c>
    </row>
    <row r="47" spans="1:1" x14ac:dyDescent="0.3">
      <c r="A47" t="s">
        <v>895</v>
      </c>
    </row>
    <row r="48" spans="1:1" x14ac:dyDescent="0.3">
      <c r="A48" t="s">
        <v>854</v>
      </c>
    </row>
    <row r="49" spans="1:1" x14ac:dyDescent="0.3">
      <c r="A49" t="s">
        <v>855</v>
      </c>
    </row>
    <row r="50" spans="1:1" x14ac:dyDescent="0.3">
      <c r="A50" t="s">
        <v>896</v>
      </c>
    </row>
    <row r="51" spans="1:1" x14ac:dyDescent="0.3">
      <c r="A51" t="s">
        <v>897</v>
      </c>
    </row>
    <row r="52" spans="1:1" x14ac:dyDescent="0.3">
      <c r="A52" t="s">
        <v>898</v>
      </c>
    </row>
    <row r="53" spans="1:1" x14ac:dyDescent="0.3">
      <c r="A53" t="s">
        <v>899</v>
      </c>
    </row>
    <row r="54" spans="1:1" x14ac:dyDescent="0.3">
      <c r="A54" t="s">
        <v>900</v>
      </c>
    </row>
    <row r="55" spans="1:1" x14ac:dyDescent="0.3">
      <c r="A55" t="s">
        <v>901</v>
      </c>
    </row>
    <row r="56" spans="1:1" x14ac:dyDescent="0.3">
      <c r="A56" t="s">
        <v>902</v>
      </c>
    </row>
    <row r="57" spans="1:1" x14ac:dyDescent="0.3">
      <c r="A57" t="s">
        <v>739</v>
      </c>
    </row>
    <row r="58" spans="1:1" x14ac:dyDescent="0.3">
      <c r="A58" t="s">
        <v>903</v>
      </c>
    </row>
    <row r="59" spans="1:1" x14ac:dyDescent="0.3">
      <c r="A59" t="s">
        <v>904</v>
      </c>
    </row>
    <row r="60" spans="1:1" x14ac:dyDescent="0.3">
      <c r="A60" t="s">
        <v>905</v>
      </c>
    </row>
    <row r="61" spans="1:1" x14ac:dyDescent="0.3">
      <c r="A61" t="s">
        <v>906</v>
      </c>
    </row>
    <row r="62" spans="1:1" x14ac:dyDescent="0.3">
      <c r="A62" t="s">
        <v>907</v>
      </c>
    </row>
    <row r="63" spans="1:1" x14ac:dyDescent="0.3">
      <c r="A63" t="s">
        <v>908</v>
      </c>
    </row>
    <row r="64" spans="1:1" x14ac:dyDescent="0.3">
      <c r="A64" t="s">
        <v>909</v>
      </c>
    </row>
    <row r="65" spans="1:1" x14ac:dyDescent="0.3">
      <c r="A65" t="s">
        <v>910</v>
      </c>
    </row>
    <row r="66" spans="1:1" x14ac:dyDescent="0.3">
      <c r="A66" t="s">
        <v>911</v>
      </c>
    </row>
    <row r="67" spans="1:1" x14ac:dyDescent="0.3">
      <c r="A67" t="s">
        <v>912</v>
      </c>
    </row>
    <row r="68" spans="1:1" x14ac:dyDescent="0.3">
      <c r="A68" t="s">
        <v>913</v>
      </c>
    </row>
    <row r="69" spans="1:1" x14ac:dyDescent="0.3">
      <c r="A69" t="s">
        <v>914</v>
      </c>
    </row>
    <row r="70" spans="1:1" x14ac:dyDescent="0.3">
      <c r="A70" t="s">
        <v>915</v>
      </c>
    </row>
    <row r="71" spans="1:1" x14ac:dyDescent="0.3">
      <c r="A71" t="s">
        <v>916</v>
      </c>
    </row>
    <row r="72" spans="1:1" x14ac:dyDescent="0.3">
      <c r="A72" t="s">
        <v>917</v>
      </c>
    </row>
    <row r="73" spans="1:1" x14ac:dyDescent="0.3">
      <c r="A73" t="s">
        <v>918</v>
      </c>
    </row>
    <row r="74" spans="1:1" x14ac:dyDescent="0.3">
      <c r="A74" t="s">
        <v>919</v>
      </c>
    </row>
    <row r="75" spans="1:1" x14ac:dyDescent="0.3">
      <c r="A75" t="s">
        <v>920</v>
      </c>
    </row>
    <row r="76" spans="1:1" x14ac:dyDescent="0.3">
      <c r="A76" t="s">
        <v>315</v>
      </c>
    </row>
    <row r="77" spans="1:1" x14ac:dyDescent="0.3">
      <c r="A77" t="s">
        <v>921</v>
      </c>
    </row>
    <row r="78" spans="1:1" x14ac:dyDescent="0.3">
      <c r="A78" t="s">
        <v>922</v>
      </c>
    </row>
    <row r="79" spans="1:1" x14ac:dyDescent="0.3">
      <c r="A79" t="s">
        <v>49</v>
      </c>
    </row>
    <row r="80" spans="1:1" x14ac:dyDescent="0.3">
      <c r="A80" t="s">
        <v>923</v>
      </c>
    </row>
    <row r="81" spans="1:1" x14ac:dyDescent="0.3">
      <c r="A81" t="s">
        <v>924</v>
      </c>
    </row>
    <row r="82" spans="1:1" x14ac:dyDescent="0.3">
      <c r="A82" t="s">
        <v>925</v>
      </c>
    </row>
    <row r="83" spans="1:1" x14ac:dyDescent="0.3">
      <c r="A83" t="s">
        <v>926</v>
      </c>
    </row>
    <row r="84" spans="1:1" x14ac:dyDescent="0.3">
      <c r="A84" t="s">
        <v>927</v>
      </c>
    </row>
    <row r="85" spans="1:1" x14ac:dyDescent="0.3">
      <c r="A85" t="s">
        <v>928</v>
      </c>
    </row>
    <row r="86" spans="1:1" x14ac:dyDescent="0.3">
      <c r="A86" t="s">
        <v>929</v>
      </c>
    </row>
    <row r="87" spans="1:1" x14ac:dyDescent="0.3">
      <c r="A87" t="s">
        <v>930</v>
      </c>
    </row>
    <row r="88" spans="1:1" x14ac:dyDescent="0.3">
      <c r="A88" t="s">
        <v>931</v>
      </c>
    </row>
    <row r="89" spans="1:1" x14ac:dyDescent="0.3">
      <c r="A89" t="s">
        <v>158</v>
      </c>
    </row>
    <row r="90" spans="1:1" x14ac:dyDescent="0.3">
      <c r="A90" t="s">
        <v>932</v>
      </c>
    </row>
    <row r="91" spans="1:1" x14ac:dyDescent="0.3">
      <c r="A91" t="s">
        <v>933</v>
      </c>
    </row>
    <row r="92" spans="1:1" x14ac:dyDescent="0.3">
      <c r="A92" t="s">
        <v>934</v>
      </c>
    </row>
    <row r="93" spans="1:1" x14ac:dyDescent="0.3">
      <c r="A93" t="s">
        <v>935</v>
      </c>
    </row>
    <row r="94" spans="1:1" x14ac:dyDescent="0.3">
      <c r="A94" t="s">
        <v>862</v>
      </c>
    </row>
    <row r="95" spans="1:1" x14ac:dyDescent="0.3">
      <c r="A95" t="s">
        <v>809</v>
      </c>
    </row>
    <row r="96" spans="1:1" x14ac:dyDescent="0.3">
      <c r="A96" t="s">
        <v>936</v>
      </c>
    </row>
    <row r="97" spans="1:1" x14ac:dyDescent="0.3">
      <c r="A97" t="s">
        <v>937</v>
      </c>
    </row>
    <row r="98" spans="1:1" x14ac:dyDescent="0.3">
      <c r="A98" t="s">
        <v>938</v>
      </c>
    </row>
    <row r="99" spans="1:1" x14ac:dyDescent="0.3">
      <c r="A99" t="s">
        <v>939</v>
      </c>
    </row>
    <row r="100" spans="1:1" x14ac:dyDescent="0.3">
      <c r="A100" t="s">
        <v>940</v>
      </c>
    </row>
    <row r="101" spans="1:1" x14ac:dyDescent="0.3">
      <c r="A101" t="s">
        <v>941</v>
      </c>
    </row>
    <row r="102" spans="1:1" x14ac:dyDescent="0.3">
      <c r="A102" t="s">
        <v>942</v>
      </c>
    </row>
    <row r="103" spans="1:1" x14ac:dyDescent="0.3">
      <c r="A103" t="s">
        <v>943</v>
      </c>
    </row>
    <row r="104" spans="1:1" x14ac:dyDescent="0.3">
      <c r="A104" t="s">
        <v>944</v>
      </c>
    </row>
    <row r="105" spans="1:1" x14ac:dyDescent="0.3">
      <c r="A105" t="s">
        <v>863</v>
      </c>
    </row>
    <row r="106" spans="1:1" x14ac:dyDescent="0.3">
      <c r="A106" t="s">
        <v>945</v>
      </c>
    </row>
    <row r="107" spans="1:1" x14ac:dyDescent="0.3">
      <c r="A107" t="s">
        <v>946</v>
      </c>
    </row>
    <row r="108" spans="1:1" x14ac:dyDescent="0.3">
      <c r="A108" t="s">
        <v>947</v>
      </c>
    </row>
    <row r="109" spans="1:1" x14ac:dyDescent="0.3">
      <c r="A109" t="s">
        <v>948</v>
      </c>
    </row>
    <row r="110" spans="1:1" x14ac:dyDescent="0.3">
      <c r="A110" t="s">
        <v>949</v>
      </c>
    </row>
    <row r="111" spans="1:1" x14ac:dyDescent="0.3">
      <c r="A111" t="s">
        <v>950</v>
      </c>
    </row>
    <row r="112" spans="1:1" x14ac:dyDescent="0.3">
      <c r="A112" t="s">
        <v>951</v>
      </c>
    </row>
    <row r="113" spans="1:1" x14ac:dyDescent="0.3">
      <c r="A113" t="s">
        <v>952</v>
      </c>
    </row>
    <row r="114" spans="1:1" x14ac:dyDescent="0.3">
      <c r="A114" t="s">
        <v>953</v>
      </c>
    </row>
    <row r="115" spans="1:1" x14ac:dyDescent="0.3">
      <c r="A115" t="s">
        <v>837</v>
      </c>
    </row>
    <row r="116" spans="1:1" x14ac:dyDescent="0.3">
      <c r="A116" t="s">
        <v>954</v>
      </c>
    </row>
    <row r="117" spans="1:1" x14ac:dyDescent="0.3">
      <c r="A117" t="s">
        <v>955</v>
      </c>
    </row>
    <row r="118" spans="1:1" x14ac:dyDescent="0.3">
      <c r="A118" t="s">
        <v>843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FDD7-4FC0-469C-A404-B4EBB86EE79A}">
  <dimension ref="A1:A359"/>
  <sheetViews>
    <sheetView topLeftCell="A299" workbookViewId="0">
      <selection activeCell="D320" sqref="D320"/>
    </sheetView>
  </sheetViews>
  <sheetFormatPr defaultRowHeight="14.4" x14ac:dyDescent="0.3"/>
  <cols>
    <col min="1" max="1" width="25.88671875" bestFit="1" customWidth="1"/>
  </cols>
  <sheetData>
    <row r="1" spans="1:1" ht="15" x14ac:dyDescent="0.35">
      <c r="A1" s="56" t="s">
        <v>616</v>
      </c>
    </row>
    <row r="2" spans="1:1" ht="15" x14ac:dyDescent="0.35">
      <c r="A2" s="56" t="s">
        <v>617</v>
      </c>
    </row>
    <row r="3" spans="1:1" ht="15" x14ac:dyDescent="0.35">
      <c r="A3" s="56" t="s">
        <v>618</v>
      </c>
    </row>
    <row r="4" spans="1:1" ht="15" x14ac:dyDescent="0.35">
      <c r="A4" s="56" t="s">
        <v>619</v>
      </c>
    </row>
    <row r="5" spans="1:1" ht="15" x14ac:dyDescent="0.35">
      <c r="A5" s="56" t="s">
        <v>620</v>
      </c>
    </row>
    <row r="6" spans="1:1" ht="15" x14ac:dyDescent="0.35">
      <c r="A6" s="56" t="s">
        <v>621</v>
      </c>
    </row>
    <row r="7" spans="1:1" ht="15" x14ac:dyDescent="0.35">
      <c r="A7" s="56" t="s">
        <v>622</v>
      </c>
    </row>
    <row r="8" spans="1:1" ht="15" x14ac:dyDescent="0.35">
      <c r="A8" s="56" t="s">
        <v>623</v>
      </c>
    </row>
    <row r="9" spans="1:1" ht="15" x14ac:dyDescent="0.35">
      <c r="A9" s="56" t="s">
        <v>624</v>
      </c>
    </row>
    <row r="10" spans="1:1" ht="15" x14ac:dyDescent="0.35">
      <c r="A10" s="56" t="s">
        <v>625</v>
      </c>
    </row>
    <row r="11" spans="1:1" ht="15" x14ac:dyDescent="0.35">
      <c r="A11" s="56" t="s">
        <v>626</v>
      </c>
    </row>
    <row r="12" spans="1:1" ht="15" x14ac:dyDescent="0.35">
      <c r="A12" s="56" t="s">
        <v>627</v>
      </c>
    </row>
    <row r="13" spans="1:1" ht="15" x14ac:dyDescent="0.35">
      <c r="A13" s="56" t="s">
        <v>628</v>
      </c>
    </row>
    <row r="14" spans="1:1" ht="15" x14ac:dyDescent="0.35">
      <c r="A14" s="56" t="s">
        <v>629</v>
      </c>
    </row>
    <row r="15" spans="1:1" ht="15" x14ac:dyDescent="0.35">
      <c r="A15" s="56" t="s">
        <v>630</v>
      </c>
    </row>
    <row r="16" spans="1:1" ht="15" x14ac:dyDescent="0.35">
      <c r="A16" s="56" t="s">
        <v>631</v>
      </c>
    </row>
    <row r="17" spans="1:1" ht="15" x14ac:dyDescent="0.35">
      <c r="A17" s="56" t="s">
        <v>632</v>
      </c>
    </row>
    <row r="18" spans="1:1" ht="15" x14ac:dyDescent="0.35">
      <c r="A18" s="56" t="s">
        <v>633</v>
      </c>
    </row>
    <row r="19" spans="1:1" ht="15" x14ac:dyDescent="0.35">
      <c r="A19" s="56" t="s">
        <v>634</v>
      </c>
    </row>
    <row r="20" spans="1:1" ht="15" x14ac:dyDescent="0.35">
      <c r="A20" s="56" t="s">
        <v>635</v>
      </c>
    </row>
    <row r="21" spans="1:1" ht="15" x14ac:dyDescent="0.35">
      <c r="A21" s="56" t="s">
        <v>636</v>
      </c>
    </row>
    <row r="22" spans="1:1" ht="15" x14ac:dyDescent="0.35">
      <c r="A22" s="56" t="s">
        <v>637</v>
      </c>
    </row>
    <row r="23" spans="1:1" ht="15" x14ac:dyDescent="0.35">
      <c r="A23" s="56" t="s">
        <v>638</v>
      </c>
    </row>
    <row r="24" spans="1:1" ht="15" x14ac:dyDescent="0.35">
      <c r="A24" s="56" t="s">
        <v>639</v>
      </c>
    </row>
    <row r="25" spans="1:1" ht="15" x14ac:dyDescent="0.35">
      <c r="A25" s="56" t="s">
        <v>640</v>
      </c>
    </row>
    <row r="26" spans="1:1" ht="15" x14ac:dyDescent="0.35">
      <c r="A26" s="56" t="s">
        <v>641</v>
      </c>
    </row>
    <row r="27" spans="1:1" ht="15" x14ac:dyDescent="0.35">
      <c r="A27" s="56" t="s">
        <v>642</v>
      </c>
    </row>
    <row r="28" spans="1:1" ht="15" x14ac:dyDescent="0.35">
      <c r="A28" s="56" t="s">
        <v>643</v>
      </c>
    </row>
    <row r="29" spans="1:1" ht="15" x14ac:dyDescent="0.35">
      <c r="A29" s="56" t="s">
        <v>644</v>
      </c>
    </row>
    <row r="30" spans="1:1" ht="15" x14ac:dyDescent="0.35">
      <c r="A30" s="56" t="s">
        <v>645</v>
      </c>
    </row>
    <row r="31" spans="1:1" ht="15" x14ac:dyDescent="0.35">
      <c r="A31" s="56" t="s">
        <v>646</v>
      </c>
    </row>
    <row r="32" spans="1:1" ht="15" x14ac:dyDescent="0.35">
      <c r="A32" s="56" t="s">
        <v>647</v>
      </c>
    </row>
    <row r="33" spans="1:1" ht="15" x14ac:dyDescent="0.35">
      <c r="A33" s="56" t="s">
        <v>648</v>
      </c>
    </row>
    <row r="34" spans="1:1" ht="15" x14ac:dyDescent="0.35">
      <c r="A34" s="56" t="s">
        <v>649</v>
      </c>
    </row>
    <row r="35" spans="1:1" ht="15" x14ac:dyDescent="0.35">
      <c r="A35" s="56" t="s">
        <v>650</v>
      </c>
    </row>
    <row r="36" spans="1:1" ht="15" x14ac:dyDescent="0.35">
      <c r="A36" s="56" t="s">
        <v>651</v>
      </c>
    </row>
    <row r="37" spans="1:1" ht="15" x14ac:dyDescent="0.35">
      <c r="A37" s="56" t="s">
        <v>652</v>
      </c>
    </row>
    <row r="38" spans="1:1" ht="15" x14ac:dyDescent="0.35">
      <c r="A38" s="56" t="s">
        <v>653</v>
      </c>
    </row>
    <row r="39" spans="1:1" ht="15" x14ac:dyDescent="0.35">
      <c r="A39" s="56" t="s">
        <v>45</v>
      </c>
    </row>
    <row r="40" spans="1:1" ht="15" x14ac:dyDescent="0.35">
      <c r="A40" s="56" t="s">
        <v>654</v>
      </c>
    </row>
    <row r="41" spans="1:1" ht="15" x14ac:dyDescent="0.35">
      <c r="A41" s="56" t="s">
        <v>655</v>
      </c>
    </row>
    <row r="42" spans="1:1" ht="15" x14ac:dyDescent="0.35">
      <c r="A42" s="56" t="s">
        <v>656</v>
      </c>
    </row>
    <row r="43" spans="1:1" ht="15" x14ac:dyDescent="0.35">
      <c r="A43" s="56" t="s">
        <v>657</v>
      </c>
    </row>
    <row r="44" spans="1:1" ht="15" x14ac:dyDescent="0.35">
      <c r="A44" s="56" t="s">
        <v>658</v>
      </c>
    </row>
    <row r="45" spans="1:1" ht="15" x14ac:dyDescent="0.35">
      <c r="A45" s="56" t="s">
        <v>659</v>
      </c>
    </row>
    <row r="46" spans="1:1" ht="15" x14ac:dyDescent="0.35">
      <c r="A46" s="56" t="s">
        <v>660</v>
      </c>
    </row>
    <row r="47" spans="1:1" ht="15" x14ac:dyDescent="0.35">
      <c r="A47" s="56" t="s">
        <v>661</v>
      </c>
    </row>
    <row r="48" spans="1:1" ht="15" x14ac:dyDescent="0.35">
      <c r="A48" s="56" t="s">
        <v>662</v>
      </c>
    </row>
    <row r="49" spans="1:1" ht="15" x14ac:dyDescent="0.35">
      <c r="A49" s="56" t="s">
        <v>663</v>
      </c>
    </row>
    <row r="50" spans="1:1" ht="15" x14ac:dyDescent="0.35">
      <c r="A50" s="56" t="s">
        <v>664</v>
      </c>
    </row>
    <row r="51" spans="1:1" ht="15" x14ac:dyDescent="0.35">
      <c r="A51" s="56" t="s">
        <v>665</v>
      </c>
    </row>
    <row r="52" spans="1:1" ht="15" x14ac:dyDescent="0.35">
      <c r="A52" s="56" t="s">
        <v>666</v>
      </c>
    </row>
    <row r="53" spans="1:1" ht="15" x14ac:dyDescent="0.35">
      <c r="A53" s="56" t="s">
        <v>667</v>
      </c>
    </row>
    <row r="54" spans="1:1" ht="15" x14ac:dyDescent="0.35">
      <c r="A54" s="56" t="s">
        <v>668</v>
      </c>
    </row>
    <row r="55" spans="1:1" ht="15" x14ac:dyDescent="0.35">
      <c r="A55" s="56" t="s">
        <v>669</v>
      </c>
    </row>
    <row r="56" spans="1:1" ht="15" x14ac:dyDescent="0.35">
      <c r="A56" s="56" t="s">
        <v>670</v>
      </c>
    </row>
    <row r="57" spans="1:1" ht="15" x14ac:dyDescent="0.35">
      <c r="A57" s="56" t="s">
        <v>671</v>
      </c>
    </row>
    <row r="58" spans="1:1" ht="15" x14ac:dyDescent="0.35">
      <c r="A58" s="56" t="s">
        <v>672</v>
      </c>
    </row>
    <row r="59" spans="1:1" ht="15" x14ac:dyDescent="0.35">
      <c r="A59" s="56" t="s">
        <v>673</v>
      </c>
    </row>
    <row r="60" spans="1:1" ht="15" x14ac:dyDescent="0.35">
      <c r="A60" s="56" t="s">
        <v>674</v>
      </c>
    </row>
    <row r="61" spans="1:1" ht="15" x14ac:dyDescent="0.35">
      <c r="A61" s="56" t="s">
        <v>675</v>
      </c>
    </row>
    <row r="62" spans="1:1" ht="15" x14ac:dyDescent="0.35">
      <c r="A62" s="56" t="s">
        <v>676</v>
      </c>
    </row>
    <row r="63" spans="1:1" ht="15" x14ac:dyDescent="0.35">
      <c r="A63" s="56" t="s">
        <v>677</v>
      </c>
    </row>
    <row r="64" spans="1:1" ht="15" x14ac:dyDescent="0.35">
      <c r="A64" s="56" t="s">
        <v>678</v>
      </c>
    </row>
    <row r="65" spans="1:1" ht="15" x14ac:dyDescent="0.35">
      <c r="A65" s="56" t="s">
        <v>679</v>
      </c>
    </row>
    <row r="66" spans="1:1" ht="15" x14ac:dyDescent="0.35">
      <c r="A66" s="56" t="s">
        <v>680</v>
      </c>
    </row>
    <row r="67" spans="1:1" ht="15" x14ac:dyDescent="0.35">
      <c r="A67" s="56" t="s">
        <v>681</v>
      </c>
    </row>
    <row r="68" spans="1:1" ht="15" x14ac:dyDescent="0.35">
      <c r="A68" s="56" t="s">
        <v>682</v>
      </c>
    </row>
    <row r="69" spans="1:1" ht="15" x14ac:dyDescent="0.35">
      <c r="A69" s="56" t="s">
        <v>683</v>
      </c>
    </row>
    <row r="70" spans="1:1" ht="15" x14ac:dyDescent="0.35">
      <c r="A70" s="56" t="s">
        <v>684</v>
      </c>
    </row>
    <row r="71" spans="1:1" ht="15" x14ac:dyDescent="0.35">
      <c r="A71" s="56" t="s">
        <v>685</v>
      </c>
    </row>
    <row r="72" spans="1:1" ht="15" x14ac:dyDescent="0.35">
      <c r="A72" s="56" t="s">
        <v>686</v>
      </c>
    </row>
    <row r="73" spans="1:1" ht="15" x14ac:dyDescent="0.35">
      <c r="A73" s="56" t="s">
        <v>687</v>
      </c>
    </row>
    <row r="74" spans="1:1" ht="15" x14ac:dyDescent="0.35">
      <c r="A74" s="56" t="s">
        <v>688</v>
      </c>
    </row>
    <row r="75" spans="1:1" ht="15" x14ac:dyDescent="0.35">
      <c r="A75" s="56" t="s">
        <v>689</v>
      </c>
    </row>
    <row r="76" spans="1:1" ht="15" x14ac:dyDescent="0.35">
      <c r="A76" s="56" t="s">
        <v>690</v>
      </c>
    </row>
    <row r="77" spans="1:1" ht="15" x14ac:dyDescent="0.35">
      <c r="A77" s="56" t="s">
        <v>691</v>
      </c>
    </row>
    <row r="78" spans="1:1" ht="15" x14ac:dyDescent="0.35">
      <c r="A78" s="56" t="s">
        <v>692</v>
      </c>
    </row>
    <row r="79" spans="1:1" ht="15" x14ac:dyDescent="0.35">
      <c r="A79" s="56" t="s">
        <v>693</v>
      </c>
    </row>
    <row r="80" spans="1:1" ht="15" x14ac:dyDescent="0.35">
      <c r="A80" s="56" t="s">
        <v>694</v>
      </c>
    </row>
    <row r="81" spans="1:1" ht="15" x14ac:dyDescent="0.35">
      <c r="A81" s="56" t="s">
        <v>695</v>
      </c>
    </row>
    <row r="82" spans="1:1" ht="15" x14ac:dyDescent="0.35">
      <c r="A82" s="56" t="s">
        <v>696</v>
      </c>
    </row>
    <row r="83" spans="1:1" ht="15" x14ac:dyDescent="0.35">
      <c r="A83" s="56" t="s">
        <v>697</v>
      </c>
    </row>
    <row r="84" spans="1:1" ht="15" x14ac:dyDescent="0.35">
      <c r="A84" s="56" t="s">
        <v>698</v>
      </c>
    </row>
    <row r="85" spans="1:1" ht="15" x14ac:dyDescent="0.35">
      <c r="A85" s="56" t="s">
        <v>29</v>
      </c>
    </row>
    <row r="86" spans="1:1" ht="15" x14ac:dyDescent="0.35">
      <c r="A86" s="56" t="s">
        <v>699</v>
      </c>
    </row>
    <row r="87" spans="1:1" ht="15" x14ac:dyDescent="0.35">
      <c r="A87" s="56" t="s">
        <v>700</v>
      </c>
    </row>
    <row r="88" spans="1:1" ht="15" x14ac:dyDescent="0.35">
      <c r="A88" s="56" t="s">
        <v>701</v>
      </c>
    </row>
    <row r="89" spans="1:1" ht="15" x14ac:dyDescent="0.35">
      <c r="A89" s="56" t="s">
        <v>702</v>
      </c>
    </row>
    <row r="90" spans="1:1" ht="15" x14ac:dyDescent="0.35">
      <c r="A90" s="56" t="s">
        <v>703</v>
      </c>
    </row>
    <row r="91" spans="1:1" ht="15" x14ac:dyDescent="0.35">
      <c r="A91" s="56" t="s">
        <v>704</v>
      </c>
    </row>
    <row r="92" spans="1:1" ht="15" x14ac:dyDescent="0.35">
      <c r="A92" s="56" t="s">
        <v>705</v>
      </c>
    </row>
    <row r="93" spans="1:1" ht="15" x14ac:dyDescent="0.35">
      <c r="A93" s="56" t="s">
        <v>507</v>
      </c>
    </row>
    <row r="94" spans="1:1" ht="15" x14ac:dyDescent="0.35">
      <c r="A94" s="56" t="s">
        <v>706</v>
      </c>
    </row>
    <row r="95" spans="1:1" ht="15" x14ac:dyDescent="0.35">
      <c r="A95" s="56" t="s">
        <v>707</v>
      </c>
    </row>
    <row r="96" spans="1:1" ht="15" x14ac:dyDescent="0.35">
      <c r="A96" s="56" t="s">
        <v>708</v>
      </c>
    </row>
    <row r="97" spans="1:1" ht="15" x14ac:dyDescent="0.35">
      <c r="A97" s="56" t="s">
        <v>709</v>
      </c>
    </row>
    <row r="98" spans="1:1" ht="15" x14ac:dyDescent="0.35">
      <c r="A98" s="56" t="s">
        <v>710</v>
      </c>
    </row>
    <row r="99" spans="1:1" ht="15" x14ac:dyDescent="0.35">
      <c r="A99" s="56" t="s">
        <v>711</v>
      </c>
    </row>
    <row r="100" spans="1:1" ht="15" x14ac:dyDescent="0.35">
      <c r="A100" s="56" t="s">
        <v>712</v>
      </c>
    </row>
    <row r="101" spans="1:1" ht="15" x14ac:dyDescent="0.35">
      <c r="A101" s="56" t="s">
        <v>713</v>
      </c>
    </row>
    <row r="102" spans="1:1" ht="15" x14ac:dyDescent="0.35">
      <c r="A102" s="56" t="s">
        <v>714</v>
      </c>
    </row>
    <row r="103" spans="1:1" ht="15" x14ac:dyDescent="0.35">
      <c r="A103" s="56" t="s">
        <v>715</v>
      </c>
    </row>
    <row r="104" spans="1:1" ht="15" x14ac:dyDescent="0.35">
      <c r="A104" s="56" t="s">
        <v>716</v>
      </c>
    </row>
    <row r="105" spans="1:1" ht="15" x14ac:dyDescent="0.35">
      <c r="A105" s="56" t="s">
        <v>717</v>
      </c>
    </row>
    <row r="106" spans="1:1" ht="15" x14ac:dyDescent="0.35">
      <c r="A106" s="56" t="s">
        <v>718</v>
      </c>
    </row>
    <row r="107" spans="1:1" ht="15" x14ac:dyDescent="0.35">
      <c r="A107" s="56" t="s">
        <v>719</v>
      </c>
    </row>
    <row r="108" spans="1:1" ht="15" x14ac:dyDescent="0.35">
      <c r="A108" s="56" t="s">
        <v>720</v>
      </c>
    </row>
    <row r="109" spans="1:1" ht="15" x14ac:dyDescent="0.35">
      <c r="A109" s="56" t="s">
        <v>721</v>
      </c>
    </row>
    <row r="110" spans="1:1" ht="15" x14ac:dyDescent="0.35">
      <c r="A110" s="56" t="s">
        <v>28</v>
      </c>
    </row>
    <row r="111" spans="1:1" ht="15" x14ac:dyDescent="0.35">
      <c r="A111" s="56" t="s">
        <v>722</v>
      </c>
    </row>
    <row r="112" spans="1:1" ht="15" x14ac:dyDescent="0.35">
      <c r="A112" s="56" t="s">
        <v>723</v>
      </c>
    </row>
    <row r="113" spans="1:1" ht="15" x14ac:dyDescent="0.35">
      <c r="A113" s="56" t="s">
        <v>724</v>
      </c>
    </row>
    <row r="114" spans="1:1" ht="15" x14ac:dyDescent="0.35">
      <c r="A114" s="56" t="s">
        <v>725</v>
      </c>
    </row>
    <row r="115" spans="1:1" ht="15" x14ac:dyDescent="0.35">
      <c r="A115" s="56" t="s">
        <v>726</v>
      </c>
    </row>
    <row r="116" spans="1:1" ht="15" x14ac:dyDescent="0.35">
      <c r="A116" s="56" t="s">
        <v>727</v>
      </c>
    </row>
    <row r="117" spans="1:1" ht="15" x14ac:dyDescent="0.35">
      <c r="A117" s="56" t="s">
        <v>728</v>
      </c>
    </row>
    <row r="118" spans="1:1" ht="15" x14ac:dyDescent="0.35">
      <c r="A118" s="56" t="s">
        <v>729</v>
      </c>
    </row>
    <row r="119" spans="1:1" ht="15" x14ac:dyDescent="0.35">
      <c r="A119" s="56" t="s">
        <v>730</v>
      </c>
    </row>
    <row r="120" spans="1:1" ht="15" x14ac:dyDescent="0.35">
      <c r="A120" s="56" t="s">
        <v>731</v>
      </c>
    </row>
    <row r="121" spans="1:1" ht="15" x14ac:dyDescent="0.35">
      <c r="A121" s="56" t="s">
        <v>732</v>
      </c>
    </row>
    <row r="122" spans="1:1" ht="15" x14ac:dyDescent="0.35">
      <c r="A122" s="56" t="s">
        <v>733</v>
      </c>
    </row>
    <row r="123" spans="1:1" ht="15" x14ac:dyDescent="0.35">
      <c r="A123" s="56" t="s">
        <v>734</v>
      </c>
    </row>
    <row r="124" spans="1:1" ht="15" x14ac:dyDescent="0.35">
      <c r="A124" s="56" t="s">
        <v>735</v>
      </c>
    </row>
    <row r="125" spans="1:1" ht="15" x14ac:dyDescent="0.35">
      <c r="A125" s="56" t="s">
        <v>54</v>
      </c>
    </row>
    <row r="126" spans="1:1" ht="15" x14ac:dyDescent="0.35">
      <c r="A126" s="56" t="s">
        <v>736</v>
      </c>
    </row>
    <row r="127" spans="1:1" ht="15" x14ac:dyDescent="0.35">
      <c r="A127" s="56" t="s">
        <v>737</v>
      </c>
    </row>
    <row r="128" spans="1:1" ht="15" x14ac:dyDescent="0.35">
      <c r="A128" s="56" t="s">
        <v>738</v>
      </c>
    </row>
    <row r="129" spans="1:1" ht="15" x14ac:dyDescent="0.35">
      <c r="A129" s="56" t="s">
        <v>739</v>
      </c>
    </row>
    <row r="130" spans="1:1" ht="15" x14ac:dyDescent="0.35">
      <c r="A130" s="56" t="s">
        <v>740</v>
      </c>
    </row>
    <row r="131" spans="1:1" ht="15" x14ac:dyDescent="0.35">
      <c r="A131" s="56" t="s">
        <v>741</v>
      </c>
    </row>
    <row r="132" spans="1:1" ht="15" x14ac:dyDescent="0.35">
      <c r="A132" s="56" t="s">
        <v>742</v>
      </c>
    </row>
    <row r="133" spans="1:1" ht="15" x14ac:dyDescent="0.35">
      <c r="A133" s="56" t="s">
        <v>743</v>
      </c>
    </row>
    <row r="134" spans="1:1" ht="15" x14ac:dyDescent="0.35">
      <c r="A134" s="56" t="s">
        <v>744</v>
      </c>
    </row>
    <row r="135" spans="1:1" ht="15" x14ac:dyDescent="0.35">
      <c r="A135" s="56" t="s">
        <v>745</v>
      </c>
    </row>
    <row r="136" spans="1:1" ht="15" x14ac:dyDescent="0.35">
      <c r="A136" s="56" t="s">
        <v>746</v>
      </c>
    </row>
    <row r="137" spans="1:1" ht="15" x14ac:dyDescent="0.35">
      <c r="A137" s="56" t="s">
        <v>747</v>
      </c>
    </row>
    <row r="138" spans="1:1" ht="15" x14ac:dyDescent="0.35">
      <c r="A138" s="56" t="s">
        <v>748</v>
      </c>
    </row>
    <row r="139" spans="1:1" ht="15" x14ac:dyDescent="0.35">
      <c r="A139" s="56" t="s">
        <v>749</v>
      </c>
    </row>
    <row r="140" spans="1:1" ht="15" x14ac:dyDescent="0.35">
      <c r="A140" s="56" t="s">
        <v>750</v>
      </c>
    </row>
    <row r="141" spans="1:1" ht="15" x14ac:dyDescent="0.35">
      <c r="A141" s="56" t="s">
        <v>474</v>
      </c>
    </row>
    <row r="142" spans="1:1" ht="15" x14ac:dyDescent="0.35">
      <c r="A142" s="56" t="s">
        <v>751</v>
      </c>
    </row>
    <row r="143" spans="1:1" ht="15" x14ac:dyDescent="0.35">
      <c r="A143" s="56" t="s">
        <v>25</v>
      </c>
    </row>
    <row r="144" spans="1:1" ht="15" x14ac:dyDescent="0.35">
      <c r="A144" s="56" t="s">
        <v>752</v>
      </c>
    </row>
    <row r="145" spans="1:1" ht="15" x14ac:dyDescent="0.35">
      <c r="A145" s="56" t="s">
        <v>753</v>
      </c>
    </row>
    <row r="146" spans="1:1" ht="15" x14ac:dyDescent="0.35">
      <c r="A146" s="56" t="s">
        <v>754</v>
      </c>
    </row>
    <row r="147" spans="1:1" ht="15" x14ac:dyDescent="0.35">
      <c r="A147" s="56" t="s">
        <v>755</v>
      </c>
    </row>
    <row r="148" spans="1:1" ht="15" x14ac:dyDescent="0.35">
      <c r="A148" s="56" t="s">
        <v>756</v>
      </c>
    </row>
    <row r="149" spans="1:1" ht="15" x14ac:dyDescent="0.35">
      <c r="A149" s="56" t="s">
        <v>757</v>
      </c>
    </row>
    <row r="150" spans="1:1" ht="15" x14ac:dyDescent="0.35">
      <c r="A150" s="56" t="s">
        <v>758</v>
      </c>
    </row>
    <row r="151" spans="1:1" ht="15" x14ac:dyDescent="0.35">
      <c r="A151" s="56" t="s">
        <v>759</v>
      </c>
    </row>
    <row r="152" spans="1:1" ht="15" x14ac:dyDescent="0.35">
      <c r="A152" s="56" t="s">
        <v>760</v>
      </c>
    </row>
    <row r="153" spans="1:1" ht="15" x14ac:dyDescent="0.35">
      <c r="A153" s="56" t="s">
        <v>761</v>
      </c>
    </row>
    <row r="154" spans="1:1" ht="15" x14ac:dyDescent="0.35">
      <c r="A154" s="56" t="s">
        <v>762</v>
      </c>
    </row>
    <row r="155" spans="1:1" ht="15" x14ac:dyDescent="0.35">
      <c r="A155" s="56" t="s">
        <v>763</v>
      </c>
    </row>
    <row r="156" spans="1:1" ht="15" x14ac:dyDescent="0.35">
      <c r="A156" s="56" t="s">
        <v>764</v>
      </c>
    </row>
    <row r="157" spans="1:1" ht="15" x14ac:dyDescent="0.35">
      <c r="A157" s="56" t="s">
        <v>765</v>
      </c>
    </row>
    <row r="158" spans="1:1" ht="15" x14ac:dyDescent="0.35">
      <c r="A158" s="56" t="s">
        <v>766</v>
      </c>
    </row>
    <row r="159" spans="1:1" ht="15" x14ac:dyDescent="0.35">
      <c r="A159" s="56" t="s">
        <v>767</v>
      </c>
    </row>
    <row r="160" spans="1:1" ht="15" x14ac:dyDescent="0.35">
      <c r="A160" s="56" t="s">
        <v>768</v>
      </c>
    </row>
    <row r="161" spans="1:1" ht="15" x14ac:dyDescent="0.35">
      <c r="A161" s="56" t="s">
        <v>769</v>
      </c>
    </row>
    <row r="162" spans="1:1" ht="15" x14ac:dyDescent="0.35">
      <c r="A162" s="56" t="s">
        <v>770</v>
      </c>
    </row>
    <row r="163" spans="1:1" ht="15" x14ac:dyDescent="0.35">
      <c r="A163" s="56" t="s">
        <v>771</v>
      </c>
    </row>
    <row r="164" spans="1:1" ht="15" x14ac:dyDescent="0.35">
      <c r="A164" s="56" t="s">
        <v>118</v>
      </c>
    </row>
    <row r="165" spans="1:1" ht="15" x14ac:dyDescent="0.35">
      <c r="A165" s="56" t="s">
        <v>772</v>
      </c>
    </row>
    <row r="166" spans="1:1" ht="15" x14ac:dyDescent="0.35">
      <c r="A166" s="56" t="s">
        <v>614</v>
      </c>
    </row>
    <row r="167" spans="1:1" ht="15" x14ac:dyDescent="0.35">
      <c r="A167" s="56" t="s">
        <v>773</v>
      </c>
    </row>
    <row r="168" spans="1:1" ht="15" x14ac:dyDescent="0.35">
      <c r="A168" s="56" t="s">
        <v>774</v>
      </c>
    </row>
    <row r="169" spans="1:1" ht="15" x14ac:dyDescent="0.35">
      <c r="A169" s="56" t="s">
        <v>775</v>
      </c>
    </row>
    <row r="170" spans="1:1" ht="15" x14ac:dyDescent="0.35">
      <c r="A170" s="56" t="s">
        <v>475</v>
      </c>
    </row>
    <row r="171" spans="1:1" ht="15" x14ac:dyDescent="0.35">
      <c r="A171" s="56" t="s">
        <v>776</v>
      </c>
    </row>
    <row r="172" spans="1:1" ht="15" x14ac:dyDescent="0.35">
      <c r="A172" s="56" t="s">
        <v>49</v>
      </c>
    </row>
    <row r="173" spans="1:1" ht="15" x14ac:dyDescent="0.35">
      <c r="A173" s="56" t="s">
        <v>512</v>
      </c>
    </row>
    <row r="174" spans="1:1" ht="15" x14ac:dyDescent="0.35">
      <c r="A174" s="56" t="s">
        <v>777</v>
      </c>
    </row>
    <row r="175" spans="1:1" ht="15" x14ac:dyDescent="0.35">
      <c r="A175" s="56" t="s">
        <v>778</v>
      </c>
    </row>
    <row r="176" spans="1:1" ht="15" x14ac:dyDescent="0.35">
      <c r="A176" s="56" t="s">
        <v>779</v>
      </c>
    </row>
    <row r="177" spans="1:1" ht="15" x14ac:dyDescent="0.35">
      <c r="A177" s="56" t="s">
        <v>780</v>
      </c>
    </row>
    <row r="178" spans="1:1" ht="15" x14ac:dyDescent="0.35">
      <c r="A178" s="56" t="s">
        <v>781</v>
      </c>
    </row>
    <row r="179" spans="1:1" ht="15" x14ac:dyDescent="0.35">
      <c r="A179" s="56" t="s">
        <v>782</v>
      </c>
    </row>
    <row r="180" spans="1:1" ht="15" x14ac:dyDescent="0.35">
      <c r="A180" s="56" t="s">
        <v>783</v>
      </c>
    </row>
    <row r="181" spans="1:1" ht="15" x14ac:dyDescent="0.35">
      <c r="A181" s="56" t="s">
        <v>784</v>
      </c>
    </row>
    <row r="182" spans="1:1" ht="15" x14ac:dyDescent="0.35">
      <c r="A182" s="56" t="s">
        <v>785</v>
      </c>
    </row>
    <row r="183" spans="1:1" ht="15" x14ac:dyDescent="0.35">
      <c r="A183" s="56" t="s">
        <v>786</v>
      </c>
    </row>
    <row r="184" spans="1:1" ht="15" x14ac:dyDescent="0.35">
      <c r="A184" s="56" t="s">
        <v>787</v>
      </c>
    </row>
    <row r="185" spans="1:1" ht="15" x14ac:dyDescent="0.35">
      <c r="A185" s="56" t="s">
        <v>788</v>
      </c>
    </row>
    <row r="186" spans="1:1" ht="15" x14ac:dyDescent="0.35">
      <c r="A186" s="56" t="s">
        <v>789</v>
      </c>
    </row>
    <row r="187" spans="1:1" ht="15" x14ac:dyDescent="0.35">
      <c r="A187" s="56" t="s">
        <v>790</v>
      </c>
    </row>
    <row r="188" spans="1:1" ht="15" x14ac:dyDescent="0.35">
      <c r="A188" s="56" t="s">
        <v>791</v>
      </c>
    </row>
    <row r="189" spans="1:1" ht="15" x14ac:dyDescent="0.35">
      <c r="A189" s="56" t="s">
        <v>792</v>
      </c>
    </row>
    <row r="190" spans="1:1" ht="15" x14ac:dyDescent="0.35">
      <c r="A190" s="56" t="s">
        <v>341</v>
      </c>
    </row>
    <row r="191" spans="1:1" ht="15" x14ac:dyDescent="0.35">
      <c r="A191" s="56" t="s">
        <v>793</v>
      </c>
    </row>
    <row r="192" spans="1:1" ht="15" x14ac:dyDescent="0.35">
      <c r="A192" s="56" t="s">
        <v>794</v>
      </c>
    </row>
    <row r="193" spans="1:1" ht="15" x14ac:dyDescent="0.35">
      <c r="A193" s="56" t="s">
        <v>795</v>
      </c>
    </row>
    <row r="194" spans="1:1" ht="15" x14ac:dyDescent="0.35">
      <c r="A194" s="56" t="s">
        <v>796</v>
      </c>
    </row>
    <row r="195" spans="1:1" ht="15" x14ac:dyDescent="0.35">
      <c r="A195" s="56" t="s">
        <v>119</v>
      </c>
    </row>
    <row r="196" spans="1:1" ht="15" x14ac:dyDescent="0.35">
      <c r="A196" s="56" t="s">
        <v>344</v>
      </c>
    </row>
    <row r="197" spans="1:1" ht="15" x14ac:dyDescent="0.35">
      <c r="A197" s="56" t="s">
        <v>158</v>
      </c>
    </row>
    <row r="198" spans="1:1" ht="15" x14ac:dyDescent="0.35">
      <c r="A198" s="56" t="s">
        <v>23</v>
      </c>
    </row>
    <row r="199" spans="1:1" ht="15" x14ac:dyDescent="0.35">
      <c r="A199" s="56" t="s">
        <v>797</v>
      </c>
    </row>
    <row r="200" spans="1:1" ht="15" x14ac:dyDescent="0.35">
      <c r="A200" s="56" t="s">
        <v>798</v>
      </c>
    </row>
    <row r="201" spans="1:1" ht="15" x14ac:dyDescent="0.35">
      <c r="A201" s="56" t="s">
        <v>799</v>
      </c>
    </row>
    <row r="202" spans="1:1" ht="15" x14ac:dyDescent="0.35">
      <c r="A202" s="56" t="s">
        <v>800</v>
      </c>
    </row>
    <row r="203" spans="1:1" ht="15" x14ac:dyDescent="0.35">
      <c r="A203" s="56" t="s">
        <v>801</v>
      </c>
    </row>
    <row r="204" spans="1:1" ht="15" x14ac:dyDescent="0.35">
      <c r="A204" s="56" t="s">
        <v>802</v>
      </c>
    </row>
    <row r="205" spans="1:1" ht="15" x14ac:dyDescent="0.35">
      <c r="A205" s="56" t="s">
        <v>803</v>
      </c>
    </row>
    <row r="206" spans="1:1" ht="15" x14ac:dyDescent="0.35">
      <c r="A206" s="56" t="s">
        <v>804</v>
      </c>
    </row>
    <row r="207" spans="1:1" ht="15" x14ac:dyDescent="0.35">
      <c r="A207" s="56" t="s">
        <v>46</v>
      </c>
    </row>
    <row r="208" spans="1:1" ht="15" x14ac:dyDescent="0.35">
      <c r="A208" s="56" t="s">
        <v>805</v>
      </c>
    </row>
    <row r="209" spans="1:1" ht="15" x14ac:dyDescent="0.35">
      <c r="A209" s="56" t="s">
        <v>806</v>
      </c>
    </row>
    <row r="210" spans="1:1" ht="15" x14ac:dyDescent="0.35">
      <c r="A210" s="56" t="s">
        <v>807</v>
      </c>
    </row>
    <row r="211" spans="1:1" ht="15" x14ac:dyDescent="0.35">
      <c r="A211" s="56" t="s">
        <v>808</v>
      </c>
    </row>
    <row r="212" spans="1:1" ht="15" x14ac:dyDescent="0.35">
      <c r="A212" s="56" t="s">
        <v>809</v>
      </c>
    </row>
    <row r="213" spans="1:1" ht="15" x14ac:dyDescent="0.35">
      <c r="A213" s="56" t="s">
        <v>810</v>
      </c>
    </row>
    <row r="214" spans="1:1" ht="15" x14ac:dyDescent="0.35">
      <c r="A214" s="56" t="s">
        <v>811</v>
      </c>
    </row>
    <row r="215" spans="1:1" ht="15" x14ac:dyDescent="0.35">
      <c r="A215" s="56" t="s">
        <v>123</v>
      </c>
    </row>
    <row r="216" spans="1:1" ht="15" x14ac:dyDescent="0.35">
      <c r="A216" s="56" t="s">
        <v>812</v>
      </c>
    </row>
    <row r="217" spans="1:1" ht="15" x14ac:dyDescent="0.35">
      <c r="A217" s="56" t="s">
        <v>813</v>
      </c>
    </row>
    <row r="218" spans="1:1" ht="15" x14ac:dyDescent="0.35">
      <c r="A218" s="56" t="s">
        <v>814</v>
      </c>
    </row>
    <row r="219" spans="1:1" ht="15" x14ac:dyDescent="0.35">
      <c r="A219" s="56" t="s">
        <v>815</v>
      </c>
    </row>
    <row r="220" spans="1:1" ht="15" x14ac:dyDescent="0.35">
      <c r="A220" s="56" t="s">
        <v>816</v>
      </c>
    </row>
    <row r="221" spans="1:1" ht="15" x14ac:dyDescent="0.35">
      <c r="A221" s="56" t="s">
        <v>817</v>
      </c>
    </row>
    <row r="222" spans="1:1" ht="15" x14ac:dyDescent="0.35">
      <c r="A222" s="56" t="s">
        <v>818</v>
      </c>
    </row>
    <row r="223" spans="1:1" ht="15" x14ac:dyDescent="0.35">
      <c r="A223" s="56" t="s">
        <v>819</v>
      </c>
    </row>
    <row r="224" spans="1:1" ht="15" x14ac:dyDescent="0.35">
      <c r="A224" s="56" t="s">
        <v>615</v>
      </c>
    </row>
    <row r="225" spans="1:1" ht="15" x14ac:dyDescent="0.35">
      <c r="A225" s="56" t="s">
        <v>820</v>
      </c>
    </row>
    <row r="226" spans="1:1" ht="15" x14ac:dyDescent="0.35">
      <c r="A226" s="56" t="s">
        <v>821</v>
      </c>
    </row>
    <row r="227" spans="1:1" ht="15" x14ac:dyDescent="0.35">
      <c r="A227" s="56" t="s">
        <v>822</v>
      </c>
    </row>
    <row r="228" spans="1:1" ht="15" x14ac:dyDescent="0.35">
      <c r="A228" s="56" t="s">
        <v>823</v>
      </c>
    </row>
    <row r="229" spans="1:1" ht="15" x14ac:dyDescent="0.35">
      <c r="A229" s="56" t="s">
        <v>824</v>
      </c>
    </row>
    <row r="230" spans="1:1" ht="15" x14ac:dyDescent="0.35">
      <c r="A230" s="56" t="s">
        <v>825</v>
      </c>
    </row>
    <row r="231" spans="1:1" ht="15" x14ac:dyDescent="0.35">
      <c r="A231" s="56" t="s">
        <v>826</v>
      </c>
    </row>
    <row r="232" spans="1:1" ht="15" x14ac:dyDescent="0.35">
      <c r="A232" s="56" t="s">
        <v>827</v>
      </c>
    </row>
    <row r="233" spans="1:1" ht="15" x14ac:dyDescent="0.35">
      <c r="A233" s="56" t="s">
        <v>828</v>
      </c>
    </row>
    <row r="234" spans="1:1" ht="15" x14ac:dyDescent="0.35">
      <c r="A234" s="56" t="s">
        <v>829</v>
      </c>
    </row>
    <row r="235" spans="1:1" ht="15" x14ac:dyDescent="0.35">
      <c r="A235" s="56" t="s">
        <v>830</v>
      </c>
    </row>
    <row r="236" spans="1:1" ht="15" x14ac:dyDescent="0.35">
      <c r="A236" s="56" t="s">
        <v>831</v>
      </c>
    </row>
    <row r="237" spans="1:1" ht="15" x14ac:dyDescent="0.35">
      <c r="A237" s="56" t="s">
        <v>832</v>
      </c>
    </row>
    <row r="238" spans="1:1" ht="15" x14ac:dyDescent="0.35">
      <c r="A238" s="56" t="s">
        <v>833</v>
      </c>
    </row>
    <row r="239" spans="1:1" ht="15" x14ac:dyDescent="0.35">
      <c r="A239" s="56" t="s">
        <v>834</v>
      </c>
    </row>
    <row r="240" spans="1:1" ht="15" x14ac:dyDescent="0.35">
      <c r="A240" s="56" t="s">
        <v>835</v>
      </c>
    </row>
    <row r="241" spans="1:1" ht="15" x14ac:dyDescent="0.35">
      <c r="A241" s="56" t="s">
        <v>836</v>
      </c>
    </row>
    <row r="242" spans="1:1" ht="15" x14ac:dyDescent="0.35">
      <c r="A242" s="56" t="s">
        <v>837</v>
      </c>
    </row>
    <row r="243" spans="1:1" ht="15" x14ac:dyDescent="0.35">
      <c r="A243" s="56" t="s">
        <v>838</v>
      </c>
    </row>
    <row r="244" spans="1:1" ht="15" x14ac:dyDescent="0.35">
      <c r="A244" s="56" t="s">
        <v>839</v>
      </c>
    </row>
    <row r="245" spans="1:1" ht="15" x14ac:dyDescent="0.35">
      <c r="A245" s="56" t="s">
        <v>840</v>
      </c>
    </row>
    <row r="246" spans="1:1" ht="15" x14ac:dyDescent="0.35">
      <c r="A246" s="56" t="s">
        <v>841</v>
      </c>
    </row>
    <row r="247" spans="1:1" ht="15" x14ac:dyDescent="0.35">
      <c r="A247" s="56" t="s">
        <v>842</v>
      </c>
    </row>
    <row r="248" spans="1:1" ht="15" x14ac:dyDescent="0.35">
      <c r="A248" s="56" t="s">
        <v>843</v>
      </c>
    </row>
    <row r="249" spans="1:1" ht="15" x14ac:dyDescent="0.35">
      <c r="A249" s="56" t="s">
        <v>844</v>
      </c>
    </row>
    <row r="250" spans="1:1" ht="15" x14ac:dyDescent="0.35">
      <c r="A250" s="56" t="s">
        <v>845</v>
      </c>
    </row>
    <row r="251" spans="1:1" ht="15" x14ac:dyDescent="0.35">
      <c r="A251" s="56" t="s">
        <v>539</v>
      </c>
    </row>
    <row r="252" spans="1:1" ht="15" x14ac:dyDescent="0.35">
      <c r="A252" s="56" t="s">
        <v>541</v>
      </c>
    </row>
    <row r="253" spans="1:1" ht="15" x14ac:dyDescent="0.35">
      <c r="A253" s="56" t="s">
        <v>544</v>
      </c>
    </row>
    <row r="254" spans="1:1" ht="15" x14ac:dyDescent="0.35">
      <c r="A254" s="56" t="s">
        <v>547</v>
      </c>
    </row>
    <row r="255" spans="1:1" ht="15" x14ac:dyDescent="0.35">
      <c r="A255" s="56" t="s">
        <v>548</v>
      </c>
    </row>
    <row r="256" spans="1:1" x14ac:dyDescent="0.3">
      <c r="A256" t="s">
        <v>864</v>
      </c>
    </row>
    <row r="257" spans="1:1" x14ac:dyDescent="0.3">
      <c r="A257" t="s">
        <v>865</v>
      </c>
    </row>
    <row r="258" spans="1:1" x14ac:dyDescent="0.3">
      <c r="A258" t="s">
        <v>597</v>
      </c>
    </row>
    <row r="259" spans="1:1" x14ac:dyDescent="0.3">
      <c r="A259" t="s">
        <v>866</v>
      </c>
    </row>
    <row r="260" spans="1:1" x14ac:dyDescent="0.3">
      <c r="A260" t="s">
        <v>867</v>
      </c>
    </row>
    <row r="261" spans="1:1" x14ac:dyDescent="0.3">
      <c r="A261" t="s">
        <v>868</v>
      </c>
    </row>
    <row r="262" spans="1:1" x14ac:dyDescent="0.3">
      <c r="A262" t="s">
        <v>869</v>
      </c>
    </row>
    <row r="263" spans="1:1" x14ac:dyDescent="0.3">
      <c r="A263" t="s">
        <v>847</v>
      </c>
    </row>
    <row r="264" spans="1:1" x14ac:dyDescent="0.3">
      <c r="A264" t="s">
        <v>870</v>
      </c>
    </row>
    <row r="265" spans="1:1" x14ac:dyDescent="0.3">
      <c r="A265" t="s">
        <v>848</v>
      </c>
    </row>
    <row r="266" spans="1:1" x14ac:dyDescent="0.3">
      <c r="A266" t="s">
        <v>871</v>
      </c>
    </row>
    <row r="267" spans="1:1" x14ac:dyDescent="0.3">
      <c r="A267" t="s">
        <v>872</v>
      </c>
    </row>
    <row r="268" spans="1:1" x14ac:dyDescent="0.3">
      <c r="A268" t="s">
        <v>873</v>
      </c>
    </row>
    <row r="269" spans="1:1" x14ac:dyDescent="0.3">
      <c r="A269" t="s">
        <v>874</v>
      </c>
    </row>
    <row r="270" spans="1:1" x14ac:dyDescent="0.3">
      <c r="A270" t="s">
        <v>26</v>
      </c>
    </row>
    <row r="271" spans="1:1" x14ac:dyDescent="0.3">
      <c r="A271" t="s">
        <v>875</v>
      </c>
    </row>
    <row r="272" spans="1:1" x14ac:dyDescent="0.3">
      <c r="A272" t="s">
        <v>849</v>
      </c>
    </row>
    <row r="273" spans="1:1" x14ac:dyDescent="0.3">
      <c r="A273" t="s">
        <v>876</v>
      </c>
    </row>
    <row r="274" spans="1:1" x14ac:dyDescent="0.3">
      <c r="A274" t="s">
        <v>877</v>
      </c>
    </row>
    <row r="275" spans="1:1" x14ac:dyDescent="0.3">
      <c r="A275" t="s">
        <v>878</v>
      </c>
    </row>
    <row r="276" spans="1:1" x14ac:dyDescent="0.3">
      <c r="A276" t="s">
        <v>879</v>
      </c>
    </row>
    <row r="277" spans="1:1" x14ac:dyDescent="0.3">
      <c r="A277" t="s">
        <v>880</v>
      </c>
    </row>
    <row r="278" spans="1:1" x14ac:dyDescent="0.3">
      <c r="A278" t="s">
        <v>881</v>
      </c>
    </row>
    <row r="279" spans="1:1" x14ac:dyDescent="0.3">
      <c r="A279" t="s">
        <v>882</v>
      </c>
    </row>
    <row r="280" spans="1:1" x14ac:dyDescent="0.3">
      <c r="A280" t="s">
        <v>883</v>
      </c>
    </row>
    <row r="281" spans="1:1" x14ac:dyDescent="0.3">
      <c r="A281" t="s">
        <v>884</v>
      </c>
    </row>
    <row r="282" spans="1:1" x14ac:dyDescent="0.3">
      <c r="A282" t="s">
        <v>885</v>
      </c>
    </row>
    <row r="283" spans="1:1" x14ac:dyDescent="0.3">
      <c r="A283" t="s">
        <v>886</v>
      </c>
    </row>
    <row r="284" spans="1:1" x14ac:dyDescent="0.3">
      <c r="A284" t="s">
        <v>887</v>
      </c>
    </row>
    <row r="285" spans="1:1" x14ac:dyDescent="0.3">
      <c r="A285" t="s">
        <v>888</v>
      </c>
    </row>
    <row r="286" spans="1:1" x14ac:dyDescent="0.3">
      <c r="A286" t="s">
        <v>889</v>
      </c>
    </row>
    <row r="287" spans="1:1" x14ac:dyDescent="0.3">
      <c r="A287" t="s">
        <v>890</v>
      </c>
    </row>
    <row r="288" spans="1:1" x14ac:dyDescent="0.3">
      <c r="A288" t="s">
        <v>891</v>
      </c>
    </row>
    <row r="289" spans="1:1" x14ac:dyDescent="0.3">
      <c r="A289" t="s">
        <v>892</v>
      </c>
    </row>
    <row r="290" spans="1:1" x14ac:dyDescent="0.3">
      <c r="A290" t="s">
        <v>852</v>
      </c>
    </row>
    <row r="291" spans="1:1" x14ac:dyDescent="0.3">
      <c r="A291" t="s">
        <v>893</v>
      </c>
    </row>
    <row r="292" spans="1:1" x14ac:dyDescent="0.3">
      <c r="A292" t="s">
        <v>853</v>
      </c>
    </row>
    <row r="293" spans="1:1" x14ac:dyDescent="0.3">
      <c r="A293" t="s">
        <v>505</v>
      </c>
    </row>
    <row r="294" spans="1:1" x14ac:dyDescent="0.3">
      <c r="A294" t="s">
        <v>894</v>
      </c>
    </row>
    <row r="295" spans="1:1" x14ac:dyDescent="0.3">
      <c r="A295" t="s">
        <v>895</v>
      </c>
    </row>
    <row r="296" spans="1:1" x14ac:dyDescent="0.3">
      <c r="A296" t="s">
        <v>854</v>
      </c>
    </row>
    <row r="297" spans="1:1" x14ac:dyDescent="0.3">
      <c r="A297" t="s">
        <v>855</v>
      </c>
    </row>
    <row r="298" spans="1:1" x14ac:dyDescent="0.3">
      <c r="A298" t="s">
        <v>896</v>
      </c>
    </row>
    <row r="299" spans="1:1" x14ac:dyDescent="0.3">
      <c r="A299" t="s">
        <v>897</v>
      </c>
    </row>
    <row r="300" spans="1:1" x14ac:dyDescent="0.3">
      <c r="A300" t="s">
        <v>898</v>
      </c>
    </row>
    <row r="301" spans="1:1" x14ac:dyDescent="0.3">
      <c r="A301" t="s">
        <v>899</v>
      </c>
    </row>
    <row r="302" spans="1:1" x14ac:dyDescent="0.3">
      <c r="A302" t="s">
        <v>900</v>
      </c>
    </row>
    <row r="303" spans="1:1" x14ac:dyDescent="0.3">
      <c r="A303" t="s">
        <v>901</v>
      </c>
    </row>
    <row r="304" spans="1:1" x14ac:dyDescent="0.3">
      <c r="A304" t="s">
        <v>902</v>
      </c>
    </row>
    <row r="305" spans="1:1" x14ac:dyDescent="0.3">
      <c r="A305" t="s">
        <v>903</v>
      </c>
    </row>
    <row r="306" spans="1:1" x14ac:dyDescent="0.3">
      <c r="A306" t="s">
        <v>904</v>
      </c>
    </row>
    <row r="307" spans="1:1" x14ac:dyDescent="0.3">
      <c r="A307" t="s">
        <v>905</v>
      </c>
    </row>
    <row r="308" spans="1:1" x14ac:dyDescent="0.3">
      <c r="A308" t="s">
        <v>906</v>
      </c>
    </row>
    <row r="309" spans="1:1" x14ac:dyDescent="0.3">
      <c r="A309" t="s">
        <v>907</v>
      </c>
    </row>
    <row r="310" spans="1:1" x14ac:dyDescent="0.3">
      <c r="A310" t="s">
        <v>908</v>
      </c>
    </row>
    <row r="311" spans="1:1" x14ac:dyDescent="0.3">
      <c r="A311" t="s">
        <v>909</v>
      </c>
    </row>
    <row r="312" spans="1:1" x14ac:dyDescent="0.3">
      <c r="A312" t="s">
        <v>910</v>
      </c>
    </row>
    <row r="313" spans="1:1" x14ac:dyDescent="0.3">
      <c r="A313" t="s">
        <v>911</v>
      </c>
    </row>
    <row r="314" spans="1:1" x14ac:dyDescent="0.3">
      <c r="A314" t="s">
        <v>912</v>
      </c>
    </row>
    <row r="315" spans="1:1" x14ac:dyDescent="0.3">
      <c r="A315" t="s">
        <v>913</v>
      </c>
    </row>
    <row r="316" spans="1:1" x14ac:dyDescent="0.3">
      <c r="A316" t="s">
        <v>914</v>
      </c>
    </row>
    <row r="317" spans="1:1" x14ac:dyDescent="0.3">
      <c r="A317" t="s">
        <v>915</v>
      </c>
    </row>
    <row r="318" spans="1:1" x14ac:dyDescent="0.3">
      <c r="A318" t="s">
        <v>916</v>
      </c>
    </row>
    <row r="319" spans="1:1" x14ac:dyDescent="0.3">
      <c r="A319" t="s">
        <v>917</v>
      </c>
    </row>
    <row r="320" spans="1:1" x14ac:dyDescent="0.3">
      <c r="A320" t="s">
        <v>918</v>
      </c>
    </row>
    <row r="321" spans="1:1" x14ac:dyDescent="0.3">
      <c r="A321" t="s">
        <v>919</v>
      </c>
    </row>
    <row r="322" spans="1:1" x14ac:dyDescent="0.3">
      <c r="A322" t="s">
        <v>920</v>
      </c>
    </row>
    <row r="323" spans="1:1" x14ac:dyDescent="0.3">
      <c r="A323" t="s">
        <v>315</v>
      </c>
    </row>
    <row r="324" spans="1:1" x14ac:dyDescent="0.3">
      <c r="A324" t="s">
        <v>921</v>
      </c>
    </row>
    <row r="325" spans="1:1" x14ac:dyDescent="0.3">
      <c r="A325" t="s">
        <v>922</v>
      </c>
    </row>
    <row r="326" spans="1:1" x14ac:dyDescent="0.3">
      <c r="A326" t="s">
        <v>923</v>
      </c>
    </row>
    <row r="327" spans="1:1" x14ac:dyDescent="0.3">
      <c r="A327" t="s">
        <v>924</v>
      </c>
    </row>
    <row r="328" spans="1:1" x14ac:dyDescent="0.3">
      <c r="A328" t="s">
        <v>925</v>
      </c>
    </row>
    <row r="329" spans="1:1" x14ac:dyDescent="0.3">
      <c r="A329" t="s">
        <v>926</v>
      </c>
    </row>
    <row r="330" spans="1:1" x14ac:dyDescent="0.3">
      <c r="A330" t="s">
        <v>927</v>
      </c>
    </row>
    <row r="331" spans="1:1" x14ac:dyDescent="0.3">
      <c r="A331" t="s">
        <v>928</v>
      </c>
    </row>
    <row r="332" spans="1:1" x14ac:dyDescent="0.3">
      <c r="A332" t="s">
        <v>929</v>
      </c>
    </row>
    <row r="333" spans="1:1" x14ac:dyDescent="0.3">
      <c r="A333" t="s">
        <v>930</v>
      </c>
    </row>
    <row r="334" spans="1:1" x14ac:dyDescent="0.3">
      <c r="A334" t="s">
        <v>932</v>
      </c>
    </row>
    <row r="335" spans="1:1" x14ac:dyDescent="0.3">
      <c r="A335" t="s">
        <v>933</v>
      </c>
    </row>
    <row r="336" spans="1:1" x14ac:dyDescent="0.3">
      <c r="A336" t="s">
        <v>934</v>
      </c>
    </row>
    <row r="337" spans="1:1" x14ac:dyDescent="0.3">
      <c r="A337" t="s">
        <v>935</v>
      </c>
    </row>
    <row r="338" spans="1:1" x14ac:dyDescent="0.3">
      <c r="A338" t="s">
        <v>862</v>
      </c>
    </row>
    <row r="339" spans="1:1" x14ac:dyDescent="0.3">
      <c r="A339" t="s">
        <v>936</v>
      </c>
    </row>
    <row r="340" spans="1:1" x14ac:dyDescent="0.3">
      <c r="A340" t="s">
        <v>937</v>
      </c>
    </row>
    <row r="341" spans="1:1" x14ac:dyDescent="0.3">
      <c r="A341" t="s">
        <v>938</v>
      </c>
    </row>
    <row r="342" spans="1:1" x14ac:dyDescent="0.3">
      <c r="A342" t="s">
        <v>939</v>
      </c>
    </row>
    <row r="343" spans="1:1" x14ac:dyDescent="0.3">
      <c r="A343" t="s">
        <v>940</v>
      </c>
    </row>
    <row r="344" spans="1:1" x14ac:dyDescent="0.3">
      <c r="A344" t="s">
        <v>941</v>
      </c>
    </row>
    <row r="345" spans="1:1" x14ac:dyDescent="0.3">
      <c r="A345" t="s">
        <v>942</v>
      </c>
    </row>
    <row r="346" spans="1:1" x14ac:dyDescent="0.3">
      <c r="A346" t="s">
        <v>943</v>
      </c>
    </row>
    <row r="347" spans="1:1" x14ac:dyDescent="0.3">
      <c r="A347" t="s">
        <v>944</v>
      </c>
    </row>
    <row r="348" spans="1:1" x14ac:dyDescent="0.3">
      <c r="A348" t="s">
        <v>863</v>
      </c>
    </row>
    <row r="349" spans="1:1" x14ac:dyDescent="0.3">
      <c r="A349" t="s">
        <v>945</v>
      </c>
    </row>
    <row r="350" spans="1:1" x14ac:dyDescent="0.3">
      <c r="A350" t="s">
        <v>946</v>
      </c>
    </row>
    <row r="351" spans="1:1" x14ac:dyDescent="0.3">
      <c r="A351" t="s">
        <v>947</v>
      </c>
    </row>
    <row r="352" spans="1:1" x14ac:dyDescent="0.3">
      <c r="A352" t="s">
        <v>948</v>
      </c>
    </row>
    <row r="353" spans="1:1" x14ac:dyDescent="0.3">
      <c r="A353" t="s">
        <v>949</v>
      </c>
    </row>
    <row r="354" spans="1:1" x14ac:dyDescent="0.3">
      <c r="A354" t="s">
        <v>950</v>
      </c>
    </row>
    <row r="355" spans="1:1" x14ac:dyDescent="0.3">
      <c r="A355" t="s">
        <v>951</v>
      </c>
    </row>
    <row r="356" spans="1:1" x14ac:dyDescent="0.3">
      <c r="A356" t="s">
        <v>952</v>
      </c>
    </row>
    <row r="357" spans="1:1" x14ac:dyDescent="0.3">
      <c r="A357" t="s">
        <v>953</v>
      </c>
    </row>
    <row r="358" spans="1:1" x14ac:dyDescent="0.3">
      <c r="A358" t="s">
        <v>954</v>
      </c>
    </row>
    <row r="359" spans="1:1" x14ac:dyDescent="0.3">
      <c r="A359" t="s">
        <v>955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2533-E17D-492E-A8E8-FEDB566779C0}">
  <dimension ref="A1:C389"/>
  <sheetViews>
    <sheetView topLeftCell="B1" zoomScale="109" workbookViewId="0">
      <selection activeCell="J13" sqref="J13"/>
    </sheetView>
  </sheetViews>
  <sheetFormatPr defaultRowHeight="14.4" x14ac:dyDescent="0.3"/>
  <cols>
    <col min="1" max="1" width="31.6640625" bestFit="1" customWidth="1"/>
  </cols>
  <sheetData>
    <row r="1" spans="1:1" x14ac:dyDescent="0.3">
      <c r="A1" t="s">
        <v>1061</v>
      </c>
    </row>
    <row r="2" spans="1:1" ht="15" x14ac:dyDescent="0.35">
      <c r="A2" s="56" t="s">
        <v>966</v>
      </c>
    </row>
    <row r="3" spans="1:1" ht="15" x14ac:dyDescent="0.35">
      <c r="A3" s="56" t="s">
        <v>969</v>
      </c>
    </row>
    <row r="4" spans="1:1" ht="15" x14ac:dyDescent="0.35">
      <c r="A4" s="56" t="s">
        <v>971</v>
      </c>
    </row>
    <row r="5" spans="1:1" ht="15" x14ac:dyDescent="0.35">
      <c r="A5" s="56" t="s">
        <v>974</v>
      </c>
    </row>
    <row r="6" spans="1:1" ht="15" x14ac:dyDescent="0.35">
      <c r="A6" s="56" t="s">
        <v>977</v>
      </c>
    </row>
    <row r="7" spans="1:1" ht="15" x14ac:dyDescent="0.35">
      <c r="A7" s="56" t="s">
        <v>978</v>
      </c>
    </row>
    <row r="8" spans="1:1" ht="15" x14ac:dyDescent="0.35">
      <c r="A8" s="56" t="s">
        <v>979</v>
      </c>
    </row>
    <row r="9" spans="1:1" ht="15" x14ac:dyDescent="0.35">
      <c r="A9" s="56" t="s">
        <v>982</v>
      </c>
    </row>
    <row r="10" spans="1:1" ht="15" x14ac:dyDescent="0.35">
      <c r="A10" s="56" t="s">
        <v>983</v>
      </c>
    </row>
    <row r="11" spans="1:1" ht="15" x14ac:dyDescent="0.35">
      <c r="A11" s="56" t="s">
        <v>985</v>
      </c>
    </row>
    <row r="12" spans="1:1" ht="15" x14ac:dyDescent="0.35">
      <c r="A12" s="56" t="s">
        <v>987</v>
      </c>
    </row>
    <row r="13" spans="1:1" ht="15" x14ac:dyDescent="0.35">
      <c r="A13" s="56" t="s">
        <v>990</v>
      </c>
    </row>
    <row r="14" spans="1:1" ht="15" x14ac:dyDescent="0.35">
      <c r="A14" s="56" t="s">
        <v>995</v>
      </c>
    </row>
    <row r="15" spans="1:1" ht="15" x14ac:dyDescent="0.35">
      <c r="A15" s="56" t="s">
        <v>998</v>
      </c>
    </row>
    <row r="16" spans="1:1" ht="15" x14ac:dyDescent="0.35">
      <c r="A16" s="56" t="s">
        <v>1002</v>
      </c>
    </row>
    <row r="17" spans="1:1" ht="15" x14ac:dyDescent="0.35">
      <c r="A17" s="56" t="s">
        <v>1003</v>
      </c>
    </row>
    <row r="18" spans="1:1" ht="15" x14ac:dyDescent="0.35">
      <c r="A18" s="56" t="s">
        <v>1004</v>
      </c>
    </row>
    <row r="19" spans="1:1" ht="15" x14ac:dyDescent="0.35">
      <c r="A19" s="56" t="s">
        <v>1006</v>
      </c>
    </row>
    <row r="20" spans="1:1" ht="15" x14ac:dyDescent="0.35">
      <c r="A20" s="56" t="s">
        <v>1009</v>
      </c>
    </row>
    <row r="21" spans="1:1" ht="15" x14ac:dyDescent="0.35">
      <c r="A21" s="56" t="s">
        <v>1011</v>
      </c>
    </row>
    <row r="22" spans="1:1" ht="15" x14ac:dyDescent="0.35">
      <c r="A22" s="56" t="s">
        <v>1013</v>
      </c>
    </row>
    <row r="23" spans="1:1" ht="15" x14ac:dyDescent="0.35">
      <c r="A23" s="56" t="s">
        <v>1015</v>
      </c>
    </row>
    <row r="24" spans="1:1" ht="15" x14ac:dyDescent="0.35">
      <c r="A24" s="56" t="s">
        <v>1018</v>
      </c>
    </row>
    <row r="25" spans="1:1" ht="15" x14ac:dyDescent="0.35">
      <c r="A25" s="56" t="s">
        <v>1020</v>
      </c>
    </row>
    <row r="26" spans="1:1" ht="15" x14ac:dyDescent="0.35">
      <c r="A26" s="56" t="s">
        <v>1022</v>
      </c>
    </row>
    <row r="27" spans="1:1" ht="15" x14ac:dyDescent="0.35">
      <c r="A27" s="56" t="s">
        <v>1025</v>
      </c>
    </row>
    <row r="28" spans="1:1" ht="15" x14ac:dyDescent="0.35">
      <c r="A28" s="56" t="s">
        <v>1027</v>
      </c>
    </row>
    <row r="29" spans="1:1" ht="15" x14ac:dyDescent="0.35">
      <c r="A29" s="56" t="s">
        <v>1028</v>
      </c>
    </row>
    <row r="30" spans="1:1" ht="15" x14ac:dyDescent="0.35">
      <c r="A30" s="56" t="s">
        <v>1031</v>
      </c>
    </row>
    <row r="31" spans="1:1" ht="15" x14ac:dyDescent="0.35">
      <c r="A31" s="56" t="s">
        <v>1033</v>
      </c>
    </row>
    <row r="32" spans="1:1" ht="15" x14ac:dyDescent="0.35">
      <c r="A32" s="56" t="s">
        <v>1035</v>
      </c>
    </row>
    <row r="33" spans="1:1" ht="15" x14ac:dyDescent="0.35">
      <c r="A33" s="56" t="s">
        <v>1037</v>
      </c>
    </row>
    <row r="34" spans="1:1" ht="15" x14ac:dyDescent="0.35">
      <c r="A34" s="56" t="s">
        <v>482</v>
      </c>
    </row>
    <row r="35" spans="1:1" ht="15" x14ac:dyDescent="0.35">
      <c r="A35" s="56" t="s">
        <v>1040</v>
      </c>
    </row>
    <row r="36" spans="1:1" ht="15" x14ac:dyDescent="0.35">
      <c r="A36" s="56" t="s">
        <v>1042</v>
      </c>
    </row>
    <row r="37" spans="1:1" ht="15" x14ac:dyDescent="0.35">
      <c r="A37" s="56" t="s">
        <v>1044</v>
      </c>
    </row>
    <row r="38" spans="1:1" ht="15" x14ac:dyDescent="0.35">
      <c r="A38" s="56" t="s">
        <v>1046</v>
      </c>
    </row>
    <row r="39" spans="1:1" ht="15" x14ac:dyDescent="0.35">
      <c r="A39" s="56" t="s">
        <v>1049</v>
      </c>
    </row>
    <row r="40" spans="1:1" ht="15" x14ac:dyDescent="0.35">
      <c r="A40" s="56" t="s">
        <v>1052</v>
      </c>
    </row>
    <row r="41" spans="1:1" ht="15" x14ac:dyDescent="0.35">
      <c r="A41" s="56" t="s">
        <v>33</v>
      </c>
    </row>
    <row r="42" spans="1:1" ht="15" x14ac:dyDescent="0.35">
      <c r="A42" s="56" t="s">
        <v>1055</v>
      </c>
    </row>
    <row r="43" spans="1:1" ht="15" x14ac:dyDescent="0.35">
      <c r="A43" s="56" t="s">
        <v>1058</v>
      </c>
    </row>
    <row r="44" spans="1:1" ht="15" x14ac:dyDescent="0.35">
      <c r="A44" s="56" t="s">
        <v>420</v>
      </c>
    </row>
    <row r="45" spans="1:1" ht="15" x14ac:dyDescent="0.35">
      <c r="A45" s="56" t="s">
        <v>1059</v>
      </c>
    </row>
    <row r="46" spans="1:1" ht="15" x14ac:dyDescent="0.35">
      <c r="A46" s="56" t="s">
        <v>616</v>
      </c>
    </row>
    <row r="47" spans="1:1" ht="15" x14ac:dyDescent="0.35">
      <c r="A47" s="56" t="s">
        <v>617</v>
      </c>
    </row>
    <row r="48" spans="1:1" ht="15" x14ac:dyDescent="0.35">
      <c r="A48" s="56" t="s">
        <v>618</v>
      </c>
    </row>
    <row r="49" spans="1:1" ht="15" x14ac:dyDescent="0.35">
      <c r="A49" s="56" t="s">
        <v>619</v>
      </c>
    </row>
    <row r="50" spans="1:1" ht="15" x14ac:dyDescent="0.35">
      <c r="A50" s="56" t="s">
        <v>620</v>
      </c>
    </row>
    <row r="51" spans="1:1" ht="15" x14ac:dyDescent="0.35">
      <c r="A51" s="56" t="s">
        <v>621</v>
      </c>
    </row>
    <row r="52" spans="1:1" ht="15" x14ac:dyDescent="0.35">
      <c r="A52" s="56" t="s">
        <v>622</v>
      </c>
    </row>
    <row r="53" spans="1:1" ht="15" x14ac:dyDescent="0.35">
      <c r="A53" s="56" t="s">
        <v>623</v>
      </c>
    </row>
    <row r="54" spans="1:1" ht="15" x14ac:dyDescent="0.35">
      <c r="A54" s="56" t="s">
        <v>624</v>
      </c>
    </row>
    <row r="55" spans="1:1" ht="15" x14ac:dyDescent="0.35">
      <c r="A55" s="56" t="s">
        <v>625</v>
      </c>
    </row>
    <row r="56" spans="1:1" ht="15" x14ac:dyDescent="0.35">
      <c r="A56" s="56" t="s">
        <v>626</v>
      </c>
    </row>
    <row r="57" spans="1:1" ht="15" x14ac:dyDescent="0.35">
      <c r="A57" s="56" t="s">
        <v>627</v>
      </c>
    </row>
    <row r="58" spans="1:1" ht="15" x14ac:dyDescent="0.35">
      <c r="A58" s="56" t="s">
        <v>628</v>
      </c>
    </row>
    <row r="59" spans="1:1" ht="15" x14ac:dyDescent="0.35">
      <c r="A59" s="56" t="s">
        <v>629</v>
      </c>
    </row>
    <row r="60" spans="1:1" ht="15" x14ac:dyDescent="0.35">
      <c r="A60" s="56" t="s">
        <v>630</v>
      </c>
    </row>
    <row r="61" spans="1:1" ht="15" x14ac:dyDescent="0.35">
      <c r="A61" s="56" t="s">
        <v>631</v>
      </c>
    </row>
    <row r="62" spans="1:1" ht="15" x14ac:dyDescent="0.35">
      <c r="A62" s="56" t="s">
        <v>632</v>
      </c>
    </row>
    <row r="63" spans="1:1" ht="15" x14ac:dyDescent="0.35">
      <c r="A63" s="56" t="s">
        <v>633</v>
      </c>
    </row>
    <row r="64" spans="1:1" ht="15" x14ac:dyDescent="0.35">
      <c r="A64" s="56" t="s">
        <v>634</v>
      </c>
    </row>
    <row r="65" spans="1:1" ht="15" x14ac:dyDescent="0.35">
      <c r="A65" s="56" t="s">
        <v>635</v>
      </c>
    </row>
    <row r="66" spans="1:1" ht="15" x14ac:dyDescent="0.35">
      <c r="A66" s="56" t="s">
        <v>636</v>
      </c>
    </row>
    <row r="67" spans="1:1" ht="15" x14ac:dyDescent="0.35">
      <c r="A67" s="56" t="s">
        <v>637</v>
      </c>
    </row>
    <row r="68" spans="1:1" ht="15" x14ac:dyDescent="0.35">
      <c r="A68" s="56" t="s">
        <v>638</v>
      </c>
    </row>
    <row r="69" spans="1:1" ht="15" x14ac:dyDescent="0.35">
      <c r="A69" s="56" t="s">
        <v>639</v>
      </c>
    </row>
    <row r="70" spans="1:1" ht="15" x14ac:dyDescent="0.35">
      <c r="A70" s="56" t="s">
        <v>640</v>
      </c>
    </row>
    <row r="71" spans="1:1" ht="15" x14ac:dyDescent="0.35">
      <c r="A71" s="56" t="s">
        <v>641</v>
      </c>
    </row>
    <row r="72" spans="1:1" ht="15" x14ac:dyDescent="0.35">
      <c r="A72" s="56" t="s">
        <v>642</v>
      </c>
    </row>
    <row r="73" spans="1:1" ht="15" x14ac:dyDescent="0.35">
      <c r="A73" s="56" t="s">
        <v>643</v>
      </c>
    </row>
    <row r="74" spans="1:1" ht="15" x14ac:dyDescent="0.35">
      <c r="A74" s="56" t="s">
        <v>644</v>
      </c>
    </row>
    <row r="75" spans="1:1" ht="15" x14ac:dyDescent="0.35">
      <c r="A75" s="56" t="s">
        <v>645</v>
      </c>
    </row>
    <row r="76" spans="1:1" ht="15" x14ac:dyDescent="0.35">
      <c r="A76" s="56" t="s">
        <v>646</v>
      </c>
    </row>
    <row r="77" spans="1:1" ht="15" x14ac:dyDescent="0.35">
      <c r="A77" s="56" t="s">
        <v>647</v>
      </c>
    </row>
    <row r="78" spans="1:1" ht="15" x14ac:dyDescent="0.35">
      <c r="A78" s="56" t="s">
        <v>648</v>
      </c>
    </row>
    <row r="79" spans="1:1" ht="15" x14ac:dyDescent="0.35">
      <c r="A79" s="56" t="s">
        <v>649</v>
      </c>
    </row>
    <row r="80" spans="1:1" ht="15" x14ac:dyDescent="0.35">
      <c r="A80" s="56" t="s">
        <v>650</v>
      </c>
    </row>
    <row r="81" spans="1:1" ht="15" x14ac:dyDescent="0.35">
      <c r="A81" s="56" t="s">
        <v>651</v>
      </c>
    </row>
    <row r="82" spans="1:1" ht="15" x14ac:dyDescent="0.35">
      <c r="A82" s="56" t="s">
        <v>652</v>
      </c>
    </row>
    <row r="83" spans="1:1" ht="15" x14ac:dyDescent="0.35">
      <c r="A83" s="56" t="s">
        <v>653</v>
      </c>
    </row>
    <row r="84" spans="1:1" ht="15" x14ac:dyDescent="0.35">
      <c r="A84" s="56" t="s">
        <v>45</v>
      </c>
    </row>
    <row r="85" spans="1:1" ht="15" x14ac:dyDescent="0.35">
      <c r="A85" s="56" t="s">
        <v>654</v>
      </c>
    </row>
    <row r="86" spans="1:1" ht="15" x14ac:dyDescent="0.35">
      <c r="A86" s="56" t="s">
        <v>655</v>
      </c>
    </row>
    <row r="87" spans="1:1" ht="15" x14ac:dyDescent="0.35">
      <c r="A87" s="56" t="s">
        <v>656</v>
      </c>
    </row>
    <row r="88" spans="1:1" ht="15" x14ac:dyDescent="0.35">
      <c r="A88" s="56" t="s">
        <v>657</v>
      </c>
    </row>
    <row r="89" spans="1:1" ht="15" x14ac:dyDescent="0.35">
      <c r="A89" s="56" t="s">
        <v>658</v>
      </c>
    </row>
    <row r="90" spans="1:1" ht="15" x14ac:dyDescent="0.35">
      <c r="A90" s="56" t="s">
        <v>659</v>
      </c>
    </row>
    <row r="91" spans="1:1" ht="15" x14ac:dyDescent="0.35">
      <c r="A91" s="56" t="s">
        <v>660</v>
      </c>
    </row>
    <row r="92" spans="1:1" ht="15" x14ac:dyDescent="0.35">
      <c r="A92" s="56" t="s">
        <v>661</v>
      </c>
    </row>
    <row r="93" spans="1:1" ht="15" x14ac:dyDescent="0.35">
      <c r="A93" s="56" t="s">
        <v>662</v>
      </c>
    </row>
    <row r="94" spans="1:1" ht="15" x14ac:dyDescent="0.35">
      <c r="A94" s="56" t="s">
        <v>663</v>
      </c>
    </row>
    <row r="95" spans="1:1" ht="15" x14ac:dyDescent="0.35">
      <c r="A95" s="56" t="s">
        <v>664</v>
      </c>
    </row>
    <row r="96" spans="1:1" ht="15" x14ac:dyDescent="0.35">
      <c r="A96" s="56" t="s">
        <v>665</v>
      </c>
    </row>
    <row r="97" spans="1:1" ht="15" x14ac:dyDescent="0.35">
      <c r="A97" s="56" t="s">
        <v>666</v>
      </c>
    </row>
    <row r="98" spans="1:1" ht="15" x14ac:dyDescent="0.35">
      <c r="A98" s="56" t="s">
        <v>667</v>
      </c>
    </row>
    <row r="99" spans="1:1" ht="15" x14ac:dyDescent="0.35">
      <c r="A99" s="56" t="s">
        <v>668</v>
      </c>
    </row>
    <row r="100" spans="1:1" ht="15" x14ac:dyDescent="0.35">
      <c r="A100" s="56" t="s">
        <v>669</v>
      </c>
    </row>
    <row r="101" spans="1:1" ht="15" x14ac:dyDescent="0.35">
      <c r="A101" s="56" t="s">
        <v>670</v>
      </c>
    </row>
    <row r="102" spans="1:1" ht="15" x14ac:dyDescent="0.35">
      <c r="A102" s="56" t="s">
        <v>671</v>
      </c>
    </row>
    <row r="103" spans="1:1" ht="15" x14ac:dyDescent="0.35">
      <c r="A103" s="56" t="s">
        <v>672</v>
      </c>
    </row>
    <row r="104" spans="1:1" ht="15" x14ac:dyDescent="0.35">
      <c r="A104" s="56" t="s">
        <v>673</v>
      </c>
    </row>
    <row r="105" spans="1:1" ht="15" x14ac:dyDescent="0.35">
      <c r="A105" s="56" t="s">
        <v>674</v>
      </c>
    </row>
    <row r="106" spans="1:1" ht="15" x14ac:dyDescent="0.35">
      <c r="A106" s="56" t="s">
        <v>675</v>
      </c>
    </row>
    <row r="107" spans="1:1" ht="15" x14ac:dyDescent="0.35">
      <c r="A107" s="56" t="s">
        <v>676</v>
      </c>
    </row>
    <row r="108" spans="1:1" ht="15" x14ac:dyDescent="0.35">
      <c r="A108" s="56" t="s">
        <v>677</v>
      </c>
    </row>
    <row r="109" spans="1:1" ht="15" x14ac:dyDescent="0.35">
      <c r="A109" s="56" t="s">
        <v>678</v>
      </c>
    </row>
    <row r="110" spans="1:1" ht="15" x14ac:dyDescent="0.35">
      <c r="A110" s="56" t="s">
        <v>679</v>
      </c>
    </row>
    <row r="111" spans="1:1" ht="15" x14ac:dyDescent="0.35">
      <c r="A111" s="56" t="s">
        <v>680</v>
      </c>
    </row>
    <row r="112" spans="1:1" ht="15" x14ac:dyDescent="0.35">
      <c r="A112" s="56" t="s">
        <v>681</v>
      </c>
    </row>
    <row r="113" spans="1:1" ht="15" x14ac:dyDescent="0.35">
      <c r="A113" s="56" t="s">
        <v>682</v>
      </c>
    </row>
    <row r="114" spans="1:1" ht="15" x14ac:dyDescent="0.35">
      <c r="A114" s="56" t="s">
        <v>683</v>
      </c>
    </row>
    <row r="115" spans="1:1" ht="15" x14ac:dyDescent="0.35">
      <c r="A115" s="56" t="s">
        <v>684</v>
      </c>
    </row>
    <row r="116" spans="1:1" ht="15" x14ac:dyDescent="0.35">
      <c r="A116" s="56" t="s">
        <v>685</v>
      </c>
    </row>
    <row r="117" spans="1:1" ht="15" x14ac:dyDescent="0.35">
      <c r="A117" s="56" t="s">
        <v>686</v>
      </c>
    </row>
    <row r="118" spans="1:1" ht="15" x14ac:dyDescent="0.35">
      <c r="A118" s="56" t="s">
        <v>687</v>
      </c>
    </row>
    <row r="119" spans="1:1" ht="15" x14ac:dyDescent="0.35">
      <c r="A119" s="56" t="s">
        <v>688</v>
      </c>
    </row>
    <row r="120" spans="1:1" ht="15" x14ac:dyDescent="0.35">
      <c r="A120" s="56" t="s">
        <v>689</v>
      </c>
    </row>
    <row r="121" spans="1:1" ht="15" x14ac:dyDescent="0.35">
      <c r="A121" s="56" t="s">
        <v>690</v>
      </c>
    </row>
    <row r="122" spans="1:1" ht="15" x14ac:dyDescent="0.35">
      <c r="A122" s="56" t="s">
        <v>691</v>
      </c>
    </row>
    <row r="123" spans="1:1" ht="15" x14ac:dyDescent="0.35">
      <c r="A123" s="56" t="s">
        <v>692</v>
      </c>
    </row>
    <row r="124" spans="1:1" ht="15" x14ac:dyDescent="0.35">
      <c r="A124" s="56" t="s">
        <v>693</v>
      </c>
    </row>
    <row r="125" spans="1:1" ht="15" x14ac:dyDescent="0.35">
      <c r="A125" s="56" t="s">
        <v>694</v>
      </c>
    </row>
    <row r="126" spans="1:1" ht="15" x14ac:dyDescent="0.35">
      <c r="A126" s="56" t="s">
        <v>695</v>
      </c>
    </row>
    <row r="127" spans="1:1" ht="15" x14ac:dyDescent="0.35">
      <c r="A127" s="56" t="s">
        <v>696</v>
      </c>
    </row>
    <row r="128" spans="1:1" ht="15" x14ac:dyDescent="0.35">
      <c r="A128" s="56" t="s">
        <v>697</v>
      </c>
    </row>
    <row r="129" spans="1:1" ht="15" x14ac:dyDescent="0.35">
      <c r="A129" s="56" t="s">
        <v>698</v>
      </c>
    </row>
    <row r="130" spans="1:1" ht="15" x14ac:dyDescent="0.35">
      <c r="A130" s="56" t="s">
        <v>29</v>
      </c>
    </row>
    <row r="131" spans="1:1" ht="15" x14ac:dyDescent="0.35">
      <c r="A131" s="56" t="s">
        <v>699</v>
      </c>
    </row>
    <row r="132" spans="1:1" ht="15" x14ac:dyDescent="0.35">
      <c r="A132" s="56" t="s">
        <v>700</v>
      </c>
    </row>
    <row r="133" spans="1:1" ht="15" x14ac:dyDescent="0.35">
      <c r="A133" s="56" t="s">
        <v>702</v>
      </c>
    </row>
    <row r="134" spans="1:1" ht="15" x14ac:dyDescent="0.35">
      <c r="A134" s="56" t="s">
        <v>703</v>
      </c>
    </row>
    <row r="135" spans="1:1" ht="15" x14ac:dyDescent="0.35">
      <c r="A135" s="56" t="s">
        <v>704</v>
      </c>
    </row>
    <row r="136" spans="1:1" ht="15" x14ac:dyDescent="0.35">
      <c r="A136" s="56" t="s">
        <v>705</v>
      </c>
    </row>
    <row r="137" spans="1:1" ht="15" x14ac:dyDescent="0.35">
      <c r="A137" s="56" t="s">
        <v>507</v>
      </c>
    </row>
    <row r="138" spans="1:1" ht="15" x14ac:dyDescent="0.35">
      <c r="A138" s="56" t="s">
        <v>706</v>
      </c>
    </row>
    <row r="139" spans="1:1" ht="15" x14ac:dyDescent="0.35">
      <c r="A139" s="56" t="s">
        <v>707</v>
      </c>
    </row>
    <row r="140" spans="1:1" ht="15" x14ac:dyDescent="0.35">
      <c r="A140" s="56" t="s">
        <v>708</v>
      </c>
    </row>
    <row r="141" spans="1:1" ht="15" x14ac:dyDescent="0.35">
      <c r="A141" s="56" t="s">
        <v>709</v>
      </c>
    </row>
    <row r="142" spans="1:1" ht="15" x14ac:dyDescent="0.35">
      <c r="A142" s="56" t="s">
        <v>710</v>
      </c>
    </row>
    <row r="143" spans="1:1" ht="15" x14ac:dyDescent="0.35">
      <c r="A143" s="56" t="s">
        <v>711</v>
      </c>
    </row>
    <row r="144" spans="1:1" ht="15" x14ac:dyDescent="0.35">
      <c r="A144" s="56" t="s">
        <v>712</v>
      </c>
    </row>
    <row r="145" spans="1:1" ht="15" x14ac:dyDescent="0.35">
      <c r="A145" s="56" t="s">
        <v>713</v>
      </c>
    </row>
    <row r="146" spans="1:1" ht="15" x14ac:dyDescent="0.35">
      <c r="A146" s="56" t="s">
        <v>714</v>
      </c>
    </row>
    <row r="147" spans="1:1" ht="15" x14ac:dyDescent="0.35">
      <c r="A147" s="56" t="s">
        <v>715</v>
      </c>
    </row>
    <row r="148" spans="1:1" ht="15" x14ac:dyDescent="0.35">
      <c r="A148" s="56" t="s">
        <v>716</v>
      </c>
    </row>
    <row r="149" spans="1:1" ht="15" x14ac:dyDescent="0.35">
      <c r="A149" s="56" t="s">
        <v>717</v>
      </c>
    </row>
    <row r="150" spans="1:1" ht="15" x14ac:dyDescent="0.35">
      <c r="A150" s="56" t="s">
        <v>718</v>
      </c>
    </row>
    <row r="151" spans="1:1" ht="15" x14ac:dyDescent="0.35">
      <c r="A151" s="56" t="s">
        <v>719</v>
      </c>
    </row>
    <row r="152" spans="1:1" ht="15" x14ac:dyDescent="0.35">
      <c r="A152" s="56" t="s">
        <v>720</v>
      </c>
    </row>
    <row r="153" spans="1:1" ht="15" x14ac:dyDescent="0.35">
      <c r="A153" s="56" t="s">
        <v>721</v>
      </c>
    </row>
    <row r="154" spans="1:1" ht="15" x14ac:dyDescent="0.35">
      <c r="A154" s="56" t="s">
        <v>28</v>
      </c>
    </row>
    <row r="155" spans="1:1" ht="15" x14ac:dyDescent="0.35">
      <c r="A155" s="56" t="s">
        <v>722</v>
      </c>
    </row>
    <row r="156" spans="1:1" ht="15" x14ac:dyDescent="0.35">
      <c r="A156" s="56" t="s">
        <v>723</v>
      </c>
    </row>
    <row r="157" spans="1:1" ht="15" x14ac:dyDescent="0.35">
      <c r="A157" s="56" t="s">
        <v>724</v>
      </c>
    </row>
    <row r="158" spans="1:1" ht="15" x14ac:dyDescent="0.35">
      <c r="A158" s="56" t="s">
        <v>725</v>
      </c>
    </row>
    <row r="159" spans="1:1" ht="15" x14ac:dyDescent="0.35">
      <c r="A159" s="56" t="s">
        <v>726</v>
      </c>
    </row>
    <row r="160" spans="1:1" ht="15" x14ac:dyDescent="0.35">
      <c r="A160" s="56" t="s">
        <v>727</v>
      </c>
    </row>
    <row r="161" spans="1:1" ht="15" x14ac:dyDescent="0.35">
      <c r="A161" s="56" t="s">
        <v>728</v>
      </c>
    </row>
    <row r="162" spans="1:1" ht="15" x14ac:dyDescent="0.35">
      <c r="A162" s="56" t="s">
        <v>729</v>
      </c>
    </row>
    <row r="163" spans="1:1" ht="15" x14ac:dyDescent="0.35">
      <c r="A163" s="56" t="s">
        <v>730</v>
      </c>
    </row>
    <row r="164" spans="1:1" ht="15" x14ac:dyDescent="0.35">
      <c r="A164" s="56" t="s">
        <v>732</v>
      </c>
    </row>
    <row r="165" spans="1:1" ht="15" x14ac:dyDescent="0.35">
      <c r="A165" s="56" t="s">
        <v>733</v>
      </c>
    </row>
    <row r="166" spans="1:1" ht="15" x14ac:dyDescent="0.35">
      <c r="A166" s="56" t="s">
        <v>734</v>
      </c>
    </row>
    <row r="167" spans="1:1" ht="15" x14ac:dyDescent="0.35">
      <c r="A167" s="56" t="s">
        <v>735</v>
      </c>
    </row>
    <row r="168" spans="1:1" ht="15" x14ac:dyDescent="0.35">
      <c r="A168" s="56" t="s">
        <v>54</v>
      </c>
    </row>
    <row r="169" spans="1:1" ht="15" x14ac:dyDescent="0.35">
      <c r="A169" s="56" t="s">
        <v>736</v>
      </c>
    </row>
    <row r="170" spans="1:1" ht="15" x14ac:dyDescent="0.35">
      <c r="A170" s="56" t="s">
        <v>737</v>
      </c>
    </row>
    <row r="171" spans="1:1" ht="15" x14ac:dyDescent="0.35">
      <c r="A171" s="56" t="s">
        <v>738</v>
      </c>
    </row>
    <row r="172" spans="1:1" ht="15" x14ac:dyDescent="0.35">
      <c r="A172" s="56" t="s">
        <v>739</v>
      </c>
    </row>
    <row r="173" spans="1:1" ht="15" x14ac:dyDescent="0.35">
      <c r="A173" s="56" t="s">
        <v>740</v>
      </c>
    </row>
    <row r="174" spans="1:1" ht="15" x14ac:dyDescent="0.35">
      <c r="A174" s="56" t="s">
        <v>741</v>
      </c>
    </row>
    <row r="175" spans="1:1" ht="15" x14ac:dyDescent="0.35">
      <c r="A175" s="56" t="s">
        <v>742</v>
      </c>
    </row>
    <row r="176" spans="1:1" ht="15" x14ac:dyDescent="0.35">
      <c r="A176" s="56" t="s">
        <v>743</v>
      </c>
    </row>
    <row r="177" spans="1:1" ht="15" x14ac:dyDescent="0.35">
      <c r="A177" s="56" t="s">
        <v>744</v>
      </c>
    </row>
    <row r="178" spans="1:1" ht="15" x14ac:dyDescent="0.35">
      <c r="A178" s="56" t="s">
        <v>745</v>
      </c>
    </row>
    <row r="179" spans="1:1" ht="15" x14ac:dyDescent="0.35">
      <c r="A179" s="56" t="s">
        <v>746</v>
      </c>
    </row>
    <row r="180" spans="1:1" ht="15" x14ac:dyDescent="0.35">
      <c r="A180" s="56" t="s">
        <v>747</v>
      </c>
    </row>
    <row r="181" spans="1:1" ht="15" x14ac:dyDescent="0.35">
      <c r="A181" s="56" t="s">
        <v>748</v>
      </c>
    </row>
    <row r="182" spans="1:1" ht="15" x14ac:dyDescent="0.35">
      <c r="A182" s="56" t="s">
        <v>749</v>
      </c>
    </row>
    <row r="183" spans="1:1" ht="15" x14ac:dyDescent="0.35">
      <c r="A183" s="56" t="s">
        <v>750</v>
      </c>
    </row>
    <row r="184" spans="1:1" ht="15" x14ac:dyDescent="0.35">
      <c r="A184" s="56" t="s">
        <v>474</v>
      </c>
    </row>
    <row r="185" spans="1:1" ht="15" x14ac:dyDescent="0.35">
      <c r="A185" s="56" t="s">
        <v>751</v>
      </c>
    </row>
    <row r="186" spans="1:1" ht="15" x14ac:dyDescent="0.35">
      <c r="A186" s="56" t="s">
        <v>25</v>
      </c>
    </row>
    <row r="187" spans="1:1" ht="15" x14ac:dyDescent="0.35">
      <c r="A187" s="56" t="s">
        <v>752</v>
      </c>
    </row>
    <row r="188" spans="1:1" ht="15" x14ac:dyDescent="0.35">
      <c r="A188" s="56" t="s">
        <v>753</v>
      </c>
    </row>
    <row r="189" spans="1:1" ht="15" x14ac:dyDescent="0.35">
      <c r="A189" s="56" t="s">
        <v>754</v>
      </c>
    </row>
    <row r="190" spans="1:1" ht="15" x14ac:dyDescent="0.35">
      <c r="A190" s="56" t="s">
        <v>755</v>
      </c>
    </row>
    <row r="191" spans="1:1" ht="15" x14ac:dyDescent="0.35">
      <c r="A191" s="56" t="s">
        <v>756</v>
      </c>
    </row>
    <row r="192" spans="1:1" ht="15" x14ac:dyDescent="0.35">
      <c r="A192" s="56" t="s">
        <v>757</v>
      </c>
    </row>
    <row r="193" spans="1:1" ht="15" x14ac:dyDescent="0.35">
      <c r="A193" s="56" t="s">
        <v>758</v>
      </c>
    </row>
    <row r="194" spans="1:1" ht="15" x14ac:dyDescent="0.35">
      <c r="A194" s="56" t="s">
        <v>759</v>
      </c>
    </row>
    <row r="195" spans="1:1" ht="15" x14ac:dyDescent="0.35">
      <c r="A195" s="56" t="s">
        <v>760</v>
      </c>
    </row>
    <row r="196" spans="1:1" ht="15" x14ac:dyDescent="0.35">
      <c r="A196" s="56" t="s">
        <v>761</v>
      </c>
    </row>
    <row r="197" spans="1:1" ht="15" x14ac:dyDescent="0.35">
      <c r="A197" s="56" t="s">
        <v>762</v>
      </c>
    </row>
    <row r="198" spans="1:1" ht="15" x14ac:dyDescent="0.35">
      <c r="A198" s="56" t="s">
        <v>763</v>
      </c>
    </row>
    <row r="199" spans="1:1" ht="15" x14ac:dyDescent="0.35">
      <c r="A199" s="56" t="s">
        <v>764</v>
      </c>
    </row>
    <row r="200" spans="1:1" ht="15" x14ac:dyDescent="0.35">
      <c r="A200" s="56" t="s">
        <v>765</v>
      </c>
    </row>
    <row r="201" spans="1:1" ht="15" x14ac:dyDescent="0.35">
      <c r="A201" s="56" t="s">
        <v>766</v>
      </c>
    </row>
    <row r="202" spans="1:1" ht="15" x14ac:dyDescent="0.35">
      <c r="A202" s="56" t="s">
        <v>767</v>
      </c>
    </row>
    <row r="203" spans="1:1" ht="15" x14ac:dyDescent="0.35">
      <c r="A203" s="56" t="s">
        <v>768</v>
      </c>
    </row>
    <row r="204" spans="1:1" ht="15" x14ac:dyDescent="0.35">
      <c r="A204" s="56" t="s">
        <v>769</v>
      </c>
    </row>
    <row r="205" spans="1:1" ht="15" x14ac:dyDescent="0.35">
      <c r="A205" s="56" t="s">
        <v>770</v>
      </c>
    </row>
    <row r="206" spans="1:1" ht="15" x14ac:dyDescent="0.35">
      <c r="A206" s="56" t="s">
        <v>771</v>
      </c>
    </row>
    <row r="207" spans="1:1" ht="15" x14ac:dyDescent="0.35">
      <c r="A207" s="56" t="s">
        <v>118</v>
      </c>
    </row>
    <row r="208" spans="1:1" ht="15" x14ac:dyDescent="0.35">
      <c r="A208" s="56" t="s">
        <v>772</v>
      </c>
    </row>
    <row r="209" spans="1:1" ht="15" x14ac:dyDescent="0.35">
      <c r="A209" s="56" t="s">
        <v>614</v>
      </c>
    </row>
    <row r="210" spans="1:1" ht="15" x14ac:dyDescent="0.35">
      <c r="A210" s="56" t="s">
        <v>773</v>
      </c>
    </row>
    <row r="211" spans="1:1" ht="15" x14ac:dyDescent="0.35">
      <c r="A211" s="56" t="s">
        <v>774</v>
      </c>
    </row>
    <row r="212" spans="1:1" ht="15" x14ac:dyDescent="0.35">
      <c r="A212" s="56" t="s">
        <v>775</v>
      </c>
    </row>
    <row r="213" spans="1:1" ht="15" x14ac:dyDescent="0.35">
      <c r="A213" s="56" t="s">
        <v>475</v>
      </c>
    </row>
    <row r="214" spans="1:1" ht="15" x14ac:dyDescent="0.35">
      <c r="A214" s="56" t="s">
        <v>776</v>
      </c>
    </row>
    <row r="215" spans="1:1" ht="15" x14ac:dyDescent="0.35">
      <c r="A215" s="56" t="s">
        <v>49</v>
      </c>
    </row>
    <row r="216" spans="1:1" ht="15" x14ac:dyDescent="0.35">
      <c r="A216" s="56" t="s">
        <v>512</v>
      </c>
    </row>
    <row r="217" spans="1:1" ht="15" x14ac:dyDescent="0.35">
      <c r="A217" s="56" t="s">
        <v>777</v>
      </c>
    </row>
    <row r="218" spans="1:1" ht="15" x14ac:dyDescent="0.35">
      <c r="A218" s="56" t="s">
        <v>778</v>
      </c>
    </row>
    <row r="219" spans="1:1" ht="15" x14ac:dyDescent="0.35">
      <c r="A219" s="56" t="s">
        <v>779</v>
      </c>
    </row>
    <row r="220" spans="1:1" ht="15" x14ac:dyDescent="0.35">
      <c r="A220" s="56" t="s">
        <v>780</v>
      </c>
    </row>
    <row r="221" spans="1:1" ht="15" x14ac:dyDescent="0.35">
      <c r="A221" s="56" t="s">
        <v>781</v>
      </c>
    </row>
    <row r="222" spans="1:1" ht="15" x14ac:dyDescent="0.35">
      <c r="A222" s="56" t="s">
        <v>782</v>
      </c>
    </row>
    <row r="223" spans="1:1" ht="15" x14ac:dyDescent="0.35">
      <c r="A223" s="56" t="s">
        <v>783</v>
      </c>
    </row>
    <row r="224" spans="1:1" ht="15" x14ac:dyDescent="0.35">
      <c r="A224" s="56" t="s">
        <v>784</v>
      </c>
    </row>
    <row r="225" spans="1:1" ht="15" x14ac:dyDescent="0.35">
      <c r="A225" s="56" t="s">
        <v>785</v>
      </c>
    </row>
    <row r="226" spans="1:1" ht="15" x14ac:dyDescent="0.35">
      <c r="A226" s="56" t="s">
        <v>786</v>
      </c>
    </row>
    <row r="227" spans="1:1" ht="15" x14ac:dyDescent="0.35">
      <c r="A227" s="56" t="s">
        <v>787</v>
      </c>
    </row>
    <row r="228" spans="1:1" ht="15" x14ac:dyDescent="0.35">
      <c r="A228" s="56" t="s">
        <v>788</v>
      </c>
    </row>
    <row r="229" spans="1:1" ht="15" x14ac:dyDescent="0.35">
      <c r="A229" s="56" t="s">
        <v>789</v>
      </c>
    </row>
    <row r="230" spans="1:1" ht="15" x14ac:dyDescent="0.35">
      <c r="A230" s="56" t="s">
        <v>790</v>
      </c>
    </row>
    <row r="231" spans="1:1" ht="15" x14ac:dyDescent="0.35">
      <c r="A231" s="56" t="s">
        <v>791</v>
      </c>
    </row>
    <row r="232" spans="1:1" ht="15" x14ac:dyDescent="0.35">
      <c r="A232" s="56" t="s">
        <v>792</v>
      </c>
    </row>
    <row r="233" spans="1:1" ht="15" x14ac:dyDescent="0.35">
      <c r="A233" s="56" t="s">
        <v>341</v>
      </c>
    </row>
    <row r="234" spans="1:1" ht="15" x14ac:dyDescent="0.35">
      <c r="A234" s="56" t="s">
        <v>793</v>
      </c>
    </row>
    <row r="235" spans="1:1" ht="15" x14ac:dyDescent="0.35">
      <c r="A235" s="56" t="s">
        <v>794</v>
      </c>
    </row>
    <row r="236" spans="1:1" ht="15" x14ac:dyDescent="0.35">
      <c r="A236" s="56" t="s">
        <v>795</v>
      </c>
    </row>
    <row r="237" spans="1:1" ht="15" x14ac:dyDescent="0.35">
      <c r="A237" s="56" t="s">
        <v>796</v>
      </c>
    </row>
    <row r="238" spans="1:1" ht="15" x14ac:dyDescent="0.35">
      <c r="A238" s="56" t="s">
        <v>119</v>
      </c>
    </row>
    <row r="239" spans="1:1" ht="15" x14ac:dyDescent="0.35">
      <c r="A239" s="56" t="s">
        <v>344</v>
      </c>
    </row>
    <row r="240" spans="1:1" ht="15" x14ac:dyDescent="0.35">
      <c r="A240" s="56" t="s">
        <v>158</v>
      </c>
    </row>
    <row r="241" spans="1:1" ht="15" x14ac:dyDescent="0.35">
      <c r="A241" s="56" t="s">
        <v>23</v>
      </c>
    </row>
    <row r="242" spans="1:1" ht="15" x14ac:dyDescent="0.35">
      <c r="A242" s="56" t="s">
        <v>797</v>
      </c>
    </row>
    <row r="243" spans="1:1" ht="15" x14ac:dyDescent="0.35">
      <c r="A243" s="56" t="s">
        <v>798</v>
      </c>
    </row>
    <row r="244" spans="1:1" ht="15" x14ac:dyDescent="0.35">
      <c r="A244" s="56" t="s">
        <v>799</v>
      </c>
    </row>
    <row r="245" spans="1:1" ht="15" x14ac:dyDescent="0.35">
      <c r="A245" s="56" t="s">
        <v>800</v>
      </c>
    </row>
    <row r="246" spans="1:1" ht="15" x14ac:dyDescent="0.35">
      <c r="A246" s="56" t="s">
        <v>801</v>
      </c>
    </row>
    <row r="247" spans="1:1" ht="15" x14ac:dyDescent="0.35">
      <c r="A247" s="56" t="s">
        <v>802</v>
      </c>
    </row>
    <row r="248" spans="1:1" ht="15" x14ac:dyDescent="0.35">
      <c r="A248" s="56" t="s">
        <v>803</v>
      </c>
    </row>
    <row r="249" spans="1:1" ht="15" x14ac:dyDescent="0.35">
      <c r="A249" s="56" t="s">
        <v>804</v>
      </c>
    </row>
    <row r="250" spans="1:1" ht="15" x14ac:dyDescent="0.35">
      <c r="A250" s="56" t="s">
        <v>46</v>
      </c>
    </row>
    <row r="251" spans="1:1" ht="15" x14ac:dyDescent="0.35">
      <c r="A251" s="56" t="s">
        <v>805</v>
      </c>
    </row>
    <row r="252" spans="1:1" ht="15" x14ac:dyDescent="0.35">
      <c r="A252" s="56" t="s">
        <v>806</v>
      </c>
    </row>
    <row r="253" spans="1:1" ht="15" x14ac:dyDescent="0.35">
      <c r="A253" s="56" t="s">
        <v>807</v>
      </c>
    </row>
    <row r="254" spans="1:1" ht="15" x14ac:dyDescent="0.35">
      <c r="A254" s="56" t="s">
        <v>808</v>
      </c>
    </row>
    <row r="255" spans="1:1" ht="15" x14ac:dyDescent="0.35">
      <c r="A255" s="56" t="s">
        <v>809</v>
      </c>
    </row>
    <row r="256" spans="1:1" ht="15" x14ac:dyDescent="0.35">
      <c r="A256" s="56" t="s">
        <v>810</v>
      </c>
    </row>
    <row r="257" spans="1:1" ht="15" x14ac:dyDescent="0.35">
      <c r="A257" s="56" t="s">
        <v>811</v>
      </c>
    </row>
    <row r="258" spans="1:1" ht="15" x14ac:dyDescent="0.35">
      <c r="A258" s="56" t="s">
        <v>123</v>
      </c>
    </row>
    <row r="259" spans="1:1" ht="15" x14ac:dyDescent="0.35">
      <c r="A259" s="56" t="s">
        <v>812</v>
      </c>
    </row>
    <row r="260" spans="1:1" ht="15" x14ac:dyDescent="0.35">
      <c r="A260" s="56" t="s">
        <v>813</v>
      </c>
    </row>
    <row r="261" spans="1:1" ht="15" x14ac:dyDescent="0.35">
      <c r="A261" s="56" t="s">
        <v>814</v>
      </c>
    </row>
    <row r="262" spans="1:1" ht="15" x14ac:dyDescent="0.35">
      <c r="A262" s="56" t="s">
        <v>815</v>
      </c>
    </row>
    <row r="263" spans="1:1" ht="15" x14ac:dyDescent="0.35">
      <c r="A263" s="56" t="s">
        <v>816</v>
      </c>
    </row>
    <row r="264" spans="1:1" ht="15" x14ac:dyDescent="0.35">
      <c r="A264" s="56" t="s">
        <v>817</v>
      </c>
    </row>
    <row r="265" spans="1:1" ht="15" x14ac:dyDescent="0.35">
      <c r="A265" s="56" t="s">
        <v>818</v>
      </c>
    </row>
    <row r="266" spans="1:1" ht="15" x14ac:dyDescent="0.35">
      <c r="A266" s="56" t="s">
        <v>819</v>
      </c>
    </row>
    <row r="267" spans="1:1" ht="15" x14ac:dyDescent="0.35">
      <c r="A267" s="56" t="s">
        <v>615</v>
      </c>
    </row>
    <row r="268" spans="1:1" ht="15" x14ac:dyDescent="0.35">
      <c r="A268" s="56" t="s">
        <v>820</v>
      </c>
    </row>
    <row r="269" spans="1:1" ht="15" x14ac:dyDescent="0.35">
      <c r="A269" s="56" t="s">
        <v>821</v>
      </c>
    </row>
    <row r="270" spans="1:1" ht="15" x14ac:dyDescent="0.35">
      <c r="A270" s="56" t="s">
        <v>822</v>
      </c>
    </row>
    <row r="271" spans="1:1" ht="15" x14ac:dyDescent="0.35">
      <c r="A271" s="56" t="s">
        <v>823</v>
      </c>
    </row>
    <row r="272" spans="1:1" ht="15" x14ac:dyDescent="0.35">
      <c r="A272" s="56" t="s">
        <v>824</v>
      </c>
    </row>
    <row r="273" spans="1:1" ht="15" x14ac:dyDescent="0.35">
      <c r="A273" s="56" t="s">
        <v>825</v>
      </c>
    </row>
    <row r="274" spans="1:1" ht="15" x14ac:dyDescent="0.35">
      <c r="A274" s="56" t="s">
        <v>826</v>
      </c>
    </row>
    <row r="275" spans="1:1" ht="15" x14ac:dyDescent="0.35">
      <c r="A275" s="56" t="s">
        <v>827</v>
      </c>
    </row>
    <row r="276" spans="1:1" ht="15" x14ac:dyDescent="0.35">
      <c r="A276" s="56" t="s">
        <v>828</v>
      </c>
    </row>
    <row r="277" spans="1:1" ht="15" x14ac:dyDescent="0.35">
      <c r="A277" s="56" t="s">
        <v>829</v>
      </c>
    </row>
    <row r="278" spans="1:1" ht="15" x14ac:dyDescent="0.35">
      <c r="A278" s="56" t="s">
        <v>830</v>
      </c>
    </row>
    <row r="279" spans="1:1" ht="15" x14ac:dyDescent="0.35">
      <c r="A279" s="56" t="s">
        <v>831</v>
      </c>
    </row>
    <row r="280" spans="1:1" ht="15" x14ac:dyDescent="0.35">
      <c r="A280" s="56" t="s">
        <v>832</v>
      </c>
    </row>
    <row r="281" spans="1:1" ht="15" x14ac:dyDescent="0.35">
      <c r="A281" s="56" t="s">
        <v>833</v>
      </c>
    </row>
    <row r="282" spans="1:1" ht="15" x14ac:dyDescent="0.35">
      <c r="A282" s="56" t="s">
        <v>834</v>
      </c>
    </row>
    <row r="283" spans="1:1" ht="15" x14ac:dyDescent="0.35">
      <c r="A283" s="56" t="s">
        <v>835</v>
      </c>
    </row>
    <row r="284" spans="1:1" ht="15" x14ac:dyDescent="0.35">
      <c r="A284" s="56" t="s">
        <v>836</v>
      </c>
    </row>
    <row r="285" spans="1:1" ht="15" x14ac:dyDescent="0.35">
      <c r="A285" s="56" t="s">
        <v>837</v>
      </c>
    </row>
    <row r="286" spans="1:1" ht="15" x14ac:dyDescent="0.35">
      <c r="A286" s="56" t="s">
        <v>838</v>
      </c>
    </row>
    <row r="287" spans="1:1" ht="15" x14ac:dyDescent="0.35">
      <c r="A287" s="56" t="s">
        <v>839</v>
      </c>
    </row>
    <row r="288" spans="1:1" ht="15" x14ac:dyDescent="0.35">
      <c r="A288" s="56" t="s">
        <v>840</v>
      </c>
    </row>
    <row r="289" spans="1:1" ht="15" x14ac:dyDescent="0.35">
      <c r="A289" s="56" t="s">
        <v>841</v>
      </c>
    </row>
    <row r="290" spans="1:1" ht="15" x14ac:dyDescent="0.35">
      <c r="A290" s="56" t="s">
        <v>842</v>
      </c>
    </row>
    <row r="291" spans="1:1" ht="15" x14ac:dyDescent="0.35">
      <c r="A291" s="56" t="s">
        <v>843</v>
      </c>
    </row>
    <row r="292" spans="1:1" ht="15" x14ac:dyDescent="0.35">
      <c r="A292" s="56" t="s">
        <v>844</v>
      </c>
    </row>
    <row r="293" spans="1:1" ht="15" x14ac:dyDescent="0.35">
      <c r="A293" s="56" t="s">
        <v>845</v>
      </c>
    </row>
    <row r="294" spans="1:1" ht="15" x14ac:dyDescent="0.35">
      <c r="A294" s="56" t="s">
        <v>539</v>
      </c>
    </row>
    <row r="295" spans="1:1" ht="15" x14ac:dyDescent="0.35">
      <c r="A295" s="56" t="s">
        <v>541</v>
      </c>
    </row>
    <row r="296" spans="1:1" ht="15" x14ac:dyDescent="0.35">
      <c r="A296" s="56" t="s">
        <v>544</v>
      </c>
    </row>
    <row r="297" spans="1:1" ht="15" x14ac:dyDescent="0.35">
      <c r="A297" s="56" t="s">
        <v>547</v>
      </c>
    </row>
    <row r="298" spans="1:1" ht="15" x14ac:dyDescent="0.35">
      <c r="A298" s="56" t="s">
        <v>548</v>
      </c>
    </row>
    <row r="299" spans="1:1" x14ac:dyDescent="0.3">
      <c r="A299" t="s">
        <v>597</v>
      </c>
    </row>
    <row r="300" spans="1:1" x14ac:dyDescent="0.3">
      <c r="A300" t="s">
        <v>866</v>
      </c>
    </row>
    <row r="301" spans="1:1" x14ac:dyDescent="0.3">
      <c r="A301" t="s">
        <v>867</v>
      </c>
    </row>
    <row r="302" spans="1:1" x14ac:dyDescent="0.3">
      <c r="A302" t="s">
        <v>868</v>
      </c>
    </row>
    <row r="303" spans="1:1" x14ac:dyDescent="0.3">
      <c r="A303" t="s">
        <v>869</v>
      </c>
    </row>
    <row r="304" spans="1:1" x14ac:dyDescent="0.3">
      <c r="A304" t="s">
        <v>847</v>
      </c>
    </row>
    <row r="305" spans="1:1" x14ac:dyDescent="0.3">
      <c r="A305" t="s">
        <v>870</v>
      </c>
    </row>
    <row r="306" spans="1:1" x14ac:dyDescent="0.3">
      <c r="A306" t="s">
        <v>848</v>
      </c>
    </row>
    <row r="307" spans="1:1" x14ac:dyDescent="0.3">
      <c r="A307" t="s">
        <v>871</v>
      </c>
    </row>
    <row r="308" spans="1:1" x14ac:dyDescent="0.3">
      <c r="A308" t="s">
        <v>872</v>
      </c>
    </row>
    <row r="309" spans="1:1" x14ac:dyDescent="0.3">
      <c r="A309" t="s">
        <v>873</v>
      </c>
    </row>
    <row r="310" spans="1:1" x14ac:dyDescent="0.3">
      <c r="A310" t="s">
        <v>874</v>
      </c>
    </row>
    <row r="311" spans="1:1" x14ac:dyDescent="0.3">
      <c r="A311" t="s">
        <v>874</v>
      </c>
    </row>
    <row r="312" spans="1:1" x14ac:dyDescent="0.3">
      <c r="A312" t="s">
        <v>849</v>
      </c>
    </row>
    <row r="313" spans="1:1" x14ac:dyDescent="0.3">
      <c r="A313" t="s">
        <v>876</v>
      </c>
    </row>
    <row r="314" spans="1:1" x14ac:dyDescent="0.3">
      <c r="A314" t="s">
        <v>877</v>
      </c>
    </row>
    <row r="315" spans="1:1" x14ac:dyDescent="0.3">
      <c r="A315" t="s">
        <v>878</v>
      </c>
    </row>
    <row r="316" spans="1:1" x14ac:dyDescent="0.3">
      <c r="A316" t="s">
        <v>880</v>
      </c>
    </row>
    <row r="317" spans="1:1" x14ac:dyDescent="0.3">
      <c r="A317" t="s">
        <v>881</v>
      </c>
    </row>
    <row r="318" spans="1:1" x14ac:dyDescent="0.3">
      <c r="A318" t="s">
        <v>882</v>
      </c>
    </row>
    <row r="319" spans="1:1" x14ac:dyDescent="0.3">
      <c r="A319" t="s">
        <v>883</v>
      </c>
    </row>
    <row r="320" spans="1:1" x14ac:dyDescent="0.3">
      <c r="A320" t="s">
        <v>884</v>
      </c>
    </row>
    <row r="321" spans="1:1" x14ac:dyDescent="0.3">
      <c r="A321" t="s">
        <v>885</v>
      </c>
    </row>
    <row r="322" spans="1:1" x14ac:dyDescent="0.3">
      <c r="A322" t="s">
        <v>886</v>
      </c>
    </row>
    <row r="323" spans="1:1" x14ac:dyDescent="0.3">
      <c r="A323" t="s">
        <v>887</v>
      </c>
    </row>
    <row r="324" spans="1:1" x14ac:dyDescent="0.3">
      <c r="A324" t="s">
        <v>888</v>
      </c>
    </row>
    <row r="325" spans="1:1" x14ac:dyDescent="0.3">
      <c r="A325" t="s">
        <v>889</v>
      </c>
    </row>
    <row r="326" spans="1:1" x14ac:dyDescent="0.3">
      <c r="A326" t="s">
        <v>890</v>
      </c>
    </row>
    <row r="327" spans="1:1" x14ac:dyDescent="0.3">
      <c r="A327" t="s">
        <v>891</v>
      </c>
    </row>
    <row r="328" spans="1:1" x14ac:dyDescent="0.3">
      <c r="A328" t="s">
        <v>892</v>
      </c>
    </row>
    <row r="329" spans="1:1" x14ac:dyDescent="0.3">
      <c r="A329" t="s">
        <v>852</v>
      </c>
    </row>
    <row r="330" spans="1:1" x14ac:dyDescent="0.3">
      <c r="A330" t="s">
        <v>893</v>
      </c>
    </row>
    <row r="331" spans="1:1" x14ac:dyDescent="0.3">
      <c r="A331" t="s">
        <v>853</v>
      </c>
    </row>
    <row r="332" spans="1:1" x14ac:dyDescent="0.3">
      <c r="A332" t="s">
        <v>895</v>
      </c>
    </row>
    <row r="333" spans="1:1" x14ac:dyDescent="0.3">
      <c r="A333" t="s">
        <v>855</v>
      </c>
    </row>
    <row r="334" spans="1:1" x14ac:dyDescent="0.3">
      <c r="A334" t="s">
        <v>896</v>
      </c>
    </row>
    <row r="335" spans="1:1" x14ac:dyDescent="0.3">
      <c r="A335" t="s">
        <v>897</v>
      </c>
    </row>
    <row r="336" spans="1:1" x14ac:dyDescent="0.3">
      <c r="A336" t="s">
        <v>899</v>
      </c>
    </row>
    <row r="337" spans="1:1" x14ac:dyDescent="0.3">
      <c r="A337" t="s">
        <v>900</v>
      </c>
    </row>
    <row r="338" spans="1:1" x14ac:dyDescent="0.3">
      <c r="A338" t="s">
        <v>901</v>
      </c>
    </row>
    <row r="339" spans="1:1" x14ac:dyDescent="0.3">
      <c r="A339" t="s">
        <v>902</v>
      </c>
    </row>
    <row r="340" spans="1:1" x14ac:dyDescent="0.3">
      <c r="A340" t="s">
        <v>903</v>
      </c>
    </row>
    <row r="341" spans="1:1" x14ac:dyDescent="0.3">
      <c r="A341" t="s">
        <v>904</v>
      </c>
    </row>
    <row r="342" spans="1:1" x14ac:dyDescent="0.3">
      <c r="A342" t="s">
        <v>905</v>
      </c>
    </row>
    <row r="343" spans="1:1" x14ac:dyDescent="0.3">
      <c r="A343" t="s">
        <v>906</v>
      </c>
    </row>
    <row r="344" spans="1:1" x14ac:dyDescent="0.3">
      <c r="A344" t="s">
        <v>907</v>
      </c>
    </row>
    <row r="345" spans="1:1" x14ac:dyDescent="0.3">
      <c r="A345" t="s">
        <v>908</v>
      </c>
    </row>
    <row r="346" spans="1:1" x14ac:dyDescent="0.3">
      <c r="A346" t="s">
        <v>909</v>
      </c>
    </row>
    <row r="347" spans="1:1" x14ac:dyDescent="0.3">
      <c r="A347" t="s">
        <v>910</v>
      </c>
    </row>
    <row r="348" spans="1:1" x14ac:dyDescent="0.3">
      <c r="A348" t="s">
        <v>911</v>
      </c>
    </row>
    <row r="349" spans="1:1" x14ac:dyDescent="0.3">
      <c r="A349" t="s">
        <v>912</v>
      </c>
    </row>
    <row r="350" spans="1:1" x14ac:dyDescent="0.3">
      <c r="A350" t="s">
        <v>913</v>
      </c>
    </row>
    <row r="351" spans="1:1" x14ac:dyDescent="0.3">
      <c r="A351" t="s">
        <v>914</v>
      </c>
    </row>
    <row r="352" spans="1:1" x14ac:dyDescent="0.3">
      <c r="A352" t="s">
        <v>915</v>
      </c>
    </row>
    <row r="353" spans="1:3" x14ac:dyDescent="0.3">
      <c r="A353" t="s">
        <v>1060</v>
      </c>
      <c r="C353" t="s">
        <v>472</v>
      </c>
    </row>
    <row r="354" spans="1:3" x14ac:dyDescent="0.3">
      <c r="A354" t="s">
        <v>917</v>
      </c>
    </row>
    <row r="355" spans="1:3" x14ac:dyDescent="0.3">
      <c r="A355" t="s">
        <v>918</v>
      </c>
    </row>
    <row r="356" spans="1:3" x14ac:dyDescent="0.3">
      <c r="A356" t="s">
        <v>919</v>
      </c>
    </row>
    <row r="357" spans="1:3" x14ac:dyDescent="0.3">
      <c r="A357" t="s">
        <v>920</v>
      </c>
    </row>
    <row r="358" spans="1:3" x14ac:dyDescent="0.3">
      <c r="A358" t="s">
        <v>922</v>
      </c>
    </row>
    <row r="359" spans="1:3" x14ac:dyDescent="0.3">
      <c r="A359" t="s">
        <v>923</v>
      </c>
    </row>
    <row r="360" spans="1:3" x14ac:dyDescent="0.3">
      <c r="A360" t="s">
        <v>924</v>
      </c>
    </row>
    <row r="361" spans="1:3" x14ac:dyDescent="0.3">
      <c r="A361" t="s">
        <v>925</v>
      </c>
    </row>
    <row r="362" spans="1:3" x14ac:dyDescent="0.3">
      <c r="A362" t="s">
        <v>926</v>
      </c>
    </row>
    <row r="363" spans="1:3" x14ac:dyDescent="0.3">
      <c r="A363" t="s">
        <v>927</v>
      </c>
    </row>
    <row r="364" spans="1:3" x14ac:dyDescent="0.3">
      <c r="A364" t="s">
        <v>928</v>
      </c>
    </row>
    <row r="365" spans="1:3" x14ac:dyDescent="0.3">
      <c r="A365" t="s">
        <v>929</v>
      </c>
    </row>
    <row r="366" spans="1:3" x14ac:dyDescent="0.3">
      <c r="A366" t="s">
        <v>930</v>
      </c>
    </row>
    <row r="367" spans="1:3" x14ac:dyDescent="0.3">
      <c r="A367" t="s">
        <v>932</v>
      </c>
    </row>
    <row r="368" spans="1:3" x14ac:dyDescent="0.3">
      <c r="A368" t="s">
        <v>933</v>
      </c>
    </row>
    <row r="369" spans="1:1" x14ac:dyDescent="0.3">
      <c r="A369" t="s">
        <v>934</v>
      </c>
    </row>
    <row r="370" spans="1:1" x14ac:dyDescent="0.3">
      <c r="A370" t="s">
        <v>935</v>
      </c>
    </row>
    <row r="371" spans="1:1" x14ac:dyDescent="0.3">
      <c r="A371" t="s">
        <v>862</v>
      </c>
    </row>
    <row r="372" spans="1:1" x14ac:dyDescent="0.3">
      <c r="A372" t="s">
        <v>936</v>
      </c>
    </row>
    <row r="373" spans="1:1" x14ac:dyDescent="0.3">
      <c r="A373" t="s">
        <v>937</v>
      </c>
    </row>
    <row r="374" spans="1:1" x14ac:dyDescent="0.3">
      <c r="A374" t="s">
        <v>938</v>
      </c>
    </row>
    <row r="375" spans="1:1" x14ac:dyDescent="0.3">
      <c r="A375" t="s">
        <v>939</v>
      </c>
    </row>
    <row r="376" spans="1:1" x14ac:dyDescent="0.3">
      <c r="A376" t="s">
        <v>940</v>
      </c>
    </row>
    <row r="377" spans="1:1" x14ac:dyDescent="0.3">
      <c r="A377" t="s">
        <v>943</v>
      </c>
    </row>
    <row r="378" spans="1:1" x14ac:dyDescent="0.3">
      <c r="A378" t="s">
        <v>944</v>
      </c>
    </row>
    <row r="379" spans="1:1" x14ac:dyDescent="0.3">
      <c r="A379" t="s">
        <v>863</v>
      </c>
    </row>
    <row r="380" spans="1:1" x14ac:dyDescent="0.3">
      <c r="A380" t="s">
        <v>946</v>
      </c>
    </row>
    <row r="381" spans="1:1" x14ac:dyDescent="0.3">
      <c r="A381" t="s">
        <v>947</v>
      </c>
    </row>
    <row r="382" spans="1:1" x14ac:dyDescent="0.3">
      <c r="A382" t="s">
        <v>948</v>
      </c>
    </row>
    <row r="383" spans="1:1" x14ac:dyDescent="0.3">
      <c r="A383" t="s">
        <v>949</v>
      </c>
    </row>
    <row r="384" spans="1:1" x14ac:dyDescent="0.3">
      <c r="A384" t="s">
        <v>950</v>
      </c>
    </row>
    <row r="385" spans="1:1" x14ac:dyDescent="0.3">
      <c r="A385" t="s">
        <v>951</v>
      </c>
    </row>
    <row r="386" spans="1:1" x14ac:dyDescent="0.3">
      <c r="A386" t="s">
        <v>952</v>
      </c>
    </row>
    <row r="387" spans="1:1" x14ac:dyDescent="0.3">
      <c r="A387" t="s">
        <v>953</v>
      </c>
    </row>
    <row r="388" spans="1:1" x14ac:dyDescent="0.3">
      <c r="A388" t="s">
        <v>954</v>
      </c>
    </row>
    <row r="389" spans="1:1" x14ac:dyDescent="0.3">
      <c r="A389" t="s">
        <v>955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B0C1-78F3-4BA6-99AD-D0F253327408}">
  <dimension ref="A1:O31"/>
  <sheetViews>
    <sheetView workbookViewId="0">
      <selection activeCell="L37" sqref="L37"/>
    </sheetView>
  </sheetViews>
  <sheetFormatPr defaultRowHeight="14.4" x14ac:dyDescent="0.3"/>
  <sheetData>
    <row r="1" spans="1:15" x14ac:dyDescent="0.3">
      <c r="A1" t="s">
        <v>958</v>
      </c>
      <c r="B1" t="s">
        <v>2092</v>
      </c>
      <c r="C1" t="s">
        <v>2093</v>
      </c>
      <c r="D1" s="48" t="s">
        <v>2094</v>
      </c>
      <c r="E1" t="s">
        <v>1749</v>
      </c>
      <c r="F1" t="s">
        <v>2095</v>
      </c>
      <c r="G1" t="s">
        <v>2096</v>
      </c>
      <c r="H1" t="s">
        <v>1750</v>
      </c>
      <c r="I1" t="s">
        <v>1751</v>
      </c>
      <c r="J1" t="s">
        <v>2097</v>
      </c>
      <c r="K1" t="s">
        <v>2098</v>
      </c>
      <c r="L1" t="s">
        <v>2099</v>
      </c>
      <c r="M1" t="s">
        <v>2100</v>
      </c>
      <c r="N1" t="s">
        <v>2101</v>
      </c>
      <c r="O1" t="s">
        <v>2102</v>
      </c>
    </row>
    <row r="2" spans="1:15" x14ac:dyDescent="0.3">
      <c r="A2" t="s">
        <v>239</v>
      </c>
      <c r="B2">
        <v>28</v>
      </c>
      <c r="C2">
        <v>20.408163267131027</v>
      </c>
      <c r="D2">
        <v>20.072727273339101</v>
      </c>
      <c r="E2">
        <v>78.5</v>
      </c>
      <c r="F2">
        <v>79</v>
      </c>
      <c r="G2">
        <v>4</v>
      </c>
      <c r="H2">
        <v>83</v>
      </c>
      <c r="I2">
        <v>57</v>
      </c>
      <c r="J2">
        <v>36.521014597981349</v>
      </c>
      <c r="K2">
        <v>0</v>
      </c>
      <c r="L2">
        <v>60</v>
      </c>
      <c r="M2">
        <v>20</v>
      </c>
      <c r="N2">
        <v>20</v>
      </c>
    </row>
    <row r="3" spans="1:15" x14ac:dyDescent="0.3">
      <c r="A3" t="s">
        <v>310</v>
      </c>
      <c r="B3">
        <v>42</v>
      </c>
      <c r="C3">
        <v>13.702623902050167</v>
      </c>
      <c r="D3">
        <v>30.589949017606983</v>
      </c>
      <c r="E3">
        <v>78.5</v>
      </c>
      <c r="F3">
        <v>9</v>
      </c>
      <c r="G3">
        <v>5</v>
      </c>
      <c r="H3">
        <v>14</v>
      </c>
      <c r="I3">
        <v>75.19</v>
      </c>
      <c r="J3">
        <v>42.411500823462205</v>
      </c>
      <c r="K3">
        <v>30</v>
      </c>
      <c r="L3">
        <v>3</v>
      </c>
      <c r="M3">
        <v>5</v>
      </c>
      <c r="N3">
        <v>15</v>
      </c>
    </row>
    <row r="4" spans="1:15" x14ac:dyDescent="0.3">
      <c r="A4" t="s">
        <v>321</v>
      </c>
      <c r="B4">
        <v>21</v>
      </c>
      <c r="C4">
        <v>42.857142862617579</v>
      </c>
      <c r="D4">
        <v>37.928519327150376</v>
      </c>
      <c r="E4">
        <v>78.5</v>
      </c>
      <c r="F4">
        <v>5</v>
      </c>
      <c r="G4">
        <v>0</v>
      </c>
      <c r="H4">
        <v>5</v>
      </c>
      <c r="I4">
        <v>12.3</v>
      </c>
      <c r="J4">
        <v>0</v>
      </c>
      <c r="K4">
        <v>0</v>
      </c>
      <c r="L4">
        <v>20</v>
      </c>
      <c r="M4">
        <v>30</v>
      </c>
      <c r="N4">
        <v>10</v>
      </c>
    </row>
    <row r="5" spans="1:15" x14ac:dyDescent="0.3">
      <c r="A5" t="s">
        <v>326</v>
      </c>
      <c r="B5">
        <v>48</v>
      </c>
      <c r="C5">
        <v>50.724637680791297</v>
      </c>
      <c r="D5">
        <v>35.204081633923984</v>
      </c>
      <c r="E5">
        <v>78.5</v>
      </c>
      <c r="F5">
        <v>52</v>
      </c>
      <c r="G5">
        <v>3</v>
      </c>
      <c r="H5">
        <v>55</v>
      </c>
      <c r="I5">
        <v>160</v>
      </c>
      <c r="J5">
        <v>30</v>
      </c>
      <c r="K5">
        <v>10</v>
      </c>
      <c r="L5">
        <v>30</v>
      </c>
      <c r="M5">
        <v>20</v>
      </c>
      <c r="N5">
        <v>10</v>
      </c>
    </row>
    <row r="6" spans="1:15" x14ac:dyDescent="0.3">
      <c r="A6" t="s">
        <v>369</v>
      </c>
      <c r="B6">
        <v>48</v>
      </c>
      <c r="C6">
        <v>24.561403510794825</v>
      </c>
      <c r="D6">
        <v>21.262699564685576</v>
      </c>
      <c r="E6">
        <v>104</v>
      </c>
      <c r="F6">
        <v>10</v>
      </c>
      <c r="G6">
        <v>0</v>
      </c>
      <c r="H6">
        <v>10</v>
      </c>
      <c r="I6">
        <v>142.5</v>
      </c>
      <c r="J6">
        <v>0</v>
      </c>
      <c r="K6">
        <v>75</v>
      </c>
      <c r="L6">
        <v>5</v>
      </c>
      <c r="M6">
        <v>5</v>
      </c>
      <c r="N6">
        <v>10</v>
      </c>
    </row>
    <row r="7" spans="1:15" x14ac:dyDescent="0.3">
      <c r="A7" t="s">
        <v>375</v>
      </c>
      <c r="B7">
        <v>42</v>
      </c>
      <c r="C7">
        <v>30.320699703724951</v>
      </c>
      <c r="D7">
        <v>27.352297593494335</v>
      </c>
      <c r="E7">
        <v>104</v>
      </c>
      <c r="F7">
        <v>13</v>
      </c>
      <c r="G7">
        <v>1</v>
      </c>
      <c r="H7">
        <v>14</v>
      </c>
      <c r="I7">
        <v>110</v>
      </c>
      <c r="J7">
        <v>14.137166941154069</v>
      </c>
      <c r="K7">
        <v>75</v>
      </c>
      <c r="L7">
        <v>20</v>
      </c>
      <c r="M7">
        <v>5</v>
      </c>
      <c r="N7">
        <v>10</v>
      </c>
    </row>
    <row r="8" spans="1:15" x14ac:dyDescent="0.3">
      <c r="A8" t="s">
        <v>385</v>
      </c>
      <c r="B8">
        <v>42</v>
      </c>
      <c r="C8">
        <v>44.057971020566796</v>
      </c>
      <c r="D8">
        <v>32.234432234749704</v>
      </c>
      <c r="E8">
        <v>104</v>
      </c>
      <c r="F8">
        <v>38</v>
      </c>
      <c r="G8">
        <v>3</v>
      </c>
      <c r="H8">
        <v>41</v>
      </c>
      <c r="I8">
        <v>81</v>
      </c>
      <c r="J8">
        <v>43.825217517577613</v>
      </c>
      <c r="K8">
        <v>40</v>
      </c>
      <c r="L8">
        <v>50</v>
      </c>
      <c r="M8">
        <v>10</v>
      </c>
      <c r="N8">
        <v>50</v>
      </c>
    </row>
    <row r="9" spans="1:15" x14ac:dyDescent="0.3">
      <c r="A9" t="s">
        <v>404</v>
      </c>
      <c r="B9">
        <v>48</v>
      </c>
      <c r="C9">
        <v>37.79069767775102</v>
      </c>
      <c r="D9">
        <v>26.292789511957043</v>
      </c>
      <c r="E9">
        <v>104</v>
      </c>
      <c r="F9">
        <v>12</v>
      </c>
      <c r="G9">
        <v>3</v>
      </c>
      <c r="H9">
        <v>15</v>
      </c>
      <c r="I9">
        <v>198</v>
      </c>
      <c r="J9">
        <v>51.365039886193124</v>
      </c>
      <c r="K9">
        <v>40</v>
      </c>
      <c r="L9">
        <v>40</v>
      </c>
      <c r="M9">
        <v>15</v>
      </c>
      <c r="N9">
        <v>30</v>
      </c>
    </row>
    <row r="10" spans="1:15" x14ac:dyDescent="0.3">
      <c r="A10" t="s">
        <v>412</v>
      </c>
      <c r="B10">
        <v>46</v>
      </c>
      <c r="C10">
        <v>7.624633432893738</v>
      </c>
      <c r="D10">
        <v>5.8738216123322289</v>
      </c>
      <c r="E10">
        <v>98</v>
      </c>
      <c r="F10">
        <v>20</v>
      </c>
      <c r="G10">
        <v>7</v>
      </c>
      <c r="H10">
        <v>27</v>
      </c>
      <c r="I10">
        <v>173.25</v>
      </c>
      <c r="J10">
        <v>38.170350741116003</v>
      </c>
      <c r="K10">
        <v>40</v>
      </c>
      <c r="L10">
        <v>20</v>
      </c>
      <c r="M10">
        <v>20</v>
      </c>
      <c r="N10">
        <v>15</v>
      </c>
    </row>
    <row r="11" spans="1:15" x14ac:dyDescent="0.3">
      <c r="A11" t="s">
        <v>425</v>
      </c>
      <c r="B11">
        <v>20</v>
      </c>
      <c r="C11">
        <v>17.201166173011487</v>
      </c>
      <c r="D11">
        <v>20.684632193843932</v>
      </c>
      <c r="E11">
        <v>93</v>
      </c>
      <c r="F11">
        <v>32</v>
      </c>
      <c r="G11">
        <v>3</v>
      </c>
      <c r="H11">
        <v>35</v>
      </c>
      <c r="I11">
        <v>142</v>
      </c>
      <c r="J11">
        <v>30.630528372500478</v>
      </c>
      <c r="K11">
        <v>0</v>
      </c>
      <c r="L11">
        <v>10</v>
      </c>
      <c r="M11">
        <v>70</v>
      </c>
      <c r="N11">
        <v>10</v>
      </c>
    </row>
    <row r="12" spans="1:15" x14ac:dyDescent="0.3">
      <c r="A12" t="s">
        <v>444</v>
      </c>
      <c r="B12">
        <v>48</v>
      </c>
      <c r="C12">
        <v>30.635838154827404</v>
      </c>
      <c r="D12">
        <v>25.639152663603333</v>
      </c>
      <c r="E12">
        <v>93</v>
      </c>
      <c r="F12">
        <v>28</v>
      </c>
      <c r="G12">
        <v>5</v>
      </c>
      <c r="H12">
        <v>33</v>
      </c>
      <c r="I12">
        <v>209</v>
      </c>
      <c r="J12">
        <v>54.192473274423932</v>
      </c>
      <c r="K12">
        <v>50</v>
      </c>
      <c r="L12">
        <v>30</v>
      </c>
      <c r="M12">
        <v>10</v>
      </c>
      <c r="N12">
        <v>25</v>
      </c>
    </row>
    <row r="13" spans="1:15" x14ac:dyDescent="0.3">
      <c r="A13" t="s">
        <v>2</v>
      </c>
      <c r="B13">
        <v>40</v>
      </c>
      <c r="C13">
        <v>15.339233045515964</v>
      </c>
      <c r="D13">
        <v>11.820159538153607</v>
      </c>
      <c r="E13">
        <v>52</v>
      </c>
      <c r="F13">
        <v>8</v>
      </c>
      <c r="G13">
        <v>2</v>
      </c>
      <c r="H13">
        <v>10</v>
      </c>
      <c r="I13">
        <v>55.85</v>
      </c>
      <c r="J13">
        <v>12.487830798019427</v>
      </c>
      <c r="K13">
        <v>40</v>
      </c>
      <c r="L13">
        <v>50</v>
      </c>
      <c r="M13">
        <v>10</v>
      </c>
      <c r="N13">
        <v>10</v>
      </c>
    </row>
    <row r="14" spans="1:15" x14ac:dyDescent="0.3">
      <c r="A14" t="s">
        <v>35</v>
      </c>
      <c r="B14">
        <v>3</v>
      </c>
      <c r="C14">
        <v>18.604651164271765</v>
      </c>
      <c r="D14">
        <v>8.3758193740992368</v>
      </c>
      <c r="E14">
        <v>52</v>
      </c>
      <c r="F14">
        <v>14</v>
      </c>
      <c r="G14">
        <v>4</v>
      </c>
      <c r="H14">
        <v>18</v>
      </c>
      <c r="I14">
        <v>62.5</v>
      </c>
      <c r="J14">
        <v>18.849555921538759</v>
      </c>
      <c r="K14">
        <v>5</v>
      </c>
      <c r="L14">
        <v>60</v>
      </c>
      <c r="M14">
        <v>15</v>
      </c>
      <c r="N14">
        <v>10</v>
      </c>
    </row>
    <row r="15" spans="1:15" x14ac:dyDescent="0.3">
      <c r="A15" t="s">
        <v>55</v>
      </c>
      <c r="B15">
        <v>38</v>
      </c>
      <c r="C15">
        <v>18.658892130700675</v>
      </c>
      <c r="D15">
        <v>9.803921571310303</v>
      </c>
      <c r="E15">
        <v>52</v>
      </c>
      <c r="F15">
        <v>29</v>
      </c>
      <c r="G15">
        <v>1</v>
      </c>
      <c r="H15">
        <v>30</v>
      </c>
      <c r="I15">
        <v>187</v>
      </c>
      <c r="J15">
        <v>12.959069696057897</v>
      </c>
      <c r="K15">
        <v>0</v>
      </c>
      <c r="L15">
        <v>40</v>
      </c>
      <c r="M15">
        <v>20</v>
      </c>
      <c r="N15">
        <v>5</v>
      </c>
    </row>
    <row r="16" spans="1:15" x14ac:dyDescent="0.3">
      <c r="A16" t="s">
        <v>92</v>
      </c>
      <c r="B16">
        <v>41</v>
      </c>
      <c r="C16">
        <v>11.953352760182346</v>
      </c>
      <c r="D16">
        <v>9.1703056753240926</v>
      </c>
      <c r="E16">
        <v>52</v>
      </c>
      <c r="F16">
        <v>13</v>
      </c>
      <c r="G16">
        <v>0</v>
      </c>
      <c r="H16">
        <v>13</v>
      </c>
      <c r="I16">
        <v>50</v>
      </c>
      <c r="J16">
        <v>0</v>
      </c>
      <c r="K16">
        <v>40</v>
      </c>
      <c r="L16">
        <v>20</v>
      </c>
      <c r="M16">
        <v>20</v>
      </c>
      <c r="N16">
        <v>0</v>
      </c>
    </row>
    <row r="17" spans="1:14" x14ac:dyDescent="0.3">
      <c r="A17" t="s">
        <v>109</v>
      </c>
      <c r="B17">
        <v>32</v>
      </c>
      <c r="C17">
        <v>20.69970845145863</v>
      </c>
      <c r="D17">
        <v>15.827862873800747</v>
      </c>
      <c r="E17">
        <v>48</v>
      </c>
      <c r="F17">
        <v>16</v>
      </c>
      <c r="G17">
        <v>3</v>
      </c>
      <c r="H17">
        <v>19</v>
      </c>
      <c r="I17">
        <v>122</v>
      </c>
      <c r="J17">
        <v>16.728980880365651</v>
      </c>
      <c r="K17">
        <v>75</v>
      </c>
      <c r="L17">
        <v>15</v>
      </c>
      <c r="M17">
        <v>5</v>
      </c>
      <c r="N17">
        <v>1</v>
      </c>
    </row>
    <row r="18" spans="1:14" x14ac:dyDescent="0.3">
      <c r="A18" t="s">
        <v>127</v>
      </c>
      <c r="B18">
        <v>39</v>
      </c>
      <c r="C18">
        <v>21.238938056300015</v>
      </c>
      <c r="D18">
        <v>22.9151559099876</v>
      </c>
      <c r="E18">
        <v>48</v>
      </c>
      <c r="F18">
        <v>20</v>
      </c>
      <c r="G18">
        <v>8</v>
      </c>
      <c r="H18">
        <v>28</v>
      </c>
      <c r="I18">
        <v>105</v>
      </c>
      <c r="J18">
        <v>141.63085080546185</v>
      </c>
      <c r="K18">
        <v>0</v>
      </c>
      <c r="L18">
        <v>2</v>
      </c>
      <c r="M18">
        <v>30</v>
      </c>
      <c r="N18">
        <v>80</v>
      </c>
    </row>
    <row r="19" spans="1:14" x14ac:dyDescent="0.3">
      <c r="A19" t="s">
        <v>153</v>
      </c>
      <c r="B19">
        <v>34</v>
      </c>
      <c r="C19">
        <v>13.333333335026703</v>
      </c>
      <c r="D19">
        <v>12.143379663780422</v>
      </c>
      <c r="E19">
        <v>57.6</v>
      </c>
      <c r="F19">
        <v>40</v>
      </c>
      <c r="G19">
        <v>0</v>
      </c>
      <c r="H19">
        <v>40</v>
      </c>
      <c r="I19">
        <v>78</v>
      </c>
      <c r="J19">
        <v>0</v>
      </c>
      <c r="K19">
        <v>5</v>
      </c>
      <c r="L19">
        <v>60</v>
      </c>
      <c r="M19">
        <v>20</v>
      </c>
      <c r="N19">
        <v>0</v>
      </c>
    </row>
    <row r="20" spans="1:14" x14ac:dyDescent="0.3">
      <c r="A20" t="s">
        <v>192</v>
      </c>
      <c r="B20">
        <v>32</v>
      </c>
      <c r="C20">
        <v>17.97101449606674</v>
      </c>
      <c r="D20">
        <v>10.810810810983815</v>
      </c>
      <c r="E20">
        <v>57.6</v>
      </c>
      <c r="F20">
        <v>14</v>
      </c>
      <c r="G20">
        <v>2</v>
      </c>
      <c r="H20">
        <v>16</v>
      </c>
      <c r="I20">
        <v>122</v>
      </c>
      <c r="J20">
        <v>22.383847656827278</v>
      </c>
      <c r="K20">
        <v>5</v>
      </c>
      <c r="L20">
        <v>90</v>
      </c>
      <c r="M20">
        <v>10</v>
      </c>
      <c r="N20">
        <v>5</v>
      </c>
    </row>
    <row r="21" spans="1:14" x14ac:dyDescent="0.3">
      <c r="A21" t="s">
        <v>206</v>
      </c>
      <c r="B21">
        <v>40</v>
      </c>
      <c r="C21">
        <v>10.233918136484336</v>
      </c>
      <c r="D21">
        <v>12.409288824415468</v>
      </c>
      <c r="E21">
        <v>51.2</v>
      </c>
      <c r="F21">
        <v>36</v>
      </c>
      <c r="G21">
        <v>0</v>
      </c>
      <c r="H21">
        <v>36</v>
      </c>
      <c r="I21">
        <v>237</v>
      </c>
      <c r="J21">
        <v>0</v>
      </c>
      <c r="K21">
        <v>80</v>
      </c>
      <c r="L21">
        <v>10</v>
      </c>
      <c r="M21">
        <v>10</v>
      </c>
      <c r="N21">
        <v>0</v>
      </c>
    </row>
    <row r="22" spans="1:14" x14ac:dyDescent="0.3">
      <c r="A22" t="s">
        <v>459</v>
      </c>
      <c r="B22">
        <v>40</v>
      </c>
      <c r="C22">
        <v>61.583577711404168</v>
      </c>
      <c r="D22">
        <v>51.63398693072503</v>
      </c>
      <c r="E22">
        <v>182</v>
      </c>
      <c r="F22">
        <v>14</v>
      </c>
      <c r="G22">
        <v>10</v>
      </c>
      <c r="H22">
        <v>24</v>
      </c>
      <c r="I22">
        <v>402</v>
      </c>
      <c r="J22">
        <v>145.61281949388689</v>
      </c>
      <c r="K22">
        <v>40</v>
      </c>
      <c r="L22">
        <v>5</v>
      </c>
      <c r="M22">
        <v>10</v>
      </c>
      <c r="N22">
        <v>30</v>
      </c>
    </row>
    <row r="23" spans="1:14" x14ac:dyDescent="0.3">
      <c r="A23" t="s">
        <v>470</v>
      </c>
      <c r="B23">
        <v>40</v>
      </c>
      <c r="C23">
        <v>76.16279069537876</v>
      </c>
      <c r="D23">
        <v>74.106491611808224</v>
      </c>
      <c r="E23">
        <v>182</v>
      </c>
      <c r="F23">
        <v>19</v>
      </c>
      <c r="G23">
        <v>0</v>
      </c>
      <c r="H23">
        <v>19</v>
      </c>
      <c r="I23">
        <v>49.5</v>
      </c>
      <c r="J23">
        <v>0</v>
      </c>
      <c r="K23">
        <v>0</v>
      </c>
      <c r="L23">
        <v>20</v>
      </c>
      <c r="M23">
        <v>60</v>
      </c>
      <c r="N23">
        <v>0</v>
      </c>
    </row>
    <row r="24" spans="1:14" x14ac:dyDescent="0.3">
      <c r="A24" t="s">
        <v>486</v>
      </c>
      <c r="B24">
        <v>39</v>
      </c>
      <c r="C24">
        <v>72.403560828892893</v>
      </c>
      <c r="D24">
        <v>73.825018078571546</v>
      </c>
      <c r="E24">
        <v>182</v>
      </c>
      <c r="F24">
        <v>21</v>
      </c>
      <c r="G24">
        <v>10</v>
      </c>
      <c r="H24">
        <v>31</v>
      </c>
      <c r="I24">
        <v>297</v>
      </c>
      <c r="J24">
        <v>141.13604996252144</v>
      </c>
      <c r="K24">
        <v>40</v>
      </c>
      <c r="L24">
        <v>10</v>
      </c>
      <c r="M24">
        <v>30</v>
      </c>
      <c r="N24">
        <v>20</v>
      </c>
    </row>
    <row r="25" spans="1:14" x14ac:dyDescent="0.3">
      <c r="A25" t="s">
        <v>502</v>
      </c>
      <c r="B25">
        <v>40</v>
      </c>
      <c r="C25">
        <v>32.369942201289774</v>
      </c>
      <c r="D25">
        <v>32.432432431913419</v>
      </c>
      <c r="E25">
        <v>130</v>
      </c>
      <c r="F25">
        <v>21</v>
      </c>
      <c r="G25">
        <v>5</v>
      </c>
      <c r="H25">
        <v>26</v>
      </c>
      <c r="I25">
        <v>178.65</v>
      </c>
      <c r="J25">
        <v>64.795348480289476</v>
      </c>
      <c r="K25">
        <v>60</v>
      </c>
      <c r="L25">
        <v>10</v>
      </c>
      <c r="M25">
        <v>20</v>
      </c>
      <c r="N25">
        <v>10</v>
      </c>
    </row>
    <row r="26" spans="1:14" x14ac:dyDescent="0.3">
      <c r="A26" t="s">
        <v>518</v>
      </c>
      <c r="B26">
        <v>42</v>
      </c>
      <c r="C26">
        <v>25.816023739875511</v>
      </c>
      <c r="D26">
        <v>23.947750359780397</v>
      </c>
      <c r="E26">
        <v>130</v>
      </c>
      <c r="F26">
        <v>24</v>
      </c>
      <c r="G26">
        <v>4</v>
      </c>
      <c r="H26">
        <v>28</v>
      </c>
      <c r="I26">
        <v>155</v>
      </c>
      <c r="J26">
        <v>42.647120272481445</v>
      </c>
      <c r="K26">
        <v>65</v>
      </c>
      <c r="L26">
        <v>10</v>
      </c>
      <c r="M26">
        <v>20</v>
      </c>
      <c r="N26">
        <v>5</v>
      </c>
    </row>
    <row r="27" spans="1:14" x14ac:dyDescent="0.3">
      <c r="A27" t="s">
        <v>534</v>
      </c>
      <c r="B27">
        <v>46</v>
      </c>
      <c r="C27">
        <v>24.057971020566804</v>
      </c>
      <c r="D27">
        <v>33.187454411394405</v>
      </c>
      <c r="E27">
        <v>130</v>
      </c>
      <c r="F27">
        <v>13</v>
      </c>
      <c r="G27">
        <v>15</v>
      </c>
      <c r="H27">
        <v>28</v>
      </c>
      <c r="I27">
        <v>270</v>
      </c>
      <c r="J27">
        <v>84.116143299866735</v>
      </c>
      <c r="K27">
        <v>40</v>
      </c>
      <c r="L27">
        <v>10</v>
      </c>
      <c r="M27">
        <v>30</v>
      </c>
      <c r="N27">
        <v>20</v>
      </c>
    </row>
    <row r="28" spans="1:14" x14ac:dyDescent="0.3">
      <c r="A28" t="s">
        <v>550</v>
      </c>
      <c r="B28">
        <v>37</v>
      </c>
      <c r="C28">
        <v>74.052478133738347</v>
      </c>
      <c r="D28">
        <v>59.54810495805588</v>
      </c>
      <c r="E28">
        <v>135</v>
      </c>
      <c r="F28">
        <v>36</v>
      </c>
      <c r="G28">
        <v>10</v>
      </c>
      <c r="H28">
        <v>46</v>
      </c>
      <c r="I28">
        <v>229.5</v>
      </c>
      <c r="J28">
        <v>44.767695313654549</v>
      </c>
      <c r="K28">
        <v>20</v>
      </c>
      <c r="L28">
        <v>30</v>
      </c>
      <c r="M28">
        <v>30</v>
      </c>
      <c r="N28">
        <v>20</v>
      </c>
    </row>
    <row r="29" spans="1:14" x14ac:dyDescent="0.3">
      <c r="A29" t="s">
        <v>570</v>
      </c>
      <c r="B29">
        <v>39</v>
      </c>
      <c r="C29">
        <v>59.475218662616427</v>
      </c>
      <c r="D29">
        <v>63.590116280300904</v>
      </c>
      <c r="E29">
        <v>135</v>
      </c>
      <c r="F29">
        <v>16</v>
      </c>
      <c r="G29">
        <v>3</v>
      </c>
      <c r="H29">
        <v>19</v>
      </c>
      <c r="I29">
        <v>140</v>
      </c>
      <c r="J29">
        <v>32.986722862692829</v>
      </c>
      <c r="K29">
        <v>70</v>
      </c>
      <c r="L29">
        <v>5</v>
      </c>
      <c r="M29">
        <v>5</v>
      </c>
      <c r="N29">
        <v>10</v>
      </c>
    </row>
    <row r="30" spans="1:14" x14ac:dyDescent="0.3">
      <c r="A30" t="s">
        <v>576</v>
      </c>
      <c r="B30">
        <v>41</v>
      </c>
      <c r="C30">
        <v>56.725146191712803</v>
      </c>
      <c r="D30">
        <v>71.190130624533609</v>
      </c>
      <c r="E30">
        <v>135</v>
      </c>
      <c r="F30">
        <v>27</v>
      </c>
      <c r="G30">
        <v>3</v>
      </c>
      <c r="H30">
        <v>30</v>
      </c>
      <c r="I30">
        <v>256</v>
      </c>
      <c r="J30">
        <v>28.74557278034661</v>
      </c>
      <c r="K30">
        <v>40</v>
      </c>
      <c r="L30">
        <v>20</v>
      </c>
      <c r="M30">
        <v>40</v>
      </c>
      <c r="N30">
        <v>10</v>
      </c>
    </row>
    <row r="31" spans="1:14" x14ac:dyDescent="0.3">
      <c r="A31" t="s">
        <v>599</v>
      </c>
      <c r="B31">
        <v>38</v>
      </c>
      <c r="C31">
        <v>66.374269009406746</v>
      </c>
      <c r="D31">
        <v>59.477124183568051</v>
      </c>
      <c r="E31">
        <v>135</v>
      </c>
      <c r="F31">
        <v>24</v>
      </c>
      <c r="G31">
        <v>4</v>
      </c>
      <c r="H31">
        <v>28</v>
      </c>
      <c r="I31">
        <v>132</v>
      </c>
      <c r="J31">
        <v>60.554198397943267</v>
      </c>
      <c r="K31">
        <v>40</v>
      </c>
      <c r="L31">
        <v>20</v>
      </c>
      <c r="M31">
        <v>10</v>
      </c>
      <c r="N31">
        <v>20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6F22-067D-4BC7-9605-A6AD012BBDC5}">
  <dimension ref="A1:C48"/>
  <sheetViews>
    <sheetView workbookViewId="0">
      <selection activeCell="C22" sqref="C22"/>
    </sheetView>
  </sheetViews>
  <sheetFormatPr defaultRowHeight="14.4" x14ac:dyDescent="0.3"/>
  <cols>
    <col min="1" max="1" width="26.88671875" bestFit="1" customWidth="1"/>
    <col min="2" max="2" width="11.88671875" bestFit="1" customWidth="1"/>
    <col min="3" max="3" width="18.109375" bestFit="1" customWidth="1"/>
  </cols>
  <sheetData>
    <row r="1" spans="1:3" x14ac:dyDescent="0.3">
      <c r="A1" t="s">
        <v>1064</v>
      </c>
      <c r="B1" t="s">
        <v>956</v>
      </c>
      <c r="C1" t="s">
        <v>1776</v>
      </c>
    </row>
    <row r="2" spans="1:3" ht="15" x14ac:dyDescent="0.35">
      <c r="A2" s="56" t="s">
        <v>966</v>
      </c>
      <c r="B2" t="s">
        <v>1062</v>
      </c>
    </row>
    <row r="3" spans="1:3" ht="15" x14ac:dyDescent="0.35">
      <c r="A3" s="56" t="s">
        <v>969</v>
      </c>
      <c r="B3" t="s">
        <v>1062</v>
      </c>
    </row>
    <row r="4" spans="1:3" ht="15" x14ac:dyDescent="0.35">
      <c r="A4" s="56" t="s">
        <v>971</v>
      </c>
      <c r="B4" t="s">
        <v>1062</v>
      </c>
    </row>
    <row r="5" spans="1:3" ht="15" x14ac:dyDescent="0.35">
      <c r="A5" s="56" t="s">
        <v>974</v>
      </c>
      <c r="B5" t="s">
        <v>1062</v>
      </c>
    </row>
    <row r="6" spans="1:3" ht="15" x14ac:dyDescent="0.35">
      <c r="A6" s="56" t="s">
        <v>977</v>
      </c>
      <c r="B6" t="s">
        <v>1062</v>
      </c>
    </row>
    <row r="7" spans="1:3" ht="15" x14ac:dyDescent="0.35">
      <c r="A7" s="56" t="s">
        <v>978</v>
      </c>
      <c r="B7" t="s">
        <v>1062</v>
      </c>
    </row>
    <row r="8" spans="1:3" ht="15" x14ac:dyDescent="0.35">
      <c r="A8" s="56" t="s">
        <v>979</v>
      </c>
      <c r="B8" t="s">
        <v>1062</v>
      </c>
    </row>
    <row r="9" spans="1:3" ht="15" x14ac:dyDescent="0.35">
      <c r="A9" s="56" t="s">
        <v>982</v>
      </c>
      <c r="B9" t="s">
        <v>1063</v>
      </c>
    </row>
    <row r="10" spans="1:3" ht="15" x14ac:dyDescent="0.35">
      <c r="A10" s="56" t="s">
        <v>983</v>
      </c>
      <c r="B10" t="s">
        <v>1062</v>
      </c>
    </row>
    <row r="11" spans="1:3" ht="15" x14ac:dyDescent="0.35">
      <c r="A11" s="56" t="s">
        <v>985</v>
      </c>
      <c r="B11" t="s">
        <v>1062</v>
      </c>
    </row>
    <row r="12" spans="1:3" ht="15" x14ac:dyDescent="0.35">
      <c r="A12" s="56" t="s">
        <v>987</v>
      </c>
      <c r="B12" t="s">
        <v>1062</v>
      </c>
    </row>
    <row r="13" spans="1:3" ht="15" x14ac:dyDescent="0.35">
      <c r="A13" s="56" t="s">
        <v>990</v>
      </c>
      <c r="B13" t="s">
        <v>1062</v>
      </c>
    </row>
    <row r="14" spans="1:3" ht="15" x14ac:dyDescent="0.35">
      <c r="A14" s="56" t="s">
        <v>992</v>
      </c>
      <c r="B14" t="s">
        <v>1062</v>
      </c>
    </row>
    <row r="15" spans="1:3" ht="15" x14ac:dyDescent="0.35">
      <c r="A15" s="56" t="s">
        <v>995</v>
      </c>
      <c r="B15" t="s">
        <v>1062</v>
      </c>
    </row>
    <row r="16" spans="1:3" ht="15" x14ac:dyDescent="0.35">
      <c r="A16" s="56" t="s">
        <v>998</v>
      </c>
      <c r="B16" t="s">
        <v>1062</v>
      </c>
    </row>
    <row r="17" spans="1:2" ht="15" x14ac:dyDescent="0.35">
      <c r="A17" s="56" t="s">
        <v>1000</v>
      </c>
      <c r="B17" t="s">
        <v>1062</v>
      </c>
    </row>
    <row r="18" spans="1:2" ht="15" x14ac:dyDescent="0.35">
      <c r="A18" s="56" t="s">
        <v>1002</v>
      </c>
      <c r="B18" t="s">
        <v>1062</v>
      </c>
    </row>
    <row r="19" spans="1:2" ht="15" x14ac:dyDescent="0.35">
      <c r="A19" s="56" t="s">
        <v>1003</v>
      </c>
      <c r="B19" t="s">
        <v>1062</v>
      </c>
    </row>
    <row r="20" spans="1:2" ht="15" x14ac:dyDescent="0.35">
      <c r="A20" s="56" t="s">
        <v>1004</v>
      </c>
      <c r="B20" t="s">
        <v>1062</v>
      </c>
    </row>
    <row r="21" spans="1:2" ht="15" x14ac:dyDescent="0.35">
      <c r="A21" s="56" t="s">
        <v>1006</v>
      </c>
      <c r="B21" t="s">
        <v>1062</v>
      </c>
    </row>
    <row r="22" spans="1:2" ht="15" x14ac:dyDescent="0.35">
      <c r="A22" s="56" t="s">
        <v>858</v>
      </c>
      <c r="B22" t="s">
        <v>1063</v>
      </c>
    </row>
    <row r="23" spans="1:2" ht="15" x14ac:dyDescent="0.35">
      <c r="A23" s="56" t="s">
        <v>1009</v>
      </c>
      <c r="B23" t="s">
        <v>1063</v>
      </c>
    </row>
    <row r="24" spans="1:2" ht="15" x14ac:dyDescent="0.35">
      <c r="A24" s="56" t="s">
        <v>1011</v>
      </c>
      <c r="B24" t="s">
        <v>1063</v>
      </c>
    </row>
    <row r="25" spans="1:2" ht="15" x14ac:dyDescent="0.35">
      <c r="A25" s="56" t="s">
        <v>1013</v>
      </c>
      <c r="B25" t="s">
        <v>1062</v>
      </c>
    </row>
    <row r="26" spans="1:2" ht="15" x14ac:dyDescent="0.35">
      <c r="A26" s="56" t="s">
        <v>1015</v>
      </c>
      <c r="B26" t="s">
        <v>1062</v>
      </c>
    </row>
    <row r="27" spans="1:2" ht="15" x14ac:dyDescent="0.35">
      <c r="A27" s="56" t="s">
        <v>1018</v>
      </c>
      <c r="B27" t="s">
        <v>1062</v>
      </c>
    </row>
    <row r="28" spans="1:2" ht="15" x14ac:dyDescent="0.35">
      <c r="A28" s="56" t="s">
        <v>1020</v>
      </c>
      <c r="B28" t="s">
        <v>1063</v>
      </c>
    </row>
    <row r="29" spans="1:2" ht="15" x14ac:dyDescent="0.35">
      <c r="A29" s="56" t="s">
        <v>1022</v>
      </c>
      <c r="B29" t="s">
        <v>1062</v>
      </c>
    </row>
    <row r="30" spans="1:2" ht="15" x14ac:dyDescent="0.35">
      <c r="A30" s="56" t="s">
        <v>1025</v>
      </c>
      <c r="B30" t="s">
        <v>1062</v>
      </c>
    </row>
    <row r="31" spans="1:2" ht="15" x14ac:dyDescent="0.35">
      <c r="A31" s="56" t="s">
        <v>1027</v>
      </c>
      <c r="B31" t="s">
        <v>1062</v>
      </c>
    </row>
    <row r="32" spans="1:2" ht="15" x14ac:dyDescent="0.35">
      <c r="A32" s="56" t="s">
        <v>1028</v>
      </c>
      <c r="B32" t="s">
        <v>1062</v>
      </c>
    </row>
    <row r="33" spans="1:2" ht="15" x14ac:dyDescent="0.35">
      <c r="A33" s="56" t="s">
        <v>1031</v>
      </c>
      <c r="B33" t="s">
        <v>1063</v>
      </c>
    </row>
    <row r="34" spans="1:2" ht="15" x14ac:dyDescent="0.35">
      <c r="A34" s="56" t="s">
        <v>1033</v>
      </c>
      <c r="B34" t="s">
        <v>1063</v>
      </c>
    </row>
    <row r="35" spans="1:2" ht="15" x14ac:dyDescent="0.35">
      <c r="A35" s="56" t="s">
        <v>1035</v>
      </c>
      <c r="B35" t="s">
        <v>1062</v>
      </c>
    </row>
    <row r="36" spans="1:2" ht="15" x14ac:dyDescent="0.35">
      <c r="A36" s="56" t="s">
        <v>1037</v>
      </c>
      <c r="B36" t="s">
        <v>1062</v>
      </c>
    </row>
    <row r="37" spans="1:2" ht="15" x14ac:dyDescent="0.35">
      <c r="A37" s="56" t="s">
        <v>482</v>
      </c>
      <c r="B37" t="s">
        <v>1062</v>
      </c>
    </row>
    <row r="38" spans="1:2" ht="15" x14ac:dyDescent="0.35">
      <c r="A38" s="56" t="s">
        <v>1040</v>
      </c>
      <c r="B38" t="s">
        <v>1063</v>
      </c>
    </row>
    <row r="39" spans="1:2" ht="15" x14ac:dyDescent="0.35">
      <c r="A39" s="56" t="s">
        <v>1042</v>
      </c>
      <c r="B39" t="s">
        <v>1062</v>
      </c>
    </row>
    <row r="40" spans="1:2" ht="15" x14ac:dyDescent="0.35">
      <c r="A40" s="56" t="s">
        <v>1044</v>
      </c>
      <c r="B40" t="s">
        <v>1062</v>
      </c>
    </row>
    <row r="41" spans="1:2" ht="15" x14ac:dyDescent="0.35">
      <c r="A41" s="56" t="s">
        <v>1046</v>
      </c>
      <c r="B41" t="s">
        <v>1062</v>
      </c>
    </row>
    <row r="42" spans="1:2" ht="15" x14ac:dyDescent="0.35">
      <c r="A42" s="56" t="s">
        <v>1049</v>
      </c>
      <c r="B42" t="s">
        <v>1062</v>
      </c>
    </row>
    <row r="43" spans="1:2" ht="15" x14ac:dyDescent="0.35">
      <c r="A43" s="56" t="s">
        <v>1052</v>
      </c>
      <c r="B43" t="s">
        <v>1062</v>
      </c>
    </row>
    <row r="44" spans="1:2" ht="15" x14ac:dyDescent="0.35">
      <c r="A44" s="56" t="s">
        <v>33</v>
      </c>
      <c r="B44" t="s">
        <v>1062</v>
      </c>
    </row>
    <row r="45" spans="1:2" ht="15" x14ac:dyDescent="0.35">
      <c r="A45" s="56" t="s">
        <v>1055</v>
      </c>
      <c r="B45" t="s">
        <v>1062</v>
      </c>
    </row>
    <row r="46" spans="1:2" ht="15" x14ac:dyDescent="0.35">
      <c r="A46" s="56" t="s">
        <v>1058</v>
      </c>
      <c r="B46" t="s">
        <v>1062</v>
      </c>
    </row>
    <row r="47" spans="1:2" ht="15" x14ac:dyDescent="0.35">
      <c r="A47" s="56" t="s">
        <v>420</v>
      </c>
      <c r="B47" t="s">
        <v>1062</v>
      </c>
    </row>
    <row r="48" spans="1:2" ht="15" x14ac:dyDescent="0.35">
      <c r="A48" s="56" t="s">
        <v>1059</v>
      </c>
      <c r="B48" t="s">
        <v>1062</v>
      </c>
    </row>
  </sheetData>
  <dataValidations count="1">
    <dataValidation type="list" allowBlank="1" showInputMessage="1" showErrorMessage="1" sqref="B1:B1048576" xr:uid="{F9C55A9D-1414-4760-99BA-26F6F83F890A}">
      <formula1>"native,non"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5747-AB78-4C21-A6EA-49D50D617BCF}">
  <dimension ref="A3:E543"/>
  <sheetViews>
    <sheetView topLeftCell="A159" zoomScale="112" workbookViewId="0">
      <pane xSplit="1" topLeftCell="B1" activePane="topRight" state="frozen"/>
      <selection pane="topRight" activeCell="J211" sqref="J211"/>
    </sheetView>
  </sheetViews>
  <sheetFormatPr defaultRowHeight="14.4" x14ac:dyDescent="0.3"/>
  <cols>
    <col min="1" max="1" width="20.6640625" bestFit="1" customWidth="1"/>
    <col min="2" max="2" width="25.44140625" bestFit="1" customWidth="1"/>
    <col min="4" max="4" width="34.44140625" bestFit="1" customWidth="1"/>
  </cols>
  <sheetData>
    <row r="3" spans="1:5" x14ac:dyDescent="0.3">
      <c r="A3" s="73" t="s">
        <v>1603</v>
      </c>
      <c r="B3" t="s">
        <v>1606</v>
      </c>
      <c r="D3" s="76" t="s">
        <v>1643</v>
      </c>
      <c r="E3" t="s">
        <v>1648</v>
      </c>
    </row>
    <row r="4" spans="1:5" x14ac:dyDescent="0.3">
      <c r="A4" s="74" t="s">
        <v>1075</v>
      </c>
      <c r="B4">
        <v>13705</v>
      </c>
    </row>
    <row r="5" spans="1:5" x14ac:dyDescent="0.3">
      <c r="A5" s="74" t="s">
        <v>1077</v>
      </c>
      <c r="B5">
        <v>12760</v>
      </c>
      <c r="D5" s="76" t="s">
        <v>1644</v>
      </c>
      <c r="E5" t="s">
        <v>1649</v>
      </c>
    </row>
    <row r="6" spans="1:5" x14ac:dyDescent="0.3">
      <c r="A6" s="74" t="s">
        <v>1069</v>
      </c>
      <c r="B6">
        <v>10984</v>
      </c>
    </row>
    <row r="7" spans="1:5" x14ac:dyDescent="0.3">
      <c r="A7" s="74" t="s">
        <v>1065</v>
      </c>
      <c r="B7">
        <v>9860</v>
      </c>
      <c r="D7" s="76" t="s">
        <v>1645</v>
      </c>
    </row>
    <row r="8" spans="1:5" x14ac:dyDescent="0.3">
      <c r="A8" s="74" t="s">
        <v>1079</v>
      </c>
      <c r="B8">
        <v>7735</v>
      </c>
    </row>
    <row r="9" spans="1:5" x14ac:dyDescent="0.3">
      <c r="A9" s="74" t="s">
        <v>1107</v>
      </c>
      <c r="B9">
        <v>5970</v>
      </c>
      <c r="D9" s="76" t="s">
        <v>1646</v>
      </c>
    </row>
    <row r="10" spans="1:5" x14ac:dyDescent="0.3">
      <c r="A10" s="74" t="s">
        <v>1093</v>
      </c>
      <c r="B10">
        <v>5853</v>
      </c>
    </row>
    <row r="11" spans="1:5" x14ac:dyDescent="0.3">
      <c r="A11" s="74" t="s">
        <v>1090</v>
      </c>
      <c r="B11">
        <v>5694</v>
      </c>
      <c r="D11" s="76" t="s">
        <v>1647</v>
      </c>
      <c r="E11" t="s">
        <v>1650</v>
      </c>
    </row>
    <row r="12" spans="1:5" x14ac:dyDescent="0.3">
      <c r="A12" s="74" t="s">
        <v>1081</v>
      </c>
      <c r="B12">
        <v>4453</v>
      </c>
    </row>
    <row r="13" spans="1:5" x14ac:dyDescent="0.3">
      <c r="A13" s="74" t="s">
        <v>1188</v>
      </c>
      <c r="B13">
        <v>4125</v>
      </c>
    </row>
    <row r="14" spans="1:5" x14ac:dyDescent="0.3">
      <c r="A14" s="74" t="s">
        <v>1072</v>
      </c>
      <c r="B14">
        <v>3747</v>
      </c>
    </row>
    <row r="15" spans="1:5" x14ac:dyDescent="0.3">
      <c r="A15" s="74" t="s">
        <v>1113</v>
      </c>
      <c r="B15">
        <v>3559</v>
      </c>
    </row>
    <row r="16" spans="1:5" x14ac:dyDescent="0.3">
      <c r="A16" s="74" t="s">
        <v>1082</v>
      </c>
      <c r="B16">
        <v>2974</v>
      </c>
    </row>
    <row r="17" spans="1:2" x14ac:dyDescent="0.3">
      <c r="A17" s="74" t="s">
        <v>1089</v>
      </c>
      <c r="B17">
        <v>2871</v>
      </c>
    </row>
    <row r="18" spans="1:2" x14ac:dyDescent="0.3">
      <c r="A18" s="74" t="s">
        <v>1067</v>
      </c>
      <c r="B18">
        <v>2683</v>
      </c>
    </row>
    <row r="19" spans="1:2" x14ac:dyDescent="0.3">
      <c r="A19" s="74" t="s">
        <v>1074</v>
      </c>
      <c r="B19">
        <v>2642</v>
      </c>
    </row>
    <row r="20" spans="1:2" x14ac:dyDescent="0.3">
      <c r="A20" s="74" t="s">
        <v>1141</v>
      </c>
      <c r="B20">
        <v>2617</v>
      </c>
    </row>
    <row r="21" spans="1:2" x14ac:dyDescent="0.3">
      <c r="A21" s="74" t="s">
        <v>1152</v>
      </c>
      <c r="B21">
        <v>2554</v>
      </c>
    </row>
    <row r="22" spans="1:2" x14ac:dyDescent="0.3">
      <c r="A22" s="74" t="s">
        <v>1143</v>
      </c>
      <c r="B22">
        <v>2494</v>
      </c>
    </row>
    <row r="23" spans="1:2" x14ac:dyDescent="0.3">
      <c r="A23" s="74" t="s">
        <v>1087</v>
      </c>
      <c r="B23">
        <v>2354</v>
      </c>
    </row>
    <row r="24" spans="1:2" x14ac:dyDescent="0.3">
      <c r="A24" s="74" t="s">
        <v>1121</v>
      </c>
      <c r="B24">
        <v>2309</v>
      </c>
    </row>
    <row r="25" spans="1:2" x14ac:dyDescent="0.3">
      <c r="A25" s="74" t="s">
        <v>1101</v>
      </c>
      <c r="B25">
        <v>2188</v>
      </c>
    </row>
    <row r="26" spans="1:2" x14ac:dyDescent="0.3">
      <c r="A26" s="74" t="s">
        <v>1110</v>
      </c>
      <c r="B26">
        <v>2111</v>
      </c>
    </row>
    <row r="27" spans="1:2" x14ac:dyDescent="0.3">
      <c r="A27" s="74" t="s">
        <v>1076</v>
      </c>
      <c r="B27">
        <v>2030</v>
      </c>
    </row>
    <row r="28" spans="1:2" x14ac:dyDescent="0.3">
      <c r="A28" s="74" t="s">
        <v>1066</v>
      </c>
      <c r="B28">
        <v>1922</v>
      </c>
    </row>
    <row r="29" spans="1:2" x14ac:dyDescent="0.3">
      <c r="A29" s="74" t="s">
        <v>1086</v>
      </c>
      <c r="B29">
        <v>1873</v>
      </c>
    </row>
    <row r="30" spans="1:2" x14ac:dyDescent="0.3">
      <c r="A30" s="74" t="s">
        <v>1136</v>
      </c>
      <c r="B30">
        <v>1872</v>
      </c>
    </row>
    <row r="31" spans="1:2" x14ac:dyDescent="0.3">
      <c r="A31" s="74" t="s">
        <v>1096</v>
      </c>
      <c r="B31">
        <v>1836</v>
      </c>
    </row>
    <row r="32" spans="1:2" x14ac:dyDescent="0.3">
      <c r="A32" s="74" t="s">
        <v>1122</v>
      </c>
      <c r="B32">
        <v>1824</v>
      </c>
    </row>
    <row r="33" spans="1:2" x14ac:dyDescent="0.3">
      <c r="A33" s="74" t="s">
        <v>1128</v>
      </c>
      <c r="B33">
        <v>1743</v>
      </c>
    </row>
    <row r="34" spans="1:2" x14ac:dyDescent="0.3">
      <c r="A34" s="74" t="s">
        <v>1102</v>
      </c>
      <c r="B34">
        <v>1683</v>
      </c>
    </row>
    <row r="35" spans="1:2" x14ac:dyDescent="0.3">
      <c r="A35" s="74" t="s">
        <v>1203</v>
      </c>
      <c r="B35">
        <v>1600</v>
      </c>
    </row>
    <row r="36" spans="1:2" x14ac:dyDescent="0.3">
      <c r="A36" s="74" t="s">
        <v>1084</v>
      </c>
      <c r="B36">
        <v>1491</v>
      </c>
    </row>
    <row r="37" spans="1:2" x14ac:dyDescent="0.3">
      <c r="A37" s="74" t="s">
        <v>1180</v>
      </c>
      <c r="B37">
        <v>1456</v>
      </c>
    </row>
    <row r="38" spans="1:2" x14ac:dyDescent="0.3">
      <c r="A38" s="74" t="s">
        <v>1151</v>
      </c>
      <c r="B38">
        <v>1368</v>
      </c>
    </row>
    <row r="39" spans="1:2" x14ac:dyDescent="0.3">
      <c r="A39" s="74" t="s">
        <v>1118</v>
      </c>
      <c r="B39">
        <v>1363</v>
      </c>
    </row>
    <row r="40" spans="1:2" x14ac:dyDescent="0.3">
      <c r="A40" s="74" t="s">
        <v>1073</v>
      </c>
      <c r="B40">
        <v>1346</v>
      </c>
    </row>
    <row r="41" spans="1:2" x14ac:dyDescent="0.3">
      <c r="A41" s="74" t="s">
        <v>1142</v>
      </c>
      <c r="B41">
        <v>1309</v>
      </c>
    </row>
    <row r="42" spans="1:2" x14ac:dyDescent="0.3">
      <c r="A42" s="74" t="s">
        <v>1071</v>
      </c>
      <c r="B42">
        <v>1245</v>
      </c>
    </row>
    <row r="43" spans="1:2" x14ac:dyDescent="0.3">
      <c r="A43" s="74" t="s">
        <v>1158</v>
      </c>
      <c r="B43">
        <v>1208</v>
      </c>
    </row>
    <row r="44" spans="1:2" x14ac:dyDescent="0.3">
      <c r="A44" s="74" t="s">
        <v>1137</v>
      </c>
      <c r="B44">
        <v>1208</v>
      </c>
    </row>
    <row r="45" spans="1:2" x14ac:dyDescent="0.3">
      <c r="A45" s="74" t="s">
        <v>1146</v>
      </c>
      <c r="B45">
        <v>1162</v>
      </c>
    </row>
    <row r="46" spans="1:2" x14ac:dyDescent="0.3">
      <c r="A46" s="74" t="s">
        <v>1217</v>
      </c>
      <c r="B46">
        <v>1150</v>
      </c>
    </row>
    <row r="47" spans="1:2" x14ac:dyDescent="0.3">
      <c r="A47" s="74" t="s">
        <v>1144</v>
      </c>
      <c r="B47">
        <v>1054</v>
      </c>
    </row>
    <row r="48" spans="1:2" x14ac:dyDescent="0.3">
      <c r="A48" s="74" t="s">
        <v>1094</v>
      </c>
      <c r="B48">
        <v>920</v>
      </c>
    </row>
    <row r="49" spans="1:2" x14ac:dyDescent="0.3">
      <c r="A49" s="74" t="s">
        <v>1116</v>
      </c>
      <c r="B49">
        <v>838</v>
      </c>
    </row>
    <row r="50" spans="1:2" x14ac:dyDescent="0.3">
      <c r="A50" s="74" t="s">
        <v>1088</v>
      </c>
      <c r="B50">
        <v>836</v>
      </c>
    </row>
    <row r="51" spans="1:2" x14ac:dyDescent="0.3">
      <c r="A51" s="74" t="s">
        <v>1120</v>
      </c>
      <c r="B51">
        <v>827</v>
      </c>
    </row>
    <row r="52" spans="1:2" x14ac:dyDescent="0.3">
      <c r="A52" s="74" t="s">
        <v>1117</v>
      </c>
      <c r="B52">
        <v>769</v>
      </c>
    </row>
    <row r="53" spans="1:2" x14ac:dyDescent="0.3">
      <c r="A53" s="74" t="s">
        <v>1147</v>
      </c>
      <c r="B53">
        <v>743</v>
      </c>
    </row>
    <row r="54" spans="1:2" x14ac:dyDescent="0.3">
      <c r="A54" s="74" t="s">
        <v>1095</v>
      </c>
      <c r="B54">
        <v>739</v>
      </c>
    </row>
    <row r="55" spans="1:2" x14ac:dyDescent="0.3">
      <c r="A55" s="74" t="s">
        <v>1129</v>
      </c>
      <c r="B55">
        <v>712</v>
      </c>
    </row>
    <row r="56" spans="1:2" x14ac:dyDescent="0.3">
      <c r="A56" s="74" t="s">
        <v>1099</v>
      </c>
      <c r="B56">
        <v>699</v>
      </c>
    </row>
    <row r="57" spans="1:2" x14ac:dyDescent="0.3">
      <c r="A57" s="74" t="s">
        <v>1230</v>
      </c>
      <c r="B57">
        <v>697</v>
      </c>
    </row>
    <row r="58" spans="1:2" x14ac:dyDescent="0.3">
      <c r="A58" s="74" t="s">
        <v>1191</v>
      </c>
      <c r="B58">
        <v>669</v>
      </c>
    </row>
    <row r="59" spans="1:2" x14ac:dyDescent="0.3">
      <c r="A59" s="74" t="s">
        <v>1104</v>
      </c>
      <c r="B59">
        <v>656</v>
      </c>
    </row>
    <row r="60" spans="1:2" x14ac:dyDescent="0.3">
      <c r="A60" s="74" t="s">
        <v>1080</v>
      </c>
      <c r="B60">
        <v>652</v>
      </c>
    </row>
    <row r="61" spans="1:2" x14ac:dyDescent="0.3">
      <c r="A61" s="74" t="s">
        <v>1068</v>
      </c>
      <c r="B61">
        <v>652</v>
      </c>
    </row>
    <row r="62" spans="1:2" x14ac:dyDescent="0.3">
      <c r="A62" s="74" t="s">
        <v>1098</v>
      </c>
      <c r="B62">
        <v>649</v>
      </c>
    </row>
    <row r="63" spans="1:2" x14ac:dyDescent="0.3">
      <c r="A63" s="74" t="s">
        <v>1105</v>
      </c>
      <c r="B63">
        <v>631</v>
      </c>
    </row>
    <row r="64" spans="1:2" x14ac:dyDescent="0.3">
      <c r="A64" s="74" t="s">
        <v>1173</v>
      </c>
      <c r="B64">
        <v>622</v>
      </c>
    </row>
    <row r="65" spans="1:2" x14ac:dyDescent="0.3">
      <c r="A65" s="74" t="s">
        <v>1091</v>
      </c>
      <c r="B65">
        <v>566</v>
      </c>
    </row>
    <row r="66" spans="1:2" x14ac:dyDescent="0.3">
      <c r="A66" s="74" t="s">
        <v>1111</v>
      </c>
      <c r="B66">
        <v>562</v>
      </c>
    </row>
    <row r="67" spans="1:2" x14ac:dyDescent="0.3">
      <c r="A67" s="74" t="s">
        <v>1195</v>
      </c>
      <c r="B67">
        <v>559</v>
      </c>
    </row>
    <row r="68" spans="1:2" x14ac:dyDescent="0.3">
      <c r="A68" s="74" t="s">
        <v>1092</v>
      </c>
      <c r="B68">
        <v>556</v>
      </c>
    </row>
    <row r="69" spans="1:2" x14ac:dyDescent="0.3">
      <c r="A69" s="74" t="s">
        <v>1206</v>
      </c>
      <c r="B69">
        <v>535</v>
      </c>
    </row>
    <row r="70" spans="1:2" x14ac:dyDescent="0.3">
      <c r="A70" s="74" t="s">
        <v>1115</v>
      </c>
      <c r="B70">
        <v>525</v>
      </c>
    </row>
    <row r="71" spans="1:2" x14ac:dyDescent="0.3">
      <c r="A71" s="74" t="s">
        <v>1140</v>
      </c>
      <c r="B71">
        <v>509</v>
      </c>
    </row>
    <row r="72" spans="1:2" x14ac:dyDescent="0.3">
      <c r="A72" s="74" t="s">
        <v>1177</v>
      </c>
      <c r="B72">
        <v>485</v>
      </c>
    </row>
    <row r="73" spans="1:2" x14ac:dyDescent="0.3">
      <c r="A73" s="74" t="s">
        <v>1124</v>
      </c>
      <c r="B73">
        <v>477</v>
      </c>
    </row>
    <row r="74" spans="1:2" x14ac:dyDescent="0.3">
      <c r="A74" s="74" t="s">
        <v>1145</v>
      </c>
      <c r="B74">
        <v>473</v>
      </c>
    </row>
    <row r="75" spans="1:2" x14ac:dyDescent="0.3">
      <c r="A75" s="74" t="s">
        <v>1178</v>
      </c>
      <c r="B75">
        <v>466</v>
      </c>
    </row>
    <row r="76" spans="1:2" x14ac:dyDescent="0.3">
      <c r="A76" s="74" t="s">
        <v>1196</v>
      </c>
      <c r="B76">
        <v>457</v>
      </c>
    </row>
    <row r="77" spans="1:2" x14ac:dyDescent="0.3">
      <c r="A77" s="74" t="s">
        <v>1133</v>
      </c>
      <c r="B77">
        <v>455</v>
      </c>
    </row>
    <row r="78" spans="1:2" x14ac:dyDescent="0.3">
      <c r="A78" s="74" t="s">
        <v>1154</v>
      </c>
      <c r="B78">
        <v>425</v>
      </c>
    </row>
    <row r="79" spans="1:2" x14ac:dyDescent="0.3">
      <c r="A79" s="74" t="s">
        <v>1227</v>
      </c>
      <c r="B79">
        <v>402</v>
      </c>
    </row>
    <row r="80" spans="1:2" x14ac:dyDescent="0.3">
      <c r="A80" s="74" t="s">
        <v>1148</v>
      </c>
      <c r="B80">
        <v>363</v>
      </c>
    </row>
    <row r="81" spans="1:2" x14ac:dyDescent="0.3">
      <c r="A81" s="74" t="s">
        <v>1167</v>
      </c>
      <c r="B81">
        <v>354</v>
      </c>
    </row>
    <row r="82" spans="1:2" x14ac:dyDescent="0.3">
      <c r="A82" s="74" t="s">
        <v>1097</v>
      </c>
      <c r="B82">
        <v>334</v>
      </c>
    </row>
    <row r="83" spans="1:2" x14ac:dyDescent="0.3">
      <c r="A83" s="74" t="s">
        <v>1176</v>
      </c>
      <c r="B83">
        <v>325</v>
      </c>
    </row>
    <row r="84" spans="1:2" x14ac:dyDescent="0.3">
      <c r="A84" s="74" t="s">
        <v>1193</v>
      </c>
      <c r="B84">
        <v>324</v>
      </c>
    </row>
    <row r="85" spans="1:2" x14ac:dyDescent="0.3">
      <c r="A85" s="74" t="s">
        <v>1112</v>
      </c>
      <c r="B85">
        <v>317</v>
      </c>
    </row>
    <row r="86" spans="1:2" x14ac:dyDescent="0.3">
      <c r="A86" s="74" t="s">
        <v>1165</v>
      </c>
      <c r="B86">
        <v>317</v>
      </c>
    </row>
    <row r="87" spans="1:2" x14ac:dyDescent="0.3">
      <c r="A87" s="74" t="s">
        <v>1114</v>
      </c>
      <c r="B87">
        <v>316</v>
      </c>
    </row>
    <row r="88" spans="1:2" x14ac:dyDescent="0.3">
      <c r="A88" s="74" t="s">
        <v>1127</v>
      </c>
      <c r="B88">
        <v>305</v>
      </c>
    </row>
    <row r="89" spans="1:2" x14ac:dyDescent="0.3">
      <c r="A89" s="74" t="s">
        <v>1150</v>
      </c>
      <c r="B89">
        <v>293</v>
      </c>
    </row>
    <row r="90" spans="1:2" x14ac:dyDescent="0.3">
      <c r="A90" s="74" t="s">
        <v>1134</v>
      </c>
      <c r="B90">
        <v>284</v>
      </c>
    </row>
    <row r="91" spans="1:2" x14ac:dyDescent="0.3">
      <c r="A91" s="74" t="s">
        <v>1085</v>
      </c>
      <c r="B91">
        <v>276</v>
      </c>
    </row>
    <row r="92" spans="1:2" x14ac:dyDescent="0.3">
      <c r="A92" s="74" t="s">
        <v>1207</v>
      </c>
      <c r="B92">
        <v>275</v>
      </c>
    </row>
    <row r="93" spans="1:2" x14ac:dyDescent="0.3">
      <c r="A93" s="74" t="s">
        <v>1209</v>
      </c>
      <c r="B93">
        <v>274</v>
      </c>
    </row>
    <row r="94" spans="1:2" x14ac:dyDescent="0.3">
      <c r="A94" s="74" t="s">
        <v>1164</v>
      </c>
      <c r="B94">
        <v>268</v>
      </c>
    </row>
    <row r="95" spans="1:2" x14ac:dyDescent="0.3">
      <c r="A95" s="74" t="s">
        <v>1219</v>
      </c>
      <c r="B95">
        <v>256</v>
      </c>
    </row>
    <row r="96" spans="1:2" x14ac:dyDescent="0.3">
      <c r="A96" s="74" t="s">
        <v>1108</v>
      </c>
      <c r="B96">
        <v>255</v>
      </c>
    </row>
    <row r="97" spans="1:2" x14ac:dyDescent="0.3">
      <c r="A97" s="74" t="s">
        <v>1240</v>
      </c>
      <c r="B97">
        <v>246</v>
      </c>
    </row>
    <row r="98" spans="1:2" x14ac:dyDescent="0.3">
      <c r="A98" s="74" t="s">
        <v>1156</v>
      </c>
      <c r="B98">
        <v>243</v>
      </c>
    </row>
    <row r="99" spans="1:2" x14ac:dyDescent="0.3">
      <c r="A99" s="74" t="s">
        <v>1106</v>
      </c>
      <c r="B99">
        <v>236</v>
      </c>
    </row>
    <row r="100" spans="1:2" x14ac:dyDescent="0.3">
      <c r="A100" s="74" t="s">
        <v>1135</v>
      </c>
      <c r="B100">
        <v>230</v>
      </c>
    </row>
    <row r="101" spans="1:2" x14ac:dyDescent="0.3">
      <c r="A101" s="74" t="s">
        <v>1208</v>
      </c>
      <c r="B101">
        <v>227</v>
      </c>
    </row>
    <row r="102" spans="1:2" x14ac:dyDescent="0.3">
      <c r="A102" s="74" t="s">
        <v>1170</v>
      </c>
      <c r="B102">
        <v>213</v>
      </c>
    </row>
    <row r="103" spans="1:2" x14ac:dyDescent="0.3">
      <c r="A103" s="74" t="s">
        <v>1194</v>
      </c>
      <c r="B103">
        <v>197</v>
      </c>
    </row>
    <row r="104" spans="1:2" x14ac:dyDescent="0.3">
      <c r="A104" s="74" t="s">
        <v>1187</v>
      </c>
      <c r="B104">
        <v>196</v>
      </c>
    </row>
    <row r="105" spans="1:2" x14ac:dyDescent="0.3">
      <c r="A105" s="74" t="s">
        <v>1179</v>
      </c>
      <c r="B105">
        <v>187</v>
      </c>
    </row>
    <row r="106" spans="1:2" x14ac:dyDescent="0.3">
      <c r="A106" s="74" t="s">
        <v>1220</v>
      </c>
      <c r="B106">
        <v>177</v>
      </c>
    </row>
    <row r="107" spans="1:2" x14ac:dyDescent="0.3">
      <c r="A107" s="74" t="s">
        <v>1125</v>
      </c>
      <c r="B107">
        <v>176</v>
      </c>
    </row>
    <row r="108" spans="1:2" x14ac:dyDescent="0.3">
      <c r="A108" s="74" t="s">
        <v>1228</v>
      </c>
      <c r="B108">
        <v>173</v>
      </c>
    </row>
    <row r="109" spans="1:2" x14ac:dyDescent="0.3">
      <c r="A109" s="74" t="s">
        <v>1168</v>
      </c>
      <c r="B109">
        <v>168</v>
      </c>
    </row>
    <row r="110" spans="1:2" x14ac:dyDescent="0.3">
      <c r="A110" s="74" t="s">
        <v>1264</v>
      </c>
      <c r="B110">
        <v>168</v>
      </c>
    </row>
    <row r="111" spans="1:2" x14ac:dyDescent="0.3">
      <c r="A111" s="74" t="s">
        <v>1109</v>
      </c>
      <c r="B111">
        <v>166</v>
      </c>
    </row>
    <row r="112" spans="1:2" x14ac:dyDescent="0.3">
      <c r="A112" s="74" t="s">
        <v>1119</v>
      </c>
      <c r="B112">
        <v>164</v>
      </c>
    </row>
    <row r="113" spans="1:2" x14ac:dyDescent="0.3">
      <c r="A113" s="74" t="s">
        <v>1211</v>
      </c>
      <c r="B113">
        <v>146</v>
      </c>
    </row>
    <row r="114" spans="1:2" x14ac:dyDescent="0.3">
      <c r="A114" s="74" t="s">
        <v>1273</v>
      </c>
      <c r="B114">
        <v>144</v>
      </c>
    </row>
    <row r="115" spans="1:2" x14ac:dyDescent="0.3">
      <c r="A115" s="74" t="s">
        <v>1161</v>
      </c>
      <c r="B115">
        <v>141</v>
      </c>
    </row>
    <row r="116" spans="1:2" x14ac:dyDescent="0.3">
      <c r="A116" s="74" t="s">
        <v>1100</v>
      </c>
      <c r="B116">
        <v>136</v>
      </c>
    </row>
    <row r="117" spans="1:2" x14ac:dyDescent="0.3">
      <c r="A117" s="74" t="s">
        <v>1236</v>
      </c>
      <c r="B117">
        <v>136</v>
      </c>
    </row>
    <row r="118" spans="1:2" x14ac:dyDescent="0.3">
      <c r="A118" s="74" t="s">
        <v>1149</v>
      </c>
      <c r="B118">
        <v>131</v>
      </c>
    </row>
    <row r="119" spans="1:2" x14ac:dyDescent="0.3">
      <c r="A119" s="74" t="s">
        <v>1126</v>
      </c>
      <c r="B119">
        <v>127</v>
      </c>
    </row>
    <row r="120" spans="1:2" x14ac:dyDescent="0.3">
      <c r="A120" s="74" t="s">
        <v>1159</v>
      </c>
      <c r="B120">
        <v>116</v>
      </c>
    </row>
    <row r="121" spans="1:2" x14ac:dyDescent="0.3">
      <c r="A121" s="74" t="s">
        <v>1233</v>
      </c>
      <c r="B121">
        <v>112</v>
      </c>
    </row>
    <row r="122" spans="1:2" x14ac:dyDescent="0.3">
      <c r="A122" s="74" t="s">
        <v>1282</v>
      </c>
      <c r="B122">
        <v>111</v>
      </c>
    </row>
    <row r="123" spans="1:2" x14ac:dyDescent="0.3">
      <c r="A123" s="74" t="s">
        <v>1255</v>
      </c>
      <c r="B123">
        <v>104</v>
      </c>
    </row>
    <row r="124" spans="1:2" x14ac:dyDescent="0.3">
      <c r="A124" s="74" t="s">
        <v>1239</v>
      </c>
      <c r="B124">
        <v>101</v>
      </c>
    </row>
    <row r="125" spans="1:2" x14ac:dyDescent="0.3">
      <c r="A125" s="74" t="s">
        <v>1269</v>
      </c>
      <c r="B125">
        <v>101</v>
      </c>
    </row>
    <row r="126" spans="1:2" x14ac:dyDescent="0.3">
      <c r="A126" s="74" t="s">
        <v>1248</v>
      </c>
      <c r="B126">
        <v>98</v>
      </c>
    </row>
    <row r="127" spans="1:2" x14ac:dyDescent="0.3">
      <c r="A127" s="74" t="s">
        <v>1200</v>
      </c>
      <c r="B127">
        <v>97</v>
      </c>
    </row>
    <row r="128" spans="1:2" x14ac:dyDescent="0.3">
      <c r="A128" s="74" t="s">
        <v>1316</v>
      </c>
      <c r="B128">
        <v>96</v>
      </c>
    </row>
    <row r="129" spans="1:2" x14ac:dyDescent="0.3">
      <c r="A129" s="74" t="s">
        <v>1182</v>
      </c>
      <c r="B129">
        <v>96</v>
      </c>
    </row>
    <row r="130" spans="1:2" x14ac:dyDescent="0.3">
      <c r="A130" s="74" t="s">
        <v>1215</v>
      </c>
      <c r="B130">
        <v>93</v>
      </c>
    </row>
    <row r="131" spans="1:2" x14ac:dyDescent="0.3">
      <c r="A131" s="74" t="s">
        <v>1139</v>
      </c>
      <c r="B131">
        <v>90</v>
      </c>
    </row>
    <row r="132" spans="1:2" x14ac:dyDescent="0.3">
      <c r="A132" s="74" t="s">
        <v>1153</v>
      </c>
      <c r="B132">
        <v>90</v>
      </c>
    </row>
    <row r="133" spans="1:2" x14ac:dyDescent="0.3">
      <c r="A133" s="74" t="s">
        <v>1314</v>
      </c>
      <c r="B133">
        <v>85</v>
      </c>
    </row>
    <row r="134" spans="1:2" x14ac:dyDescent="0.3">
      <c r="A134" s="74" t="s">
        <v>1189</v>
      </c>
      <c r="B134">
        <v>85</v>
      </c>
    </row>
    <row r="135" spans="1:2" x14ac:dyDescent="0.3">
      <c r="A135" s="74" t="s">
        <v>1183</v>
      </c>
      <c r="B135">
        <v>85</v>
      </c>
    </row>
    <row r="136" spans="1:2" x14ac:dyDescent="0.3">
      <c r="A136" s="74" t="s">
        <v>1222</v>
      </c>
      <c r="B136">
        <v>85</v>
      </c>
    </row>
    <row r="137" spans="1:2" x14ac:dyDescent="0.3">
      <c r="A137" s="74" t="s">
        <v>1171</v>
      </c>
      <c r="B137">
        <v>84</v>
      </c>
    </row>
    <row r="138" spans="1:2" x14ac:dyDescent="0.3">
      <c r="A138" s="74" t="s">
        <v>1155</v>
      </c>
      <c r="B138">
        <v>84</v>
      </c>
    </row>
    <row r="139" spans="1:2" x14ac:dyDescent="0.3">
      <c r="A139" s="74" t="s">
        <v>1292</v>
      </c>
      <c r="B139">
        <v>83</v>
      </c>
    </row>
    <row r="140" spans="1:2" x14ac:dyDescent="0.3">
      <c r="A140" s="74" t="s">
        <v>1281</v>
      </c>
      <c r="B140">
        <v>82</v>
      </c>
    </row>
    <row r="141" spans="1:2" x14ac:dyDescent="0.3">
      <c r="A141" s="74" t="s">
        <v>1231</v>
      </c>
      <c r="B141">
        <v>82</v>
      </c>
    </row>
    <row r="142" spans="1:2" x14ac:dyDescent="0.3">
      <c r="A142" s="74" t="s">
        <v>1198</v>
      </c>
      <c r="B142">
        <v>81</v>
      </c>
    </row>
    <row r="143" spans="1:2" x14ac:dyDescent="0.3">
      <c r="A143" s="74" t="s">
        <v>1169</v>
      </c>
      <c r="B143">
        <v>81</v>
      </c>
    </row>
    <row r="144" spans="1:2" x14ac:dyDescent="0.3">
      <c r="A144" s="74" t="s">
        <v>1225</v>
      </c>
      <c r="B144">
        <v>80</v>
      </c>
    </row>
    <row r="145" spans="1:2" x14ac:dyDescent="0.3">
      <c r="A145" s="74" t="s">
        <v>1083</v>
      </c>
      <c r="B145">
        <v>78</v>
      </c>
    </row>
    <row r="146" spans="1:2" x14ac:dyDescent="0.3">
      <c r="A146" s="74" t="s">
        <v>1253</v>
      </c>
      <c r="B146">
        <v>77</v>
      </c>
    </row>
    <row r="147" spans="1:2" x14ac:dyDescent="0.3">
      <c r="A147" s="74" t="s">
        <v>1201</v>
      </c>
      <c r="B147">
        <v>74</v>
      </c>
    </row>
    <row r="148" spans="1:2" x14ac:dyDescent="0.3">
      <c r="A148" s="74" t="s">
        <v>1157</v>
      </c>
      <c r="B148">
        <v>73</v>
      </c>
    </row>
    <row r="149" spans="1:2" x14ac:dyDescent="0.3">
      <c r="A149" s="74" t="s">
        <v>1199</v>
      </c>
      <c r="B149">
        <v>71</v>
      </c>
    </row>
    <row r="150" spans="1:2" x14ac:dyDescent="0.3">
      <c r="A150" s="74" t="s">
        <v>1234</v>
      </c>
      <c r="B150">
        <v>68</v>
      </c>
    </row>
    <row r="151" spans="1:2" x14ac:dyDescent="0.3">
      <c r="A151" s="74" t="s">
        <v>1184</v>
      </c>
      <c r="B151">
        <v>68</v>
      </c>
    </row>
    <row r="152" spans="1:2" x14ac:dyDescent="0.3">
      <c r="A152" s="74" t="s">
        <v>1242</v>
      </c>
      <c r="B152">
        <v>67</v>
      </c>
    </row>
    <row r="153" spans="1:2" x14ac:dyDescent="0.3">
      <c r="A153" s="74" t="s">
        <v>1197</v>
      </c>
      <c r="B153">
        <v>62</v>
      </c>
    </row>
    <row r="154" spans="1:2" x14ac:dyDescent="0.3">
      <c r="A154" s="74" t="s">
        <v>1214</v>
      </c>
      <c r="B154">
        <v>61</v>
      </c>
    </row>
    <row r="155" spans="1:2" x14ac:dyDescent="0.3">
      <c r="A155" s="74" t="s">
        <v>1247</v>
      </c>
      <c r="B155">
        <v>60</v>
      </c>
    </row>
    <row r="156" spans="1:2" x14ac:dyDescent="0.3">
      <c r="A156" s="74" t="s">
        <v>1192</v>
      </c>
      <c r="B156">
        <v>60</v>
      </c>
    </row>
    <row r="157" spans="1:2" x14ac:dyDescent="0.3">
      <c r="A157" s="74" t="s">
        <v>1186</v>
      </c>
      <c r="B157">
        <v>59</v>
      </c>
    </row>
    <row r="158" spans="1:2" x14ac:dyDescent="0.3">
      <c r="A158" s="74" t="s">
        <v>1289</v>
      </c>
      <c r="B158">
        <v>59</v>
      </c>
    </row>
    <row r="159" spans="1:2" x14ac:dyDescent="0.3">
      <c r="A159" s="74" t="s">
        <v>1175</v>
      </c>
      <c r="B159">
        <v>59</v>
      </c>
    </row>
    <row r="160" spans="1:2" x14ac:dyDescent="0.3">
      <c r="A160" s="74" t="s">
        <v>1229</v>
      </c>
      <c r="B160">
        <v>58</v>
      </c>
    </row>
    <row r="161" spans="1:2" x14ac:dyDescent="0.3">
      <c r="A161" s="74" t="s">
        <v>1226</v>
      </c>
      <c r="B161">
        <v>57</v>
      </c>
    </row>
    <row r="162" spans="1:2" x14ac:dyDescent="0.3">
      <c r="A162" s="74" t="s">
        <v>1123</v>
      </c>
      <c r="B162">
        <v>56</v>
      </c>
    </row>
    <row r="163" spans="1:2" x14ac:dyDescent="0.3">
      <c r="A163" s="74" t="s">
        <v>1249</v>
      </c>
      <c r="B163">
        <v>56</v>
      </c>
    </row>
    <row r="164" spans="1:2" x14ac:dyDescent="0.3">
      <c r="A164" s="74" t="s">
        <v>1181</v>
      </c>
      <c r="B164">
        <v>54</v>
      </c>
    </row>
    <row r="165" spans="1:2" x14ac:dyDescent="0.3">
      <c r="A165" s="74" t="s">
        <v>1204</v>
      </c>
      <c r="B165">
        <v>54</v>
      </c>
    </row>
    <row r="166" spans="1:2" x14ac:dyDescent="0.3">
      <c r="A166" s="74" t="s">
        <v>1190</v>
      </c>
      <c r="B166">
        <v>52</v>
      </c>
    </row>
    <row r="167" spans="1:2" x14ac:dyDescent="0.3">
      <c r="A167" s="74" t="s">
        <v>1132</v>
      </c>
      <c r="B167">
        <v>51</v>
      </c>
    </row>
    <row r="168" spans="1:2" x14ac:dyDescent="0.3">
      <c r="A168" s="74" t="s">
        <v>1305</v>
      </c>
      <c r="B168">
        <v>50</v>
      </c>
    </row>
    <row r="169" spans="1:2" x14ac:dyDescent="0.3">
      <c r="A169" s="74" t="s">
        <v>1160</v>
      </c>
      <c r="B169">
        <v>49</v>
      </c>
    </row>
    <row r="170" spans="1:2" x14ac:dyDescent="0.3">
      <c r="A170" s="74" t="s">
        <v>1263</v>
      </c>
      <c r="B170">
        <v>49</v>
      </c>
    </row>
    <row r="171" spans="1:2" x14ac:dyDescent="0.3">
      <c r="A171" s="74" t="s">
        <v>1272</v>
      </c>
      <c r="B171">
        <v>47</v>
      </c>
    </row>
    <row r="172" spans="1:2" x14ac:dyDescent="0.3">
      <c r="A172" s="74" t="s">
        <v>1246</v>
      </c>
      <c r="B172">
        <v>46</v>
      </c>
    </row>
    <row r="173" spans="1:2" x14ac:dyDescent="0.3">
      <c r="A173" s="74" t="s">
        <v>1341</v>
      </c>
      <c r="B173">
        <v>45</v>
      </c>
    </row>
    <row r="174" spans="1:2" x14ac:dyDescent="0.3">
      <c r="A174" s="74" t="s">
        <v>1174</v>
      </c>
      <c r="B174">
        <v>45</v>
      </c>
    </row>
    <row r="175" spans="1:2" x14ac:dyDescent="0.3">
      <c r="A175" s="74" t="s">
        <v>1235</v>
      </c>
      <c r="B175">
        <v>44</v>
      </c>
    </row>
    <row r="176" spans="1:2" x14ac:dyDescent="0.3">
      <c r="A176" s="74" t="s">
        <v>1266</v>
      </c>
      <c r="B176">
        <v>43</v>
      </c>
    </row>
    <row r="177" spans="1:2" x14ac:dyDescent="0.3">
      <c r="A177" s="74" t="s">
        <v>1294</v>
      </c>
      <c r="B177">
        <v>41</v>
      </c>
    </row>
    <row r="178" spans="1:2" x14ac:dyDescent="0.3">
      <c r="A178" s="74" t="s">
        <v>1162</v>
      </c>
      <c r="B178">
        <v>41</v>
      </c>
    </row>
    <row r="179" spans="1:2" x14ac:dyDescent="0.3">
      <c r="A179" s="74" t="s">
        <v>1318</v>
      </c>
      <c r="B179">
        <v>40</v>
      </c>
    </row>
    <row r="180" spans="1:2" x14ac:dyDescent="0.3">
      <c r="A180" s="74" t="s">
        <v>1379</v>
      </c>
      <c r="B180">
        <v>40</v>
      </c>
    </row>
    <row r="181" spans="1:2" x14ac:dyDescent="0.3">
      <c r="A181" s="74" t="s">
        <v>1232</v>
      </c>
      <c r="B181">
        <v>40</v>
      </c>
    </row>
    <row r="182" spans="1:2" x14ac:dyDescent="0.3">
      <c r="A182" s="74" t="s">
        <v>1163</v>
      </c>
      <c r="B182">
        <v>39</v>
      </c>
    </row>
    <row r="183" spans="1:2" x14ac:dyDescent="0.3">
      <c r="A183" s="74" t="s">
        <v>1340</v>
      </c>
      <c r="B183">
        <v>38</v>
      </c>
    </row>
    <row r="184" spans="1:2" x14ac:dyDescent="0.3">
      <c r="A184" s="74" t="s">
        <v>1216</v>
      </c>
      <c r="B184">
        <v>36</v>
      </c>
    </row>
    <row r="185" spans="1:2" x14ac:dyDescent="0.3">
      <c r="A185" s="74" t="s">
        <v>1257</v>
      </c>
      <c r="B185">
        <v>36</v>
      </c>
    </row>
    <row r="186" spans="1:2" x14ac:dyDescent="0.3">
      <c r="A186" s="74" t="s">
        <v>1287</v>
      </c>
      <c r="B186">
        <v>35</v>
      </c>
    </row>
    <row r="187" spans="1:2" x14ac:dyDescent="0.3">
      <c r="A187" s="74" t="s">
        <v>1345</v>
      </c>
      <c r="B187">
        <v>35</v>
      </c>
    </row>
    <row r="188" spans="1:2" x14ac:dyDescent="0.3">
      <c r="A188" s="74" t="s">
        <v>1244</v>
      </c>
      <c r="B188">
        <v>34</v>
      </c>
    </row>
    <row r="189" spans="1:2" x14ac:dyDescent="0.3">
      <c r="A189" s="74" t="s">
        <v>1223</v>
      </c>
      <c r="B189">
        <v>34</v>
      </c>
    </row>
    <row r="190" spans="1:2" x14ac:dyDescent="0.3">
      <c r="A190" s="74" t="s">
        <v>1307</v>
      </c>
      <c r="B190">
        <v>34</v>
      </c>
    </row>
    <row r="191" spans="1:2" x14ac:dyDescent="0.3">
      <c r="A191" s="74" t="s">
        <v>1212</v>
      </c>
      <c r="B191">
        <v>34</v>
      </c>
    </row>
    <row r="192" spans="1:2" x14ac:dyDescent="0.3">
      <c r="A192" s="74" t="s">
        <v>1078</v>
      </c>
      <c r="B192">
        <v>34</v>
      </c>
    </row>
    <row r="193" spans="1:2" x14ac:dyDescent="0.3">
      <c r="A193" s="74" t="s">
        <v>1284</v>
      </c>
      <c r="B193">
        <v>33</v>
      </c>
    </row>
    <row r="194" spans="1:2" x14ac:dyDescent="0.3">
      <c r="A194" s="74" t="s">
        <v>1172</v>
      </c>
      <c r="B194">
        <v>33</v>
      </c>
    </row>
    <row r="195" spans="1:2" x14ac:dyDescent="0.3">
      <c r="A195" s="74" t="s">
        <v>1275</v>
      </c>
      <c r="B195">
        <v>32</v>
      </c>
    </row>
    <row r="196" spans="1:2" x14ac:dyDescent="0.3">
      <c r="A196" s="74" t="s">
        <v>1265</v>
      </c>
      <c r="B196">
        <v>32</v>
      </c>
    </row>
    <row r="197" spans="1:2" x14ac:dyDescent="0.3">
      <c r="A197" s="74" t="s">
        <v>1270</v>
      </c>
      <c r="B197">
        <v>31</v>
      </c>
    </row>
    <row r="198" spans="1:2" x14ac:dyDescent="0.3">
      <c r="A198" s="74" t="s">
        <v>1252</v>
      </c>
      <c r="B198">
        <v>30</v>
      </c>
    </row>
    <row r="199" spans="1:2" x14ac:dyDescent="0.3">
      <c r="A199" s="74" t="s">
        <v>1238</v>
      </c>
      <c r="B199">
        <v>29</v>
      </c>
    </row>
    <row r="200" spans="1:2" x14ac:dyDescent="0.3">
      <c r="A200" s="74" t="s">
        <v>1303</v>
      </c>
      <c r="B200">
        <v>29</v>
      </c>
    </row>
    <row r="201" spans="1:2" x14ac:dyDescent="0.3">
      <c r="A201" s="74" t="s">
        <v>1138</v>
      </c>
      <c r="B201">
        <v>29</v>
      </c>
    </row>
    <row r="202" spans="1:2" x14ac:dyDescent="0.3">
      <c r="A202" s="74" t="s">
        <v>1268</v>
      </c>
      <c r="B202">
        <v>29</v>
      </c>
    </row>
    <row r="203" spans="1:2" x14ac:dyDescent="0.3">
      <c r="A203" s="74" t="s">
        <v>1299</v>
      </c>
      <c r="B203">
        <v>28</v>
      </c>
    </row>
    <row r="204" spans="1:2" x14ac:dyDescent="0.3">
      <c r="A204" s="74" t="s">
        <v>1277</v>
      </c>
      <c r="B204">
        <v>28</v>
      </c>
    </row>
    <row r="205" spans="1:2" x14ac:dyDescent="0.3">
      <c r="A205" s="74" t="s">
        <v>1371</v>
      </c>
      <c r="B205">
        <v>27</v>
      </c>
    </row>
    <row r="206" spans="1:2" x14ac:dyDescent="0.3">
      <c r="A206" s="74" t="s">
        <v>1295</v>
      </c>
      <c r="B206">
        <v>26</v>
      </c>
    </row>
    <row r="207" spans="1:2" x14ac:dyDescent="0.3">
      <c r="A207" s="74" t="s">
        <v>1276</v>
      </c>
      <c r="B207">
        <v>25</v>
      </c>
    </row>
    <row r="208" spans="1:2" x14ac:dyDescent="0.3">
      <c r="A208" s="74" t="s">
        <v>1245</v>
      </c>
      <c r="B208">
        <v>25</v>
      </c>
    </row>
    <row r="209" spans="1:2" x14ac:dyDescent="0.3">
      <c r="A209" s="74" t="s">
        <v>1131</v>
      </c>
      <c r="B209">
        <v>24</v>
      </c>
    </row>
    <row r="210" spans="1:2" x14ac:dyDescent="0.3">
      <c r="A210" s="74" t="s">
        <v>1258</v>
      </c>
      <c r="B210">
        <v>24</v>
      </c>
    </row>
    <row r="211" spans="1:2" x14ac:dyDescent="0.3">
      <c r="A211" s="74" t="s">
        <v>1241</v>
      </c>
      <c r="B211">
        <v>24</v>
      </c>
    </row>
    <row r="212" spans="1:2" x14ac:dyDescent="0.3">
      <c r="A212" s="74" t="s">
        <v>1288</v>
      </c>
      <c r="B212">
        <v>22</v>
      </c>
    </row>
    <row r="213" spans="1:2" x14ac:dyDescent="0.3">
      <c r="A213" s="74" t="s">
        <v>1330</v>
      </c>
      <c r="B213">
        <v>22</v>
      </c>
    </row>
    <row r="214" spans="1:2" x14ac:dyDescent="0.3">
      <c r="A214" s="74" t="s">
        <v>1312</v>
      </c>
      <c r="B214">
        <v>22</v>
      </c>
    </row>
    <row r="215" spans="1:2" x14ac:dyDescent="0.3">
      <c r="A215" s="74" t="s">
        <v>1261</v>
      </c>
      <c r="B215">
        <v>22</v>
      </c>
    </row>
    <row r="216" spans="1:2" x14ac:dyDescent="0.3">
      <c r="A216" s="74" t="s">
        <v>1445</v>
      </c>
      <c r="B216">
        <v>21</v>
      </c>
    </row>
    <row r="217" spans="1:2" x14ac:dyDescent="0.3">
      <c r="A217" s="74" t="s">
        <v>1344</v>
      </c>
      <c r="B217">
        <v>21</v>
      </c>
    </row>
    <row r="218" spans="1:2" x14ac:dyDescent="0.3">
      <c r="A218" s="74" t="s">
        <v>1332</v>
      </c>
      <c r="B218">
        <v>20</v>
      </c>
    </row>
    <row r="219" spans="1:2" x14ac:dyDescent="0.3">
      <c r="A219" s="74" t="s">
        <v>1396</v>
      </c>
      <c r="B219">
        <v>20</v>
      </c>
    </row>
    <row r="220" spans="1:2" x14ac:dyDescent="0.3">
      <c r="A220" s="74" t="s">
        <v>1361</v>
      </c>
      <c r="B220">
        <v>20</v>
      </c>
    </row>
    <row r="221" spans="1:2" x14ac:dyDescent="0.3">
      <c r="A221" s="74" t="s">
        <v>1309</v>
      </c>
      <c r="B221">
        <v>20</v>
      </c>
    </row>
    <row r="222" spans="1:2" x14ac:dyDescent="0.3">
      <c r="A222" s="74" t="s">
        <v>1210</v>
      </c>
      <c r="B222">
        <v>19</v>
      </c>
    </row>
    <row r="223" spans="1:2" x14ac:dyDescent="0.3">
      <c r="A223" s="74" t="s">
        <v>1185</v>
      </c>
      <c r="B223">
        <v>19</v>
      </c>
    </row>
    <row r="224" spans="1:2" x14ac:dyDescent="0.3">
      <c r="A224" s="74" t="s">
        <v>1283</v>
      </c>
      <c r="B224">
        <v>18</v>
      </c>
    </row>
    <row r="225" spans="1:2" x14ac:dyDescent="0.3">
      <c r="A225" s="74" t="s">
        <v>1338</v>
      </c>
      <c r="B225">
        <v>18</v>
      </c>
    </row>
    <row r="226" spans="1:2" x14ac:dyDescent="0.3">
      <c r="A226" s="74" t="s">
        <v>1221</v>
      </c>
      <c r="B226">
        <v>18</v>
      </c>
    </row>
    <row r="227" spans="1:2" x14ac:dyDescent="0.3">
      <c r="A227" s="74" t="s">
        <v>1352</v>
      </c>
      <c r="B227">
        <v>18</v>
      </c>
    </row>
    <row r="228" spans="1:2" x14ac:dyDescent="0.3">
      <c r="A228" s="74" t="s">
        <v>1224</v>
      </c>
      <c r="B228">
        <v>18</v>
      </c>
    </row>
    <row r="229" spans="1:2" x14ac:dyDescent="0.3">
      <c r="A229" s="74" t="s">
        <v>1457</v>
      </c>
      <c r="B229">
        <v>17</v>
      </c>
    </row>
    <row r="230" spans="1:2" x14ac:dyDescent="0.3">
      <c r="A230" s="74" t="s">
        <v>1202</v>
      </c>
      <c r="B230">
        <v>17</v>
      </c>
    </row>
    <row r="231" spans="1:2" x14ac:dyDescent="0.3">
      <c r="A231" s="74" t="s">
        <v>1297</v>
      </c>
      <c r="B231">
        <v>17</v>
      </c>
    </row>
    <row r="232" spans="1:2" x14ac:dyDescent="0.3">
      <c r="A232" s="74" t="s">
        <v>1278</v>
      </c>
      <c r="B232">
        <v>17</v>
      </c>
    </row>
    <row r="233" spans="1:2" x14ac:dyDescent="0.3">
      <c r="A233" s="74" t="s">
        <v>1343</v>
      </c>
      <c r="B233">
        <v>16</v>
      </c>
    </row>
    <row r="234" spans="1:2" x14ac:dyDescent="0.3">
      <c r="A234" s="74" t="s">
        <v>1346</v>
      </c>
      <c r="B234">
        <v>15</v>
      </c>
    </row>
    <row r="235" spans="1:2" x14ac:dyDescent="0.3">
      <c r="A235" s="74" t="s">
        <v>1337</v>
      </c>
      <c r="B235">
        <v>15</v>
      </c>
    </row>
    <row r="236" spans="1:2" x14ac:dyDescent="0.3">
      <c r="A236" s="74" t="s">
        <v>1296</v>
      </c>
      <c r="B236">
        <v>14</v>
      </c>
    </row>
    <row r="237" spans="1:2" x14ac:dyDescent="0.3">
      <c r="A237" s="74" t="s">
        <v>1331</v>
      </c>
      <c r="B237">
        <v>14</v>
      </c>
    </row>
    <row r="238" spans="1:2" x14ac:dyDescent="0.3">
      <c r="A238" s="74" t="s">
        <v>1251</v>
      </c>
      <c r="B238">
        <v>14</v>
      </c>
    </row>
    <row r="239" spans="1:2" x14ac:dyDescent="0.3">
      <c r="A239" s="74" t="s">
        <v>1213</v>
      </c>
      <c r="B239">
        <v>14</v>
      </c>
    </row>
    <row r="240" spans="1:2" x14ac:dyDescent="0.3">
      <c r="A240" s="74" t="s">
        <v>1435</v>
      </c>
      <c r="B240">
        <v>14</v>
      </c>
    </row>
    <row r="241" spans="1:2" x14ac:dyDescent="0.3">
      <c r="A241" s="74" t="s">
        <v>1336</v>
      </c>
      <c r="B241">
        <v>14</v>
      </c>
    </row>
    <row r="242" spans="1:2" x14ac:dyDescent="0.3">
      <c r="A242" s="74" t="s">
        <v>1353</v>
      </c>
      <c r="B242">
        <v>14</v>
      </c>
    </row>
    <row r="243" spans="1:2" x14ac:dyDescent="0.3">
      <c r="A243" s="74" t="s">
        <v>1310</v>
      </c>
      <c r="B243">
        <v>14</v>
      </c>
    </row>
    <row r="244" spans="1:2" x14ac:dyDescent="0.3">
      <c r="A244" s="74" t="s">
        <v>1355</v>
      </c>
      <c r="B244">
        <v>14</v>
      </c>
    </row>
    <row r="245" spans="1:2" x14ac:dyDescent="0.3">
      <c r="A245" s="74" t="s">
        <v>1329</v>
      </c>
      <c r="B245">
        <v>13</v>
      </c>
    </row>
    <row r="246" spans="1:2" x14ac:dyDescent="0.3">
      <c r="A246" s="74" t="s">
        <v>1298</v>
      </c>
      <c r="B246">
        <v>13</v>
      </c>
    </row>
    <row r="247" spans="1:2" x14ac:dyDescent="0.3">
      <c r="A247" s="74" t="s">
        <v>1286</v>
      </c>
      <c r="B247">
        <v>13</v>
      </c>
    </row>
    <row r="248" spans="1:2" x14ac:dyDescent="0.3">
      <c r="A248" s="74" t="s">
        <v>1342</v>
      </c>
      <c r="B248">
        <v>13</v>
      </c>
    </row>
    <row r="249" spans="1:2" x14ac:dyDescent="0.3">
      <c r="A249" s="74" t="s">
        <v>1291</v>
      </c>
      <c r="B249">
        <v>12</v>
      </c>
    </row>
    <row r="250" spans="1:2" x14ac:dyDescent="0.3">
      <c r="A250" s="74" t="s">
        <v>1205</v>
      </c>
      <c r="B250">
        <v>12</v>
      </c>
    </row>
    <row r="251" spans="1:2" x14ac:dyDescent="0.3">
      <c r="A251" s="74" t="s">
        <v>1453</v>
      </c>
      <c r="B251">
        <v>12</v>
      </c>
    </row>
    <row r="252" spans="1:2" x14ac:dyDescent="0.3">
      <c r="A252" s="74" t="s">
        <v>1311</v>
      </c>
      <c r="B252">
        <v>12</v>
      </c>
    </row>
    <row r="253" spans="1:2" x14ac:dyDescent="0.3">
      <c r="A253" s="74" t="s">
        <v>1328</v>
      </c>
      <c r="B253">
        <v>12</v>
      </c>
    </row>
    <row r="254" spans="1:2" x14ac:dyDescent="0.3">
      <c r="A254" s="74" t="s">
        <v>1354</v>
      </c>
      <c r="B254">
        <v>11</v>
      </c>
    </row>
    <row r="255" spans="1:2" x14ac:dyDescent="0.3">
      <c r="A255" s="74" t="s">
        <v>1304</v>
      </c>
      <c r="B255">
        <v>10</v>
      </c>
    </row>
    <row r="256" spans="1:2" x14ac:dyDescent="0.3">
      <c r="A256" s="74" t="s">
        <v>1412</v>
      </c>
      <c r="B256">
        <v>10</v>
      </c>
    </row>
    <row r="257" spans="1:2" x14ac:dyDescent="0.3">
      <c r="A257" s="74" t="s">
        <v>1243</v>
      </c>
      <c r="B257">
        <v>10</v>
      </c>
    </row>
    <row r="258" spans="1:2" x14ac:dyDescent="0.3">
      <c r="A258" s="74" t="s">
        <v>1359</v>
      </c>
      <c r="B258">
        <v>10</v>
      </c>
    </row>
    <row r="259" spans="1:2" x14ac:dyDescent="0.3">
      <c r="A259" s="74" t="s">
        <v>1308</v>
      </c>
      <c r="B259">
        <v>10</v>
      </c>
    </row>
    <row r="260" spans="1:2" x14ac:dyDescent="0.3">
      <c r="A260" s="74" t="s">
        <v>1452</v>
      </c>
      <c r="B260">
        <v>10</v>
      </c>
    </row>
    <row r="261" spans="1:2" x14ac:dyDescent="0.3">
      <c r="A261" s="74" t="s">
        <v>1301</v>
      </c>
      <c r="B261">
        <v>10</v>
      </c>
    </row>
    <row r="262" spans="1:2" x14ac:dyDescent="0.3">
      <c r="A262" s="74" t="s">
        <v>1405</v>
      </c>
      <c r="B262">
        <v>9</v>
      </c>
    </row>
    <row r="263" spans="1:2" x14ac:dyDescent="0.3">
      <c r="A263" s="74" t="s">
        <v>1385</v>
      </c>
      <c r="B263">
        <v>9</v>
      </c>
    </row>
    <row r="264" spans="1:2" x14ac:dyDescent="0.3">
      <c r="A264" s="74" t="s">
        <v>1070</v>
      </c>
      <c r="B264">
        <v>9</v>
      </c>
    </row>
    <row r="265" spans="1:2" x14ac:dyDescent="0.3">
      <c r="A265" s="74" t="s">
        <v>1313</v>
      </c>
      <c r="B265">
        <v>9</v>
      </c>
    </row>
    <row r="266" spans="1:2" x14ac:dyDescent="0.3">
      <c r="A266" s="74" t="s">
        <v>1393</v>
      </c>
      <c r="B266">
        <v>9</v>
      </c>
    </row>
    <row r="267" spans="1:2" x14ac:dyDescent="0.3">
      <c r="A267" s="74" t="s">
        <v>1130</v>
      </c>
      <c r="B267">
        <v>9</v>
      </c>
    </row>
    <row r="268" spans="1:2" x14ac:dyDescent="0.3">
      <c r="A268" s="74" t="s">
        <v>1300</v>
      </c>
      <c r="B268">
        <v>8</v>
      </c>
    </row>
    <row r="269" spans="1:2" x14ac:dyDescent="0.3">
      <c r="A269" s="74" t="s">
        <v>1290</v>
      </c>
      <c r="B269">
        <v>8</v>
      </c>
    </row>
    <row r="270" spans="1:2" x14ac:dyDescent="0.3">
      <c r="A270" s="74" t="s">
        <v>1315</v>
      </c>
      <c r="B270">
        <v>8</v>
      </c>
    </row>
    <row r="271" spans="1:2" x14ac:dyDescent="0.3">
      <c r="A271" s="74" t="s">
        <v>1389</v>
      </c>
      <c r="B271">
        <v>8</v>
      </c>
    </row>
    <row r="272" spans="1:2" x14ac:dyDescent="0.3">
      <c r="A272" s="74" t="s">
        <v>1259</v>
      </c>
      <c r="B272">
        <v>8</v>
      </c>
    </row>
    <row r="273" spans="1:2" x14ac:dyDescent="0.3">
      <c r="A273" s="74" t="s">
        <v>1319</v>
      </c>
      <c r="B273">
        <v>8</v>
      </c>
    </row>
    <row r="274" spans="1:2" x14ac:dyDescent="0.3">
      <c r="A274" s="74" t="s">
        <v>1351</v>
      </c>
      <c r="B274">
        <v>8</v>
      </c>
    </row>
    <row r="275" spans="1:2" x14ac:dyDescent="0.3">
      <c r="A275" s="74" t="s">
        <v>1334</v>
      </c>
      <c r="B275">
        <v>8</v>
      </c>
    </row>
    <row r="276" spans="1:2" x14ac:dyDescent="0.3">
      <c r="A276" s="74" t="s">
        <v>1429</v>
      </c>
      <c r="B276">
        <v>8</v>
      </c>
    </row>
    <row r="277" spans="1:2" x14ac:dyDescent="0.3">
      <c r="A277" s="74" t="s">
        <v>1463</v>
      </c>
      <c r="B277">
        <v>8</v>
      </c>
    </row>
    <row r="278" spans="1:2" x14ac:dyDescent="0.3">
      <c r="A278" s="74" t="s">
        <v>1455</v>
      </c>
      <c r="B278">
        <v>8</v>
      </c>
    </row>
    <row r="279" spans="1:2" x14ac:dyDescent="0.3">
      <c r="A279" s="74" t="s">
        <v>1376</v>
      </c>
      <c r="B279">
        <v>8</v>
      </c>
    </row>
    <row r="280" spans="1:2" x14ac:dyDescent="0.3">
      <c r="A280" s="74" t="s">
        <v>1459</v>
      </c>
      <c r="B280">
        <v>7</v>
      </c>
    </row>
    <row r="281" spans="1:2" x14ac:dyDescent="0.3">
      <c r="A281" s="74" t="s">
        <v>1254</v>
      </c>
      <c r="B281">
        <v>7</v>
      </c>
    </row>
    <row r="282" spans="1:2" x14ac:dyDescent="0.3">
      <c r="A282" s="74" t="s">
        <v>1446</v>
      </c>
      <c r="B282">
        <v>7</v>
      </c>
    </row>
    <row r="283" spans="1:2" x14ac:dyDescent="0.3">
      <c r="A283" s="74" t="s">
        <v>1365</v>
      </c>
      <c r="B283">
        <v>7</v>
      </c>
    </row>
    <row r="284" spans="1:2" x14ac:dyDescent="0.3">
      <c r="A284" s="74" t="s">
        <v>1489</v>
      </c>
      <c r="B284">
        <v>7</v>
      </c>
    </row>
    <row r="285" spans="1:2" x14ac:dyDescent="0.3">
      <c r="A285" s="74" t="s">
        <v>1386</v>
      </c>
      <c r="B285">
        <v>7</v>
      </c>
    </row>
    <row r="286" spans="1:2" x14ac:dyDescent="0.3">
      <c r="A286" s="74" t="s">
        <v>1473</v>
      </c>
      <c r="B286">
        <v>7</v>
      </c>
    </row>
    <row r="287" spans="1:2" x14ac:dyDescent="0.3">
      <c r="A287" s="74" t="s">
        <v>1419</v>
      </c>
      <c r="B287">
        <v>7</v>
      </c>
    </row>
    <row r="288" spans="1:2" x14ac:dyDescent="0.3">
      <c r="A288" s="74" t="s">
        <v>1479</v>
      </c>
      <c r="B288">
        <v>7</v>
      </c>
    </row>
    <row r="289" spans="1:2" x14ac:dyDescent="0.3">
      <c r="A289" s="74" t="s">
        <v>1166</v>
      </c>
      <c r="B289">
        <v>7</v>
      </c>
    </row>
    <row r="290" spans="1:2" x14ac:dyDescent="0.3">
      <c r="A290" s="74" t="s">
        <v>1280</v>
      </c>
      <c r="B290">
        <v>6</v>
      </c>
    </row>
    <row r="291" spans="1:2" x14ac:dyDescent="0.3">
      <c r="A291" s="74" t="s">
        <v>1317</v>
      </c>
      <c r="B291">
        <v>6</v>
      </c>
    </row>
    <row r="292" spans="1:2" x14ac:dyDescent="0.3">
      <c r="A292" s="74" t="s">
        <v>1267</v>
      </c>
      <c r="B292">
        <v>6</v>
      </c>
    </row>
    <row r="293" spans="1:2" x14ac:dyDescent="0.3">
      <c r="A293" s="74" t="s">
        <v>1335</v>
      </c>
      <c r="B293">
        <v>6</v>
      </c>
    </row>
    <row r="294" spans="1:2" x14ac:dyDescent="0.3">
      <c r="A294" s="74" t="s">
        <v>1476</v>
      </c>
      <c r="B294">
        <v>6</v>
      </c>
    </row>
    <row r="295" spans="1:2" x14ac:dyDescent="0.3">
      <c r="A295" s="74" t="s">
        <v>1363</v>
      </c>
      <c r="B295">
        <v>6</v>
      </c>
    </row>
    <row r="296" spans="1:2" x14ac:dyDescent="0.3">
      <c r="A296" s="74" t="s">
        <v>1471</v>
      </c>
      <c r="B296">
        <v>6</v>
      </c>
    </row>
    <row r="297" spans="1:2" x14ac:dyDescent="0.3">
      <c r="A297" s="74" t="s">
        <v>1408</v>
      </c>
      <c r="B297">
        <v>6</v>
      </c>
    </row>
    <row r="298" spans="1:2" x14ac:dyDescent="0.3">
      <c r="A298" s="74" t="s">
        <v>1461</v>
      </c>
      <c r="B298">
        <v>6</v>
      </c>
    </row>
    <row r="299" spans="1:2" x14ac:dyDescent="0.3">
      <c r="A299" s="74" t="s">
        <v>1433</v>
      </c>
      <c r="B299">
        <v>6</v>
      </c>
    </row>
    <row r="300" spans="1:2" x14ac:dyDescent="0.3">
      <c r="A300" s="74" t="s">
        <v>1369</v>
      </c>
      <c r="B300">
        <v>6</v>
      </c>
    </row>
    <row r="301" spans="1:2" x14ac:dyDescent="0.3">
      <c r="A301" s="74" t="s">
        <v>1451</v>
      </c>
      <c r="B301">
        <v>6</v>
      </c>
    </row>
    <row r="302" spans="1:2" x14ac:dyDescent="0.3">
      <c r="A302" s="74" t="s">
        <v>1394</v>
      </c>
      <c r="B302">
        <v>5</v>
      </c>
    </row>
    <row r="303" spans="1:2" x14ac:dyDescent="0.3">
      <c r="A303" s="74" t="s">
        <v>1539</v>
      </c>
      <c r="B303">
        <v>5</v>
      </c>
    </row>
    <row r="304" spans="1:2" x14ac:dyDescent="0.3">
      <c r="A304" s="74" t="s">
        <v>1493</v>
      </c>
      <c r="B304">
        <v>5</v>
      </c>
    </row>
    <row r="305" spans="1:2" x14ac:dyDescent="0.3">
      <c r="A305" s="74" t="s">
        <v>1424</v>
      </c>
      <c r="B305">
        <v>5</v>
      </c>
    </row>
    <row r="306" spans="1:2" x14ac:dyDescent="0.3">
      <c r="A306" s="74" t="s">
        <v>1449</v>
      </c>
      <c r="B306">
        <v>5</v>
      </c>
    </row>
    <row r="307" spans="1:2" x14ac:dyDescent="0.3">
      <c r="A307" s="74" t="s">
        <v>1350</v>
      </c>
      <c r="B307">
        <v>5</v>
      </c>
    </row>
    <row r="308" spans="1:2" x14ac:dyDescent="0.3">
      <c r="A308" s="74" t="s">
        <v>1410</v>
      </c>
      <c r="B308">
        <v>5</v>
      </c>
    </row>
    <row r="309" spans="1:2" x14ac:dyDescent="0.3">
      <c r="A309" s="74" t="s">
        <v>1357</v>
      </c>
      <c r="B309">
        <v>5</v>
      </c>
    </row>
    <row r="310" spans="1:2" x14ac:dyDescent="0.3">
      <c r="A310" s="74" t="s">
        <v>1417</v>
      </c>
      <c r="B310">
        <v>5</v>
      </c>
    </row>
    <row r="311" spans="1:2" x14ac:dyDescent="0.3">
      <c r="A311" s="74" t="s">
        <v>1250</v>
      </c>
      <c r="B311">
        <v>5</v>
      </c>
    </row>
    <row r="312" spans="1:2" x14ac:dyDescent="0.3">
      <c r="A312" s="74" t="s">
        <v>1392</v>
      </c>
      <c r="B312">
        <v>5</v>
      </c>
    </row>
    <row r="313" spans="1:2" x14ac:dyDescent="0.3">
      <c r="A313" s="74" t="s">
        <v>1439</v>
      </c>
      <c r="B313">
        <v>5</v>
      </c>
    </row>
    <row r="314" spans="1:2" x14ac:dyDescent="0.3">
      <c r="A314" s="74" t="s">
        <v>1360</v>
      </c>
      <c r="B314">
        <v>5</v>
      </c>
    </row>
    <row r="315" spans="1:2" x14ac:dyDescent="0.3">
      <c r="A315" s="74" t="s">
        <v>1456</v>
      </c>
      <c r="B315">
        <v>5</v>
      </c>
    </row>
    <row r="316" spans="1:2" x14ac:dyDescent="0.3">
      <c r="A316" s="74" t="s">
        <v>1327</v>
      </c>
      <c r="B316">
        <v>5</v>
      </c>
    </row>
    <row r="317" spans="1:2" x14ac:dyDescent="0.3">
      <c r="A317" s="74" t="s">
        <v>1477</v>
      </c>
      <c r="B317">
        <v>5</v>
      </c>
    </row>
    <row r="318" spans="1:2" x14ac:dyDescent="0.3">
      <c r="A318" s="74" t="s">
        <v>1348</v>
      </c>
      <c r="B318">
        <v>5</v>
      </c>
    </row>
    <row r="319" spans="1:2" x14ac:dyDescent="0.3">
      <c r="A319" s="74" t="s">
        <v>1322</v>
      </c>
      <c r="B319">
        <v>5</v>
      </c>
    </row>
    <row r="320" spans="1:2" x14ac:dyDescent="0.3">
      <c r="A320" s="74" t="s">
        <v>1347</v>
      </c>
      <c r="B320">
        <v>5</v>
      </c>
    </row>
    <row r="321" spans="1:2" x14ac:dyDescent="0.3">
      <c r="A321" s="74" t="s">
        <v>1426</v>
      </c>
      <c r="B321">
        <v>4</v>
      </c>
    </row>
    <row r="322" spans="1:2" x14ac:dyDescent="0.3">
      <c r="A322" s="74" t="s">
        <v>1413</v>
      </c>
      <c r="B322">
        <v>4</v>
      </c>
    </row>
    <row r="323" spans="1:2" x14ac:dyDescent="0.3">
      <c r="A323" s="74" t="s">
        <v>1546</v>
      </c>
      <c r="B323">
        <v>4</v>
      </c>
    </row>
    <row r="324" spans="1:2" x14ac:dyDescent="0.3">
      <c r="A324" s="74" t="s">
        <v>1378</v>
      </c>
      <c r="B324">
        <v>4</v>
      </c>
    </row>
    <row r="325" spans="1:2" x14ac:dyDescent="0.3">
      <c r="A325" s="74" t="s">
        <v>1505</v>
      </c>
      <c r="B325">
        <v>4</v>
      </c>
    </row>
    <row r="326" spans="1:2" x14ac:dyDescent="0.3">
      <c r="A326" s="74" t="s">
        <v>1404</v>
      </c>
      <c r="B326">
        <v>4</v>
      </c>
    </row>
    <row r="327" spans="1:2" x14ac:dyDescent="0.3">
      <c r="A327" s="74" t="s">
        <v>1383</v>
      </c>
      <c r="B327">
        <v>4</v>
      </c>
    </row>
    <row r="328" spans="1:2" x14ac:dyDescent="0.3">
      <c r="A328" s="74" t="s">
        <v>1464</v>
      </c>
      <c r="B328">
        <v>4</v>
      </c>
    </row>
    <row r="329" spans="1:2" x14ac:dyDescent="0.3">
      <c r="A329" s="74" t="s">
        <v>1395</v>
      </c>
      <c r="B329">
        <v>4</v>
      </c>
    </row>
    <row r="330" spans="1:2" x14ac:dyDescent="0.3">
      <c r="A330" s="74" t="s">
        <v>1367</v>
      </c>
      <c r="B330">
        <v>4</v>
      </c>
    </row>
    <row r="331" spans="1:2" x14ac:dyDescent="0.3">
      <c r="A331" s="74" t="s">
        <v>1472</v>
      </c>
      <c r="B331">
        <v>4</v>
      </c>
    </row>
    <row r="332" spans="1:2" x14ac:dyDescent="0.3">
      <c r="A332" s="74" t="s">
        <v>1333</v>
      </c>
      <c r="B332">
        <v>4</v>
      </c>
    </row>
    <row r="333" spans="1:2" x14ac:dyDescent="0.3">
      <c r="A333" s="74" t="s">
        <v>1499</v>
      </c>
      <c r="B333">
        <v>4</v>
      </c>
    </row>
    <row r="334" spans="1:2" x14ac:dyDescent="0.3">
      <c r="A334" s="74" t="s">
        <v>1401</v>
      </c>
      <c r="B334">
        <v>4</v>
      </c>
    </row>
    <row r="335" spans="1:2" x14ac:dyDescent="0.3">
      <c r="A335" s="74" t="s">
        <v>1326</v>
      </c>
      <c r="B335">
        <v>4</v>
      </c>
    </row>
    <row r="336" spans="1:2" x14ac:dyDescent="0.3">
      <c r="A336" s="74" t="s">
        <v>1458</v>
      </c>
      <c r="B336">
        <v>4</v>
      </c>
    </row>
    <row r="337" spans="1:2" x14ac:dyDescent="0.3">
      <c r="A337" s="74" t="s">
        <v>1321</v>
      </c>
      <c r="B337">
        <v>4</v>
      </c>
    </row>
    <row r="338" spans="1:2" x14ac:dyDescent="0.3">
      <c r="A338" s="74" t="s">
        <v>1411</v>
      </c>
      <c r="B338">
        <v>4</v>
      </c>
    </row>
    <row r="339" spans="1:2" x14ac:dyDescent="0.3">
      <c r="A339" s="74" t="s">
        <v>1384</v>
      </c>
      <c r="B339">
        <v>4</v>
      </c>
    </row>
    <row r="340" spans="1:2" x14ac:dyDescent="0.3">
      <c r="A340" s="74" t="s">
        <v>1391</v>
      </c>
      <c r="B340">
        <v>4</v>
      </c>
    </row>
    <row r="341" spans="1:2" x14ac:dyDescent="0.3">
      <c r="A341" s="74" t="s">
        <v>1409</v>
      </c>
      <c r="B341">
        <v>4</v>
      </c>
    </row>
    <row r="342" spans="1:2" x14ac:dyDescent="0.3">
      <c r="A342" s="74" t="s">
        <v>1372</v>
      </c>
      <c r="B342">
        <v>4</v>
      </c>
    </row>
    <row r="343" spans="1:2" x14ac:dyDescent="0.3">
      <c r="A343" s="74" t="s">
        <v>1324</v>
      </c>
      <c r="B343">
        <v>4</v>
      </c>
    </row>
    <row r="344" spans="1:2" x14ac:dyDescent="0.3">
      <c r="A344" s="74" t="s">
        <v>1488</v>
      </c>
      <c r="B344">
        <v>4</v>
      </c>
    </row>
    <row r="345" spans="1:2" x14ac:dyDescent="0.3">
      <c r="A345" s="74" t="s">
        <v>1465</v>
      </c>
      <c r="B345">
        <v>4</v>
      </c>
    </row>
    <row r="346" spans="1:2" x14ac:dyDescent="0.3">
      <c r="A346" s="74" t="s">
        <v>1302</v>
      </c>
      <c r="B346">
        <v>4</v>
      </c>
    </row>
    <row r="347" spans="1:2" x14ac:dyDescent="0.3">
      <c r="A347" s="74" t="s">
        <v>1406</v>
      </c>
      <c r="B347">
        <v>3</v>
      </c>
    </row>
    <row r="348" spans="1:2" x14ac:dyDescent="0.3">
      <c r="A348" s="74" t="s">
        <v>1339</v>
      </c>
      <c r="B348">
        <v>3</v>
      </c>
    </row>
    <row r="349" spans="1:2" x14ac:dyDescent="0.3">
      <c r="A349" s="74" t="s">
        <v>1430</v>
      </c>
      <c r="B349">
        <v>3</v>
      </c>
    </row>
    <row r="350" spans="1:2" x14ac:dyDescent="0.3">
      <c r="A350" s="74" t="s">
        <v>1356</v>
      </c>
      <c r="B350">
        <v>3</v>
      </c>
    </row>
    <row r="351" spans="1:2" x14ac:dyDescent="0.3">
      <c r="A351" s="74" t="s">
        <v>1552</v>
      </c>
      <c r="B351">
        <v>3</v>
      </c>
    </row>
    <row r="352" spans="1:2" x14ac:dyDescent="0.3">
      <c r="A352" s="74" t="s">
        <v>1448</v>
      </c>
      <c r="B352">
        <v>3</v>
      </c>
    </row>
    <row r="353" spans="1:2" x14ac:dyDescent="0.3">
      <c r="A353" s="74" t="s">
        <v>1427</v>
      </c>
      <c r="B353">
        <v>3</v>
      </c>
    </row>
    <row r="354" spans="1:2" x14ac:dyDescent="0.3">
      <c r="A354" s="74" t="s">
        <v>1454</v>
      </c>
      <c r="B354">
        <v>3</v>
      </c>
    </row>
    <row r="355" spans="1:2" x14ac:dyDescent="0.3">
      <c r="A355" s="74" t="s">
        <v>1293</v>
      </c>
      <c r="B355">
        <v>3</v>
      </c>
    </row>
    <row r="356" spans="1:2" x14ac:dyDescent="0.3">
      <c r="A356" s="74" t="s">
        <v>1420</v>
      </c>
      <c r="B356">
        <v>3</v>
      </c>
    </row>
    <row r="357" spans="1:2" x14ac:dyDescent="0.3">
      <c r="A357" s="74" t="s">
        <v>1478</v>
      </c>
      <c r="B357">
        <v>3</v>
      </c>
    </row>
    <row r="358" spans="1:2" x14ac:dyDescent="0.3">
      <c r="A358" s="74" t="s">
        <v>1382</v>
      </c>
      <c r="B358">
        <v>3</v>
      </c>
    </row>
    <row r="359" spans="1:2" x14ac:dyDescent="0.3">
      <c r="A359" s="74" t="s">
        <v>1557</v>
      </c>
      <c r="B359">
        <v>3</v>
      </c>
    </row>
    <row r="360" spans="1:2" x14ac:dyDescent="0.3">
      <c r="A360" s="74" t="s">
        <v>1525</v>
      </c>
      <c r="B360">
        <v>3</v>
      </c>
    </row>
    <row r="361" spans="1:2" x14ac:dyDescent="0.3">
      <c r="A361" s="74" t="s">
        <v>1510</v>
      </c>
      <c r="B361">
        <v>3</v>
      </c>
    </row>
    <row r="362" spans="1:2" x14ac:dyDescent="0.3">
      <c r="A362" s="74" t="s">
        <v>1349</v>
      </c>
      <c r="B362">
        <v>3</v>
      </c>
    </row>
    <row r="363" spans="1:2" x14ac:dyDescent="0.3">
      <c r="A363" s="74" t="s">
        <v>1374</v>
      </c>
      <c r="B363">
        <v>3</v>
      </c>
    </row>
    <row r="364" spans="1:2" x14ac:dyDescent="0.3">
      <c r="A364" s="74" t="s">
        <v>1599</v>
      </c>
      <c r="B364">
        <v>3</v>
      </c>
    </row>
    <row r="365" spans="1:2" x14ac:dyDescent="0.3">
      <c r="A365" s="74" t="s">
        <v>1274</v>
      </c>
      <c r="B365">
        <v>3</v>
      </c>
    </row>
    <row r="366" spans="1:2" x14ac:dyDescent="0.3">
      <c r="A366" s="74" t="s">
        <v>1380</v>
      </c>
      <c r="B366">
        <v>3</v>
      </c>
    </row>
    <row r="367" spans="1:2" x14ac:dyDescent="0.3">
      <c r="A367" s="74" t="s">
        <v>1421</v>
      </c>
      <c r="B367">
        <v>3</v>
      </c>
    </row>
    <row r="368" spans="1:2" x14ac:dyDescent="0.3">
      <c r="A368" s="74" t="s">
        <v>1414</v>
      </c>
      <c r="B368">
        <v>3</v>
      </c>
    </row>
    <row r="369" spans="1:2" x14ac:dyDescent="0.3">
      <c r="A369" s="74" t="s">
        <v>1572</v>
      </c>
      <c r="B369">
        <v>3</v>
      </c>
    </row>
    <row r="370" spans="1:2" x14ac:dyDescent="0.3">
      <c r="A370" s="74" t="s">
        <v>1475</v>
      </c>
      <c r="B370">
        <v>3</v>
      </c>
    </row>
    <row r="371" spans="1:2" x14ac:dyDescent="0.3">
      <c r="A371" s="74" t="s">
        <v>1399</v>
      </c>
      <c r="B371">
        <v>3</v>
      </c>
    </row>
    <row r="372" spans="1:2" x14ac:dyDescent="0.3">
      <c r="A372" s="74" t="s">
        <v>1468</v>
      </c>
      <c r="B372">
        <v>3</v>
      </c>
    </row>
    <row r="373" spans="1:2" x14ac:dyDescent="0.3">
      <c r="A373" s="74" t="s">
        <v>1442</v>
      </c>
      <c r="B373">
        <v>2</v>
      </c>
    </row>
    <row r="374" spans="1:2" x14ac:dyDescent="0.3">
      <c r="A374" s="74" t="s">
        <v>1541</v>
      </c>
      <c r="B374">
        <v>2</v>
      </c>
    </row>
    <row r="375" spans="1:2" x14ac:dyDescent="0.3">
      <c r="A375" s="74" t="s">
        <v>1403</v>
      </c>
      <c r="B375">
        <v>2</v>
      </c>
    </row>
    <row r="376" spans="1:2" x14ac:dyDescent="0.3">
      <c r="A376" s="74" t="s">
        <v>1563</v>
      </c>
      <c r="B376">
        <v>2</v>
      </c>
    </row>
    <row r="377" spans="1:2" x14ac:dyDescent="0.3">
      <c r="A377" s="74" t="s">
        <v>1364</v>
      </c>
      <c r="B377">
        <v>2</v>
      </c>
    </row>
    <row r="378" spans="1:2" x14ac:dyDescent="0.3">
      <c r="A378" s="74" t="s">
        <v>1548</v>
      </c>
      <c r="B378">
        <v>2</v>
      </c>
    </row>
    <row r="379" spans="1:2" x14ac:dyDescent="0.3">
      <c r="A379" s="74" t="s">
        <v>1537</v>
      </c>
      <c r="B379">
        <v>2</v>
      </c>
    </row>
    <row r="380" spans="1:2" x14ac:dyDescent="0.3">
      <c r="A380" s="74" t="s">
        <v>1218</v>
      </c>
      <c r="B380">
        <v>2</v>
      </c>
    </row>
    <row r="381" spans="1:2" x14ac:dyDescent="0.3">
      <c r="A381" s="74" t="s">
        <v>1388</v>
      </c>
      <c r="B381">
        <v>2</v>
      </c>
    </row>
    <row r="382" spans="1:2" x14ac:dyDescent="0.3">
      <c r="A382" s="74" t="s">
        <v>1325</v>
      </c>
      <c r="B382">
        <v>2</v>
      </c>
    </row>
    <row r="383" spans="1:2" x14ac:dyDescent="0.3">
      <c r="A383" s="74" t="s">
        <v>1530</v>
      </c>
      <c r="B383">
        <v>2</v>
      </c>
    </row>
    <row r="384" spans="1:2" x14ac:dyDescent="0.3">
      <c r="A384" s="74" t="s">
        <v>1438</v>
      </c>
      <c r="B384">
        <v>2</v>
      </c>
    </row>
    <row r="385" spans="1:2" x14ac:dyDescent="0.3">
      <c r="A385" s="74" t="s">
        <v>1436</v>
      </c>
      <c r="B385">
        <v>2</v>
      </c>
    </row>
    <row r="386" spans="1:2" x14ac:dyDescent="0.3">
      <c r="A386" s="74" t="s">
        <v>1398</v>
      </c>
      <c r="B386">
        <v>2</v>
      </c>
    </row>
    <row r="387" spans="1:2" x14ac:dyDescent="0.3">
      <c r="A387" s="74" t="s">
        <v>1428</v>
      </c>
      <c r="B387">
        <v>2</v>
      </c>
    </row>
    <row r="388" spans="1:2" x14ac:dyDescent="0.3">
      <c r="A388" s="74" t="s">
        <v>1532</v>
      </c>
      <c r="B388">
        <v>2</v>
      </c>
    </row>
    <row r="389" spans="1:2" x14ac:dyDescent="0.3">
      <c r="A389" s="74" t="s">
        <v>1368</v>
      </c>
      <c r="B389">
        <v>2</v>
      </c>
    </row>
    <row r="390" spans="1:2" x14ac:dyDescent="0.3">
      <c r="A390" s="74" t="s">
        <v>1431</v>
      </c>
      <c r="B390">
        <v>2</v>
      </c>
    </row>
    <row r="391" spans="1:2" x14ac:dyDescent="0.3">
      <c r="A391" s="74" t="s">
        <v>1450</v>
      </c>
      <c r="B391">
        <v>2</v>
      </c>
    </row>
    <row r="392" spans="1:2" x14ac:dyDescent="0.3">
      <c r="A392" s="74" t="s">
        <v>1441</v>
      </c>
      <c r="B392">
        <v>2</v>
      </c>
    </row>
    <row r="393" spans="1:2" x14ac:dyDescent="0.3">
      <c r="A393" s="74" t="s">
        <v>1540</v>
      </c>
      <c r="B393">
        <v>2</v>
      </c>
    </row>
    <row r="394" spans="1:2" x14ac:dyDescent="0.3">
      <c r="A394" s="74" t="s">
        <v>1271</v>
      </c>
      <c r="B394">
        <v>2</v>
      </c>
    </row>
    <row r="395" spans="1:2" x14ac:dyDescent="0.3">
      <c r="A395" s="74" t="s">
        <v>1470</v>
      </c>
      <c r="B395">
        <v>2</v>
      </c>
    </row>
    <row r="396" spans="1:2" x14ac:dyDescent="0.3">
      <c r="A396" s="74" t="s">
        <v>1545</v>
      </c>
      <c r="B396">
        <v>2</v>
      </c>
    </row>
    <row r="397" spans="1:2" x14ac:dyDescent="0.3">
      <c r="A397" s="74" t="s">
        <v>1460</v>
      </c>
      <c r="B397">
        <v>2</v>
      </c>
    </row>
    <row r="398" spans="1:2" x14ac:dyDescent="0.3">
      <c r="A398" s="74" t="s">
        <v>1285</v>
      </c>
      <c r="B398">
        <v>2</v>
      </c>
    </row>
    <row r="399" spans="1:2" x14ac:dyDescent="0.3">
      <c r="A399" s="74" t="s">
        <v>1387</v>
      </c>
      <c r="B399">
        <v>2</v>
      </c>
    </row>
    <row r="400" spans="1:2" x14ac:dyDescent="0.3">
      <c r="A400" s="74" t="s">
        <v>1481</v>
      </c>
      <c r="B400">
        <v>2</v>
      </c>
    </row>
    <row r="401" spans="1:2" x14ac:dyDescent="0.3">
      <c r="A401" s="74" t="s">
        <v>1306</v>
      </c>
      <c r="B401">
        <v>2</v>
      </c>
    </row>
    <row r="402" spans="1:2" x14ac:dyDescent="0.3">
      <c r="A402" s="74" t="s">
        <v>1381</v>
      </c>
      <c r="B402">
        <v>2</v>
      </c>
    </row>
    <row r="403" spans="1:2" x14ac:dyDescent="0.3">
      <c r="A403" s="74" t="s">
        <v>1418</v>
      </c>
      <c r="B403">
        <v>2</v>
      </c>
    </row>
    <row r="404" spans="1:2" x14ac:dyDescent="0.3">
      <c r="A404" s="74" t="s">
        <v>1515</v>
      </c>
      <c r="B404">
        <v>2</v>
      </c>
    </row>
    <row r="405" spans="1:2" x14ac:dyDescent="0.3">
      <c r="A405" s="74" t="s">
        <v>1528</v>
      </c>
      <c r="B405">
        <v>2</v>
      </c>
    </row>
    <row r="406" spans="1:2" x14ac:dyDescent="0.3">
      <c r="A406" s="74" t="s">
        <v>1279</v>
      </c>
      <c r="B406">
        <v>2</v>
      </c>
    </row>
    <row r="407" spans="1:2" x14ac:dyDescent="0.3">
      <c r="A407" s="74" t="s">
        <v>1516</v>
      </c>
      <c r="B407">
        <v>2</v>
      </c>
    </row>
    <row r="408" spans="1:2" x14ac:dyDescent="0.3">
      <c r="A408" s="74" t="s">
        <v>1506</v>
      </c>
      <c r="B408">
        <v>2</v>
      </c>
    </row>
    <row r="409" spans="1:2" x14ac:dyDescent="0.3">
      <c r="A409" s="74" t="s">
        <v>1523</v>
      </c>
      <c r="B409">
        <v>2</v>
      </c>
    </row>
    <row r="410" spans="1:2" x14ac:dyDescent="0.3">
      <c r="A410" s="74" t="s">
        <v>1554</v>
      </c>
      <c r="B410">
        <v>2</v>
      </c>
    </row>
    <row r="411" spans="1:2" x14ac:dyDescent="0.3">
      <c r="A411" s="74" t="s">
        <v>1571</v>
      </c>
      <c r="B411">
        <v>2</v>
      </c>
    </row>
    <row r="412" spans="1:2" x14ac:dyDescent="0.3">
      <c r="A412" s="74" t="s">
        <v>1437</v>
      </c>
      <c r="B412">
        <v>2</v>
      </c>
    </row>
    <row r="413" spans="1:2" x14ac:dyDescent="0.3">
      <c r="A413" s="74" t="s">
        <v>1462</v>
      </c>
      <c r="B413">
        <v>2</v>
      </c>
    </row>
    <row r="414" spans="1:2" x14ac:dyDescent="0.3">
      <c r="A414" s="74" t="s">
        <v>1483</v>
      </c>
      <c r="B414">
        <v>2</v>
      </c>
    </row>
    <row r="415" spans="1:2" x14ac:dyDescent="0.3">
      <c r="A415" s="74" t="s">
        <v>1491</v>
      </c>
      <c r="B415">
        <v>2</v>
      </c>
    </row>
    <row r="416" spans="1:2" x14ac:dyDescent="0.3">
      <c r="A416" s="74" t="s">
        <v>1531</v>
      </c>
      <c r="B416">
        <v>2</v>
      </c>
    </row>
    <row r="417" spans="1:2" x14ac:dyDescent="0.3">
      <c r="A417" s="74" t="s">
        <v>1549</v>
      </c>
      <c r="B417">
        <v>2</v>
      </c>
    </row>
    <row r="418" spans="1:2" x14ac:dyDescent="0.3">
      <c r="A418" s="74" t="s">
        <v>1567</v>
      </c>
      <c r="B418">
        <v>1</v>
      </c>
    </row>
    <row r="419" spans="1:2" x14ac:dyDescent="0.3">
      <c r="A419" s="74" t="s">
        <v>1397</v>
      </c>
      <c r="B419">
        <v>1</v>
      </c>
    </row>
    <row r="420" spans="1:2" x14ac:dyDescent="0.3">
      <c r="A420" s="74" t="s">
        <v>1555</v>
      </c>
      <c r="B420">
        <v>1</v>
      </c>
    </row>
    <row r="421" spans="1:2" x14ac:dyDescent="0.3">
      <c r="A421" s="74" t="s">
        <v>1390</v>
      </c>
      <c r="B421">
        <v>1</v>
      </c>
    </row>
    <row r="422" spans="1:2" x14ac:dyDescent="0.3">
      <c r="A422" s="74" t="s">
        <v>1407</v>
      </c>
      <c r="B422">
        <v>1</v>
      </c>
    </row>
    <row r="423" spans="1:2" x14ac:dyDescent="0.3">
      <c r="A423" s="74" t="s">
        <v>1553</v>
      </c>
      <c r="B423">
        <v>1</v>
      </c>
    </row>
    <row r="424" spans="1:2" x14ac:dyDescent="0.3">
      <c r="A424" s="74" t="s">
        <v>1561</v>
      </c>
      <c r="B424">
        <v>1</v>
      </c>
    </row>
    <row r="425" spans="1:2" x14ac:dyDescent="0.3">
      <c r="A425" s="74" t="s">
        <v>1570</v>
      </c>
      <c r="B425">
        <v>1</v>
      </c>
    </row>
    <row r="426" spans="1:2" x14ac:dyDescent="0.3">
      <c r="A426" s="74" t="s">
        <v>1486</v>
      </c>
      <c r="B426">
        <v>1</v>
      </c>
    </row>
    <row r="427" spans="1:2" x14ac:dyDescent="0.3">
      <c r="A427" s="74" t="s">
        <v>1503</v>
      </c>
      <c r="B427">
        <v>1</v>
      </c>
    </row>
    <row r="428" spans="1:2" x14ac:dyDescent="0.3">
      <c r="A428" s="74" t="s">
        <v>1526</v>
      </c>
      <c r="B428">
        <v>1</v>
      </c>
    </row>
    <row r="429" spans="1:2" x14ac:dyDescent="0.3">
      <c r="A429" s="74" t="s">
        <v>1498</v>
      </c>
      <c r="B429">
        <v>1</v>
      </c>
    </row>
    <row r="430" spans="1:2" x14ac:dyDescent="0.3">
      <c r="A430" s="74" t="s">
        <v>1586</v>
      </c>
      <c r="B430">
        <v>1</v>
      </c>
    </row>
    <row r="431" spans="1:2" x14ac:dyDescent="0.3">
      <c r="A431" s="74" t="s">
        <v>1501</v>
      </c>
      <c r="B431">
        <v>1</v>
      </c>
    </row>
    <row r="432" spans="1:2" x14ac:dyDescent="0.3">
      <c r="A432" s="74" t="s">
        <v>1504</v>
      </c>
      <c r="B432">
        <v>1</v>
      </c>
    </row>
    <row r="433" spans="1:2" x14ac:dyDescent="0.3">
      <c r="A433" s="74" t="s">
        <v>1579</v>
      </c>
      <c r="B433">
        <v>1</v>
      </c>
    </row>
    <row r="434" spans="1:2" x14ac:dyDescent="0.3">
      <c r="A434" s="74" t="s">
        <v>1103</v>
      </c>
      <c r="B434">
        <v>1</v>
      </c>
    </row>
    <row r="435" spans="1:2" x14ac:dyDescent="0.3">
      <c r="A435" s="74" t="s">
        <v>1522</v>
      </c>
      <c r="B435">
        <v>1</v>
      </c>
    </row>
    <row r="436" spans="1:2" x14ac:dyDescent="0.3">
      <c r="A436" s="74" t="s">
        <v>1551</v>
      </c>
      <c r="B436">
        <v>1</v>
      </c>
    </row>
    <row r="437" spans="1:2" x14ac:dyDescent="0.3">
      <c r="A437" s="74" t="s">
        <v>1587</v>
      </c>
      <c r="B437">
        <v>1</v>
      </c>
    </row>
    <row r="438" spans="1:2" x14ac:dyDescent="0.3">
      <c r="A438" s="74" t="s">
        <v>1577</v>
      </c>
      <c r="B438">
        <v>1</v>
      </c>
    </row>
    <row r="439" spans="1:2" x14ac:dyDescent="0.3">
      <c r="A439" s="74" t="s">
        <v>1598</v>
      </c>
      <c r="B439">
        <v>1</v>
      </c>
    </row>
    <row r="440" spans="1:2" x14ac:dyDescent="0.3">
      <c r="A440" s="74" t="s">
        <v>1542</v>
      </c>
      <c r="B440">
        <v>1</v>
      </c>
    </row>
    <row r="441" spans="1:2" x14ac:dyDescent="0.3">
      <c r="A441" s="74" t="s">
        <v>1601</v>
      </c>
      <c r="B441">
        <v>1</v>
      </c>
    </row>
    <row r="442" spans="1:2" x14ac:dyDescent="0.3">
      <c r="A442" s="74" t="s">
        <v>1602</v>
      </c>
      <c r="B442">
        <v>1</v>
      </c>
    </row>
    <row r="443" spans="1:2" x14ac:dyDescent="0.3">
      <c r="A443" s="74" t="s">
        <v>1512</v>
      </c>
      <c r="B443">
        <v>1</v>
      </c>
    </row>
    <row r="444" spans="1:2" x14ac:dyDescent="0.3">
      <c r="A444" s="74" t="s">
        <v>1496</v>
      </c>
      <c r="B444">
        <v>1</v>
      </c>
    </row>
    <row r="445" spans="1:2" x14ac:dyDescent="0.3">
      <c r="A445" s="74" t="s">
        <v>1495</v>
      </c>
      <c r="B445">
        <v>1</v>
      </c>
    </row>
    <row r="446" spans="1:2" x14ac:dyDescent="0.3">
      <c r="A446" s="74" t="s">
        <v>1469</v>
      </c>
      <c r="B446">
        <v>1</v>
      </c>
    </row>
    <row r="447" spans="1:2" x14ac:dyDescent="0.3">
      <c r="A447" s="74" t="s">
        <v>1400</v>
      </c>
      <c r="B447">
        <v>1</v>
      </c>
    </row>
    <row r="448" spans="1:2" x14ac:dyDescent="0.3">
      <c r="A448" s="74" t="s">
        <v>1487</v>
      </c>
      <c r="B448">
        <v>1</v>
      </c>
    </row>
    <row r="449" spans="1:2" x14ac:dyDescent="0.3">
      <c r="A449" s="74" t="s">
        <v>1502</v>
      </c>
      <c r="B449">
        <v>1</v>
      </c>
    </row>
    <row r="450" spans="1:2" x14ac:dyDescent="0.3">
      <c r="A450" s="74" t="s">
        <v>1575</v>
      </c>
      <c r="B450">
        <v>1</v>
      </c>
    </row>
    <row r="451" spans="1:2" x14ac:dyDescent="0.3">
      <c r="A451" s="74" t="s">
        <v>1585</v>
      </c>
      <c r="B451">
        <v>1</v>
      </c>
    </row>
    <row r="452" spans="1:2" x14ac:dyDescent="0.3">
      <c r="A452" s="74" t="s">
        <v>1560</v>
      </c>
      <c r="B452">
        <v>1</v>
      </c>
    </row>
    <row r="453" spans="1:2" x14ac:dyDescent="0.3">
      <c r="A453" s="74" t="s">
        <v>1556</v>
      </c>
      <c r="B453">
        <v>1</v>
      </c>
    </row>
    <row r="454" spans="1:2" x14ac:dyDescent="0.3">
      <c r="A454" s="74" t="s">
        <v>1509</v>
      </c>
      <c r="B454">
        <v>1</v>
      </c>
    </row>
    <row r="455" spans="1:2" x14ac:dyDescent="0.3">
      <c r="A455" s="74" t="s">
        <v>1584</v>
      </c>
      <c r="B455">
        <v>1</v>
      </c>
    </row>
    <row r="456" spans="1:2" x14ac:dyDescent="0.3">
      <c r="A456" s="74" t="s">
        <v>1564</v>
      </c>
      <c r="B456">
        <v>1</v>
      </c>
    </row>
    <row r="457" spans="1:2" x14ac:dyDescent="0.3">
      <c r="A457" s="74" t="s">
        <v>1485</v>
      </c>
      <c r="B457">
        <v>1</v>
      </c>
    </row>
    <row r="458" spans="1:2" x14ac:dyDescent="0.3">
      <c r="A458" s="74" t="s">
        <v>1595</v>
      </c>
      <c r="B458">
        <v>1</v>
      </c>
    </row>
    <row r="459" spans="1:2" x14ac:dyDescent="0.3">
      <c r="A459" s="74" t="s">
        <v>1597</v>
      </c>
      <c r="B459">
        <v>1</v>
      </c>
    </row>
    <row r="460" spans="1:2" x14ac:dyDescent="0.3">
      <c r="A460" s="74" t="s">
        <v>1497</v>
      </c>
      <c r="B460">
        <v>1</v>
      </c>
    </row>
    <row r="461" spans="1:2" x14ac:dyDescent="0.3">
      <c r="A461" s="74" t="s">
        <v>1320</v>
      </c>
      <c r="B461">
        <v>1</v>
      </c>
    </row>
    <row r="462" spans="1:2" x14ac:dyDescent="0.3">
      <c r="A462" s="74" t="s">
        <v>1362</v>
      </c>
      <c r="B462">
        <v>1</v>
      </c>
    </row>
    <row r="463" spans="1:2" x14ac:dyDescent="0.3">
      <c r="A463" s="74" t="s">
        <v>1507</v>
      </c>
      <c r="B463">
        <v>1</v>
      </c>
    </row>
    <row r="464" spans="1:2" x14ac:dyDescent="0.3">
      <c r="A464" s="74" t="s">
        <v>1323</v>
      </c>
      <c r="B464">
        <v>1</v>
      </c>
    </row>
    <row r="465" spans="1:2" x14ac:dyDescent="0.3">
      <c r="A465" s="74" t="s">
        <v>1565</v>
      </c>
      <c r="B465">
        <v>1</v>
      </c>
    </row>
    <row r="466" spans="1:2" x14ac:dyDescent="0.3">
      <c r="A466" s="74" t="s">
        <v>1536</v>
      </c>
      <c r="B466">
        <v>1</v>
      </c>
    </row>
    <row r="467" spans="1:2" x14ac:dyDescent="0.3">
      <c r="A467" s="74" t="s">
        <v>1519</v>
      </c>
      <c r="B467">
        <v>1</v>
      </c>
    </row>
    <row r="468" spans="1:2" x14ac:dyDescent="0.3">
      <c r="A468" s="74" t="s">
        <v>1500</v>
      </c>
      <c r="B468">
        <v>1</v>
      </c>
    </row>
    <row r="469" spans="1:2" x14ac:dyDescent="0.3">
      <c r="A469" s="74" t="s">
        <v>1527</v>
      </c>
      <c r="B469">
        <v>1</v>
      </c>
    </row>
    <row r="470" spans="1:2" x14ac:dyDescent="0.3">
      <c r="A470" s="74" t="s">
        <v>1514</v>
      </c>
      <c r="B470">
        <v>1</v>
      </c>
    </row>
    <row r="471" spans="1:2" x14ac:dyDescent="0.3">
      <c r="A471" s="74" t="s">
        <v>1535</v>
      </c>
      <c r="B471">
        <v>1</v>
      </c>
    </row>
    <row r="472" spans="1:2" x14ac:dyDescent="0.3">
      <c r="A472" s="74" t="s">
        <v>1370</v>
      </c>
      <c r="B472">
        <v>1</v>
      </c>
    </row>
    <row r="473" spans="1:2" x14ac:dyDescent="0.3">
      <c r="A473" s="74" t="s">
        <v>1550</v>
      </c>
      <c r="B473">
        <v>1</v>
      </c>
    </row>
    <row r="474" spans="1:2" x14ac:dyDescent="0.3">
      <c r="A474" s="74" t="s">
        <v>1432</v>
      </c>
      <c r="B474">
        <v>1</v>
      </c>
    </row>
    <row r="475" spans="1:2" x14ac:dyDescent="0.3">
      <c r="A475" s="74" t="s">
        <v>1444</v>
      </c>
      <c r="B475">
        <v>1</v>
      </c>
    </row>
    <row r="476" spans="1:2" x14ac:dyDescent="0.3">
      <c r="A476" s="74" t="s">
        <v>1422</v>
      </c>
      <c r="B476">
        <v>1</v>
      </c>
    </row>
    <row r="477" spans="1:2" x14ac:dyDescent="0.3">
      <c r="A477" s="74" t="s">
        <v>1589</v>
      </c>
      <c r="B477">
        <v>1</v>
      </c>
    </row>
    <row r="478" spans="1:2" x14ac:dyDescent="0.3">
      <c r="A478" s="74" t="s">
        <v>1366</v>
      </c>
      <c r="B478">
        <v>1</v>
      </c>
    </row>
    <row r="479" spans="1:2" x14ac:dyDescent="0.3">
      <c r="A479" s="74" t="s">
        <v>1262</v>
      </c>
      <c r="B479">
        <v>1</v>
      </c>
    </row>
    <row r="480" spans="1:2" x14ac:dyDescent="0.3">
      <c r="A480" s="74" t="s">
        <v>1574</v>
      </c>
      <c r="B480">
        <v>1</v>
      </c>
    </row>
    <row r="481" spans="1:2" x14ac:dyDescent="0.3">
      <c r="A481" s="74" t="s">
        <v>1447</v>
      </c>
      <c r="B481">
        <v>1</v>
      </c>
    </row>
    <row r="482" spans="1:2" x14ac:dyDescent="0.3">
      <c r="A482" s="74" t="s">
        <v>1529</v>
      </c>
      <c r="B482">
        <v>1</v>
      </c>
    </row>
    <row r="483" spans="1:2" x14ac:dyDescent="0.3">
      <c r="A483" s="74" t="s">
        <v>1568</v>
      </c>
      <c r="B483">
        <v>1</v>
      </c>
    </row>
    <row r="484" spans="1:2" x14ac:dyDescent="0.3">
      <c r="A484" s="74" t="s">
        <v>1524</v>
      </c>
      <c r="B484">
        <v>1</v>
      </c>
    </row>
    <row r="485" spans="1:2" x14ac:dyDescent="0.3">
      <c r="A485" s="74" t="s">
        <v>1593</v>
      </c>
      <c r="B485">
        <v>1</v>
      </c>
    </row>
    <row r="486" spans="1:2" x14ac:dyDescent="0.3">
      <c r="A486" s="74" t="s">
        <v>1474</v>
      </c>
      <c r="B486">
        <v>1</v>
      </c>
    </row>
    <row r="487" spans="1:2" x14ac:dyDescent="0.3">
      <c r="A487" s="74" t="s">
        <v>1594</v>
      </c>
      <c r="B487">
        <v>1</v>
      </c>
    </row>
    <row r="488" spans="1:2" x14ac:dyDescent="0.3">
      <c r="A488" s="74" t="s">
        <v>1558</v>
      </c>
      <c r="B488">
        <v>1</v>
      </c>
    </row>
    <row r="489" spans="1:2" x14ac:dyDescent="0.3">
      <c r="A489" s="74" t="s">
        <v>1521</v>
      </c>
      <c r="B489">
        <v>1</v>
      </c>
    </row>
    <row r="490" spans="1:2" x14ac:dyDescent="0.3">
      <c r="A490" s="74" t="s">
        <v>1578</v>
      </c>
      <c r="B490">
        <v>1</v>
      </c>
    </row>
    <row r="491" spans="1:2" x14ac:dyDescent="0.3">
      <c r="A491" s="74" t="s">
        <v>1358</v>
      </c>
      <c r="B491">
        <v>1</v>
      </c>
    </row>
    <row r="492" spans="1:2" x14ac:dyDescent="0.3">
      <c r="A492" s="74" t="s">
        <v>1576</v>
      </c>
      <c r="B492">
        <v>1</v>
      </c>
    </row>
    <row r="493" spans="1:2" x14ac:dyDescent="0.3">
      <c r="A493" s="74" t="s">
        <v>1562</v>
      </c>
      <c r="B493">
        <v>1</v>
      </c>
    </row>
    <row r="494" spans="1:2" x14ac:dyDescent="0.3">
      <c r="A494" s="74" t="s">
        <v>1538</v>
      </c>
      <c r="B494">
        <v>1</v>
      </c>
    </row>
    <row r="495" spans="1:2" x14ac:dyDescent="0.3">
      <c r="A495" s="74" t="s">
        <v>1573</v>
      </c>
      <c r="B495">
        <v>1</v>
      </c>
    </row>
    <row r="496" spans="1:2" x14ac:dyDescent="0.3">
      <c r="A496" s="74" t="s">
        <v>1569</v>
      </c>
      <c r="B496">
        <v>1</v>
      </c>
    </row>
    <row r="497" spans="1:2" x14ac:dyDescent="0.3">
      <c r="A497" s="74" t="s">
        <v>1581</v>
      </c>
      <c r="B497">
        <v>1</v>
      </c>
    </row>
    <row r="498" spans="1:2" x14ac:dyDescent="0.3">
      <c r="A498" s="74" t="s">
        <v>1443</v>
      </c>
      <c r="B498">
        <v>1</v>
      </c>
    </row>
    <row r="499" spans="1:2" x14ac:dyDescent="0.3">
      <c r="A499" s="74" t="s">
        <v>1256</v>
      </c>
      <c r="B499">
        <v>1</v>
      </c>
    </row>
    <row r="500" spans="1:2" x14ac:dyDescent="0.3">
      <c r="A500" s="74" t="s">
        <v>1402</v>
      </c>
      <c r="B500">
        <v>1</v>
      </c>
    </row>
    <row r="501" spans="1:2" x14ac:dyDescent="0.3">
      <c r="A501" s="74" t="s">
        <v>1490</v>
      </c>
      <c r="B501">
        <v>1</v>
      </c>
    </row>
    <row r="502" spans="1:2" x14ac:dyDescent="0.3">
      <c r="A502" s="74" t="s">
        <v>1373</v>
      </c>
      <c r="B502">
        <v>1</v>
      </c>
    </row>
    <row r="503" spans="1:2" x14ac:dyDescent="0.3">
      <c r="A503" s="74" t="s">
        <v>1237</v>
      </c>
      <c r="B503">
        <v>1</v>
      </c>
    </row>
    <row r="504" spans="1:2" x14ac:dyDescent="0.3">
      <c r="A504" s="74" t="s">
        <v>1590</v>
      </c>
      <c r="B504">
        <v>1</v>
      </c>
    </row>
    <row r="505" spans="1:2" x14ac:dyDescent="0.3">
      <c r="A505" s="74" t="s">
        <v>1517</v>
      </c>
      <c r="B505">
        <v>1</v>
      </c>
    </row>
    <row r="506" spans="1:2" x14ac:dyDescent="0.3">
      <c r="A506" s="74" t="s">
        <v>1480</v>
      </c>
      <c r="B506">
        <v>1</v>
      </c>
    </row>
    <row r="507" spans="1:2" x14ac:dyDescent="0.3">
      <c r="A507" s="74" t="s">
        <v>1377</v>
      </c>
      <c r="B507">
        <v>1</v>
      </c>
    </row>
    <row r="508" spans="1:2" x14ac:dyDescent="0.3">
      <c r="A508" s="74" t="s">
        <v>1544</v>
      </c>
      <c r="B508">
        <v>1</v>
      </c>
    </row>
    <row r="509" spans="1:2" x14ac:dyDescent="0.3">
      <c r="A509" s="74" t="s">
        <v>1518</v>
      </c>
      <c r="B509">
        <v>1</v>
      </c>
    </row>
    <row r="510" spans="1:2" x14ac:dyDescent="0.3">
      <c r="A510" s="74" t="s">
        <v>1583</v>
      </c>
      <c r="B510">
        <v>1</v>
      </c>
    </row>
    <row r="511" spans="1:2" x14ac:dyDescent="0.3">
      <c r="A511" s="74" t="s">
        <v>1434</v>
      </c>
      <c r="B511">
        <v>1</v>
      </c>
    </row>
    <row r="512" spans="1:2" x14ac:dyDescent="0.3">
      <c r="A512" s="74" t="s">
        <v>1592</v>
      </c>
      <c r="B512">
        <v>1</v>
      </c>
    </row>
    <row r="513" spans="1:2" x14ac:dyDescent="0.3">
      <c r="A513" s="74" t="s">
        <v>1533</v>
      </c>
      <c r="B513">
        <v>1</v>
      </c>
    </row>
    <row r="514" spans="1:2" x14ac:dyDescent="0.3">
      <c r="A514" s="74" t="s">
        <v>1547</v>
      </c>
      <c r="B514">
        <v>1</v>
      </c>
    </row>
    <row r="515" spans="1:2" x14ac:dyDescent="0.3">
      <c r="A515" s="74" t="s">
        <v>1511</v>
      </c>
      <c r="B515">
        <v>1</v>
      </c>
    </row>
    <row r="516" spans="1:2" x14ac:dyDescent="0.3">
      <c r="A516" s="74" t="s">
        <v>1513</v>
      </c>
      <c r="B516">
        <v>1</v>
      </c>
    </row>
    <row r="517" spans="1:2" x14ac:dyDescent="0.3">
      <c r="A517" s="74" t="s">
        <v>1588</v>
      </c>
      <c r="B517">
        <v>1</v>
      </c>
    </row>
    <row r="518" spans="1:2" x14ac:dyDescent="0.3">
      <c r="A518" s="74" t="s">
        <v>1520</v>
      </c>
      <c r="B518">
        <v>1</v>
      </c>
    </row>
    <row r="519" spans="1:2" x14ac:dyDescent="0.3">
      <c r="A519" s="74" t="s">
        <v>1482</v>
      </c>
      <c r="B519">
        <v>1</v>
      </c>
    </row>
    <row r="520" spans="1:2" x14ac:dyDescent="0.3">
      <c r="A520" s="74" t="s">
        <v>1466</v>
      </c>
      <c r="B520">
        <v>1</v>
      </c>
    </row>
    <row r="521" spans="1:2" x14ac:dyDescent="0.3">
      <c r="A521" s="74" t="s">
        <v>1425</v>
      </c>
      <c r="B521">
        <v>1</v>
      </c>
    </row>
    <row r="522" spans="1:2" x14ac:dyDescent="0.3">
      <c r="A522" s="74" t="s">
        <v>1484</v>
      </c>
      <c r="B522">
        <v>1</v>
      </c>
    </row>
    <row r="523" spans="1:2" x14ac:dyDescent="0.3">
      <c r="A523" s="74" t="s">
        <v>1543</v>
      </c>
      <c r="B523">
        <v>1</v>
      </c>
    </row>
    <row r="524" spans="1:2" x14ac:dyDescent="0.3">
      <c r="A524" s="74" t="s">
        <v>1596</v>
      </c>
      <c r="B524">
        <v>1</v>
      </c>
    </row>
    <row r="525" spans="1:2" x14ac:dyDescent="0.3">
      <c r="A525" s="74" t="s">
        <v>1260</v>
      </c>
      <c r="B525">
        <v>1</v>
      </c>
    </row>
    <row r="526" spans="1:2" x14ac:dyDescent="0.3">
      <c r="A526" s="74" t="s">
        <v>1580</v>
      </c>
      <c r="B526">
        <v>1</v>
      </c>
    </row>
    <row r="527" spans="1:2" x14ac:dyDescent="0.3">
      <c r="A527" s="74" t="s">
        <v>1492</v>
      </c>
      <c r="B527">
        <v>1</v>
      </c>
    </row>
    <row r="528" spans="1:2" x14ac:dyDescent="0.3">
      <c r="A528" s="74" t="s">
        <v>1566</v>
      </c>
      <c r="B528">
        <v>1</v>
      </c>
    </row>
    <row r="529" spans="1:2" x14ac:dyDescent="0.3">
      <c r="A529" s="74" t="s">
        <v>1508</v>
      </c>
      <c r="B529">
        <v>1</v>
      </c>
    </row>
    <row r="530" spans="1:2" x14ac:dyDescent="0.3">
      <c r="A530" s="74" t="s">
        <v>1416</v>
      </c>
      <c r="B530">
        <v>1</v>
      </c>
    </row>
    <row r="531" spans="1:2" x14ac:dyDescent="0.3">
      <c r="A531" s="74" t="s">
        <v>1534</v>
      </c>
      <c r="B531">
        <v>1</v>
      </c>
    </row>
    <row r="532" spans="1:2" x14ac:dyDescent="0.3">
      <c r="A532" s="74" t="s">
        <v>1582</v>
      </c>
      <c r="B532">
        <v>1</v>
      </c>
    </row>
    <row r="533" spans="1:2" x14ac:dyDescent="0.3">
      <c r="A533" s="74" t="s">
        <v>1494</v>
      </c>
      <c r="B533">
        <v>1</v>
      </c>
    </row>
    <row r="534" spans="1:2" x14ac:dyDescent="0.3">
      <c r="A534" s="74" t="s">
        <v>1600</v>
      </c>
      <c r="B534">
        <v>1</v>
      </c>
    </row>
    <row r="535" spans="1:2" x14ac:dyDescent="0.3">
      <c r="A535" s="74" t="s">
        <v>1423</v>
      </c>
      <c r="B535">
        <v>1</v>
      </c>
    </row>
    <row r="536" spans="1:2" x14ac:dyDescent="0.3">
      <c r="A536" s="74" t="s">
        <v>1591</v>
      </c>
      <c r="B536">
        <v>1</v>
      </c>
    </row>
    <row r="537" spans="1:2" x14ac:dyDescent="0.3">
      <c r="A537" s="74" t="s">
        <v>1559</v>
      </c>
      <c r="B537">
        <v>1</v>
      </c>
    </row>
    <row r="538" spans="1:2" x14ac:dyDescent="0.3">
      <c r="A538" s="74" t="s">
        <v>1375</v>
      </c>
      <c r="B538">
        <v>1</v>
      </c>
    </row>
    <row r="539" spans="1:2" x14ac:dyDescent="0.3">
      <c r="A539" s="74" t="s">
        <v>1467</v>
      </c>
      <c r="B539">
        <v>1</v>
      </c>
    </row>
    <row r="540" spans="1:2" x14ac:dyDescent="0.3">
      <c r="A540" s="74" t="s">
        <v>1415</v>
      </c>
      <c r="B540">
        <v>1</v>
      </c>
    </row>
    <row r="541" spans="1:2" x14ac:dyDescent="0.3">
      <c r="A541" s="74" t="s">
        <v>1440</v>
      </c>
      <c r="B541">
        <v>1</v>
      </c>
    </row>
    <row r="542" spans="1:2" x14ac:dyDescent="0.3">
      <c r="A542" s="74" t="s">
        <v>1604</v>
      </c>
    </row>
    <row r="543" spans="1:2" x14ac:dyDescent="0.3">
      <c r="A543" s="74" t="s">
        <v>1605</v>
      </c>
      <c r="B543">
        <v>183849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2A42-B11E-415E-A041-9F5A186D5035}">
  <dimension ref="A3:B52"/>
  <sheetViews>
    <sheetView workbookViewId="0">
      <selection activeCell="B70" sqref="B70"/>
    </sheetView>
  </sheetViews>
  <sheetFormatPr defaultRowHeight="14.4" x14ac:dyDescent="0.3"/>
  <cols>
    <col min="1" max="1" width="24.88671875" bestFit="1" customWidth="1"/>
    <col min="2" max="2" width="16.77734375" bestFit="1" customWidth="1"/>
  </cols>
  <sheetData>
    <row r="3" spans="1:2" x14ac:dyDescent="0.3">
      <c r="A3" s="73" t="s">
        <v>1603</v>
      </c>
      <c r="B3" t="s">
        <v>1607</v>
      </c>
    </row>
    <row r="4" spans="1:2" x14ac:dyDescent="0.3">
      <c r="A4" s="74" t="s">
        <v>982</v>
      </c>
      <c r="B4">
        <v>14</v>
      </c>
    </row>
    <row r="5" spans="1:2" x14ac:dyDescent="0.3">
      <c r="A5" s="74" t="s">
        <v>1022</v>
      </c>
      <c r="B5">
        <v>12</v>
      </c>
    </row>
    <row r="6" spans="1:2" x14ac:dyDescent="0.3">
      <c r="A6" s="74" t="s">
        <v>969</v>
      </c>
      <c r="B6">
        <v>8</v>
      </c>
    </row>
    <row r="7" spans="1:2" x14ac:dyDescent="0.3">
      <c r="A7" s="74" t="s">
        <v>983</v>
      </c>
      <c r="B7">
        <v>7</v>
      </c>
    </row>
    <row r="8" spans="1:2" x14ac:dyDescent="0.3">
      <c r="A8" s="74" t="s">
        <v>966</v>
      </c>
      <c r="B8">
        <v>6</v>
      </c>
    </row>
    <row r="9" spans="1:2" x14ac:dyDescent="0.3">
      <c r="A9" s="74" t="s">
        <v>992</v>
      </c>
      <c r="B9">
        <v>5</v>
      </c>
    </row>
    <row r="10" spans="1:2" x14ac:dyDescent="0.3">
      <c r="A10" s="74" t="s">
        <v>1004</v>
      </c>
      <c r="B10">
        <v>5</v>
      </c>
    </row>
    <row r="11" spans="1:2" x14ac:dyDescent="0.3">
      <c r="A11" s="74" t="s">
        <v>1000</v>
      </c>
      <c r="B11">
        <v>4</v>
      </c>
    </row>
    <row r="12" spans="1:2" x14ac:dyDescent="0.3">
      <c r="A12" s="74" t="s">
        <v>1018</v>
      </c>
      <c r="B12">
        <v>3</v>
      </c>
    </row>
    <row r="13" spans="1:2" x14ac:dyDescent="0.3">
      <c r="A13" s="74" t="s">
        <v>978</v>
      </c>
      <c r="B13">
        <v>3</v>
      </c>
    </row>
    <row r="14" spans="1:2" x14ac:dyDescent="0.3">
      <c r="A14" s="74" t="s">
        <v>1027</v>
      </c>
      <c r="B14">
        <v>3</v>
      </c>
    </row>
    <row r="15" spans="1:2" x14ac:dyDescent="0.3">
      <c r="A15" s="74" t="s">
        <v>482</v>
      </c>
      <c r="B15">
        <v>3</v>
      </c>
    </row>
    <row r="16" spans="1:2" x14ac:dyDescent="0.3">
      <c r="A16" s="74" t="s">
        <v>998</v>
      </c>
      <c r="B16">
        <v>3</v>
      </c>
    </row>
    <row r="17" spans="1:2" x14ac:dyDescent="0.3">
      <c r="A17" s="74" t="s">
        <v>1006</v>
      </c>
      <c r="B17">
        <v>3</v>
      </c>
    </row>
    <row r="18" spans="1:2" x14ac:dyDescent="0.3">
      <c r="A18" s="74" t="s">
        <v>1002</v>
      </c>
      <c r="B18">
        <v>2</v>
      </c>
    </row>
    <row r="19" spans="1:2" x14ac:dyDescent="0.3">
      <c r="A19" s="74" t="s">
        <v>1040</v>
      </c>
      <c r="B19">
        <v>2</v>
      </c>
    </row>
    <row r="20" spans="1:2" x14ac:dyDescent="0.3">
      <c r="A20" s="74" t="s">
        <v>1011</v>
      </c>
      <c r="B20">
        <v>2</v>
      </c>
    </row>
    <row r="21" spans="1:2" x14ac:dyDescent="0.3">
      <c r="A21" s="74" t="s">
        <v>1009</v>
      </c>
      <c r="B21">
        <v>2</v>
      </c>
    </row>
    <row r="22" spans="1:2" x14ac:dyDescent="0.3">
      <c r="A22" s="74" t="s">
        <v>1025</v>
      </c>
      <c r="B22">
        <v>2</v>
      </c>
    </row>
    <row r="23" spans="1:2" x14ac:dyDescent="0.3">
      <c r="A23" s="74" t="s">
        <v>1046</v>
      </c>
      <c r="B23">
        <v>2</v>
      </c>
    </row>
    <row r="24" spans="1:2" x14ac:dyDescent="0.3">
      <c r="A24" s="74" t="s">
        <v>1037</v>
      </c>
      <c r="B24">
        <v>1</v>
      </c>
    </row>
    <row r="25" spans="1:2" x14ac:dyDescent="0.3">
      <c r="A25" s="74" t="s">
        <v>1042</v>
      </c>
      <c r="B25">
        <v>1</v>
      </c>
    </row>
    <row r="26" spans="1:2" x14ac:dyDescent="0.3">
      <c r="A26" s="74" t="s">
        <v>1055</v>
      </c>
      <c r="B26">
        <v>1</v>
      </c>
    </row>
    <row r="27" spans="1:2" x14ac:dyDescent="0.3">
      <c r="A27" s="74" t="s">
        <v>1031</v>
      </c>
      <c r="B27">
        <v>1</v>
      </c>
    </row>
    <row r="28" spans="1:2" x14ac:dyDescent="0.3">
      <c r="A28" s="74" t="s">
        <v>977</v>
      </c>
      <c r="B28">
        <v>1</v>
      </c>
    </row>
    <row r="29" spans="1:2" x14ac:dyDescent="0.3">
      <c r="A29" s="74" t="s">
        <v>1028</v>
      </c>
      <c r="B29">
        <v>1</v>
      </c>
    </row>
    <row r="30" spans="1:2" x14ac:dyDescent="0.3">
      <c r="A30" s="74" t="s">
        <v>1035</v>
      </c>
      <c r="B30">
        <v>1</v>
      </c>
    </row>
    <row r="31" spans="1:2" x14ac:dyDescent="0.3">
      <c r="A31" s="74" t="s">
        <v>1020</v>
      </c>
      <c r="B31">
        <v>1</v>
      </c>
    </row>
    <row r="32" spans="1:2" x14ac:dyDescent="0.3">
      <c r="A32" s="74" t="s">
        <v>990</v>
      </c>
      <c r="B32">
        <v>1</v>
      </c>
    </row>
    <row r="33" spans="1:2" x14ac:dyDescent="0.3">
      <c r="A33" s="74" t="s">
        <v>1013</v>
      </c>
      <c r="B33">
        <v>1</v>
      </c>
    </row>
    <row r="34" spans="1:2" x14ac:dyDescent="0.3">
      <c r="A34" s="74" t="s">
        <v>971</v>
      </c>
      <c r="B34">
        <v>1</v>
      </c>
    </row>
    <row r="35" spans="1:2" x14ac:dyDescent="0.3">
      <c r="A35" s="74" t="s">
        <v>1058</v>
      </c>
      <c r="B35">
        <v>1</v>
      </c>
    </row>
    <row r="36" spans="1:2" x14ac:dyDescent="0.3">
      <c r="A36" s="74" t="s">
        <v>995</v>
      </c>
      <c r="B36">
        <v>1</v>
      </c>
    </row>
    <row r="37" spans="1:2" x14ac:dyDescent="0.3">
      <c r="A37" s="74" t="s">
        <v>1059</v>
      </c>
      <c r="B37">
        <v>1</v>
      </c>
    </row>
    <row r="38" spans="1:2" x14ac:dyDescent="0.3">
      <c r="A38" s="74" t="s">
        <v>1052</v>
      </c>
      <c r="B38">
        <v>1</v>
      </c>
    </row>
    <row r="39" spans="1:2" x14ac:dyDescent="0.3">
      <c r="A39" s="74" t="s">
        <v>1044</v>
      </c>
      <c r="B39">
        <v>1</v>
      </c>
    </row>
    <row r="40" spans="1:2" x14ac:dyDescent="0.3">
      <c r="A40" s="74" t="s">
        <v>1049</v>
      </c>
      <c r="B40">
        <v>1</v>
      </c>
    </row>
    <row r="41" spans="1:2" x14ac:dyDescent="0.3">
      <c r="A41" s="74" t="s">
        <v>1033</v>
      </c>
      <c r="B41">
        <v>1</v>
      </c>
    </row>
    <row r="42" spans="1:2" x14ac:dyDescent="0.3">
      <c r="A42" s="74" t="s">
        <v>1003</v>
      </c>
      <c r="B42">
        <v>1</v>
      </c>
    </row>
    <row r="43" spans="1:2" x14ac:dyDescent="0.3">
      <c r="A43" s="74" t="s">
        <v>1015</v>
      </c>
      <c r="B43">
        <v>1</v>
      </c>
    </row>
    <row r="44" spans="1:2" x14ac:dyDescent="0.3">
      <c r="A44" s="74" t="s">
        <v>979</v>
      </c>
      <c r="B44">
        <v>1</v>
      </c>
    </row>
    <row r="45" spans="1:2" x14ac:dyDescent="0.3">
      <c r="A45" s="74" t="s">
        <v>985</v>
      </c>
      <c r="B45">
        <v>1</v>
      </c>
    </row>
    <row r="46" spans="1:2" x14ac:dyDescent="0.3">
      <c r="A46" s="74" t="s">
        <v>420</v>
      </c>
      <c r="B46">
        <v>1</v>
      </c>
    </row>
    <row r="47" spans="1:2" x14ac:dyDescent="0.3">
      <c r="A47" s="74" t="s">
        <v>33</v>
      </c>
      <c r="B47">
        <v>1</v>
      </c>
    </row>
    <row r="48" spans="1:2" x14ac:dyDescent="0.3">
      <c r="A48" s="74" t="s">
        <v>974</v>
      </c>
      <c r="B48">
        <v>1</v>
      </c>
    </row>
    <row r="49" spans="1:2" x14ac:dyDescent="0.3">
      <c r="A49" s="74" t="s">
        <v>858</v>
      </c>
      <c r="B49">
        <v>1</v>
      </c>
    </row>
    <row r="50" spans="1:2" x14ac:dyDescent="0.3">
      <c r="A50" s="74" t="s">
        <v>987</v>
      </c>
      <c r="B50">
        <v>1</v>
      </c>
    </row>
    <row r="51" spans="1:2" x14ac:dyDescent="0.3">
      <c r="A51" s="74" t="s">
        <v>1604</v>
      </c>
    </row>
    <row r="52" spans="1:2" x14ac:dyDescent="0.3">
      <c r="A52" s="74" t="s">
        <v>1605</v>
      </c>
      <c r="B52">
        <v>118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7282-CDF1-4A9B-9D95-93A827DF43FB}">
  <dimension ref="A1:E369"/>
  <sheetViews>
    <sheetView topLeftCell="A353" zoomScale="98" workbookViewId="0">
      <selection activeCell="D18" sqref="D18"/>
    </sheetView>
  </sheetViews>
  <sheetFormatPr defaultRowHeight="14.4" x14ac:dyDescent="0.3"/>
  <cols>
    <col min="1" max="1" width="22.88671875" bestFit="1" customWidth="1"/>
    <col min="2" max="2" width="24.109375" bestFit="1" customWidth="1"/>
    <col min="4" max="4" width="18.21875" bestFit="1" customWidth="1"/>
    <col min="5" max="5" width="14.6640625" bestFit="1" customWidth="1"/>
  </cols>
  <sheetData>
    <row r="1" spans="1:5" x14ac:dyDescent="0.3">
      <c r="A1" s="73" t="s">
        <v>1748</v>
      </c>
      <c r="B1" t="s">
        <v>1630</v>
      </c>
      <c r="C1" t="s">
        <v>1741</v>
      </c>
      <c r="D1" t="s">
        <v>1742</v>
      </c>
      <c r="E1" t="s">
        <v>1743</v>
      </c>
    </row>
    <row r="2" spans="1:5" x14ac:dyDescent="0.3">
      <c r="A2" s="74" t="s">
        <v>108</v>
      </c>
      <c r="B2">
        <v>14</v>
      </c>
      <c r="C2">
        <f>B2 / SUM($B$2:$B$362)</f>
        <v>1.9914651493598862E-2</v>
      </c>
      <c r="D2">
        <f>IF(C2=0,0, C2 * LN(C2))</f>
        <v>-7.799174092565532E-2</v>
      </c>
      <c r="E2">
        <f>C2^2</f>
        <v>3.9659334411149938E-4</v>
      </c>
    </row>
    <row r="3" spans="1:5" x14ac:dyDescent="0.3">
      <c r="A3" s="74" t="s">
        <v>320</v>
      </c>
      <c r="B3">
        <v>13</v>
      </c>
      <c r="C3">
        <f t="shared" ref="C3:C66" si="0">B3 / SUM($B$2:$B$362)</f>
        <v>1.849217638691323E-2</v>
      </c>
      <c r="D3">
        <f t="shared" ref="D3:D66" si="1">IF(C3=0,0, C3 * LN(C3))</f>
        <v>-7.3791319980851589E-2</v>
      </c>
      <c r="E3">
        <f t="shared" ref="E3:E66" si="2">C3^2</f>
        <v>3.4196058752471121E-4</v>
      </c>
    </row>
    <row r="4" spans="1:5" x14ac:dyDescent="0.3">
      <c r="A4" s="74" t="s">
        <v>90</v>
      </c>
      <c r="B4">
        <v>12</v>
      </c>
      <c r="C4">
        <f t="shared" si="0"/>
        <v>1.7069701280227598E-2</v>
      </c>
      <c r="D4">
        <f t="shared" si="1"/>
        <v>-6.9481369707357007E-2</v>
      </c>
      <c r="E4">
        <f t="shared" si="2"/>
        <v>2.9137470179620368E-4</v>
      </c>
    </row>
    <row r="5" spans="1:5" x14ac:dyDescent="0.3">
      <c r="A5" s="74" t="s">
        <v>58</v>
      </c>
      <c r="B5">
        <v>11</v>
      </c>
      <c r="C5">
        <f t="shared" si="0"/>
        <v>1.5647226173541962E-2</v>
      </c>
      <c r="D5">
        <f t="shared" si="1"/>
        <v>-6.5052742260505309E-2</v>
      </c>
      <c r="E5">
        <f t="shared" si="2"/>
        <v>2.4483568692597665E-4</v>
      </c>
    </row>
    <row r="6" spans="1:5" x14ac:dyDescent="0.3">
      <c r="A6" s="74" t="s">
        <v>148</v>
      </c>
      <c r="B6">
        <v>11</v>
      </c>
      <c r="C6">
        <f t="shared" si="0"/>
        <v>1.5647226173541962E-2</v>
      </c>
      <c r="D6">
        <f t="shared" si="1"/>
        <v>-6.5052742260505309E-2</v>
      </c>
      <c r="E6">
        <f t="shared" si="2"/>
        <v>2.4483568692597665E-4</v>
      </c>
    </row>
    <row r="7" spans="1:5" x14ac:dyDescent="0.3">
      <c r="A7" s="74" t="s">
        <v>263</v>
      </c>
      <c r="B7">
        <v>10</v>
      </c>
      <c r="C7">
        <f t="shared" si="0"/>
        <v>1.422475106685633E-2</v>
      </c>
      <c r="D7">
        <f t="shared" si="1"/>
        <v>-6.0494620182313219E-2</v>
      </c>
      <c r="E7">
        <f t="shared" si="2"/>
        <v>2.0234354291403031E-4</v>
      </c>
    </row>
    <row r="8" spans="1:5" x14ac:dyDescent="0.3">
      <c r="A8" s="74" t="s">
        <v>162</v>
      </c>
      <c r="B8">
        <v>10</v>
      </c>
      <c r="C8">
        <f t="shared" si="0"/>
        <v>1.422475106685633E-2</v>
      </c>
      <c r="D8">
        <f t="shared" si="1"/>
        <v>-6.0494620182313219E-2</v>
      </c>
      <c r="E8">
        <f t="shared" si="2"/>
        <v>2.0234354291403031E-4</v>
      </c>
    </row>
    <row r="9" spans="1:5" x14ac:dyDescent="0.3">
      <c r="A9" s="74" t="s">
        <v>203</v>
      </c>
      <c r="B9">
        <v>9</v>
      </c>
      <c r="C9">
        <f t="shared" si="0"/>
        <v>1.2802275960170697E-2</v>
      </c>
      <c r="D9">
        <f t="shared" si="1"/>
        <v>-5.5794012560839275E-2</v>
      </c>
      <c r="E9">
        <f t="shared" si="2"/>
        <v>1.6389826976036454E-4</v>
      </c>
    </row>
    <row r="10" spans="1:5" x14ac:dyDescent="0.3">
      <c r="A10" s="74" t="s">
        <v>222</v>
      </c>
      <c r="B10">
        <v>8</v>
      </c>
      <c r="C10">
        <f t="shared" si="0"/>
        <v>1.1379800853485065E-2</v>
      </c>
      <c r="D10">
        <f t="shared" si="1"/>
        <v>-5.0935025321545709E-2</v>
      </c>
      <c r="E10">
        <f t="shared" si="2"/>
        <v>1.2949986746497939E-4</v>
      </c>
    </row>
    <row r="11" spans="1:5" x14ac:dyDescent="0.3">
      <c r="A11" s="74" t="s">
        <v>219</v>
      </c>
      <c r="B11">
        <v>7</v>
      </c>
      <c r="C11">
        <f t="shared" si="0"/>
        <v>9.9573257467994308E-3</v>
      </c>
      <c r="D11">
        <f t="shared" si="1"/>
        <v>-4.5897762730138639E-2</v>
      </c>
      <c r="E11">
        <f t="shared" si="2"/>
        <v>9.9148336027874844E-5</v>
      </c>
    </row>
    <row r="12" spans="1:5" x14ac:dyDescent="0.3">
      <c r="A12" s="74" t="s">
        <v>380</v>
      </c>
      <c r="B12">
        <v>7</v>
      </c>
      <c r="C12">
        <f t="shared" si="0"/>
        <v>9.9573257467994308E-3</v>
      </c>
      <c r="D12">
        <f t="shared" si="1"/>
        <v>-4.5897762730138639E-2</v>
      </c>
      <c r="E12">
        <f t="shared" si="2"/>
        <v>9.9148336027874844E-5</v>
      </c>
    </row>
    <row r="13" spans="1:5" x14ac:dyDescent="0.3">
      <c r="A13" s="74" t="s">
        <v>95</v>
      </c>
      <c r="B13">
        <v>7</v>
      </c>
      <c r="C13">
        <f t="shared" si="0"/>
        <v>9.9573257467994308E-3</v>
      </c>
      <c r="D13">
        <f t="shared" si="1"/>
        <v>-4.5897762730138639E-2</v>
      </c>
      <c r="E13">
        <f t="shared" si="2"/>
        <v>9.9148336027874844E-5</v>
      </c>
    </row>
    <row r="14" spans="1:5" x14ac:dyDescent="0.3">
      <c r="A14" s="74" t="s">
        <v>72</v>
      </c>
      <c r="B14">
        <v>7</v>
      </c>
      <c r="C14">
        <f t="shared" si="0"/>
        <v>9.9573257467994308E-3</v>
      </c>
      <c r="D14">
        <f t="shared" si="1"/>
        <v>-4.5897762730138639E-2</v>
      </c>
      <c r="E14">
        <f t="shared" si="2"/>
        <v>9.9148336027874844E-5</v>
      </c>
    </row>
    <row r="15" spans="1:5" x14ac:dyDescent="0.3">
      <c r="A15" s="74" t="s">
        <v>172</v>
      </c>
      <c r="B15">
        <v>7</v>
      </c>
      <c r="C15">
        <f t="shared" si="0"/>
        <v>9.9573257467994308E-3</v>
      </c>
      <c r="D15">
        <f t="shared" si="1"/>
        <v>-4.5897762730138639E-2</v>
      </c>
      <c r="E15">
        <f t="shared" si="2"/>
        <v>9.9148336027874844E-5</v>
      </c>
    </row>
    <row r="16" spans="1:5" x14ac:dyDescent="0.3">
      <c r="A16" s="74" t="s">
        <v>1718</v>
      </c>
      <c r="B16">
        <v>6</v>
      </c>
      <c r="C16">
        <f t="shared" si="0"/>
        <v>8.5348506401137988E-3</v>
      </c>
      <c r="D16">
        <f t="shared" si="1"/>
        <v>-4.0656592511373629E-2</v>
      </c>
      <c r="E16">
        <f t="shared" si="2"/>
        <v>7.2843675449050919E-5</v>
      </c>
    </row>
    <row r="17" spans="1:5" x14ac:dyDescent="0.3">
      <c r="A17" s="74" t="s">
        <v>210</v>
      </c>
      <c r="B17">
        <v>6</v>
      </c>
      <c r="C17">
        <f t="shared" si="0"/>
        <v>8.5348506401137988E-3</v>
      </c>
      <c r="D17">
        <f t="shared" si="1"/>
        <v>-4.0656592511373629E-2</v>
      </c>
      <c r="E17">
        <f t="shared" si="2"/>
        <v>7.2843675449050919E-5</v>
      </c>
    </row>
    <row r="18" spans="1:5" x14ac:dyDescent="0.3">
      <c r="A18" s="74" t="s">
        <v>392</v>
      </c>
      <c r="B18">
        <v>6</v>
      </c>
      <c r="C18">
        <f t="shared" si="0"/>
        <v>8.5348506401137988E-3</v>
      </c>
      <c r="D18">
        <f t="shared" si="1"/>
        <v>-4.0656592511373629E-2</v>
      </c>
      <c r="E18">
        <f t="shared" si="2"/>
        <v>7.2843675449050919E-5</v>
      </c>
    </row>
    <row r="19" spans="1:5" x14ac:dyDescent="0.3">
      <c r="A19" s="74" t="s">
        <v>216</v>
      </c>
      <c r="B19">
        <v>6</v>
      </c>
      <c r="C19">
        <f t="shared" si="0"/>
        <v>8.5348506401137988E-3</v>
      </c>
      <c r="D19">
        <f t="shared" si="1"/>
        <v>-4.0656592511373629E-2</v>
      </c>
      <c r="E19">
        <f t="shared" si="2"/>
        <v>7.2843675449050919E-5</v>
      </c>
    </row>
    <row r="20" spans="1:5" x14ac:dyDescent="0.3">
      <c r="A20" s="74" t="s">
        <v>78</v>
      </c>
      <c r="B20">
        <v>6</v>
      </c>
      <c r="C20">
        <f t="shared" si="0"/>
        <v>8.5348506401137988E-3</v>
      </c>
      <c r="D20">
        <f t="shared" si="1"/>
        <v>-4.0656592511373629E-2</v>
      </c>
      <c r="E20">
        <f t="shared" si="2"/>
        <v>7.2843675449050919E-5</v>
      </c>
    </row>
    <row r="21" spans="1:5" x14ac:dyDescent="0.3">
      <c r="A21" s="74" t="s">
        <v>226</v>
      </c>
      <c r="B21">
        <v>6</v>
      </c>
      <c r="C21">
        <f t="shared" si="0"/>
        <v>8.5348506401137988E-3</v>
      </c>
      <c r="D21">
        <f t="shared" si="1"/>
        <v>-4.0656592511373629E-2</v>
      </c>
      <c r="E21">
        <f t="shared" si="2"/>
        <v>7.2843675449050919E-5</v>
      </c>
    </row>
    <row r="22" spans="1:5" x14ac:dyDescent="0.3">
      <c r="A22" s="74" t="s">
        <v>407</v>
      </c>
      <c r="B22">
        <v>6</v>
      </c>
      <c r="C22">
        <f t="shared" si="0"/>
        <v>8.5348506401137988E-3</v>
      </c>
      <c r="D22">
        <f t="shared" si="1"/>
        <v>-4.0656592511373629E-2</v>
      </c>
      <c r="E22">
        <f t="shared" si="2"/>
        <v>7.2843675449050919E-5</v>
      </c>
    </row>
    <row r="23" spans="1:5" x14ac:dyDescent="0.3">
      <c r="A23" s="74" t="s">
        <v>1660</v>
      </c>
      <c r="B23">
        <v>5</v>
      </c>
      <c r="C23">
        <f t="shared" si="0"/>
        <v>7.1123755334281651E-3</v>
      </c>
      <c r="D23">
        <f t="shared" si="1"/>
        <v>-3.5177233139235882E-2</v>
      </c>
      <c r="E23">
        <f t="shared" si="2"/>
        <v>5.0585885728507578E-5</v>
      </c>
    </row>
    <row r="24" spans="1:5" x14ac:dyDescent="0.3">
      <c r="A24" s="74" t="s">
        <v>408</v>
      </c>
      <c r="B24">
        <v>5</v>
      </c>
      <c r="C24">
        <f t="shared" si="0"/>
        <v>7.1123755334281651E-3</v>
      </c>
      <c r="D24">
        <f t="shared" si="1"/>
        <v>-3.5177233139235882E-2</v>
      </c>
      <c r="E24">
        <f t="shared" si="2"/>
        <v>5.0585885728507578E-5</v>
      </c>
    </row>
    <row r="25" spans="1:5" x14ac:dyDescent="0.3">
      <c r="A25" s="74" t="s">
        <v>100</v>
      </c>
      <c r="B25">
        <v>5</v>
      </c>
      <c r="C25">
        <f t="shared" si="0"/>
        <v>7.1123755334281651E-3</v>
      </c>
      <c r="D25">
        <f t="shared" si="1"/>
        <v>-3.5177233139235882E-2</v>
      </c>
      <c r="E25">
        <f t="shared" si="2"/>
        <v>5.0585885728507578E-5</v>
      </c>
    </row>
    <row r="26" spans="1:5" x14ac:dyDescent="0.3">
      <c r="A26" s="74" t="s">
        <v>287</v>
      </c>
      <c r="B26">
        <v>5</v>
      </c>
      <c r="C26">
        <f t="shared" si="0"/>
        <v>7.1123755334281651E-3</v>
      </c>
      <c r="D26">
        <f t="shared" si="1"/>
        <v>-3.5177233139235882E-2</v>
      </c>
      <c r="E26">
        <f t="shared" si="2"/>
        <v>5.0585885728507578E-5</v>
      </c>
    </row>
    <row r="27" spans="1:5" x14ac:dyDescent="0.3">
      <c r="A27" s="74" t="s">
        <v>150</v>
      </c>
      <c r="B27">
        <v>5</v>
      </c>
      <c r="C27">
        <f t="shared" si="0"/>
        <v>7.1123755334281651E-3</v>
      </c>
      <c r="D27">
        <f t="shared" si="1"/>
        <v>-3.5177233139235882E-2</v>
      </c>
      <c r="E27">
        <f t="shared" si="2"/>
        <v>5.0585885728507578E-5</v>
      </c>
    </row>
    <row r="28" spans="1:5" x14ac:dyDescent="0.3">
      <c r="A28" s="74" t="s">
        <v>199</v>
      </c>
      <c r="B28">
        <v>5</v>
      </c>
      <c r="C28">
        <f t="shared" si="0"/>
        <v>7.1123755334281651E-3</v>
      </c>
      <c r="D28">
        <f t="shared" si="1"/>
        <v>-3.5177233139235882E-2</v>
      </c>
      <c r="E28">
        <f t="shared" si="2"/>
        <v>5.0585885728507578E-5</v>
      </c>
    </row>
    <row r="29" spans="1:5" x14ac:dyDescent="0.3">
      <c r="A29" s="74" t="s">
        <v>406</v>
      </c>
      <c r="B29">
        <v>5</v>
      </c>
      <c r="C29">
        <f t="shared" si="0"/>
        <v>7.1123755334281651E-3</v>
      </c>
      <c r="D29">
        <f t="shared" si="1"/>
        <v>-3.5177233139235882E-2</v>
      </c>
      <c r="E29">
        <f t="shared" si="2"/>
        <v>5.0585885728507578E-5</v>
      </c>
    </row>
    <row r="30" spans="1:5" x14ac:dyDescent="0.3">
      <c r="A30" s="74" t="s">
        <v>212</v>
      </c>
      <c r="B30">
        <v>5</v>
      </c>
      <c r="C30">
        <f t="shared" si="0"/>
        <v>7.1123755334281651E-3</v>
      </c>
      <c r="D30">
        <f t="shared" si="1"/>
        <v>-3.5177233139235882E-2</v>
      </c>
      <c r="E30">
        <f t="shared" si="2"/>
        <v>5.0585885728507578E-5</v>
      </c>
    </row>
    <row r="31" spans="1:5" x14ac:dyDescent="0.3">
      <c r="A31" s="74" t="s">
        <v>105</v>
      </c>
      <c r="B31">
        <v>4</v>
      </c>
      <c r="C31">
        <f t="shared" si="0"/>
        <v>5.6899004267425323E-3</v>
      </c>
      <c r="D31">
        <f t="shared" si="1"/>
        <v>-2.941145109923627E-2</v>
      </c>
      <c r="E31">
        <f t="shared" si="2"/>
        <v>3.2374966866244848E-5</v>
      </c>
    </row>
    <row r="32" spans="1:5" x14ac:dyDescent="0.3">
      <c r="A32" s="74" t="s">
        <v>266</v>
      </c>
      <c r="B32">
        <v>4</v>
      </c>
      <c r="C32">
        <f t="shared" si="0"/>
        <v>5.6899004267425323E-3</v>
      </c>
      <c r="D32">
        <f t="shared" si="1"/>
        <v>-2.941145109923627E-2</v>
      </c>
      <c r="E32">
        <f t="shared" si="2"/>
        <v>3.2374966866244848E-5</v>
      </c>
    </row>
    <row r="33" spans="1:5" x14ac:dyDescent="0.3">
      <c r="A33" s="74" t="s">
        <v>384</v>
      </c>
      <c r="B33">
        <v>4</v>
      </c>
      <c r="C33">
        <f t="shared" si="0"/>
        <v>5.6899004267425323E-3</v>
      </c>
      <c r="D33">
        <f t="shared" si="1"/>
        <v>-2.941145109923627E-2</v>
      </c>
      <c r="E33">
        <f t="shared" si="2"/>
        <v>3.2374966866244848E-5</v>
      </c>
    </row>
    <row r="34" spans="1:5" x14ac:dyDescent="0.3">
      <c r="A34" s="74" t="s">
        <v>356</v>
      </c>
      <c r="B34">
        <v>4</v>
      </c>
      <c r="C34">
        <f t="shared" si="0"/>
        <v>5.6899004267425323E-3</v>
      </c>
      <c r="D34">
        <f t="shared" si="1"/>
        <v>-2.941145109923627E-2</v>
      </c>
      <c r="E34">
        <f t="shared" si="2"/>
        <v>3.2374966866244848E-5</v>
      </c>
    </row>
    <row r="35" spans="1:5" x14ac:dyDescent="0.3">
      <c r="A35" s="74" t="s">
        <v>259</v>
      </c>
      <c r="B35">
        <v>4</v>
      </c>
      <c r="C35">
        <f t="shared" si="0"/>
        <v>5.6899004267425323E-3</v>
      </c>
      <c r="D35">
        <f t="shared" si="1"/>
        <v>-2.941145109923627E-2</v>
      </c>
      <c r="E35">
        <f t="shared" si="2"/>
        <v>3.2374966866244848E-5</v>
      </c>
    </row>
    <row r="36" spans="1:5" x14ac:dyDescent="0.3">
      <c r="A36" s="74" t="s">
        <v>441</v>
      </c>
      <c r="B36">
        <v>4</v>
      </c>
      <c r="C36">
        <f t="shared" si="0"/>
        <v>5.6899004267425323E-3</v>
      </c>
      <c r="D36">
        <f t="shared" si="1"/>
        <v>-2.941145109923627E-2</v>
      </c>
      <c r="E36">
        <f t="shared" si="2"/>
        <v>3.2374966866244848E-5</v>
      </c>
    </row>
    <row r="37" spans="1:5" x14ac:dyDescent="0.3">
      <c r="A37" s="74" t="s">
        <v>164</v>
      </c>
      <c r="B37">
        <v>4</v>
      </c>
      <c r="C37">
        <f t="shared" si="0"/>
        <v>5.6899004267425323E-3</v>
      </c>
      <c r="D37">
        <f t="shared" si="1"/>
        <v>-2.941145109923627E-2</v>
      </c>
      <c r="E37">
        <f t="shared" si="2"/>
        <v>3.2374966866244848E-5</v>
      </c>
    </row>
    <row r="38" spans="1:5" x14ac:dyDescent="0.3">
      <c r="A38" s="74" t="s">
        <v>297</v>
      </c>
      <c r="B38">
        <v>4</v>
      </c>
      <c r="C38">
        <f t="shared" si="0"/>
        <v>5.6899004267425323E-3</v>
      </c>
      <c r="D38">
        <f t="shared" si="1"/>
        <v>-2.941145109923627E-2</v>
      </c>
      <c r="E38">
        <f t="shared" si="2"/>
        <v>3.2374966866244848E-5</v>
      </c>
    </row>
    <row r="39" spans="1:5" x14ac:dyDescent="0.3">
      <c r="A39" s="74" t="s">
        <v>569</v>
      </c>
      <c r="B39">
        <v>4</v>
      </c>
      <c r="C39">
        <f t="shared" si="0"/>
        <v>5.6899004267425323E-3</v>
      </c>
      <c r="D39">
        <f t="shared" si="1"/>
        <v>-2.941145109923627E-2</v>
      </c>
      <c r="E39">
        <f t="shared" si="2"/>
        <v>3.2374966866244848E-5</v>
      </c>
    </row>
    <row r="40" spans="1:5" x14ac:dyDescent="0.3">
      <c r="A40" s="74" t="s">
        <v>99</v>
      </c>
      <c r="B40">
        <v>4</v>
      </c>
      <c r="C40">
        <f t="shared" si="0"/>
        <v>5.6899004267425323E-3</v>
      </c>
      <c r="D40">
        <f t="shared" si="1"/>
        <v>-2.941145109923627E-2</v>
      </c>
      <c r="E40">
        <f t="shared" si="2"/>
        <v>3.2374966866244848E-5</v>
      </c>
    </row>
    <row r="41" spans="1:5" x14ac:dyDescent="0.3">
      <c r="A41" s="74" t="s">
        <v>421</v>
      </c>
      <c r="B41">
        <v>4</v>
      </c>
      <c r="C41">
        <f t="shared" si="0"/>
        <v>5.6899004267425323E-3</v>
      </c>
      <c r="D41">
        <f t="shared" si="1"/>
        <v>-2.941145109923627E-2</v>
      </c>
      <c r="E41">
        <f t="shared" si="2"/>
        <v>3.2374966866244848E-5</v>
      </c>
    </row>
    <row r="42" spans="1:5" x14ac:dyDescent="0.3">
      <c r="A42" s="74" t="s">
        <v>205</v>
      </c>
      <c r="B42">
        <v>4</v>
      </c>
      <c r="C42">
        <f t="shared" si="0"/>
        <v>5.6899004267425323E-3</v>
      </c>
      <c r="D42">
        <f t="shared" si="1"/>
        <v>-2.941145109923627E-2</v>
      </c>
      <c r="E42">
        <f t="shared" si="2"/>
        <v>3.2374966866244848E-5</v>
      </c>
    </row>
    <row r="43" spans="1:5" x14ac:dyDescent="0.3">
      <c r="A43" s="74" t="s">
        <v>224</v>
      </c>
      <c r="B43">
        <v>4</v>
      </c>
      <c r="C43">
        <f t="shared" si="0"/>
        <v>5.6899004267425323E-3</v>
      </c>
      <c r="D43">
        <f t="shared" si="1"/>
        <v>-2.941145109923627E-2</v>
      </c>
      <c r="E43">
        <f t="shared" si="2"/>
        <v>3.2374966866244848E-5</v>
      </c>
    </row>
    <row r="44" spans="1:5" x14ac:dyDescent="0.3">
      <c r="A44" s="74" t="s">
        <v>77</v>
      </c>
      <c r="B44">
        <v>4</v>
      </c>
      <c r="C44">
        <f t="shared" si="0"/>
        <v>5.6899004267425323E-3</v>
      </c>
      <c r="D44">
        <f t="shared" si="1"/>
        <v>-2.941145109923627E-2</v>
      </c>
      <c r="E44">
        <f t="shared" si="2"/>
        <v>3.2374966866244848E-5</v>
      </c>
    </row>
    <row r="45" spans="1:5" x14ac:dyDescent="0.3">
      <c r="A45" s="74" t="s">
        <v>181</v>
      </c>
      <c r="B45">
        <v>4</v>
      </c>
      <c r="C45">
        <f t="shared" si="0"/>
        <v>5.6899004267425323E-3</v>
      </c>
      <c r="D45">
        <f t="shared" si="1"/>
        <v>-2.941145109923627E-2</v>
      </c>
      <c r="E45">
        <f t="shared" si="2"/>
        <v>3.2374966866244848E-5</v>
      </c>
    </row>
    <row r="46" spans="1:5" x14ac:dyDescent="0.3">
      <c r="A46" s="74" t="s">
        <v>86</v>
      </c>
      <c r="B46">
        <v>4</v>
      </c>
      <c r="C46">
        <f t="shared" si="0"/>
        <v>5.6899004267425323E-3</v>
      </c>
      <c r="D46">
        <f t="shared" si="1"/>
        <v>-2.941145109923627E-2</v>
      </c>
      <c r="E46">
        <f t="shared" si="2"/>
        <v>3.2374966866244848E-5</v>
      </c>
    </row>
    <row r="47" spans="1:5" x14ac:dyDescent="0.3">
      <c r="A47" s="74" t="s">
        <v>179</v>
      </c>
      <c r="B47">
        <v>4</v>
      </c>
      <c r="C47">
        <f t="shared" si="0"/>
        <v>5.6899004267425323E-3</v>
      </c>
      <c r="D47">
        <f t="shared" si="1"/>
        <v>-2.941145109923627E-2</v>
      </c>
      <c r="E47">
        <f t="shared" si="2"/>
        <v>3.2374966866244848E-5</v>
      </c>
    </row>
    <row r="48" spans="1:5" x14ac:dyDescent="0.3">
      <c r="A48" s="74" t="s">
        <v>434</v>
      </c>
      <c r="B48">
        <v>4</v>
      </c>
      <c r="C48">
        <f t="shared" si="0"/>
        <v>5.6899004267425323E-3</v>
      </c>
      <c r="D48">
        <f t="shared" si="1"/>
        <v>-2.941145109923627E-2</v>
      </c>
      <c r="E48">
        <f t="shared" si="2"/>
        <v>3.2374966866244848E-5</v>
      </c>
    </row>
    <row r="49" spans="1:5" x14ac:dyDescent="0.3">
      <c r="A49" s="74" t="s">
        <v>91</v>
      </c>
      <c r="B49">
        <v>3</v>
      </c>
      <c r="C49">
        <f t="shared" si="0"/>
        <v>4.2674253200568994E-3</v>
      </c>
      <c r="D49">
        <f t="shared" si="1"/>
        <v>-2.3286250084534377E-2</v>
      </c>
      <c r="E49">
        <f t="shared" si="2"/>
        <v>1.821091886226273E-5</v>
      </c>
    </row>
    <row r="50" spans="1:5" x14ac:dyDescent="0.3">
      <c r="A50" s="74" t="s">
        <v>256</v>
      </c>
      <c r="B50">
        <v>3</v>
      </c>
      <c r="C50">
        <f t="shared" si="0"/>
        <v>4.2674253200568994E-3</v>
      </c>
      <c r="D50">
        <f t="shared" si="1"/>
        <v>-2.3286250084534377E-2</v>
      </c>
      <c r="E50">
        <f t="shared" si="2"/>
        <v>1.821091886226273E-5</v>
      </c>
    </row>
    <row r="51" spans="1:5" x14ac:dyDescent="0.3">
      <c r="A51" s="74" t="s">
        <v>1652</v>
      </c>
      <c r="B51">
        <v>3</v>
      </c>
      <c r="C51">
        <f t="shared" si="0"/>
        <v>4.2674253200568994E-3</v>
      </c>
      <c r="D51">
        <f t="shared" si="1"/>
        <v>-2.3286250084534377E-2</v>
      </c>
      <c r="E51">
        <f t="shared" si="2"/>
        <v>1.821091886226273E-5</v>
      </c>
    </row>
    <row r="52" spans="1:5" x14ac:dyDescent="0.3">
      <c r="A52" s="74" t="s">
        <v>285</v>
      </c>
      <c r="B52">
        <v>3</v>
      </c>
      <c r="C52">
        <f t="shared" si="0"/>
        <v>4.2674253200568994E-3</v>
      </c>
      <c r="D52">
        <f t="shared" si="1"/>
        <v>-2.3286250084534377E-2</v>
      </c>
      <c r="E52">
        <f t="shared" si="2"/>
        <v>1.821091886226273E-5</v>
      </c>
    </row>
    <row r="53" spans="1:5" x14ac:dyDescent="0.3">
      <c r="A53" s="74" t="s">
        <v>165</v>
      </c>
      <c r="B53">
        <v>3</v>
      </c>
      <c r="C53">
        <f t="shared" si="0"/>
        <v>4.2674253200568994E-3</v>
      </c>
      <c r="D53">
        <f t="shared" si="1"/>
        <v>-2.3286250084534377E-2</v>
      </c>
      <c r="E53">
        <f t="shared" si="2"/>
        <v>1.821091886226273E-5</v>
      </c>
    </row>
    <row r="54" spans="1:5" x14ac:dyDescent="0.3">
      <c r="A54" s="74" t="s">
        <v>104</v>
      </c>
      <c r="B54">
        <v>3</v>
      </c>
      <c r="C54">
        <f t="shared" si="0"/>
        <v>4.2674253200568994E-3</v>
      </c>
      <c r="D54">
        <f t="shared" si="1"/>
        <v>-2.3286250084534377E-2</v>
      </c>
      <c r="E54">
        <f t="shared" si="2"/>
        <v>1.821091886226273E-5</v>
      </c>
    </row>
    <row r="55" spans="1:5" x14ac:dyDescent="0.3">
      <c r="A55" s="74" t="s">
        <v>1676</v>
      </c>
      <c r="B55">
        <v>3</v>
      </c>
      <c r="C55">
        <f t="shared" si="0"/>
        <v>4.2674253200568994E-3</v>
      </c>
      <c r="D55">
        <f t="shared" si="1"/>
        <v>-2.3286250084534377E-2</v>
      </c>
      <c r="E55">
        <f t="shared" si="2"/>
        <v>1.821091886226273E-5</v>
      </c>
    </row>
    <row r="56" spans="1:5" x14ac:dyDescent="0.3">
      <c r="A56" s="74" t="s">
        <v>324</v>
      </c>
      <c r="B56">
        <v>3</v>
      </c>
      <c r="C56">
        <f t="shared" si="0"/>
        <v>4.2674253200568994E-3</v>
      </c>
      <c r="D56">
        <f t="shared" si="1"/>
        <v>-2.3286250084534377E-2</v>
      </c>
      <c r="E56">
        <f t="shared" si="2"/>
        <v>1.821091886226273E-5</v>
      </c>
    </row>
    <row r="57" spans="1:5" x14ac:dyDescent="0.3">
      <c r="A57" s="74" t="s">
        <v>257</v>
      </c>
      <c r="B57">
        <v>3</v>
      </c>
      <c r="C57">
        <f t="shared" si="0"/>
        <v>4.2674253200568994E-3</v>
      </c>
      <c r="D57">
        <f t="shared" si="1"/>
        <v>-2.3286250084534377E-2</v>
      </c>
      <c r="E57">
        <f t="shared" si="2"/>
        <v>1.821091886226273E-5</v>
      </c>
    </row>
    <row r="58" spans="1:5" x14ac:dyDescent="0.3">
      <c r="A58" s="74" t="s">
        <v>313</v>
      </c>
      <c r="B58">
        <v>3</v>
      </c>
      <c r="C58">
        <f t="shared" si="0"/>
        <v>4.2674253200568994E-3</v>
      </c>
      <c r="D58">
        <f t="shared" si="1"/>
        <v>-2.3286250084534377E-2</v>
      </c>
      <c r="E58">
        <f t="shared" si="2"/>
        <v>1.821091886226273E-5</v>
      </c>
    </row>
    <row r="59" spans="1:5" x14ac:dyDescent="0.3">
      <c r="A59" s="74" t="s">
        <v>171</v>
      </c>
      <c r="B59">
        <v>3</v>
      </c>
      <c r="C59">
        <f t="shared" si="0"/>
        <v>4.2674253200568994E-3</v>
      </c>
      <c r="D59">
        <f t="shared" si="1"/>
        <v>-2.3286250084534377E-2</v>
      </c>
      <c r="E59">
        <f t="shared" si="2"/>
        <v>1.821091886226273E-5</v>
      </c>
    </row>
    <row r="60" spans="1:5" x14ac:dyDescent="0.3">
      <c r="A60" s="74" t="s">
        <v>82</v>
      </c>
      <c r="B60">
        <v>3</v>
      </c>
      <c r="C60">
        <f t="shared" si="0"/>
        <v>4.2674253200568994E-3</v>
      </c>
      <c r="D60">
        <f t="shared" si="1"/>
        <v>-2.3286250084534377E-2</v>
      </c>
      <c r="E60">
        <f t="shared" si="2"/>
        <v>1.821091886226273E-5</v>
      </c>
    </row>
    <row r="61" spans="1:5" x14ac:dyDescent="0.3">
      <c r="A61" s="74" t="s">
        <v>532</v>
      </c>
      <c r="B61">
        <v>3</v>
      </c>
      <c r="C61">
        <f t="shared" si="0"/>
        <v>4.2674253200568994E-3</v>
      </c>
      <c r="D61">
        <f t="shared" si="1"/>
        <v>-2.3286250084534377E-2</v>
      </c>
      <c r="E61">
        <f t="shared" si="2"/>
        <v>1.821091886226273E-5</v>
      </c>
    </row>
    <row r="62" spans="1:5" x14ac:dyDescent="0.3">
      <c r="A62" s="74" t="s">
        <v>363</v>
      </c>
      <c r="B62">
        <v>3</v>
      </c>
      <c r="C62">
        <f t="shared" si="0"/>
        <v>4.2674253200568994E-3</v>
      </c>
      <c r="D62">
        <f t="shared" si="1"/>
        <v>-2.3286250084534377E-2</v>
      </c>
      <c r="E62">
        <f t="shared" si="2"/>
        <v>1.821091886226273E-5</v>
      </c>
    </row>
    <row r="63" spans="1:5" x14ac:dyDescent="0.3">
      <c r="A63" s="74" t="s">
        <v>509</v>
      </c>
      <c r="B63">
        <v>3</v>
      </c>
      <c r="C63">
        <f t="shared" si="0"/>
        <v>4.2674253200568994E-3</v>
      </c>
      <c r="D63">
        <f t="shared" si="1"/>
        <v>-2.3286250084534377E-2</v>
      </c>
      <c r="E63">
        <f t="shared" si="2"/>
        <v>1.821091886226273E-5</v>
      </c>
    </row>
    <row r="64" spans="1:5" x14ac:dyDescent="0.3">
      <c r="A64" s="74" t="s">
        <v>251</v>
      </c>
      <c r="B64">
        <v>3</v>
      </c>
      <c r="C64">
        <f t="shared" si="0"/>
        <v>4.2674253200568994E-3</v>
      </c>
      <c r="D64">
        <f t="shared" si="1"/>
        <v>-2.3286250084534377E-2</v>
      </c>
      <c r="E64">
        <f t="shared" si="2"/>
        <v>1.821091886226273E-5</v>
      </c>
    </row>
    <row r="65" spans="1:5" x14ac:dyDescent="0.3">
      <c r="A65" s="74" t="s">
        <v>272</v>
      </c>
      <c r="B65">
        <v>3</v>
      </c>
      <c r="C65">
        <f t="shared" si="0"/>
        <v>4.2674253200568994E-3</v>
      </c>
      <c r="D65">
        <f t="shared" si="1"/>
        <v>-2.3286250084534377E-2</v>
      </c>
      <c r="E65">
        <f t="shared" si="2"/>
        <v>1.821091886226273E-5</v>
      </c>
    </row>
    <row r="66" spans="1:5" x14ac:dyDescent="0.3">
      <c r="A66" s="74" t="s">
        <v>429</v>
      </c>
      <c r="B66">
        <v>3</v>
      </c>
      <c r="C66">
        <f t="shared" si="0"/>
        <v>4.2674253200568994E-3</v>
      </c>
      <c r="D66">
        <f t="shared" si="1"/>
        <v>-2.3286250084534377E-2</v>
      </c>
      <c r="E66">
        <f t="shared" si="2"/>
        <v>1.821091886226273E-5</v>
      </c>
    </row>
    <row r="67" spans="1:5" x14ac:dyDescent="0.3">
      <c r="A67" s="74" t="s">
        <v>415</v>
      </c>
      <c r="B67">
        <v>2</v>
      </c>
      <c r="C67">
        <f t="shared" ref="C67:C130" si="3">B67 / SUM($B$2:$B$362)</f>
        <v>2.8449502133712661E-3</v>
      </c>
      <c r="D67">
        <f t="shared" ref="D67:D130" si="4">IF(C67=0,0, C67 * LN(C67))</f>
        <v>-1.6677694768849845E-2</v>
      </c>
      <c r="E67">
        <f t="shared" ref="E67:E130" si="5">C67^2</f>
        <v>8.0937417165612121E-6</v>
      </c>
    </row>
    <row r="68" spans="1:5" x14ac:dyDescent="0.3">
      <c r="A68" s="74" t="s">
        <v>347</v>
      </c>
      <c r="B68">
        <v>2</v>
      </c>
      <c r="C68">
        <f t="shared" si="3"/>
        <v>2.8449502133712661E-3</v>
      </c>
      <c r="D68">
        <f t="shared" si="4"/>
        <v>-1.6677694768849845E-2</v>
      </c>
      <c r="E68">
        <f t="shared" si="5"/>
        <v>8.0937417165612121E-6</v>
      </c>
    </row>
    <row r="69" spans="1:5" x14ac:dyDescent="0.3">
      <c r="A69" s="74" t="s">
        <v>393</v>
      </c>
      <c r="B69">
        <v>2</v>
      </c>
      <c r="C69">
        <f t="shared" si="3"/>
        <v>2.8449502133712661E-3</v>
      </c>
      <c r="D69">
        <f t="shared" si="4"/>
        <v>-1.6677694768849845E-2</v>
      </c>
      <c r="E69">
        <f t="shared" si="5"/>
        <v>8.0937417165612121E-6</v>
      </c>
    </row>
    <row r="70" spans="1:5" x14ac:dyDescent="0.3">
      <c r="A70" s="74" t="s">
        <v>557</v>
      </c>
      <c r="B70">
        <v>2</v>
      </c>
      <c r="C70">
        <f t="shared" si="3"/>
        <v>2.8449502133712661E-3</v>
      </c>
      <c r="D70">
        <f t="shared" si="4"/>
        <v>-1.6677694768849845E-2</v>
      </c>
      <c r="E70">
        <f t="shared" si="5"/>
        <v>8.0937417165612121E-6</v>
      </c>
    </row>
    <row r="71" spans="1:5" x14ac:dyDescent="0.3">
      <c r="A71" s="74" t="s">
        <v>255</v>
      </c>
      <c r="B71">
        <v>2</v>
      </c>
      <c r="C71">
        <f t="shared" si="3"/>
        <v>2.8449502133712661E-3</v>
      </c>
      <c r="D71">
        <f t="shared" si="4"/>
        <v>-1.6677694768849845E-2</v>
      </c>
      <c r="E71">
        <f t="shared" si="5"/>
        <v>8.0937417165612121E-6</v>
      </c>
    </row>
    <row r="72" spans="1:5" x14ac:dyDescent="0.3">
      <c r="A72" s="74" t="s">
        <v>232</v>
      </c>
      <c r="B72">
        <v>2</v>
      </c>
      <c r="C72">
        <f t="shared" si="3"/>
        <v>2.8449502133712661E-3</v>
      </c>
      <c r="D72">
        <f t="shared" si="4"/>
        <v>-1.6677694768849845E-2</v>
      </c>
      <c r="E72">
        <f t="shared" si="5"/>
        <v>8.0937417165612121E-6</v>
      </c>
    </row>
    <row r="73" spans="1:5" x14ac:dyDescent="0.3">
      <c r="A73" s="74" t="s">
        <v>559</v>
      </c>
      <c r="B73">
        <v>2</v>
      </c>
      <c r="C73">
        <f t="shared" si="3"/>
        <v>2.8449502133712661E-3</v>
      </c>
      <c r="D73">
        <f t="shared" si="4"/>
        <v>-1.6677694768849845E-2</v>
      </c>
      <c r="E73">
        <f t="shared" si="5"/>
        <v>8.0937417165612121E-6</v>
      </c>
    </row>
    <row r="74" spans="1:5" x14ac:dyDescent="0.3">
      <c r="A74" s="74" t="s">
        <v>302</v>
      </c>
      <c r="B74">
        <v>2</v>
      </c>
      <c r="C74">
        <f t="shared" si="3"/>
        <v>2.8449502133712661E-3</v>
      </c>
      <c r="D74">
        <f t="shared" si="4"/>
        <v>-1.6677694768849845E-2</v>
      </c>
      <c r="E74">
        <f t="shared" si="5"/>
        <v>8.0937417165612121E-6</v>
      </c>
    </row>
    <row r="75" spans="1:5" x14ac:dyDescent="0.3">
      <c r="A75" s="74" t="s">
        <v>180</v>
      </c>
      <c r="B75">
        <v>2</v>
      </c>
      <c r="C75">
        <f t="shared" si="3"/>
        <v>2.8449502133712661E-3</v>
      </c>
      <c r="D75">
        <f t="shared" si="4"/>
        <v>-1.6677694768849845E-2</v>
      </c>
      <c r="E75">
        <f t="shared" si="5"/>
        <v>8.0937417165612121E-6</v>
      </c>
    </row>
    <row r="76" spans="1:5" x14ac:dyDescent="0.3">
      <c r="A76" s="74" t="s">
        <v>178</v>
      </c>
      <c r="B76">
        <v>2</v>
      </c>
      <c r="C76">
        <f t="shared" si="3"/>
        <v>2.8449502133712661E-3</v>
      </c>
      <c r="D76">
        <f t="shared" si="4"/>
        <v>-1.6677694768849845E-2</v>
      </c>
      <c r="E76">
        <f t="shared" si="5"/>
        <v>8.0937417165612121E-6</v>
      </c>
    </row>
    <row r="77" spans="1:5" x14ac:dyDescent="0.3">
      <c r="A77" s="74" t="s">
        <v>1735</v>
      </c>
      <c r="B77">
        <v>2</v>
      </c>
      <c r="C77">
        <f t="shared" si="3"/>
        <v>2.8449502133712661E-3</v>
      </c>
      <c r="D77">
        <f t="shared" si="4"/>
        <v>-1.6677694768849845E-2</v>
      </c>
      <c r="E77">
        <f t="shared" si="5"/>
        <v>8.0937417165612121E-6</v>
      </c>
    </row>
    <row r="78" spans="1:5" x14ac:dyDescent="0.3">
      <c r="A78" s="74" t="s">
        <v>168</v>
      </c>
      <c r="B78">
        <v>2</v>
      </c>
      <c r="C78">
        <f t="shared" si="3"/>
        <v>2.8449502133712661E-3</v>
      </c>
      <c r="D78">
        <f t="shared" si="4"/>
        <v>-1.6677694768849845E-2</v>
      </c>
      <c r="E78">
        <f t="shared" si="5"/>
        <v>8.0937417165612121E-6</v>
      </c>
    </row>
    <row r="79" spans="1:5" x14ac:dyDescent="0.3">
      <c r="A79" s="74" t="s">
        <v>422</v>
      </c>
      <c r="B79">
        <v>2</v>
      </c>
      <c r="C79">
        <f t="shared" si="3"/>
        <v>2.8449502133712661E-3</v>
      </c>
      <c r="D79">
        <f t="shared" si="4"/>
        <v>-1.6677694768849845E-2</v>
      </c>
      <c r="E79">
        <f t="shared" si="5"/>
        <v>8.0937417165612121E-6</v>
      </c>
    </row>
    <row r="80" spans="1:5" x14ac:dyDescent="0.3">
      <c r="A80" s="74" t="s">
        <v>435</v>
      </c>
      <c r="B80">
        <v>2</v>
      </c>
      <c r="C80">
        <f t="shared" si="3"/>
        <v>2.8449502133712661E-3</v>
      </c>
      <c r="D80">
        <f t="shared" si="4"/>
        <v>-1.6677694768849845E-2</v>
      </c>
      <c r="E80">
        <f t="shared" si="5"/>
        <v>8.0937417165612121E-6</v>
      </c>
    </row>
    <row r="81" spans="1:5" x14ac:dyDescent="0.3">
      <c r="A81" s="74" t="s">
        <v>268</v>
      </c>
      <c r="B81">
        <v>2</v>
      </c>
      <c r="C81">
        <f t="shared" si="3"/>
        <v>2.8449502133712661E-3</v>
      </c>
      <c r="D81">
        <f t="shared" si="4"/>
        <v>-1.6677694768849845E-2</v>
      </c>
      <c r="E81">
        <f t="shared" si="5"/>
        <v>8.0937417165612121E-6</v>
      </c>
    </row>
    <row r="82" spans="1:5" x14ac:dyDescent="0.3">
      <c r="A82" s="74" t="s">
        <v>364</v>
      </c>
      <c r="B82">
        <v>2</v>
      </c>
      <c r="C82">
        <f t="shared" si="3"/>
        <v>2.8449502133712661E-3</v>
      </c>
      <c r="D82">
        <f t="shared" si="4"/>
        <v>-1.6677694768849845E-2</v>
      </c>
      <c r="E82">
        <f t="shared" si="5"/>
        <v>8.0937417165612121E-6</v>
      </c>
    </row>
    <row r="83" spans="1:5" x14ac:dyDescent="0.3">
      <c r="A83" s="74" t="s">
        <v>442</v>
      </c>
      <c r="B83">
        <v>2</v>
      </c>
      <c r="C83">
        <f t="shared" si="3"/>
        <v>2.8449502133712661E-3</v>
      </c>
      <c r="D83">
        <f t="shared" si="4"/>
        <v>-1.6677694768849845E-2</v>
      </c>
      <c r="E83">
        <f t="shared" si="5"/>
        <v>8.0937417165612121E-6</v>
      </c>
    </row>
    <row r="84" spans="1:5" x14ac:dyDescent="0.3">
      <c r="A84" s="74" t="s">
        <v>60</v>
      </c>
      <c r="B84">
        <v>2</v>
      </c>
      <c r="C84">
        <f t="shared" si="3"/>
        <v>2.8449502133712661E-3</v>
      </c>
      <c r="D84">
        <f t="shared" si="4"/>
        <v>-1.6677694768849845E-2</v>
      </c>
      <c r="E84">
        <f t="shared" si="5"/>
        <v>8.0937417165612121E-6</v>
      </c>
    </row>
    <row r="85" spans="1:5" x14ac:dyDescent="0.3">
      <c r="A85" s="74" t="s">
        <v>87</v>
      </c>
      <c r="B85">
        <v>2</v>
      </c>
      <c r="C85">
        <f t="shared" si="3"/>
        <v>2.8449502133712661E-3</v>
      </c>
      <c r="D85">
        <f t="shared" si="4"/>
        <v>-1.6677694768849845E-2</v>
      </c>
      <c r="E85">
        <f t="shared" si="5"/>
        <v>8.0937417165612121E-6</v>
      </c>
    </row>
    <row r="86" spans="1:5" x14ac:dyDescent="0.3">
      <c r="A86" s="74" t="s">
        <v>1673</v>
      </c>
      <c r="B86">
        <v>2</v>
      </c>
      <c r="C86">
        <f t="shared" si="3"/>
        <v>2.8449502133712661E-3</v>
      </c>
      <c r="D86">
        <f t="shared" si="4"/>
        <v>-1.6677694768849845E-2</v>
      </c>
      <c r="E86">
        <f t="shared" si="5"/>
        <v>8.0937417165612121E-6</v>
      </c>
    </row>
    <row r="87" spans="1:5" x14ac:dyDescent="0.3">
      <c r="A87" s="74" t="s">
        <v>66</v>
      </c>
      <c r="B87">
        <v>2</v>
      </c>
      <c r="C87">
        <f t="shared" si="3"/>
        <v>2.8449502133712661E-3</v>
      </c>
      <c r="D87">
        <f t="shared" si="4"/>
        <v>-1.6677694768849845E-2</v>
      </c>
      <c r="E87">
        <f t="shared" si="5"/>
        <v>8.0937417165612121E-6</v>
      </c>
    </row>
    <row r="88" spans="1:5" x14ac:dyDescent="0.3">
      <c r="A88" s="74" t="s">
        <v>1698</v>
      </c>
      <c r="B88">
        <v>2</v>
      </c>
      <c r="C88">
        <f t="shared" si="3"/>
        <v>2.8449502133712661E-3</v>
      </c>
      <c r="D88">
        <f t="shared" si="4"/>
        <v>-1.6677694768849845E-2</v>
      </c>
      <c r="E88">
        <f t="shared" si="5"/>
        <v>8.0937417165612121E-6</v>
      </c>
    </row>
    <row r="89" spans="1:5" x14ac:dyDescent="0.3">
      <c r="A89" s="74" t="s">
        <v>1721</v>
      </c>
      <c r="B89">
        <v>2</v>
      </c>
      <c r="C89">
        <f t="shared" si="3"/>
        <v>2.8449502133712661E-3</v>
      </c>
      <c r="D89">
        <f t="shared" si="4"/>
        <v>-1.6677694768849845E-2</v>
      </c>
      <c r="E89">
        <f t="shared" si="5"/>
        <v>8.0937417165612121E-6</v>
      </c>
    </row>
    <row r="90" spans="1:5" x14ac:dyDescent="0.3">
      <c r="A90" s="74" t="s">
        <v>352</v>
      </c>
      <c r="B90">
        <v>2</v>
      </c>
      <c r="C90">
        <f t="shared" si="3"/>
        <v>2.8449502133712661E-3</v>
      </c>
      <c r="D90">
        <f t="shared" si="4"/>
        <v>-1.6677694768849845E-2</v>
      </c>
      <c r="E90">
        <f t="shared" si="5"/>
        <v>8.0937417165612121E-6</v>
      </c>
    </row>
    <row r="91" spans="1:5" x14ac:dyDescent="0.3">
      <c r="A91" s="74" t="s">
        <v>1685</v>
      </c>
      <c r="B91">
        <v>2</v>
      </c>
      <c r="C91">
        <f t="shared" si="3"/>
        <v>2.8449502133712661E-3</v>
      </c>
      <c r="D91">
        <f t="shared" si="4"/>
        <v>-1.6677694768849845E-2</v>
      </c>
      <c r="E91">
        <f t="shared" si="5"/>
        <v>8.0937417165612121E-6</v>
      </c>
    </row>
    <row r="92" spans="1:5" x14ac:dyDescent="0.3">
      <c r="A92" s="74" t="s">
        <v>378</v>
      </c>
      <c r="B92">
        <v>2</v>
      </c>
      <c r="C92">
        <f t="shared" si="3"/>
        <v>2.8449502133712661E-3</v>
      </c>
      <c r="D92">
        <f t="shared" si="4"/>
        <v>-1.6677694768849845E-2</v>
      </c>
      <c r="E92">
        <f t="shared" si="5"/>
        <v>8.0937417165612121E-6</v>
      </c>
    </row>
    <row r="93" spans="1:5" x14ac:dyDescent="0.3">
      <c r="A93" s="74" t="s">
        <v>68</v>
      </c>
      <c r="B93">
        <v>2</v>
      </c>
      <c r="C93">
        <f t="shared" si="3"/>
        <v>2.8449502133712661E-3</v>
      </c>
      <c r="D93">
        <f t="shared" si="4"/>
        <v>-1.6677694768849845E-2</v>
      </c>
      <c r="E93">
        <f t="shared" si="5"/>
        <v>8.0937417165612121E-6</v>
      </c>
    </row>
    <row r="94" spans="1:5" x14ac:dyDescent="0.3">
      <c r="A94" s="74" t="s">
        <v>225</v>
      </c>
      <c r="B94">
        <v>2</v>
      </c>
      <c r="C94">
        <f t="shared" si="3"/>
        <v>2.8449502133712661E-3</v>
      </c>
      <c r="D94">
        <f t="shared" si="4"/>
        <v>-1.6677694768849845E-2</v>
      </c>
      <c r="E94">
        <f t="shared" si="5"/>
        <v>8.0937417165612121E-6</v>
      </c>
    </row>
    <row r="95" spans="1:5" x14ac:dyDescent="0.3">
      <c r="A95" s="74" t="s">
        <v>396</v>
      </c>
      <c r="B95">
        <v>2</v>
      </c>
      <c r="C95">
        <f t="shared" si="3"/>
        <v>2.8449502133712661E-3</v>
      </c>
      <c r="D95">
        <f t="shared" si="4"/>
        <v>-1.6677694768849845E-2</v>
      </c>
      <c r="E95">
        <f t="shared" si="5"/>
        <v>8.0937417165612121E-6</v>
      </c>
    </row>
    <row r="96" spans="1:5" x14ac:dyDescent="0.3">
      <c r="A96" s="74" t="s">
        <v>428</v>
      </c>
      <c r="B96">
        <v>2</v>
      </c>
      <c r="C96">
        <f t="shared" si="3"/>
        <v>2.8449502133712661E-3</v>
      </c>
      <c r="D96">
        <f t="shared" si="4"/>
        <v>-1.6677694768849845E-2</v>
      </c>
      <c r="E96">
        <f t="shared" si="5"/>
        <v>8.0937417165612121E-6</v>
      </c>
    </row>
    <row r="97" spans="1:5" x14ac:dyDescent="0.3">
      <c r="A97" s="74" t="s">
        <v>293</v>
      </c>
      <c r="B97">
        <v>2</v>
      </c>
      <c r="C97">
        <f t="shared" si="3"/>
        <v>2.8449502133712661E-3</v>
      </c>
      <c r="D97">
        <f t="shared" si="4"/>
        <v>-1.6677694768849845E-2</v>
      </c>
      <c r="E97">
        <f t="shared" si="5"/>
        <v>8.0937417165612121E-6</v>
      </c>
    </row>
    <row r="98" spans="1:5" x14ac:dyDescent="0.3">
      <c r="A98" s="74" t="s">
        <v>80</v>
      </c>
      <c r="B98">
        <v>2</v>
      </c>
      <c r="C98">
        <f t="shared" si="3"/>
        <v>2.8449502133712661E-3</v>
      </c>
      <c r="D98">
        <f t="shared" si="4"/>
        <v>-1.6677694768849845E-2</v>
      </c>
      <c r="E98">
        <f t="shared" si="5"/>
        <v>8.0937417165612121E-6</v>
      </c>
    </row>
    <row r="99" spans="1:5" x14ac:dyDescent="0.3">
      <c r="A99" s="74" t="s">
        <v>530</v>
      </c>
      <c r="B99">
        <v>2</v>
      </c>
      <c r="C99">
        <f t="shared" si="3"/>
        <v>2.8449502133712661E-3</v>
      </c>
      <c r="D99">
        <f t="shared" si="4"/>
        <v>-1.6677694768849845E-2</v>
      </c>
      <c r="E99">
        <f t="shared" si="5"/>
        <v>8.0937417165612121E-6</v>
      </c>
    </row>
    <row r="100" spans="1:5" x14ac:dyDescent="0.3">
      <c r="A100" s="74" t="s">
        <v>314</v>
      </c>
      <c r="B100">
        <v>2</v>
      </c>
      <c r="C100">
        <f t="shared" si="3"/>
        <v>2.8449502133712661E-3</v>
      </c>
      <c r="D100">
        <f t="shared" si="4"/>
        <v>-1.6677694768849845E-2</v>
      </c>
      <c r="E100">
        <f t="shared" si="5"/>
        <v>8.0937417165612121E-6</v>
      </c>
    </row>
    <row r="101" spans="1:5" x14ac:dyDescent="0.3">
      <c r="A101" s="74" t="s">
        <v>303</v>
      </c>
      <c r="B101">
        <v>2</v>
      </c>
      <c r="C101">
        <f t="shared" si="3"/>
        <v>2.8449502133712661E-3</v>
      </c>
      <c r="D101">
        <f t="shared" si="4"/>
        <v>-1.6677694768849845E-2</v>
      </c>
      <c r="E101">
        <f t="shared" si="5"/>
        <v>8.0937417165612121E-6</v>
      </c>
    </row>
    <row r="102" spans="1:5" x14ac:dyDescent="0.3">
      <c r="A102" s="74" t="s">
        <v>106</v>
      </c>
      <c r="B102">
        <v>2</v>
      </c>
      <c r="C102">
        <f t="shared" si="3"/>
        <v>2.8449502133712661E-3</v>
      </c>
      <c r="D102">
        <f t="shared" si="4"/>
        <v>-1.6677694768849845E-2</v>
      </c>
      <c r="E102">
        <f t="shared" si="5"/>
        <v>8.0937417165612121E-6</v>
      </c>
    </row>
    <row r="103" spans="1:5" x14ac:dyDescent="0.3">
      <c r="A103" s="74" t="s">
        <v>1739</v>
      </c>
      <c r="B103">
        <v>2</v>
      </c>
      <c r="C103">
        <f t="shared" si="3"/>
        <v>2.8449502133712661E-3</v>
      </c>
      <c r="D103">
        <f t="shared" si="4"/>
        <v>-1.6677694768849845E-2</v>
      </c>
      <c r="E103">
        <f t="shared" si="5"/>
        <v>8.0937417165612121E-6</v>
      </c>
    </row>
    <row r="104" spans="1:5" x14ac:dyDescent="0.3">
      <c r="A104" s="74" t="s">
        <v>423</v>
      </c>
      <c r="B104">
        <v>2</v>
      </c>
      <c r="C104">
        <f t="shared" si="3"/>
        <v>2.8449502133712661E-3</v>
      </c>
      <c r="D104">
        <f t="shared" si="4"/>
        <v>-1.6677694768849845E-2</v>
      </c>
      <c r="E104">
        <f t="shared" si="5"/>
        <v>8.0937417165612121E-6</v>
      </c>
    </row>
    <row r="105" spans="1:5" x14ac:dyDescent="0.3">
      <c r="A105" s="74" t="s">
        <v>563</v>
      </c>
      <c r="B105">
        <v>2</v>
      </c>
      <c r="C105">
        <f t="shared" si="3"/>
        <v>2.8449502133712661E-3</v>
      </c>
      <c r="D105">
        <f t="shared" si="4"/>
        <v>-1.6677694768849845E-2</v>
      </c>
      <c r="E105">
        <f t="shared" si="5"/>
        <v>8.0937417165612121E-6</v>
      </c>
    </row>
    <row r="106" spans="1:5" x14ac:dyDescent="0.3">
      <c r="A106" s="74" t="s">
        <v>1700</v>
      </c>
      <c r="B106">
        <v>2</v>
      </c>
      <c r="C106">
        <f t="shared" si="3"/>
        <v>2.8449502133712661E-3</v>
      </c>
      <c r="D106">
        <f t="shared" si="4"/>
        <v>-1.6677694768849845E-2</v>
      </c>
      <c r="E106">
        <f t="shared" si="5"/>
        <v>8.0937417165612121E-6</v>
      </c>
    </row>
    <row r="107" spans="1:5" x14ac:dyDescent="0.3">
      <c r="A107" s="74" t="s">
        <v>323</v>
      </c>
      <c r="B107">
        <v>2</v>
      </c>
      <c r="C107">
        <f t="shared" si="3"/>
        <v>2.8449502133712661E-3</v>
      </c>
      <c r="D107">
        <f t="shared" si="4"/>
        <v>-1.6677694768849845E-2</v>
      </c>
      <c r="E107">
        <f t="shared" si="5"/>
        <v>8.0937417165612121E-6</v>
      </c>
    </row>
    <row r="108" spans="1:5" x14ac:dyDescent="0.3">
      <c r="A108" s="74" t="s">
        <v>450</v>
      </c>
      <c r="B108">
        <v>2</v>
      </c>
      <c r="C108">
        <f t="shared" si="3"/>
        <v>2.8449502133712661E-3</v>
      </c>
      <c r="D108">
        <f t="shared" si="4"/>
        <v>-1.6677694768849845E-2</v>
      </c>
      <c r="E108">
        <f t="shared" si="5"/>
        <v>8.0937417165612121E-6</v>
      </c>
    </row>
    <row r="109" spans="1:5" x14ac:dyDescent="0.3">
      <c r="A109" s="74" t="s">
        <v>531</v>
      </c>
      <c r="B109">
        <v>2</v>
      </c>
      <c r="C109">
        <f t="shared" si="3"/>
        <v>2.8449502133712661E-3</v>
      </c>
      <c r="D109">
        <f t="shared" si="4"/>
        <v>-1.6677694768849845E-2</v>
      </c>
      <c r="E109">
        <f t="shared" si="5"/>
        <v>8.0937417165612121E-6</v>
      </c>
    </row>
    <row r="110" spans="1:5" x14ac:dyDescent="0.3">
      <c r="A110" s="74" t="s">
        <v>525</v>
      </c>
      <c r="B110">
        <v>2</v>
      </c>
      <c r="C110">
        <f t="shared" si="3"/>
        <v>2.8449502133712661E-3</v>
      </c>
      <c r="D110">
        <f t="shared" si="4"/>
        <v>-1.6677694768849845E-2</v>
      </c>
      <c r="E110">
        <f t="shared" si="5"/>
        <v>8.0937417165612121E-6</v>
      </c>
    </row>
    <row r="111" spans="1:5" x14ac:dyDescent="0.3">
      <c r="A111" s="74" t="s">
        <v>437</v>
      </c>
      <c r="B111">
        <v>2</v>
      </c>
      <c r="C111">
        <f t="shared" si="3"/>
        <v>2.8449502133712661E-3</v>
      </c>
      <c r="D111">
        <f t="shared" si="4"/>
        <v>-1.6677694768849845E-2</v>
      </c>
      <c r="E111">
        <f t="shared" si="5"/>
        <v>8.0937417165612121E-6</v>
      </c>
    </row>
    <row r="112" spans="1:5" x14ac:dyDescent="0.3">
      <c r="A112" s="74" t="s">
        <v>163</v>
      </c>
      <c r="B112">
        <v>2</v>
      </c>
      <c r="C112">
        <f t="shared" si="3"/>
        <v>2.8449502133712661E-3</v>
      </c>
      <c r="D112">
        <f t="shared" si="4"/>
        <v>-1.6677694768849845E-2</v>
      </c>
      <c r="E112">
        <f t="shared" si="5"/>
        <v>8.0937417165612121E-6</v>
      </c>
    </row>
    <row r="113" spans="1:5" x14ac:dyDescent="0.3">
      <c r="A113" s="74" t="s">
        <v>414</v>
      </c>
      <c r="B113">
        <v>2</v>
      </c>
      <c r="C113">
        <f t="shared" si="3"/>
        <v>2.8449502133712661E-3</v>
      </c>
      <c r="D113">
        <f t="shared" si="4"/>
        <v>-1.6677694768849845E-2</v>
      </c>
      <c r="E113">
        <f t="shared" si="5"/>
        <v>8.0937417165612121E-6</v>
      </c>
    </row>
    <row r="114" spans="1:5" x14ac:dyDescent="0.3">
      <c r="A114" s="74" t="s">
        <v>174</v>
      </c>
      <c r="B114">
        <v>2</v>
      </c>
      <c r="C114">
        <f t="shared" si="3"/>
        <v>2.8449502133712661E-3</v>
      </c>
      <c r="D114">
        <f t="shared" si="4"/>
        <v>-1.6677694768849845E-2</v>
      </c>
      <c r="E114">
        <f t="shared" si="5"/>
        <v>8.0937417165612121E-6</v>
      </c>
    </row>
    <row r="115" spans="1:5" x14ac:dyDescent="0.3">
      <c r="A115" s="74" t="s">
        <v>453</v>
      </c>
      <c r="B115">
        <v>2</v>
      </c>
      <c r="C115">
        <f t="shared" si="3"/>
        <v>2.8449502133712661E-3</v>
      </c>
      <c r="D115">
        <f t="shared" si="4"/>
        <v>-1.6677694768849845E-2</v>
      </c>
      <c r="E115">
        <f t="shared" si="5"/>
        <v>8.0937417165612121E-6</v>
      </c>
    </row>
    <row r="116" spans="1:5" x14ac:dyDescent="0.3">
      <c r="A116" s="74" t="s">
        <v>455</v>
      </c>
      <c r="B116">
        <v>2</v>
      </c>
      <c r="C116">
        <f t="shared" si="3"/>
        <v>2.8449502133712661E-3</v>
      </c>
      <c r="D116">
        <f t="shared" si="4"/>
        <v>-1.6677694768849845E-2</v>
      </c>
      <c r="E116">
        <f t="shared" si="5"/>
        <v>8.0937417165612121E-6</v>
      </c>
    </row>
    <row r="117" spans="1:5" x14ac:dyDescent="0.3">
      <c r="A117" s="74" t="s">
        <v>522</v>
      </c>
      <c r="B117">
        <v>2</v>
      </c>
      <c r="C117">
        <f t="shared" si="3"/>
        <v>2.8449502133712661E-3</v>
      </c>
      <c r="D117">
        <f t="shared" si="4"/>
        <v>-1.6677694768849845E-2</v>
      </c>
      <c r="E117">
        <f t="shared" si="5"/>
        <v>8.0937417165612121E-6</v>
      </c>
    </row>
    <row r="118" spans="1:5" x14ac:dyDescent="0.3">
      <c r="A118" s="74" t="s">
        <v>389</v>
      </c>
      <c r="B118">
        <v>2</v>
      </c>
      <c r="C118">
        <f t="shared" si="3"/>
        <v>2.8449502133712661E-3</v>
      </c>
      <c r="D118">
        <f t="shared" si="4"/>
        <v>-1.6677694768849845E-2</v>
      </c>
      <c r="E118">
        <f t="shared" si="5"/>
        <v>8.0937417165612121E-6</v>
      </c>
    </row>
    <row r="119" spans="1:5" x14ac:dyDescent="0.3">
      <c r="A119" s="74" t="s">
        <v>564</v>
      </c>
      <c r="B119">
        <v>2</v>
      </c>
      <c r="C119">
        <f t="shared" si="3"/>
        <v>2.8449502133712661E-3</v>
      </c>
      <c r="D119">
        <f t="shared" si="4"/>
        <v>-1.6677694768849845E-2</v>
      </c>
      <c r="E119">
        <f t="shared" si="5"/>
        <v>8.0937417165612121E-6</v>
      </c>
    </row>
    <row r="120" spans="1:5" x14ac:dyDescent="0.3">
      <c r="A120" s="74" t="s">
        <v>416</v>
      </c>
      <c r="B120">
        <v>2</v>
      </c>
      <c r="C120">
        <f t="shared" si="3"/>
        <v>2.8449502133712661E-3</v>
      </c>
      <c r="D120">
        <f t="shared" si="4"/>
        <v>-1.6677694768849845E-2</v>
      </c>
      <c r="E120">
        <f t="shared" si="5"/>
        <v>8.0937417165612121E-6</v>
      </c>
    </row>
    <row r="121" spans="1:5" x14ac:dyDescent="0.3">
      <c r="A121" s="74" t="s">
        <v>1725</v>
      </c>
      <c r="B121">
        <v>2</v>
      </c>
      <c r="C121">
        <f t="shared" si="3"/>
        <v>2.8449502133712661E-3</v>
      </c>
      <c r="D121">
        <f t="shared" si="4"/>
        <v>-1.6677694768849845E-2</v>
      </c>
      <c r="E121">
        <f t="shared" si="5"/>
        <v>8.0937417165612121E-6</v>
      </c>
    </row>
    <row r="122" spans="1:5" x14ac:dyDescent="0.3">
      <c r="A122" s="74" t="s">
        <v>185</v>
      </c>
      <c r="B122">
        <v>2</v>
      </c>
      <c r="C122">
        <f t="shared" si="3"/>
        <v>2.8449502133712661E-3</v>
      </c>
      <c r="D122">
        <f t="shared" si="4"/>
        <v>-1.6677694768849845E-2</v>
      </c>
      <c r="E122">
        <f t="shared" si="5"/>
        <v>8.0937417165612121E-6</v>
      </c>
    </row>
    <row r="123" spans="1:5" x14ac:dyDescent="0.3">
      <c r="A123" s="74" t="s">
        <v>235</v>
      </c>
      <c r="B123">
        <v>2</v>
      </c>
      <c r="C123">
        <f t="shared" si="3"/>
        <v>2.8449502133712661E-3</v>
      </c>
      <c r="D123">
        <f t="shared" si="4"/>
        <v>-1.6677694768849845E-2</v>
      </c>
      <c r="E123">
        <f t="shared" si="5"/>
        <v>8.0937417165612121E-6</v>
      </c>
    </row>
    <row r="124" spans="1:5" x14ac:dyDescent="0.3">
      <c r="A124" s="74" t="s">
        <v>101</v>
      </c>
      <c r="B124">
        <v>2</v>
      </c>
      <c r="C124">
        <f t="shared" si="3"/>
        <v>2.8449502133712661E-3</v>
      </c>
      <c r="D124">
        <f t="shared" si="4"/>
        <v>-1.6677694768849845E-2</v>
      </c>
      <c r="E124">
        <f t="shared" si="5"/>
        <v>8.0937417165612121E-6</v>
      </c>
    </row>
    <row r="125" spans="1:5" x14ac:dyDescent="0.3">
      <c r="A125" s="74" t="s">
        <v>454</v>
      </c>
      <c r="B125">
        <v>2</v>
      </c>
      <c r="C125">
        <f t="shared" si="3"/>
        <v>2.8449502133712661E-3</v>
      </c>
      <c r="D125">
        <f t="shared" si="4"/>
        <v>-1.6677694768849845E-2</v>
      </c>
      <c r="E125">
        <f t="shared" si="5"/>
        <v>8.0937417165612121E-6</v>
      </c>
    </row>
    <row r="126" spans="1:5" x14ac:dyDescent="0.3">
      <c r="A126" s="74" t="s">
        <v>71</v>
      </c>
      <c r="B126">
        <v>2</v>
      </c>
      <c r="C126">
        <f t="shared" si="3"/>
        <v>2.8449502133712661E-3</v>
      </c>
      <c r="D126">
        <f t="shared" si="4"/>
        <v>-1.6677694768849845E-2</v>
      </c>
      <c r="E126">
        <f t="shared" si="5"/>
        <v>8.0937417165612121E-6</v>
      </c>
    </row>
    <row r="127" spans="1:5" x14ac:dyDescent="0.3">
      <c r="A127" s="74" t="s">
        <v>443</v>
      </c>
      <c r="B127">
        <v>2</v>
      </c>
      <c r="C127">
        <f t="shared" si="3"/>
        <v>2.8449502133712661E-3</v>
      </c>
      <c r="D127">
        <f t="shared" si="4"/>
        <v>-1.6677694768849845E-2</v>
      </c>
      <c r="E127">
        <f t="shared" si="5"/>
        <v>8.0937417165612121E-6</v>
      </c>
    </row>
    <row r="128" spans="1:5" x14ac:dyDescent="0.3">
      <c r="A128" s="74" t="s">
        <v>1713</v>
      </c>
      <c r="B128">
        <v>2</v>
      </c>
      <c r="C128">
        <f t="shared" si="3"/>
        <v>2.8449502133712661E-3</v>
      </c>
      <c r="D128">
        <f t="shared" si="4"/>
        <v>-1.6677694768849845E-2</v>
      </c>
      <c r="E128">
        <f t="shared" si="5"/>
        <v>8.0937417165612121E-6</v>
      </c>
    </row>
    <row r="129" spans="1:5" x14ac:dyDescent="0.3">
      <c r="A129" s="74" t="s">
        <v>1731</v>
      </c>
      <c r="B129">
        <v>2</v>
      </c>
      <c r="C129">
        <f t="shared" si="3"/>
        <v>2.8449502133712661E-3</v>
      </c>
      <c r="D129">
        <f t="shared" si="4"/>
        <v>-1.6677694768849845E-2</v>
      </c>
      <c r="E129">
        <f t="shared" si="5"/>
        <v>8.0937417165612121E-6</v>
      </c>
    </row>
    <row r="130" spans="1:5" x14ac:dyDescent="0.3">
      <c r="A130" s="74" t="s">
        <v>558</v>
      </c>
      <c r="B130">
        <v>2</v>
      </c>
      <c r="C130">
        <f t="shared" si="3"/>
        <v>2.8449502133712661E-3</v>
      </c>
      <c r="D130">
        <f t="shared" si="4"/>
        <v>-1.6677694768849845E-2</v>
      </c>
      <c r="E130">
        <f t="shared" si="5"/>
        <v>8.0937417165612121E-6</v>
      </c>
    </row>
    <row r="131" spans="1:5" x14ac:dyDescent="0.3">
      <c r="A131" s="74" t="s">
        <v>1714</v>
      </c>
      <c r="B131">
        <v>2</v>
      </c>
      <c r="C131">
        <f t="shared" ref="C131:C194" si="6">B131 / SUM($B$2:$B$362)</f>
        <v>2.8449502133712661E-3</v>
      </c>
      <c r="D131">
        <f t="shared" ref="D131:D194" si="7">IF(C131=0,0, C131 * LN(C131))</f>
        <v>-1.6677694768849845E-2</v>
      </c>
      <c r="E131">
        <f t="shared" ref="E131:E194" si="8">C131^2</f>
        <v>8.0937417165612121E-6</v>
      </c>
    </row>
    <row r="132" spans="1:5" x14ac:dyDescent="0.3">
      <c r="A132" s="74" t="s">
        <v>526</v>
      </c>
      <c r="B132">
        <v>2</v>
      </c>
      <c r="C132">
        <f t="shared" si="6"/>
        <v>2.8449502133712661E-3</v>
      </c>
      <c r="D132">
        <f t="shared" si="7"/>
        <v>-1.6677694768849845E-2</v>
      </c>
      <c r="E132">
        <f t="shared" si="8"/>
        <v>8.0937417165612121E-6</v>
      </c>
    </row>
    <row r="133" spans="1:5" x14ac:dyDescent="0.3">
      <c r="A133" s="74" t="s">
        <v>1706</v>
      </c>
      <c r="B133">
        <v>1</v>
      </c>
      <c r="C133">
        <f t="shared" si="6"/>
        <v>1.4224751066856331E-3</v>
      </c>
      <c r="D133">
        <f t="shared" si="7"/>
        <v>-9.3248319940407755E-3</v>
      </c>
      <c r="E133">
        <f t="shared" si="8"/>
        <v>2.023435429140303E-6</v>
      </c>
    </row>
    <row r="134" spans="1:5" x14ac:dyDescent="0.3">
      <c r="A134" s="74" t="s">
        <v>299</v>
      </c>
      <c r="B134">
        <v>1</v>
      </c>
      <c r="C134">
        <f t="shared" si="6"/>
        <v>1.4224751066856331E-3</v>
      </c>
      <c r="D134">
        <f t="shared" si="7"/>
        <v>-9.3248319940407755E-3</v>
      </c>
      <c r="E134">
        <f t="shared" si="8"/>
        <v>2.023435429140303E-6</v>
      </c>
    </row>
    <row r="135" spans="1:5" x14ac:dyDescent="0.3">
      <c r="A135" s="74" t="s">
        <v>217</v>
      </c>
      <c r="B135">
        <v>1</v>
      </c>
      <c r="C135">
        <f t="shared" si="6"/>
        <v>1.4224751066856331E-3</v>
      </c>
      <c r="D135">
        <f t="shared" si="7"/>
        <v>-9.3248319940407755E-3</v>
      </c>
      <c r="E135">
        <f t="shared" si="8"/>
        <v>2.023435429140303E-6</v>
      </c>
    </row>
    <row r="136" spans="1:5" x14ac:dyDescent="0.3">
      <c r="A136" s="74" t="s">
        <v>213</v>
      </c>
      <c r="B136">
        <v>1</v>
      </c>
      <c r="C136">
        <f t="shared" si="6"/>
        <v>1.4224751066856331E-3</v>
      </c>
      <c r="D136">
        <f t="shared" si="7"/>
        <v>-9.3248319940407755E-3</v>
      </c>
      <c r="E136">
        <f t="shared" si="8"/>
        <v>2.023435429140303E-6</v>
      </c>
    </row>
    <row r="137" spans="1:5" x14ac:dyDescent="0.3">
      <c r="A137" s="74" t="s">
        <v>1678</v>
      </c>
      <c r="B137">
        <v>1</v>
      </c>
      <c r="C137">
        <f t="shared" si="6"/>
        <v>1.4224751066856331E-3</v>
      </c>
      <c r="D137">
        <f t="shared" si="7"/>
        <v>-9.3248319940407755E-3</v>
      </c>
      <c r="E137">
        <f t="shared" si="8"/>
        <v>2.023435429140303E-6</v>
      </c>
    </row>
    <row r="138" spans="1:5" x14ac:dyDescent="0.3">
      <c r="A138" s="74" t="s">
        <v>173</v>
      </c>
      <c r="B138">
        <v>1</v>
      </c>
      <c r="C138">
        <f t="shared" si="6"/>
        <v>1.4224751066856331E-3</v>
      </c>
      <c r="D138">
        <f t="shared" si="7"/>
        <v>-9.3248319940407755E-3</v>
      </c>
      <c r="E138">
        <f t="shared" si="8"/>
        <v>2.023435429140303E-6</v>
      </c>
    </row>
    <row r="139" spans="1:5" x14ac:dyDescent="0.3">
      <c r="A139" s="74" t="s">
        <v>296</v>
      </c>
      <c r="B139">
        <v>1</v>
      </c>
      <c r="C139">
        <f t="shared" si="6"/>
        <v>1.4224751066856331E-3</v>
      </c>
      <c r="D139">
        <f t="shared" si="7"/>
        <v>-9.3248319940407755E-3</v>
      </c>
      <c r="E139">
        <f t="shared" si="8"/>
        <v>2.023435429140303E-6</v>
      </c>
    </row>
    <row r="140" spans="1:5" x14ac:dyDescent="0.3">
      <c r="A140" s="74" t="s">
        <v>1664</v>
      </c>
      <c r="B140">
        <v>1</v>
      </c>
      <c r="C140">
        <f t="shared" si="6"/>
        <v>1.4224751066856331E-3</v>
      </c>
      <c r="D140">
        <f t="shared" si="7"/>
        <v>-9.3248319940407755E-3</v>
      </c>
      <c r="E140">
        <f t="shared" si="8"/>
        <v>2.023435429140303E-6</v>
      </c>
    </row>
    <row r="141" spans="1:5" x14ac:dyDescent="0.3">
      <c r="A141" s="74" t="s">
        <v>398</v>
      </c>
      <c r="B141">
        <v>1</v>
      </c>
      <c r="C141">
        <f t="shared" si="6"/>
        <v>1.4224751066856331E-3</v>
      </c>
      <c r="D141">
        <f t="shared" si="7"/>
        <v>-9.3248319940407755E-3</v>
      </c>
      <c r="E141">
        <f t="shared" si="8"/>
        <v>2.023435429140303E-6</v>
      </c>
    </row>
    <row r="142" spans="1:5" x14ac:dyDescent="0.3">
      <c r="A142" s="74" t="s">
        <v>278</v>
      </c>
      <c r="B142">
        <v>1</v>
      </c>
      <c r="C142">
        <f t="shared" si="6"/>
        <v>1.4224751066856331E-3</v>
      </c>
      <c r="D142">
        <f t="shared" si="7"/>
        <v>-9.3248319940407755E-3</v>
      </c>
      <c r="E142">
        <f t="shared" si="8"/>
        <v>2.023435429140303E-6</v>
      </c>
    </row>
    <row r="143" spans="1:5" x14ac:dyDescent="0.3">
      <c r="A143" s="74" t="s">
        <v>1728</v>
      </c>
      <c r="B143">
        <v>1</v>
      </c>
      <c r="C143">
        <f t="shared" si="6"/>
        <v>1.4224751066856331E-3</v>
      </c>
      <c r="D143">
        <f t="shared" si="7"/>
        <v>-9.3248319940407755E-3</v>
      </c>
      <c r="E143">
        <f t="shared" si="8"/>
        <v>2.023435429140303E-6</v>
      </c>
    </row>
    <row r="144" spans="1:5" x14ac:dyDescent="0.3">
      <c r="A144" s="74" t="s">
        <v>84</v>
      </c>
      <c r="B144">
        <v>1</v>
      </c>
      <c r="C144">
        <f t="shared" si="6"/>
        <v>1.4224751066856331E-3</v>
      </c>
      <c r="D144">
        <f t="shared" si="7"/>
        <v>-9.3248319940407755E-3</v>
      </c>
      <c r="E144">
        <f t="shared" si="8"/>
        <v>2.023435429140303E-6</v>
      </c>
    </row>
    <row r="145" spans="1:5" x14ac:dyDescent="0.3">
      <c r="A145" s="74" t="s">
        <v>1704</v>
      </c>
      <c r="B145">
        <v>1</v>
      </c>
      <c r="C145">
        <f t="shared" si="6"/>
        <v>1.4224751066856331E-3</v>
      </c>
      <c r="D145">
        <f t="shared" si="7"/>
        <v>-9.3248319940407755E-3</v>
      </c>
      <c r="E145">
        <f t="shared" si="8"/>
        <v>2.023435429140303E-6</v>
      </c>
    </row>
    <row r="146" spans="1:5" x14ac:dyDescent="0.3">
      <c r="A146" s="74" t="s">
        <v>309</v>
      </c>
      <c r="B146">
        <v>1</v>
      </c>
      <c r="C146">
        <f t="shared" si="6"/>
        <v>1.4224751066856331E-3</v>
      </c>
      <c r="D146">
        <f t="shared" si="7"/>
        <v>-9.3248319940407755E-3</v>
      </c>
      <c r="E146">
        <f t="shared" si="8"/>
        <v>2.023435429140303E-6</v>
      </c>
    </row>
    <row r="147" spans="1:5" x14ac:dyDescent="0.3">
      <c r="A147" s="74" t="s">
        <v>242</v>
      </c>
      <c r="B147">
        <v>1</v>
      </c>
      <c r="C147">
        <f t="shared" si="6"/>
        <v>1.4224751066856331E-3</v>
      </c>
      <c r="D147">
        <f t="shared" si="7"/>
        <v>-9.3248319940407755E-3</v>
      </c>
      <c r="E147">
        <f t="shared" si="8"/>
        <v>2.023435429140303E-6</v>
      </c>
    </row>
    <row r="148" spans="1:5" x14ac:dyDescent="0.3">
      <c r="A148" s="74" t="s">
        <v>96</v>
      </c>
      <c r="B148">
        <v>1</v>
      </c>
      <c r="C148">
        <f t="shared" si="6"/>
        <v>1.4224751066856331E-3</v>
      </c>
      <c r="D148">
        <f t="shared" si="7"/>
        <v>-9.3248319940407755E-3</v>
      </c>
      <c r="E148">
        <f t="shared" si="8"/>
        <v>2.023435429140303E-6</v>
      </c>
    </row>
    <row r="149" spans="1:5" x14ac:dyDescent="0.3">
      <c r="A149" s="74" t="s">
        <v>233</v>
      </c>
      <c r="B149">
        <v>1</v>
      </c>
      <c r="C149">
        <f t="shared" si="6"/>
        <v>1.4224751066856331E-3</v>
      </c>
      <c r="D149">
        <f t="shared" si="7"/>
        <v>-9.3248319940407755E-3</v>
      </c>
      <c r="E149">
        <f t="shared" si="8"/>
        <v>2.023435429140303E-6</v>
      </c>
    </row>
    <row r="150" spans="1:5" x14ac:dyDescent="0.3">
      <c r="A150" s="74" t="s">
        <v>281</v>
      </c>
      <c r="B150">
        <v>1</v>
      </c>
      <c r="C150">
        <f t="shared" si="6"/>
        <v>1.4224751066856331E-3</v>
      </c>
      <c r="D150">
        <f t="shared" si="7"/>
        <v>-9.3248319940407755E-3</v>
      </c>
      <c r="E150">
        <f t="shared" si="8"/>
        <v>2.023435429140303E-6</v>
      </c>
    </row>
    <row r="151" spans="1:5" x14ac:dyDescent="0.3">
      <c r="A151" s="74" t="s">
        <v>561</v>
      </c>
      <c r="B151">
        <v>1</v>
      </c>
      <c r="C151">
        <f t="shared" si="6"/>
        <v>1.4224751066856331E-3</v>
      </c>
      <c r="D151">
        <f t="shared" si="7"/>
        <v>-9.3248319940407755E-3</v>
      </c>
      <c r="E151">
        <f t="shared" si="8"/>
        <v>2.023435429140303E-6</v>
      </c>
    </row>
    <row r="152" spans="1:5" x14ac:dyDescent="0.3">
      <c r="A152" s="74" t="s">
        <v>348</v>
      </c>
      <c r="B152">
        <v>1</v>
      </c>
      <c r="C152">
        <f t="shared" si="6"/>
        <v>1.4224751066856331E-3</v>
      </c>
      <c r="D152">
        <f t="shared" si="7"/>
        <v>-9.3248319940407755E-3</v>
      </c>
      <c r="E152">
        <f t="shared" si="8"/>
        <v>2.023435429140303E-6</v>
      </c>
    </row>
    <row r="153" spans="1:5" x14ac:dyDescent="0.3">
      <c r="A153" s="74" t="s">
        <v>204</v>
      </c>
      <c r="B153">
        <v>1</v>
      </c>
      <c r="C153">
        <f t="shared" si="6"/>
        <v>1.4224751066856331E-3</v>
      </c>
      <c r="D153">
        <f t="shared" si="7"/>
        <v>-9.3248319940407755E-3</v>
      </c>
      <c r="E153">
        <f t="shared" si="8"/>
        <v>2.023435429140303E-6</v>
      </c>
    </row>
    <row r="154" spans="1:5" x14ac:dyDescent="0.3">
      <c r="A154" s="74" t="s">
        <v>215</v>
      </c>
      <c r="B154">
        <v>1</v>
      </c>
      <c r="C154">
        <f t="shared" si="6"/>
        <v>1.4224751066856331E-3</v>
      </c>
      <c r="D154">
        <f t="shared" si="7"/>
        <v>-9.3248319940407755E-3</v>
      </c>
      <c r="E154">
        <f t="shared" si="8"/>
        <v>2.023435429140303E-6</v>
      </c>
    </row>
    <row r="155" spans="1:5" x14ac:dyDescent="0.3">
      <c r="A155" s="74" t="s">
        <v>252</v>
      </c>
      <c r="B155">
        <v>1</v>
      </c>
      <c r="C155">
        <f t="shared" si="6"/>
        <v>1.4224751066856331E-3</v>
      </c>
      <c r="D155">
        <f t="shared" si="7"/>
        <v>-9.3248319940407755E-3</v>
      </c>
      <c r="E155">
        <f t="shared" si="8"/>
        <v>2.023435429140303E-6</v>
      </c>
    </row>
    <row r="156" spans="1:5" x14ac:dyDescent="0.3">
      <c r="A156" s="74" t="s">
        <v>1665</v>
      </c>
      <c r="B156">
        <v>1</v>
      </c>
      <c r="C156">
        <f t="shared" si="6"/>
        <v>1.4224751066856331E-3</v>
      </c>
      <c r="D156">
        <f t="shared" si="7"/>
        <v>-9.3248319940407755E-3</v>
      </c>
      <c r="E156">
        <f t="shared" si="8"/>
        <v>2.023435429140303E-6</v>
      </c>
    </row>
    <row r="157" spans="1:5" x14ac:dyDescent="0.3">
      <c r="A157" s="74" t="s">
        <v>1729</v>
      </c>
      <c r="B157">
        <v>1</v>
      </c>
      <c r="C157">
        <f t="shared" si="6"/>
        <v>1.4224751066856331E-3</v>
      </c>
      <c r="D157">
        <f t="shared" si="7"/>
        <v>-9.3248319940407755E-3</v>
      </c>
      <c r="E157">
        <f t="shared" si="8"/>
        <v>2.023435429140303E-6</v>
      </c>
    </row>
    <row r="158" spans="1:5" x14ac:dyDescent="0.3">
      <c r="A158" s="74" t="s">
        <v>556</v>
      </c>
      <c r="B158">
        <v>1</v>
      </c>
      <c r="C158">
        <f t="shared" si="6"/>
        <v>1.4224751066856331E-3</v>
      </c>
      <c r="D158">
        <f t="shared" si="7"/>
        <v>-9.3248319940407755E-3</v>
      </c>
      <c r="E158">
        <f t="shared" si="8"/>
        <v>2.023435429140303E-6</v>
      </c>
    </row>
    <row r="159" spans="1:5" x14ac:dyDescent="0.3">
      <c r="A159" s="74" t="s">
        <v>1701</v>
      </c>
      <c r="B159">
        <v>1</v>
      </c>
      <c r="C159">
        <f t="shared" si="6"/>
        <v>1.4224751066856331E-3</v>
      </c>
      <c r="D159">
        <f t="shared" si="7"/>
        <v>-9.3248319940407755E-3</v>
      </c>
      <c r="E159">
        <f t="shared" si="8"/>
        <v>2.023435429140303E-6</v>
      </c>
    </row>
    <row r="160" spans="1:5" x14ac:dyDescent="0.3">
      <c r="A160" s="74" t="s">
        <v>271</v>
      </c>
      <c r="B160">
        <v>1</v>
      </c>
      <c r="C160">
        <f t="shared" si="6"/>
        <v>1.4224751066856331E-3</v>
      </c>
      <c r="D160">
        <f t="shared" si="7"/>
        <v>-9.3248319940407755E-3</v>
      </c>
      <c r="E160">
        <f t="shared" si="8"/>
        <v>2.023435429140303E-6</v>
      </c>
    </row>
    <row r="161" spans="1:5" x14ac:dyDescent="0.3">
      <c r="A161" s="74" t="s">
        <v>1705</v>
      </c>
      <c r="B161">
        <v>1</v>
      </c>
      <c r="C161">
        <f t="shared" si="6"/>
        <v>1.4224751066856331E-3</v>
      </c>
      <c r="D161">
        <f t="shared" si="7"/>
        <v>-9.3248319940407755E-3</v>
      </c>
      <c r="E161">
        <f t="shared" si="8"/>
        <v>2.023435429140303E-6</v>
      </c>
    </row>
    <row r="162" spans="1:5" x14ac:dyDescent="0.3">
      <c r="A162" s="74" t="s">
        <v>354</v>
      </c>
      <c r="B162">
        <v>1</v>
      </c>
      <c r="C162">
        <f t="shared" si="6"/>
        <v>1.4224751066856331E-3</v>
      </c>
      <c r="D162">
        <f t="shared" si="7"/>
        <v>-9.3248319940407755E-3</v>
      </c>
      <c r="E162">
        <f t="shared" si="8"/>
        <v>2.023435429140303E-6</v>
      </c>
    </row>
    <row r="163" spans="1:5" x14ac:dyDescent="0.3">
      <c r="A163" s="74" t="s">
        <v>402</v>
      </c>
      <c r="B163">
        <v>1</v>
      </c>
      <c r="C163">
        <f t="shared" si="6"/>
        <v>1.4224751066856331E-3</v>
      </c>
      <c r="D163">
        <f t="shared" si="7"/>
        <v>-9.3248319940407755E-3</v>
      </c>
      <c r="E163">
        <f t="shared" si="8"/>
        <v>2.023435429140303E-6</v>
      </c>
    </row>
    <row r="164" spans="1:5" x14ac:dyDescent="0.3">
      <c r="A164" s="74" t="s">
        <v>361</v>
      </c>
      <c r="B164">
        <v>1</v>
      </c>
      <c r="C164">
        <f t="shared" si="6"/>
        <v>1.4224751066856331E-3</v>
      </c>
      <c r="D164">
        <f t="shared" si="7"/>
        <v>-9.3248319940407755E-3</v>
      </c>
      <c r="E164">
        <f t="shared" si="8"/>
        <v>2.023435429140303E-6</v>
      </c>
    </row>
    <row r="165" spans="1:5" x14ac:dyDescent="0.3">
      <c r="A165" s="74" t="s">
        <v>1657</v>
      </c>
      <c r="B165">
        <v>1</v>
      </c>
      <c r="C165">
        <f t="shared" si="6"/>
        <v>1.4224751066856331E-3</v>
      </c>
      <c r="D165">
        <f t="shared" si="7"/>
        <v>-9.3248319940407755E-3</v>
      </c>
      <c r="E165">
        <f t="shared" si="8"/>
        <v>2.023435429140303E-6</v>
      </c>
    </row>
    <row r="166" spans="1:5" x14ac:dyDescent="0.3">
      <c r="A166" s="74" t="s">
        <v>1666</v>
      </c>
      <c r="B166">
        <v>1</v>
      </c>
      <c r="C166">
        <f t="shared" si="6"/>
        <v>1.4224751066856331E-3</v>
      </c>
      <c r="D166">
        <f t="shared" si="7"/>
        <v>-9.3248319940407755E-3</v>
      </c>
      <c r="E166">
        <f t="shared" si="8"/>
        <v>2.023435429140303E-6</v>
      </c>
    </row>
    <row r="167" spans="1:5" x14ac:dyDescent="0.3">
      <c r="A167" s="74" t="s">
        <v>201</v>
      </c>
      <c r="B167">
        <v>1</v>
      </c>
      <c r="C167">
        <f t="shared" si="6"/>
        <v>1.4224751066856331E-3</v>
      </c>
      <c r="D167">
        <f t="shared" si="7"/>
        <v>-9.3248319940407755E-3</v>
      </c>
      <c r="E167">
        <f t="shared" si="8"/>
        <v>2.023435429140303E-6</v>
      </c>
    </row>
    <row r="168" spans="1:5" x14ac:dyDescent="0.3">
      <c r="A168" s="74" t="s">
        <v>308</v>
      </c>
      <c r="B168">
        <v>1</v>
      </c>
      <c r="C168">
        <f t="shared" si="6"/>
        <v>1.4224751066856331E-3</v>
      </c>
      <c r="D168">
        <f t="shared" si="7"/>
        <v>-9.3248319940407755E-3</v>
      </c>
      <c r="E168">
        <f t="shared" si="8"/>
        <v>2.023435429140303E-6</v>
      </c>
    </row>
    <row r="169" spans="1:5" x14ac:dyDescent="0.3">
      <c r="A169" s="74" t="s">
        <v>144</v>
      </c>
      <c r="B169">
        <v>1</v>
      </c>
      <c r="C169">
        <f t="shared" si="6"/>
        <v>1.4224751066856331E-3</v>
      </c>
      <c r="D169">
        <f t="shared" si="7"/>
        <v>-9.3248319940407755E-3</v>
      </c>
      <c r="E169">
        <f t="shared" si="8"/>
        <v>2.023435429140303E-6</v>
      </c>
    </row>
    <row r="170" spans="1:5" x14ac:dyDescent="0.3">
      <c r="A170" s="74" t="s">
        <v>449</v>
      </c>
      <c r="B170">
        <v>1</v>
      </c>
      <c r="C170">
        <f t="shared" si="6"/>
        <v>1.4224751066856331E-3</v>
      </c>
      <c r="D170">
        <f t="shared" si="7"/>
        <v>-9.3248319940407755E-3</v>
      </c>
      <c r="E170">
        <f t="shared" si="8"/>
        <v>2.023435429140303E-6</v>
      </c>
    </row>
    <row r="171" spans="1:5" x14ac:dyDescent="0.3">
      <c r="A171" s="74" t="s">
        <v>1715</v>
      </c>
      <c r="B171">
        <v>1</v>
      </c>
      <c r="C171">
        <f t="shared" si="6"/>
        <v>1.4224751066856331E-3</v>
      </c>
      <c r="D171">
        <f t="shared" si="7"/>
        <v>-9.3248319940407755E-3</v>
      </c>
      <c r="E171">
        <f t="shared" si="8"/>
        <v>2.023435429140303E-6</v>
      </c>
    </row>
    <row r="172" spans="1:5" x14ac:dyDescent="0.3">
      <c r="A172" s="74" t="s">
        <v>231</v>
      </c>
      <c r="B172">
        <v>1</v>
      </c>
      <c r="C172">
        <f t="shared" si="6"/>
        <v>1.4224751066856331E-3</v>
      </c>
      <c r="D172">
        <f t="shared" si="7"/>
        <v>-9.3248319940407755E-3</v>
      </c>
      <c r="E172">
        <f t="shared" si="8"/>
        <v>2.023435429140303E-6</v>
      </c>
    </row>
    <row r="173" spans="1:5" x14ac:dyDescent="0.3">
      <c r="A173" s="74" t="s">
        <v>1717</v>
      </c>
      <c r="B173">
        <v>1</v>
      </c>
      <c r="C173">
        <f t="shared" si="6"/>
        <v>1.4224751066856331E-3</v>
      </c>
      <c r="D173">
        <f t="shared" si="7"/>
        <v>-9.3248319940407755E-3</v>
      </c>
      <c r="E173">
        <f t="shared" si="8"/>
        <v>2.023435429140303E-6</v>
      </c>
    </row>
    <row r="174" spans="1:5" x14ac:dyDescent="0.3">
      <c r="A174" s="74" t="s">
        <v>300</v>
      </c>
      <c r="B174">
        <v>1</v>
      </c>
      <c r="C174">
        <f t="shared" si="6"/>
        <v>1.4224751066856331E-3</v>
      </c>
      <c r="D174">
        <f t="shared" si="7"/>
        <v>-9.3248319940407755E-3</v>
      </c>
      <c r="E174">
        <f t="shared" si="8"/>
        <v>2.023435429140303E-6</v>
      </c>
    </row>
    <row r="175" spans="1:5" x14ac:dyDescent="0.3">
      <c r="A175" s="74" t="s">
        <v>605</v>
      </c>
      <c r="B175">
        <v>1</v>
      </c>
      <c r="C175">
        <f t="shared" si="6"/>
        <v>1.4224751066856331E-3</v>
      </c>
      <c r="D175">
        <f t="shared" si="7"/>
        <v>-9.3248319940407755E-3</v>
      </c>
      <c r="E175">
        <f t="shared" si="8"/>
        <v>2.023435429140303E-6</v>
      </c>
    </row>
    <row r="176" spans="1:5" x14ac:dyDescent="0.3">
      <c r="A176" s="74" t="s">
        <v>394</v>
      </c>
      <c r="B176">
        <v>1</v>
      </c>
      <c r="C176">
        <f t="shared" si="6"/>
        <v>1.4224751066856331E-3</v>
      </c>
      <c r="D176">
        <f t="shared" si="7"/>
        <v>-9.3248319940407755E-3</v>
      </c>
      <c r="E176">
        <f t="shared" si="8"/>
        <v>2.023435429140303E-6</v>
      </c>
    </row>
    <row r="177" spans="1:5" x14ac:dyDescent="0.3">
      <c r="A177" s="74" t="s">
        <v>269</v>
      </c>
      <c r="B177">
        <v>1</v>
      </c>
      <c r="C177">
        <f t="shared" si="6"/>
        <v>1.4224751066856331E-3</v>
      </c>
      <c r="D177">
        <f t="shared" si="7"/>
        <v>-9.3248319940407755E-3</v>
      </c>
      <c r="E177">
        <f t="shared" si="8"/>
        <v>2.023435429140303E-6</v>
      </c>
    </row>
    <row r="178" spans="1:5" x14ac:dyDescent="0.3">
      <c r="A178" s="74" t="s">
        <v>465</v>
      </c>
      <c r="B178">
        <v>1</v>
      </c>
      <c r="C178">
        <f t="shared" si="6"/>
        <v>1.4224751066856331E-3</v>
      </c>
      <c r="D178">
        <f t="shared" si="7"/>
        <v>-9.3248319940407755E-3</v>
      </c>
      <c r="E178">
        <f t="shared" si="8"/>
        <v>2.023435429140303E-6</v>
      </c>
    </row>
    <row r="179" spans="1:5" x14ac:dyDescent="0.3">
      <c r="A179" s="74" t="s">
        <v>1723</v>
      </c>
      <c r="B179">
        <v>1</v>
      </c>
      <c r="C179">
        <f t="shared" si="6"/>
        <v>1.4224751066856331E-3</v>
      </c>
      <c r="D179">
        <f t="shared" si="7"/>
        <v>-9.3248319940407755E-3</v>
      </c>
      <c r="E179">
        <f t="shared" si="8"/>
        <v>2.023435429140303E-6</v>
      </c>
    </row>
    <row r="180" spans="1:5" x14ac:dyDescent="0.3">
      <c r="A180" s="74" t="s">
        <v>1667</v>
      </c>
      <c r="B180">
        <v>1</v>
      </c>
      <c r="C180">
        <f t="shared" si="6"/>
        <v>1.4224751066856331E-3</v>
      </c>
      <c r="D180">
        <f t="shared" si="7"/>
        <v>-9.3248319940407755E-3</v>
      </c>
      <c r="E180">
        <f t="shared" si="8"/>
        <v>2.023435429140303E-6</v>
      </c>
    </row>
    <row r="181" spans="1:5" x14ac:dyDescent="0.3">
      <c r="A181" s="74" t="s">
        <v>223</v>
      </c>
      <c r="B181">
        <v>1</v>
      </c>
      <c r="C181">
        <f t="shared" si="6"/>
        <v>1.4224751066856331E-3</v>
      </c>
      <c r="D181">
        <f t="shared" si="7"/>
        <v>-9.3248319940407755E-3</v>
      </c>
      <c r="E181">
        <f t="shared" si="8"/>
        <v>2.023435429140303E-6</v>
      </c>
    </row>
    <row r="182" spans="1:5" x14ac:dyDescent="0.3">
      <c r="A182" s="74" t="s">
        <v>318</v>
      </c>
      <c r="B182">
        <v>1</v>
      </c>
      <c r="C182">
        <f t="shared" si="6"/>
        <v>1.4224751066856331E-3</v>
      </c>
      <c r="D182">
        <f t="shared" si="7"/>
        <v>-9.3248319940407755E-3</v>
      </c>
      <c r="E182">
        <f t="shared" si="8"/>
        <v>2.023435429140303E-6</v>
      </c>
    </row>
    <row r="183" spans="1:5" x14ac:dyDescent="0.3">
      <c r="A183" s="74" t="s">
        <v>1734</v>
      </c>
      <c r="B183">
        <v>1</v>
      </c>
      <c r="C183">
        <f t="shared" si="6"/>
        <v>1.4224751066856331E-3</v>
      </c>
      <c r="D183">
        <f t="shared" si="7"/>
        <v>-9.3248319940407755E-3</v>
      </c>
      <c r="E183">
        <f t="shared" si="8"/>
        <v>2.023435429140303E-6</v>
      </c>
    </row>
    <row r="184" spans="1:5" x14ac:dyDescent="0.3">
      <c r="A184" s="74" t="s">
        <v>1668</v>
      </c>
      <c r="B184">
        <v>1</v>
      </c>
      <c r="C184">
        <f t="shared" si="6"/>
        <v>1.4224751066856331E-3</v>
      </c>
      <c r="D184">
        <f t="shared" si="7"/>
        <v>-9.3248319940407755E-3</v>
      </c>
      <c r="E184">
        <f t="shared" si="8"/>
        <v>2.023435429140303E-6</v>
      </c>
    </row>
    <row r="185" spans="1:5" x14ac:dyDescent="0.3">
      <c r="A185" s="74" t="s">
        <v>1677</v>
      </c>
      <c r="B185">
        <v>1</v>
      </c>
      <c r="C185">
        <f t="shared" si="6"/>
        <v>1.4224751066856331E-3</v>
      </c>
      <c r="D185">
        <f t="shared" si="7"/>
        <v>-9.3248319940407755E-3</v>
      </c>
      <c r="E185">
        <f t="shared" si="8"/>
        <v>2.023435429140303E-6</v>
      </c>
    </row>
    <row r="186" spans="1:5" x14ac:dyDescent="0.3">
      <c r="A186" s="74" t="s">
        <v>523</v>
      </c>
      <c r="B186">
        <v>1</v>
      </c>
      <c r="C186">
        <f t="shared" si="6"/>
        <v>1.4224751066856331E-3</v>
      </c>
      <c r="D186">
        <f t="shared" si="7"/>
        <v>-9.3248319940407755E-3</v>
      </c>
      <c r="E186">
        <f t="shared" si="8"/>
        <v>2.023435429140303E-6</v>
      </c>
    </row>
    <row r="187" spans="1:5" x14ac:dyDescent="0.3">
      <c r="A187" s="74" t="s">
        <v>373</v>
      </c>
      <c r="B187">
        <v>1</v>
      </c>
      <c r="C187">
        <f t="shared" si="6"/>
        <v>1.4224751066856331E-3</v>
      </c>
      <c r="D187">
        <f t="shared" si="7"/>
        <v>-9.3248319940407755E-3</v>
      </c>
      <c r="E187">
        <f t="shared" si="8"/>
        <v>2.023435429140303E-6</v>
      </c>
    </row>
    <row r="188" spans="1:5" x14ac:dyDescent="0.3">
      <c r="A188" s="74" t="s">
        <v>613</v>
      </c>
      <c r="B188">
        <v>1</v>
      </c>
      <c r="C188">
        <f t="shared" si="6"/>
        <v>1.4224751066856331E-3</v>
      </c>
      <c r="D188">
        <f t="shared" si="7"/>
        <v>-9.3248319940407755E-3</v>
      </c>
      <c r="E188">
        <f t="shared" si="8"/>
        <v>2.023435429140303E-6</v>
      </c>
    </row>
    <row r="189" spans="1:5" x14ac:dyDescent="0.3">
      <c r="A189" s="74" t="s">
        <v>1703</v>
      </c>
      <c r="B189">
        <v>1</v>
      </c>
      <c r="C189">
        <f t="shared" si="6"/>
        <v>1.4224751066856331E-3</v>
      </c>
      <c r="D189">
        <f t="shared" si="7"/>
        <v>-9.3248319940407755E-3</v>
      </c>
      <c r="E189">
        <f t="shared" si="8"/>
        <v>2.023435429140303E-6</v>
      </c>
    </row>
    <row r="190" spans="1:5" x14ac:dyDescent="0.3">
      <c r="A190" s="74" t="s">
        <v>350</v>
      </c>
      <c r="B190">
        <v>1</v>
      </c>
      <c r="C190">
        <f t="shared" si="6"/>
        <v>1.4224751066856331E-3</v>
      </c>
      <c r="D190">
        <f t="shared" si="7"/>
        <v>-9.3248319940407755E-3</v>
      </c>
      <c r="E190">
        <f t="shared" si="8"/>
        <v>2.023435429140303E-6</v>
      </c>
    </row>
    <row r="191" spans="1:5" x14ac:dyDescent="0.3">
      <c r="A191" s="74" t="s">
        <v>248</v>
      </c>
      <c r="B191">
        <v>1</v>
      </c>
      <c r="C191">
        <f t="shared" si="6"/>
        <v>1.4224751066856331E-3</v>
      </c>
      <c r="D191">
        <f t="shared" si="7"/>
        <v>-9.3248319940407755E-3</v>
      </c>
      <c r="E191">
        <f t="shared" si="8"/>
        <v>2.023435429140303E-6</v>
      </c>
    </row>
    <row r="192" spans="1:5" x14ac:dyDescent="0.3">
      <c r="A192" s="74" t="s">
        <v>175</v>
      </c>
      <c r="B192">
        <v>1</v>
      </c>
      <c r="C192">
        <f t="shared" si="6"/>
        <v>1.4224751066856331E-3</v>
      </c>
      <c r="D192">
        <f t="shared" si="7"/>
        <v>-9.3248319940407755E-3</v>
      </c>
      <c r="E192">
        <f t="shared" si="8"/>
        <v>2.023435429140303E-6</v>
      </c>
    </row>
    <row r="193" spans="1:5" x14ac:dyDescent="0.3">
      <c r="A193" s="74" t="s">
        <v>305</v>
      </c>
      <c r="B193">
        <v>1</v>
      </c>
      <c r="C193">
        <f t="shared" si="6"/>
        <v>1.4224751066856331E-3</v>
      </c>
      <c r="D193">
        <f t="shared" si="7"/>
        <v>-9.3248319940407755E-3</v>
      </c>
      <c r="E193">
        <f t="shared" si="8"/>
        <v>2.023435429140303E-6</v>
      </c>
    </row>
    <row r="194" spans="1:5" x14ac:dyDescent="0.3">
      <c r="A194" s="74" t="s">
        <v>147</v>
      </c>
      <c r="B194">
        <v>1</v>
      </c>
      <c r="C194">
        <f t="shared" si="6"/>
        <v>1.4224751066856331E-3</v>
      </c>
      <c r="D194">
        <f t="shared" si="7"/>
        <v>-9.3248319940407755E-3</v>
      </c>
      <c r="E194">
        <f t="shared" si="8"/>
        <v>2.023435429140303E-6</v>
      </c>
    </row>
    <row r="195" spans="1:5" x14ac:dyDescent="0.3">
      <c r="A195" s="74" t="s">
        <v>143</v>
      </c>
      <c r="B195">
        <v>1</v>
      </c>
      <c r="C195">
        <f t="shared" ref="C195:C258" si="9">B195 / SUM($B$2:$B$362)</f>
        <v>1.4224751066856331E-3</v>
      </c>
      <c r="D195">
        <f t="shared" ref="D195:D258" si="10">IF(C195=0,0, C195 * LN(C195))</f>
        <v>-9.3248319940407755E-3</v>
      </c>
      <c r="E195">
        <f t="shared" ref="E195:E258" si="11">C195^2</f>
        <v>2.023435429140303E-6</v>
      </c>
    </row>
    <row r="196" spans="1:5" x14ac:dyDescent="0.3">
      <c r="A196" s="74" t="s">
        <v>572</v>
      </c>
      <c r="B196">
        <v>1</v>
      </c>
      <c r="C196">
        <f t="shared" si="9"/>
        <v>1.4224751066856331E-3</v>
      </c>
      <c r="D196">
        <f t="shared" si="10"/>
        <v>-9.3248319940407755E-3</v>
      </c>
      <c r="E196">
        <f t="shared" si="11"/>
        <v>2.023435429140303E-6</v>
      </c>
    </row>
    <row r="197" spans="1:5" x14ac:dyDescent="0.3">
      <c r="A197" s="74" t="s">
        <v>211</v>
      </c>
      <c r="B197">
        <v>1</v>
      </c>
      <c r="C197">
        <f t="shared" si="9"/>
        <v>1.4224751066856331E-3</v>
      </c>
      <c r="D197">
        <f t="shared" si="10"/>
        <v>-9.3248319940407755E-3</v>
      </c>
      <c r="E197">
        <f t="shared" si="11"/>
        <v>2.023435429140303E-6</v>
      </c>
    </row>
    <row r="198" spans="1:5" x14ac:dyDescent="0.3">
      <c r="A198" s="74" t="s">
        <v>261</v>
      </c>
      <c r="B198">
        <v>1</v>
      </c>
      <c r="C198">
        <f t="shared" si="9"/>
        <v>1.4224751066856331E-3</v>
      </c>
      <c r="D198">
        <f t="shared" si="10"/>
        <v>-9.3248319940407755E-3</v>
      </c>
      <c r="E198">
        <f t="shared" si="11"/>
        <v>2.023435429140303E-6</v>
      </c>
    </row>
    <row r="199" spans="1:5" x14ac:dyDescent="0.3">
      <c r="A199" s="74" t="s">
        <v>1733</v>
      </c>
      <c r="B199">
        <v>1</v>
      </c>
      <c r="C199">
        <f t="shared" si="9"/>
        <v>1.4224751066856331E-3</v>
      </c>
      <c r="D199">
        <f t="shared" si="10"/>
        <v>-9.3248319940407755E-3</v>
      </c>
      <c r="E199">
        <f t="shared" si="11"/>
        <v>2.023435429140303E-6</v>
      </c>
    </row>
    <row r="200" spans="1:5" x14ac:dyDescent="0.3">
      <c r="A200" s="74" t="s">
        <v>1654</v>
      </c>
      <c r="B200">
        <v>1</v>
      </c>
      <c r="C200">
        <f t="shared" si="9"/>
        <v>1.4224751066856331E-3</v>
      </c>
      <c r="D200">
        <f t="shared" si="10"/>
        <v>-9.3248319940407755E-3</v>
      </c>
      <c r="E200">
        <f t="shared" si="11"/>
        <v>2.023435429140303E-6</v>
      </c>
    </row>
    <row r="201" spans="1:5" x14ac:dyDescent="0.3">
      <c r="A201" s="74" t="s">
        <v>1708</v>
      </c>
      <c r="B201">
        <v>1</v>
      </c>
      <c r="C201">
        <f t="shared" si="9"/>
        <v>1.4224751066856331E-3</v>
      </c>
      <c r="D201">
        <f t="shared" si="10"/>
        <v>-9.3248319940407755E-3</v>
      </c>
      <c r="E201">
        <f t="shared" si="11"/>
        <v>2.023435429140303E-6</v>
      </c>
    </row>
    <row r="202" spans="1:5" x14ac:dyDescent="0.3">
      <c r="A202" s="74" t="s">
        <v>555</v>
      </c>
      <c r="B202">
        <v>1</v>
      </c>
      <c r="C202">
        <f t="shared" si="9"/>
        <v>1.4224751066856331E-3</v>
      </c>
      <c r="D202">
        <f t="shared" si="10"/>
        <v>-9.3248319940407755E-3</v>
      </c>
      <c r="E202">
        <f t="shared" si="11"/>
        <v>2.023435429140303E-6</v>
      </c>
    </row>
    <row r="203" spans="1:5" x14ac:dyDescent="0.3">
      <c r="A203" s="74" t="s">
        <v>1710</v>
      </c>
      <c r="B203">
        <v>1</v>
      </c>
      <c r="C203">
        <f t="shared" si="9"/>
        <v>1.4224751066856331E-3</v>
      </c>
      <c r="D203">
        <f t="shared" si="10"/>
        <v>-9.3248319940407755E-3</v>
      </c>
      <c r="E203">
        <f t="shared" si="11"/>
        <v>2.023435429140303E-6</v>
      </c>
    </row>
    <row r="204" spans="1:5" x14ac:dyDescent="0.3">
      <c r="A204" s="74" t="s">
        <v>456</v>
      </c>
      <c r="B204">
        <v>1</v>
      </c>
      <c r="C204">
        <f t="shared" si="9"/>
        <v>1.4224751066856331E-3</v>
      </c>
      <c r="D204">
        <f t="shared" si="10"/>
        <v>-9.3248319940407755E-3</v>
      </c>
      <c r="E204">
        <f t="shared" si="11"/>
        <v>2.023435429140303E-6</v>
      </c>
    </row>
    <row r="205" spans="1:5" x14ac:dyDescent="0.3">
      <c r="A205" s="74" t="s">
        <v>189</v>
      </c>
      <c r="B205">
        <v>1</v>
      </c>
      <c r="C205">
        <f t="shared" si="9"/>
        <v>1.4224751066856331E-3</v>
      </c>
      <c r="D205">
        <f t="shared" si="10"/>
        <v>-9.3248319940407755E-3</v>
      </c>
      <c r="E205">
        <f t="shared" si="11"/>
        <v>2.023435429140303E-6</v>
      </c>
    </row>
    <row r="206" spans="1:5" x14ac:dyDescent="0.3">
      <c r="A206" s="74" t="s">
        <v>1679</v>
      </c>
      <c r="B206">
        <v>1</v>
      </c>
      <c r="C206">
        <f t="shared" si="9"/>
        <v>1.4224751066856331E-3</v>
      </c>
      <c r="D206">
        <f t="shared" si="10"/>
        <v>-9.3248319940407755E-3</v>
      </c>
      <c r="E206">
        <f t="shared" si="11"/>
        <v>2.023435429140303E-6</v>
      </c>
    </row>
    <row r="207" spans="1:5" x14ac:dyDescent="0.3">
      <c r="A207" s="74" t="s">
        <v>258</v>
      </c>
      <c r="B207">
        <v>1</v>
      </c>
      <c r="C207">
        <f t="shared" si="9"/>
        <v>1.4224751066856331E-3</v>
      </c>
      <c r="D207">
        <f t="shared" si="10"/>
        <v>-9.3248319940407755E-3</v>
      </c>
      <c r="E207">
        <f t="shared" si="11"/>
        <v>2.023435429140303E-6</v>
      </c>
    </row>
    <row r="208" spans="1:5" x14ac:dyDescent="0.3">
      <c r="A208" s="74" t="s">
        <v>1669</v>
      </c>
      <c r="B208">
        <v>1</v>
      </c>
      <c r="C208">
        <f t="shared" si="9"/>
        <v>1.4224751066856331E-3</v>
      </c>
      <c r="D208">
        <f t="shared" si="10"/>
        <v>-9.3248319940407755E-3</v>
      </c>
      <c r="E208">
        <f t="shared" si="11"/>
        <v>2.023435429140303E-6</v>
      </c>
    </row>
    <row r="209" spans="1:5" x14ac:dyDescent="0.3">
      <c r="A209" s="74" t="s">
        <v>316</v>
      </c>
      <c r="B209">
        <v>1</v>
      </c>
      <c r="C209">
        <f t="shared" si="9"/>
        <v>1.4224751066856331E-3</v>
      </c>
      <c r="D209">
        <f t="shared" si="10"/>
        <v>-9.3248319940407755E-3</v>
      </c>
      <c r="E209">
        <f t="shared" si="11"/>
        <v>2.023435429140303E-6</v>
      </c>
    </row>
    <row r="210" spans="1:5" x14ac:dyDescent="0.3">
      <c r="A210" s="74" t="s">
        <v>560</v>
      </c>
      <c r="B210">
        <v>1</v>
      </c>
      <c r="C210">
        <f t="shared" si="9"/>
        <v>1.4224751066856331E-3</v>
      </c>
      <c r="D210">
        <f t="shared" si="10"/>
        <v>-9.3248319940407755E-3</v>
      </c>
      <c r="E210">
        <f t="shared" si="11"/>
        <v>2.023435429140303E-6</v>
      </c>
    </row>
    <row r="211" spans="1:5" x14ac:dyDescent="0.3">
      <c r="A211" s="74" t="s">
        <v>301</v>
      </c>
      <c r="B211">
        <v>1</v>
      </c>
      <c r="C211">
        <f t="shared" si="9"/>
        <v>1.4224751066856331E-3</v>
      </c>
      <c r="D211">
        <f t="shared" si="10"/>
        <v>-9.3248319940407755E-3</v>
      </c>
      <c r="E211">
        <f t="shared" si="11"/>
        <v>2.023435429140303E-6</v>
      </c>
    </row>
    <row r="212" spans="1:5" x14ac:dyDescent="0.3">
      <c r="A212" s="74" t="s">
        <v>1680</v>
      </c>
      <c r="B212">
        <v>1</v>
      </c>
      <c r="C212">
        <f t="shared" si="9"/>
        <v>1.4224751066856331E-3</v>
      </c>
      <c r="D212">
        <f t="shared" si="10"/>
        <v>-9.3248319940407755E-3</v>
      </c>
      <c r="E212">
        <f t="shared" si="11"/>
        <v>2.023435429140303E-6</v>
      </c>
    </row>
    <row r="213" spans="1:5" x14ac:dyDescent="0.3">
      <c r="A213" s="74" t="s">
        <v>1674</v>
      </c>
      <c r="B213">
        <v>1</v>
      </c>
      <c r="C213">
        <f t="shared" si="9"/>
        <v>1.4224751066856331E-3</v>
      </c>
      <c r="D213">
        <f t="shared" si="10"/>
        <v>-9.3248319940407755E-3</v>
      </c>
      <c r="E213">
        <f t="shared" si="11"/>
        <v>2.023435429140303E-6</v>
      </c>
    </row>
    <row r="214" spans="1:5" x14ac:dyDescent="0.3">
      <c r="A214" s="74" t="s">
        <v>1681</v>
      </c>
      <c r="B214">
        <v>1</v>
      </c>
      <c r="C214">
        <f t="shared" si="9"/>
        <v>1.4224751066856331E-3</v>
      </c>
      <c r="D214">
        <f t="shared" si="10"/>
        <v>-9.3248319940407755E-3</v>
      </c>
      <c r="E214">
        <f t="shared" si="11"/>
        <v>2.023435429140303E-6</v>
      </c>
    </row>
    <row r="215" spans="1:5" x14ac:dyDescent="0.3">
      <c r="A215" s="74" t="s">
        <v>161</v>
      </c>
      <c r="B215">
        <v>1</v>
      </c>
      <c r="C215">
        <f t="shared" si="9"/>
        <v>1.4224751066856331E-3</v>
      </c>
      <c r="D215">
        <f t="shared" si="10"/>
        <v>-9.3248319940407755E-3</v>
      </c>
      <c r="E215">
        <f t="shared" si="11"/>
        <v>2.023435429140303E-6</v>
      </c>
    </row>
    <row r="216" spans="1:5" x14ac:dyDescent="0.3">
      <c r="A216" s="74" t="s">
        <v>607</v>
      </c>
      <c r="B216">
        <v>1</v>
      </c>
      <c r="C216">
        <f t="shared" si="9"/>
        <v>1.4224751066856331E-3</v>
      </c>
      <c r="D216">
        <f t="shared" si="10"/>
        <v>-9.3248319940407755E-3</v>
      </c>
      <c r="E216">
        <f t="shared" si="11"/>
        <v>2.023435429140303E-6</v>
      </c>
    </row>
    <row r="217" spans="1:5" x14ac:dyDescent="0.3">
      <c r="A217" s="74" t="s">
        <v>227</v>
      </c>
      <c r="B217">
        <v>1</v>
      </c>
      <c r="C217">
        <f t="shared" si="9"/>
        <v>1.4224751066856331E-3</v>
      </c>
      <c r="D217">
        <f t="shared" si="10"/>
        <v>-9.3248319940407755E-3</v>
      </c>
      <c r="E217">
        <f t="shared" si="11"/>
        <v>2.023435429140303E-6</v>
      </c>
    </row>
    <row r="218" spans="1:5" x14ac:dyDescent="0.3">
      <c r="A218" s="74" t="s">
        <v>1682</v>
      </c>
      <c r="B218">
        <v>1</v>
      </c>
      <c r="C218">
        <f t="shared" si="9"/>
        <v>1.4224751066856331E-3</v>
      </c>
      <c r="D218">
        <f t="shared" si="10"/>
        <v>-9.3248319940407755E-3</v>
      </c>
      <c r="E218">
        <f t="shared" si="11"/>
        <v>2.023435429140303E-6</v>
      </c>
    </row>
    <row r="219" spans="1:5" x14ac:dyDescent="0.3">
      <c r="A219" s="74" t="s">
        <v>1740</v>
      </c>
      <c r="B219">
        <v>1</v>
      </c>
      <c r="C219">
        <f t="shared" si="9"/>
        <v>1.4224751066856331E-3</v>
      </c>
      <c r="D219">
        <f t="shared" si="10"/>
        <v>-9.3248319940407755E-3</v>
      </c>
      <c r="E219">
        <f t="shared" si="11"/>
        <v>2.023435429140303E-6</v>
      </c>
    </row>
    <row r="220" spans="1:5" x14ac:dyDescent="0.3">
      <c r="A220" s="74" t="s">
        <v>1670</v>
      </c>
      <c r="B220">
        <v>1</v>
      </c>
      <c r="C220">
        <f t="shared" si="9"/>
        <v>1.4224751066856331E-3</v>
      </c>
      <c r="D220">
        <f t="shared" si="10"/>
        <v>-9.3248319940407755E-3</v>
      </c>
      <c r="E220">
        <f t="shared" si="11"/>
        <v>2.023435429140303E-6</v>
      </c>
    </row>
    <row r="221" spans="1:5" x14ac:dyDescent="0.3">
      <c r="A221" s="74" t="s">
        <v>283</v>
      </c>
      <c r="B221">
        <v>1</v>
      </c>
      <c r="C221">
        <f t="shared" si="9"/>
        <v>1.4224751066856331E-3</v>
      </c>
      <c r="D221">
        <f t="shared" si="10"/>
        <v>-9.3248319940407755E-3</v>
      </c>
      <c r="E221">
        <f t="shared" si="11"/>
        <v>2.023435429140303E-6</v>
      </c>
    </row>
    <row r="222" spans="1:5" x14ac:dyDescent="0.3">
      <c r="A222" s="74" t="s">
        <v>1671</v>
      </c>
      <c r="B222">
        <v>1</v>
      </c>
      <c r="C222">
        <f t="shared" si="9"/>
        <v>1.4224751066856331E-3</v>
      </c>
      <c r="D222">
        <f t="shared" si="10"/>
        <v>-9.3248319940407755E-3</v>
      </c>
      <c r="E222">
        <f t="shared" si="11"/>
        <v>2.023435429140303E-6</v>
      </c>
    </row>
    <row r="223" spans="1:5" x14ac:dyDescent="0.3">
      <c r="A223" s="74" t="s">
        <v>401</v>
      </c>
      <c r="B223">
        <v>1</v>
      </c>
      <c r="C223">
        <f t="shared" si="9"/>
        <v>1.4224751066856331E-3</v>
      </c>
      <c r="D223">
        <f t="shared" si="10"/>
        <v>-9.3248319940407755E-3</v>
      </c>
      <c r="E223">
        <f t="shared" si="11"/>
        <v>2.023435429140303E-6</v>
      </c>
    </row>
    <row r="224" spans="1:5" x14ac:dyDescent="0.3">
      <c r="A224" s="74" t="s">
        <v>1655</v>
      </c>
      <c r="B224">
        <v>1</v>
      </c>
      <c r="C224">
        <f t="shared" si="9"/>
        <v>1.4224751066856331E-3</v>
      </c>
      <c r="D224">
        <f t="shared" si="10"/>
        <v>-9.3248319940407755E-3</v>
      </c>
      <c r="E224">
        <f t="shared" si="11"/>
        <v>2.023435429140303E-6</v>
      </c>
    </row>
    <row r="225" spans="1:5" x14ac:dyDescent="0.3">
      <c r="A225" s="74" t="s">
        <v>145</v>
      </c>
      <c r="B225">
        <v>1</v>
      </c>
      <c r="C225">
        <f t="shared" si="9"/>
        <v>1.4224751066856331E-3</v>
      </c>
      <c r="D225">
        <f t="shared" si="10"/>
        <v>-9.3248319940407755E-3</v>
      </c>
      <c r="E225">
        <f t="shared" si="11"/>
        <v>2.023435429140303E-6</v>
      </c>
    </row>
    <row r="226" spans="1:5" x14ac:dyDescent="0.3">
      <c r="A226" s="74" t="s">
        <v>447</v>
      </c>
      <c r="B226">
        <v>1</v>
      </c>
      <c r="C226">
        <f t="shared" si="9"/>
        <v>1.4224751066856331E-3</v>
      </c>
      <c r="D226">
        <f t="shared" si="10"/>
        <v>-9.3248319940407755E-3</v>
      </c>
      <c r="E226">
        <f t="shared" si="11"/>
        <v>2.023435429140303E-6</v>
      </c>
    </row>
    <row r="227" spans="1:5" x14ac:dyDescent="0.3">
      <c r="A227" s="74" t="s">
        <v>1659</v>
      </c>
      <c r="B227">
        <v>1</v>
      </c>
      <c r="C227">
        <f t="shared" si="9"/>
        <v>1.4224751066856331E-3</v>
      </c>
      <c r="D227">
        <f t="shared" si="10"/>
        <v>-9.3248319940407755E-3</v>
      </c>
      <c r="E227">
        <f t="shared" si="11"/>
        <v>2.023435429140303E-6</v>
      </c>
    </row>
    <row r="228" spans="1:5" x14ac:dyDescent="0.3">
      <c r="A228" s="74" t="s">
        <v>1683</v>
      </c>
      <c r="B228">
        <v>1</v>
      </c>
      <c r="C228">
        <f t="shared" si="9"/>
        <v>1.4224751066856331E-3</v>
      </c>
      <c r="D228">
        <f t="shared" si="10"/>
        <v>-9.3248319940407755E-3</v>
      </c>
      <c r="E228">
        <f t="shared" si="11"/>
        <v>2.023435429140303E-6</v>
      </c>
    </row>
    <row r="229" spans="1:5" x14ac:dyDescent="0.3">
      <c r="A229" s="74" t="s">
        <v>1724</v>
      </c>
      <c r="B229">
        <v>1</v>
      </c>
      <c r="C229">
        <f t="shared" si="9"/>
        <v>1.4224751066856331E-3</v>
      </c>
      <c r="D229">
        <f t="shared" si="10"/>
        <v>-9.3248319940407755E-3</v>
      </c>
      <c r="E229">
        <f t="shared" si="11"/>
        <v>2.023435429140303E-6</v>
      </c>
    </row>
    <row r="230" spans="1:5" x14ac:dyDescent="0.3">
      <c r="A230" s="74" t="s">
        <v>1672</v>
      </c>
      <c r="B230">
        <v>1</v>
      </c>
      <c r="C230">
        <f t="shared" si="9"/>
        <v>1.4224751066856331E-3</v>
      </c>
      <c r="D230">
        <f t="shared" si="10"/>
        <v>-9.3248319940407755E-3</v>
      </c>
      <c r="E230">
        <f t="shared" si="11"/>
        <v>2.023435429140303E-6</v>
      </c>
    </row>
    <row r="231" spans="1:5" x14ac:dyDescent="0.3">
      <c r="A231" s="74" t="s">
        <v>1732</v>
      </c>
      <c r="B231">
        <v>1</v>
      </c>
      <c r="C231">
        <f t="shared" si="9"/>
        <v>1.4224751066856331E-3</v>
      </c>
      <c r="D231">
        <f t="shared" si="10"/>
        <v>-9.3248319940407755E-3</v>
      </c>
      <c r="E231">
        <f t="shared" si="11"/>
        <v>2.023435429140303E-6</v>
      </c>
    </row>
    <row r="232" spans="1:5" x14ac:dyDescent="0.3">
      <c r="A232" s="74" t="s">
        <v>1656</v>
      </c>
      <c r="B232">
        <v>1</v>
      </c>
      <c r="C232">
        <f t="shared" si="9"/>
        <v>1.4224751066856331E-3</v>
      </c>
      <c r="D232">
        <f t="shared" si="10"/>
        <v>-9.3248319940407755E-3</v>
      </c>
      <c r="E232">
        <f t="shared" si="11"/>
        <v>2.023435429140303E-6</v>
      </c>
    </row>
    <row r="233" spans="1:5" x14ac:dyDescent="0.3">
      <c r="A233" s="74" t="s">
        <v>1663</v>
      </c>
      <c r="B233">
        <v>1</v>
      </c>
      <c r="C233">
        <f t="shared" si="9"/>
        <v>1.4224751066856331E-3</v>
      </c>
      <c r="D233">
        <f t="shared" si="10"/>
        <v>-9.3248319940407755E-3</v>
      </c>
      <c r="E233">
        <f t="shared" si="11"/>
        <v>2.023435429140303E-6</v>
      </c>
    </row>
    <row r="234" spans="1:5" x14ac:dyDescent="0.3">
      <c r="A234" s="74" t="s">
        <v>1737</v>
      </c>
      <c r="B234">
        <v>1</v>
      </c>
      <c r="C234">
        <f t="shared" si="9"/>
        <v>1.4224751066856331E-3</v>
      </c>
      <c r="D234">
        <f t="shared" si="10"/>
        <v>-9.3248319940407755E-3</v>
      </c>
      <c r="E234">
        <f t="shared" si="11"/>
        <v>2.023435429140303E-6</v>
      </c>
    </row>
    <row r="235" spans="1:5" x14ac:dyDescent="0.3">
      <c r="A235" s="74" t="s">
        <v>284</v>
      </c>
      <c r="B235">
        <v>1</v>
      </c>
      <c r="C235">
        <f t="shared" si="9"/>
        <v>1.4224751066856331E-3</v>
      </c>
      <c r="D235">
        <f t="shared" si="10"/>
        <v>-9.3248319940407755E-3</v>
      </c>
      <c r="E235">
        <f t="shared" si="11"/>
        <v>2.023435429140303E-6</v>
      </c>
    </row>
    <row r="236" spans="1:5" x14ac:dyDescent="0.3">
      <c r="A236" s="74" t="s">
        <v>1738</v>
      </c>
      <c r="B236">
        <v>1</v>
      </c>
      <c r="C236">
        <f t="shared" si="9"/>
        <v>1.4224751066856331E-3</v>
      </c>
      <c r="D236">
        <f t="shared" si="10"/>
        <v>-9.3248319940407755E-3</v>
      </c>
      <c r="E236">
        <f t="shared" si="11"/>
        <v>2.023435429140303E-6</v>
      </c>
    </row>
    <row r="237" spans="1:5" x14ac:dyDescent="0.3">
      <c r="A237" s="74" t="s">
        <v>152</v>
      </c>
      <c r="B237">
        <v>1</v>
      </c>
      <c r="C237">
        <f t="shared" si="9"/>
        <v>1.4224751066856331E-3</v>
      </c>
      <c r="D237">
        <f t="shared" si="10"/>
        <v>-9.3248319940407755E-3</v>
      </c>
      <c r="E237">
        <f t="shared" si="11"/>
        <v>2.023435429140303E-6</v>
      </c>
    </row>
    <row r="238" spans="1:5" x14ac:dyDescent="0.3">
      <c r="A238" s="74" t="s">
        <v>1661</v>
      </c>
      <c r="B238">
        <v>1</v>
      </c>
      <c r="C238">
        <f t="shared" si="9"/>
        <v>1.4224751066856331E-3</v>
      </c>
      <c r="D238">
        <f t="shared" si="10"/>
        <v>-9.3248319940407755E-3</v>
      </c>
      <c r="E238">
        <f t="shared" si="11"/>
        <v>2.023435429140303E-6</v>
      </c>
    </row>
    <row r="239" spans="1:5" x14ac:dyDescent="0.3">
      <c r="A239" s="74" t="s">
        <v>1653</v>
      </c>
      <c r="B239">
        <v>1</v>
      </c>
      <c r="C239">
        <f t="shared" si="9"/>
        <v>1.4224751066856331E-3</v>
      </c>
      <c r="D239">
        <f t="shared" si="10"/>
        <v>-9.3248319940407755E-3</v>
      </c>
      <c r="E239">
        <f t="shared" si="11"/>
        <v>2.023435429140303E-6</v>
      </c>
    </row>
    <row r="240" spans="1:5" x14ac:dyDescent="0.3">
      <c r="A240" s="74" t="s">
        <v>157</v>
      </c>
      <c r="B240">
        <v>1</v>
      </c>
      <c r="C240">
        <f t="shared" si="9"/>
        <v>1.4224751066856331E-3</v>
      </c>
      <c r="D240">
        <f t="shared" si="10"/>
        <v>-9.3248319940407755E-3</v>
      </c>
      <c r="E240">
        <f t="shared" si="11"/>
        <v>2.023435429140303E-6</v>
      </c>
    </row>
    <row r="241" spans="1:5" x14ac:dyDescent="0.3">
      <c r="A241" s="74" t="s">
        <v>1730</v>
      </c>
      <c r="B241">
        <v>1</v>
      </c>
      <c r="C241">
        <f t="shared" si="9"/>
        <v>1.4224751066856331E-3</v>
      </c>
      <c r="D241">
        <f t="shared" si="10"/>
        <v>-9.3248319940407755E-3</v>
      </c>
      <c r="E241">
        <f t="shared" si="11"/>
        <v>2.023435429140303E-6</v>
      </c>
    </row>
    <row r="242" spans="1:5" x14ac:dyDescent="0.3">
      <c r="A242" s="74" t="s">
        <v>85</v>
      </c>
      <c r="B242">
        <v>1</v>
      </c>
      <c r="C242">
        <f t="shared" si="9"/>
        <v>1.4224751066856331E-3</v>
      </c>
      <c r="D242">
        <f t="shared" si="10"/>
        <v>-9.3248319940407755E-3</v>
      </c>
      <c r="E242">
        <f t="shared" si="11"/>
        <v>2.023435429140303E-6</v>
      </c>
    </row>
    <row r="243" spans="1:5" x14ac:dyDescent="0.3">
      <c r="A243" s="74" t="s">
        <v>383</v>
      </c>
      <c r="B243">
        <v>1</v>
      </c>
      <c r="C243">
        <f t="shared" si="9"/>
        <v>1.4224751066856331E-3</v>
      </c>
      <c r="D243">
        <f t="shared" si="10"/>
        <v>-9.3248319940407755E-3</v>
      </c>
      <c r="E243">
        <f t="shared" si="11"/>
        <v>2.023435429140303E-6</v>
      </c>
    </row>
    <row r="244" spans="1:5" x14ac:dyDescent="0.3">
      <c r="A244" s="74" t="s">
        <v>289</v>
      </c>
      <c r="B244">
        <v>1</v>
      </c>
      <c r="C244">
        <f t="shared" si="9"/>
        <v>1.4224751066856331E-3</v>
      </c>
      <c r="D244">
        <f t="shared" si="10"/>
        <v>-9.3248319940407755E-3</v>
      </c>
      <c r="E244">
        <f t="shared" si="11"/>
        <v>2.023435429140303E-6</v>
      </c>
    </row>
    <row r="245" spans="1:5" x14ac:dyDescent="0.3">
      <c r="A245" s="74" t="s">
        <v>74</v>
      </c>
      <c r="B245">
        <v>1</v>
      </c>
      <c r="C245">
        <f t="shared" si="9"/>
        <v>1.4224751066856331E-3</v>
      </c>
      <c r="D245">
        <f t="shared" si="10"/>
        <v>-9.3248319940407755E-3</v>
      </c>
      <c r="E245">
        <f t="shared" si="11"/>
        <v>2.023435429140303E-6</v>
      </c>
    </row>
    <row r="246" spans="1:5" x14ac:dyDescent="0.3">
      <c r="A246" s="74" t="s">
        <v>1686</v>
      </c>
      <c r="B246">
        <v>1</v>
      </c>
      <c r="C246">
        <f t="shared" si="9"/>
        <v>1.4224751066856331E-3</v>
      </c>
      <c r="D246">
        <f t="shared" si="10"/>
        <v>-9.3248319940407755E-3</v>
      </c>
      <c r="E246">
        <f t="shared" si="11"/>
        <v>2.023435429140303E-6</v>
      </c>
    </row>
    <row r="247" spans="1:5" x14ac:dyDescent="0.3">
      <c r="A247" s="74" t="s">
        <v>1702</v>
      </c>
      <c r="B247">
        <v>1</v>
      </c>
      <c r="C247">
        <f t="shared" si="9"/>
        <v>1.4224751066856331E-3</v>
      </c>
      <c r="D247">
        <f t="shared" si="10"/>
        <v>-9.3248319940407755E-3</v>
      </c>
      <c r="E247">
        <f t="shared" si="11"/>
        <v>2.023435429140303E-6</v>
      </c>
    </row>
    <row r="248" spans="1:5" x14ac:dyDescent="0.3">
      <c r="A248" s="74" t="s">
        <v>1687</v>
      </c>
      <c r="B248">
        <v>1</v>
      </c>
      <c r="C248">
        <f t="shared" si="9"/>
        <v>1.4224751066856331E-3</v>
      </c>
      <c r="D248">
        <f t="shared" si="10"/>
        <v>-9.3248319940407755E-3</v>
      </c>
      <c r="E248">
        <f t="shared" si="11"/>
        <v>2.023435429140303E-6</v>
      </c>
    </row>
    <row r="249" spans="1:5" x14ac:dyDescent="0.3">
      <c r="A249" s="74" t="s">
        <v>306</v>
      </c>
      <c r="B249">
        <v>1</v>
      </c>
      <c r="C249">
        <f t="shared" si="9"/>
        <v>1.4224751066856331E-3</v>
      </c>
      <c r="D249">
        <f t="shared" si="10"/>
        <v>-9.3248319940407755E-3</v>
      </c>
      <c r="E249">
        <f t="shared" si="11"/>
        <v>2.023435429140303E-6</v>
      </c>
    </row>
    <row r="250" spans="1:5" x14ac:dyDescent="0.3">
      <c r="A250" s="74" t="s">
        <v>1688</v>
      </c>
      <c r="B250">
        <v>1</v>
      </c>
      <c r="C250">
        <f t="shared" si="9"/>
        <v>1.4224751066856331E-3</v>
      </c>
      <c r="D250">
        <f t="shared" si="10"/>
        <v>-9.3248319940407755E-3</v>
      </c>
      <c r="E250">
        <f t="shared" si="11"/>
        <v>2.023435429140303E-6</v>
      </c>
    </row>
    <row r="251" spans="1:5" x14ac:dyDescent="0.3">
      <c r="A251" s="74" t="s">
        <v>291</v>
      </c>
      <c r="B251">
        <v>1</v>
      </c>
      <c r="C251">
        <f t="shared" si="9"/>
        <v>1.4224751066856331E-3</v>
      </c>
      <c r="D251">
        <f t="shared" si="10"/>
        <v>-9.3248319940407755E-3</v>
      </c>
      <c r="E251">
        <f t="shared" si="11"/>
        <v>2.023435429140303E-6</v>
      </c>
    </row>
    <row r="252" spans="1:5" x14ac:dyDescent="0.3">
      <c r="A252" s="74" t="s">
        <v>568</v>
      </c>
      <c r="B252">
        <v>1</v>
      </c>
      <c r="C252">
        <f t="shared" si="9"/>
        <v>1.4224751066856331E-3</v>
      </c>
      <c r="D252">
        <f t="shared" si="10"/>
        <v>-9.3248319940407755E-3</v>
      </c>
      <c r="E252">
        <f t="shared" si="11"/>
        <v>2.023435429140303E-6</v>
      </c>
    </row>
    <row r="253" spans="1:5" x14ac:dyDescent="0.3">
      <c r="A253" s="74" t="s">
        <v>254</v>
      </c>
      <c r="B253">
        <v>1</v>
      </c>
      <c r="C253">
        <f t="shared" si="9"/>
        <v>1.4224751066856331E-3</v>
      </c>
      <c r="D253">
        <f t="shared" si="10"/>
        <v>-9.3248319940407755E-3</v>
      </c>
      <c r="E253">
        <f t="shared" si="11"/>
        <v>2.023435429140303E-6</v>
      </c>
    </row>
    <row r="254" spans="1:5" x14ac:dyDescent="0.3">
      <c r="A254" s="74" t="s">
        <v>1689</v>
      </c>
      <c r="B254">
        <v>1</v>
      </c>
      <c r="C254">
        <f t="shared" si="9"/>
        <v>1.4224751066856331E-3</v>
      </c>
      <c r="D254">
        <f t="shared" si="10"/>
        <v>-9.3248319940407755E-3</v>
      </c>
      <c r="E254">
        <f t="shared" si="11"/>
        <v>2.023435429140303E-6</v>
      </c>
    </row>
    <row r="255" spans="1:5" x14ac:dyDescent="0.3">
      <c r="A255" s="74" t="s">
        <v>187</v>
      </c>
      <c r="B255">
        <v>1</v>
      </c>
      <c r="C255">
        <f t="shared" si="9"/>
        <v>1.4224751066856331E-3</v>
      </c>
      <c r="D255">
        <f t="shared" si="10"/>
        <v>-9.3248319940407755E-3</v>
      </c>
      <c r="E255">
        <f t="shared" si="11"/>
        <v>2.023435429140303E-6</v>
      </c>
    </row>
    <row r="256" spans="1:5" x14ac:dyDescent="0.3">
      <c r="A256" s="74" t="s">
        <v>533</v>
      </c>
      <c r="B256">
        <v>1</v>
      </c>
      <c r="C256">
        <f t="shared" si="9"/>
        <v>1.4224751066856331E-3</v>
      </c>
      <c r="D256">
        <f t="shared" si="10"/>
        <v>-9.3248319940407755E-3</v>
      </c>
      <c r="E256">
        <f t="shared" si="11"/>
        <v>2.023435429140303E-6</v>
      </c>
    </row>
    <row r="257" spans="1:5" x14ac:dyDescent="0.3">
      <c r="A257" s="74" t="s">
        <v>190</v>
      </c>
      <c r="B257">
        <v>1</v>
      </c>
      <c r="C257">
        <f t="shared" si="9"/>
        <v>1.4224751066856331E-3</v>
      </c>
      <c r="D257">
        <f t="shared" si="10"/>
        <v>-9.3248319940407755E-3</v>
      </c>
      <c r="E257">
        <f t="shared" si="11"/>
        <v>2.023435429140303E-6</v>
      </c>
    </row>
    <row r="258" spans="1:5" x14ac:dyDescent="0.3">
      <c r="A258" s="74" t="s">
        <v>529</v>
      </c>
      <c r="B258">
        <v>1</v>
      </c>
      <c r="C258">
        <f t="shared" si="9"/>
        <v>1.4224751066856331E-3</v>
      </c>
      <c r="D258">
        <f t="shared" si="10"/>
        <v>-9.3248319940407755E-3</v>
      </c>
      <c r="E258">
        <f t="shared" si="11"/>
        <v>2.023435429140303E-6</v>
      </c>
    </row>
    <row r="259" spans="1:5" x14ac:dyDescent="0.3">
      <c r="A259" s="74" t="s">
        <v>298</v>
      </c>
      <c r="B259">
        <v>1</v>
      </c>
      <c r="C259">
        <f t="shared" ref="C259:C322" si="12">B259 / SUM($B$2:$B$362)</f>
        <v>1.4224751066856331E-3</v>
      </c>
      <c r="D259">
        <f t="shared" ref="D259:D322" si="13">IF(C259=0,0, C259 * LN(C259))</f>
        <v>-9.3248319940407755E-3</v>
      </c>
      <c r="E259">
        <f t="shared" ref="E259:E322" si="14">C259^2</f>
        <v>2.023435429140303E-6</v>
      </c>
    </row>
    <row r="260" spans="1:5" x14ac:dyDescent="0.3">
      <c r="A260" s="74" t="s">
        <v>81</v>
      </c>
      <c r="B260">
        <v>1</v>
      </c>
      <c r="C260">
        <f t="shared" si="12"/>
        <v>1.4224751066856331E-3</v>
      </c>
      <c r="D260">
        <f t="shared" si="13"/>
        <v>-9.3248319940407755E-3</v>
      </c>
      <c r="E260">
        <f t="shared" si="14"/>
        <v>2.023435429140303E-6</v>
      </c>
    </row>
    <row r="261" spans="1:5" x14ac:dyDescent="0.3">
      <c r="A261" s="74" t="s">
        <v>1707</v>
      </c>
      <c r="B261">
        <v>1</v>
      </c>
      <c r="C261">
        <f t="shared" si="12"/>
        <v>1.4224751066856331E-3</v>
      </c>
      <c r="D261">
        <f t="shared" si="13"/>
        <v>-9.3248319940407755E-3</v>
      </c>
      <c r="E261">
        <f t="shared" si="14"/>
        <v>2.023435429140303E-6</v>
      </c>
    </row>
    <row r="262" spans="1:5" x14ac:dyDescent="0.3">
      <c r="A262" s="74" t="s">
        <v>457</v>
      </c>
      <c r="B262">
        <v>1</v>
      </c>
      <c r="C262">
        <f t="shared" si="12"/>
        <v>1.4224751066856331E-3</v>
      </c>
      <c r="D262">
        <f t="shared" si="13"/>
        <v>-9.3248319940407755E-3</v>
      </c>
      <c r="E262">
        <f t="shared" si="14"/>
        <v>2.023435429140303E-6</v>
      </c>
    </row>
    <row r="263" spans="1:5" x14ac:dyDescent="0.3">
      <c r="A263" s="74" t="s">
        <v>493</v>
      </c>
      <c r="B263">
        <v>1</v>
      </c>
      <c r="C263">
        <f t="shared" si="12"/>
        <v>1.4224751066856331E-3</v>
      </c>
      <c r="D263">
        <f t="shared" si="13"/>
        <v>-9.3248319940407755E-3</v>
      </c>
      <c r="E263">
        <f t="shared" si="14"/>
        <v>2.023435429140303E-6</v>
      </c>
    </row>
    <row r="264" spans="1:5" x14ac:dyDescent="0.3">
      <c r="A264" s="74" t="s">
        <v>304</v>
      </c>
      <c r="B264">
        <v>1</v>
      </c>
      <c r="C264">
        <f t="shared" si="12"/>
        <v>1.4224751066856331E-3</v>
      </c>
      <c r="D264">
        <f t="shared" si="13"/>
        <v>-9.3248319940407755E-3</v>
      </c>
      <c r="E264">
        <f t="shared" si="14"/>
        <v>2.023435429140303E-6</v>
      </c>
    </row>
    <row r="265" spans="1:5" x14ac:dyDescent="0.3">
      <c r="A265" s="74" t="s">
        <v>149</v>
      </c>
      <c r="B265">
        <v>1</v>
      </c>
      <c r="C265">
        <f t="shared" si="12"/>
        <v>1.4224751066856331E-3</v>
      </c>
      <c r="D265">
        <f t="shared" si="13"/>
        <v>-9.3248319940407755E-3</v>
      </c>
      <c r="E265">
        <f t="shared" si="14"/>
        <v>2.023435429140303E-6</v>
      </c>
    </row>
    <row r="266" spans="1:5" x14ac:dyDescent="0.3">
      <c r="A266" s="74" t="s">
        <v>430</v>
      </c>
      <c r="B266">
        <v>1</v>
      </c>
      <c r="C266">
        <f t="shared" si="12"/>
        <v>1.4224751066856331E-3</v>
      </c>
      <c r="D266">
        <f t="shared" si="13"/>
        <v>-9.3248319940407755E-3</v>
      </c>
      <c r="E266">
        <f t="shared" si="14"/>
        <v>2.023435429140303E-6</v>
      </c>
    </row>
    <row r="267" spans="1:5" x14ac:dyDescent="0.3">
      <c r="A267" s="74" t="s">
        <v>575</v>
      </c>
      <c r="B267">
        <v>1</v>
      </c>
      <c r="C267">
        <f t="shared" si="12"/>
        <v>1.4224751066856331E-3</v>
      </c>
      <c r="D267">
        <f t="shared" si="13"/>
        <v>-9.3248319940407755E-3</v>
      </c>
      <c r="E267">
        <f t="shared" si="14"/>
        <v>2.023435429140303E-6</v>
      </c>
    </row>
    <row r="268" spans="1:5" x14ac:dyDescent="0.3">
      <c r="A268" s="74" t="s">
        <v>249</v>
      </c>
      <c r="B268">
        <v>1</v>
      </c>
      <c r="C268">
        <f t="shared" si="12"/>
        <v>1.4224751066856331E-3</v>
      </c>
      <c r="D268">
        <f t="shared" si="13"/>
        <v>-9.3248319940407755E-3</v>
      </c>
      <c r="E268">
        <f t="shared" si="14"/>
        <v>2.023435429140303E-6</v>
      </c>
    </row>
    <row r="269" spans="1:5" x14ac:dyDescent="0.3">
      <c r="A269" s="74" t="s">
        <v>399</v>
      </c>
      <c r="B269">
        <v>1</v>
      </c>
      <c r="C269">
        <f t="shared" si="12"/>
        <v>1.4224751066856331E-3</v>
      </c>
      <c r="D269">
        <f t="shared" si="13"/>
        <v>-9.3248319940407755E-3</v>
      </c>
      <c r="E269">
        <f t="shared" si="14"/>
        <v>2.023435429140303E-6</v>
      </c>
    </row>
    <row r="270" spans="1:5" x14ac:dyDescent="0.3">
      <c r="A270" s="74" t="s">
        <v>397</v>
      </c>
      <c r="B270">
        <v>1</v>
      </c>
      <c r="C270">
        <f t="shared" si="12"/>
        <v>1.4224751066856331E-3</v>
      </c>
      <c r="D270">
        <f t="shared" si="13"/>
        <v>-9.3248319940407755E-3</v>
      </c>
      <c r="E270">
        <f t="shared" si="14"/>
        <v>2.023435429140303E-6</v>
      </c>
    </row>
    <row r="271" spans="1:5" x14ac:dyDescent="0.3">
      <c r="A271" s="74" t="s">
        <v>290</v>
      </c>
      <c r="B271">
        <v>1</v>
      </c>
      <c r="C271">
        <f t="shared" si="12"/>
        <v>1.4224751066856331E-3</v>
      </c>
      <c r="D271">
        <f t="shared" si="13"/>
        <v>-9.3248319940407755E-3</v>
      </c>
      <c r="E271">
        <f t="shared" si="14"/>
        <v>2.023435429140303E-6</v>
      </c>
    </row>
    <row r="272" spans="1:5" x14ac:dyDescent="0.3">
      <c r="A272" s="74" t="s">
        <v>1690</v>
      </c>
      <c r="B272">
        <v>1</v>
      </c>
      <c r="C272">
        <f t="shared" si="12"/>
        <v>1.4224751066856331E-3</v>
      </c>
      <c r="D272">
        <f t="shared" si="13"/>
        <v>-9.3248319940407755E-3</v>
      </c>
      <c r="E272">
        <f t="shared" si="14"/>
        <v>2.023435429140303E-6</v>
      </c>
    </row>
    <row r="273" spans="1:5" x14ac:dyDescent="0.3">
      <c r="A273" s="74" t="s">
        <v>200</v>
      </c>
      <c r="B273">
        <v>1</v>
      </c>
      <c r="C273">
        <f t="shared" si="12"/>
        <v>1.4224751066856331E-3</v>
      </c>
      <c r="D273">
        <f t="shared" si="13"/>
        <v>-9.3248319940407755E-3</v>
      </c>
      <c r="E273">
        <f t="shared" si="14"/>
        <v>2.023435429140303E-6</v>
      </c>
    </row>
    <row r="274" spans="1:5" x14ac:dyDescent="0.3">
      <c r="A274" s="74" t="s">
        <v>237</v>
      </c>
      <c r="B274">
        <v>1</v>
      </c>
      <c r="C274">
        <f t="shared" si="12"/>
        <v>1.4224751066856331E-3</v>
      </c>
      <c r="D274">
        <f t="shared" si="13"/>
        <v>-9.3248319940407755E-3</v>
      </c>
      <c r="E274">
        <f t="shared" si="14"/>
        <v>2.023435429140303E-6</v>
      </c>
    </row>
    <row r="275" spans="1:5" x14ac:dyDescent="0.3">
      <c r="A275" s="74" t="s">
        <v>1709</v>
      </c>
      <c r="B275">
        <v>1</v>
      </c>
      <c r="C275">
        <f t="shared" si="12"/>
        <v>1.4224751066856331E-3</v>
      </c>
      <c r="D275">
        <f t="shared" si="13"/>
        <v>-9.3248319940407755E-3</v>
      </c>
      <c r="E275">
        <f t="shared" si="14"/>
        <v>2.023435429140303E-6</v>
      </c>
    </row>
    <row r="276" spans="1:5" x14ac:dyDescent="0.3">
      <c r="A276" s="74" t="s">
        <v>1691</v>
      </c>
      <c r="B276">
        <v>1</v>
      </c>
      <c r="C276">
        <f t="shared" si="12"/>
        <v>1.4224751066856331E-3</v>
      </c>
      <c r="D276">
        <f t="shared" si="13"/>
        <v>-9.3248319940407755E-3</v>
      </c>
      <c r="E276">
        <f t="shared" si="14"/>
        <v>2.023435429140303E-6</v>
      </c>
    </row>
    <row r="277" spans="1:5" x14ac:dyDescent="0.3">
      <c r="A277" s="74" t="s">
        <v>1711</v>
      </c>
      <c r="B277">
        <v>1</v>
      </c>
      <c r="C277">
        <f t="shared" si="12"/>
        <v>1.4224751066856331E-3</v>
      </c>
      <c r="D277">
        <f t="shared" si="13"/>
        <v>-9.3248319940407755E-3</v>
      </c>
      <c r="E277">
        <f t="shared" si="14"/>
        <v>2.023435429140303E-6</v>
      </c>
    </row>
    <row r="278" spans="1:5" x14ac:dyDescent="0.3">
      <c r="A278" s="74" t="s">
        <v>1692</v>
      </c>
      <c r="B278">
        <v>1</v>
      </c>
      <c r="C278">
        <f t="shared" si="12"/>
        <v>1.4224751066856331E-3</v>
      </c>
      <c r="D278">
        <f t="shared" si="13"/>
        <v>-9.3248319940407755E-3</v>
      </c>
      <c r="E278">
        <f t="shared" si="14"/>
        <v>2.023435429140303E-6</v>
      </c>
    </row>
    <row r="279" spans="1:5" x14ac:dyDescent="0.3">
      <c r="A279" s="74" t="s">
        <v>1712</v>
      </c>
      <c r="B279">
        <v>1</v>
      </c>
      <c r="C279">
        <f t="shared" si="12"/>
        <v>1.4224751066856331E-3</v>
      </c>
      <c r="D279">
        <f t="shared" si="13"/>
        <v>-9.3248319940407755E-3</v>
      </c>
      <c r="E279">
        <f t="shared" si="14"/>
        <v>2.023435429140303E-6</v>
      </c>
    </row>
    <row r="280" spans="1:5" x14ac:dyDescent="0.3">
      <c r="A280" s="74" t="s">
        <v>390</v>
      </c>
      <c r="B280">
        <v>1</v>
      </c>
      <c r="C280">
        <f t="shared" si="12"/>
        <v>1.4224751066856331E-3</v>
      </c>
      <c r="D280">
        <f t="shared" si="13"/>
        <v>-9.3248319940407755E-3</v>
      </c>
      <c r="E280">
        <f t="shared" si="14"/>
        <v>2.023435429140303E-6</v>
      </c>
    </row>
    <row r="281" spans="1:5" x14ac:dyDescent="0.3">
      <c r="A281" s="74" t="s">
        <v>279</v>
      </c>
      <c r="B281">
        <v>1</v>
      </c>
      <c r="C281">
        <f t="shared" si="12"/>
        <v>1.4224751066856331E-3</v>
      </c>
      <c r="D281">
        <f t="shared" si="13"/>
        <v>-9.3248319940407755E-3</v>
      </c>
      <c r="E281">
        <f t="shared" si="14"/>
        <v>2.023435429140303E-6</v>
      </c>
    </row>
    <row r="282" spans="1:5" x14ac:dyDescent="0.3">
      <c r="A282" s="74" t="s">
        <v>1693</v>
      </c>
      <c r="B282">
        <v>1</v>
      </c>
      <c r="C282">
        <f t="shared" si="12"/>
        <v>1.4224751066856331E-3</v>
      </c>
      <c r="D282">
        <f t="shared" si="13"/>
        <v>-9.3248319940407755E-3</v>
      </c>
      <c r="E282">
        <f t="shared" si="14"/>
        <v>2.023435429140303E-6</v>
      </c>
    </row>
    <row r="283" spans="1:5" x14ac:dyDescent="0.3">
      <c r="A283" s="74" t="s">
        <v>243</v>
      </c>
      <c r="B283">
        <v>1</v>
      </c>
      <c r="C283">
        <f t="shared" si="12"/>
        <v>1.4224751066856331E-3</v>
      </c>
      <c r="D283">
        <f t="shared" si="13"/>
        <v>-9.3248319940407755E-3</v>
      </c>
      <c r="E283">
        <f t="shared" si="14"/>
        <v>2.023435429140303E-6</v>
      </c>
    </row>
    <row r="284" spans="1:5" x14ac:dyDescent="0.3">
      <c r="A284" s="74" t="s">
        <v>516</v>
      </c>
      <c r="B284">
        <v>1</v>
      </c>
      <c r="C284">
        <f t="shared" si="12"/>
        <v>1.4224751066856331E-3</v>
      </c>
      <c r="D284">
        <f t="shared" si="13"/>
        <v>-9.3248319940407755E-3</v>
      </c>
      <c r="E284">
        <f t="shared" si="14"/>
        <v>2.023435429140303E-6</v>
      </c>
    </row>
    <row r="285" spans="1:5" x14ac:dyDescent="0.3">
      <c r="A285" s="74" t="s">
        <v>511</v>
      </c>
      <c r="B285">
        <v>1</v>
      </c>
      <c r="C285">
        <f t="shared" si="12"/>
        <v>1.4224751066856331E-3</v>
      </c>
      <c r="D285">
        <f t="shared" si="13"/>
        <v>-9.3248319940407755E-3</v>
      </c>
      <c r="E285">
        <f t="shared" si="14"/>
        <v>2.023435429140303E-6</v>
      </c>
    </row>
    <row r="286" spans="1:5" x14ac:dyDescent="0.3">
      <c r="A286" s="74" t="s">
        <v>463</v>
      </c>
      <c r="B286">
        <v>1</v>
      </c>
      <c r="C286">
        <f t="shared" si="12"/>
        <v>1.4224751066856331E-3</v>
      </c>
      <c r="D286">
        <f t="shared" si="13"/>
        <v>-9.3248319940407755E-3</v>
      </c>
      <c r="E286">
        <f t="shared" si="14"/>
        <v>2.023435429140303E-6</v>
      </c>
    </row>
    <row r="287" spans="1:5" x14ac:dyDescent="0.3">
      <c r="A287" s="74" t="s">
        <v>362</v>
      </c>
      <c r="B287">
        <v>1</v>
      </c>
      <c r="C287">
        <f t="shared" si="12"/>
        <v>1.4224751066856331E-3</v>
      </c>
      <c r="D287">
        <f t="shared" si="13"/>
        <v>-9.3248319940407755E-3</v>
      </c>
      <c r="E287">
        <f t="shared" si="14"/>
        <v>2.023435429140303E-6</v>
      </c>
    </row>
    <row r="288" spans="1:5" x14ac:dyDescent="0.3">
      <c r="A288" s="74" t="s">
        <v>151</v>
      </c>
      <c r="B288">
        <v>1</v>
      </c>
      <c r="C288">
        <f t="shared" si="12"/>
        <v>1.4224751066856331E-3</v>
      </c>
      <c r="D288">
        <f t="shared" si="13"/>
        <v>-9.3248319940407755E-3</v>
      </c>
      <c r="E288">
        <f t="shared" si="14"/>
        <v>2.023435429140303E-6</v>
      </c>
    </row>
    <row r="289" spans="1:5" x14ac:dyDescent="0.3">
      <c r="A289" s="74" t="s">
        <v>159</v>
      </c>
      <c r="B289">
        <v>1</v>
      </c>
      <c r="C289">
        <f t="shared" si="12"/>
        <v>1.4224751066856331E-3</v>
      </c>
      <c r="D289">
        <f t="shared" si="13"/>
        <v>-9.3248319940407755E-3</v>
      </c>
      <c r="E289">
        <f t="shared" si="14"/>
        <v>2.023435429140303E-6</v>
      </c>
    </row>
    <row r="290" spans="1:5" x14ac:dyDescent="0.3">
      <c r="A290" s="74" t="s">
        <v>1658</v>
      </c>
      <c r="B290">
        <v>1</v>
      </c>
      <c r="C290">
        <f t="shared" si="12"/>
        <v>1.4224751066856331E-3</v>
      </c>
      <c r="D290">
        <f t="shared" si="13"/>
        <v>-9.3248319940407755E-3</v>
      </c>
      <c r="E290">
        <f t="shared" si="14"/>
        <v>2.023435429140303E-6</v>
      </c>
    </row>
    <row r="291" spans="1:5" x14ac:dyDescent="0.3">
      <c r="A291" s="74" t="s">
        <v>274</v>
      </c>
      <c r="B291">
        <v>1</v>
      </c>
      <c r="C291">
        <f t="shared" si="12"/>
        <v>1.4224751066856331E-3</v>
      </c>
      <c r="D291">
        <f t="shared" si="13"/>
        <v>-9.3248319940407755E-3</v>
      </c>
      <c r="E291">
        <f t="shared" si="14"/>
        <v>2.023435429140303E-6</v>
      </c>
    </row>
    <row r="292" spans="1:5" x14ac:dyDescent="0.3">
      <c r="A292" s="74" t="s">
        <v>565</v>
      </c>
      <c r="B292">
        <v>1</v>
      </c>
      <c r="C292">
        <f t="shared" si="12"/>
        <v>1.4224751066856331E-3</v>
      </c>
      <c r="D292">
        <f t="shared" si="13"/>
        <v>-9.3248319940407755E-3</v>
      </c>
      <c r="E292">
        <f t="shared" si="14"/>
        <v>2.023435429140303E-6</v>
      </c>
    </row>
    <row r="293" spans="1:5" x14ac:dyDescent="0.3">
      <c r="A293" s="74" t="s">
        <v>276</v>
      </c>
      <c r="B293">
        <v>1</v>
      </c>
      <c r="C293">
        <f t="shared" si="12"/>
        <v>1.4224751066856331E-3</v>
      </c>
      <c r="D293">
        <f t="shared" si="13"/>
        <v>-9.3248319940407755E-3</v>
      </c>
      <c r="E293">
        <f t="shared" si="14"/>
        <v>2.023435429140303E-6</v>
      </c>
    </row>
    <row r="294" spans="1:5" x14ac:dyDescent="0.3">
      <c r="A294" s="74" t="s">
        <v>468</v>
      </c>
      <c r="B294">
        <v>1</v>
      </c>
      <c r="C294">
        <f t="shared" si="12"/>
        <v>1.4224751066856331E-3</v>
      </c>
      <c r="D294">
        <f t="shared" si="13"/>
        <v>-9.3248319940407755E-3</v>
      </c>
      <c r="E294">
        <f t="shared" si="14"/>
        <v>2.023435429140303E-6</v>
      </c>
    </row>
    <row r="295" spans="1:5" x14ac:dyDescent="0.3">
      <c r="A295" s="74" t="s">
        <v>73</v>
      </c>
      <c r="B295">
        <v>1</v>
      </c>
      <c r="C295">
        <f t="shared" si="12"/>
        <v>1.4224751066856331E-3</v>
      </c>
      <c r="D295">
        <f t="shared" si="13"/>
        <v>-9.3248319940407755E-3</v>
      </c>
      <c r="E295">
        <f t="shared" si="14"/>
        <v>2.023435429140303E-6</v>
      </c>
    </row>
    <row r="296" spans="1:5" x14ac:dyDescent="0.3">
      <c r="A296" s="74" t="s">
        <v>137</v>
      </c>
      <c r="B296">
        <v>1</v>
      </c>
      <c r="C296">
        <f t="shared" si="12"/>
        <v>1.4224751066856331E-3</v>
      </c>
      <c r="D296">
        <f t="shared" si="13"/>
        <v>-9.3248319940407755E-3</v>
      </c>
      <c r="E296">
        <f t="shared" si="14"/>
        <v>2.023435429140303E-6</v>
      </c>
    </row>
    <row r="297" spans="1:5" x14ac:dyDescent="0.3">
      <c r="A297" s="74" t="s">
        <v>282</v>
      </c>
      <c r="B297">
        <v>1</v>
      </c>
      <c r="C297">
        <f t="shared" si="12"/>
        <v>1.4224751066856331E-3</v>
      </c>
      <c r="D297">
        <f t="shared" si="13"/>
        <v>-9.3248319940407755E-3</v>
      </c>
      <c r="E297">
        <f t="shared" si="14"/>
        <v>2.023435429140303E-6</v>
      </c>
    </row>
    <row r="298" spans="1:5" x14ac:dyDescent="0.3">
      <c r="A298" s="74" t="s">
        <v>218</v>
      </c>
      <c r="B298">
        <v>1</v>
      </c>
      <c r="C298">
        <f t="shared" si="12"/>
        <v>1.4224751066856331E-3</v>
      </c>
      <c r="D298">
        <f t="shared" si="13"/>
        <v>-9.3248319940407755E-3</v>
      </c>
      <c r="E298">
        <f t="shared" si="14"/>
        <v>2.023435429140303E-6</v>
      </c>
    </row>
    <row r="299" spans="1:5" x14ac:dyDescent="0.3">
      <c r="A299" s="74" t="s">
        <v>1716</v>
      </c>
      <c r="B299">
        <v>1</v>
      </c>
      <c r="C299">
        <f t="shared" si="12"/>
        <v>1.4224751066856331E-3</v>
      </c>
      <c r="D299">
        <f t="shared" si="13"/>
        <v>-9.3248319940407755E-3</v>
      </c>
      <c r="E299">
        <f t="shared" si="14"/>
        <v>2.023435429140303E-6</v>
      </c>
    </row>
    <row r="300" spans="1:5" x14ac:dyDescent="0.3">
      <c r="A300" s="74" t="s">
        <v>307</v>
      </c>
      <c r="B300">
        <v>1</v>
      </c>
      <c r="C300">
        <f t="shared" si="12"/>
        <v>1.4224751066856331E-3</v>
      </c>
      <c r="D300">
        <f t="shared" si="13"/>
        <v>-9.3248319940407755E-3</v>
      </c>
      <c r="E300">
        <f t="shared" si="14"/>
        <v>2.023435429140303E-6</v>
      </c>
    </row>
    <row r="301" spans="1:5" x14ac:dyDescent="0.3">
      <c r="A301" s="74" t="s">
        <v>432</v>
      </c>
      <c r="B301">
        <v>1</v>
      </c>
      <c r="C301">
        <f t="shared" si="12"/>
        <v>1.4224751066856331E-3</v>
      </c>
      <c r="D301">
        <f t="shared" si="13"/>
        <v>-9.3248319940407755E-3</v>
      </c>
      <c r="E301">
        <f t="shared" si="14"/>
        <v>2.023435429140303E-6</v>
      </c>
    </row>
    <row r="302" spans="1:5" x14ac:dyDescent="0.3">
      <c r="A302" s="74" t="s">
        <v>270</v>
      </c>
      <c r="B302">
        <v>1</v>
      </c>
      <c r="C302">
        <f t="shared" si="12"/>
        <v>1.4224751066856331E-3</v>
      </c>
      <c r="D302">
        <f t="shared" si="13"/>
        <v>-9.3248319940407755E-3</v>
      </c>
      <c r="E302">
        <f t="shared" si="14"/>
        <v>2.023435429140303E-6</v>
      </c>
    </row>
    <row r="303" spans="1:5" x14ac:dyDescent="0.3">
      <c r="A303" s="74" t="s">
        <v>554</v>
      </c>
      <c r="B303">
        <v>1</v>
      </c>
      <c r="C303">
        <f t="shared" si="12"/>
        <v>1.4224751066856331E-3</v>
      </c>
      <c r="D303">
        <f t="shared" si="13"/>
        <v>-9.3248319940407755E-3</v>
      </c>
      <c r="E303">
        <f t="shared" si="14"/>
        <v>2.023435429140303E-6</v>
      </c>
    </row>
    <row r="304" spans="1:5" x14ac:dyDescent="0.3">
      <c r="A304" s="74" t="s">
        <v>395</v>
      </c>
      <c r="B304">
        <v>1</v>
      </c>
      <c r="C304">
        <f t="shared" si="12"/>
        <v>1.4224751066856331E-3</v>
      </c>
      <c r="D304">
        <f t="shared" si="13"/>
        <v>-9.3248319940407755E-3</v>
      </c>
      <c r="E304">
        <f t="shared" si="14"/>
        <v>2.023435429140303E-6</v>
      </c>
    </row>
    <row r="305" spans="1:5" x14ac:dyDescent="0.3">
      <c r="A305" s="74" t="s">
        <v>517</v>
      </c>
      <c r="B305">
        <v>1</v>
      </c>
      <c r="C305">
        <f t="shared" si="12"/>
        <v>1.4224751066856331E-3</v>
      </c>
      <c r="D305">
        <f t="shared" si="13"/>
        <v>-9.3248319940407755E-3</v>
      </c>
      <c r="E305">
        <f t="shared" si="14"/>
        <v>2.023435429140303E-6</v>
      </c>
    </row>
    <row r="306" spans="1:5" x14ac:dyDescent="0.3">
      <c r="A306" s="74" t="s">
        <v>477</v>
      </c>
      <c r="B306">
        <v>1</v>
      </c>
      <c r="C306">
        <f t="shared" si="12"/>
        <v>1.4224751066856331E-3</v>
      </c>
      <c r="D306">
        <f t="shared" si="13"/>
        <v>-9.3248319940407755E-3</v>
      </c>
      <c r="E306">
        <f t="shared" si="14"/>
        <v>2.023435429140303E-6</v>
      </c>
    </row>
    <row r="307" spans="1:5" x14ac:dyDescent="0.3">
      <c r="A307" s="74" t="s">
        <v>440</v>
      </c>
      <c r="B307">
        <v>1</v>
      </c>
      <c r="C307">
        <f t="shared" si="12"/>
        <v>1.4224751066856331E-3</v>
      </c>
      <c r="D307">
        <f t="shared" si="13"/>
        <v>-9.3248319940407755E-3</v>
      </c>
      <c r="E307">
        <f t="shared" si="14"/>
        <v>2.023435429140303E-6</v>
      </c>
    </row>
    <row r="308" spans="1:5" x14ac:dyDescent="0.3">
      <c r="A308" s="74" t="s">
        <v>102</v>
      </c>
      <c r="B308">
        <v>1</v>
      </c>
      <c r="C308">
        <f t="shared" si="12"/>
        <v>1.4224751066856331E-3</v>
      </c>
      <c r="D308">
        <f t="shared" si="13"/>
        <v>-9.3248319940407755E-3</v>
      </c>
      <c r="E308">
        <f t="shared" si="14"/>
        <v>2.023435429140303E-6</v>
      </c>
    </row>
    <row r="309" spans="1:5" x14ac:dyDescent="0.3">
      <c r="A309" s="74" t="s">
        <v>431</v>
      </c>
      <c r="B309">
        <v>1</v>
      </c>
      <c r="C309">
        <f t="shared" si="12"/>
        <v>1.4224751066856331E-3</v>
      </c>
      <c r="D309">
        <f t="shared" si="13"/>
        <v>-9.3248319940407755E-3</v>
      </c>
      <c r="E309">
        <f t="shared" si="14"/>
        <v>2.023435429140303E-6</v>
      </c>
    </row>
    <row r="310" spans="1:5" x14ac:dyDescent="0.3">
      <c r="A310" s="74" t="s">
        <v>103</v>
      </c>
      <c r="B310">
        <v>1</v>
      </c>
      <c r="C310">
        <f t="shared" si="12"/>
        <v>1.4224751066856331E-3</v>
      </c>
      <c r="D310">
        <f t="shared" si="13"/>
        <v>-9.3248319940407755E-3</v>
      </c>
      <c r="E310">
        <f t="shared" si="14"/>
        <v>2.023435429140303E-6</v>
      </c>
    </row>
    <row r="311" spans="1:5" x14ac:dyDescent="0.3">
      <c r="A311" s="74" t="s">
        <v>611</v>
      </c>
      <c r="B311">
        <v>1</v>
      </c>
      <c r="C311">
        <f t="shared" si="12"/>
        <v>1.4224751066856331E-3</v>
      </c>
      <c r="D311">
        <f t="shared" si="13"/>
        <v>-9.3248319940407755E-3</v>
      </c>
      <c r="E311">
        <f t="shared" si="14"/>
        <v>2.023435429140303E-6</v>
      </c>
    </row>
    <row r="312" spans="1:5" x14ac:dyDescent="0.3">
      <c r="A312" s="74" t="s">
        <v>580</v>
      </c>
      <c r="B312">
        <v>1</v>
      </c>
      <c r="C312">
        <f t="shared" si="12"/>
        <v>1.4224751066856331E-3</v>
      </c>
      <c r="D312">
        <f t="shared" si="13"/>
        <v>-9.3248319940407755E-3</v>
      </c>
      <c r="E312">
        <f t="shared" si="14"/>
        <v>2.023435429140303E-6</v>
      </c>
    </row>
    <row r="313" spans="1:5" x14ac:dyDescent="0.3">
      <c r="A313" s="74" t="s">
        <v>1719</v>
      </c>
      <c r="B313">
        <v>1</v>
      </c>
      <c r="C313">
        <f t="shared" si="12"/>
        <v>1.4224751066856331E-3</v>
      </c>
      <c r="D313">
        <f t="shared" si="13"/>
        <v>-9.3248319940407755E-3</v>
      </c>
      <c r="E313">
        <f t="shared" si="14"/>
        <v>2.023435429140303E-6</v>
      </c>
    </row>
    <row r="314" spans="1:5" x14ac:dyDescent="0.3">
      <c r="A314" s="74" t="s">
        <v>79</v>
      </c>
      <c r="B314">
        <v>1</v>
      </c>
      <c r="C314">
        <f t="shared" si="12"/>
        <v>1.4224751066856331E-3</v>
      </c>
      <c r="D314">
        <f t="shared" si="13"/>
        <v>-9.3248319940407755E-3</v>
      </c>
      <c r="E314">
        <f t="shared" si="14"/>
        <v>2.023435429140303E-6</v>
      </c>
    </row>
    <row r="315" spans="1:5" x14ac:dyDescent="0.3">
      <c r="A315" s="74" t="s">
        <v>1720</v>
      </c>
      <c r="B315">
        <v>1</v>
      </c>
      <c r="C315">
        <f t="shared" si="12"/>
        <v>1.4224751066856331E-3</v>
      </c>
      <c r="D315">
        <f t="shared" si="13"/>
        <v>-9.3248319940407755E-3</v>
      </c>
      <c r="E315">
        <f t="shared" si="14"/>
        <v>2.023435429140303E-6</v>
      </c>
    </row>
    <row r="316" spans="1:5" x14ac:dyDescent="0.3">
      <c r="A316" s="74" t="s">
        <v>1651</v>
      </c>
      <c r="B316">
        <v>1</v>
      </c>
      <c r="C316">
        <f t="shared" si="12"/>
        <v>1.4224751066856331E-3</v>
      </c>
      <c r="D316">
        <f t="shared" si="13"/>
        <v>-9.3248319940407755E-3</v>
      </c>
      <c r="E316">
        <f t="shared" si="14"/>
        <v>2.023435429140303E-6</v>
      </c>
    </row>
    <row r="317" spans="1:5" x14ac:dyDescent="0.3">
      <c r="A317" s="74" t="s">
        <v>1722</v>
      </c>
      <c r="B317">
        <v>1</v>
      </c>
      <c r="C317">
        <f t="shared" si="12"/>
        <v>1.4224751066856331E-3</v>
      </c>
      <c r="D317">
        <f t="shared" si="13"/>
        <v>-9.3248319940407755E-3</v>
      </c>
      <c r="E317">
        <f t="shared" si="14"/>
        <v>2.023435429140303E-6</v>
      </c>
    </row>
    <row r="318" spans="1:5" x14ac:dyDescent="0.3">
      <c r="A318" s="74" t="s">
        <v>1694</v>
      </c>
      <c r="B318">
        <v>1</v>
      </c>
      <c r="C318">
        <f t="shared" si="12"/>
        <v>1.4224751066856331E-3</v>
      </c>
      <c r="D318">
        <f t="shared" si="13"/>
        <v>-9.3248319940407755E-3</v>
      </c>
      <c r="E318">
        <f t="shared" si="14"/>
        <v>2.023435429140303E-6</v>
      </c>
    </row>
    <row r="319" spans="1:5" x14ac:dyDescent="0.3">
      <c r="A319" s="74" t="s">
        <v>374</v>
      </c>
      <c r="B319">
        <v>1</v>
      </c>
      <c r="C319">
        <f t="shared" si="12"/>
        <v>1.4224751066856331E-3</v>
      </c>
      <c r="D319">
        <f t="shared" si="13"/>
        <v>-9.3248319940407755E-3</v>
      </c>
      <c r="E319">
        <f t="shared" si="14"/>
        <v>2.023435429140303E-6</v>
      </c>
    </row>
    <row r="320" spans="1:5" x14ac:dyDescent="0.3">
      <c r="A320" s="74" t="s">
        <v>1695</v>
      </c>
      <c r="B320">
        <v>1</v>
      </c>
      <c r="C320">
        <f t="shared" si="12"/>
        <v>1.4224751066856331E-3</v>
      </c>
      <c r="D320">
        <f t="shared" si="13"/>
        <v>-9.3248319940407755E-3</v>
      </c>
      <c r="E320">
        <f t="shared" si="14"/>
        <v>2.023435429140303E-6</v>
      </c>
    </row>
    <row r="321" spans="1:5" x14ac:dyDescent="0.3">
      <c r="A321" s="74" t="s">
        <v>1662</v>
      </c>
      <c r="B321">
        <v>1</v>
      </c>
      <c r="C321">
        <f t="shared" si="12"/>
        <v>1.4224751066856331E-3</v>
      </c>
      <c r="D321">
        <f t="shared" si="13"/>
        <v>-9.3248319940407755E-3</v>
      </c>
      <c r="E321">
        <f t="shared" si="14"/>
        <v>2.023435429140303E-6</v>
      </c>
    </row>
    <row r="322" spans="1:5" x14ac:dyDescent="0.3">
      <c r="A322" s="74" t="s">
        <v>288</v>
      </c>
      <c r="B322">
        <v>1</v>
      </c>
      <c r="C322">
        <f t="shared" si="12"/>
        <v>1.4224751066856331E-3</v>
      </c>
      <c r="D322">
        <f t="shared" si="13"/>
        <v>-9.3248319940407755E-3</v>
      </c>
      <c r="E322">
        <f t="shared" si="14"/>
        <v>2.023435429140303E-6</v>
      </c>
    </row>
    <row r="323" spans="1:5" x14ac:dyDescent="0.3">
      <c r="A323" s="74" t="s">
        <v>1675</v>
      </c>
      <c r="B323">
        <v>1</v>
      </c>
      <c r="C323">
        <f t="shared" ref="C323:C362" si="15">B323 / SUM($B$2:$B$362)</f>
        <v>1.4224751066856331E-3</v>
      </c>
      <c r="D323">
        <f t="shared" ref="D323:D362" si="16">IF(C323=0,0, C323 * LN(C323))</f>
        <v>-9.3248319940407755E-3</v>
      </c>
      <c r="E323">
        <f t="shared" ref="E323:E362" si="17">C323^2</f>
        <v>2.023435429140303E-6</v>
      </c>
    </row>
    <row r="324" spans="1:5" x14ac:dyDescent="0.3">
      <c r="A324" s="74" t="s">
        <v>1696</v>
      </c>
      <c r="B324">
        <v>1</v>
      </c>
      <c r="C324">
        <f t="shared" si="15"/>
        <v>1.4224751066856331E-3</v>
      </c>
      <c r="D324">
        <f t="shared" si="16"/>
        <v>-9.3248319940407755E-3</v>
      </c>
      <c r="E324">
        <f t="shared" si="17"/>
        <v>2.023435429140303E-6</v>
      </c>
    </row>
    <row r="325" spans="1:5" x14ac:dyDescent="0.3">
      <c r="A325" s="74" t="s">
        <v>433</v>
      </c>
      <c r="B325">
        <v>1</v>
      </c>
      <c r="C325">
        <f t="shared" si="15"/>
        <v>1.4224751066856331E-3</v>
      </c>
      <c r="D325">
        <f t="shared" si="16"/>
        <v>-9.3248319940407755E-3</v>
      </c>
      <c r="E325">
        <f t="shared" si="17"/>
        <v>2.023435429140303E-6</v>
      </c>
    </row>
    <row r="326" spans="1:5" x14ac:dyDescent="0.3">
      <c r="A326" s="74" t="s">
        <v>1697</v>
      </c>
      <c r="B326">
        <v>1</v>
      </c>
      <c r="C326">
        <f t="shared" si="15"/>
        <v>1.4224751066856331E-3</v>
      </c>
      <c r="D326">
        <f t="shared" si="16"/>
        <v>-9.3248319940407755E-3</v>
      </c>
      <c r="E326">
        <f t="shared" si="17"/>
        <v>2.023435429140303E-6</v>
      </c>
    </row>
    <row r="327" spans="1:5" x14ac:dyDescent="0.3">
      <c r="A327" s="74" t="s">
        <v>107</v>
      </c>
      <c r="B327">
        <v>1</v>
      </c>
      <c r="C327">
        <f t="shared" si="15"/>
        <v>1.4224751066856331E-3</v>
      </c>
      <c r="D327">
        <f t="shared" si="16"/>
        <v>-9.3248319940407755E-3</v>
      </c>
      <c r="E327">
        <f t="shared" si="17"/>
        <v>2.023435429140303E-6</v>
      </c>
    </row>
    <row r="328" spans="1:5" x14ac:dyDescent="0.3">
      <c r="A328" s="74" t="s">
        <v>382</v>
      </c>
      <c r="B328">
        <v>1</v>
      </c>
      <c r="C328">
        <f t="shared" si="15"/>
        <v>1.4224751066856331E-3</v>
      </c>
      <c r="D328">
        <f t="shared" si="16"/>
        <v>-9.3248319940407755E-3</v>
      </c>
      <c r="E328">
        <f t="shared" si="17"/>
        <v>2.023435429140303E-6</v>
      </c>
    </row>
    <row r="329" spans="1:5" x14ac:dyDescent="0.3">
      <c r="A329" s="74" t="s">
        <v>424</v>
      </c>
      <c r="B329">
        <v>1</v>
      </c>
      <c r="C329">
        <f t="shared" si="15"/>
        <v>1.4224751066856331E-3</v>
      </c>
      <c r="D329">
        <f t="shared" si="16"/>
        <v>-9.3248319940407755E-3</v>
      </c>
      <c r="E329">
        <f t="shared" si="17"/>
        <v>2.023435429140303E-6</v>
      </c>
    </row>
    <row r="330" spans="1:5" x14ac:dyDescent="0.3">
      <c r="A330" s="74" t="s">
        <v>286</v>
      </c>
      <c r="B330">
        <v>1</v>
      </c>
      <c r="C330">
        <f t="shared" si="15"/>
        <v>1.4224751066856331E-3</v>
      </c>
      <c r="D330">
        <f t="shared" si="16"/>
        <v>-9.3248319940407755E-3</v>
      </c>
      <c r="E330">
        <f t="shared" si="17"/>
        <v>2.023435429140303E-6</v>
      </c>
    </row>
    <row r="331" spans="1:5" x14ac:dyDescent="0.3">
      <c r="A331" s="74" t="s">
        <v>1726</v>
      </c>
      <c r="B331">
        <v>1</v>
      </c>
      <c r="C331">
        <f t="shared" si="15"/>
        <v>1.4224751066856331E-3</v>
      </c>
      <c r="D331">
        <f t="shared" si="16"/>
        <v>-9.3248319940407755E-3</v>
      </c>
      <c r="E331">
        <f t="shared" si="17"/>
        <v>2.023435429140303E-6</v>
      </c>
    </row>
    <row r="332" spans="1:5" x14ac:dyDescent="0.3">
      <c r="A332" s="74" t="s">
        <v>88</v>
      </c>
      <c r="B332">
        <v>1</v>
      </c>
      <c r="C332">
        <f t="shared" si="15"/>
        <v>1.4224751066856331E-3</v>
      </c>
      <c r="D332">
        <f t="shared" si="16"/>
        <v>-9.3248319940407755E-3</v>
      </c>
      <c r="E332">
        <f t="shared" si="17"/>
        <v>2.023435429140303E-6</v>
      </c>
    </row>
    <row r="333" spans="1:5" x14ac:dyDescent="0.3">
      <c r="A333" s="74" t="s">
        <v>260</v>
      </c>
      <c r="B333">
        <v>1</v>
      </c>
      <c r="C333">
        <f t="shared" si="15"/>
        <v>1.4224751066856331E-3</v>
      </c>
      <c r="D333">
        <f t="shared" si="16"/>
        <v>-9.3248319940407755E-3</v>
      </c>
      <c r="E333">
        <f t="shared" si="17"/>
        <v>2.023435429140303E-6</v>
      </c>
    </row>
    <row r="334" spans="1:5" x14ac:dyDescent="0.3">
      <c r="A334" s="74" t="s">
        <v>612</v>
      </c>
      <c r="B334">
        <v>1</v>
      </c>
      <c r="C334">
        <f t="shared" si="15"/>
        <v>1.4224751066856331E-3</v>
      </c>
      <c r="D334">
        <f t="shared" si="16"/>
        <v>-9.3248319940407755E-3</v>
      </c>
      <c r="E334">
        <f t="shared" si="17"/>
        <v>2.023435429140303E-6</v>
      </c>
    </row>
    <row r="335" spans="1:5" x14ac:dyDescent="0.3">
      <c r="A335" s="74" t="s">
        <v>439</v>
      </c>
      <c r="B335">
        <v>1</v>
      </c>
      <c r="C335">
        <f t="shared" si="15"/>
        <v>1.4224751066856331E-3</v>
      </c>
      <c r="D335">
        <f t="shared" si="16"/>
        <v>-9.3248319940407755E-3</v>
      </c>
      <c r="E335">
        <f t="shared" si="17"/>
        <v>2.023435429140303E-6</v>
      </c>
    </row>
    <row r="336" spans="1:5" x14ac:dyDescent="0.3">
      <c r="A336" s="74" t="s">
        <v>1736</v>
      </c>
      <c r="B336">
        <v>1</v>
      </c>
      <c r="C336">
        <f t="shared" si="15"/>
        <v>1.4224751066856331E-3</v>
      </c>
      <c r="D336">
        <f t="shared" si="16"/>
        <v>-9.3248319940407755E-3</v>
      </c>
      <c r="E336">
        <f t="shared" si="17"/>
        <v>2.023435429140303E-6</v>
      </c>
    </row>
    <row r="337" spans="1:5" x14ac:dyDescent="0.3">
      <c r="A337" s="74" t="s">
        <v>1727</v>
      </c>
      <c r="B337">
        <v>1</v>
      </c>
      <c r="C337">
        <f t="shared" si="15"/>
        <v>1.4224751066856331E-3</v>
      </c>
      <c r="D337">
        <f t="shared" si="16"/>
        <v>-9.3248319940407755E-3</v>
      </c>
      <c r="E337">
        <f t="shared" si="17"/>
        <v>2.023435429140303E-6</v>
      </c>
    </row>
    <row r="338" spans="1:5" x14ac:dyDescent="0.3">
      <c r="A338" s="74" t="s">
        <v>234</v>
      </c>
      <c r="B338">
        <v>1</v>
      </c>
      <c r="C338">
        <f t="shared" si="15"/>
        <v>1.4224751066856331E-3</v>
      </c>
      <c r="D338">
        <f t="shared" si="16"/>
        <v>-9.3248319940407755E-3</v>
      </c>
      <c r="E338">
        <f t="shared" si="17"/>
        <v>2.023435429140303E-6</v>
      </c>
    </row>
    <row r="339" spans="1:5" x14ac:dyDescent="0.3">
      <c r="A339" s="74" t="s">
        <v>267</v>
      </c>
      <c r="B339">
        <v>1</v>
      </c>
      <c r="C339">
        <f t="shared" si="15"/>
        <v>1.4224751066856331E-3</v>
      </c>
      <c r="D339">
        <f t="shared" si="16"/>
        <v>-9.3248319940407755E-3</v>
      </c>
      <c r="E339">
        <f t="shared" si="17"/>
        <v>2.023435429140303E-6</v>
      </c>
    </row>
    <row r="340" spans="1:5" x14ac:dyDescent="0.3">
      <c r="A340" s="74" t="s">
        <v>277</v>
      </c>
      <c r="B340">
        <v>1</v>
      </c>
      <c r="C340">
        <f t="shared" si="15"/>
        <v>1.4224751066856331E-3</v>
      </c>
      <c r="D340">
        <f t="shared" si="16"/>
        <v>-9.3248319940407755E-3</v>
      </c>
      <c r="E340">
        <f t="shared" si="17"/>
        <v>2.023435429140303E-6</v>
      </c>
    </row>
    <row r="341" spans="1:5" x14ac:dyDescent="0.3">
      <c r="A341" s="74" t="s">
        <v>494</v>
      </c>
      <c r="B341">
        <v>1</v>
      </c>
      <c r="C341">
        <f t="shared" si="15"/>
        <v>1.4224751066856331E-3</v>
      </c>
      <c r="D341">
        <f t="shared" si="16"/>
        <v>-9.3248319940407755E-3</v>
      </c>
      <c r="E341">
        <f t="shared" si="17"/>
        <v>2.023435429140303E-6</v>
      </c>
    </row>
    <row r="342" spans="1:5" x14ac:dyDescent="0.3">
      <c r="A342" s="74" t="s">
        <v>191</v>
      </c>
      <c r="B342">
        <v>1</v>
      </c>
      <c r="C342">
        <f t="shared" si="15"/>
        <v>1.4224751066856331E-3</v>
      </c>
      <c r="D342">
        <f t="shared" si="16"/>
        <v>-9.3248319940407755E-3</v>
      </c>
      <c r="E342">
        <f t="shared" si="17"/>
        <v>2.023435429140303E-6</v>
      </c>
    </row>
    <row r="343" spans="1:5" x14ac:dyDescent="0.3">
      <c r="A343" s="74" t="s">
        <v>360</v>
      </c>
      <c r="B343">
        <v>1</v>
      </c>
      <c r="C343">
        <f t="shared" si="15"/>
        <v>1.4224751066856331E-3</v>
      </c>
      <c r="D343">
        <f t="shared" si="16"/>
        <v>-9.3248319940407755E-3</v>
      </c>
      <c r="E343">
        <f t="shared" si="17"/>
        <v>2.023435429140303E-6</v>
      </c>
    </row>
    <row r="344" spans="1:5" x14ac:dyDescent="0.3">
      <c r="A344" s="74" t="s">
        <v>275</v>
      </c>
      <c r="B344">
        <v>1</v>
      </c>
      <c r="C344">
        <f t="shared" si="15"/>
        <v>1.4224751066856331E-3</v>
      </c>
      <c r="D344">
        <f t="shared" si="16"/>
        <v>-9.3248319940407755E-3</v>
      </c>
      <c r="E344">
        <f t="shared" si="17"/>
        <v>2.023435429140303E-6</v>
      </c>
    </row>
    <row r="345" spans="1:5" x14ac:dyDescent="0.3">
      <c r="A345" s="74" t="s">
        <v>481</v>
      </c>
      <c r="B345">
        <v>1</v>
      </c>
      <c r="C345">
        <f t="shared" si="15"/>
        <v>1.4224751066856331E-3</v>
      </c>
      <c r="D345">
        <f t="shared" si="16"/>
        <v>-9.3248319940407755E-3</v>
      </c>
      <c r="E345">
        <f t="shared" si="17"/>
        <v>2.023435429140303E-6</v>
      </c>
    </row>
    <row r="346" spans="1:5" x14ac:dyDescent="0.3">
      <c r="A346" s="74" t="s">
        <v>264</v>
      </c>
      <c r="B346">
        <v>1</v>
      </c>
      <c r="C346">
        <f t="shared" si="15"/>
        <v>1.4224751066856331E-3</v>
      </c>
      <c r="D346">
        <f t="shared" si="16"/>
        <v>-9.3248319940407755E-3</v>
      </c>
      <c r="E346">
        <f t="shared" si="17"/>
        <v>2.023435429140303E-6</v>
      </c>
    </row>
    <row r="347" spans="1:5" x14ac:dyDescent="0.3">
      <c r="A347" s="74" t="s">
        <v>567</v>
      </c>
      <c r="B347">
        <v>1</v>
      </c>
      <c r="C347">
        <f t="shared" si="15"/>
        <v>1.4224751066856331E-3</v>
      </c>
      <c r="D347">
        <f t="shared" si="16"/>
        <v>-9.3248319940407755E-3</v>
      </c>
      <c r="E347">
        <f t="shared" si="17"/>
        <v>2.023435429140303E-6</v>
      </c>
    </row>
    <row r="348" spans="1:5" x14ac:dyDescent="0.3">
      <c r="A348" s="74" t="s">
        <v>343</v>
      </c>
      <c r="B348">
        <v>1</v>
      </c>
      <c r="C348">
        <f t="shared" si="15"/>
        <v>1.4224751066856331E-3</v>
      </c>
      <c r="D348">
        <f t="shared" si="16"/>
        <v>-9.3248319940407755E-3</v>
      </c>
      <c r="E348">
        <f t="shared" si="17"/>
        <v>2.023435429140303E-6</v>
      </c>
    </row>
    <row r="349" spans="1:5" x14ac:dyDescent="0.3">
      <c r="A349" s="74" t="s">
        <v>562</v>
      </c>
      <c r="B349">
        <v>1</v>
      </c>
      <c r="C349">
        <f t="shared" si="15"/>
        <v>1.4224751066856331E-3</v>
      </c>
      <c r="D349">
        <f t="shared" si="16"/>
        <v>-9.3248319940407755E-3</v>
      </c>
      <c r="E349">
        <f t="shared" si="17"/>
        <v>2.023435429140303E-6</v>
      </c>
    </row>
    <row r="350" spans="1:5" x14ac:dyDescent="0.3">
      <c r="A350" s="74" t="s">
        <v>491</v>
      </c>
      <c r="B350">
        <v>1</v>
      </c>
      <c r="C350">
        <f t="shared" si="15"/>
        <v>1.4224751066856331E-3</v>
      </c>
      <c r="D350">
        <f t="shared" si="16"/>
        <v>-9.3248319940407755E-3</v>
      </c>
      <c r="E350">
        <f t="shared" si="17"/>
        <v>2.023435429140303E-6</v>
      </c>
    </row>
    <row r="351" spans="1:5" x14ac:dyDescent="0.3">
      <c r="A351" s="74" t="s">
        <v>553</v>
      </c>
      <c r="B351">
        <v>1</v>
      </c>
      <c r="C351">
        <f t="shared" si="15"/>
        <v>1.4224751066856331E-3</v>
      </c>
      <c r="D351">
        <f t="shared" si="16"/>
        <v>-9.3248319940407755E-3</v>
      </c>
      <c r="E351">
        <f t="shared" si="17"/>
        <v>2.023435429140303E-6</v>
      </c>
    </row>
    <row r="352" spans="1:5" x14ac:dyDescent="0.3">
      <c r="A352" s="74" t="s">
        <v>1699</v>
      </c>
      <c r="B352">
        <v>1</v>
      </c>
      <c r="C352">
        <f t="shared" si="15"/>
        <v>1.4224751066856331E-3</v>
      </c>
      <c r="D352">
        <f t="shared" si="16"/>
        <v>-9.3248319940407755E-3</v>
      </c>
      <c r="E352">
        <f t="shared" si="17"/>
        <v>2.023435429140303E-6</v>
      </c>
    </row>
    <row r="353" spans="1:5" x14ac:dyDescent="0.3">
      <c r="A353" s="74" t="s">
        <v>515</v>
      </c>
      <c r="B353">
        <v>1</v>
      </c>
      <c r="C353">
        <f t="shared" si="15"/>
        <v>1.4224751066856331E-3</v>
      </c>
      <c r="D353">
        <f t="shared" si="16"/>
        <v>-9.3248319940407755E-3</v>
      </c>
      <c r="E353">
        <f t="shared" si="17"/>
        <v>2.023435429140303E-6</v>
      </c>
    </row>
    <row r="354" spans="1:5" x14ac:dyDescent="0.3">
      <c r="A354" s="74" t="s">
        <v>452</v>
      </c>
      <c r="B354">
        <v>1</v>
      </c>
      <c r="C354">
        <f t="shared" si="15"/>
        <v>1.4224751066856331E-3</v>
      </c>
      <c r="D354">
        <f t="shared" si="16"/>
        <v>-9.3248319940407755E-3</v>
      </c>
      <c r="E354">
        <f t="shared" si="17"/>
        <v>2.023435429140303E-6</v>
      </c>
    </row>
    <row r="355" spans="1:5" x14ac:dyDescent="0.3">
      <c r="A355" s="74" t="s">
        <v>573</v>
      </c>
      <c r="B355">
        <v>1</v>
      </c>
      <c r="C355">
        <f t="shared" si="15"/>
        <v>1.4224751066856331E-3</v>
      </c>
      <c r="D355">
        <f t="shared" si="16"/>
        <v>-9.3248319940407755E-3</v>
      </c>
      <c r="E355">
        <f t="shared" si="17"/>
        <v>2.023435429140303E-6</v>
      </c>
    </row>
    <row r="356" spans="1:5" x14ac:dyDescent="0.3">
      <c r="A356" s="74" t="s">
        <v>280</v>
      </c>
      <c r="B356">
        <v>1</v>
      </c>
      <c r="C356">
        <f t="shared" si="15"/>
        <v>1.4224751066856331E-3</v>
      </c>
      <c r="D356">
        <f t="shared" si="16"/>
        <v>-9.3248319940407755E-3</v>
      </c>
      <c r="E356">
        <f t="shared" si="17"/>
        <v>2.023435429140303E-6</v>
      </c>
    </row>
    <row r="357" spans="1:5" x14ac:dyDescent="0.3">
      <c r="A357" s="74" t="s">
        <v>230</v>
      </c>
      <c r="B357">
        <v>1</v>
      </c>
      <c r="C357">
        <f t="shared" si="15"/>
        <v>1.4224751066856331E-3</v>
      </c>
      <c r="D357">
        <f t="shared" si="16"/>
        <v>-9.3248319940407755E-3</v>
      </c>
      <c r="E357">
        <f t="shared" si="17"/>
        <v>2.023435429140303E-6</v>
      </c>
    </row>
    <row r="358" spans="1:5" x14ac:dyDescent="0.3">
      <c r="A358" s="74" t="s">
        <v>528</v>
      </c>
      <c r="B358">
        <v>1</v>
      </c>
      <c r="C358">
        <f t="shared" si="15"/>
        <v>1.4224751066856331E-3</v>
      </c>
      <c r="D358">
        <f t="shared" si="16"/>
        <v>-9.3248319940407755E-3</v>
      </c>
      <c r="E358">
        <f t="shared" si="17"/>
        <v>2.023435429140303E-6</v>
      </c>
    </row>
    <row r="359" spans="1:5" x14ac:dyDescent="0.3">
      <c r="A359" s="74" t="s">
        <v>294</v>
      </c>
      <c r="B359">
        <v>1</v>
      </c>
      <c r="C359">
        <f t="shared" si="15"/>
        <v>1.4224751066856331E-3</v>
      </c>
      <c r="D359">
        <f t="shared" si="16"/>
        <v>-9.3248319940407755E-3</v>
      </c>
      <c r="E359">
        <f t="shared" si="17"/>
        <v>2.023435429140303E-6</v>
      </c>
    </row>
    <row r="360" spans="1:5" x14ac:dyDescent="0.3">
      <c r="A360" s="74" t="s">
        <v>170</v>
      </c>
      <c r="B360">
        <v>1</v>
      </c>
      <c r="C360">
        <f t="shared" si="15"/>
        <v>1.4224751066856331E-3</v>
      </c>
      <c r="D360">
        <f t="shared" si="16"/>
        <v>-9.3248319940407755E-3</v>
      </c>
      <c r="E360">
        <f t="shared" si="17"/>
        <v>2.023435429140303E-6</v>
      </c>
    </row>
    <row r="361" spans="1:5" x14ac:dyDescent="0.3">
      <c r="A361" s="74" t="s">
        <v>89</v>
      </c>
      <c r="B361">
        <v>1</v>
      </c>
      <c r="C361">
        <f t="shared" si="15"/>
        <v>1.4224751066856331E-3</v>
      </c>
      <c r="D361">
        <f t="shared" si="16"/>
        <v>-9.3248319940407755E-3</v>
      </c>
      <c r="E361">
        <f t="shared" si="17"/>
        <v>2.023435429140303E-6</v>
      </c>
    </row>
    <row r="362" spans="1:5" x14ac:dyDescent="0.3">
      <c r="A362" s="74" t="s">
        <v>1684</v>
      </c>
      <c r="B362">
        <v>1</v>
      </c>
      <c r="C362">
        <f t="shared" si="15"/>
        <v>1.4224751066856331E-3</v>
      </c>
      <c r="D362">
        <f t="shared" si="16"/>
        <v>-9.3248319940407755E-3</v>
      </c>
      <c r="E362">
        <f t="shared" si="17"/>
        <v>2.023435429140303E-6</v>
      </c>
    </row>
    <row r="363" spans="1:5" x14ac:dyDescent="0.3">
      <c r="A363" s="74" t="s">
        <v>1604</v>
      </c>
    </row>
    <row r="364" spans="1:5" x14ac:dyDescent="0.3">
      <c r="A364" s="74" t="s">
        <v>1605</v>
      </c>
      <c r="B364">
        <v>703</v>
      </c>
      <c r="D364">
        <f>-SUM(D2:D362)</f>
        <v>5.5685888544074862</v>
      </c>
      <c r="E364">
        <f>SUM(E2:E362)</f>
        <v>5.5381427695569627E-3</v>
      </c>
    </row>
    <row r="365" spans="1:5" x14ac:dyDescent="0.3">
      <c r="D365" t="s">
        <v>1745</v>
      </c>
      <c r="E365" t="s">
        <v>1744</v>
      </c>
    </row>
    <row r="366" spans="1:5" x14ac:dyDescent="0.3">
      <c r="E366">
        <f>1 - E364</f>
        <v>0.994461857230443</v>
      </c>
    </row>
    <row r="367" spans="1:5" x14ac:dyDescent="0.3">
      <c r="E367" t="s">
        <v>1746</v>
      </c>
    </row>
    <row r="368" spans="1:5" x14ac:dyDescent="0.3">
      <c r="E368">
        <f>1 / E364</f>
        <v>180.56594811837931</v>
      </c>
    </row>
    <row r="369" spans="5:5" x14ac:dyDescent="0.3">
      <c r="E369" t="s">
        <v>1747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B5C6-5F2D-42BB-A087-1FE4E5B160F9}">
  <dimension ref="A1:H48"/>
  <sheetViews>
    <sheetView topLeftCell="C1" workbookViewId="0">
      <selection activeCell="I19" sqref="I19"/>
    </sheetView>
  </sheetViews>
  <sheetFormatPr defaultRowHeight="14.4" x14ac:dyDescent="0.3"/>
  <cols>
    <col min="4" max="4" width="21.5546875" customWidth="1"/>
    <col min="5" max="5" width="5.77734375" bestFit="1" customWidth="1"/>
    <col min="6" max="6" width="11.5546875" bestFit="1" customWidth="1"/>
    <col min="7" max="7" width="20" bestFit="1" customWidth="1"/>
    <col min="8" max="8" width="11.21875" bestFit="1" customWidth="1"/>
  </cols>
  <sheetData>
    <row r="1" spans="1:8" x14ac:dyDescent="0.3">
      <c r="A1" t="s">
        <v>960</v>
      </c>
      <c r="B1" t="s">
        <v>1630</v>
      </c>
      <c r="C1" t="s">
        <v>1631</v>
      </c>
      <c r="D1" t="s">
        <v>1632</v>
      </c>
      <c r="E1" t="s">
        <v>1633</v>
      </c>
    </row>
    <row r="2" spans="1:8" x14ac:dyDescent="0.3">
      <c r="A2" t="s">
        <v>982</v>
      </c>
      <c r="B2">
        <v>14</v>
      </c>
      <c r="C2" t="s">
        <v>1610</v>
      </c>
      <c r="D2" s="75">
        <v>-2131176399</v>
      </c>
      <c r="E2" t="s">
        <v>1611</v>
      </c>
      <c r="G2" t="s">
        <v>1608</v>
      </c>
      <c r="H2" t="s">
        <v>1641</v>
      </c>
    </row>
    <row r="3" spans="1:8" x14ac:dyDescent="0.3">
      <c r="A3" t="s">
        <v>1022</v>
      </c>
      <c r="B3">
        <v>12</v>
      </c>
      <c r="C3" t="s">
        <v>1612</v>
      </c>
      <c r="D3" s="75">
        <v>-2285347743</v>
      </c>
      <c r="E3" t="s">
        <v>1613</v>
      </c>
      <c r="G3" t="s">
        <v>1609</v>
      </c>
      <c r="H3" t="s">
        <v>1642</v>
      </c>
    </row>
    <row r="4" spans="1:8" x14ac:dyDescent="0.3">
      <c r="A4" t="s">
        <v>969</v>
      </c>
      <c r="B4">
        <v>8</v>
      </c>
      <c r="C4" t="s">
        <v>1614</v>
      </c>
      <c r="D4" s="75">
        <v>-2691243082</v>
      </c>
      <c r="E4" t="s">
        <v>1615</v>
      </c>
    </row>
    <row r="5" spans="1:8" x14ac:dyDescent="0.3">
      <c r="A5" t="s">
        <v>983</v>
      </c>
      <c r="B5">
        <v>7</v>
      </c>
      <c r="C5" t="s">
        <v>1616</v>
      </c>
      <c r="D5" s="75">
        <v>-2821378888</v>
      </c>
      <c r="E5" t="s">
        <v>1617</v>
      </c>
    </row>
    <row r="6" spans="1:8" x14ac:dyDescent="0.3">
      <c r="A6" t="s">
        <v>966</v>
      </c>
      <c r="B6">
        <v>6</v>
      </c>
      <c r="C6" t="s">
        <v>1618</v>
      </c>
      <c r="D6" s="75">
        <v>-2975529566</v>
      </c>
      <c r="E6" t="s">
        <v>1619</v>
      </c>
      <c r="G6" t="s">
        <v>1634</v>
      </c>
    </row>
    <row r="7" spans="1:8" x14ac:dyDescent="0.3">
      <c r="A7" t="s">
        <v>992</v>
      </c>
      <c r="B7">
        <v>5</v>
      </c>
      <c r="C7" t="s">
        <v>1620</v>
      </c>
      <c r="D7" s="75">
        <v>-316464153</v>
      </c>
      <c r="E7" t="s">
        <v>1621</v>
      </c>
      <c r="G7" t="s">
        <v>1635</v>
      </c>
      <c r="H7" t="s">
        <v>1638</v>
      </c>
    </row>
    <row r="8" spans="1:8" x14ac:dyDescent="0.3">
      <c r="A8" t="s">
        <v>1004</v>
      </c>
      <c r="B8">
        <v>5</v>
      </c>
      <c r="C8" t="s">
        <v>1620</v>
      </c>
      <c r="D8" s="75">
        <v>-316464153</v>
      </c>
      <c r="E8" t="s">
        <v>1621</v>
      </c>
      <c r="G8" t="s">
        <v>1636</v>
      </c>
      <c r="H8" t="s">
        <v>1639</v>
      </c>
    </row>
    <row r="9" spans="1:8" x14ac:dyDescent="0.3">
      <c r="A9" t="s">
        <v>1000</v>
      </c>
      <c r="B9">
        <v>4</v>
      </c>
      <c r="C9" t="s">
        <v>1622</v>
      </c>
      <c r="D9" s="75">
        <v>-3384390263</v>
      </c>
      <c r="E9" t="s">
        <v>1623</v>
      </c>
      <c r="G9" t="s">
        <v>1637</v>
      </c>
      <c r="H9" t="s">
        <v>1640</v>
      </c>
    </row>
    <row r="10" spans="1:8" x14ac:dyDescent="0.3">
      <c r="A10" t="s">
        <v>1018</v>
      </c>
      <c r="B10">
        <v>3</v>
      </c>
      <c r="C10" t="s">
        <v>1624</v>
      </c>
      <c r="D10" s="75">
        <v>-3674239085</v>
      </c>
      <c r="E10" t="s">
        <v>1625</v>
      </c>
    </row>
    <row r="11" spans="1:8" x14ac:dyDescent="0.3">
      <c r="A11" t="s">
        <v>978</v>
      </c>
      <c r="B11">
        <v>3</v>
      </c>
      <c r="C11" t="s">
        <v>1624</v>
      </c>
      <c r="D11" s="75">
        <v>-3674239085</v>
      </c>
      <c r="E11" t="s">
        <v>1625</v>
      </c>
    </row>
    <row r="12" spans="1:8" x14ac:dyDescent="0.3">
      <c r="A12" t="s">
        <v>1027</v>
      </c>
      <c r="B12">
        <v>3</v>
      </c>
      <c r="C12" t="s">
        <v>1624</v>
      </c>
      <c r="D12" s="75">
        <v>-3674239085</v>
      </c>
      <c r="E12" t="s">
        <v>1625</v>
      </c>
    </row>
    <row r="13" spans="1:8" x14ac:dyDescent="0.3">
      <c r="A13" t="s">
        <v>482</v>
      </c>
      <c r="B13">
        <v>3</v>
      </c>
      <c r="C13" t="s">
        <v>1624</v>
      </c>
      <c r="D13" s="75">
        <v>-3674239085</v>
      </c>
      <c r="E13" t="s">
        <v>1625</v>
      </c>
    </row>
    <row r="14" spans="1:8" x14ac:dyDescent="0.3">
      <c r="A14" t="s">
        <v>998</v>
      </c>
      <c r="B14">
        <v>3</v>
      </c>
      <c r="C14" t="s">
        <v>1624</v>
      </c>
      <c r="D14" s="75">
        <v>-3674239085</v>
      </c>
      <c r="E14" t="s">
        <v>1625</v>
      </c>
    </row>
    <row r="15" spans="1:8" x14ac:dyDescent="0.3">
      <c r="A15" t="s">
        <v>1006</v>
      </c>
      <c r="B15">
        <v>3</v>
      </c>
      <c r="C15" t="s">
        <v>1624</v>
      </c>
      <c r="D15" s="75">
        <v>-3674239085</v>
      </c>
      <c r="E15" t="s">
        <v>1625</v>
      </c>
    </row>
    <row r="16" spans="1:8" x14ac:dyDescent="0.3">
      <c r="A16" t="s">
        <v>1002</v>
      </c>
      <c r="B16">
        <v>2</v>
      </c>
      <c r="C16" t="s">
        <v>1626</v>
      </c>
      <c r="D16" s="75">
        <v>-4075833024</v>
      </c>
      <c r="E16" t="s">
        <v>1627</v>
      </c>
    </row>
    <row r="17" spans="1:5" x14ac:dyDescent="0.3">
      <c r="A17" t="s">
        <v>1040</v>
      </c>
      <c r="B17">
        <v>2</v>
      </c>
      <c r="C17" t="s">
        <v>1626</v>
      </c>
      <c r="D17" s="75">
        <v>-4075833024</v>
      </c>
      <c r="E17" t="s">
        <v>1627</v>
      </c>
    </row>
    <row r="18" spans="1:5" x14ac:dyDescent="0.3">
      <c r="A18" t="s">
        <v>1011</v>
      </c>
      <c r="B18">
        <v>2</v>
      </c>
      <c r="C18" t="s">
        <v>1626</v>
      </c>
      <c r="D18" s="75">
        <v>-4075833024</v>
      </c>
      <c r="E18" t="s">
        <v>1627</v>
      </c>
    </row>
    <row r="19" spans="1:5" x14ac:dyDescent="0.3">
      <c r="A19" t="s">
        <v>1009</v>
      </c>
      <c r="B19">
        <v>2</v>
      </c>
      <c r="C19" t="s">
        <v>1626</v>
      </c>
      <c r="D19" s="75">
        <v>-4075833024</v>
      </c>
      <c r="E19" t="s">
        <v>1627</v>
      </c>
    </row>
    <row r="20" spans="1:5" x14ac:dyDescent="0.3">
      <c r="A20" t="s">
        <v>1025</v>
      </c>
      <c r="B20">
        <v>2</v>
      </c>
      <c r="C20" t="s">
        <v>1626</v>
      </c>
      <c r="D20" s="75">
        <v>-4075833024</v>
      </c>
      <c r="E20" t="s">
        <v>1627</v>
      </c>
    </row>
    <row r="21" spans="1:5" x14ac:dyDescent="0.3">
      <c r="A21" t="s">
        <v>1046</v>
      </c>
      <c r="B21">
        <v>2</v>
      </c>
      <c r="C21" t="s">
        <v>1626</v>
      </c>
      <c r="D21" s="75">
        <v>-4075833024</v>
      </c>
      <c r="E21" t="s">
        <v>1627</v>
      </c>
    </row>
    <row r="22" spans="1:5" x14ac:dyDescent="0.3">
      <c r="A22" t="s">
        <v>1037</v>
      </c>
      <c r="B22">
        <v>1</v>
      </c>
      <c r="C22" t="s">
        <v>1628</v>
      </c>
      <c r="D22" s="75">
        <v>-4770684624</v>
      </c>
      <c r="E22" t="s">
        <v>1629</v>
      </c>
    </row>
    <row r="23" spans="1:5" x14ac:dyDescent="0.3">
      <c r="A23" t="s">
        <v>1042</v>
      </c>
      <c r="B23">
        <v>1</v>
      </c>
      <c r="C23" t="s">
        <v>1628</v>
      </c>
      <c r="D23" s="75">
        <v>-4770684624</v>
      </c>
      <c r="E23" t="s">
        <v>1629</v>
      </c>
    </row>
    <row r="24" spans="1:5" x14ac:dyDescent="0.3">
      <c r="A24" t="s">
        <v>1055</v>
      </c>
      <c r="B24">
        <v>1</v>
      </c>
      <c r="C24" t="s">
        <v>1628</v>
      </c>
      <c r="D24" s="75">
        <v>-4770684624</v>
      </c>
      <c r="E24" t="s">
        <v>1629</v>
      </c>
    </row>
    <row r="25" spans="1:5" x14ac:dyDescent="0.3">
      <c r="A25" t="s">
        <v>1031</v>
      </c>
      <c r="B25">
        <v>1</v>
      </c>
      <c r="C25" t="s">
        <v>1628</v>
      </c>
      <c r="D25" s="75">
        <v>-4770684624</v>
      </c>
      <c r="E25" t="s">
        <v>1629</v>
      </c>
    </row>
    <row r="26" spans="1:5" x14ac:dyDescent="0.3">
      <c r="A26" t="s">
        <v>977</v>
      </c>
      <c r="B26">
        <v>1</v>
      </c>
      <c r="C26" t="s">
        <v>1628</v>
      </c>
      <c r="D26" s="75">
        <v>-4770684624</v>
      </c>
      <c r="E26" t="s">
        <v>1629</v>
      </c>
    </row>
    <row r="27" spans="1:5" x14ac:dyDescent="0.3">
      <c r="A27" t="s">
        <v>1028</v>
      </c>
      <c r="B27">
        <v>1</v>
      </c>
      <c r="C27" t="s">
        <v>1628</v>
      </c>
      <c r="D27" s="75">
        <v>-4770684624</v>
      </c>
      <c r="E27" t="s">
        <v>1629</v>
      </c>
    </row>
    <row r="28" spans="1:5" x14ac:dyDescent="0.3">
      <c r="A28" t="s">
        <v>1035</v>
      </c>
      <c r="B28">
        <v>1</v>
      </c>
      <c r="C28" t="s">
        <v>1628</v>
      </c>
      <c r="D28" s="75">
        <v>-4770684624</v>
      </c>
      <c r="E28" t="s">
        <v>1629</v>
      </c>
    </row>
    <row r="29" spans="1:5" x14ac:dyDescent="0.3">
      <c r="A29" t="s">
        <v>1020</v>
      </c>
      <c r="B29">
        <v>1</v>
      </c>
      <c r="C29" t="s">
        <v>1628</v>
      </c>
      <c r="D29" s="75">
        <v>-4770684624</v>
      </c>
      <c r="E29" t="s">
        <v>1629</v>
      </c>
    </row>
    <row r="30" spans="1:5" x14ac:dyDescent="0.3">
      <c r="A30" t="s">
        <v>990</v>
      </c>
      <c r="B30">
        <v>1</v>
      </c>
      <c r="C30" t="s">
        <v>1628</v>
      </c>
      <c r="D30" s="75">
        <v>-4770684624</v>
      </c>
      <c r="E30" t="s">
        <v>1629</v>
      </c>
    </row>
    <row r="31" spans="1:5" x14ac:dyDescent="0.3">
      <c r="A31" t="s">
        <v>1013</v>
      </c>
      <c r="B31">
        <v>1</v>
      </c>
      <c r="C31" t="s">
        <v>1628</v>
      </c>
      <c r="D31" s="75">
        <v>-4770684624</v>
      </c>
      <c r="E31" t="s">
        <v>1629</v>
      </c>
    </row>
    <row r="32" spans="1:5" x14ac:dyDescent="0.3">
      <c r="A32" t="s">
        <v>971</v>
      </c>
      <c r="B32">
        <v>1</v>
      </c>
      <c r="C32" t="s">
        <v>1628</v>
      </c>
      <c r="D32" s="75">
        <v>-4770684624</v>
      </c>
      <c r="E32" t="s">
        <v>1629</v>
      </c>
    </row>
    <row r="33" spans="1:5" x14ac:dyDescent="0.3">
      <c r="A33" t="s">
        <v>1058</v>
      </c>
      <c r="B33">
        <v>1</v>
      </c>
      <c r="C33" t="s">
        <v>1628</v>
      </c>
      <c r="D33" s="75">
        <v>-4770684624</v>
      </c>
      <c r="E33" t="s">
        <v>1629</v>
      </c>
    </row>
    <row r="34" spans="1:5" x14ac:dyDescent="0.3">
      <c r="A34" t="s">
        <v>995</v>
      </c>
      <c r="B34">
        <v>1</v>
      </c>
      <c r="C34" t="s">
        <v>1628</v>
      </c>
      <c r="D34" s="75">
        <v>-4770684624</v>
      </c>
      <c r="E34" t="s">
        <v>1629</v>
      </c>
    </row>
    <row r="35" spans="1:5" x14ac:dyDescent="0.3">
      <c r="A35" t="s">
        <v>1059</v>
      </c>
      <c r="B35">
        <v>1</v>
      </c>
      <c r="C35" t="s">
        <v>1628</v>
      </c>
      <c r="D35" s="75">
        <v>-4770684624</v>
      </c>
      <c r="E35" t="s">
        <v>1629</v>
      </c>
    </row>
    <row r="36" spans="1:5" x14ac:dyDescent="0.3">
      <c r="A36" t="s">
        <v>1052</v>
      </c>
      <c r="B36">
        <v>1</v>
      </c>
      <c r="C36" t="s">
        <v>1628</v>
      </c>
      <c r="D36" s="75">
        <v>-4770684624</v>
      </c>
      <c r="E36" t="s">
        <v>1629</v>
      </c>
    </row>
    <row r="37" spans="1:5" x14ac:dyDescent="0.3">
      <c r="A37" t="s">
        <v>1044</v>
      </c>
      <c r="B37">
        <v>1</v>
      </c>
      <c r="C37" t="s">
        <v>1628</v>
      </c>
      <c r="D37" s="75">
        <v>-4770684624</v>
      </c>
      <c r="E37" t="s">
        <v>1629</v>
      </c>
    </row>
    <row r="38" spans="1:5" x14ac:dyDescent="0.3">
      <c r="A38" t="s">
        <v>1049</v>
      </c>
      <c r="B38">
        <v>1</v>
      </c>
      <c r="C38" t="s">
        <v>1628</v>
      </c>
      <c r="D38" s="75">
        <v>-4770684624</v>
      </c>
      <c r="E38" t="s">
        <v>1629</v>
      </c>
    </row>
    <row r="39" spans="1:5" x14ac:dyDescent="0.3">
      <c r="A39" t="s">
        <v>1033</v>
      </c>
      <c r="B39">
        <v>1</v>
      </c>
      <c r="C39" t="s">
        <v>1628</v>
      </c>
      <c r="D39" s="75">
        <v>-4770684624</v>
      </c>
      <c r="E39" t="s">
        <v>1629</v>
      </c>
    </row>
    <row r="40" spans="1:5" x14ac:dyDescent="0.3">
      <c r="A40" t="s">
        <v>1003</v>
      </c>
      <c r="B40">
        <v>1</v>
      </c>
      <c r="C40" t="s">
        <v>1628</v>
      </c>
      <c r="D40" s="75">
        <v>-4770684624</v>
      </c>
      <c r="E40" t="s">
        <v>1629</v>
      </c>
    </row>
    <row r="41" spans="1:5" x14ac:dyDescent="0.3">
      <c r="A41" t="s">
        <v>1015</v>
      </c>
      <c r="B41">
        <v>1</v>
      </c>
      <c r="C41" t="s">
        <v>1628</v>
      </c>
      <c r="D41" s="75">
        <v>-4770684624</v>
      </c>
      <c r="E41" t="s">
        <v>1629</v>
      </c>
    </row>
    <row r="42" spans="1:5" x14ac:dyDescent="0.3">
      <c r="A42" t="s">
        <v>979</v>
      </c>
      <c r="B42">
        <v>1</v>
      </c>
      <c r="C42" t="s">
        <v>1628</v>
      </c>
      <c r="D42" s="75">
        <v>-4770684624</v>
      </c>
      <c r="E42" t="s">
        <v>1629</v>
      </c>
    </row>
    <row r="43" spans="1:5" x14ac:dyDescent="0.3">
      <c r="A43" t="s">
        <v>985</v>
      </c>
      <c r="B43">
        <v>1</v>
      </c>
      <c r="C43" t="s">
        <v>1628</v>
      </c>
      <c r="D43" s="75">
        <v>-4770684624</v>
      </c>
      <c r="E43" t="s">
        <v>1629</v>
      </c>
    </row>
    <row r="44" spans="1:5" x14ac:dyDescent="0.3">
      <c r="A44" t="s">
        <v>420</v>
      </c>
      <c r="B44">
        <v>1</v>
      </c>
      <c r="C44" t="s">
        <v>1628</v>
      </c>
      <c r="D44" s="75">
        <v>-4770684624</v>
      </c>
      <c r="E44" t="s">
        <v>1629</v>
      </c>
    </row>
    <row r="45" spans="1:5" x14ac:dyDescent="0.3">
      <c r="A45" t="s">
        <v>33</v>
      </c>
      <c r="B45">
        <v>1</v>
      </c>
      <c r="C45" t="s">
        <v>1628</v>
      </c>
      <c r="D45" s="75">
        <v>-4770684624</v>
      </c>
      <c r="E45" t="s">
        <v>1629</v>
      </c>
    </row>
    <row r="46" spans="1:5" x14ac:dyDescent="0.3">
      <c r="A46" t="s">
        <v>974</v>
      </c>
      <c r="B46">
        <v>1</v>
      </c>
      <c r="C46" t="s">
        <v>1628</v>
      </c>
      <c r="D46" s="75">
        <v>-4770684624</v>
      </c>
      <c r="E46" t="s">
        <v>1629</v>
      </c>
    </row>
    <row r="47" spans="1:5" x14ac:dyDescent="0.3">
      <c r="A47" t="s">
        <v>858</v>
      </c>
      <c r="B47">
        <v>1</v>
      </c>
      <c r="C47" t="s">
        <v>1628</v>
      </c>
      <c r="D47" s="75">
        <v>-4770684624</v>
      </c>
      <c r="E47" t="s">
        <v>1629</v>
      </c>
    </row>
    <row r="48" spans="1:5" x14ac:dyDescent="0.3">
      <c r="A48" t="s">
        <v>987</v>
      </c>
      <c r="B48">
        <v>1</v>
      </c>
      <c r="C48" t="s">
        <v>1628</v>
      </c>
      <c r="D48" s="75">
        <v>-4770684624</v>
      </c>
      <c r="E48" t="s">
        <v>1629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562-C504-4973-8F79-089B117BDF63}">
  <dimension ref="A1:S118"/>
  <sheetViews>
    <sheetView topLeftCell="M1" zoomScale="83" workbookViewId="0">
      <selection activeCell="Q24" sqref="Q24"/>
    </sheetView>
  </sheetViews>
  <sheetFormatPr defaultRowHeight="14.4" x14ac:dyDescent="0.3"/>
  <cols>
    <col min="1" max="1" width="24.6640625" bestFit="1" customWidth="1"/>
    <col min="3" max="3" width="19.77734375" bestFit="1" customWidth="1"/>
    <col min="13" max="13" width="30.5546875" bestFit="1" customWidth="1"/>
  </cols>
  <sheetData>
    <row r="1" spans="1:19" ht="43.2" x14ac:dyDescent="0.3">
      <c r="A1" s="57" t="s">
        <v>960</v>
      </c>
      <c r="B1" s="57" t="s">
        <v>963</v>
      </c>
      <c r="C1" s="93" t="s">
        <v>1777</v>
      </c>
      <c r="D1" s="57" t="s">
        <v>1778</v>
      </c>
      <c r="E1" s="94" t="s">
        <v>1779</v>
      </c>
      <c r="F1" s="95" t="s">
        <v>2026</v>
      </c>
      <c r="G1" s="96" t="s">
        <v>1780</v>
      </c>
      <c r="H1" s="97" t="s">
        <v>1781</v>
      </c>
      <c r="I1" s="98" t="s">
        <v>1782</v>
      </c>
      <c r="J1" s="99" t="s">
        <v>1783</v>
      </c>
      <c r="K1" s="95" t="s">
        <v>1784</v>
      </c>
      <c r="L1" s="131" t="s">
        <v>332</v>
      </c>
      <c r="M1" s="139" t="s">
        <v>12</v>
      </c>
      <c r="S1" t="s">
        <v>2027</v>
      </c>
    </row>
    <row r="2" spans="1:19" x14ac:dyDescent="0.3">
      <c r="A2" s="59" t="s">
        <v>966</v>
      </c>
      <c r="B2" s="58" t="s">
        <v>967</v>
      </c>
      <c r="C2" s="100" t="s">
        <v>1785</v>
      </c>
      <c r="D2" s="100" t="s">
        <v>1785</v>
      </c>
      <c r="E2" s="101">
        <v>4</v>
      </c>
      <c r="F2" s="58">
        <v>15</v>
      </c>
      <c r="G2" s="103" t="s">
        <v>1786</v>
      </c>
      <c r="H2" s="104">
        <v>3.2986722862692828</v>
      </c>
      <c r="I2" s="101">
        <v>1.6</v>
      </c>
      <c r="J2" s="100"/>
      <c r="K2" s="58" t="s">
        <v>483</v>
      </c>
      <c r="L2" s="132" t="b">
        <v>0</v>
      </c>
      <c r="M2" s="140"/>
    </row>
    <row r="3" spans="1:19" x14ac:dyDescent="0.3">
      <c r="A3" s="61" t="s">
        <v>969</v>
      </c>
      <c r="B3" s="60" t="s">
        <v>41</v>
      </c>
      <c r="C3" s="105" t="s">
        <v>1787</v>
      </c>
      <c r="D3" s="105" t="s">
        <v>1787</v>
      </c>
      <c r="E3" s="106">
        <v>1.8</v>
      </c>
      <c r="F3" s="60">
        <v>5</v>
      </c>
      <c r="G3" s="103" t="s">
        <v>1788</v>
      </c>
      <c r="H3" s="107">
        <v>9.1891585117501506</v>
      </c>
      <c r="I3" s="106">
        <v>0.5</v>
      </c>
      <c r="J3" s="105" t="s">
        <v>1789</v>
      </c>
      <c r="K3" s="60" t="s">
        <v>1790</v>
      </c>
      <c r="L3" s="132" t="b">
        <v>0</v>
      </c>
      <c r="M3" s="141" t="s">
        <v>1791</v>
      </c>
    </row>
    <row r="4" spans="1:19" x14ac:dyDescent="0.3">
      <c r="A4" s="59" t="s">
        <v>969</v>
      </c>
      <c r="B4" s="58" t="s">
        <v>41</v>
      </c>
      <c r="C4" s="100" t="s">
        <v>1792</v>
      </c>
      <c r="D4" s="100" t="s">
        <v>1792</v>
      </c>
      <c r="E4" s="101">
        <v>2.2999999999999998</v>
      </c>
      <c r="F4" s="58">
        <v>60</v>
      </c>
      <c r="G4" s="103" t="s">
        <v>1793</v>
      </c>
      <c r="H4" s="104">
        <v>4.2411500823462207</v>
      </c>
      <c r="I4" s="101">
        <v>0.4</v>
      </c>
      <c r="J4" s="100"/>
      <c r="K4" s="58" t="s">
        <v>1790</v>
      </c>
      <c r="L4" s="132" t="b">
        <v>1</v>
      </c>
      <c r="M4" s="140"/>
    </row>
    <row r="5" spans="1:19" x14ac:dyDescent="0.3">
      <c r="A5" s="63" t="s">
        <v>971</v>
      </c>
      <c r="B5" s="60" t="s">
        <v>972</v>
      </c>
      <c r="C5" s="105" t="s">
        <v>1794</v>
      </c>
      <c r="D5" s="105" t="s">
        <v>1794</v>
      </c>
      <c r="E5" s="106">
        <v>2.5</v>
      </c>
      <c r="F5" s="60">
        <v>30</v>
      </c>
      <c r="G5" s="108" t="s">
        <v>1795</v>
      </c>
      <c r="H5" s="107">
        <v>4.4767695313654547</v>
      </c>
      <c r="I5" s="106">
        <v>1.3</v>
      </c>
      <c r="J5" s="105"/>
      <c r="K5" s="60" t="s">
        <v>1790</v>
      </c>
      <c r="L5" s="133" t="b">
        <v>0</v>
      </c>
      <c r="M5" s="141"/>
    </row>
    <row r="6" spans="1:19" x14ac:dyDescent="0.3">
      <c r="A6" s="59" t="s">
        <v>974</v>
      </c>
      <c r="B6" s="58" t="s">
        <v>975</v>
      </c>
      <c r="C6" s="100" t="s">
        <v>1796</v>
      </c>
      <c r="D6" s="100" t="s">
        <v>1796</v>
      </c>
      <c r="E6" s="101">
        <v>2</v>
      </c>
      <c r="F6" s="58">
        <v>25</v>
      </c>
      <c r="G6" s="103" t="s">
        <v>1797</v>
      </c>
      <c r="H6" s="104">
        <v>1.1780972450961724</v>
      </c>
      <c r="I6" s="101">
        <v>0.6</v>
      </c>
      <c r="J6" s="100"/>
      <c r="K6" s="58" t="s">
        <v>1790</v>
      </c>
      <c r="L6" s="132" t="b">
        <v>1</v>
      </c>
      <c r="M6" s="140" t="s">
        <v>247</v>
      </c>
    </row>
    <row r="7" spans="1:19" x14ac:dyDescent="0.3">
      <c r="A7" s="61" t="s">
        <v>977</v>
      </c>
      <c r="B7" s="60" t="s">
        <v>41</v>
      </c>
      <c r="C7" s="105" t="s">
        <v>1798</v>
      </c>
      <c r="D7" s="105" t="s">
        <v>1798</v>
      </c>
      <c r="E7" s="106">
        <v>4.9000000000000004</v>
      </c>
      <c r="F7" s="60">
        <v>85</v>
      </c>
      <c r="G7" s="108" t="s">
        <v>1799</v>
      </c>
      <c r="H7" s="107">
        <v>8.9535390627309095</v>
      </c>
      <c r="I7" s="106">
        <v>1.7</v>
      </c>
      <c r="J7" s="105"/>
      <c r="K7" s="60" t="s">
        <v>483</v>
      </c>
      <c r="L7" s="133" t="b">
        <v>0</v>
      </c>
      <c r="M7" s="141"/>
    </row>
    <row r="8" spans="1:19" x14ac:dyDescent="0.3">
      <c r="A8" s="65" t="s">
        <v>978</v>
      </c>
      <c r="B8" s="64" t="s">
        <v>41</v>
      </c>
      <c r="C8" s="109" t="s">
        <v>1800</v>
      </c>
      <c r="D8" s="102" t="s">
        <v>1998</v>
      </c>
      <c r="E8" s="110">
        <v>7</v>
      </c>
      <c r="F8" s="64">
        <v>40</v>
      </c>
      <c r="G8" s="111" t="s">
        <v>1801</v>
      </c>
      <c r="H8" s="112">
        <v>12.959069696057897</v>
      </c>
      <c r="I8" s="110">
        <v>1.75</v>
      </c>
      <c r="J8" s="109" t="s">
        <v>1802</v>
      </c>
      <c r="K8" s="64"/>
      <c r="L8" s="134" t="b">
        <v>0</v>
      </c>
      <c r="M8" s="142"/>
    </row>
    <row r="9" spans="1:19" x14ac:dyDescent="0.3">
      <c r="A9" s="61" t="s">
        <v>966</v>
      </c>
      <c r="B9" s="60" t="s">
        <v>967</v>
      </c>
      <c r="C9" s="105" t="s">
        <v>1803</v>
      </c>
      <c r="D9" s="105" t="s">
        <v>1803</v>
      </c>
      <c r="E9" s="106">
        <v>4.4000000000000004</v>
      </c>
      <c r="F9" s="60">
        <v>30</v>
      </c>
      <c r="G9" s="103" t="s">
        <v>1804</v>
      </c>
      <c r="H9" s="107">
        <v>7.3042029195962694</v>
      </c>
      <c r="I9" s="113" t="s">
        <v>1805</v>
      </c>
      <c r="J9" s="105"/>
      <c r="K9" s="60" t="s">
        <v>483</v>
      </c>
      <c r="L9" s="132" t="b">
        <v>1</v>
      </c>
      <c r="M9" s="141" t="s">
        <v>1806</v>
      </c>
    </row>
    <row r="10" spans="1:19" x14ac:dyDescent="0.3">
      <c r="A10" s="59" t="s">
        <v>966</v>
      </c>
      <c r="B10" s="58" t="s">
        <v>967</v>
      </c>
      <c r="C10" s="100" t="s">
        <v>1807</v>
      </c>
      <c r="D10" s="100" t="s">
        <v>1807</v>
      </c>
      <c r="E10" s="101">
        <v>4.4000000000000004</v>
      </c>
      <c r="F10" s="58">
        <v>30</v>
      </c>
      <c r="G10" s="108" t="s">
        <v>1804</v>
      </c>
      <c r="H10" s="104">
        <v>7.3042029195962694</v>
      </c>
      <c r="I10" s="113" t="s">
        <v>1808</v>
      </c>
      <c r="J10" s="100"/>
      <c r="K10" s="58" t="s">
        <v>483</v>
      </c>
      <c r="L10" s="133" t="b">
        <v>1</v>
      </c>
      <c r="M10" s="140" t="s">
        <v>1809</v>
      </c>
    </row>
    <row r="11" spans="1:19" x14ac:dyDescent="0.3">
      <c r="A11" s="61" t="s">
        <v>979</v>
      </c>
      <c r="B11" s="60" t="s">
        <v>980</v>
      </c>
      <c r="C11" s="105" t="s">
        <v>1810</v>
      </c>
      <c r="D11" s="105" t="s">
        <v>1810</v>
      </c>
      <c r="E11" s="106">
        <v>3</v>
      </c>
      <c r="F11" s="60">
        <v>5</v>
      </c>
      <c r="G11" s="108" t="s">
        <v>1811</v>
      </c>
      <c r="H11" s="107">
        <v>2.1205750411731104</v>
      </c>
      <c r="I11" s="114">
        <v>2</v>
      </c>
      <c r="J11" s="105"/>
      <c r="K11" s="60" t="s">
        <v>483</v>
      </c>
      <c r="L11" s="133" t="b">
        <v>0</v>
      </c>
      <c r="M11" s="141" t="s">
        <v>1812</v>
      </c>
    </row>
    <row r="12" spans="1:19" x14ac:dyDescent="0.3">
      <c r="A12" s="59" t="s">
        <v>982</v>
      </c>
      <c r="B12" s="58" t="s">
        <v>32</v>
      </c>
      <c r="C12" s="100" t="s">
        <v>1813</v>
      </c>
      <c r="D12" s="100" t="s">
        <v>1813</v>
      </c>
      <c r="E12" s="101">
        <v>23</v>
      </c>
      <c r="F12" s="58">
        <v>80</v>
      </c>
      <c r="G12" s="103" t="s">
        <v>1814</v>
      </c>
      <c r="H12" s="104">
        <v>17.435839227423351</v>
      </c>
      <c r="I12" s="114" t="s">
        <v>1815</v>
      </c>
      <c r="J12" s="100"/>
      <c r="K12" s="58" t="s">
        <v>1790</v>
      </c>
      <c r="L12" s="132" t="b">
        <v>0</v>
      </c>
      <c r="M12" s="140" t="s">
        <v>1816</v>
      </c>
    </row>
    <row r="13" spans="1:19" x14ac:dyDescent="0.3">
      <c r="A13" s="61" t="s">
        <v>982</v>
      </c>
      <c r="B13" s="60" t="s">
        <v>32</v>
      </c>
      <c r="C13" s="105" t="s">
        <v>1817</v>
      </c>
      <c r="D13" s="105" t="s">
        <v>1817</v>
      </c>
      <c r="E13" s="106">
        <v>19.600000000000001</v>
      </c>
      <c r="F13" s="60">
        <v>90</v>
      </c>
      <c r="G13" s="108" t="s">
        <v>1818</v>
      </c>
      <c r="H13" s="107">
        <v>17.671458676442587</v>
      </c>
      <c r="I13" s="114" t="s">
        <v>1819</v>
      </c>
      <c r="J13" s="105"/>
      <c r="K13" s="60" t="s">
        <v>1790</v>
      </c>
      <c r="L13" s="133" t="b">
        <v>0</v>
      </c>
      <c r="M13" s="141"/>
    </row>
    <row r="14" spans="1:19" x14ac:dyDescent="0.3">
      <c r="A14" s="59" t="s">
        <v>982</v>
      </c>
      <c r="B14" s="58" t="s">
        <v>32</v>
      </c>
      <c r="C14" s="100" t="s">
        <v>1820</v>
      </c>
      <c r="D14" s="100" t="s">
        <v>1820</v>
      </c>
      <c r="E14" s="101">
        <v>21.3</v>
      </c>
      <c r="F14" s="58">
        <v>90</v>
      </c>
      <c r="G14" s="103" t="s">
        <v>1821</v>
      </c>
      <c r="H14" s="104">
        <v>17.907078125461819</v>
      </c>
      <c r="I14" s="114" t="s">
        <v>1815</v>
      </c>
      <c r="J14" s="100"/>
      <c r="K14" s="58" t="s">
        <v>1790</v>
      </c>
      <c r="L14" s="132" t="b">
        <v>0</v>
      </c>
      <c r="M14" s="140"/>
    </row>
    <row r="15" spans="1:19" x14ac:dyDescent="0.3">
      <c r="A15" s="61" t="s">
        <v>982</v>
      </c>
      <c r="B15" s="60" t="s">
        <v>32</v>
      </c>
      <c r="C15" s="105" t="s">
        <v>1822</v>
      </c>
      <c r="D15" s="105" t="s">
        <v>1822</v>
      </c>
      <c r="E15" s="106">
        <v>21.3</v>
      </c>
      <c r="F15" s="60">
        <v>90</v>
      </c>
      <c r="G15" s="108" t="s">
        <v>1823</v>
      </c>
      <c r="H15" s="107">
        <v>18.142697574481055</v>
      </c>
      <c r="I15" s="114" t="s">
        <v>1824</v>
      </c>
      <c r="J15" s="105"/>
      <c r="K15" s="60" t="s">
        <v>1790</v>
      </c>
      <c r="L15" s="133" t="b">
        <v>0</v>
      </c>
      <c r="M15" s="141"/>
    </row>
    <row r="16" spans="1:19" x14ac:dyDescent="0.3">
      <c r="A16" s="59" t="s">
        <v>982</v>
      </c>
      <c r="B16" s="58" t="s">
        <v>32</v>
      </c>
      <c r="C16" s="100" t="s">
        <v>1825</v>
      </c>
      <c r="D16" s="100" t="s">
        <v>1825</v>
      </c>
      <c r="E16" s="101">
        <v>21.3</v>
      </c>
      <c r="F16" s="58">
        <v>90</v>
      </c>
      <c r="G16" s="103" t="s">
        <v>1826</v>
      </c>
      <c r="H16" s="104">
        <v>18.378317023500291</v>
      </c>
      <c r="I16" s="114" t="s">
        <v>1819</v>
      </c>
      <c r="J16" s="100"/>
      <c r="K16" s="58" t="s">
        <v>1790</v>
      </c>
      <c r="L16" s="132" t="b">
        <v>0</v>
      </c>
      <c r="M16" s="140"/>
    </row>
    <row r="17" spans="1:13" x14ac:dyDescent="0.3">
      <c r="A17" s="61" t="s">
        <v>982</v>
      </c>
      <c r="B17" s="60" t="s">
        <v>32</v>
      </c>
      <c r="C17" s="105" t="s">
        <v>1827</v>
      </c>
      <c r="D17" s="105" t="s">
        <v>1827</v>
      </c>
      <c r="E17" s="106">
        <v>21.3</v>
      </c>
      <c r="F17" s="60">
        <v>90</v>
      </c>
      <c r="G17" s="108" t="s">
        <v>1828</v>
      </c>
      <c r="H17" s="107">
        <v>18.613936472519526</v>
      </c>
      <c r="I17" s="114" t="s">
        <v>1829</v>
      </c>
      <c r="J17" s="105"/>
      <c r="K17" s="60" t="s">
        <v>1790</v>
      </c>
      <c r="L17" s="133" t="b">
        <v>0</v>
      </c>
      <c r="M17" s="141"/>
    </row>
    <row r="18" spans="1:13" x14ac:dyDescent="0.3">
      <c r="A18" s="59" t="s">
        <v>982</v>
      </c>
      <c r="B18" s="58" t="s">
        <v>32</v>
      </c>
      <c r="C18" s="100" t="s">
        <v>1830</v>
      </c>
      <c r="D18" s="100" t="s">
        <v>1830</v>
      </c>
      <c r="E18" s="101">
        <v>21.3</v>
      </c>
      <c r="F18" s="58">
        <v>90</v>
      </c>
      <c r="G18" s="103" t="s">
        <v>1831</v>
      </c>
      <c r="H18" s="104">
        <v>16.728980880365647</v>
      </c>
      <c r="I18" s="114" t="s">
        <v>1832</v>
      </c>
      <c r="J18" s="100"/>
      <c r="K18" s="58" t="s">
        <v>1790</v>
      </c>
      <c r="L18" s="132" t="b">
        <v>0</v>
      </c>
      <c r="M18" s="140"/>
    </row>
    <row r="19" spans="1:13" x14ac:dyDescent="0.3">
      <c r="A19" s="61" t="s">
        <v>982</v>
      </c>
      <c r="B19" s="60" t="s">
        <v>32</v>
      </c>
      <c r="C19" s="105" t="s">
        <v>1833</v>
      </c>
      <c r="D19" s="105" t="s">
        <v>1833</v>
      </c>
      <c r="E19" s="106">
        <v>21.3</v>
      </c>
      <c r="F19" s="60">
        <v>90</v>
      </c>
      <c r="G19" s="108" t="s">
        <v>1834</v>
      </c>
      <c r="H19" s="107">
        <v>16.752542825267572</v>
      </c>
      <c r="I19" s="114" t="s">
        <v>1815</v>
      </c>
      <c r="J19" s="105"/>
      <c r="K19" s="60" t="s">
        <v>1790</v>
      </c>
      <c r="L19" s="133" t="b">
        <v>0</v>
      </c>
      <c r="M19" s="141"/>
    </row>
    <row r="20" spans="1:13" x14ac:dyDescent="0.3">
      <c r="A20" s="67" t="s">
        <v>969</v>
      </c>
      <c r="B20" s="66" t="s">
        <v>41</v>
      </c>
      <c r="C20" s="115" t="s">
        <v>1835</v>
      </c>
      <c r="D20" s="115" t="s">
        <v>1835</v>
      </c>
      <c r="E20" s="116">
        <v>4</v>
      </c>
      <c r="F20" s="66">
        <v>30</v>
      </c>
      <c r="G20" s="117" t="s">
        <v>1836</v>
      </c>
      <c r="H20" s="118">
        <v>8.2466807156732074</v>
      </c>
      <c r="I20" s="116">
        <v>1.5</v>
      </c>
      <c r="J20" s="115"/>
      <c r="K20" s="66"/>
      <c r="L20" s="135" t="b">
        <v>0</v>
      </c>
      <c r="M20" s="143"/>
    </row>
    <row r="21" spans="1:13" x14ac:dyDescent="0.3">
      <c r="A21" s="69" t="s">
        <v>983</v>
      </c>
      <c r="B21" s="68" t="s">
        <v>136</v>
      </c>
      <c r="C21" s="119" t="s">
        <v>1837</v>
      </c>
      <c r="D21" t="s">
        <v>1999</v>
      </c>
      <c r="E21" s="120">
        <v>6.2</v>
      </c>
      <c r="F21" s="68">
        <v>10</v>
      </c>
      <c r="G21" s="121" t="s">
        <v>1838</v>
      </c>
      <c r="H21" s="122">
        <v>14.137166941154069</v>
      </c>
      <c r="I21" s="120">
        <v>1.75</v>
      </c>
      <c r="J21" s="119"/>
      <c r="K21" s="68" t="s">
        <v>483</v>
      </c>
      <c r="L21" s="136" t="b">
        <v>0</v>
      </c>
      <c r="M21" s="144"/>
    </row>
    <row r="22" spans="1:13" x14ac:dyDescent="0.3">
      <c r="A22" s="59" t="s">
        <v>985</v>
      </c>
      <c r="B22" s="58" t="s">
        <v>136</v>
      </c>
      <c r="C22" s="100" t="s">
        <v>1839</v>
      </c>
      <c r="D22" t="s">
        <v>1839</v>
      </c>
      <c r="E22" s="101">
        <v>6</v>
      </c>
      <c r="F22" s="58">
        <v>70</v>
      </c>
      <c r="G22" s="108" t="s">
        <v>1840</v>
      </c>
      <c r="H22" s="104">
        <v>8.2466807156732074</v>
      </c>
      <c r="I22" s="101">
        <v>2</v>
      </c>
      <c r="J22" s="100"/>
      <c r="K22" s="58" t="s">
        <v>1790</v>
      </c>
      <c r="L22" s="133" t="b">
        <v>0</v>
      </c>
      <c r="M22" s="140"/>
    </row>
    <row r="23" spans="1:13" x14ac:dyDescent="0.3">
      <c r="A23" s="61" t="s">
        <v>987</v>
      </c>
      <c r="B23" s="60" t="s">
        <v>988</v>
      </c>
      <c r="C23" s="105" t="s">
        <v>1841</v>
      </c>
      <c r="D23" t="s">
        <v>1841</v>
      </c>
      <c r="E23" s="106">
        <v>4.5</v>
      </c>
      <c r="F23" s="60">
        <v>70</v>
      </c>
      <c r="G23" s="103" t="s">
        <v>1842</v>
      </c>
      <c r="H23" s="107">
        <v>5.8904862254808616</v>
      </c>
      <c r="I23" s="106">
        <v>2</v>
      </c>
      <c r="J23" s="105"/>
      <c r="K23" s="60" t="s">
        <v>1790</v>
      </c>
      <c r="L23" s="132" t="b">
        <v>0</v>
      </c>
      <c r="M23" s="141"/>
    </row>
    <row r="24" spans="1:13" x14ac:dyDescent="0.3">
      <c r="A24" s="59" t="s">
        <v>990</v>
      </c>
      <c r="B24" s="58" t="s">
        <v>991</v>
      </c>
      <c r="C24" s="100" t="s">
        <v>1843</v>
      </c>
      <c r="D24" t="s">
        <v>1843</v>
      </c>
      <c r="E24" s="101">
        <v>14</v>
      </c>
      <c r="F24" s="58">
        <v>75</v>
      </c>
      <c r="G24" s="108" t="s">
        <v>1844</v>
      </c>
      <c r="H24" s="104">
        <v>12.959069696057897</v>
      </c>
      <c r="I24" s="101">
        <v>3</v>
      </c>
      <c r="J24" s="100"/>
      <c r="K24" s="58" t="s">
        <v>1790</v>
      </c>
      <c r="L24" s="133" t="b">
        <v>0</v>
      </c>
      <c r="M24" s="140"/>
    </row>
    <row r="25" spans="1:13" x14ac:dyDescent="0.3">
      <c r="A25" s="61" t="s">
        <v>992</v>
      </c>
      <c r="B25" s="60" t="s">
        <v>993</v>
      </c>
      <c r="C25" s="105" t="s">
        <v>1845</v>
      </c>
      <c r="D25" t="s">
        <v>2000</v>
      </c>
      <c r="E25" s="106">
        <v>5</v>
      </c>
      <c r="F25" s="60">
        <v>40</v>
      </c>
      <c r="G25" s="103" t="s">
        <v>1846</v>
      </c>
      <c r="H25" s="107">
        <v>9.4247779607693793</v>
      </c>
      <c r="I25" s="106">
        <v>2</v>
      </c>
      <c r="J25" s="105"/>
      <c r="K25" s="60" t="s">
        <v>1790</v>
      </c>
      <c r="L25" s="132" t="b">
        <v>0</v>
      </c>
      <c r="M25" s="141"/>
    </row>
    <row r="26" spans="1:13" x14ac:dyDescent="0.3">
      <c r="A26" s="59" t="s">
        <v>995</v>
      </c>
      <c r="B26" s="58" t="s">
        <v>996</v>
      </c>
      <c r="C26" s="100" t="s">
        <v>1847</v>
      </c>
      <c r="D26" t="s">
        <v>2001</v>
      </c>
      <c r="E26" s="101">
        <v>11</v>
      </c>
      <c r="F26" s="58">
        <v>80</v>
      </c>
      <c r="G26" s="103" t="s">
        <v>1848</v>
      </c>
      <c r="H26" s="104">
        <v>11.780972450961723</v>
      </c>
      <c r="I26" s="101">
        <v>1.2</v>
      </c>
      <c r="J26" s="100"/>
      <c r="K26" s="58" t="s">
        <v>1790</v>
      </c>
      <c r="L26" s="132" t="b">
        <v>0</v>
      </c>
      <c r="M26" s="140"/>
    </row>
    <row r="27" spans="1:13" x14ac:dyDescent="0.3">
      <c r="A27" s="61" t="s">
        <v>998</v>
      </c>
      <c r="B27" s="60" t="s">
        <v>32</v>
      </c>
      <c r="C27" s="105">
        <v>30</v>
      </c>
      <c r="D27">
        <v>30</v>
      </c>
      <c r="E27" s="106">
        <v>11.2</v>
      </c>
      <c r="F27" s="60">
        <v>40</v>
      </c>
      <c r="G27" s="108" t="s">
        <v>1849</v>
      </c>
      <c r="H27" s="107">
        <v>8.2466807156732074</v>
      </c>
      <c r="I27" s="106">
        <v>1.2</v>
      </c>
      <c r="J27" s="105"/>
      <c r="K27" s="60" t="s">
        <v>1790</v>
      </c>
      <c r="L27" s="133" t="b">
        <v>0</v>
      </c>
      <c r="M27" s="141"/>
    </row>
    <row r="28" spans="1:13" x14ac:dyDescent="0.3">
      <c r="A28" s="59" t="s">
        <v>998</v>
      </c>
      <c r="B28" s="58" t="s">
        <v>32</v>
      </c>
      <c r="C28" s="100">
        <v>45</v>
      </c>
      <c r="D28">
        <v>45</v>
      </c>
      <c r="E28" s="101">
        <v>14.6</v>
      </c>
      <c r="F28" s="58">
        <v>45</v>
      </c>
      <c r="G28" s="103" t="s">
        <v>1850</v>
      </c>
      <c r="H28" s="104">
        <v>10.602875205865551</v>
      </c>
      <c r="I28" s="101">
        <v>1.2</v>
      </c>
      <c r="J28" s="100"/>
      <c r="K28" s="58" t="s">
        <v>1790</v>
      </c>
      <c r="L28" s="132" t="b">
        <v>0</v>
      </c>
      <c r="M28" s="140"/>
    </row>
    <row r="29" spans="1:13" x14ac:dyDescent="0.3">
      <c r="A29" s="61" t="s">
        <v>983</v>
      </c>
      <c r="B29" s="60" t="s">
        <v>136</v>
      </c>
      <c r="C29" s="105" t="s">
        <v>1851</v>
      </c>
      <c r="D29" t="s">
        <v>2002</v>
      </c>
      <c r="E29" s="106">
        <v>3.6</v>
      </c>
      <c r="F29" s="60">
        <v>40</v>
      </c>
      <c r="G29" s="108" t="s">
        <v>1852</v>
      </c>
      <c r="H29" s="107">
        <v>4.7123889803846897</v>
      </c>
      <c r="I29" s="106">
        <v>1.5</v>
      </c>
      <c r="J29" s="105"/>
      <c r="K29" s="60" t="s">
        <v>1790</v>
      </c>
      <c r="L29" s="133" t="b">
        <v>0</v>
      </c>
      <c r="M29" s="141"/>
    </row>
    <row r="30" spans="1:13" x14ac:dyDescent="0.3">
      <c r="A30" s="59" t="s">
        <v>1000</v>
      </c>
      <c r="B30" s="58" t="s">
        <v>988</v>
      </c>
      <c r="C30" s="100">
        <v>15</v>
      </c>
      <c r="D30">
        <v>15</v>
      </c>
      <c r="E30" s="101">
        <v>3.6</v>
      </c>
      <c r="F30" s="58">
        <v>75</v>
      </c>
      <c r="G30" s="103" t="s">
        <v>1853</v>
      </c>
      <c r="H30" s="104">
        <v>7.0685834705770345</v>
      </c>
      <c r="I30" s="101">
        <v>1.3</v>
      </c>
      <c r="J30" s="100"/>
      <c r="K30" s="58" t="s">
        <v>1790</v>
      </c>
      <c r="L30" s="132" t="b">
        <v>1</v>
      </c>
      <c r="M30" s="140"/>
    </row>
    <row r="31" spans="1:13" x14ac:dyDescent="0.3">
      <c r="A31" s="61" t="s">
        <v>1002</v>
      </c>
      <c r="B31" s="60" t="s">
        <v>993</v>
      </c>
      <c r="C31" s="105" t="s">
        <v>1854</v>
      </c>
      <c r="D31">
        <v>15</v>
      </c>
      <c r="E31" s="106">
        <v>8</v>
      </c>
      <c r="F31" s="60">
        <v>70</v>
      </c>
      <c r="G31" s="108" t="s">
        <v>1855</v>
      </c>
      <c r="H31" s="107">
        <v>8.2466807156732074</v>
      </c>
      <c r="I31" s="106">
        <v>4</v>
      </c>
      <c r="J31" s="105"/>
      <c r="K31" s="60"/>
      <c r="L31" s="133" t="b">
        <v>0</v>
      </c>
      <c r="M31" s="141"/>
    </row>
    <row r="32" spans="1:13" x14ac:dyDescent="0.3">
      <c r="A32" s="59" t="s">
        <v>982</v>
      </c>
      <c r="B32" s="58" t="s">
        <v>32</v>
      </c>
      <c r="C32" s="100" t="s">
        <v>1835</v>
      </c>
      <c r="D32">
        <v>17</v>
      </c>
      <c r="E32" s="101">
        <v>8</v>
      </c>
      <c r="F32" s="58">
        <v>50</v>
      </c>
      <c r="G32" s="123" t="s">
        <v>1856</v>
      </c>
      <c r="H32" s="104">
        <v>7.0685834705770345</v>
      </c>
      <c r="I32" s="101">
        <v>2</v>
      </c>
      <c r="J32" s="100"/>
      <c r="K32" s="58"/>
      <c r="L32" s="132" t="b">
        <v>0</v>
      </c>
      <c r="M32" s="140"/>
    </row>
    <row r="33" spans="1:13" x14ac:dyDescent="0.3">
      <c r="A33" s="61" t="s">
        <v>1003</v>
      </c>
      <c r="B33" s="60" t="s">
        <v>41</v>
      </c>
      <c r="C33" s="105" t="s">
        <v>1857</v>
      </c>
      <c r="D33" t="s">
        <v>2003</v>
      </c>
      <c r="E33" s="106">
        <v>7</v>
      </c>
      <c r="F33" s="124">
        <v>60</v>
      </c>
      <c r="G33" s="108" t="s">
        <v>1858</v>
      </c>
      <c r="H33" s="107">
        <v>4.7123889803846897</v>
      </c>
      <c r="I33" s="106">
        <v>2</v>
      </c>
      <c r="J33" s="105"/>
      <c r="K33" s="60"/>
      <c r="L33" s="133" t="b">
        <v>0</v>
      </c>
      <c r="M33" s="141"/>
    </row>
    <row r="34" spans="1:13" x14ac:dyDescent="0.3">
      <c r="A34" s="59" t="s">
        <v>969</v>
      </c>
      <c r="B34" s="58" t="s">
        <v>41</v>
      </c>
      <c r="C34" s="100" t="s">
        <v>1859</v>
      </c>
      <c r="D34" t="s">
        <v>2004</v>
      </c>
      <c r="E34" s="101">
        <v>8</v>
      </c>
      <c r="F34" s="58">
        <v>65</v>
      </c>
      <c r="G34" s="103" t="s">
        <v>1860</v>
      </c>
      <c r="H34" s="104">
        <v>14.137166941154069</v>
      </c>
      <c r="I34" s="101">
        <v>0.2</v>
      </c>
      <c r="J34" s="100" t="s">
        <v>1802</v>
      </c>
      <c r="K34" s="58" t="s">
        <v>483</v>
      </c>
      <c r="L34" s="132" t="b">
        <v>0</v>
      </c>
      <c r="M34" s="140"/>
    </row>
    <row r="35" spans="1:13" x14ac:dyDescent="0.3">
      <c r="A35" s="61" t="s">
        <v>1004</v>
      </c>
      <c r="B35" s="60" t="s">
        <v>41</v>
      </c>
      <c r="C35" s="105" t="s">
        <v>1861</v>
      </c>
      <c r="D35">
        <v>80</v>
      </c>
      <c r="E35" s="106">
        <v>16</v>
      </c>
      <c r="F35" s="60">
        <v>50</v>
      </c>
      <c r="G35" s="108" t="s">
        <v>1862</v>
      </c>
      <c r="H35" s="107">
        <v>26.624997739173498</v>
      </c>
      <c r="I35" s="106">
        <v>2.1</v>
      </c>
      <c r="J35" s="105" t="s">
        <v>1863</v>
      </c>
      <c r="K35" s="60" t="s">
        <v>1790</v>
      </c>
      <c r="L35" s="133" t="b">
        <v>0</v>
      </c>
      <c r="M35" s="141"/>
    </row>
    <row r="36" spans="1:13" x14ac:dyDescent="0.3">
      <c r="A36" s="59" t="s">
        <v>1006</v>
      </c>
      <c r="B36" s="58" t="s">
        <v>41</v>
      </c>
      <c r="C36" s="100" t="s">
        <v>1864</v>
      </c>
      <c r="D36" t="s">
        <v>2005</v>
      </c>
      <c r="E36" s="101">
        <v>14.5</v>
      </c>
      <c r="F36" s="58">
        <v>65</v>
      </c>
      <c r="G36" s="103" t="s">
        <v>1865</v>
      </c>
      <c r="H36" s="104">
        <v>14.844025288211773</v>
      </c>
      <c r="I36" s="101">
        <v>2.5</v>
      </c>
      <c r="J36" s="100"/>
      <c r="K36" s="58" t="s">
        <v>1790</v>
      </c>
      <c r="L36" s="132" t="b">
        <v>1</v>
      </c>
      <c r="M36" s="140"/>
    </row>
    <row r="37" spans="1:13" x14ac:dyDescent="0.3">
      <c r="A37" s="61" t="s">
        <v>858</v>
      </c>
      <c r="B37" s="60" t="s">
        <v>32</v>
      </c>
      <c r="C37" s="105" t="s">
        <v>1866</v>
      </c>
      <c r="D37">
        <v>12</v>
      </c>
      <c r="E37" s="106">
        <v>1.5</v>
      </c>
      <c r="F37" s="60">
        <v>95</v>
      </c>
      <c r="G37" s="108" t="s">
        <v>1867</v>
      </c>
      <c r="H37" s="107">
        <v>2.3561944901923448</v>
      </c>
      <c r="I37" s="106">
        <v>0.4</v>
      </c>
      <c r="J37" s="105"/>
      <c r="K37" s="60" t="s">
        <v>1790</v>
      </c>
      <c r="L37" s="133" t="b">
        <v>0</v>
      </c>
      <c r="M37" s="141"/>
    </row>
    <row r="38" spans="1:13" x14ac:dyDescent="0.3">
      <c r="A38" s="59" t="s">
        <v>1009</v>
      </c>
      <c r="B38" s="58" t="s">
        <v>1010</v>
      </c>
      <c r="C38" s="100" t="s">
        <v>1868</v>
      </c>
      <c r="D38">
        <v>100</v>
      </c>
      <c r="E38" s="101">
        <v>18.8</v>
      </c>
      <c r="F38" s="58">
        <v>60</v>
      </c>
      <c r="G38" s="103" t="s">
        <v>1869</v>
      </c>
      <c r="H38" s="104">
        <v>31.337386719558189</v>
      </c>
      <c r="I38" s="101">
        <v>1.8</v>
      </c>
      <c r="J38" s="100" t="s">
        <v>1802</v>
      </c>
      <c r="K38" s="58" t="s">
        <v>1790</v>
      </c>
      <c r="L38" s="132" t="b">
        <v>0</v>
      </c>
      <c r="M38" s="140"/>
    </row>
    <row r="39" spans="1:13" x14ac:dyDescent="0.3">
      <c r="A39" s="61" t="s">
        <v>1009</v>
      </c>
      <c r="B39" s="60" t="s">
        <v>1010</v>
      </c>
      <c r="C39" s="105" t="s">
        <v>1870</v>
      </c>
      <c r="D39">
        <v>85</v>
      </c>
      <c r="E39" s="106">
        <v>72.2</v>
      </c>
      <c r="F39" s="60">
        <v>50</v>
      </c>
      <c r="G39" s="108" t="s">
        <v>1871</v>
      </c>
      <c r="H39" s="107">
        <v>14.137166941154069</v>
      </c>
      <c r="I39" s="106">
        <v>1.5</v>
      </c>
      <c r="J39" s="105" t="s">
        <v>1863</v>
      </c>
      <c r="K39" s="60" t="s">
        <v>1790</v>
      </c>
      <c r="L39" s="133" t="b">
        <v>0</v>
      </c>
      <c r="M39" s="141"/>
    </row>
    <row r="40" spans="1:13" x14ac:dyDescent="0.3">
      <c r="A40" s="59" t="s">
        <v>966</v>
      </c>
      <c r="B40" s="58" t="s">
        <v>967</v>
      </c>
      <c r="C40" s="100" t="s">
        <v>1854</v>
      </c>
      <c r="D40">
        <v>15</v>
      </c>
      <c r="E40" s="101">
        <v>3.5</v>
      </c>
      <c r="F40" s="58">
        <v>30</v>
      </c>
      <c r="G40" s="103" t="s">
        <v>1872</v>
      </c>
      <c r="H40" s="104">
        <v>5.8904862254808616</v>
      </c>
      <c r="I40" s="101">
        <v>1.8</v>
      </c>
      <c r="J40" s="100"/>
      <c r="K40" s="58" t="s">
        <v>483</v>
      </c>
      <c r="L40" s="132" t="b">
        <v>0</v>
      </c>
      <c r="M40" s="140"/>
    </row>
    <row r="41" spans="1:13" x14ac:dyDescent="0.3">
      <c r="A41" s="61" t="s">
        <v>978</v>
      </c>
      <c r="B41" s="60" t="s">
        <v>41</v>
      </c>
      <c r="C41" s="105" t="s">
        <v>1866</v>
      </c>
      <c r="D41">
        <v>12</v>
      </c>
      <c r="E41" s="106">
        <v>2.1</v>
      </c>
      <c r="F41" s="60">
        <v>65</v>
      </c>
      <c r="G41" s="108" t="s">
        <v>1873</v>
      </c>
      <c r="H41" s="107">
        <v>10.602875205865551</v>
      </c>
      <c r="I41" s="106">
        <v>0.6</v>
      </c>
      <c r="J41" s="105"/>
      <c r="K41" s="60" t="s">
        <v>483</v>
      </c>
      <c r="L41" s="133" t="b">
        <v>0</v>
      </c>
      <c r="M41" s="141"/>
    </row>
    <row r="42" spans="1:13" x14ac:dyDescent="0.3">
      <c r="A42" s="59" t="s">
        <v>966</v>
      </c>
      <c r="B42" s="58" t="s">
        <v>967</v>
      </c>
      <c r="C42" s="100" t="s">
        <v>1794</v>
      </c>
      <c r="D42">
        <v>6</v>
      </c>
      <c r="E42" s="101">
        <v>0.9</v>
      </c>
      <c r="F42" s="58">
        <v>15</v>
      </c>
      <c r="G42" s="103" t="s">
        <v>1874</v>
      </c>
      <c r="H42" s="104">
        <v>0.94247779607693793</v>
      </c>
      <c r="I42" s="101">
        <v>0.5</v>
      </c>
      <c r="J42" s="100"/>
      <c r="K42" s="58"/>
      <c r="L42" s="132" t="b">
        <v>0</v>
      </c>
      <c r="M42" s="140"/>
    </row>
    <row r="43" spans="1:13" x14ac:dyDescent="0.3">
      <c r="A43" s="61" t="s">
        <v>1011</v>
      </c>
      <c r="B43" s="60" t="s">
        <v>131</v>
      </c>
      <c r="C43" s="105" t="s">
        <v>67</v>
      </c>
      <c r="D43">
        <v>7</v>
      </c>
      <c r="E43" s="106">
        <v>0.9</v>
      </c>
      <c r="F43" s="60">
        <v>55</v>
      </c>
      <c r="G43" s="108" t="s">
        <v>1875</v>
      </c>
      <c r="H43" s="107">
        <v>4.2411500823462207</v>
      </c>
      <c r="I43" s="106">
        <v>0.4</v>
      </c>
      <c r="J43" s="105"/>
      <c r="K43" s="60"/>
      <c r="L43" s="133" t="b">
        <v>1</v>
      </c>
      <c r="M43" s="141"/>
    </row>
    <row r="44" spans="1:13" x14ac:dyDescent="0.3">
      <c r="A44" s="59" t="s">
        <v>1013</v>
      </c>
      <c r="B44" s="58" t="s">
        <v>38</v>
      </c>
      <c r="C44" s="100" t="s">
        <v>1794</v>
      </c>
      <c r="D44">
        <v>6</v>
      </c>
      <c r="E44" s="101">
        <v>2</v>
      </c>
      <c r="F44" s="58">
        <v>70</v>
      </c>
      <c r="G44" s="103" t="s">
        <v>1876</v>
      </c>
      <c r="H44" s="104">
        <v>6.1261056745000966</v>
      </c>
      <c r="I44" s="101">
        <v>0</v>
      </c>
      <c r="J44" s="100"/>
      <c r="K44" s="58"/>
      <c r="L44" s="132" t="b">
        <v>1</v>
      </c>
      <c r="M44" s="140"/>
    </row>
    <row r="45" spans="1:13" x14ac:dyDescent="0.3">
      <c r="A45" s="61" t="s">
        <v>1015</v>
      </c>
      <c r="B45" s="60" t="s">
        <v>1016</v>
      </c>
      <c r="C45" s="105" t="s">
        <v>1877</v>
      </c>
      <c r="D45">
        <v>11</v>
      </c>
      <c r="E45" s="106">
        <v>5</v>
      </c>
      <c r="F45" s="60">
        <v>75</v>
      </c>
      <c r="G45" s="108" t="s">
        <v>1878</v>
      </c>
      <c r="H45" s="107">
        <v>6.3617251235193315</v>
      </c>
      <c r="I45" s="106">
        <v>0.2</v>
      </c>
      <c r="J45" s="105"/>
      <c r="K45" s="60"/>
      <c r="L45" s="133" t="b">
        <v>1</v>
      </c>
      <c r="M45" s="141"/>
    </row>
    <row r="46" spans="1:13" x14ac:dyDescent="0.3">
      <c r="A46" s="59" t="s">
        <v>1004</v>
      </c>
      <c r="B46" s="58" t="s">
        <v>41</v>
      </c>
      <c r="C46" s="125" t="s">
        <v>419</v>
      </c>
      <c r="D46">
        <v>4</v>
      </c>
      <c r="E46" s="101">
        <v>1.8</v>
      </c>
      <c r="F46" s="58">
        <v>50</v>
      </c>
      <c r="G46" s="126" t="s">
        <v>1879</v>
      </c>
      <c r="H46" s="127">
        <v>3.5342917352885173</v>
      </c>
      <c r="I46" s="101">
        <v>0.6</v>
      </c>
      <c r="J46" s="100"/>
      <c r="K46" s="58" t="s">
        <v>483</v>
      </c>
      <c r="L46" s="128" t="b">
        <v>0</v>
      </c>
      <c r="M46" s="140"/>
    </row>
    <row r="47" spans="1:13" x14ac:dyDescent="0.3">
      <c r="A47" s="63" t="s">
        <v>978</v>
      </c>
      <c r="B47" s="60" t="s">
        <v>41</v>
      </c>
      <c r="C47" s="105" t="s">
        <v>67</v>
      </c>
      <c r="D47">
        <v>7</v>
      </c>
      <c r="E47" s="106">
        <v>4</v>
      </c>
      <c r="F47" s="60">
        <v>55</v>
      </c>
      <c r="G47" s="108" t="s">
        <v>1880</v>
      </c>
      <c r="H47" s="107">
        <v>6.3617251235193315</v>
      </c>
      <c r="I47" s="106">
        <v>0.6</v>
      </c>
      <c r="J47" s="105"/>
      <c r="K47" s="60" t="s">
        <v>483</v>
      </c>
      <c r="L47" s="133" t="b">
        <v>0</v>
      </c>
      <c r="M47" s="141"/>
    </row>
    <row r="48" spans="1:13" x14ac:dyDescent="0.3">
      <c r="A48" s="59" t="s">
        <v>983</v>
      </c>
      <c r="B48" s="58" t="s">
        <v>136</v>
      </c>
      <c r="C48" s="100" t="s">
        <v>1881</v>
      </c>
      <c r="D48" t="s">
        <v>2006</v>
      </c>
      <c r="E48" s="101">
        <v>7</v>
      </c>
      <c r="F48" s="58">
        <v>90</v>
      </c>
      <c r="G48" s="100" t="s">
        <v>1882</v>
      </c>
      <c r="H48" s="104">
        <v>14.137166941154069</v>
      </c>
      <c r="I48" s="101">
        <v>1</v>
      </c>
      <c r="J48" s="100"/>
      <c r="K48" s="58" t="s">
        <v>1790</v>
      </c>
      <c r="L48" s="137" t="b">
        <v>0</v>
      </c>
      <c r="M48" s="140"/>
    </row>
    <row r="49" spans="1:13" x14ac:dyDescent="0.3">
      <c r="A49" s="61" t="s">
        <v>1018</v>
      </c>
      <c r="B49" s="60" t="s">
        <v>1010</v>
      </c>
      <c r="C49" s="105" t="s">
        <v>1883</v>
      </c>
      <c r="D49" t="s">
        <v>1883</v>
      </c>
      <c r="E49" s="106">
        <v>9</v>
      </c>
      <c r="F49" s="60">
        <v>70</v>
      </c>
      <c r="G49" s="105" t="s">
        <v>1884</v>
      </c>
      <c r="H49" s="107">
        <v>11.780972450961723</v>
      </c>
      <c r="I49" s="106">
        <v>3</v>
      </c>
      <c r="J49" s="105"/>
      <c r="K49" s="60" t="s">
        <v>1790</v>
      </c>
      <c r="L49" s="138" t="b">
        <v>0</v>
      </c>
      <c r="M49" s="141"/>
    </row>
    <row r="50" spans="1:13" x14ac:dyDescent="0.3">
      <c r="A50" s="59" t="s">
        <v>1020</v>
      </c>
      <c r="B50" s="58" t="s">
        <v>1010</v>
      </c>
      <c r="C50" s="100" t="s">
        <v>1885</v>
      </c>
      <c r="D50" t="s">
        <v>2007</v>
      </c>
      <c r="E50" s="101">
        <v>3.5</v>
      </c>
      <c r="F50" s="58">
        <v>40</v>
      </c>
      <c r="G50" s="100" t="s">
        <v>1886</v>
      </c>
      <c r="H50" s="104">
        <v>4.7123889803846897</v>
      </c>
      <c r="I50" s="101">
        <v>40</v>
      </c>
      <c r="J50" s="100"/>
      <c r="K50" s="58" t="s">
        <v>1790</v>
      </c>
      <c r="L50" s="137" t="b">
        <v>0</v>
      </c>
      <c r="M50" s="140"/>
    </row>
    <row r="51" spans="1:13" x14ac:dyDescent="0.3">
      <c r="A51" s="61" t="s">
        <v>982</v>
      </c>
      <c r="B51" s="60" t="s">
        <v>32</v>
      </c>
      <c r="C51" s="105" t="s">
        <v>1887</v>
      </c>
      <c r="D51" t="s">
        <v>1887</v>
      </c>
      <c r="E51" s="106">
        <v>12</v>
      </c>
      <c r="F51" s="60">
        <v>70</v>
      </c>
      <c r="G51" s="108" t="s">
        <v>1888</v>
      </c>
      <c r="H51" s="107">
        <v>9.4247779607693793</v>
      </c>
      <c r="I51" s="106">
        <v>1.7</v>
      </c>
      <c r="J51" s="105" t="s">
        <v>1802</v>
      </c>
      <c r="K51" s="60" t="s">
        <v>1790</v>
      </c>
      <c r="L51" s="133" t="b">
        <v>0</v>
      </c>
      <c r="M51" s="141"/>
    </row>
    <row r="52" spans="1:13" x14ac:dyDescent="0.3">
      <c r="A52" s="59" t="s">
        <v>982</v>
      </c>
      <c r="B52" s="58" t="s">
        <v>32</v>
      </c>
      <c r="C52" s="100" t="s">
        <v>1889</v>
      </c>
      <c r="D52">
        <v>73</v>
      </c>
      <c r="E52" s="101">
        <v>12</v>
      </c>
      <c r="F52" s="58">
        <v>60</v>
      </c>
      <c r="G52" s="103" t="s">
        <v>1890</v>
      </c>
      <c r="H52" s="104">
        <v>11.780972450961723</v>
      </c>
      <c r="I52" s="101">
        <v>1</v>
      </c>
      <c r="J52" s="100" t="s">
        <v>1802</v>
      </c>
      <c r="K52" s="58" t="s">
        <v>1790</v>
      </c>
      <c r="L52" s="132" t="b">
        <v>0</v>
      </c>
      <c r="M52" s="140"/>
    </row>
    <row r="53" spans="1:13" x14ac:dyDescent="0.3">
      <c r="A53" s="61" t="s">
        <v>1004</v>
      </c>
      <c r="B53" s="60" t="s">
        <v>41</v>
      </c>
      <c r="C53" s="105" t="s">
        <v>1891</v>
      </c>
      <c r="D53" t="s">
        <v>2008</v>
      </c>
      <c r="E53" s="106">
        <v>7</v>
      </c>
      <c r="F53" s="60">
        <v>80</v>
      </c>
      <c r="G53" s="108" t="s">
        <v>1892</v>
      </c>
      <c r="H53" s="107">
        <v>16.493361431346415</v>
      </c>
      <c r="I53" s="106">
        <v>1.5</v>
      </c>
      <c r="J53" s="105"/>
      <c r="K53" s="60" t="s">
        <v>1790</v>
      </c>
      <c r="L53" s="133" t="b">
        <v>0</v>
      </c>
      <c r="M53" s="141"/>
    </row>
    <row r="54" spans="1:13" x14ac:dyDescent="0.3">
      <c r="A54" s="59" t="s">
        <v>982</v>
      </c>
      <c r="B54" s="58" t="s">
        <v>32</v>
      </c>
      <c r="C54" s="100" t="s">
        <v>1893</v>
      </c>
      <c r="D54">
        <v>58</v>
      </c>
      <c r="E54" s="101">
        <v>10</v>
      </c>
      <c r="F54" s="58">
        <v>50</v>
      </c>
      <c r="G54" s="103" t="s">
        <v>1884</v>
      </c>
      <c r="H54" s="104">
        <v>11.780972450961723</v>
      </c>
      <c r="I54" s="101">
        <v>1.5</v>
      </c>
      <c r="J54" s="100"/>
      <c r="K54" s="58"/>
      <c r="L54" s="132" t="b">
        <v>0</v>
      </c>
      <c r="M54" s="140"/>
    </row>
    <row r="55" spans="1:13" x14ac:dyDescent="0.3">
      <c r="A55" s="61" t="s">
        <v>982</v>
      </c>
      <c r="B55" s="60" t="s">
        <v>32</v>
      </c>
      <c r="C55" s="105" t="s">
        <v>1894</v>
      </c>
      <c r="D55" t="s">
        <v>2009</v>
      </c>
      <c r="E55" s="106">
        <v>10</v>
      </c>
      <c r="F55" s="60">
        <v>30</v>
      </c>
      <c r="G55" s="108" t="s">
        <v>1895</v>
      </c>
      <c r="H55" s="107">
        <v>4.7123889803846897</v>
      </c>
      <c r="I55" s="106">
        <v>2</v>
      </c>
      <c r="J55" s="105"/>
      <c r="K55" s="60" t="s">
        <v>1790</v>
      </c>
      <c r="L55" s="133" t="b">
        <v>0</v>
      </c>
      <c r="M55" s="141"/>
    </row>
    <row r="56" spans="1:13" x14ac:dyDescent="0.3">
      <c r="A56" s="67" t="s">
        <v>1022</v>
      </c>
      <c r="B56" s="66" t="s">
        <v>1023</v>
      </c>
      <c r="C56" s="115" t="s">
        <v>1896</v>
      </c>
      <c r="D56">
        <v>21</v>
      </c>
      <c r="E56" s="116">
        <v>7.2</v>
      </c>
      <c r="F56" s="66">
        <v>70</v>
      </c>
      <c r="G56" s="121" t="s">
        <v>1897</v>
      </c>
      <c r="H56" s="118">
        <v>12.487830798019427</v>
      </c>
      <c r="I56" s="116">
        <v>1</v>
      </c>
      <c r="J56" s="115"/>
      <c r="K56" s="66" t="s">
        <v>1790</v>
      </c>
      <c r="L56" s="136" t="b">
        <v>0</v>
      </c>
      <c r="M56" s="143"/>
    </row>
    <row r="57" spans="1:13" x14ac:dyDescent="0.3">
      <c r="A57" s="69" t="s">
        <v>998</v>
      </c>
      <c r="B57" s="68" t="s">
        <v>32</v>
      </c>
      <c r="C57" s="119" t="s">
        <v>1898</v>
      </c>
      <c r="D57" t="s">
        <v>2010</v>
      </c>
      <c r="E57" s="120">
        <v>11</v>
      </c>
      <c r="F57" s="68">
        <v>80</v>
      </c>
      <c r="G57" s="121" t="s">
        <v>1899</v>
      </c>
      <c r="H57" s="122">
        <v>15.786503084288711</v>
      </c>
      <c r="I57" s="120">
        <v>1.6</v>
      </c>
      <c r="J57" s="119"/>
      <c r="K57" s="68"/>
      <c r="L57" s="136" t="b">
        <v>0</v>
      </c>
      <c r="M57" s="144"/>
    </row>
    <row r="58" spans="1:13" x14ac:dyDescent="0.3">
      <c r="A58" s="67" t="s">
        <v>1018</v>
      </c>
      <c r="B58" s="66" t="s">
        <v>1010</v>
      </c>
      <c r="C58" s="115" t="s">
        <v>1900</v>
      </c>
      <c r="D58">
        <v>108</v>
      </c>
      <c r="E58" s="116">
        <v>27.1</v>
      </c>
      <c r="F58" s="66">
        <v>75</v>
      </c>
      <c r="G58" s="121" t="s">
        <v>1901</v>
      </c>
      <c r="H58" s="118">
        <v>37.699111843077517</v>
      </c>
      <c r="I58" s="116">
        <v>1.7</v>
      </c>
      <c r="J58" s="115"/>
      <c r="K58" s="66" t="s">
        <v>1790</v>
      </c>
      <c r="L58" s="136" t="b">
        <v>0</v>
      </c>
      <c r="M58" s="143" t="s">
        <v>1902</v>
      </c>
    </row>
    <row r="59" spans="1:13" x14ac:dyDescent="0.3">
      <c r="A59" s="69" t="s">
        <v>1025</v>
      </c>
      <c r="B59" s="68" t="s">
        <v>41</v>
      </c>
      <c r="C59" s="119" t="s">
        <v>1903</v>
      </c>
      <c r="D59" t="s">
        <v>2011</v>
      </c>
      <c r="E59" s="120">
        <v>7.2</v>
      </c>
      <c r="F59" s="68">
        <v>80</v>
      </c>
      <c r="G59" s="117" t="s">
        <v>1904</v>
      </c>
      <c r="H59" s="122">
        <v>16.964600329384883</v>
      </c>
      <c r="I59" s="120">
        <v>1</v>
      </c>
      <c r="J59" s="119"/>
      <c r="K59" s="68" t="s">
        <v>1790</v>
      </c>
      <c r="L59" s="135" t="b">
        <v>0</v>
      </c>
      <c r="M59" s="144"/>
    </row>
    <row r="60" spans="1:13" x14ac:dyDescent="0.3">
      <c r="A60" s="70" t="s">
        <v>1025</v>
      </c>
      <c r="B60" s="66" t="s">
        <v>41</v>
      </c>
      <c r="C60" s="115" t="s">
        <v>1905</v>
      </c>
      <c r="D60" t="s">
        <v>2012</v>
      </c>
      <c r="E60" s="116">
        <v>17.600000000000001</v>
      </c>
      <c r="F60" s="66">
        <v>95</v>
      </c>
      <c r="G60" s="121" t="s">
        <v>1906</v>
      </c>
      <c r="H60" s="118">
        <v>14.137166941154069</v>
      </c>
      <c r="I60" s="116">
        <v>2</v>
      </c>
      <c r="J60" s="115"/>
      <c r="K60" s="66" t="s">
        <v>1790</v>
      </c>
      <c r="L60" s="136" t="b">
        <v>0</v>
      </c>
      <c r="M60" s="143"/>
    </row>
    <row r="61" spans="1:13" x14ac:dyDescent="0.3">
      <c r="A61" s="69" t="s">
        <v>1027</v>
      </c>
      <c r="B61" s="68" t="s">
        <v>32</v>
      </c>
      <c r="C61" s="119" t="s">
        <v>1907</v>
      </c>
      <c r="D61">
        <v>38</v>
      </c>
      <c r="E61" s="120">
        <v>17.600000000000001</v>
      </c>
      <c r="F61" s="68">
        <v>95</v>
      </c>
      <c r="G61" s="117" t="s">
        <v>1908</v>
      </c>
      <c r="H61" s="122">
        <v>7.3042029195962694</v>
      </c>
      <c r="I61" s="120">
        <v>2</v>
      </c>
      <c r="J61" s="119"/>
      <c r="K61" s="68" t="s">
        <v>1790</v>
      </c>
      <c r="L61" s="135" t="b">
        <v>0</v>
      </c>
      <c r="M61" s="144"/>
    </row>
    <row r="62" spans="1:13" x14ac:dyDescent="0.3">
      <c r="A62" s="67" t="s">
        <v>1028</v>
      </c>
      <c r="B62" s="66" t="s">
        <v>1029</v>
      </c>
      <c r="C62" s="115" t="s">
        <v>1909</v>
      </c>
      <c r="D62" t="s">
        <v>2013</v>
      </c>
      <c r="E62" s="116">
        <v>4.5999999999999996</v>
      </c>
      <c r="F62" s="66">
        <v>40</v>
      </c>
      <c r="G62" s="117" t="s">
        <v>1910</v>
      </c>
      <c r="H62" s="118">
        <v>9.4247779607693793</v>
      </c>
      <c r="I62" s="116">
        <v>1</v>
      </c>
      <c r="J62" s="115"/>
      <c r="K62" s="66"/>
      <c r="L62" s="135" t="b">
        <v>0</v>
      </c>
      <c r="M62" s="143"/>
    </row>
    <row r="63" spans="1:13" x14ac:dyDescent="0.3">
      <c r="A63" s="69" t="s">
        <v>1006</v>
      </c>
      <c r="B63" s="68" t="s">
        <v>41</v>
      </c>
      <c r="C63" s="119" t="s">
        <v>1911</v>
      </c>
      <c r="D63" t="s">
        <v>2014</v>
      </c>
      <c r="E63" s="120">
        <v>12.6</v>
      </c>
      <c r="F63" s="68">
        <v>50</v>
      </c>
      <c r="G63" s="117" t="s">
        <v>1912</v>
      </c>
      <c r="H63" s="122">
        <v>10.602875205865551</v>
      </c>
      <c r="I63" s="120">
        <v>3</v>
      </c>
      <c r="J63" s="119"/>
      <c r="K63" s="68" t="s">
        <v>1790</v>
      </c>
      <c r="L63" s="135" t="b">
        <v>1</v>
      </c>
      <c r="M63" s="144"/>
    </row>
    <row r="64" spans="1:13" x14ac:dyDescent="0.3">
      <c r="A64" s="67" t="s">
        <v>1027</v>
      </c>
      <c r="B64" s="66" t="s">
        <v>32</v>
      </c>
      <c r="C64" s="115" t="s">
        <v>1913</v>
      </c>
      <c r="D64" t="s">
        <v>1913</v>
      </c>
      <c r="E64" s="116">
        <v>18.8</v>
      </c>
      <c r="F64" s="66">
        <v>30</v>
      </c>
      <c r="G64" s="121" t="s">
        <v>1914</v>
      </c>
      <c r="H64" s="118">
        <v>9.4247779607693793</v>
      </c>
      <c r="I64" s="116">
        <v>3</v>
      </c>
      <c r="J64" s="115" t="s">
        <v>1802</v>
      </c>
      <c r="K64" s="66" t="s">
        <v>1790</v>
      </c>
      <c r="L64" s="136" t="b">
        <v>0</v>
      </c>
      <c r="M64" s="143"/>
    </row>
    <row r="65" spans="1:13" x14ac:dyDescent="0.3">
      <c r="A65" s="69" t="s">
        <v>1027</v>
      </c>
      <c r="B65" s="68" t="s">
        <v>32</v>
      </c>
      <c r="C65" s="119" t="s">
        <v>1915</v>
      </c>
      <c r="D65" t="s">
        <v>1915</v>
      </c>
      <c r="E65" s="120">
        <v>18.600000000000001</v>
      </c>
      <c r="F65" s="68">
        <v>60</v>
      </c>
      <c r="G65" s="117" t="s">
        <v>1884</v>
      </c>
      <c r="H65" s="122">
        <v>11.780972450961723</v>
      </c>
      <c r="I65" s="120">
        <v>1</v>
      </c>
      <c r="J65" s="119"/>
      <c r="K65" s="68" t="s">
        <v>1790</v>
      </c>
      <c r="L65" s="135" t="b">
        <v>0</v>
      </c>
      <c r="M65" s="144"/>
    </row>
    <row r="66" spans="1:13" x14ac:dyDescent="0.3">
      <c r="A66" s="67" t="s">
        <v>969</v>
      </c>
      <c r="B66" s="66" t="s">
        <v>41</v>
      </c>
      <c r="C66" s="115" t="s">
        <v>1916</v>
      </c>
      <c r="D66" t="s">
        <v>1916</v>
      </c>
      <c r="E66" s="116">
        <v>8.1999999999999993</v>
      </c>
      <c r="F66" s="66">
        <v>70</v>
      </c>
      <c r="G66" s="121" t="s">
        <v>1917</v>
      </c>
      <c r="H66" s="118">
        <v>11.780972450961723</v>
      </c>
      <c r="I66" s="116">
        <v>2</v>
      </c>
      <c r="J66" s="115"/>
      <c r="K66" s="66" t="s">
        <v>1790</v>
      </c>
      <c r="L66" s="136" t="b">
        <v>0</v>
      </c>
      <c r="M66" s="143"/>
    </row>
    <row r="67" spans="1:13" x14ac:dyDescent="0.3">
      <c r="A67" s="69" t="s">
        <v>1018</v>
      </c>
      <c r="B67" s="68" t="s">
        <v>1010</v>
      </c>
      <c r="C67" s="119" t="s">
        <v>1918</v>
      </c>
      <c r="D67">
        <v>96</v>
      </c>
      <c r="E67" s="120">
        <v>27.2</v>
      </c>
      <c r="F67" s="68">
        <v>75</v>
      </c>
      <c r="G67" s="117" t="s">
        <v>1919</v>
      </c>
      <c r="H67" s="122">
        <v>27.096236637211966</v>
      </c>
      <c r="I67" s="120">
        <v>3</v>
      </c>
      <c r="J67" s="119"/>
      <c r="K67" s="68" t="s">
        <v>1790</v>
      </c>
      <c r="L67" s="135" t="b">
        <v>0</v>
      </c>
      <c r="M67" s="144"/>
    </row>
    <row r="68" spans="1:13" x14ac:dyDescent="0.3">
      <c r="A68" s="67" t="s">
        <v>1031</v>
      </c>
      <c r="B68" s="66" t="s">
        <v>136</v>
      </c>
      <c r="C68" s="115" t="s">
        <v>1920</v>
      </c>
      <c r="D68">
        <v>120</v>
      </c>
      <c r="E68" s="116">
        <v>12.5</v>
      </c>
      <c r="F68" s="66">
        <v>60</v>
      </c>
      <c r="G68" s="121" t="s">
        <v>1921</v>
      </c>
      <c r="H68" s="118">
        <v>16.022122533307943</v>
      </c>
      <c r="I68" s="116">
        <v>3</v>
      </c>
      <c r="J68" s="115"/>
      <c r="K68" s="66" t="s">
        <v>1790</v>
      </c>
      <c r="L68" s="136" t="b">
        <v>0</v>
      </c>
      <c r="M68" s="143"/>
    </row>
    <row r="69" spans="1:13" x14ac:dyDescent="0.3">
      <c r="A69" s="69" t="s">
        <v>1011</v>
      </c>
      <c r="B69" s="68" t="s">
        <v>131</v>
      </c>
      <c r="C69" s="119" t="s">
        <v>1922</v>
      </c>
      <c r="D69" t="s">
        <v>2015</v>
      </c>
      <c r="E69" s="120">
        <v>6.3</v>
      </c>
      <c r="F69" s="68">
        <v>60</v>
      </c>
      <c r="G69" s="117" t="s">
        <v>1923</v>
      </c>
      <c r="H69" s="122">
        <v>9.4247779607693793</v>
      </c>
      <c r="I69" s="120">
        <v>1.5</v>
      </c>
      <c r="J69" s="119"/>
      <c r="K69" s="68" t="s">
        <v>1790</v>
      </c>
      <c r="L69" s="135" t="b">
        <v>0</v>
      </c>
      <c r="M69" s="144" t="s">
        <v>1924</v>
      </c>
    </row>
    <row r="70" spans="1:13" x14ac:dyDescent="0.3">
      <c r="A70" s="67" t="s">
        <v>1002</v>
      </c>
      <c r="B70" s="66" t="s">
        <v>993</v>
      </c>
      <c r="C70" s="115" t="s">
        <v>1925</v>
      </c>
      <c r="D70" t="s">
        <v>1925</v>
      </c>
      <c r="E70" s="116">
        <v>6.3</v>
      </c>
      <c r="F70" s="66">
        <v>40</v>
      </c>
      <c r="G70" s="121" t="s">
        <v>1926</v>
      </c>
      <c r="H70" s="118">
        <v>8.4823001646924414</v>
      </c>
      <c r="I70" s="116">
        <v>2</v>
      </c>
      <c r="J70" s="115"/>
      <c r="K70" s="66" t="s">
        <v>1790</v>
      </c>
      <c r="L70" s="136" t="b">
        <v>1</v>
      </c>
      <c r="M70" s="143"/>
    </row>
    <row r="71" spans="1:13" x14ac:dyDescent="0.3">
      <c r="A71" s="69" t="s">
        <v>983</v>
      </c>
      <c r="B71" s="68" t="s">
        <v>136</v>
      </c>
      <c r="C71" s="119" t="s">
        <v>1927</v>
      </c>
      <c r="D71" t="s">
        <v>1927</v>
      </c>
      <c r="E71" s="120">
        <v>9.6</v>
      </c>
      <c r="F71" s="68">
        <v>60</v>
      </c>
      <c r="G71" s="117" t="s">
        <v>1928</v>
      </c>
      <c r="H71" s="122">
        <v>9.4247779607693793</v>
      </c>
      <c r="I71" s="120">
        <v>2</v>
      </c>
      <c r="J71" s="119"/>
      <c r="K71" s="68" t="s">
        <v>1790</v>
      </c>
      <c r="L71" s="135" t="b">
        <v>0</v>
      </c>
      <c r="M71" s="144"/>
    </row>
    <row r="72" spans="1:13" x14ac:dyDescent="0.3">
      <c r="A72" s="67" t="s">
        <v>1033</v>
      </c>
      <c r="B72" s="66" t="s">
        <v>991</v>
      </c>
      <c r="C72" s="115" t="s">
        <v>1929</v>
      </c>
      <c r="D72" t="s">
        <v>1929</v>
      </c>
      <c r="E72" s="116">
        <v>8.6</v>
      </c>
      <c r="F72" s="66">
        <v>50</v>
      </c>
      <c r="G72" s="121" t="s">
        <v>1930</v>
      </c>
      <c r="H72" s="118">
        <v>9.4247779607693793</v>
      </c>
      <c r="I72" s="116">
        <v>0.3</v>
      </c>
      <c r="J72" s="115"/>
      <c r="K72" s="66" t="s">
        <v>1790</v>
      </c>
      <c r="L72" s="136" t="b">
        <v>0</v>
      </c>
      <c r="M72" s="143"/>
    </row>
    <row r="73" spans="1:13" x14ac:dyDescent="0.3">
      <c r="A73" s="69" t="s">
        <v>1035</v>
      </c>
      <c r="B73" s="68" t="s">
        <v>44</v>
      </c>
      <c r="C73" s="119" t="s">
        <v>1931</v>
      </c>
      <c r="D73">
        <v>57</v>
      </c>
      <c r="E73" s="120">
        <v>30.8</v>
      </c>
      <c r="F73" s="68">
        <v>65</v>
      </c>
      <c r="G73" s="117" t="s">
        <v>1932</v>
      </c>
      <c r="H73" s="122">
        <v>25.918139392115794</v>
      </c>
      <c r="I73" s="120">
        <v>15</v>
      </c>
      <c r="J73" s="119"/>
      <c r="K73" s="68" t="s">
        <v>1790</v>
      </c>
      <c r="L73" s="135" t="b">
        <v>0</v>
      </c>
      <c r="M73" s="144"/>
    </row>
    <row r="74" spans="1:13" x14ac:dyDescent="0.3">
      <c r="A74" s="67" t="s">
        <v>1037</v>
      </c>
      <c r="B74" s="66" t="s">
        <v>136</v>
      </c>
      <c r="C74" s="115" t="s">
        <v>1907</v>
      </c>
      <c r="D74">
        <v>38</v>
      </c>
      <c r="E74" s="116">
        <v>20</v>
      </c>
      <c r="F74" s="66">
        <v>50</v>
      </c>
      <c r="G74" s="121" t="s">
        <v>1933</v>
      </c>
      <c r="H74" s="118">
        <v>23.561944901923447</v>
      </c>
      <c r="I74" s="116">
        <v>13</v>
      </c>
      <c r="J74" s="115"/>
      <c r="K74" s="66" t="s">
        <v>1790</v>
      </c>
      <c r="L74" s="136" t="b">
        <v>0</v>
      </c>
      <c r="M74" s="143"/>
    </row>
    <row r="75" spans="1:13" x14ac:dyDescent="0.3">
      <c r="A75" s="69" t="s">
        <v>1004</v>
      </c>
      <c r="B75" s="68" t="s">
        <v>41</v>
      </c>
      <c r="C75" s="119">
        <v>60</v>
      </c>
      <c r="D75">
        <v>60</v>
      </c>
      <c r="E75" s="120">
        <v>8.1999999999999993</v>
      </c>
      <c r="F75" s="68">
        <v>70</v>
      </c>
      <c r="G75" s="121" t="s">
        <v>1934</v>
      </c>
      <c r="H75" s="122">
        <v>18.849555921538759</v>
      </c>
      <c r="I75" s="120">
        <v>1.2</v>
      </c>
      <c r="J75" s="119"/>
      <c r="K75" s="68" t="s">
        <v>1790</v>
      </c>
      <c r="L75" s="136" t="b">
        <v>0</v>
      </c>
      <c r="M75" s="144"/>
    </row>
    <row r="76" spans="1:13" x14ac:dyDescent="0.3">
      <c r="A76" s="67" t="s">
        <v>1004</v>
      </c>
      <c r="B76" s="66" t="s">
        <v>41</v>
      </c>
      <c r="C76" s="115">
        <v>52</v>
      </c>
      <c r="D76">
        <v>52</v>
      </c>
      <c r="E76" s="116">
        <v>8.8000000000000007</v>
      </c>
      <c r="F76" s="66">
        <v>60</v>
      </c>
      <c r="G76" s="117" t="s">
        <v>1935</v>
      </c>
      <c r="H76" s="118">
        <v>15.315264186250241</v>
      </c>
      <c r="I76" s="116" t="s">
        <v>1936</v>
      </c>
      <c r="J76" s="115"/>
      <c r="K76" s="66" t="s">
        <v>1790</v>
      </c>
      <c r="L76" s="135" t="b">
        <v>0</v>
      </c>
      <c r="M76" s="143"/>
    </row>
    <row r="77" spans="1:13" x14ac:dyDescent="0.3">
      <c r="A77" s="69" t="s">
        <v>482</v>
      </c>
      <c r="B77" s="68" t="s">
        <v>1038</v>
      </c>
      <c r="C77" s="119">
        <v>10</v>
      </c>
      <c r="D77">
        <v>10</v>
      </c>
      <c r="E77" s="120">
        <v>5</v>
      </c>
      <c r="F77" s="68">
        <v>30</v>
      </c>
      <c r="G77" s="121" t="s">
        <v>1937</v>
      </c>
      <c r="H77" s="122">
        <v>5.8904862254808616</v>
      </c>
      <c r="I77" s="120">
        <v>1.66</v>
      </c>
      <c r="J77" s="119"/>
      <c r="K77" s="68" t="s">
        <v>1790</v>
      </c>
      <c r="L77" s="136" t="b">
        <v>1</v>
      </c>
      <c r="M77" s="144"/>
    </row>
    <row r="78" spans="1:13" x14ac:dyDescent="0.3">
      <c r="A78" s="67" t="s">
        <v>482</v>
      </c>
      <c r="B78" s="66" t="s">
        <v>1038</v>
      </c>
      <c r="C78" s="115" t="s">
        <v>1938</v>
      </c>
      <c r="D78" t="s">
        <v>2016</v>
      </c>
      <c r="E78" s="116">
        <v>5.5</v>
      </c>
      <c r="F78" s="66">
        <v>50</v>
      </c>
      <c r="G78" s="117" t="s">
        <v>1939</v>
      </c>
      <c r="H78" s="118">
        <v>15.315264186250241</v>
      </c>
      <c r="I78" s="116">
        <v>1.2</v>
      </c>
      <c r="J78" s="115"/>
      <c r="K78" s="66" t="s">
        <v>1790</v>
      </c>
      <c r="L78" s="135" t="b">
        <v>1</v>
      </c>
      <c r="M78" s="143"/>
    </row>
    <row r="79" spans="1:13" x14ac:dyDescent="0.3">
      <c r="A79" s="69" t="s">
        <v>1000</v>
      </c>
      <c r="B79" s="68" t="s">
        <v>988</v>
      </c>
      <c r="C79" s="119" t="s">
        <v>1940</v>
      </c>
      <c r="D79">
        <v>37</v>
      </c>
      <c r="E79" s="120">
        <v>6</v>
      </c>
      <c r="F79" s="68">
        <v>60</v>
      </c>
      <c r="G79" s="121" t="s">
        <v>1941</v>
      </c>
      <c r="H79" s="122">
        <v>9.4247779607693793</v>
      </c>
      <c r="I79" s="120">
        <v>2.5</v>
      </c>
      <c r="J79" s="119"/>
      <c r="K79" s="68" t="s">
        <v>1790</v>
      </c>
      <c r="L79" s="136" t="b">
        <v>0</v>
      </c>
      <c r="M79" s="144"/>
    </row>
    <row r="80" spans="1:13" x14ac:dyDescent="0.3">
      <c r="A80" s="67" t="s">
        <v>1040</v>
      </c>
      <c r="B80" s="66" t="s">
        <v>131</v>
      </c>
      <c r="C80" s="115" t="s">
        <v>1942</v>
      </c>
      <c r="D80" t="s">
        <v>2017</v>
      </c>
      <c r="E80" s="116">
        <v>4.5</v>
      </c>
      <c r="F80" s="66">
        <v>70</v>
      </c>
      <c r="G80" s="117" t="s">
        <v>1943</v>
      </c>
      <c r="H80" s="118">
        <v>11.309733552923255</v>
      </c>
      <c r="I80" s="116">
        <v>1.7</v>
      </c>
      <c r="J80" s="115"/>
      <c r="K80" s="66" t="s">
        <v>1790</v>
      </c>
      <c r="L80" s="135" t="b">
        <v>1</v>
      </c>
      <c r="M80" s="143"/>
    </row>
    <row r="81" spans="1:13" x14ac:dyDescent="0.3">
      <c r="A81" s="69" t="s">
        <v>1040</v>
      </c>
      <c r="B81" s="68" t="s">
        <v>131</v>
      </c>
      <c r="C81" s="119" t="s">
        <v>1944</v>
      </c>
      <c r="D81" t="s">
        <v>2018</v>
      </c>
      <c r="E81" s="120">
        <v>4.5</v>
      </c>
      <c r="F81" s="68">
        <v>65</v>
      </c>
      <c r="G81" s="121" t="s">
        <v>1945</v>
      </c>
      <c r="H81" s="122">
        <v>11.309733552923255</v>
      </c>
      <c r="I81" s="120">
        <v>1.5</v>
      </c>
      <c r="J81" s="119"/>
      <c r="K81" s="68" t="s">
        <v>1790</v>
      </c>
      <c r="L81" s="136" t="b">
        <v>1</v>
      </c>
      <c r="M81" s="144"/>
    </row>
    <row r="82" spans="1:13" x14ac:dyDescent="0.3">
      <c r="A82" s="67" t="s">
        <v>1042</v>
      </c>
      <c r="B82" s="66" t="s">
        <v>41</v>
      </c>
      <c r="C82" s="115" t="s">
        <v>1946</v>
      </c>
      <c r="D82" t="s">
        <v>2019</v>
      </c>
      <c r="E82" s="116">
        <v>12</v>
      </c>
      <c r="F82" s="66">
        <v>70</v>
      </c>
      <c r="G82" s="117" t="s">
        <v>1882</v>
      </c>
      <c r="H82" s="118">
        <v>14.137166941154069</v>
      </c>
      <c r="I82" s="116">
        <v>1.5</v>
      </c>
      <c r="J82" s="115"/>
      <c r="K82" s="66" t="s">
        <v>1790</v>
      </c>
      <c r="L82" s="135" t="b">
        <v>1</v>
      </c>
      <c r="M82" s="143"/>
    </row>
    <row r="83" spans="1:13" x14ac:dyDescent="0.3">
      <c r="A83" s="69" t="s">
        <v>1044</v>
      </c>
      <c r="B83" s="68" t="s">
        <v>41</v>
      </c>
      <c r="C83" s="119" t="s">
        <v>1947</v>
      </c>
      <c r="D83" t="s">
        <v>2020</v>
      </c>
      <c r="E83" s="120">
        <v>3.5</v>
      </c>
      <c r="F83" s="68">
        <v>70</v>
      </c>
      <c r="G83" s="121" t="s">
        <v>1948</v>
      </c>
      <c r="H83" s="122">
        <v>5.8904862254808616</v>
      </c>
      <c r="I83" s="120">
        <v>1</v>
      </c>
      <c r="J83" s="119"/>
      <c r="K83" s="68" t="s">
        <v>1790</v>
      </c>
      <c r="L83" s="136" t="b">
        <v>1</v>
      </c>
      <c r="M83" s="144"/>
    </row>
    <row r="84" spans="1:13" x14ac:dyDescent="0.3">
      <c r="A84" s="67" t="s">
        <v>1046</v>
      </c>
      <c r="B84" s="66" t="s">
        <v>1047</v>
      </c>
      <c r="C84" s="115" t="s">
        <v>1949</v>
      </c>
      <c r="D84" t="s">
        <v>1949</v>
      </c>
      <c r="E84" s="116">
        <v>4.5</v>
      </c>
      <c r="F84" s="66">
        <v>85</v>
      </c>
      <c r="G84" s="117" t="s">
        <v>1867</v>
      </c>
      <c r="H84" s="118">
        <v>2.3561944901923448</v>
      </c>
      <c r="I84" s="116">
        <v>1.5</v>
      </c>
      <c r="J84" s="115"/>
      <c r="K84" s="66" t="s">
        <v>1790</v>
      </c>
      <c r="L84" s="135" t="b">
        <v>0</v>
      </c>
      <c r="M84" s="143"/>
    </row>
    <row r="85" spans="1:13" x14ac:dyDescent="0.3">
      <c r="A85" s="69" t="s">
        <v>1046</v>
      </c>
      <c r="B85" s="68" t="s">
        <v>1047</v>
      </c>
      <c r="C85" s="119" t="s">
        <v>67</v>
      </c>
      <c r="D85">
        <v>7</v>
      </c>
      <c r="E85" s="120">
        <v>4.4000000000000004</v>
      </c>
      <c r="F85" s="68">
        <v>85</v>
      </c>
      <c r="G85" s="121" t="s">
        <v>1867</v>
      </c>
      <c r="H85" s="122">
        <v>2.3561944901923448</v>
      </c>
      <c r="I85" s="120">
        <v>1.5</v>
      </c>
      <c r="J85" s="119"/>
      <c r="K85" s="68" t="s">
        <v>1790</v>
      </c>
      <c r="L85" s="136" t="b">
        <v>0</v>
      </c>
      <c r="M85" s="143"/>
    </row>
    <row r="86" spans="1:13" x14ac:dyDescent="0.3">
      <c r="A86" s="67" t="s">
        <v>969</v>
      </c>
      <c r="B86" s="66" t="s">
        <v>41</v>
      </c>
      <c r="C86" s="115" t="s">
        <v>1950</v>
      </c>
      <c r="D86" t="s">
        <v>1950</v>
      </c>
      <c r="E86" s="116">
        <v>8</v>
      </c>
      <c r="F86" s="66">
        <v>60</v>
      </c>
      <c r="G86" s="121" t="s">
        <v>1951</v>
      </c>
      <c r="H86" s="118">
        <v>17.671458676442587</v>
      </c>
      <c r="I86" s="116">
        <v>1.8</v>
      </c>
      <c r="J86" s="115" t="s">
        <v>1802</v>
      </c>
      <c r="K86" s="66" t="s">
        <v>483</v>
      </c>
      <c r="L86" s="136" t="b">
        <v>0</v>
      </c>
      <c r="M86" s="143"/>
    </row>
    <row r="87" spans="1:13" x14ac:dyDescent="0.3">
      <c r="A87" s="69" t="s">
        <v>1022</v>
      </c>
      <c r="B87" s="68" t="s">
        <v>1023</v>
      </c>
      <c r="C87" s="119" t="s">
        <v>1952</v>
      </c>
      <c r="D87" t="s">
        <v>1952</v>
      </c>
      <c r="E87" s="120">
        <v>7</v>
      </c>
      <c r="F87" s="68">
        <v>75</v>
      </c>
      <c r="G87" s="117" t="s">
        <v>1953</v>
      </c>
      <c r="H87" s="122">
        <v>5.6548667764616276</v>
      </c>
      <c r="I87" s="120">
        <v>1.5</v>
      </c>
      <c r="J87" s="119"/>
      <c r="K87" s="68" t="s">
        <v>1790</v>
      </c>
      <c r="L87" s="135" t="b">
        <v>0</v>
      </c>
      <c r="M87" s="143"/>
    </row>
    <row r="88" spans="1:13" x14ac:dyDescent="0.3">
      <c r="A88" s="67" t="s">
        <v>1022</v>
      </c>
      <c r="B88" s="66" t="s">
        <v>1023</v>
      </c>
      <c r="C88" s="115" t="s">
        <v>1954</v>
      </c>
      <c r="D88" t="s">
        <v>1954</v>
      </c>
      <c r="E88" s="116">
        <v>7.2</v>
      </c>
      <c r="F88" s="66">
        <v>65</v>
      </c>
      <c r="G88" s="117" t="s">
        <v>1953</v>
      </c>
      <c r="H88" s="118">
        <v>5.6548667764616276</v>
      </c>
      <c r="I88" s="116">
        <v>1.5</v>
      </c>
      <c r="J88" s="115"/>
      <c r="K88" s="66" t="s">
        <v>1790</v>
      </c>
      <c r="L88" s="135" t="b">
        <v>0</v>
      </c>
      <c r="M88" s="143"/>
    </row>
    <row r="89" spans="1:13" x14ac:dyDescent="0.3">
      <c r="A89" s="69" t="s">
        <v>1022</v>
      </c>
      <c r="B89" s="68" t="s">
        <v>1023</v>
      </c>
      <c r="C89" s="119" t="s">
        <v>1955</v>
      </c>
      <c r="D89" t="s">
        <v>1955</v>
      </c>
      <c r="E89" s="120">
        <v>7.1</v>
      </c>
      <c r="F89" s="68">
        <v>70</v>
      </c>
      <c r="G89" s="117" t="s">
        <v>1953</v>
      </c>
      <c r="H89" s="122">
        <v>5.6548667764616276</v>
      </c>
      <c r="I89" s="120">
        <v>1.5</v>
      </c>
      <c r="J89" s="119"/>
      <c r="K89" s="68" t="s">
        <v>1790</v>
      </c>
      <c r="L89" s="135" t="b">
        <v>0</v>
      </c>
      <c r="M89" s="143"/>
    </row>
    <row r="90" spans="1:13" x14ac:dyDescent="0.3">
      <c r="A90" s="67" t="s">
        <v>1022</v>
      </c>
      <c r="B90" s="66" t="s">
        <v>1023</v>
      </c>
      <c r="C90" s="115" t="s">
        <v>1956</v>
      </c>
      <c r="D90" t="s">
        <v>1956</v>
      </c>
      <c r="E90" s="116">
        <v>6.9</v>
      </c>
      <c r="F90" s="66">
        <v>65</v>
      </c>
      <c r="G90" s="117" t="s">
        <v>1953</v>
      </c>
      <c r="H90" s="118">
        <v>5.6548667764616276</v>
      </c>
      <c r="I90" s="116">
        <v>1.5</v>
      </c>
      <c r="J90" s="115"/>
      <c r="K90" s="66" t="s">
        <v>1790</v>
      </c>
      <c r="L90" s="135" t="b">
        <v>0</v>
      </c>
      <c r="M90" s="143"/>
    </row>
    <row r="91" spans="1:13" x14ac:dyDescent="0.3">
      <c r="A91" s="69" t="s">
        <v>1022</v>
      </c>
      <c r="B91" s="68" t="s">
        <v>1023</v>
      </c>
      <c r="C91" s="119" t="s">
        <v>1957</v>
      </c>
      <c r="D91" t="s">
        <v>1957</v>
      </c>
      <c r="E91" s="120">
        <v>7.2</v>
      </c>
      <c r="F91" s="68">
        <v>65</v>
      </c>
      <c r="G91" s="117" t="s">
        <v>1953</v>
      </c>
      <c r="H91" s="122">
        <v>5.6548667764616276</v>
      </c>
      <c r="I91" s="120">
        <v>1.5</v>
      </c>
      <c r="J91" s="119"/>
      <c r="K91" s="68" t="s">
        <v>1790</v>
      </c>
      <c r="L91" s="135" t="b">
        <v>0</v>
      </c>
      <c r="M91" s="143"/>
    </row>
    <row r="92" spans="1:13" x14ac:dyDescent="0.3">
      <c r="A92" s="67" t="s">
        <v>1000</v>
      </c>
      <c r="B92" s="66" t="s">
        <v>988</v>
      </c>
      <c r="C92" s="115" t="s">
        <v>1958</v>
      </c>
      <c r="D92" t="s">
        <v>1958</v>
      </c>
      <c r="E92" s="116">
        <v>2.6</v>
      </c>
      <c r="F92" s="66">
        <v>80</v>
      </c>
      <c r="G92" s="121" t="s">
        <v>1867</v>
      </c>
      <c r="H92" s="118">
        <v>2.3561944901923448</v>
      </c>
      <c r="I92" s="116">
        <v>0.9</v>
      </c>
      <c r="J92" s="115"/>
      <c r="K92" s="66" t="s">
        <v>1790</v>
      </c>
      <c r="L92" s="136" t="b">
        <v>0</v>
      </c>
      <c r="M92" s="143"/>
    </row>
    <row r="93" spans="1:13" x14ac:dyDescent="0.3">
      <c r="A93" s="69" t="s">
        <v>1000</v>
      </c>
      <c r="B93" s="68" t="s">
        <v>988</v>
      </c>
      <c r="C93" s="119" t="s">
        <v>1959</v>
      </c>
      <c r="D93" t="s">
        <v>1959</v>
      </c>
      <c r="E93" s="120">
        <v>2.4</v>
      </c>
      <c r="F93" s="68">
        <v>80</v>
      </c>
      <c r="G93" s="117" t="s">
        <v>1960</v>
      </c>
      <c r="H93" s="122">
        <v>1.8849555921538759</v>
      </c>
      <c r="I93" s="120">
        <v>0.7</v>
      </c>
      <c r="J93" s="119"/>
      <c r="K93" s="68" t="s">
        <v>1790</v>
      </c>
      <c r="L93" s="135" t="b">
        <v>0</v>
      </c>
      <c r="M93" s="143"/>
    </row>
    <row r="94" spans="1:13" x14ac:dyDescent="0.3">
      <c r="A94" s="67" t="s">
        <v>992</v>
      </c>
      <c r="B94" s="66" t="s">
        <v>993</v>
      </c>
      <c r="C94" s="115" t="s">
        <v>1959</v>
      </c>
      <c r="D94" t="s">
        <v>1959</v>
      </c>
      <c r="E94" s="116">
        <v>4.5999999999999996</v>
      </c>
      <c r="F94" s="66">
        <v>55</v>
      </c>
      <c r="G94" s="121" t="s">
        <v>1961</v>
      </c>
      <c r="H94" s="118">
        <v>6.5973445725385655</v>
      </c>
      <c r="I94" s="116">
        <v>1.1000000000000001</v>
      </c>
      <c r="J94" s="115"/>
      <c r="K94" s="66" t="s">
        <v>1790</v>
      </c>
      <c r="L94" s="136" t="b">
        <v>1</v>
      </c>
      <c r="M94" s="143"/>
    </row>
    <row r="95" spans="1:13" x14ac:dyDescent="0.3">
      <c r="A95" s="69" t="s">
        <v>992</v>
      </c>
      <c r="B95" s="68" t="s">
        <v>993</v>
      </c>
      <c r="C95" s="119" t="s">
        <v>1962</v>
      </c>
      <c r="D95" t="s">
        <v>1962</v>
      </c>
      <c r="E95" s="120">
        <v>4.7</v>
      </c>
      <c r="F95" s="68">
        <v>60</v>
      </c>
      <c r="G95" s="117" t="s">
        <v>1963</v>
      </c>
      <c r="H95" s="122">
        <v>6.5973445725385655</v>
      </c>
      <c r="I95" s="120">
        <v>1.4</v>
      </c>
      <c r="J95" s="119"/>
      <c r="K95" s="68" t="s">
        <v>1790</v>
      </c>
      <c r="L95" s="135" t="b">
        <v>1</v>
      </c>
      <c r="M95" s="143"/>
    </row>
    <row r="96" spans="1:13" x14ac:dyDescent="0.3">
      <c r="A96" s="67" t="s">
        <v>992</v>
      </c>
      <c r="B96" s="66" t="s">
        <v>993</v>
      </c>
      <c r="C96" s="115" t="s">
        <v>1964</v>
      </c>
      <c r="D96" t="s">
        <v>1964</v>
      </c>
      <c r="E96" s="116">
        <v>4.5</v>
      </c>
      <c r="F96" s="66">
        <v>20</v>
      </c>
      <c r="G96" s="121" t="s">
        <v>1965</v>
      </c>
      <c r="H96" s="118">
        <v>4.2411500823462207</v>
      </c>
      <c r="I96" s="116">
        <v>1.3</v>
      </c>
      <c r="J96" s="115"/>
      <c r="K96" s="66" t="s">
        <v>1790</v>
      </c>
      <c r="L96" s="136" t="b">
        <v>1</v>
      </c>
      <c r="M96" s="143"/>
    </row>
    <row r="97" spans="1:13" x14ac:dyDescent="0.3">
      <c r="A97" s="69" t="s">
        <v>992</v>
      </c>
      <c r="B97" s="68" t="s">
        <v>993</v>
      </c>
      <c r="C97" s="119" t="s">
        <v>1966</v>
      </c>
      <c r="D97" t="s">
        <v>1966</v>
      </c>
      <c r="E97" s="120">
        <v>4.5999999999999996</v>
      </c>
      <c r="F97" s="68">
        <v>60</v>
      </c>
      <c r="G97" s="117" t="s">
        <v>1967</v>
      </c>
      <c r="H97" s="122">
        <v>5.6548667764616276</v>
      </c>
      <c r="I97" s="120">
        <v>1.5</v>
      </c>
      <c r="J97" s="119"/>
      <c r="K97" s="68" t="s">
        <v>1790</v>
      </c>
      <c r="L97" s="135" t="b">
        <v>1</v>
      </c>
      <c r="M97" s="143"/>
    </row>
    <row r="98" spans="1:13" x14ac:dyDescent="0.3">
      <c r="A98" s="67" t="s">
        <v>1022</v>
      </c>
      <c r="B98" s="66" t="s">
        <v>1023</v>
      </c>
      <c r="C98" s="115" t="s">
        <v>1957</v>
      </c>
      <c r="D98" t="s">
        <v>1957</v>
      </c>
      <c r="E98" s="116">
        <v>4.7</v>
      </c>
      <c r="F98" s="66">
        <v>55</v>
      </c>
      <c r="G98" s="121" t="s">
        <v>1968</v>
      </c>
      <c r="H98" s="118">
        <v>6.1261056745000966</v>
      </c>
      <c r="I98" s="116">
        <v>1.2</v>
      </c>
      <c r="J98" s="115"/>
      <c r="K98" s="66" t="s">
        <v>1790</v>
      </c>
      <c r="L98" s="136" t="b">
        <v>0</v>
      </c>
      <c r="M98" s="143"/>
    </row>
    <row r="99" spans="1:13" x14ac:dyDescent="0.3">
      <c r="A99" s="69" t="s">
        <v>966</v>
      </c>
      <c r="B99" s="68" t="s">
        <v>967</v>
      </c>
      <c r="C99" s="119" t="s">
        <v>1969</v>
      </c>
      <c r="D99" t="s">
        <v>1969</v>
      </c>
      <c r="E99" s="120">
        <v>2.1</v>
      </c>
      <c r="F99" s="68">
        <v>40</v>
      </c>
      <c r="G99" s="121" t="s">
        <v>1853</v>
      </c>
      <c r="H99" s="122">
        <v>7.0685834705770345</v>
      </c>
      <c r="I99" s="120">
        <v>0.2</v>
      </c>
      <c r="J99" s="119" t="s">
        <v>1802</v>
      </c>
      <c r="K99" s="68" t="s">
        <v>483</v>
      </c>
      <c r="L99" s="136" t="b">
        <v>0</v>
      </c>
      <c r="M99" s="144"/>
    </row>
    <row r="100" spans="1:13" x14ac:dyDescent="0.3">
      <c r="A100" s="67" t="s">
        <v>983</v>
      </c>
      <c r="B100" s="66" t="s">
        <v>136</v>
      </c>
      <c r="C100" s="115" t="s">
        <v>1970</v>
      </c>
      <c r="D100" t="s">
        <v>1970</v>
      </c>
      <c r="E100" s="116">
        <v>1.9</v>
      </c>
      <c r="F100" s="66">
        <v>95</v>
      </c>
      <c r="G100" s="117" t="s">
        <v>1849</v>
      </c>
      <c r="H100" s="118">
        <v>8.2466807156732074</v>
      </c>
      <c r="I100" s="116">
        <v>0</v>
      </c>
      <c r="J100" s="115"/>
      <c r="K100" s="66" t="s">
        <v>1790</v>
      </c>
      <c r="L100" s="135" t="b">
        <v>0</v>
      </c>
      <c r="M100" s="143"/>
    </row>
    <row r="101" spans="1:13" x14ac:dyDescent="0.3">
      <c r="A101" s="69" t="s">
        <v>1022</v>
      </c>
      <c r="B101" s="68" t="s">
        <v>1023</v>
      </c>
      <c r="C101" s="119" t="s">
        <v>69</v>
      </c>
      <c r="D101">
        <v>1</v>
      </c>
      <c r="E101" s="120">
        <v>1.7</v>
      </c>
      <c r="F101" s="68">
        <v>60</v>
      </c>
      <c r="G101" s="121" t="s">
        <v>1867</v>
      </c>
      <c r="H101" s="122">
        <v>2.3561944901923448</v>
      </c>
      <c r="I101" s="120">
        <v>0.2</v>
      </c>
      <c r="J101" s="119"/>
      <c r="K101" s="68" t="s">
        <v>1790</v>
      </c>
      <c r="L101" s="136" t="b">
        <v>0</v>
      </c>
      <c r="M101" s="144"/>
    </row>
    <row r="102" spans="1:13" x14ac:dyDescent="0.3">
      <c r="A102" s="67" t="s">
        <v>1022</v>
      </c>
      <c r="B102" s="66" t="s">
        <v>1023</v>
      </c>
      <c r="C102" s="115" t="s">
        <v>69</v>
      </c>
      <c r="D102">
        <v>1</v>
      </c>
      <c r="E102" s="116">
        <v>1.7</v>
      </c>
      <c r="F102" s="66">
        <v>60</v>
      </c>
      <c r="G102" s="117" t="s">
        <v>1971</v>
      </c>
      <c r="H102" s="118">
        <v>1.1780972450961724</v>
      </c>
      <c r="I102" s="116">
        <v>0.1</v>
      </c>
      <c r="J102" s="115"/>
      <c r="K102" s="66" t="s">
        <v>1790</v>
      </c>
      <c r="L102" s="135" t="b">
        <v>0</v>
      </c>
      <c r="M102" s="143"/>
    </row>
    <row r="103" spans="1:13" x14ac:dyDescent="0.3">
      <c r="A103" s="69" t="s">
        <v>1049</v>
      </c>
      <c r="B103" s="68" t="s">
        <v>1050</v>
      </c>
      <c r="C103" s="119" t="s">
        <v>1792</v>
      </c>
      <c r="D103" t="s">
        <v>1792</v>
      </c>
      <c r="E103" s="120">
        <v>2</v>
      </c>
      <c r="F103" s="68">
        <v>95</v>
      </c>
      <c r="G103" s="121" t="s">
        <v>1972</v>
      </c>
      <c r="H103" s="122">
        <v>4.7123889803846897</v>
      </c>
      <c r="I103" s="120">
        <v>0.2</v>
      </c>
      <c r="J103" s="119" t="s">
        <v>1802</v>
      </c>
      <c r="K103" s="68" t="s">
        <v>1790</v>
      </c>
      <c r="L103" s="136" t="b">
        <v>0</v>
      </c>
      <c r="M103" s="144"/>
    </row>
    <row r="104" spans="1:13" x14ac:dyDescent="0.3">
      <c r="A104" s="67" t="s">
        <v>1022</v>
      </c>
      <c r="B104" s="66" t="s">
        <v>1023</v>
      </c>
      <c r="C104" s="115" t="s">
        <v>69</v>
      </c>
      <c r="D104">
        <v>1</v>
      </c>
      <c r="E104" s="116">
        <v>1.45</v>
      </c>
      <c r="F104" s="66">
        <v>60</v>
      </c>
      <c r="G104" s="117" t="s">
        <v>1971</v>
      </c>
      <c r="H104" s="118">
        <v>1.1780972450961724</v>
      </c>
      <c r="I104" s="116">
        <v>0</v>
      </c>
      <c r="J104" s="115"/>
      <c r="K104" s="66" t="s">
        <v>1790</v>
      </c>
      <c r="L104" s="135" t="b">
        <v>0</v>
      </c>
      <c r="M104" s="143"/>
    </row>
    <row r="105" spans="1:13" x14ac:dyDescent="0.3">
      <c r="A105" s="69" t="s">
        <v>969</v>
      </c>
      <c r="B105" s="68" t="s">
        <v>41</v>
      </c>
      <c r="C105" s="119" t="s">
        <v>1973</v>
      </c>
      <c r="D105" t="s">
        <v>1973</v>
      </c>
      <c r="E105" s="120">
        <v>2.6</v>
      </c>
      <c r="F105" s="68">
        <v>70</v>
      </c>
      <c r="G105" s="121" t="s">
        <v>1974</v>
      </c>
      <c r="H105" s="122">
        <v>5.8904862254808616</v>
      </c>
      <c r="I105" s="120">
        <v>0.3</v>
      </c>
      <c r="J105" s="119"/>
      <c r="K105" s="68" t="s">
        <v>1790</v>
      </c>
      <c r="L105" s="136" t="b">
        <v>1</v>
      </c>
      <c r="M105" s="144"/>
    </row>
    <row r="106" spans="1:13" x14ac:dyDescent="0.3">
      <c r="A106" s="67" t="s">
        <v>482</v>
      </c>
      <c r="B106" s="66" t="s">
        <v>1038</v>
      </c>
      <c r="C106" s="115" t="s">
        <v>1975</v>
      </c>
      <c r="D106" t="s">
        <v>1975</v>
      </c>
      <c r="E106" s="116">
        <v>5.2</v>
      </c>
      <c r="F106" s="66">
        <v>70</v>
      </c>
      <c r="G106" s="117" t="s">
        <v>1976</v>
      </c>
      <c r="H106" s="118">
        <v>8.2466807156732074</v>
      </c>
      <c r="I106" s="116">
        <v>1.4</v>
      </c>
      <c r="J106" s="115"/>
      <c r="K106" s="66" t="s">
        <v>1790</v>
      </c>
      <c r="L106" s="135" t="b">
        <v>1</v>
      </c>
      <c r="M106" s="143"/>
    </row>
    <row r="107" spans="1:13" x14ac:dyDescent="0.3">
      <c r="A107" s="69" t="s">
        <v>1022</v>
      </c>
      <c r="B107" s="68" t="s">
        <v>1023</v>
      </c>
      <c r="C107" s="119" t="s">
        <v>1977</v>
      </c>
      <c r="D107" t="s">
        <v>1977</v>
      </c>
      <c r="E107" s="120">
        <v>2.6</v>
      </c>
      <c r="F107" s="68">
        <v>55</v>
      </c>
      <c r="G107" s="121" t="s">
        <v>1867</v>
      </c>
      <c r="H107" s="122">
        <v>2.3561944901923448</v>
      </c>
      <c r="I107" s="120">
        <v>0.4</v>
      </c>
      <c r="J107" s="119"/>
      <c r="K107" s="68" t="s">
        <v>1790</v>
      </c>
      <c r="L107" s="136" t="b">
        <v>0</v>
      </c>
      <c r="M107" s="144" t="s">
        <v>1978</v>
      </c>
    </row>
    <row r="108" spans="1:13" x14ac:dyDescent="0.3">
      <c r="A108" s="67" t="s">
        <v>1052</v>
      </c>
      <c r="B108" s="66" t="s">
        <v>1053</v>
      </c>
      <c r="C108" s="115" t="s">
        <v>419</v>
      </c>
      <c r="D108">
        <v>4</v>
      </c>
      <c r="E108" s="116">
        <v>2.4</v>
      </c>
      <c r="F108" s="66">
        <v>65</v>
      </c>
      <c r="G108" s="117" t="s">
        <v>1879</v>
      </c>
      <c r="H108" s="118">
        <v>3.5342917352885173</v>
      </c>
      <c r="I108" s="116">
        <v>0.3</v>
      </c>
      <c r="J108" s="115"/>
      <c r="K108" s="66" t="s">
        <v>1790</v>
      </c>
      <c r="L108" s="135" t="b">
        <v>0</v>
      </c>
      <c r="M108" s="143"/>
    </row>
    <row r="109" spans="1:13" x14ac:dyDescent="0.3">
      <c r="A109" s="69" t="s">
        <v>33</v>
      </c>
      <c r="B109" s="68" t="s">
        <v>34</v>
      </c>
      <c r="C109" s="119" t="s">
        <v>1979</v>
      </c>
      <c r="D109" t="s">
        <v>1979</v>
      </c>
      <c r="E109" s="120">
        <v>8</v>
      </c>
      <c r="F109" s="68">
        <v>80</v>
      </c>
      <c r="G109" s="121" t="s">
        <v>1856</v>
      </c>
      <c r="H109" s="122">
        <v>7.0685834705770345</v>
      </c>
      <c r="I109" s="120">
        <v>3</v>
      </c>
      <c r="J109" s="119"/>
      <c r="K109" s="68" t="s">
        <v>483</v>
      </c>
      <c r="L109" s="136" t="b">
        <v>0</v>
      </c>
      <c r="M109" s="144"/>
    </row>
    <row r="110" spans="1:13" x14ac:dyDescent="0.3">
      <c r="A110" s="67" t="s">
        <v>1022</v>
      </c>
      <c r="B110" s="66" t="s">
        <v>1023</v>
      </c>
      <c r="C110" s="115" t="s">
        <v>1980</v>
      </c>
      <c r="D110" t="s">
        <v>1980</v>
      </c>
      <c r="E110" s="116">
        <v>11.8</v>
      </c>
      <c r="F110" s="66">
        <v>70</v>
      </c>
      <c r="G110" s="117" t="s">
        <v>1981</v>
      </c>
      <c r="H110" s="118">
        <v>18.849555921538759</v>
      </c>
      <c r="I110" s="116">
        <v>1.5</v>
      </c>
      <c r="J110" s="115"/>
      <c r="K110" s="66" t="s">
        <v>1790</v>
      </c>
      <c r="L110" s="135" t="b">
        <v>0</v>
      </c>
      <c r="M110" s="143"/>
    </row>
    <row r="111" spans="1:13" x14ac:dyDescent="0.3">
      <c r="A111" s="69" t="s">
        <v>1006</v>
      </c>
      <c r="B111" s="68" t="s">
        <v>41</v>
      </c>
      <c r="C111" s="119" t="s">
        <v>1982</v>
      </c>
      <c r="D111" t="s">
        <v>2021</v>
      </c>
      <c r="E111" s="120">
        <v>8.6</v>
      </c>
      <c r="F111" s="68">
        <v>50</v>
      </c>
      <c r="G111" s="121" t="s">
        <v>1983</v>
      </c>
      <c r="H111" s="122">
        <v>7.0685834705770345</v>
      </c>
      <c r="I111" s="120">
        <v>2</v>
      </c>
      <c r="J111" s="119"/>
      <c r="K111" s="68"/>
      <c r="L111" s="136" t="b">
        <v>1</v>
      </c>
      <c r="M111" s="144"/>
    </row>
    <row r="112" spans="1:13" x14ac:dyDescent="0.3">
      <c r="A112" s="67" t="s">
        <v>1055</v>
      </c>
      <c r="B112" s="66" t="s">
        <v>1056</v>
      </c>
      <c r="C112" s="115" t="s">
        <v>1984</v>
      </c>
      <c r="D112" t="s">
        <v>2022</v>
      </c>
      <c r="E112" s="116">
        <v>5</v>
      </c>
      <c r="F112" s="66">
        <v>65</v>
      </c>
      <c r="G112" s="117" t="s">
        <v>1985</v>
      </c>
      <c r="H112" s="118">
        <v>4.7123889803846897</v>
      </c>
      <c r="I112" s="116">
        <v>0.2</v>
      </c>
      <c r="J112" s="115"/>
      <c r="K112" s="66"/>
      <c r="L112" s="135" t="b">
        <v>0</v>
      </c>
      <c r="M112" s="143"/>
    </row>
    <row r="113" spans="1:13" x14ac:dyDescent="0.3">
      <c r="A113" s="69" t="s">
        <v>983</v>
      </c>
      <c r="B113" s="68" t="s">
        <v>136</v>
      </c>
      <c r="C113" s="119" t="s">
        <v>1986</v>
      </c>
      <c r="D113" t="s">
        <v>1986</v>
      </c>
      <c r="E113" s="120">
        <v>5.3</v>
      </c>
      <c r="F113" s="68">
        <v>75</v>
      </c>
      <c r="G113" s="129" t="s">
        <v>1987</v>
      </c>
      <c r="H113" s="122">
        <v>11.545353001942491</v>
      </c>
      <c r="I113" s="120">
        <v>0.5</v>
      </c>
      <c r="J113" s="119"/>
      <c r="K113" s="68"/>
      <c r="L113" s="136" t="b">
        <v>0</v>
      </c>
      <c r="M113" s="144"/>
    </row>
    <row r="114" spans="1:13" x14ac:dyDescent="0.3">
      <c r="A114" s="67" t="s">
        <v>1058</v>
      </c>
      <c r="B114" s="66" t="s">
        <v>32</v>
      </c>
      <c r="C114" s="115" t="s">
        <v>1988</v>
      </c>
      <c r="D114" t="s">
        <v>2023</v>
      </c>
      <c r="E114" s="116">
        <v>8.4</v>
      </c>
      <c r="F114" s="130">
        <v>80</v>
      </c>
      <c r="G114" s="103" t="s">
        <v>1989</v>
      </c>
      <c r="H114" s="127">
        <v>12.487830798019427</v>
      </c>
      <c r="I114" s="116">
        <v>7.7</v>
      </c>
      <c r="J114" s="115"/>
      <c r="K114" s="66"/>
      <c r="L114" s="135" t="b">
        <v>0</v>
      </c>
      <c r="M114" s="143"/>
    </row>
    <row r="115" spans="1:13" x14ac:dyDescent="0.3">
      <c r="A115" s="67" t="s">
        <v>969</v>
      </c>
      <c r="B115" s="66" t="s">
        <v>41</v>
      </c>
      <c r="C115" s="115" t="s">
        <v>1990</v>
      </c>
      <c r="D115">
        <v>44</v>
      </c>
      <c r="E115" s="116">
        <v>4.8</v>
      </c>
      <c r="F115" s="116">
        <v>60</v>
      </c>
      <c r="G115" s="116" t="s">
        <v>1991</v>
      </c>
      <c r="H115" s="116">
        <v>14.372786390173303</v>
      </c>
      <c r="I115" s="116">
        <v>1.5</v>
      </c>
      <c r="J115" s="115"/>
      <c r="K115" s="66" t="s">
        <v>1790</v>
      </c>
      <c r="L115" s="136" t="b">
        <v>0</v>
      </c>
      <c r="M115" s="143"/>
    </row>
    <row r="116" spans="1:13" x14ac:dyDescent="0.3">
      <c r="A116" s="69" t="s">
        <v>982</v>
      </c>
      <c r="B116" s="68" t="s">
        <v>32</v>
      </c>
      <c r="C116" s="119" t="s">
        <v>1992</v>
      </c>
      <c r="D116" t="s">
        <v>1992</v>
      </c>
      <c r="E116" s="120">
        <v>24</v>
      </c>
      <c r="F116" s="120">
        <v>80</v>
      </c>
      <c r="G116" s="120" t="s">
        <v>1993</v>
      </c>
      <c r="H116" s="120">
        <v>34.63605900582747</v>
      </c>
      <c r="I116" s="120">
        <v>1.3</v>
      </c>
      <c r="J116" s="119"/>
      <c r="K116" s="68" t="s">
        <v>1790</v>
      </c>
      <c r="L116" s="135" t="b">
        <v>0</v>
      </c>
      <c r="M116" s="144"/>
    </row>
    <row r="117" spans="1:13" x14ac:dyDescent="0.3">
      <c r="A117" s="67" t="s">
        <v>1059</v>
      </c>
      <c r="B117" s="66" t="s">
        <v>140</v>
      </c>
      <c r="C117" s="115" t="s">
        <v>1994</v>
      </c>
      <c r="D117" t="s">
        <v>2024</v>
      </c>
      <c r="E117" s="116">
        <v>3</v>
      </c>
      <c r="F117" s="116">
        <v>80</v>
      </c>
      <c r="G117" s="116" t="s">
        <v>1995</v>
      </c>
      <c r="H117" s="116">
        <v>4.9480084294039246</v>
      </c>
      <c r="I117" s="116">
        <v>0.6</v>
      </c>
      <c r="J117" s="115"/>
      <c r="K117" s="66" t="s">
        <v>1790</v>
      </c>
      <c r="L117" s="136" t="b">
        <v>0</v>
      </c>
      <c r="M117" s="143" t="s">
        <v>1996</v>
      </c>
    </row>
    <row r="118" spans="1:13" x14ac:dyDescent="0.3">
      <c r="A118" s="69" t="s">
        <v>983</v>
      </c>
      <c r="B118" s="68" t="s">
        <v>136</v>
      </c>
      <c r="C118" s="119" t="s">
        <v>1997</v>
      </c>
      <c r="D118" t="s">
        <v>2025</v>
      </c>
      <c r="E118" s="120">
        <v>1.9</v>
      </c>
      <c r="F118" s="120">
        <v>70</v>
      </c>
      <c r="G118" s="120" t="s">
        <v>1961</v>
      </c>
      <c r="H118" s="120">
        <v>6.5973445725385655</v>
      </c>
      <c r="I118" s="120">
        <v>1.3</v>
      </c>
      <c r="J118" s="119"/>
      <c r="K118" s="68" t="s">
        <v>1790</v>
      </c>
      <c r="L118" s="135" t="b">
        <v>0</v>
      </c>
      <c r="M118" s="144" t="s">
        <v>1996</v>
      </c>
    </row>
  </sheetData>
  <dataValidations count="3">
    <dataValidation allowBlank="1" showInputMessage="1" showErrorMessage="1" sqref="J2:J85" xr:uid="{1A7B19DB-2017-48DA-8FDF-8F364E810E29}"/>
    <dataValidation type="list" allowBlank="1" showErrorMessage="1" sqref="K87:K94 K2:K85" xr:uid="{2B88C5B0-01D8-46C9-985B-88C4AD9B9D91}">
      <formula1>"F,-,N"</formula1>
    </dataValidation>
    <dataValidation type="custom" allowBlank="1" showInputMessage="1" showErrorMessage="1" sqref="J111:J118" xr:uid="{C6124247-3B05-4D52-ADF8-27CB9F55B2A3}">
      <formula1>"C,d,f,g"</formula1>
    </dataValidation>
  </dataValidation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732CC-9332-42C2-953F-CE9E24E96DB8}">
  <dimension ref="A1"/>
  <sheetViews>
    <sheetView workbookViewId="0">
      <selection activeCell="N14" sqref="N14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9273-1B86-4641-927B-37C4E0D68C48}">
  <dimension ref="A1:C48"/>
  <sheetViews>
    <sheetView zoomScale="69" workbookViewId="0">
      <selection activeCell="G30" sqref="G30"/>
    </sheetView>
  </sheetViews>
  <sheetFormatPr defaultRowHeight="14.4" x14ac:dyDescent="0.3"/>
  <cols>
    <col min="1" max="1" width="26.88671875" bestFit="1" customWidth="1"/>
    <col min="2" max="2" width="13.44140625" bestFit="1" customWidth="1"/>
    <col min="3" max="3" width="20.88671875" bestFit="1" customWidth="1"/>
  </cols>
  <sheetData>
    <row r="1" spans="1:3" x14ac:dyDescent="0.3">
      <c r="A1" t="s">
        <v>2030</v>
      </c>
      <c r="B1" t="s">
        <v>2031</v>
      </c>
      <c r="C1" t="s">
        <v>2032</v>
      </c>
    </row>
    <row r="2" spans="1:3" ht="15" x14ac:dyDescent="0.35">
      <c r="A2" s="56" t="s">
        <v>966</v>
      </c>
      <c r="B2">
        <v>0.56000000000000005</v>
      </c>
      <c r="C2" t="s">
        <v>2033</v>
      </c>
    </row>
    <row r="3" spans="1:3" ht="15" x14ac:dyDescent="0.35">
      <c r="A3" s="56" t="s">
        <v>969</v>
      </c>
      <c r="B3">
        <v>0.65</v>
      </c>
      <c r="C3" t="s">
        <v>2033</v>
      </c>
    </row>
    <row r="4" spans="1:3" ht="15" x14ac:dyDescent="0.35">
      <c r="A4" s="56" t="s">
        <v>971</v>
      </c>
      <c r="B4">
        <v>0.78</v>
      </c>
      <c r="C4" t="s">
        <v>2033</v>
      </c>
    </row>
    <row r="5" spans="1:3" ht="15" x14ac:dyDescent="0.35">
      <c r="A5" s="56" t="s">
        <v>974</v>
      </c>
      <c r="B5">
        <v>0.64</v>
      </c>
      <c r="C5" t="s">
        <v>2033</v>
      </c>
    </row>
    <row r="6" spans="1:3" ht="15" x14ac:dyDescent="0.35">
      <c r="A6" s="56" t="s">
        <v>977</v>
      </c>
      <c r="B6">
        <v>0.67</v>
      </c>
      <c r="C6" t="s">
        <v>2033</v>
      </c>
    </row>
    <row r="7" spans="1:3" ht="15" x14ac:dyDescent="0.35">
      <c r="A7" s="56" t="s">
        <v>978</v>
      </c>
      <c r="B7">
        <v>0.6</v>
      </c>
      <c r="C7" t="s">
        <v>2033</v>
      </c>
    </row>
    <row r="8" spans="1:3" ht="15" x14ac:dyDescent="0.35">
      <c r="A8" s="56" t="s">
        <v>979</v>
      </c>
      <c r="B8">
        <v>0.44</v>
      </c>
      <c r="C8" t="s">
        <v>2034</v>
      </c>
    </row>
    <row r="9" spans="1:3" ht="15" x14ac:dyDescent="0.35">
      <c r="A9" s="56" t="s">
        <v>982</v>
      </c>
      <c r="B9">
        <v>0.32</v>
      </c>
      <c r="C9" t="s">
        <v>2034</v>
      </c>
    </row>
    <row r="10" spans="1:3" ht="15" x14ac:dyDescent="0.35">
      <c r="A10" s="56" t="s">
        <v>983</v>
      </c>
      <c r="B10">
        <v>0.53</v>
      </c>
      <c r="C10" t="s">
        <v>2033</v>
      </c>
    </row>
    <row r="11" spans="1:3" ht="15" x14ac:dyDescent="0.35">
      <c r="A11" s="56" t="s">
        <v>985</v>
      </c>
      <c r="B11">
        <v>0.62</v>
      </c>
      <c r="C11" t="s">
        <v>2033</v>
      </c>
    </row>
    <row r="12" spans="1:3" ht="15" x14ac:dyDescent="0.35">
      <c r="A12" s="56" t="s">
        <v>987</v>
      </c>
      <c r="B12">
        <v>0.45</v>
      </c>
      <c r="C12" t="s">
        <v>2035</v>
      </c>
    </row>
    <row r="13" spans="1:3" ht="15" x14ac:dyDescent="0.35">
      <c r="A13" s="56" t="s">
        <v>990</v>
      </c>
      <c r="B13">
        <v>0.56999999999999995</v>
      </c>
      <c r="C13" t="s">
        <v>2033</v>
      </c>
    </row>
    <row r="14" spans="1:3" ht="15" x14ac:dyDescent="0.35">
      <c r="A14" s="56" t="s">
        <v>992</v>
      </c>
      <c r="B14">
        <v>0.6</v>
      </c>
      <c r="C14" t="s">
        <v>2033</v>
      </c>
    </row>
    <row r="15" spans="1:3" ht="15" x14ac:dyDescent="0.35">
      <c r="A15" s="56" t="s">
        <v>995</v>
      </c>
      <c r="B15">
        <v>0.72</v>
      </c>
      <c r="C15" t="s">
        <v>2033</v>
      </c>
    </row>
    <row r="16" spans="1:3" ht="15" x14ac:dyDescent="0.35">
      <c r="A16" s="56" t="s">
        <v>998</v>
      </c>
      <c r="B16">
        <v>0.39</v>
      </c>
      <c r="C16" t="s">
        <v>2036</v>
      </c>
    </row>
    <row r="17" spans="1:3" ht="15" x14ac:dyDescent="0.35">
      <c r="A17" s="56" t="s">
        <v>1000</v>
      </c>
      <c r="B17">
        <v>0.47</v>
      </c>
      <c r="C17" t="s">
        <v>2035</v>
      </c>
    </row>
    <row r="18" spans="1:3" ht="15" x14ac:dyDescent="0.35">
      <c r="A18" s="56" t="s">
        <v>1002</v>
      </c>
      <c r="B18">
        <v>0.63</v>
      </c>
      <c r="C18" t="s">
        <v>2033</v>
      </c>
    </row>
    <row r="19" spans="1:3" ht="15" x14ac:dyDescent="0.35">
      <c r="A19" s="56" t="s">
        <v>1003</v>
      </c>
      <c r="B19">
        <v>0.48</v>
      </c>
      <c r="C19" t="s">
        <v>2035</v>
      </c>
    </row>
    <row r="20" spans="1:3" ht="15" x14ac:dyDescent="0.35">
      <c r="A20" s="56" t="s">
        <v>1004</v>
      </c>
      <c r="B20">
        <v>0.56000000000000005</v>
      </c>
      <c r="C20" t="s">
        <v>2033</v>
      </c>
    </row>
    <row r="21" spans="1:3" ht="15" x14ac:dyDescent="0.35">
      <c r="A21" s="56" t="s">
        <v>1006</v>
      </c>
      <c r="B21">
        <v>0.55000000000000004</v>
      </c>
      <c r="C21" t="s">
        <v>2033</v>
      </c>
    </row>
    <row r="22" spans="1:3" ht="15" x14ac:dyDescent="0.35">
      <c r="A22" s="56" t="s">
        <v>858</v>
      </c>
      <c r="B22">
        <v>0.45</v>
      </c>
      <c r="C22" t="s">
        <v>2034</v>
      </c>
    </row>
    <row r="23" spans="1:3" ht="15" x14ac:dyDescent="0.35">
      <c r="A23" s="56" t="s">
        <v>1009</v>
      </c>
      <c r="B23">
        <v>0.4</v>
      </c>
      <c r="C23" t="s">
        <v>2034</v>
      </c>
    </row>
    <row r="24" spans="1:3" ht="15" x14ac:dyDescent="0.35">
      <c r="A24" s="56" t="s">
        <v>1011</v>
      </c>
      <c r="B24">
        <v>0.5</v>
      </c>
      <c r="C24" t="s">
        <v>2034</v>
      </c>
    </row>
    <row r="25" spans="1:3" ht="15" x14ac:dyDescent="0.35">
      <c r="A25" s="56" t="s">
        <v>1013</v>
      </c>
      <c r="B25">
        <v>0.41</v>
      </c>
      <c r="C25" t="s">
        <v>2033</v>
      </c>
    </row>
    <row r="26" spans="1:3" ht="15" x14ac:dyDescent="0.35">
      <c r="A26" s="56" t="s">
        <v>1015</v>
      </c>
      <c r="B26">
        <v>0.56000000000000005</v>
      </c>
      <c r="C26" t="s">
        <v>2035</v>
      </c>
    </row>
    <row r="27" spans="1:3" ht="15" x14ac:dyDescent="0.35">
      <c r="A27" s="56" t="s">
        <v>1018</v>
      </c>
      <c r="B27">
        <v>0.37</v>
      </c>
      <c r="C27" t="s">
        <v>2033</v>
      </c>
    </row>
    <row r="28" spans="1:3" ht="15" x14ac:dyDescent="0.35">
      <c r="A28" s="56" t="s">
        <v>1020</v>
      </c>
      <c r="B28">
        <v>0.36</v>
      </c>
      <c r="C28" t="s">
        <v>2034</v>
      </c>
    </row>
    <row r="29" spans="1:3" ht="15" x14ac:dyDescent="0.35">
      <c r="A29" s="56" t="s">
        <v>1022</v>
      </c>
      <c r="B29">
        <v>0.38</v>
      </c>
      <c r="C29" t="s">
        <v>2033</v>
      </c>
    </row>
    <row r="30" spans="1:3" ht="15" x14ac:dyDescent="0.35">
      <c r="A30" s="56" t="s">
        <v>1025</v>
      </c>
      <c r="B30">
        <v>0.56000000000000005</v>
      </c>
      <c r="C30" t="s">
        <v>2033</v>
      </c>
    </row>
    <row r="31" spans="1:3" ht="15" x14ac:dyDescent="0.35">
      <c r="A31" s="56" t="s">
        <v>1027</v>
      </c>
      <c r="B31">
        <v>0.41</v>
      </c>
      <c r="C31" t="s">
        <v>2036</v>
      </c>
    </row>
    <row r="32" spans="1:3" ht="15" x14ac:dyDescent="0.35">
      <c r="A32" s="56" t="s">
        <v>1028</v>
      </c>
      <c r="B32">
        <v>0.52</v>
      </c>
      <c r="C32" t="s">
        <v>2037</v>
      </c>
    </row>
    <row r="33" spans="1:3" ht="15" x14ac:dyDescent="0.35">
      <c r="A33" s="56" t="s">
        <v>1031</v>
      </c>
      <c r="B33">
        <v>0.45</v>
      </c>
      <c r="C33" t="s">
        <v>2033</v>
      </c>
    </row>
    <row r="34" spans="1:3" ht="15" x14ac:dyDescent="0.35">
      <c r="A34" s="56" t="s">
        <v>1033</v>
      </c>
      <c r="B34">
        <v>0.56000000000000005</v>
      </c>
      <c r="C34" t="s">
        <v>2034</v>
      </c>
    </row>
    <row r="35" spans="1:3" ht="15" x14ac:dyDescent="0.35">
      <c r="A35" s="56" t="s">
        <v>1035</v>
      </c>
      <c r="B35">
        <v>0.73</v>
      </c>
      <c r="C35" t="s">
        <v>2033</v>
      </c>
    </row>
    <row r="36" spans="1:3" ht="15" x14ac:dyDescent="0.35">
      <c r="A36" s="56" t="s">
        <v>1037</v>
      </c>
      <c r="B36">
        <v>0.46</v>
      </c>
      <c r="C36" t="s">
        <v>2033</v>
      </c>
    </row>
    <row r="37" spans="1:3" ht="15" x14ac:dyDescent="0.35">
      <c r="A37" s="56" t="s">
        <v>482</v>
      </c>
      <c r="B37">
        <v>0.55000000000000004</v>
      </c>
      <c r="C37" t="s">
        <v>2033</v>
      </c>
    </row>
    <row r="38" spans="1:3" ht="15" x14ac:dyDescent="0.35">
      <c r="A38" s="56" t="s">
        <v>1040</v>
      </c>
      <c r="B38">
        <v>0.47</v>
      </c>
      <c r="C38" t="s">
        <v>2033</v>
      </c>
    </row>
    <row r="39" spans="1:3" ht="15" x14ac:dyDescent="0.35">
      <c r="A39" s="56" t="s">
        <v>1042</v>
      </c>
      <c r="B39">
        <v>0.48</v>
      </c>
      <c r="C39" t="s">
        <v>2038</v>
      </c>
    </row>
    <row r="40" spans="1:3" ht="15" x14ac:dyDescent="0.35">
      <c r="A40" s="56" t="s">
        <v>1044</v>
      </c>
      <c r="B40">
        <v>0.57999999999999996</v>
      </c>
      <c r="C40" t="s">
        <v>2035</v>
      </c>
    </row>
    <row r="41" spans="1:3" ht="15" x14ac:dyDescent="0.35">
      <c r="A41" s="56" t="s">
        <v>1046</v>
      </c>
      <c r="B41">
        <v>0.7</v>
      </c>
      <c r="C41" t="s">
        <v>2033</v>
      </c>
    </row>
    <row r="42" spans="1:3" ht="15" x14ac:dyDescent="0.35">
      <c r="A42" s="56" t="s">
        <v>1049</v>
      </c>
      <c r="B42">
        <v>0.4</v>
      </c>
      <c r="C42" t="s">
        <v>2035</v>
      </c>
    </row>
    <row r="43" spans="1:3" ht="15" x14ac:dyDescent="0.35">
      <c r="A43" s="56" t="s">
        <v>1052</v>
      </c>
      <c r="B43">
        <v>0.46</v>
      </c>
      <c r="C43" t="s">
        <v>2039</v>
      </c>
    </row>
    <row r="44" spans="1:3" ht="15" x14ac:dyDescent="0.35">
      <c r="A44" s="56" t="s">
        <v>33</v>
      </c>
      <c r="B44">
        <v>0.69</v>
      </c>
      <c r="C44" t="s">
        <v>2033</v>
      </c>
    </row>
    <row r="45" spans="1:3" ht="15" x14ac:dyDescent="0.35">
      <c r="A45" s="56" t="s">
        <v>1055</v>
      </c>
      <c r="B45">
        <v>0.33</v>
      </c>
      <c r="C45" t="s">
        <v>2035</v>
      </c>
    </row>
    <row r="46" spans="1:3" ht="15" x14ac:dyDescent="0.35">
      <c r="A46" s="56" t="s">
        <v>1058</v>
      </c>
      <c r="B46">
        <v>0.41</v>
      </c>
      <c r="C46" t="s">
        <v>2033</v>
      </c>
    </row>
    <row r="47" spans="1:3" ht="15" x14ac:dyDescent="0.35">
      <c r="A47" s="56" t="s">
        <v>420</v>
      </c>
      <c r="B47">
        <v>0.32</v>
      </c>
      <c r="C47" t="s">
        <v>2033</v>
      </c>
    </row>
    <row r="48" spans="1:3" ht="15" x14ac:dyDescent="0.35">
      <c r="A48" s="56" t="s">
        <v>1059</v>
      </c>
      <c r="B48">
        <v>0.55000000000000004</v>
      </c>
      <c r="C48" t="s">
        <v>2035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garden_data</vt:lpstr>
      <vt:lpstr>Tree_per_garden</vt:lpstr>
      <vt:lpstr>Native_vs_not_GRAPHING</vt:lpstr>
      <vt:lpstr>Plantsnshrub_per_garden</vt:lpstr>
      <vt:lpstr>Shrub_plantNative_Nonnative</vt:lpstr>
      <vt:lpstr>Unique_plant_species</vt:lpstr>
      <vt:lpstr>Unique_shrub_species</vt:lpstr>
      <vt:lpstr>Unique_total_plant_shrubspecies</vt:lpstr>
      <vt:lpstr>total_all_species</vt:lpstr>
      <vt:lpstr>Everything_statistics</vt:lpstr>
      <vt:lpstr>Treesall_nativeness_con_dec</vt:lpstr>
      <vt:lpstr>Van_trees_count</vt:lpstr>
      <vt:lpstr>Table_Garden_trees_count</vt:lpstr>
      <vt:lpstr>Table_plants_count</vt:lpstr>
      <vt:lpstr>Shannon_garden_trees</vt:lpstr>
      <vt:lpstr>(notusing)Trees_complete</vt:lpstr>
      <vt:lpstr>Basal_area_Shannon</vt:lpstr>
      <vt:lpstr>Trees_density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rgonza1@student.ubc.ca</dc:creator>
  <cp:lastModifiedBy>rgonza1@student.ubc.ca</cp:lastModifiedBy>
  <dcterms:created xsi:type="dcterms:W3CDTF">2025-11-13T20:07:18Z</dcterms:created>
  <dcterms:modified xsi:type="dcterms:W3CDTF">2026-02-10T19:49:08Z</dcterms:modified>
</cp:coreProperties>
</file>